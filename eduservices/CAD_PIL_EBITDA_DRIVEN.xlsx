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1000" firstSheet="0" activeTab="0" autoFilterDateGrouping="1"/>
  </bookViews>
  <sheets>
    <sheet name="Cadrage" sheetId="1" state="visible" r:id="rId1"/>
    <sheet name="Pilotage" sheetId="2" state="visible" r:id="rId2"/>
    <sheet name="Socle" sheetId="3" state="visible" r:id="rId3"/>
    <sheet name="Campagne" sheetId="4" state="visible" r:id="rId4"/>
    <sheet name="Moteur" sheetId="5" state="visible" r:id="rId5"/>
    <sheet name="Comptabilité" sheetId="6" state="visible" r:id="rId6"/>
    <sheet name="PNL" sheetId="7" state="visible" r:id="rId7"/>
    <sheet name="_CALC_MOTEUR" sheetId="8" state="visible" r:id="rId8"/>
    <sheet name="_CALC_PNL" sheetId="9" state="visible" r:id="rId9"/>
  </sheets>
  <definedNames>
    <definedName name="BUD_REF_CAP">Pilotage!$K$19:$K$32</definedName>
    <definedName name="HYP_ACQ_BUD_V01">Cadrage!$C$22</definedName>
    <definedName name="HYP_ACQ_BUD_V02">Cadrage!$D$22</definedName>
    <definedName name="HYP_ACQ_BUD_V03">Cadrage!$E$22</definedName>
    <definedName name="HYP_BRAND_BUD_V01">Cadrage!$C$23</definedName>
    <definedName name="HYP_BRAND_BUD_V02">Cadrage!$D$23</definedName>
    <definedName name="HYP_BRAND_BUD_V03">Cadrage!$E$23</definedName>
    <definedName name="HYP_CAP_RETENU">Pilotage!$J$19:$J$32</definedName>
    <definedName name="HYP_CONV_ADM_V01">Cadrage!$C$26</definedName>
    <definedName name="HYP_CONV_ADM_V02">Cadrage!$D$26</definedName>
    <definedName name="HYP_CONV_ADM_V03">Cadrage!$E$26</definedName>
    <definedName name="HYP_CONV_LEAD_V01">Cadrage!$C$25</definedName>
    <definedName name="HYP_CONV_LEAD_V02">Cadrage!$D$25</definedName>
    <definedName name="HYP_CONV_LEAD_V03">Cadrage!$E$25</definedName>
    <definedName name="HYP_FEE_V01">Cadrage!$C$39</definedName>
    <definedName name="HYP_FEE_V02">Cadrage!$D$39</definedName>
    <definedName name="HYP_FEE_V03">Cadrage!$E$39</definedName>
    <definedName name="HYP_FTE_PERM_V01">Cadrage!$C$33</definedName>
    <definedName name="HYP_FTE_PERM_V02">Cadrage!$D$33</definedName>
    <definedName name="HYP_FTE_PERM_V03">Cadrage!$E$33</definedName>
    <definedName name="HYP_INFL_EXT_V01">Cadrage!$C$31</definedName>
    <definedName name="HYP_INFL_EXT_V02">Cadrage!$D$31</definedName>
    <definedName name="HYP_INFL_EXT_V03">Cadrage!$E$31</definedName>
    <definedName name="HYP_PASSAGE_V01">Cadrage!$C$27</definedName>
    <definedName name="HYP_PASSAGE_V02">Cadrage!$D$27</definedName>
    <definedName name="HYP_PASSAGE_V03">Cadrage!$E$27</definedName>
    <definedName name="HYP_PRICE_COEF_IPAC">Cadrage!$K$13</definedName>
    <definedName name="HYP_PRICE_COEF_ISCOM">Cadrage!$K$12</definedName>
    <definedName name="HYP_PRICE_COEF_MBWAY">Cadrage!$K$11</definedName>
    <definedName name="HYP_PRICE_COEF_PIGIER">Cadrage!$K$14</definedName>
    <definedName name="HYP_PRICE_COEF_TUNON">Cadrage!$K$15</definedName>
    <definedName name="HYP_PRICE_V01">Cadrage!$C$24</definedName>
    <definedName name="HYP_PRICE_V02">Cadrage!$D$24</definedName>
    <definedName name="HYP_PRICE_V03">Cadrage!$E$24</definedName>
    <definedName name="HYP_PRODUCTIVITY_V01">Cadrage!$C$34</definedName>
    <definedName name="HYP_PRODUCTIVITY_V02">Cadrage!$D$34</definedName>
    <definedName name="HYP_PRODUCTIVITY_V03">Cadrage!$E$34</definedName>
    <definedName name="HYP_SALARY_V01">Cadrage!$C$32</definedName>
    <definedName name="HYP_SALARY_V02">Cadrage!$D$32</definedName>
    <definedName name="HYP_SALARY_V03">Cadrage!$E$32</definedName>
    <definedName name="HYP_STRUCT_COST_V01">Cadrage!$C$35</definedName>
    <definedName name="HYP_STRUCT_COST_V02">Cadrage!$D$35</definedName>
    <definedName name="HYP_STRUCT_COST_V03">Cadrage!$E$35</definedName>
    <definedName name="SCENARIO_ACTIF">Cadrage!$C$4</definedName>
    <definedName name="SCENARIO_CODE">Cadrage!$P$1</definedName>
    <definedName name="TEC_EBITDA">Cadrage!$F$5</definedName>
    <definedName name="TEC_PL">Cadrage!$F$4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%"/>
    <numFmt numFmtId="165" formatCode="_(* #,##0.0_);_(* \(#,##0.0\);_(* &quot;-&quot;??_);_(@_)"/>
    <numFmt numFmtId="166" formatCode="#\ ##0\ &quot;EUR&quot;"/>
    <numFmt numFmtId="167" formatCode="&quot;▲ &quot;#,##0&quot; €&quot;;&quot;▼ &quot;#,##0&quot; €&quot;;&quot;–&quot;"/>
    <numFmt numFmtId="168" formatCode="&quot;▲ &quot;0.0%;&quot;▼ &quot;0.0%;&quot;–&quot;"/>
    <numFmt numFmtId="169" formatCode="&quot;▲ &quot;0.0&quot; pt&quot;;&quot;▼ &quot;0.0&quot; pt&quot;;&quot;–&quot;"/>
    <numFmt numFmtId="170" formatCode="&quot;▲ &quot;#,##0;&quot;▼ &quot;#,##0;&quot;–&quot;"/>
    <numFmt numFmtId="171" formatCode="0.0%;\-0.0%;&quot;–&quot;"/>
    <numFmt numFmtId="172" formatCode="#,##0&quot; €&quot;;\-#,##0&quot; €&quot;;&quot;–&quot;"/>
    <numFmt numFmtId="173" formatCode="_(* #,##0_);_(* \(#,##0\);_(* &quot;-&quot;??_);_(@_)"/>
    <numFmt numFmtId="174" formatCode="0%;\-0%;&quot;–&quot;"/>
    <numFmt numFmtId="175" formatCode="#,##0\ &quot;€&quot;"/>
    <numFmt numFmtId="176" formatCode="#,##0;\-#,##0;&quot;–&quot;"/>
    <numFmt numFmtId="177" formatCode="#\ ##0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2E75B6"/>
      <sz val="16"/>
    </font>
    <font>
      <name val="Aptos Narrow"/>
      <family val="2"/>
      <b val="1"/>
      <color rgb="FF548235"/>
      <sz val="16"/>
    </font>
    <font>
      <name val="Aptos Narrow"/>
      <family val="2"/>
      <b val="1"/>
      <color rgb="FF1F3864"/>
      <sz val="16"/>
    </font>
    <font>
      <name val="Aptos Narrow"/>
      <family val="2"/>
      <b val="1"/>
      <color rgb="FF3B3B3B"/>
      <sz val="16"/>
    </font>
    <font>
      <name val="Arial"/>
      <family val="2"/>
      <b val="1"/>
      <sz val="11"/>
    </font>
    <font>
      <name val="Aptos Narrow"/>
      <family val="2"/>
      <b val="1"/>
      <color rgb="FF1F3864"/>
      <sz val="10"/>
    </font>
    <font>
      <name val="Aptos Narrow"/>
      <family val="2"/>
      <b val="1"/>
      <color rgb="FF1B5FA6"/>
      <sz val="12"/>
    </font>
    <font>
      <name val="Aptos Narrow"/>
      <family val="2"/>
      <color theme="0"/>
      <sz val="11"/>
      <scheme val="minor"/>
    </font>
    <font>
      <name val="Arial"/>
      <family val="2"/>
      <color rgb="FF3B3B3B"/>
      <sz val="11"/>
    </font>
    <font>
      <name val="Arial"/>
      <family val="2"/>
      <b val="1"/>
      <color rgb="FF0F5FB0"/>
      <sz val="11"/>
    </font>
    <font>
      <name val="Arial"/>
      <family val="2"/>
      <b val="1"/>
      <color rgb="FF1B5FA6"/>
      <sz val="11"/>
    </font>
    <font>
      <name val="Arial"/>
      <family val="2"/>
      <b val="1"/>
      <color rgb="FF1F3864"/>
      <sz val="11"/>
    </font>
    <font>
      <name val="Aptos Narrow"/>
      <family val="2"/>
      <b val="1"/>
      <color theme="1"/>
      <sz val="14"/>
    </font>
    <font>
      <name val="Aptos Narrow"/>
      <family val="2"/>
      <b val="1"/>
      <color theme="1"/>
      <sz val="18"/>
    </font>
    <font>
      <name val="Aptos Narrow"/>
      <family val="2"/>
      <b val="1"/>
      <color theme="1"/>
      <sz val="11"/>
    </font>
    <font>
      <name val="Arial"/>
      <family val="2"/>
      <b val="1"/>
      <color theme="1"/>
      <sz val="11"/>
    </font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ptos Narrow"/>
      <family val="2"/>
      <color theme="1"/>
      <sz val="14"/>
      <scheme val="minor"/>
    </font>
    <font>
      <name val="Arial"/>
      <family val="2"/>
      <b val="1"/>
      <color theme="1"/>
      <sz val="14"/>
    </font>
    <font>
      <name val="Aptos Narrow"/>
      <family val="2"/>
      <b val="1"/>
      <color theme="1"/>
      <sz val="17"/>
    </font>
    <font>
      <name val="Arial"/>
      <family val="2"/>
      <color theme="1"/>
      <sz val="11"/>
    </font>
    <font>
      <name val="Aptos Narrow"/>
      <family val="2"/>
      <color theme="1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4"/>
      <scheme val="minor"/>
    </font>
    <font>
      <name val="Arial"/>
      <family val="2"/>
      <color rgb="FF3B3B3B"/>
      <sz val="12"/>
    </font>
    <font>
      <name val="Arial"/>
      <family val="2"/>
      <color rgb="FFB8860B"/>
      <sz val="12"/>
    </font>
    <font>
      <name val="Aptos Narrow"/>
      <family val="2"/>
      <b val="1"/>
      <color rgb="FF375623"/>
      <sz val="12"/>
      <scheme val="minor"/>
    </font>
    <font>
      <name val="Arial"/>
      <family val="2"/>
      <b val="1"/>
      <color rgb="FF0F5FB0"/>
      <sz val="12"/>
    </font>
    <font>
      <name val="Aptos Narrow"/>
      <family val="2"/>
      <b val="1"/>
      <color theme="0"/>
      <sz val="11"/>
    </font>
    <font>
      <name val="Aptos Narrow"/>
      <family val="2"/>
      <color theme="0"/>
      <sz val="11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b val="1"/>
      <color rgb="FF15406E"/>
      <sz val="12"/>
    </font>
    <font>
      <name val="Aptos Narrow"/>
      <family val="2"/>
      <sz val="11"/>
      <scheme val="minor"/>
    </font>
    <font>
      <name val="Aptos Narrow"/>
      <family val="2"/>
      <i val="1"/>
      <color theme="0"/>
      <sz val="14"/>
      <scheme val="minor"/>
    </font>
    <font>
      <name val="Arial"/>
      <family val="2"/>
      <color rgb="FF3B3B3B"/>
      <sz val="10"/>
    </font>
    <font>
      <name val="Arial"/>
      <family val="2"/>
      <color rgb="FF3B3B3B"/>
      <sz val="9"/>
    </font>
    <font>
      <name val="Arial"/>
      <family val="2"/>
      <b val="1"/>
      <color theme="1"/>
      <sz val="16"/>
    </font>
    <font>
      <name val="Arial"/>
      <family val="2"/>
      <color rgb="FF333333"/>
      <sz val="1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4E6FA"/>
        <bgColor rgb="FF000000"/>
      </patternFill>
    </fill>
    <fill>
      <patternFill patternType="solid">
        <fgColor rgb="FFDDF2E3"/>
        <bgColor rgb="FF000000"/>
      </patternFill>
    </fill>
    <fill>
      <patternFill patternType="solid">
        <fgColor rgb="FFE8F0FB"/>
        <bgColor rgb="FF000000"/>
      </patternFill>
    </fill>
    <fill>
      <patternFill patternType="solid">
        <fgColor rgb="FFECEEF1"/>
        <bgColor rgb="FF000000"/>
      </patternFill>
    </fill>
    <fill>
      <patternFill patternType="solid">
        <fgColor rgb="FFFBEFD0"/>
        <bgColor rgb="FF000000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43" fontId="1" fillId="0" borderId="0"/>
    <xf numFmtId="43" fontId="1" fillId="0" borderId="0"/>
  </cellStyleXfs>
  <cellXfs count="178">
    <xf numFmtId="0" fontId="0" fillId="0" borderId="0" pivotButton="0" quotePrefix="0" xfId="0"/>
    <xf numFmtId="0" fontId="0" fillId="0" borderId="0" pivotButton="0" quotePrefix="1" xfId="0"/>
    <xf numFmtId="164" fontId="0" fillId="0" borderId="0" pivotButton="0" quotePrefix="0" xfId="1"/>
    <xf numFmtId="0" fontId="2" fillId="0" borderId="0" pivotButton="0" quotePrefix="1" xfId="0"/>
    <xf numFmtId="165" fontId="0" fillId="0" borderId="0" pivotButton="0" quotePrefix="0" xfId="3"/>
    <xf numFmtId="43" fontId="0" fillId="0" borderId="0" pivotButton="0" quotePrefix="0" xfId="3"/>
    <xf numFmtId="43" fontId="7" fillId="0" borderId="0" applyAlignment="1" pivotButton="0" quotePrefix="0" xfId="3">
      <alignment vertical="center"/>
    </xf>
    <xf numFmtId="165" fontId="0" fillId="0" borderId="0" pivotButton="0" quotePrefix="0" xfId="3"/>
    <xf numFmtId="165" fontId="0" fillId="0" borderId="0" pivotButton="0" quotePrefix="1" xfId="3"/>
    <xf numFmtId="0" fontId="8" fillId="0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centerContinuous" vertical="center" wrapText="1"/>
    </xf>
    <xf numFmtId="43" fontId="10" fillId="0" borderId="0" pivotButton="0" quotePrefix="0" xfId="3"/>
    <xf numFmtId="43" fontId="1" fillId="0" borderId="0" pivotButton="0" quotePrefix="0" xfId="3"/>
    <xf numFmtId="0" fontId="15" fillId="0" borderId="2" applyAlignment="1" pivotButton="0" quotePrefix="0" xfId="0">
      <alignment horizontal="centerContinuous" vertical="center"/>
    </xf>
    <xf numFmtId="0" fontId="16" fillId="0" borderId="2" applyAlignment="1" pivotButton="0" quotePrefix="0" xfId="0">
      <alignment horizontal="centerContinuous" vertical="center"/>
    </xf>
    <xf numFmtId="0" fontId="15" fillId="0" borderId="2" applyAlignment="1" pivotButton="0" quotePrefix="0" xfId="0">
      <alignment vertical="center"/>
    </xf>
    <xf numFmtId="0" fontId="21" fillId="0" borderId="0" pivotButton="0" quotePrefix="0" xfId="0"/>
    <xf numFmtId="0" fontId="21" fillId="0" borderId="2" pivotButton="0" quotePrefix="0" xfId="0"/>
    <xf numFmtId="164" fontId="21" fillId="0" borderId="2" pivotButton="0" quotePrefix="0" xfId="1"/>
    <xf numFmtId="0" fontId="22" fillId="0" borderId="2" applyAlignment="1" pivotButton="0" quotePrefix="0" xfId="0">
      <alignment horizontal="left" vertical="center"/>
    </xf>
    <xf numFmtId="0" fontId="0" fillId="0" borderId="3" pivotButton="0" quotePrefix="0" xfId="0"/>
    <xf numFmtId="164" fontId="0" fillId="0" borderId="5" pivotButton="0" quotePrefix="0" xfId="1"/>
    <xf numFmtId="0" fontId="0" fillId="0" borderId="4" pivotButton="0" quotePrefix="0" xfId="0"/>
    <xf numFmtId="0" fontId="0" fillId="0" borderId="4" pivotButton="0" quotePrefix="1" xfId="0"/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9" fontId="11" fillId="0" borderId="4" applyAlignment="1" pivotButton="0" quotePrefix="0" xfId="0">
      <alignment horizontal="right" vertical="center"/>
    </xf>
    <xf numFmtId="170" fontId="11" fillId="0" borderId="4" applyAlignment="1" pivotButton="0" quotePrefix="0" xfId="0">
      <alignment horizontal="right" vertical="center"/>
    </xf>
    <xf numFmtId="171" fontId="13" fillId="0" borderId="4" applyAlignment="1" pivotButton="0" quotePrefix="0" xfId="0">
      <alignment horizontal="center" vertical="center"/>
    </xf>
    <xf numFmtId="171" fontId="14" fillId="0" borderId="4" applyAlignment="1" pivotButton="0" quotePrefix="0" xfId="0">
      <alignment horizontal="center" vertical="center"/>
    </xf>
    <xf numFmtId="172" fontId="13" fillId="0" borderId="4" applyAlignment="1" pivotButton="0" quotePrefix="0" xfId="0">
      <alignment horizontal="center" vertical="center"/>
    </xf>
    <xf numFmtId="172" fontId="14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Continuous"/>
    </xf>
    <xf numFmtId="171" fontId="13" fillId="0" borderId="6" applyAlignment="1" pivotButton="0" quotePrefix="0" xfId="0">
      <alignment horizontal="center" vertical="center"/>
    </xf>
    <xf numFmtId="2" fontId="1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23" fillId="0" borderId="8" applyAlignment="1" pivotButton="0" quotePrefix="0" xfId="0">
      <alignment vertical="center"/>
    </xf>
    <xf numFmtId="165" fontId="0" fillId="0" borderId="0" pivotButton="0" quotePrefix="0" xfId="3"/>
    <xf numFmtId="164" fontId="0" fillId="0" borderId="0" pivotButton="0" quotePrefix="0" xfId="1"/>
    <xf numFmtId="43" fontId="0" fillId="0" borderId="0" pivotButton="0" quotePrefix="0" xfId="3"/>
    <xf numFmtId="0" fontId="20" fillId="0" borderId="8" applyAlignment="1" pivotButton="0" quotePrefix="0" xfId="0">
      <alignment vertical="center"/>
    </xf>
    <xf numFmtId="0" fontId="23" fillId="0" borderId="8" applyAlignment="1" pivotButton="0" quotePrefix="0" xfId="0">
      <alignment horizontal="left" vertical="center"/>
    </xf>
    <xf numFmtId="0" fontId="23" fillId="0" borderId="8" applyAlignment="1" pivotButton="0" quotePrefix="0" xfId="0">
      <alignment horizontal="left" vertical="top"/>
    </xf>
    <xf numFmtId="0" fontId="27" fillId="0" borderId="0" pivotButton="0" quotePrefix="0" xfId="0"/>
    <xf numFmtId="165" fontId="21" fillId="0" borderId="0" pivotButton="0" quotePrefix="0" xfId="3"/>
    <xf numFmtId="164" fontId="21" fillId="0" borderId="0" pivotButton="0" quotePrefix="0" xfId="1"/>
    <xf numFmtId="43" fontId="21" fillId="0" borderId="0" pivotButton="0" quotePrefix="0" xfId="3"/>
    <xf numFmtId="172" fontId="29" fillId="0" borderId="4" applyAlignment="1" pivotButton="0" quotePrefix="0" xfId="0">
      <alignment horizontal="right" vertical="center"/>
    </xf>
    <xf numFmtId="3" fontId="30" fillId="0" borderId="1" applyAlignment="1" pivotButton="0" quotePrefix="0" xfId="0">
      <alignment horizontal="right" vertical="center"/>
    </xf>
    <xf numFmtId="171" fontId="29" fillId="0" borderId="4" applyAlignment="1" pivotButton="0" quotePrefix="0" xfId="0">
      <alignment horizontal="right" vertical="center"/>
    </xf>
    <xf numFmtId="171" fontId="31" fillId="0" borderId="4" applyAlignment="1" pivotButton="0" quotePrefix="0" xfId="0">
      <alignment horizontal="right" vertical="center"/>
    </xf>
    <xf numFmtId="173" fontId="28" fillId="0" borderId="4" applyAlignment="1" pivotButton="0" quotePrefix="0" xfId="2">
      <alignment horizontal="right" vertical="center"/>
    </xf>
    <xf numFmtId="0" fontId="19" fillId="0" borderId="4" pivotButton="0" quotePrefix="0" xfId="0"/>
    <xf numFmtId="174" fontId="28" fillId="0" borderId="4" applyAlignment="1" pivotButton="0" quotePrefix="0" xfId="0">
      <alignment horizontal="right" vertical="center"/>
    </xf>
    <xf numFmtId="0" fontId="10" fillId="0" borderId="0" pivotButton="0" quotePrefix="0" xfId="0"/>
    <xf numFmtId="175" fontId="28" fillId="0" borderId="4" applyAlignment="1" pivotButton="0" quotePrefix="0" xfId="2">
      <alignment horizontal="right" vertical="center"/>
    </xf>
    <xf numFmtId="43" fontId="10" fillId="0" borderId="0" pivotButton="0" quotePrefix="1" xfId="3"/>
    <xf numFmtId="0" fontId="33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72" fontId="24" fillId="0" borderId="0" applyAlignment="1" pivotButton="0" quotePrefix="0" xfId="0">
      <alignment horizontal="right" vertical="center"/>
    </xf>
    <xf numFmtId="171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176" fontId="24" fillId="0" borderId="0" applyAlignment="1" pivotButton="0" quotePrefix="0" xfId="0">
      <alignment horizontal="center" vertical="center"/>
    </xf>
    <xf numFmtId="166" fontId="4" fillId="2" borderId="0" applyAlignment="1" pivotButton="0" quotePrefix="0" xfId="0">
      <alignment vertical="center" wrapText="1"/>
    </xf>
    <xf numFmtId="164" fontId="5" fillId="2" borderId="0" applyAlignment="1" pivotButton="0" quotePrefix="0" xfId="0">
      <alignment vertical="center" wrapText="1"/>
    </xf>
    <xf numFmtId="177" fontId="6" fillId="2" borderId="0" applyAlignment="1" pivotButton="0" quotePrefix="0" xfId="0">
      <alignment vertical="center" wrapText="1"/>
    </xf>
    <xf numFmtId="166" fontId="4" fillId="2" borderId="0" applyAlignment="1" pivotButton="0" quotePrefix="0" xfId="0">
      <alignment horizontal="centerContinuous" vertical="center" wrapText="1"/>
    </xf>
    <xf numFmtId="164" fontId="5" fillId="2" borderId="0" applyAlignment="1" pivotButton="0" quotePrefix="0" xfId="0">
      <alignment horizontal="centerContinuous" vertical="center" wrapText="1"/>
    </xf>
    <xf numFmtId="177" fontId="6" fillId="2" borderId="0" applyAlignment="1" pivotButton="0" quotePrefix="0" xfId="0">
      <alignment horizontal="centerContinuous" vertical="center" wrapText="1"/>
    </xf>
    <xf numFmtId="172" fontId="20" fillId="0" borderId="9" applyAlignment="1" pivotButton="0" quotePrefix="0" xfId="0">
      <alignment horizontal="centerContinuous" vertical="center"/>
    </xf>
    <xf numFmtId="0" fontId="19" fillId="0" borderId="9" applyAlignment="1" pivotButton="0" quotePrefix="0" xfId="0">
      <alignment horizontal="centerContinuous"/>
    </xf>
    <xf numFmtId="171" fontId="20" fillId="0" borderId="9" applyAlignment="1" pivotButton="0" quotePrefix="0" xfId="0">
      <alignment horizontal="centerContinuous" vertical="center"/>
    </xf>
    <xf numFmtId="176" fontId="20" fillId="0" borderId="9" applyAlignment="1" pivotButton="0" quotePrefix="0" xfId="0">
      <alignment horizontal="centerContinuous" vertical="center"/>
    </xf>
    <xf numFmtId="0" fontId="38" fillId="0" borderId="0" pivotButton="0" quotePrefix="0" xfId="0"/>
    <xf numFmtId="0" fontId="17" fillId="0" borderId="7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/>
    </xf>
    <xf numFmtId="0" fontId="39" fillId="0" borderId="0" applyAlignment="1" pivotButton="0" quotePrefix="0" xfId="0">
      <alignment horizontal="right"/>
    </xf>
    <xf numFmtId="0" fontId="39" fillId="0" borderId="0" pivotButton="0" quotePrefix="0" xfId="0"/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/>
    </xf>
    <xf numFmtId="43" fontId="7" fillId="0" borderId="0" applyAlignment="1" pivotButton="0" quotePrefix="0" xfId="3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indent="1"/>
    </xf>
    <xf numFmtId="0" fontId="18" fillId="0" borderId="9" applyAlignment="1" pivotButton="0" quotePrefix="1" xfId="0">
      <alignment horizontal="center" vertical="center" wrapText="1"/>
    </xf>
    <xf numFmtId="0" fontId="17" fillId="0" borderId="9" applyAlignment="1" pivotButton="0" quotePrefix="1" xfId="0">
      <alignment horizontal="center" vertical="center" wrapText="1"/>
    </xf>
    <xf numFmtId="172" fontId="24" fillId="0" borderId="9" applyAlignment="1" pivotButton="0" quotePrefix="0" xfId="0">
      <alignment horizontal="right" vertical="center"/>
    </xf>
    <xf numFmtId="171" fontId="24" fillId="0" borderId="9" applyAlignment="1" pivotButton="0" quotePrefix="0" xfId="0">
      <alignment horizontal="right" vertical="center"/>
    </xf>
    <xf numFmtId="2" fontId="24" fillId="0" borderId="9" applyAlignment="1" pivotButton="0" quotePrefix="0" xfId="0">
      <alignment horizontal="right" vertical="center"/>
    </xf>
    <xf numFmtId="176" fontId="24" fillId="0" borderId="9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 wrapText="1"/>
    </xf>
    <xf numFmtId="176" fontId="11" fillId="0" borderId="9" applyAlignment="1" pivotButton="0" quotePrefix="0" xfId="0">
      <alignment horizontal="right" vertical="center"/>
    </xf>
    <xf numFmtId="172" fontId="12" fillId="0" borderId="9" applyAlignment="1" pivotButton="0" quotePrefix="0" xfId="0">
      <alignment horizontal="right" vertical="center"/>
    </xf>
    <xf numFmtId="172" fontId="11" fillId="0" borderId="9" applyAlignment="1" pivotButton="0" quotePrefix="0" xfId="0">
      <alignment horizontal="right" vertical="center"/>
    </xf>
    <xf numFmtId="171" fontId="11" fillId="0" borderId="9" applyAlignment="1" pivotButton="0" quotePrefix="0" xfId="0">
      <alignment horizontal="right" vertical="center"/>
    </xf>
    <xf numFmtId="0" fontId="24" fillId="0" borderId="9" pivotButton="0" quotePrefix="0" xfId="0"/>
    <xf numFmtId="176" fontId="18" fillId="0" borderId="9" applyAlignment="1" pivotButton="0" quotePrefix="0" xfId="0">
      <alignment horizontal="right" vertical="center"/>
    </xf>
    <xf numFmtId="172" fontId="18" fillId="0" borderId="9" applyAlignment="1" pivotButton="0" quotePrefix="0" xfId="0">
      <alignment horizontal="right" vertical="center"/>
    </xf>
    <xf numFmtId="171" fontId="18" fillId="0" borderId="9" applyAlignment="1" pivotButton="0" quotePrefix="0" xfId="0">
      <alignment horizontal="right" vertical="center"/>
    </xf>
    <xf numFmtId="0" fontId="22" fillId="0" borderId="2" applyAlignment="1" pivotButton="0" quotePrefix="0" xfId="0">
      <alignment vertical="center"/>
    </xf>
    <xf numFmtId="0" fontId="18" fillId="0" borderId="4" applyAlignment="1" pivotButton="0" quotePrefix="0" xfId="0">
      <alignment horizontal="center" vertical="center" wrapText="1"/>
    </xf>
    <xf numFmtId="0" fontId="40" fillId="0" borderId="4" applyAlignment="1" pivotButton="0" quotePrefix="1" xfId="0">
      <alignment horizontal="left" vertical="center" wrapText="1"/>
    </xf>
    <xf numFmtId="0" fontId="22" fillId="0" borderId="2" applyAlignment="1" pivotButton="0" quotePrefix="1" xfId="0">
      <alignment vertical="center"/>
    </xf>
    <xf numFmtId="0" fontId="40" fillId="0" borderId="4" applyAlignment="1" pivotButton="0" quotePrefix="1" xfId="0">
      <alignment horizontal="left" vertical="center"/>
    </xf>
    <xf numFmtId="0" fontId="18" fillId="0" borderId="7" applyAlignment="1" pivotButton="0" quotePrefix="0" xfId="0">
      <alignment horizontal="center" vertical="center"/>
    </xf>
    <xf numFmtId="0" fontId="18" fillId="0" borderId="0" pivotButton="0" quotePrefix="1" xfId="0"/>
    <xf numFmtId="0" fontId="18" fillId="0" borderId="2" applyAlignment="1" pivotButton="0" quotePrefix="0" xfId="0">
      <alignment horizontal="centerContinuous" vertical="center"/>
    </xf>
    <xf numFmtId="0" fontId="41" fillId="0" borderId="4" applyAlignment="1" pivotButton="0" quotePrefix="1" xfId="0">
      <alignment horizontal="left" vertical="center" wrapText="1"/>
    </xf>
    <xf numFmtId="0" fontId="18" fillId="0" borderId="9" pivotButton="0" quotePrefix="0" xfId="0"/>
    <xf numFmtId="0" fontId="22" fillId="0" borderId="8" applyAlignment="1" pivotButton="0" quotePrefix="0" xfId="0">
      <alignment vertical="center"/>
    </xf>
    <xf numFmtId="0" fontId="42" fillId="0" borderId="2" applyAlignment="1" pivotButton="0" quotePrefix="0" xfId="0">
      <alignment horizontal="left" vertical="center"/>
    </xf>
    <xf numFmtId="165" fontId="42" fillId="0" borderId="0" applyAlignment="1" pivotButton="0" quotePrefix="0" xfId="3">
      <alignment vertical="center"/>
    </xf>
    <xf numFmtId="0" fontId="18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left" vertical="center"/>
    </xf>
    <xf numFmtId="0" fontId="24" fillId="0" borderId="9" applyAlignment="1" pivotButton="0" quotePrefix="1" xfId="0">
      <alignment horizontal="left" vertical="center"/>
    </xf>
    <xf numFmtId="0" fontId="43" fillId="0" borderId="9" applyAlignment="1" pivotButton="0" quotePrefix="0" xfId="0">
      <alignment horizontal="left" vertical="center"/>
    </xf>
    <xf numFmtId="0" fontId="9" fillId="0" borderId="4" applyAlignment="1" pivotButton="0" quotePrefix="1" xfId="0">
      <alignment horizontal="center" vertical="center" wrapText="1"/>
    </xf>
    <xf numFmtId="43" fontId="10" fillId="0" borderId="0" pivotButton="0" quotePrefix="1" xfId="3"/>
    <xf numFmtId="0" fontId="36" fillId="0" borderId="0" applyAlignment="1" pivotButton="0" quotePrefix="1" xfId="0">
      <alignment horizontal="left" vertical="center"/>
    </xf>
    <xf numFmtId="0" fontId="37" fillId="3" borderId="9" applyAlignment="1" pivotButton="0" quotePrefix="0" xfId="0">
      <alignment horizontal="center" vertical="center" wrapText="1"/>
    </xf>
    <xf numFmtId="0" fontId="37" fillId="4" borderId="9" applyAlignment="1" pivotButton="0" quotePrefix="0" xfId="0">
      <alignment horizontal="center" vertical="center" wrapText="1"/>
    </xf>
    <xf numFmtId="0" fontId="37" fillId="5" borderId="9" applyAlignment="1" pivotButton="0" quotePrefix="0" xfId="0">
      <alignment horizontal="center" vertical="center" wrapText="1"/>
    </xf>
    <xf numFmtId="0" fontId="37" fillId="6" borderId="9" applyAlignment="1" pivotButton="0" quotePrefix="0" xfId="0">
      <alignment horizontal="center" vertical="center" wrapText="1"/>
    </xf>
    <xf numFmtId="0" fontId="37" fillId="7" borderId="9" applyAlignment="1" pivotButton="0" quotePrefix="0" xfId="0">
      <alignment horizontal="center" vertical="center" wrapText="1"/>
    </xf>
    <xf numFmtId="171" fontId="13" fillId="0" borderId="4" applyAlignment="1" pivotButton="0" quotePrefix="0" xfId="0">
      <alignment horizontal="center" vertical="center"/>
    </xf>
    <xf numFmtId="171" fontId="13" fillId="0" borderId="6" applyAlignment="1" pivotButton="0" quotePrefix="0" xfId="0">
      <alignment horizontal="center" vertical="center"/>
    </xf>
    <xf numFmtId="175" fontId="28" fillId="0" borderId="4" applyAlignment="1" pivotButton="0" quotePrefix="0" xfId="2">
      <alignment horizontal="right" vertical="center"/>
    </xf>
    <xf numFmtId="172" fontId="29" fillId="0" borderId="4" applyAlignment="1" pivotButton="0" quotePrefix="0" xfId="0">
      <alignment horizontal="righ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74" fontId="28" fillId="0" borderId="4" applyAlignment="1" pivotButton="0" quotePrefix="0" xfId="0">
      <alignment horizontal="right" vertical="center"/>
    </xf>
    <xf numFmtId="171" fontId="29" fillId="0" borderId="4" applyAlignment="1" pivotButton="0" quotePrefix="0" xfId="0">
      <alignment horizontal="right" vertical="center"/>
    </xf>
    <xf numFmtId="171" fontId="31" fillId="0" borderId="4" applyAlignment="1" pivotButton="0" quotePrefix="0" xfId="0">
      <alignment horizontal="right" vertical="center"/>
    </xf>
    <xf numFmtId="169" fontId="11" fillId="0" borderId="4" applyAlignment="1" pivotButton="0" quotePrefix="0" xfId="0">
      <alignment horizontal="right" vertical="center"/>
    </xf>
    <xf numFmtId="173" fontId="28" fillId="0" borderId="4" applyAlignment="1" pivotButton="0" quotePrefix="0" xfId="2">
      <alignment horizontal="right" vertical="center"/>
    </xf>
    <xf numFmtId="170" fontId="11" fillId="0" borderId="4" applyAlignment="1" pivotButton="0" quotePrefix="0" xfId="0">
      <alignment horizontal="right" vertical="center"/>
    </xf>
    <xf numFmtId="171" fontId="14" fillId="0" borderId="4" applyAlignment="1" pivotButton="0" quotePrefix="0" xfId="0">
      <alignment horizontal="center" vertical="center"/>
    </xf>
    <xf numFmtId="164" fontId="0" fillId="0" borderId="0" pivotButton="0" quotePrefix="0" xfId="1"/>
    <xf numFmtId="164" fontId="21" fillId="0" borderId="2" pivotButton="0" quotePrefix="0" xfId="1"/>
    <xf numFmtId="164" fontId="0" fillId="0" borderId="5" pivotButton="0" quotePrefix="0" xfId="1"/>
    <xf numFmtId="172" fontId="13" fillId="0" borderId="4" applyAlignment="1" pivotButton="0" quotePrefix="0" xfId="0">
      <alignment horizontal="center" vertical="center"/>
    </xf>
    <xf numFmtId="172" fontId="14" fillId="0" borderId="4" applyAlignment="1" pivotButton="0" quotePrefix="0" xfId="0">
      <alignment horizontal="center" vertical="center"/>
    </xf>
    <xf numFmtId="165" fontId="0" fillId="0" borderId="0" pivotButton="0" quotePrefix="0" xfId="3"/>
    <xf numFmtId="43" fontId="0" fillId="0" borderId="0" pivotButton="0" quotePrefix="0" xfId="3"/>
    <xf numFmtId="165" fontId="42" fillId="0" borderId="0" applyAlignment="1" pivotButton="0" quotePrefix="0" xfId="3">
      <alignment vertical="center"/>
    </xf>
    <xf numFmtId="165" fontId="21" fillId="0" borderId="0" pivotButton="0" quotePrefix="0" xfId="3"/>
    <xf numFmtId="164" fontId="21" fillId="0" borderId="0" pivotButton="0" quotePrefix="0" xfId="1"/>
    <xf numFmtId="43" fontId="21" fillId="0" borderId="0" pivotButton="0" quotePrefix="0" xfId="3"/>
    <xf numFmtId="0" fontId="0" fillId="0" borderId="12" pivotButton="0" quotePrefix="0" xfId="0"/>
    <xf numFmtId="172" fontId="20" fillId="0" borderId="9" applyAlignment="1" pivotButton="0" quotePrefix="0" xfId="0">
      <alignment horizontal="centerContinuous" vertical="center"/>
    </xf>
    <xf numFmtId="171" fontId="20" fillId="0" borderId="9" applyAlignment="1" pivotButton="0" quotePrefix="0" xfId="0">
      <alignment horizontal="centerContinuous" vertical="center"/>
    </xf>
    <xf numFmtId="176" fontId="20" fillId="0" borderId="9" applyAlignment="1" pivotButton="0" quotePrefix="0" xfId="0">
      <alignment horizontal="centerContinuous" vertical="center"/>
    </xf>
    <xf numFmtId="166" fontId="3" fillId="2" borderId="0" applyAlignment="1" pivotButton="0" quotePrefix="0" xfId="0">
      <alignment horizontal="centerContinuous" vertical="center" wrapText="1"/>
    </xf>
    <xf numFmtId="166" fontId="4" fillId="2" borderId="0" applyAlignment="1" pivotButton="0" quotePrefix="0" xfId="0">
      <alignment horizontal="centerContinuous" vertical="center" wrapText="1"/>
    </xf>
    <xf numFmtId="164" fontId="5" fillId="2" borderId="0" applyAlignment="1" pivotButton="0" quotePrefix="0" xfId="0">
      <alignment horizontal="centerContinuous" vertical="center" wrapText="1"/>
    </xf>
    <xf numFmtId="177" fontId="6" fillId="2" borderId="0" applyAlignment="1" pivotButton="0" quotePrefix="0" xfId="0">
      <alignment horizontal="centerContinuous" vertical="center" wrapText="1"/>
    </xf>
    <xf numFmtId="166" fontId="4" fillId="2" borderId="0" applyAlignment="1" pivotButton="0" quotePrefix="0" xfId="0">
      <alignment vertical="center" wrapText="1"/>
    </xf>
    <xf numFmtId="164" fontId="5" fillId="2" borderId="0" applyAlignment="1" pivotButton="0" quotePrefix="0" xfId="0">
      <alignment vertical="center" wrapText="1"/>
    </xf>
    <xf numFmtId="177" fontId="6" fillId="2" borderId="0" applyAlignment="1" pivotButton="0" quotePrefix="0" xfId="0">
      <alignment vertical="center" wrapText="1"/>
    </xf>
    <xf numFmtId="43" fontId="7" fillId="0" borderId="0" applyAlignment="1" pivotButton="0" quotePrefix="0" xfId="3">
      <alignment vertical="center"/>
    </xf>
    <xf numFmtId="43" fontId="1" fillId="0" borderId="0" pivotButton="0" quotePrefix="0" xfId="3"/>
    <xf numFmtId="43" fontId="10" fillId="0" borderId="0" pivotButton="0" quotePrefix="1" xfId="3"/>
    <xf numFmtId="172" fontId="24" fillId="0" borderId="9" applyAlignment="1" pivotButton="0" quotePrefix="0" xfId="0">
      <alignment horizontal="right" vertical="center"/>
    </xf>
    <xf numFmtId="171" fontId="24" fillId="0" borderId="9" applyAlignment="1" pivotButton="0" quotePrefix="0" xfId="0">
      <alignment horizontal="right" vertical="center"/>
    </xf>
    <xf numFmtId="176" fontId="24" fillId="0" borderId="9" applyAlignment="1" pivotButton="0" quotePrefix="0" xfId="0">
      <alignment horizontal="center" vertical="center"/>
    </xf>
    <xf numFmtId="165" fontId="0" fillId="0" borderId="0" pivotButton="0" quotePrefix="1" xfId="3"/>
    <xf numFmtId="172" fontId="24" fillId="0" borderId="0" applyAlignment="1" pivotButton="0" quotePrefix="0" xfId="0">
      <alignment horizontal="right" vertical="center"/>
    </xf>
    <xf numFmtId="171" fontId="24" fillId="0" borderId="0" applyAlignment="1" pivotButton="0" quotePrefix="0" xfId="0">
      <alignment horizontal="right" vertical="center"/>
    </xf>
    <xf numFmtId="176" fontId="24" fillId="0" borderId="0" applyAlignment="1" pivotButton="0" quotePrefix="0" xfId="0">
      <alignment horizontal="center" vertical="center"/>
    </xf>
    <xf numFmtId="43" fontId="10" fillId="0" borderId="0" pivotButton="0" quotePrefix="0" xfId="3"/>
    <xf numFmtId="176" fontId="11" fillId="0" borderId="9" applyAlignment="1" pivotButton="0" quotePrefix="0" xfId="0">
      <alignment horizontal="right" vertical="center"/>
    </xf>
    <xf numFmtId="172" fontId="12" fillId="0" borderId="9" applyAlignment="1" pivotButton="0" quotePrefix="0" xfId="0">
      <alignment horizontal="right" vertical="center"/>
    </xf>
    <xf numFmtId="172" fontId="11" fillId="0" borderId="9" applyAlignment="1" pivotButton="0" quotePrefix="0" xfId="0">
      <alignment horizontal="right" vertical="center"/>
    </xf>
    <xf numFmtId="171" fontId="11" fillId="0" borderId="9" applyAlignment="1" pivotButton="0" quotePrefix="0" xfId="0">
      <alignment horizontal="right" vertical="center"/>
    </xf>
    <xf numFmtId="176" fontId="18" fillId="0" borderId="9" applyAlignment="1" pivotButton="0" quotePrefix="0" xfId="0">
      <alignment horizontal="right" vertical="center"/>
    </xf>
    <xf numFmtId="172" fontId="18" fillId="0" borderId="9" applyAlignment="1" pivotButton="0" quotePrefix="0" xfId="0">
      <alignment horizontal="right" vertical="center"/>
    </xf>
    <xf numFmtId="171" fontId="18" fillId="0" borderId="9" applyAlignment="1" pivotButton="0" quotePrefix="0" xfId="0">
      <alignment horizontal="right" vertical="center"/>
    </xf>
  </cellXfs>
  <cellStyles count="4">
    <cellStyle name="Normal" xfId="0" builtinId="0"/>
    <cellStyle name="Pourcentage" xfId="1" builtinId="5"/>
    <cellStyle name="Milliers" xfId="2" builtinId="3"/>
    <cellStyle name="Milliers 2" xfId="3"/>
  </cellStyles>
  <dxfs count="2">
    <dxf>
      <font>
        <b val="1"/>
        <color rgb="FFC0392B"/>
      </font>
    </dxf>
    <dxf>
      <font>
        <b val="1"/>
        <color rgb="FF2E7D4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146749</colOff>
      <row>0</row>
      <rowOff>52388</rowOff>
    </from>
    <to>
      <col>1</col>
      <colOff>1874162</colOff>
      <row>1</row>
      <rowOff>503987</rowOff>
    </to>
    <pic>
      <nvPicPr>
        <cNvPr id="3" name="Image 2"/>
        <cNvPicPr>
          <a:picLocks noChangeAspect="1" noChangeArrowheads="1"/>
        </cNvPicPr>
      </nvPicPr>
      <blipFill rotWithShape="1">
        <a:blip cstate="print" r:embed="rId1"/>
        <a:srcRect t="18675" b="33829"/>
        <a:stretch>
          <a:fillRect/>
        </a:stretch>
      </blipFill>
      <spPr bwMode="auto">
        <a:xfrm>
          <a:off x="146749" y="52388"/>
          <a:ext cx="1913151" cy="67543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530503</colOff>
      <row>16</row>
      <rowOff>57150</rowOff>
    </from>
    <to>
      <col>2</col>
      <colOff>895640</colOff>
      <row>17</row>
      <rowOff>201035</rowOff>
    </to>
    <pic>
      <nvPicPr>
        <cNvPr id="4" name="Picture 18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964266" y="3471863"/>
          <a:ext cx="360375" cy="3677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742269</colOff>
      <row>1</row>
      <rowOff>79353</rowOff>
    </from>
    <to>
      <col>6</col>
      <colOff>1285875</colOff>
      <row>1</row>
      <rowOff>638180</rowOff>
    </to>
    <pic>
      <nvPicPr>
        <cNvPr id="5" name="Picture 1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9384619" y="314303"/>
          <a:ext cx="543606" cy="55882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1738312</colOff>
      <row>27</row>
      <rowOff>95824</rowOff>
    </from>
    <to>
      <col>1</col>
      <colOff>2057398</colOff>
      <row>28</row>
      <rowOff>182694</rowOff>
    </to>
    <pic>
      <nvPicPr>
        <cNvPr id="6" name="Picture 1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924050" y="5425062"/>
          <a:ext cx="314324" cy="31547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0</row>
      <rowOff>133206</rowOff>
    </from>
    <to>
      <col>3</col>
      <colOff>181909</colOff>
      <row>1</row>
      <rowOff>580620</rowOff>
    </to>
    <pic>
      <nvPicPr>
        <cNvPr id="3" name="Image 2"/>
        <cNvPicPr>
          <a:picLocks noChangeAspect="1" noChangeArrowheads="1"/>
        </cNvPicPr>
      </nvPicPr>
      <blipFill rotWithShape="1">
        <a:blip cstate="print" r:embed="rId1"/>
        <a:srcRect t="18675" b="33829"/>
        <a:stretch>
          <a:fillRect/>
        </a:stretch>
      </blipFill>
      <spPr bwMode="auto">
        <a:xfrm>
          <a:off x="292100" y="133206"/>
          <a:ext cx="1890059" cy="682364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showRowColHeaders="0" tabSelected="1" zoomScaleNormal="100" workbookViewId="0">
      <selection activeCell="B11" sqref="B11"/>
    </sheetView>
  </sheetViews>
  <sheetFormatPr baseColWidth="10" defaultRowHeight="14.25"/>
  <cols>
    <col width="2.59765625" customWidth="1" min="1" max="1"/>
    <col width="44.53125" customWidth="1" min="2" max="2"/>
    <col width="17.46484375" customWidth="1" min="3" max="3"/>
    <col width="19.06640625" bestFit="1" customWidth="1" min="4" max="4"/>
    <col width="22.9296875" customWidth="1" min="5" max="5"/>
    <col width="17.06640625" bestFit="1" customWidth="1" min="6" max="6"/>
    <col width="19.796875" bestFit="1" customWidth="1" min="7" max="7"/>
    <col width="2" customWidth="1" min="8" max="8"/>
    <col width="3.73046875" customWidth="1" min="9" max="9"/>
    <col width="15.796875" customWidth="1" min="10" max="10"/>
    <col width="16.9296875" customWidth="1" min="11" max="11"/>
  </cols>
  <sheetData>
    <row r="1" ht="18" customHeight="1">
      <c r="N1" s="73" t="n"/>
      <c r="O1" s="76" t="inlineStr">
        <is>
          <t>code scénario -&gt;</t>
        </is>
      </c>
      <c r="P1" s="77">
        <f>IF($C$4="Cadrage","V01",IF($C$4="Optimiste","V02","V03"))</f>
        <v/>
      </c>
    </row>
    <row r="2" ht="57.95" customHeight="1" thickBot="1">
      <c r="B2" s="14" t="n"/>
      <c r="C2" s="111" t="inlineStr">
        <is>
          <t>POSTE DE COMMANDE CFO  —  Cadrage CA &amp; EBITDA 2027</t>
        </is>
      </c>
      <c r="D2" s="13" t="n"/>
      <c r="E2" s="13" t="n"/>
      <c r="F2" s="13" t="n"/>
      <c r="G2" s="13" t="n"/>
    </row>
    <row r="3" ht="14.65" customHeight="1" thickTop="1">
      <c r="J3" s="1" t="n"/>
    </row>
    <row r="4" ht="15.75" customHeight="1">
      <c r="B4" s="105" t="inlineStr">
        <is>
          <t>Scenario actif :</t>
        </is>
      </c>
      <c r="C4" s="117" t="inlineStr">
        <is>
          <t>Cadrage</t>
        </is>
      </c>
      <c r="E4" s="106" t="inlineStr">
        <is>
          <t>Objectif EBITDA (amél. vs 2026) :</t>
        </is>
      </c>
      <c r="F4" s="125" t="n">
        <v>0.065</v>
      </c>
      <c r="I4" s="1" t="n"/>
    </row>
    <row r="5">
      <c r="B5" s="9" t="n"/>
      <c r="E5" s="106" t="inlineStr">
        <is>
          <t>(marge : constat — plus une saisie)</t>
        </is>
      </c>
      <c r="F5" s="126" t="n">
        <v>0.15</v>
      </c>
    </row>
    <row r="7" ht="18.4" customHeight="1" thickBot="1">
      <c r="B7" s="100" t="inlineStr">
        <is>
          <t>Reconciliation  —  Reference  ·  Cible  ·  Construit (scenario actif)</t>
        </is>
      </c>
      <c r="C7" s="15" t="n"/>
      <c r="D7" s="15" t="n"/>
      <c r="E7" s="15" t="n"/>
      <c r="F7" s="15" t="n"/>
      <c r="G7" s="15" t="n"/>
      <c r="J7" s="107" t="inlineStr">
        <is>
          <t>Coeff prix par marque (decision)</t>
        </is>
      </c>
      <c r="K7" s="32" t="n"/>
    </row>
    <row r="8" ht="14.65" customHeight="1" thickTop="1"/>
    <row r="9">
      <c r="B9" s="101" t="inlineStr">
        <is>
          <t>Indicateur</t>
        </is>
      </c>
      <c r="C9" s="101" t="inlineStr">
        <is>
          <t>Reference</t>
        </is>
      </c>
      <c r="D9" s="101" t="inlineStr">
        <is>
          <t>Objectif</t>
        </is>
      </c>
      <c r="E9" s="101" t="inlineStr">
        <is>
          <t>Construit</t>
        </is>
      </c>
      <c r="F9" s="101" t="inlineStr">
        <is>
          <t>Ecart</t>
        </is>
      </c>
      <c r="G9" s="101" t="inlineStr">
        <is>
          <t>Ecart %</t>
        </is>
      </c>
      <c r="J9" s="101" t="inlineStr">
        <is>
          <t>Marque</t>
        </is>
      </c>
      <c r="K9" s="101" t="inlineStr">
        <is>
          <t>Coeff prix</t>
        </is>
      </c>
    </row>
    <row r="10" hidden="1">
      <c r="B10" s="22" t="n"/>
      <c r="C10" s="23" t="inlineStr">
        <is>
          <t>Forecast 2026</t>
        </is>
      </c>
      <c r="D10" s="22" t="n"/>
      <c r="E10" s="22" t="n"/>
      <c r="F10" s="22" t="n"/>
      <c r="G10" s="22" t="n"/>
      <c r="H10" s="22" t="n"/>
      <c r="I10" s="22" t="n"/>
    </row>
    <row r="11" ht="15.75" customHeight="1">
      <c r="B11" s="102" t="inlineStr">
        <is>
          <t>Chiffre d'affaires</t>
        </is>
      </c>
      <c r="C11" s="127" t="n">
        <v>23098985</v>
      </c>
      <c r="D11" s="128" t="inlineStr">
        <is>
          <t>—</t>
        </is>
      </c>
      <c r="E11" s="48">
        <f>SUMIFS(Moteur!$R$1:$R$200,Moteur!$B$1:$B$200,Cadrage!$P$1)</f>
        <v/>
      </c>
      <c r="F11" s="129">
        <f>E11-C11</f>
        <v/>
      </c>
      <c r="G11" s="130">
        <f>IFERROR(E11/C11-1,0)</f>
        <v/>
      </c>
      <c r="J11" s="108" t="inlineStr">
        <is>
          <t>MBway</t>
        </is>
      </c>
      <c r="K11" s="34" t="n">
        <v>1.2</v>
      </c>
    </row>
    <row r="12" ht="15.75" customHeight="1">
      <c r="B12" s="102" t="inlineStr">
        <is>
          <t>EBITDA</t>
        </is>
      </c>
      <c r="C12" s="127" t="n">
        <v>3845790</v>
      </c>
      <c r="D12" s="128">
        <f>C12*(1+Cadrage!$F$4)</f>
        <v/>
      </c>
      <c r="E12" s="48">
        <f>SUMIFS(_CALC_PNL!$T$1:$T$1347,_CALC_PNL!$D$1:$D$1347,Cadrage!$P$1,_CALC_PNL!$C$1:$C$1347,"2027")</f>
        <v/>
      </c>
      <c r="F12" s="129">
        <f>E12-D12</f>
        <v/>
      </c>
      <c r="G12" s="130">
        <f>IFERROR(E12/D12-1,0)</f>
        <v/>
      </c>
      <c r="J12" s="108" t="inlineStr">
        <is>
          <t>ISCOM</t>
        </is>
      </c>
      <c r="K12" s="34" t="n">
        <v>1.15</v>
      </c>
    </row>
    <row r="13" ht="23.25" customHeight="1">
      <c r="B13" s="102" t="inlineStr">
        <is>
          <t>Marge EBITDA %</t>
        </is>
      </c>
      <c r="C13" s="131">
        <f>IFERROR(C12/C11, 0)</f>
        <v/>
      </c>
      <c r="D13" s="132" t="inlineStr">
        <is>
          <t>—</t>
        </is>
      </c>
      <c r="E13" s="133">
        <f>IFERROR(E12/E11,0)</f>
        <v/>
      </c>
      <c r="F13" s="134">
        <f>E13-C13</f>
        <v/>
      </c>
      <c r="G13" s="130">
        <f>IFERROR(E13-C13,0)</f>
        <v/>
      </c>
      <c r="J13" s="108" t="inlineStr">
        <is>
          <t>Ipac Bachelor Factory</t>
        </is>
      </c>
      <c r="K13" s="34" t="n">
        <v>0.95</v>
      </c>
    </row>
    <row r="14" ht="15.75" customHeight="1">
      <c r="B14" s="102" t="inlineStr">
        <is>
          <t>Effectif</t>
        </is>
      </c>
      <c r="C14" s="135" t="n">
        <v>3114</v>
      </c>
      <c r="D14" s="52" t="n"/>
      <c r="E14" s="48">
        <f>SUMIFS(Moteur!$P$1:$P$200,Moteur!$B$1:$B$200,Cadrage!$P$1)</f>
        <v/>
      </c>
      <c r="F14" s="136">
        <f>E14-C14</f>
        <v/>
      </c>
      <c r="G14" s="130">
        <f>IFERROR(E14/C14-1,0)</f>
        <v/>
      </c>
      <c r="J14" s="108" t="inlineStr">
        <is>
          <t>Pigier</t>
        </is>
      </c>
      <c r="K14" s="34" t="n">
        <v>0.9</v>
      </c>
    </row>
    <row r="15">
      <c r="J15" s="108" t="inlineStr">
        <is>
          <t>Tunon</t>
        </is>
      </c>
      <c r="K15" s="34" t="n">
        <v>1.05</v>
      </c>
    </row>
    <row r="16">
      <c r="B16" s="1" t="n"/>
    </row>
    <row r="17" ht="18" customHeight="1">
      <c r="B17" s="16" t="n"/>
      <c r="C17" s="16" t="n"/>
      <c r="D17" s="16" t="n"/>
      <c r="E17" s="16" t="n"/>
      <c r="F17" s="16" t="n"/>
    </row>
    <row r="18" ht="18.4" customHeight="1" thickBot="1">
      <c r="B18" s="100" t="inlineStr">
        <is>
          <t>Leviers de CROISSANCE / REVENUS</t>
        </is>
      </c>
      <c r="C18" s="17" t="n"/>
      <c r="D18" s="17" t="n"/>
      <c r="E18" s="17" t="n"/>
      <c r="F18" s="17" t="n"/>
    </row>
    <row r="19" ht="14.65" customHeight="1" thickTop="1"/>
    <row r="20" ht="24.75" customHeight="1">
      <c r="B20" s="101" t="inlineStr">
        <is>
          <t>Paramètre</t>
        </is>
      </c>
      <c r="C20" s="35">
        <f>C21</f>
        <v/>
      </c>
      <c r="D20" s="35">
        <f>D21</f>
        <v/>
      </c>
      <c r="E20" s="35">
        <f>E21</f>
        <v/>
      </c>
      <c r="F20" s="101" t="inlineStr">
        <is>
          <t>ACTIF (scenario)</t>
        </is>
      </c>
    </row>
    <row r="21" hidden="1">
      <c r="B21" s="22" t="n"/>
      <c r="C21" s="23" t="inlineStr">
        <is>
          <t>Cadrage</t>
        </is>
      </c>
      <c r="D21" s="23" t="inlineStr">
        <is>
          <t>Optimiste</t>
        </is>
      </c>
      <c r="E21" s="23" t="inlineStr">
        <is>
          <t>Prudent</t>
        </is>
      </c>
      <c r="F21" s="22" t="n"/>
    </row>
    <row r="22">
      <c r="B22" s="102" t="inlineStr">
        <is>
          <t>Variation du budget d'acquisition → leads payants</t>
        </is>
      </c>
      <c r="C22" s="125" t="n">
        <v>0.08</v>
      </c>
      <c r="D22" s="125" t="n">
        <v>0.15</v>
      </c>
      <c r="E22" s="125" t="n">
        <v>-0.05</v>
      </c>
      <c r="F22" s="137">
        <f>INDEX(C22:E22,MATCH(Cadrage!$C$4,$C$21:$E$21,0))</f>
        <v/>
      </c>
    </row>
    <row r="23">
      <c r="B23" s="102" t="inlineStr">
        <is>
          <t>Variation du budget de marque → socle organique</t>
        </is>
      </c>
      <c r="C23" s="125" t="n">
        <v>0.1</v>
      </c>
      <c r="D23" s="125" t="n">
        <v>0.15</v>
      </c>
      <c r="E23" s="125" t="n">
        <v>-0.05</v>
      </c>
      <c r="F23" s="137">
        <f>INDEX(C23:E23,MATCH(Cadrage!$C$4,$C$21:$E$21,0))</f>
        <v/>
      </c>
    </row>
    <row r="24">
      <c r="B24" s="102" t="inlineStr">
        <is>
          <t>Hausse tarifaire (prix)</t>
        </is>
      </c>
      <c r="C24" s="125" t="n">
        <v>0.0029</v>
      </c>
      <c r="D24" s="125" t="n">
        <v>0.035</v>
      </c>
      <c r="E24" s="125" t="n">
        <v>0.02</v>
      </c>
      <c r="F24" s="137">
        <f>INDEX(C24:E24,MATCH(Cadrage!$C$4,$C$21:$E$21,0))</f>
        <v/>
      </c>
    </row>
    <row r="25">
      <c r="B25" s="102" t="inlineStr">
        <is>
          <t>Gain du taux de conversion Lead → Candidature</t>
        </is>
      </c>
      <c r="C25" s="125" t="n">
        <v>0.01</v>
      </c>
      <c r="D25" s="125" t="n">
        <v>0.03</v>
      </c>
      <c r="E25" s="125" t="n">
        <v>-0.01</v>
      </c>
      <c r="F25" s="137">
        <f>INDEX(C25:E25,MATCH(Cadrage!$C$4,$C$21:$E$21,0))</f>
        <v/>
      </c>
    </row>
    <row r="26">
      <c r="B26" s="102" t="inlineStr">
        <is>
          <t>Gain du taux de conversion Admis → Inscrit</t>
        </is>
      </c>
      <c r="C26" s="125" t="n">
        <v>0.01</v>
      </c>
      <c r="D26" s="125" t="n">
        <v>0.025</v>
      </c>
      <c r="E26" s="125" t="n">
        <v>-0.01</v>
      </c>
      <c r="F26" s="137">
        <f>INDEX(C26:E26,MATCH(Cadrage!$C$4,$C$21:$E$21,0))</f>
        <v/>
      </c>
    </row>
    <row r="27">
      <c r="B27" s="102" t="inlineStr">
        <is>
          <t>Amélioration du taux de passage</t>
        </is>
      </c>
      <c r="C27" s="125" t="n">
        <v>0.005</v>
      </c>
      <c r="D27" s="125" t="n">
        <v>0.015</v>
      </c>
      <c r="E27" s="125" t="n">
        <v>-0.01</v>
      </c>
      <c r="F27" s="137">
        <f>INDEX(C27:E27,MATCH(Cadrage!$C$4,$C$21:$E$21,0))</f>
        <v/>
      </c>
    </row>
    <row r="28" ht="18" customHeight="1">
      <c r="A28" s="138" t="n"/>
      <c r="B28" s="138" t="n"/>
      <c r="C28" s="138" t="n"/>
      <c r="D28" s="138" t="n"/>
      <c r="E28" s="138" t="n"/>
    </row>
    <row r="29" ht="18.4" customHeight="1" thickBot="1">
      <c r="B29" s="103" t="inlineStr">
        <is>
          <t>Leviers de COUTS</t>
        </is>
      </c>
      <c r="C29" s="139" t="n"/>
      <c r="D29" s="139" t="n"/>
      <c r="E29" s="139" t="n"/>
      <c r="F29" s="17" t="n"/>
    </row>
    <row r="30" ht="14.65" customHeight="1" thickTop="1">
      <c r="A30" s="138" t="n"/>
      <c r="B30" s="140" t="n"/>
      <c r="C30" s="138" t="n"/>
      <c r="D30" s="138" t="n"/>
      <c r="E30" s="138" t="n"/>
    </row>
    <row r="31">
      <c r="B31" s="104" t="inlineStr">
        <is>
          <t>Inflation des charges externes</t>
        </is>
      </c>
      <c r="C31" s="125" t="n">
        <v>0.02</v>
      </c>
      <c r="D31" s="125" t="n">
        <v>0.015</v>
      </c>
      <c r="E31" s="125" t="n">
        <v>0.03</v>
      </c>
      <c r="F31" s="137">
        <f>INDEX(C31:E31,MATCH(Cadrage!$C$4,$C$21:$E$21,0))</f>
        <v/>
      </c>
    </row>
    <row r="32">
      <c r="B32" s="104" t="inlineStr">
        <is>
          <t>Politique salariale sur la masse permanente</t>
        </is>
      </c>
      <c r="C32" s="125" t="n">
        <v>0.025</v>
      </c>
      <c r="D32" s="125" t="n">
        <v>0.02</v>
      </c>
      <c r="E32" s="125" t="n">
        <v>0.03</v>
      </c>
      <c r="F32" s="137">
        <f>INDEX(C32:E32,MATCH(Cadrage!$C$4,$C$21:$E$21,0))</f>
        <v/>
      </c>
    </row>
    <row r="33">
      <c r="B33" s="104" t="inlineStr">
        <is>
          <t>Variation des effectifs permanents</t>
        </is>
      </c>
      <c r="C33" s="125" t="n">
        <v>0.04</v>
      </c>
      <c r="D33" s="125" t="n">
        <v>0.03</v>
      </c>
      <c r="E33" s="125" t="n">
        <v>0.05</v>
      </c>
      <c r="F33" s="137">
        <f>INDEX(C33:E33,MATCH(Cadrage!$C$4,$C$21:$E$21,0))</f>
        <v/>
      </c>
    </row>
    <row r="34">
      <c r="B34" s="104" t="inlineStr">
        <is>
          <t>Effort de productivité sur les achats et la structure</t>
        </is>
      </c>
      <c r="C34" s="125" t="n">
        <v>0.0185</v>
      </c>
      <c r="D34" s="125" t="n">
        <v>0.03</v>
      </c>
      <c r="E34" s="125" t="n"/>
      <c r="F34" s="137">
        <f>INDEX(C34:E34,MATCH(Cadrage!$C$4,$C$21:$E$21,0))</f>
        <v/>
      </c>
    </row>
    <row r="35">
      <c r="B35" s="104" t="inlineStr">
        <is>
          <t>Variation des coûts de structure (loyers, IT, siège…)</t>
        </is>
      </c>
      <c r="C35" s="125" t="n"/>
      <c r="D35" s="125" t="n">
        <v>-0.03</v>
      </c>
      <c r="E35" s="125" t="n">
        <v>0.04</v>
      </c>
      <c r="F35" s="137">
        <f>INDEX(C35:E35,MATCH(Cadrage!$C$4,$C$21:$E$21,0))</f>
        <v/>
      </c>
    </row>
    <row r="36">
      <c r="A36" s="138" t="n"/>
      <c r="B36" s="138" t="n"/>
      <c r="C36" s="138" t="n"/>
      <c r="D36" s="138" t="n"/>
      <c r="E36" s="138" t="n"/>
    </row>
    <row r="37" ht="18.4" customHeight="1" thickBot="1">
      <c r="B37" s="19" t="inlineStr">
        <is>
          <t>Constante  —  frais de dossier (decision)</t>
        </is>
      </c>
      <c r="C37" s="17" t="n"/>
      <c r="D37" s="17" t="n"/>
      <c r="E37" s="17" t="n"/>
      <c r="F37" s="17" t="n"/>
    </row>
    <row r="38" ht="14.65" customHeight="1" thickTop="1">
      <c r="B38" s="20" t="n"/>
      <c r="C38" s="20" t="n"/>
      <c r="D38" s="20" t="n"/>
      <c r="E38" s="20" t="n"/>
      <c r="F38" s="20" t="n"/>
    </row>
    <row r="39">
      <c r="B39" s="102" t="inlineStr">
        <is>
          <t>Frais de dossier par nouvel inscrit</t>
        </is>
      </c>
      <c r="C39" s="141" t="n">
        <v>90</v>
      </c>
      <c r="D39" s="141" t="n">
        <v>90</v>
      </c>
      <c r="E39" s="141" t="n">
        <v>90</v>
      </c>
      <c r="F39" s="142">
        <f>INDEX(C39:E39,MATCH(Cadrage!$C$4,$C$21:$E$21,0))</f>
        <v/>
      </c>
    </row>
    <row r="57">
      <c r="G57" s="1" t="n"/>
    </row>
    <row r="58">
      <c r="G58" s="1" t="n"/>
    </row>
    <row r="59" hidden="1"/>
    <row r="60">
      <c r="G60" s="1" t="n"/>
    </row>
    <row r="66" hidden="1"/>
    <row r="67">
      <c r="G67" s="1" t="n"/>
    </row>
    <row r="68">
      <c r="G68" s="1" t="n"/>
    </row>
  </sheetData>
  <conditionalFormatting sqref="F11:G14">
    <cfRule type="cellIs" priority="1" operator="greaterThan" dxfId="1">
      <formula>0</formula>
    </cfRule>
    <cfRule type="cellIs" priority="2" operator="lessThan" dxfId="0">
      <formula>0</formula>
    </cfRule>
  </conditionalFormatting>
  <dataValidations count="1">
    <dataValidation sqref="C4" showDropDown="0" showInputMessage="1" showErrorMessage="1" allowBlank="1" type="list">
      <formula1>"Cadrage,Optimiste,Prudent"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showGridLines="0" showRowColHeaders="0" topLeftCell="A10" zoomScaleNormal="100" workbookViewId="0">
      <selection activeCell="D47" sqref="D47"/>
    </sheetView>
  </sheetViews>
  <sheetFormatPr baseColWidth="10" defaultRowHeight="14.25"/>
  <cols>
    <col width="3.33203125" customWidth="1" style="54" min="1" max="1"/>
    <col width="12.59765625" customWidth="1" min="2" max="4"/>
    <col width="14.33203125" customWidth="1" min="5" max="5"/>
    <col width="12.59765625" customWidth="1" min="6" max="6"/>
    <col width="12.59765625" customWidth="1" style="143" min="7" max="7"/>
    <col width="12.59765625" customWidth="1" style="138" min="8" max="9"/>
    <col width="12.59765625" customWidth="1" style="144" min="10" max="11"/>
    <col hidden="1" width="12.59765625" customWidth="1" style="144" min="12" max="12"/>
    <col width="12.59765625" customWidth="1" style="144" min="13" max="13"/>
    <col width="12.59765625" customWidth="1" style="143" min="14" max="15"/>
    <col width="12.59765625" customWidth="1" min="16" max="19"/>
    <col width="11.796875" bestFit="1" customWidth="1" min="21" max="21"/>
    <col width="13" bestFit="1" customWidth="1" min="22" max="22"/>
    <col width="12.06640625" bestFit="1" customWidth="1" min="23" max="23"/>
  </cols>
  <sheetData>
    <row r="1" ht="18" customHeight="1">
      <c r="O1" s="76" t="inlineStr">
        <is>
          <t>code scénario -&gt;</t>
        </is>
      </c>
      <c r="P1" s="77">
        <f>IF($E$6="Cadrage","V01",IF($E$6="Optimiste","V02","V03"))</f>
        <v/>
      </c>
    </row>
    <row r="2" ht="57.4" customHeight="1">
      <c r="F2" s="43" t="n"/>
      <c r="G2" s="145" t="inlineStr">
        <is>
          <t>PILOTAGE  ·  Cockpit de decision CFO  —  Budget 2027</t>
        </is>
      </c>
    </row>
    <row r="3" ht="3.75" customHeight="1" thickBot="1">
      <c r="B3" s="42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36" t="n"/>
      <c r="R3" s="36" t="n"/>
      <c r="S3" s="36" t="n"/>
    </row>
    <row r="4" ht="14.55" customHeight="1"/>
    <row r="5">
      <c r="G5" s="143" t="n"/>
      <c r="I5" s="138" t="n"/>
      <c r="J5" s="144" t="n"/>
      <c r="K5" s="144" t="n"/>
      <c r="L5" s="144" t="n"/>
      <c r="M5" s="144" t="n"/>
      <c r="N5" s="143" t="n"/>
      <c r="O5" s="143" t="n"/>
    </row>
    <row r="6" ht="15.75" customHeight="1">
      <c r="B6" s="74" t="inlineStr">
        <is>
          <t>Scenario actif :</t>
        </is>
      </c>
      <c r="C6" s="75" t="n"/>
      <c r="D6" s="75" t="n"/>
      <c r="E6" s="117" t="inlineStr">
        <is>
          <t>Cadrage</t>
        </is>
      </c>
      <c r="G6" s="143" t="n"/>
      <c r="I6" s="138" t="n"/>
      <c r="J6" s="144" t="n"/>
      <c r="K6" s="144" t="n"/>
      <c r="L6" s="144" t="n"/>
      <c r="M6" s="144" t="n"/>
      <c r="N6" s="143" t="n"/>
      <c r="O6" s="143" t="n"/>
    </row>
    <row r="7">
      <c r="G7" s="143" t="n"/>
      <c r="I7" s="138" t="n"/>
      <c r="J7" s="144" t="n"/>
      <c r="K7" s="144" t="n"/>
      <c r="L7" s="144" t="n"/>
      <c r="M7" s="144" t="n"/>
      <c r="N7" s="143" t="n"/>
      <c r="O7" s="143" t="n"/>
    </row>
    <row r="8" ht="18" customHeight="1">
      <c r="B8" s="16" t="n"/>
      <c r="C8" s="16" t="n"/>
      <c r="D8" s="16" t="n"/>
      <c r="E8" s="16" t="n"/>
      <c r="F8" s="16" t="n"/>
      <c r="G8" s="146" t="n"/>
      <c r="H8" s="147" t="n"/>
      <c r="I8" s="147" t="n"/>
      <c r="J8" s="148" t="n"/>
      <c r="K8" s="148" t="n"/>
    </row>
    <row r="9" ht="43.25" customHeight="1">
      <c r="B9" s="120" t="inlineStr">
        <is>
          <t>CA 2027</t>
        </is>
      </c>
      <c r="C9" s="149" t="n"/>
      <c r="D9" s="121" t="inlineStr">
        <is>
          <t>EBITDA (apres siege)</t>
        </is>
      </c>
      <c r="E9" s="149" t="n"/>
      <c r="F9" s="122" t="inlineStr">
        <is>
          <t>Marge EBITDA</t>
        </is>
      </c>
      <c r="G9" s="149" t="n"/>
      <c r="H9" s="123" t="inlineStr">
        <is>
          <t>Effectif</t>
        </is>
      </c>
      <c r="I9" s="149" t="n"/>
      <c r="J9" s="124" t="inlineStr">
        <is>
          <t>Croissance CA vs 2026</t>
        </is>
      </c>
      <c r="K9" s="149" t="n"/>
      <c r="U9" s="1" t="n"/>
      <c r="V9" s="1" t="n"/>
    </row>
    <row r="10" ht="30" customHeight="1">
      <c r="B10" s="150">
        <f>E55</f>
        <v/>
      </c>
      <c r="C10" s="70" t="n"/>
      <c r="D10" s="150">
        <f>H55</f>
        <v/>
      </c>
      <c r="E10" s="70" t="n"/>
      <c r="F10" s="151">
        <f>I55</f>
        <v/>
      </c>
      <c r="G10" s="70" t="n"/>
      <c r="H10" s="152">
        <f>D55</f>
        <v/>
      </c>
      <c r="I10" s="70" t="n"/>
      <c r="J10" s="151">
        <f>IFERROR(E55/Cadrage!$C$11-1,0)</f>
        <v/>
      </c>
      <c r="K10" s="70" t="n"/>
    </row>
    <row r="11" ht="14.55" customHeight="1">
      <c r="B11" s="153" t="n"/>
      <c r="C11" s="153" t="n"/>
      <c r="D11" s="153" t="n"/>
      <c r="E11" s="153" t="n"/>
      <c r="F11" s="153" t="n"/>
      <c r="G11" s="153" t="n"/>
      <c r="H11" s="154" t="n"/>
      <c r="I11" s="154" t="n"/>
      <c r="J11" s="154" t="n"/>
      <c r="K11" s="155" t="n"/>
      <c r="L11" s="155" t="n"/>
      <c r="M11" s="155" t="n"/>
      <c r="N11" s="156" t="n"/>
      <c r="O11" s="156" t="n"/>
      <c r="P11" s="156" t="n"/>
      <c r="Q11" s="156" t="n"/>
      <c r="R11" s="156" t="n"/>
      <c r="S11" s="156" t="n"/>
    </row>
    <row r="12" ht="9.4" customHeight="1">
      <c r="B12" s="153">
        <f>"EBITDA vs objectif Cadrage : "&amp;IF(D10&gt;=Cadrage!$D$12,"🟢 tenu (+"&amp;TEXT(D10-Cadrage!$D$12,"#,##0")&amp;" €)","🔴 à combler ("&amp;TEXT(D10-Cadrage!$D$12,"#,##0")&amp;" €)")</f>
        <v/>
      </c>
      <c r="C12" s="153" t="n"/>
      <c r="D12" s="153" t="n"/>
      <c r="E12" s="153" t="n"/>
      <c r="F12" s="153" t="n"/>
      <c r="G12" s="153" t="n"/>
      <c r="H12" s="157" t="n"/>
      <c r="I12" s="157" t="n"/>
      <c r="J12" s="157" t="n"/>
      <c r="K12" s="158" t="n"/>
      <c r="L12" s="158" t="n"/>
      <c r="M12" s="158" t="n"/>
      <c r="N12" s="159" t="n"/>
      <c r="O12" s="159" t="n"/>
      <c r="P12" s="159" t="n"/>
      <c r="Q12" s="159" t="n"/>
      <c r="R12" s="159" t="n"/>
      <c r="S12" s="159" t="n"/>
    </row>
    <row r="13" ht="9.4" customHeight="1">
      <c r="B13" s="153" t="n"/>
      <c r="C13" s="153" t="n"/>
      <c r="D13" s="153" t="n"/>
      <c r="E13" s="153" t="n"/>
      <c r="F13" s="153" t="n"/>
      <c r="G13" s="153" t="n"/>
      <c r="H13" s="157" t="n"/>
      <c r="I13" s="157" t="n"/>
      <c r="J13" s="157" t="n"/>
      <c r="K13" s="158" t="n"/>
      <c r="L13" s="158" t="n"/>
      <c r="M13" s="158" t="n"/>
      <c r="N13" s="159" t="n"/>
      <c r="O13" s="159" t="n"/>
      <c r="P13" s="159" t="n"/>
      <c r="Q13" s="159" t="n"/>
      <c r="R13" s="159" t="n"/>
      <c r="S13" s="159" t="n"/>
    </row>
    <row r="14" ht="9.4" customHeight="1">
      <c r="J14" s="160" t="n"/>
      <c r="K14" s="160" t="n"/>
      <c r="L14" s="160" t="n"/>
      <c r="N14" s="143" t="n"/>
      <c r="O14" s="143" t="n"/>
      <c r="P14" s="143" t="n"/>
    </row>
    <row r="15" ht="14.55" customHeight="1">
      <c r="A15" s="54" t="inlineStr">
        <is>
          <t>COLumn to hide</t>
        </is>
      </c>
      <c r="J15" s="160" t="n"/>
      <c r="K15" s="160" t="n"/>
      <c r="L15" s="160" t="n"/>
      <c r="M15" s="144" t="n"/>
      <c r="N15" s="143" t="n"/>
      <c r="O15" s="143" t="n"/>
    </row>
    <row r="16" ht="18" customHeight="1" thickBot="1">
      <c r="B16" s="110" t="inlineStr">
        <is>
          <t>1 ·  Cap strategique par campus (marque x ville)  —  arbitrage du budget d'acquisition</t>
        </is>
      </c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82" t="n"/>
      <c r="M16" s="82" t="n"/>
      <c r="N16" s="82" t="n"/>
      <c r="O16" s="82" t="n"/>
      <c r="P16" s="82" t="n"/>
      <c r="Q16" s="82" t="n"/>
      <c r="R16" s="82" t="n"/>
      <c r="S16" s="83" t="n"/>
      <c r="U16" s="54" t="n"/>
      <c r="V16" s="54" t="n"/>
      <c r="W16" s="54" t="n"/>
    </row>
    <row r="17">
      <c r="L17" s="161" t="n"/>
      <c r="U17" s="54" t="inlineStr">
        <is>
          <t>à masquer</t>
        </is>
      </c>
      <c r="V17" s="54" t="inlineStr">
        <is>
          <t>à masquer</t>
        </is>
      </c>
      <c r="W17" s="54" t="inlineStr">
        <is>
          <t>à masquer</t>
        </is>
      </c>
    </row>
    <row r="18" ht="27.75" customHeight="1">
      <c r="A18" s="78" t="inlineStr">
        <is>
          <t>Campus</t>
        </is>
      </c>
      <c r="B18" s="113" t="inlineStr">
        <is>
          <t>Marque</t>
        </is>
      </c>
      <c r="C18" s="113" t="inlineStr">
        <is>
          <t>Ville</t>
        </is>
      </c>
      <c r="D18" s="84" t="inlineStr">
        <is>
          <t>CAC marginal</t>
        </is>
      </c>
      <c r="E18" s="84" t="inlineStr">
        <is>
          <t>Croiss. leads</t>
        </is>
      </c>
      <c r="F18" s="84" t="inlineStr">
        <is>
          <t>Intensité mkt</t>
        </is>
      </c>
      <c r="G18" s="84" t="inlineStr">
        <is>
          <t>Cap Eff</t>
        </is>
      </c>
      <c r="H18" s="84" t="inlineStr">
        <is>
          <t>Cap mom.</t>
        </is>
      </c>
      <c r="I18" s="85" t="inlineStr">
        <is>
          <t>Cap pot.</t>
        </is>
      </c>
      <c r="J18" s="84" t="inlineStr">
        <is>
          <t>Cap retenu</t>
        </is>
      </c>
      <c r="K18" s="85" t="inlineStr">
        <is>
          <t>Budget acq réf.</t>
        </is>
      </c>
      <c r="L18" s="162" t="inlineStr">
        <is>
          <t>Entity</t>
        </is>
      </c>
      <c r="U18" s="54" t="inlineStr">
        <is>
          <t>CAP_EFF (live)</t>
        </is>
      </c>
      <c r="V18" s="54" t="inlineStr">
        <is>
          <t>CAP_MOM (live)</t>
        </is>
      </c>
      <c r="W18" s="54" t="inlineStr">
        <is>
          <t>CAP_POT (live)</t>
        </is>
      </c>
    </row>
    <row r="19">
      <c r="A19" s="57" t="inlineStr">
        <is>
          <t>MBWAY_PAR</t>
        </is>
      </c>
      <c r="B19" s="114" t="inlineStr">
        <is>
          <t>MBway</t>
        </is>
      </c>
      <c r="C19" s="114" t="inlineStr">
        <is>
          <t>Paris</t>
        </is>
      </c>
      <c r="D19" s="163" t="n">
        <v>1475.012479769</v>
      </c>
      <c r="E19" s="164" t="n">
        <v>0.110736368</v>
      </c>
      <c r="F19" s="164" t="n">
        <v>0.021756763</v>
      </c>
      <c r="G19" s="88" t="n">
        <v>0.814980797</v>
      </c>
      <c r="H19" s="88" t="n">
        <v>1.059705386</v>
      </c>
      <c r="I19" s="88" t="n">
        <v>0.864730651</v>
      </c>
      <c r="J19" s="165" t="n">
        <v>1</v>
      </c>
      <c r="K19" s="163" t="n">
        <v>68291</v>
      </c>
      <c r="L19" s="119" t="inlineStr">
        <is>
          <t>MBWAY_PAR</t>
        </is>
      </c>
      <c r="O19" s="166" t="n"/>
    </row>
    <row r="20">
      <c r="A20" s="57" t="inlineStr">
        <is>
          <t>MBWAY_LYO</t>
        </is>
      </c>
      <c r="B20" s="114" t="inlineStr">
        <is>
          <t>MBway</t>
        </is>
      </c>
      <c r="C20" s="115" t="inlineStr">
        <is>
          <t>Lyon</t>
        </is>
      </c>
      <c r="D20" s="163" t="n">
        <v>1101.595038605</v>
      </c>
      <c r="E20" s="164" t="n">
        <v>0.118871725</v>
      </c>
      <c r="F20" s="164" t="n">
        <v>0.016735257</v>
      </c>
      <c r="G20" s="88" t="n">
        <v>1.091242067</v>
      </c>
      <c r="H20" s="88" t="n">
        <v>1.137557694</v>
      </c>
      <c r="I20" s="88" t="n">
        <v>1.124197873</v>
      </c>
      <c r="J20" s="165" t="n">
        <v>1</v>
      </c>
      <c r="K20" s="163" t="n">
        <v>41783</v>
      </c>
      <c r="L20" s="162" t="inlineStr">
        <is>
          <t>MBWAY_LYO</t>
        </is>
      </c>
    </row>
    <row r="21">
      <c r="A21" s="57" t="inlineStr">
        <is>
          <t>MBWAY_NAN</t>
        </is>
      </c>
      <c r="B21" s="114" t="inlineStr">
        <is>
          <t>MBway</t>
        </is>
      </c>
      <c r="C21" s="114" t="inlineStr">
        <is>
          <t>Nantes</t>
        </is>
      </c>
      <c r="D21" s="163" t="n">
        <v>963.56901165</v>
      </c>
      <c r="E21" s="164" t="n">
        <v>0.123795404</v>
      </c>
      <c r="F21" s="164" t="n">
        <v>0.014610109</v>
      </c>
      <c r="G21" s="88" t="n">
        <v>1.247556566</v>
      </c>
      <c r="H21" s="88" t="n">
        <v>1.18467544</v>
      </c>
      <c r="I21" s="88" t="n">
        <v>1.28772067</v>
      </c>
      <c r="J21" s="165" t="n">
        <v>1</v>
      </c>
      <c r="K21" s="163" t="n">
        <v>31533</v>
      </c>
      <c r="L21" s="162" t="inlineStr">
        <is>
          <t>MBWAY_NAN</t>
        </is>
      </c>
    </row>
    <row r="22">
      <c r="A22" s="57" t="inlineStr">
        <is>
          <t>MBWAY_BOR</t>
        </is>
      </c>
      <c r="B22" s="114" t="inlineStr">
        <is>
          <t>MBway</t>
        </is>
      </c>
      <c r="C22" s="114" t="inlineStr">
        <is>
          <t>Bordeaux</t>
        </is>
      </c>
      <c r="D22" s="163" t="n">
        <v>889.585343433</v>
      </c>
      <c r="E22" s="164" t="n">
        <v>0.12609457</v>
      </c>
      <c r="F22" s="164" t="n">
        <v>0.01405213</v>
      </c>
      <c r="G22" s="88" t="n">
        <v>1.351311435</v>
      </c>
      <c r="H22" s="88" t="n">
        <v>1.206677603</v>
      </c>
      <c r="I22" s="88" t="n">
        <v>1.338853192</v>
      </c>
      <c r="J22" s="165" t="n">
        <v>1</v>
      </c>
      <c r="K22" s="163" t="n">
        <v>24923</v>
      </c>
      <c r="L22" s="162" t="inlineStr">
        <is>
          <t>MBWAY_BOR</t>
        </is>
      </c>
    </row>
    <row r="23">
      <c r="A23" s="57" t="inlineStr">
        <is>
          <t>ISCOM_PAR</t>
        </is>
      </c>
      <c r="B23" s="114" t="inlineStr">
        <is>
          <t>ISCOM</t>
        </is>
      </c>
      <c r="C23" s="114" t="inlineStr">
        <is>
          <t>Paris</t>
        </is>
      </c>
      <c r="D23" s="163" t="n">
        <v>1540.321235494</v>
      </c>
      <c r="E23" s="164" t="n">
        <v>0.077744807</v>
      </c>
      <c r="F23" s="164" t="n">
        <v>0.020902665</v>
      </c>
      <c r="G23" s="88" t="n">
        <v>0.780426069</v>
      </c>
      <c r="H23" s="88" t="n">
        <v>0.743988554</v>
      </c>
      <c r="I23" s="88" t="n">
        <v>0.900064193</v>
      </c>
      <c r="J23" s="165" t="n">
        <v>1</v>
      </c>
      <c r="K23" s="163" t="n">
        <v>60800</v>
      </c>
      <c r="L23" s="162" t="inlineStr">
        <is>
          <t>ISCOM_PAR</t>
        </is>
      </c>
    </row>
    <row r="24">
      <c r="A24" s="57" t="inlineStr">
        <is>
          <t>ISCOM_LIL</t>
        </is>
      </c>
      <c r="B24" s="114" t="inlineStr">
        <is>
          <t>ISCOM</t>
        </is>
      </c>
      <c r="C24" s="114" t="inlineStr">
        <is>
          <t>Lille</t>
        </is>
      </c>
      <c r="D24" s="163" t="n">
        <v>978.582537356</v>
      </c>
      <c r="E24" s="164" t="n">
        <v>0.081545064</v>
      </c>
      <c r="F24" s="164" t="n">
        <v>0.014363413</v>
      </c>
      <c r="G24" s="88" t="n">
        <v>1.22841641</v>
      </c>
      <c r="H24" s="88" t="n">
        <v>0.780355586</v>
      </c>
      <c r="I24" s="88" t="n">
        <v>1.309837671</v>
      </c>
      <c r="J24" s="165" t="n">
        <v>1</v>
      </c>
      <c r="K24" s="163" t="n">
        <v>25220</v>
      </c>
      <c r="L24" s="162" t="inlineStr">
        <is>
          <t>ISCOM_LIL</t>
        </is>
      </c>
    </row>
    <row r="25">
      <c r="A25" s="57" t="inlineStr">
        <is>
          <t>ISCOM_TLS</t>
        </is>
      </c>
      <c r="B25" s="114" t="inlineStr">
        <is>
          <t>ISCOM</t>
        </is>
      </c>
      <c r="C25" s="114" t="inlineStr">
        <is>
          <t>Toulouse</t>
        </is>
      </c>
      <c r="D25" s="163" t="n">
        <v>919.034906823</v>
      </c>
      <c r="E25" s="164" t="n">
        <v>0.082116788</v>
      </c>
      <c r="F25" s="164" t="n">
        <v>0.013564662</v>
      </c>
      <c r="G25" s="88" t="n">
        <v>1.308009999</v>
      </c>
      <c r="H25" s="88" t="n">
        <v>0.785826769</v>
      </c>
      <c r="I25" s="88" t="n">
        <v>1.386967037</v>
      </c>
      <c r="J25" s="165" t="n">
        <v>1</v>
      </c>
      <c r="K25" s="163" t="n">
        <v>22083</v>
      </c>
      <c r="L25" s="162" t="inlineStr">
        <is>
          <t>ISCOM_TLS</t>
        </is>
      </c>
    </row>
    <row r="26">
      <c r="A26" s="57" t="inlineStr">
        <is>
          <t>IPAC_NAN</t>
        </is>
      </c>
      <c r="B26" s="114" t="inlineStr">
        <is>
          <t>Ipac</t>
        </is>
      </c>
      <c r="C26" s="114" t="inlineStr">
        <is>
          <t>Nantes</t>
        </is>
      </c>
      <c r="D26" s="163" t="n">
        <v>1216.282964718</v>
      </c>
      <c r="E26" s="164" t="n">
        <v>0.137884872</v>
      </c>
      <c r="F26" s="164" t="n">
        <v>0.021343795</v>
      </c>
      <c r="G26" s="88" t="n">
        <v>0.988344721</v>
      </c>
      <c r="H26" s="88" t="n">
        <v>1.319506356</v>
      </c>
      <c r="I26" s="88" t="n">
        <v>0.88146178</v>
      </c>
      <c r="J26" s="165" t="n">
        <v>1</v>
      </c>
      <c r="K26" s="163" t="n">
        <v>21760</v>
      </c>
      <c r="L26" s="162" t="inlineStr">
        <is>
          <t>IPAC_NAN</t>
        </is>
      </c>
    </row>
    <row r="27">
      <c r="A27" s="57" t="inlineStr">
        <is>
          <t>IPAC_REN</t>
        </is>
      </c>
      <c r="B27" s="114" t="inlineStr">
        <is>
          <t>Ipac</t>
        </is>
      </c>
      <c r="C27" s="114" t="inlineStr">
        <is>
          <t>Rennes</t>
        </is>
      </c>
      <c r="D27" s="163" t="n">
        <v>1040.548379667</v>
      </c>
      <c r="E27" s="164" t="n">
        <v>0.144781144</v>
      </c>
      <c r="F27" s="164" t="n">
        <v>0.019104458</v>
      </c>
      <c r="G27" s="88" t="n">
        <v>1.155262812</v>
      </c>
      <c r="H27" s="88" t="n">
        <v>1.385501084</v>
      </c>
      <c r="I27" s="88" t="n">
        <v>0.984782708</v>
      </c>
      <c r="J27" s="165" t="n">
        <v>1</v>
      </c>
      <c r="K27" s="163" t="n">
        <v>14933</v>
      </c>
      <c r="L27" s="162" t="inlineStr">
        <is>
          <t>IPAC_REN</t>
        </is>
      </c>
    </row>
    <row r="28">
      <c r="A28" s="57" t="inlineStr">
        <is>
          <t>IPAC_MTP</t>
        </is>
      </c>
      <c r="B28" s="114" t="inlineStr">
        <is>
          <t>Ipac</t>
        </is>
      </c>
      <c r="C28" s="114" t="inlineStr">
        <is>
          <t>Montpellier</t>
        </is>
      </c>
      <c r="D28" s="163" t="n">
        <v>1033.975700607</v>
      </c>
      <c r="E28" s="164" t="n">
        <v>0.144781144</v>
      </c>
      <c r="F28" s="164" t="n">
        <v>0.019417898</v>
      </c>
      <c r="G28" s="88" t="n">
        <v>1.162606477</v>
      </c>
      <c r="H28" s="88" t="n">
        <v>1.385501084</v>
      </c>
      <c r="I28" s="88" t="n">
        <v>0.968886558</v>
      </c>
      <c r="J28" s="165" t="n">
        <v>1</v>
      </c>
      <c r="K28" s="163" t="n">
        <v>15178</v>
      </c>
      <c r="L28" s="162" t="inlineStr">
        <is>
          <t>IPAC_MTP</t>
        </is>
      </c>
    </row>
    <row r="29">
      <c r="A29" s="57" t="inlineStr">
        <is>
          <t>PIGIER_LYO</t>
        </is>
      </c>
      <c r="B29" s="114" t="inlineStr">
        <is>
          <t>Pigier</t>
        </is>
      </c>
      <c r="C29" s="114" t="inlineStr">
        <is>
          <t>Lyon</t>
        </is>
      </c>
      <c r="D29" s="163" t="n">
        <v>1704.963778272</v>
      </c>
      <c r="E29" s="164" t="n">
        <v>0.08500345500000001</v>
      </c>
      <c r="F29" s="164" t="n">
        <v>0.029279527</v>
      </c>
      <c r="G29" s="88" t="n">
        <v>0.705062983</v>
      </c>
      <c r="H29" s="88" t="n">
        <v>0.813451087</v>
      </c>
      <c r="I29" s="88" t="n">
        <v>0.6425561400000001</v>
      </c>
      <c r="J29" s="165" t="n">
        <v>1</v>
      </c>
      <c r="K29" s="163" t="n">
        <v>36612</v>
      </c>
      <c r="L29" s="162" t="inlineStr">
        <is>
          <t>PIGIER_LYO</t>
        </is>
      </c>
    </row>
    <row r="30">
      <c r="A30" s="57" t="inlineStr">
        <is>
          <t>PIGIER_BOR</t>
        </is>
      </c>
      <c r="B30" s="114" t="inlineStr">
        <is>
          <t>Pigier</t>
        </is>
      </c>
      <c r="C30" s="114" t="inlineStr">
        <is>
          <t>Bordeaux</t>
        </is>
      </c>
      <c r="D30" s="163" t="n">
        <v>1368.076078259</v>
      </c>
      <c r="E30" s="164" t="n">
        <v>0.087533156</v>
      </c>
      <c r="F30" s="164" t="n">
        <v>0.024360438</v>
      </c>
      <c r="G30" s="88" t="n">
        <v>0.878684209</v>
      </c>
      <c r="H30" s="88" t="n">
        <v>0.837659375</v>
      </c>
      <c r="I30" s="88" t="n">
        <v>0.772307126</v>
      </c>
      <c r="J30" s="165" t="n">
        <v>1</v>
      </c>
      <c r="K30" s="163" t="n">
        <v>21968</v>
      </c>
      <c r="L30" s="162" t="inlineStr">
        <is>
          <t>PIGIER_BOR</t>
        </is>
      </c>
    </row>
    <row r="31">
      <c r="A31" s="57" t="inlineStr">
        <is>
          <t>TUNON_PAR</t>
        </is>
      </c>
      <c r="B31" s="114" t="inlineStr">
        <is>
          <t>Tunon</t>
        </is>
      </c>
      <c r="C31" s="114" t="inlineStr">
        <is>
          <t>Paris</t>
        </is>
      </c>
      <c r="D31" s="163" t="n">
        <v>2192.892750688</v>
      </c>
      <c r="E31" s="164" t="n">
        <v>0.06951871599999999</v>
      </c>
      <c r="F31" s="164" t="n">
        <v>0.027841458</v>
      </c>
      <c r="G31" s="88" t="n">
        <v>0.548183146</v>
      </c>
      <c r="H31" s="88" t="n">
        <v>0.665267962</v>
      </c>
      <c r="I31" s="88" t="n">
        <v>0.675745507</v>
      </c>
      <c r="J31" s="165" t="n">
        <v>1</v>
      </c>
      <c r="K31" s="163" t="n">
        <v>30240</v>
      </c>
      <c r="L31" s="162" t="inlineStr">
        <is>
          <t>TUNON_PAR</t>
        </is>
      </c>
    </row>
    <row r="32">
      <c r="A32" s="57" t="inlineStr">
        <is>
          <t>TUNON_LYO</t>
        </is>
      </c>
      <c r="B32" s="114" t="inlineStr">
        <is>
          <t>Tunon</t>
        </is>
      </c>
      <c r="C32" s="114" t="inlineStr">
        <is>
          <t>Lyon</t>
        </is>
      </c>
      <c r="D32" s="163" t="n">
        <v>1624.66125095</v>
      </c>
      <c r="E32" s="164" t="n">
        <v>0.072555205</v>
      </c>
      <c r="F32" s="164" t="n">
        <v>0.021828498</v>
      </c>
      <c r="G32" s="88" t="n">
        <v>0.739912302</v>
      </c>
      <c r="H32" s="88" t="n">
        <v>0.694326014</v>
      </c>
      <c r="I32" s="88" t="n">
        <v>0.861888887</v>
      </c>
      <c r="J32" s="165" t="n">
        <v>1</v>
      </c>
      <c r="K32" s="163" t="n">
        <v>18850</v>
      </c>
      <c r="L32" s="162" t="inlineStr">
        <is>
          <t>TUNON_LYO</t>
        </is>
      </c>
    </row>
    <row r="33">
      <c r="A33" s="57" t="n"/>
      <c r="B33" s="58" t="n"/>
      <c r="C33" s="58" t="n"/>
      <c r="D33" s="167" t="n"/>
      <c r="E33" s="168" t="n"/>
      <c r="F33" s="168" t="n"/>
      <c r="G33" s="61" t="n"/>
      <c r="H33" s="61" t="n"/>
      <c r="I33" s="61" t="n"/>
      <c r="J33" s="169" t="n"/>
      <c r="K33" s="167" t="n"/>
      <c r="L33" s="170" t="n"/>
    </row>
    <row r="34">
      <c r="A34" s="57" t="n"/>
      <c r="B34" s="58" t="n"/>
      <c r="C34" s="58" t="n"/>
      <c r="D34" s="167" t="n"/>
      <c r="E34" s="168" t="n"/>
      <c r="F34" s="168" t="n"/>
      <c r="G34" s="61" t="n"/>
      <c r="H34" s="61" t="n"/>
      <c r="I34" s="61" t="n"/>
      <c r="J34" s="169" t="n"/>
      <c r="K34" s="167" t="n"/>
      <c r="L34" s="170" t="n"/>
    </row>
    <row r="35">
      <c r="L35" s="170" t="n"/>
    </row>
    <row r="36" ht="18" customHeight="1" thickBot="1">
      <c r="B36" s="110" t="inlineStr">
        <is>
          <t>2 ·  Synthese par campus  (resultats budget, live)</t>
        </is>
      </c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82" t="n"/>
      <c r="N36" s="82" t="n"/>
      <c r="O36" s="82" t="n"/>
      <c r="P36" s="82" t="n"/>
      <c r="Q36" s="82" t="n"/>
      <c r="R36" s="82" t="n"/>
      <c r="S36" s="82" t="n"/>
    </row>
    <row r="37"/>
    <row r="38" ht="26.25" customHeight="1">
      <c r="A38" s="79" t="inlineStr">
        <is>
          <t>Campus</t>
        </is>
      </c>
      <c r="B38" s="90" t="inlineStr">
        <is>
          <t>Marque</t>
        </is>
      </c>
      <c r="C38" s="90" t="inlineStr">
        <is>
          <t>Ville</t>
        </is>
      </c>
      <c r="D38" s="91" t="inlineStr">
        <is>
          <t>Effectif</t>
        </is>
      </c>
      <c r="E38" s="91" t="inlineStr">
        <is>
          <t>CA 2027</t>
        </is>
      </c>
      <c r="F38" s="91" t="inlineStr">
        <is>
          <t>Prix moy.</t>
        </is>
      </c>
      <c r="G38" s="91" t="inlineStr">
        <is>
          <t>Part CA</t>
        </is>
      </c>
      <c r="H38" s="91" t="inlineStr">
        <is>
          <t>EBITDA campus</t>
        </is>
      </c>
      <c r="I38" s="91" t="inlineStr">
        <is>
          <t>Mrg EBITDA</t>
        </is>
      </c>
      <c r="J38" s="91" t="inlineStr">
        <is>
          <t>EBITDA/etud.</t>
        </is>
      </c>
      <c r="K38" s="91" t="inlineStr">
        <is>
          <t>Rejoue</t>
        </is>
      </c>
      <c r="L38" s="91" t="inlineStr">
        <is>
          <t>CAC marg.</t>
        </is>
      </c>
    </row>
    <row r="39">
      <c r="A39" s="57" t="inlineStr">
        <is>
          <t>MBWAY_PAR</t>
        </is>
      </c>
      <c r="B39" s="116" t="inlineStr">
        <is>
          <t>MBway</t>
        </is>
      </c>
      <c r="C39" s="116" t="inlineStr">
        <is>
          <t>Paris</t>
        </is>
      </c>
      <c r="D39" s="171">
        <f>SUMIFS(Moteur!$P$1:$P$200,Moteur!$D$1:$D$200,$A39,Moteur!$B$1:$B$200,$P$1)</f>
        <v/>
      </c>
      <c r="E39" s="172">
        <f>SUMIFS(Moteur!$R$1:$R$200,Moteur!$D$1:$D$200,$A39,Moteur!$B$1:$B$200,$P$1)</f>
        <v/>
      </c>
      <c r="F39" s="173">
        <f>IFERROR(E39/D39,0)</f>
        <v/>
      </c>
      <c r="G39" s="174">
        <f>IFERROR(E39/SUM($E$39:$E$52),0)</f>
        <v/>
      </c>
      <c r="H39" s="172">
        <f>SUMIFS(_CALC_PNL!$T$1:$T$1347,_CALC_PNL!$A$1:$A$1347,$A39,_CALC_PNL!$D$1:$D$1347,$P$1,_CALC_PNL!$C$1:$C$1347,"2027")</f>
        <v/>
      </c>
      <c r="I39" s="174">
        <f>IFERROR(H39/E39,0)</f>
        <v/>
      </c>
      <c r="J39" s="173">
        <f>IFERROR(H39/D39,0)</f>
        <v/>
      </c>
      <c r="K39" s="173">
        <f>SUMIFS(Pilotage!$K$19:$K$32,Pilotage!$A$19:$A$32,$A39)*SUMIFS(Pilotage!$J$19:$J$32,Pilotage!$A$19:$A$32,$A39)*(SUM(Pilotage!$K$19:$K$32)/SUMPRODUCT(Pilotage!$K$19:$K$32,Pilotage!$J$19:$J$32))</f>
        <v/>
      </c>
      <c r="L39" s="173">
        <f>SUMIFS(Pilotage!$D$19:$D$32,Pilotage!$A$19:$A$32,$A39)</f>
        <v/>
      </c>
    </row>
    <row r="40">
      <c r="A40" s="57" t="inlineStr">
        <is>
          <t>MBWAY_LYO</t>
        </is>
      </c>
      <c r="B40" s="116" t="inlineStr">
        <is>
          <t>MBway</t>
        </is>
      </c>
      <c r="C40" s="116" t="inlineStr">
        <is>
          <t>Lyon</t>
        </is>
      </c>
      <c r="D40" s="171">
        <f>SUMIFS(Moteur!$P$1:$P$200,Moteur!$D$1:$D$200,$A40,Moteur!$B$1:$B$200,$P$1)</f>
        <v/>
      </c>
      <c r="E40" s="172">
        <f>SUMIFS(Moteur!$R$1:$R$200,Moteur!$D$1:$D$200,$A40,Moteur!$B$1:$B$200,$P$1)</f>
        <v/>
      </c>
      <c r="F40" s="173">
        <f>IFERROR(E40/D40,0)</f>
        <v/>
      </c>
      <c r="G40" s="174">
        <f>IFERROR(E40/SUM($E$39:$E$52),0)</f>
        <v/>
      </c>
      <c r="H40" s="172">
        <f>SUMIFS(_CALC_PNL!$T$1:$T$1347,_CALC_PNL!$A$1:$A$1347,$A40,_CALC_PNL!$D$1:$D$1347,$P$1,_CALC_PNL!$C$1:$C$1347,"2027")</f>
        <v/>
      </c>
      <c r="I40" s="174">
        <f>IFERROR(H40/E40,0)</f>
        <v/>
      </c>
      <c r="J40" s="173">
        <f>IFERROR(H40/D40,0)</f>
        <v/>
      </c>
      <c r="K40" s="173">
        <f>SUMIFS(Pilotage!$K$19:$K$32,Pilotage!$A$19:$A$32,$A40)*SUMIFS(Pilotage!$J$19:$J$32,Pilotage!$A$19:$A$32,$A40)*(SUM(Pilotage!$K$19:$K$32)/SUMPRODUCT(Pilotage!$K$19:$K$32,Pilotage!$J$19:$J$32))</f>
        <v/>
      </c>
      <c r="L40" s="173">
        <f>SUMIFS(Pilotage!$D$19:$D$32,Pilotage!$A$19:$A$32,$A40)</f>
        <v/>
      </c>
    </row>
    <row r="41">
      <c r="A41" s="57" t="inlineStr">
        <is>
          <t>MBWAY_NAN</t>
        </is>
      </c>
      <c r="B41" s="116" t="inlineStr">
        <is>
          <t>MBway</t>
        </is>
      </c>
      <c r="C41" s="116" t="inlineStr">
        <is>
          <t>Nantes</t>
        </is>
      </c>
      <c r="D41" s="171">
        <f>SUMIFS(Moteur!$P$1:$P$200,Moteur!$D$1:$D$200,$A41,Moteur!$B$1:$B$200,$P$1)</f>
        <v/>
      </c>
      <c r="E41" s="172">
        <f>SUMIFS(Moteur!$R$1:$R$200,Moteur!$D$1:$D$200,$A41,Moteur!$B$1:$B$200,$P$1)</f>
        <v/>
      </c>
      <c r="F41" s="173">
        <f>IFERROR(E41/D41,0)</f>
        <v/>
      </c>
      <c r="G41" s="174">
        <f>IFERROR(E41/SUM($E$39:$E$52),0)</f>
        <v/>
      </c>
      <c r="H41" s="172">
        <f>SUMIFS(_CALC_PNL!$T$1:$T$1347,_CALC_PNL!$A$1:$A$1347,$A41,_CALC_PNL!$D$1:$D$1347,$P$1,_CALC_PNL!$C$1:$C$1347,"2027")</f>
        <v/>
      </c>
      <c r="I41" s="174">
        <f>IFERROR(H41/E41,0)</f>
        <v/>
      </c>
      <c r="J41" s="173">
        <f>IFERROR(H41/D41,0)</f>
        <v/>
      </c>
      <c r="K41" s="173">
        <f>SUMIFS(Pilotage!$K$19:$K$32,Pilotage!$A$19:$A$32,$A41)*SUMIFS(Pilotage!$J$19:$J$32,Pilotage!$A$19:$A$32,$A41)*(SUM(Pilotage!$K$19:$K$32)/SUMPRODUCT(Pilotage!$K$19:$K$32,Pilotage!$J$19:$J$32))</f>
        <v/>
      </c>
      <c r="L41" s="173">
        <f>SUMIFS(Pilotage!$D$19:$D$32,Pilotage!$A$19:$A$32,$A41)</f>
        <v/>
      </c>
    </row>
    <row r="42">
      <c r="A42" s="57" t="inlineStr">
        <is>
          <t>MBWAY_BOR</t>
        </is>
      </c>
      <c r="B42" s="116" t="inlineStr">
        <is>
          <t>MBway</t>
        </is>
      </c>
      <c r="C42" s="116" t="inlineStr">
        <is>
          <t>Bordeaux</t>
        </is>
      </c>
      <c r="D42" s="171">
        <f>SUMIFS(Moteur!$P$1:$P$200,Moteur!$D$1:$D$200,$A42,Moteur!$B$1:$B$200,$P$1)</f>
        <v/>
      </c>
      <c r="E42" s="172">
        <f>SUMIFS(Moteur!$R$1:$R$200,Moteur!$D$1:$D$200,$A42,Moteur!$B$1:$B$200,$P$1)</f>
        <v/>
      </c>
      <c r="F42" s="173">
        <f>IFERROR(E42/D42,0)</f>
        <v/>
      </c>
      <c r="G42" s="174">
        <f>IFERROR(E42/SUM($E$39:$E$52),0)</f>
        <v/>
      </c>
      <c r="H42" s="172">
        <f>SUMIFS(_CALC_PNL!$T$1:$T$1347,_CALC_PNL!$A$1:$A$1347,$A42,_CALC_PNL!$D$1:$D$1347,$P$1,_CALC_PNL!$C$1:$C$1347,"2027")</f>
        <v/>
      </c>
      <c r="I42" s="174">
        <f>IFERROR(H42/E42,0)</f>
        <v/>
      </c>
      <c r="J42" s="173">
        <f>IFERROR(H42/D42,0)</f>
        <v/>
      </c>
      <c r="K42" s="173">
        <f>SUMIFS(Pilotage!$K$19:$K$32,Pilotage!$A$19:$A$32,$A42)*SUMIFS(Pilotage!$J$19:$J$32,Pilotage!$A$19:$A$32,$A42)*(SUM(Pilotage!$K$19:$K$32)/SUMPRODUCT(Pilotage!$K$19:$K$32,Pilotage!$J$19:$J$32))</f>
        <v/>
      </c>
      <c r="L42" s="173">
        <f>SUMIFS(Pilotage!$D$19:$D$32,Pilotage!$A$19:$A$32,$A42)</f>
        <v/>
      </c>
    </row>
    <row r="43">
      <c r="A43" s="57" t="inlineStr">
        <is>
          <t>ISCOM_PAR</t>
        </is>
      </c>
      <c r="B43" s="116" t="inlineStr">
        <is>
          <t>ISCOM</t>
        </is>
      </c>
      <c r="C43" s="116" t="inlineStr">
        <is>
          <t>Paris</t>
        </is>
      </c>
      <c r="D43" s="171">
        <f>SUMIFS(Moteur!$P$1:$P$200,Moteur!$D$1:$D$200,$A43,Moteur!$B$1:$B$200,$P$1)</f>
        <v/>
      </c>
      <c r="E43" s="172">
        <f>SUMIFS(Moteur!$R$1:$R$200,Moteur!$D$1:$D$200,$A43,Moteur!$B$1:$B$200,$P$1)</f>
        <v/>
      </c>
      <c r="F43" s="173">
        <f>IFERROR(E43/D43,0)</f>
        <v/>
      </c>
      <c r="G43" s="174">
        <f>IFERROR(E43/SUM($E$39:$E$52),0)</f>
        <v/>
      </c>
      <c r="H43" s="172">
        <f>SUMIFS(_CALC_PNL!$T$1:$T$1347,_CALC_PNL!$A$1:$A$1347,$A43,_CALC_PNL!$D$1:$D$1347,$P$1,_CALC_PNL!$C$1:$C$1347,"2027")</f>
        <v/>
      </c>
      <c r="I43" s="174">
        <f>IFERROR(H43/E43,0)</f>
        <v/>
      </c>
      <c r="J43" s="173">
        <f>IFERROR(H43/D43,0)</f>
        <v/>
      </c>
      <c r="K43" s="173">
        <f>SUMIFS(Pilotage!$K$19:$K$32,Pilotage!$A$19:$A$32,$A43)*SUMIFS(Pilotage!$J$19:$J$32,Pilotage!$A$19:$A$32,$A43)*(SUM(Pilotage!$K$19:$K$32)/SUMPRODUCT(Pilotage!$K$19:$K$32,Pilotage!$J$19:$J$32))</f>
        <v/>
      </c>
      <c r="L43" s="173">
        <f>SUMIFS(Pilotage!$D$19:$D$32,Pilotage!$A$19:$A$32,$A43)</f>
        <v/>
      </c>
    </row>
    <row r="44">
      <c r="A44" s="57" t="inlineStr">
        <is>
          <t>ISCOM_LIL</t>
        </is>
      </c>
      <c r="B44" s="116" t="inlineStr">
        <is>
          <t>ISCOM</t>
        </is>
      </c>
      <c r="C44" s="116" t="inlineStr">
        <is>
          <t>Lille</t>
        </is>
      </c>
      <c r="D44" s="171">
        <f>SUMIFS(Moteur!$P$1:$P$200,Moteur!$D$1:$D$200,$A44,Moteur!$B$1:$B$200,$P$1)</f>
        <v/>
      </c>
      <c r="E44" s="172">
        <f>SUMIFS(Moteur!$R$1:$R$200,Moteur!$D$1:$D$200,$A44,Moteur!$B$1:$B$200,$P$1)</f>
        <v/>
      </c>
      <c r="F44" s="173">
        <f>IFERROR(E44/D44,0)</f>
        <v/>
      </c>
      <c r="G44" s="174">
        <f>IFERROR(E44/SUM($E$39:$E$52),0)</f>
        <v/>
      </c>
      <c r="H44" s="172">
        <f>SUMIFS(_CALC_PNL!$T$1:$T$1347,_CALC_PNL!$A$1:$A$1347,$A44,_CALC_PNL!$D$1:$D$1347,$P$1,_CALC_PNL!$C$1:$C$1347,"2027")</f>
        <v/>
      </c>
      <c r="I44" s="174">
        <f>IFERROR(H44/E44,0)</f>
        <v/>
      </c>
      <c r="J44" s="173">
        <f>IFERROR(H44/D44,0)</f>
        <v/>
      </c>
      <c r="K44" s="173">
        <f>SUMIFS(Pilotage!$K$19:$K$32,Pilotage!$A$19:$A$32,$A44)*SUMIFS(Pilotage!$J$19:$J$32,Pilotage!$A$19:$A$32,$A44)*(SUM(Pilotage!$K$19:$K$32)/SUMPRODUCT(Pilotage!$K$19:$K$32,Pilotage!$J$19:$J$32))</f>
        <v/>
      </c>
      <c r="L44" s="173">
        <f>SUMIFS(Pilotage!$D$19:$D$32,Pilotage!$A$19:$A$32,$A44)</f>
        <v/>
      </c>
    </row>
    <row r="45">
      <c r="A45" s="57" t="inlineStr">
        <is>
          <t>ISCOM_TLS</t>
        </is>
      </c>
      <c r="B45" s="116" t="inlineStr">
        <is>
          <t>ISCOM</t>
        </is>
      </c>
      <c r="C45" s="116" t="inlineStr">
        <is>
          <t>Toulouse</t>
        </is>
      </c>
      <c r="D45" s="171">
        <f>SUMIFS(Moteur!$P$1:$P$200,Moteur!$D$1:$D$200,$A45,Moteur!$B$1:$B$200,$P$1)</f>
        <v/>
      </c>
      <c r="E45" s="172">
        <f>SUMIFS(Moteur!$R$1:$R$200,Moteur!$D$1:$D$200,$A45,Moteur!$B$1:$B$200,$P$1)</f>
        <v/>
      </c>
      <c r="F45" s="173">
        <f>IFERROR(E45/D45,0)</f>
        <v/>
      </c>
      <c r="G45" s="174">
        <f>IFERROR(E45/SUM($E$39:$E$52),0)</f>
        <v/>
      </c>
      <c r="H45" s="172">
        <f>SUMIFS(_CALC_PNL!$T$1:$T$1347,_CALC_PNL!$A$1:$A$1347,$A45,_CALC_PNL!$D$1:$D$1347,$P$1,_CALC_PNL!$C$1:$C$1347,"2027")</f>
        <v/>
      </c>
      <c r="I45" s="174">
        <f>IFERROR(H45/E45,0)</f>
        <v/>
      </c>
      <c r="J45" s="173">
        <f>IFERROR(H45/D45,0)</f>
        <v/>
      </c>
      <c r="K45" s="173">
        <f>SUMIFS(Pilotage!$K$19:$K$32,Pilotage!$A$19:$A$32,$A45)*SUMIFS(Pilotage!$J$19:$J$32,Pilotage!$A$19:$A$32,$A45)*(SUM(Pilotage!$K$19:$K$32)/SUMPRODUCT(Pilotage!$K$19:$K$32,Pilotage!$J$19:$J$32))</f>
        <v/>
      </c>
      <c r="L45" s="173">
        <f>SUMIFS(Pilotage!$D$19:$D$32,Pilotage!$A$19:$A$32,$A45)</f>
        <v/>
      </c>
    </row>
    <row r="46">
      <c r="A46" s="57" t="inlineStr">
        <is>
          <t>IPAC_NAN</t>
        </is>
      </c>
      <c r="B46" s="116" t="inlineStr">
        <is>
          <t>Ipac</t>
        </is>
      </c>
      <c r="C46" s="116" t="inlineStr">
        <is>
          <t>Nantes</t>
        </is>
      </c>
      <c r="D46" s="171">
        <f>SUMIFS(Moteur!$P$1:$P$200,Moteur!$D$1:$D$200,$A46,Moteur!$B$1:$B$200,$P$1)</f>
        <v/>
      </c>
      <c r="E46" s="172">
        <f>SUMIFS(Moteur!$R$1:$R$200,Moteur!$D$1:$D$200,$A46,Moteur!$B$1:$B$200,$P$1)</f>
        <v/>
      </c>
      <c r="F46" s="173">
        <f>IFERROR(E46/D46,0)</f>
        <v/>
      </c>
      <c r="G46" s="174">
        <f>IFERROR(E46/SUM($E$39:$E$52),0)</f>
        <v/>
      </c>
      <c r="H46" s="172">
        <f>SUMIFS(_CALC_PNL!$T$1:$T$1347,_CALC_PNL!$A$1:$A$1347,$A46,_CALC_PNL!$D$1:$D$1347,$P$1,_CALC_PNL!$C$1:$C$1347,"2027")</f>
        <v/>
      </c>
      <c r="I46" s="174">
        <f>IFERROR(H46/E46,0)</f>
        <v/>
      </c>
      <c r="J46" s="173">
        <f>IFERROR(H46/D46,0)</f>
        <v/>
      </c>
      <c r="K46" s="173">
        <f>SUMIFS(Pilotage!$K$19:$K$32,Pilotage!$A$19:$A$32,$A46)*SUMIFS(Pilotage!$J$19:$J$32,Pilotage!$A$19:$A$32,$A46)*(SUM(Pilotage!$K$19:$K$32)/SUMPRODUCT(Pilotage!$K$19:$K$32,Pilotage!$J$19:$J$32))</f>
        <v/>
      </c>
      <c r="L46" s="173">
        <f>SUMIFS(Pilotage!$D$19:$D$32,Pilotage!$A$19:$A$32,$A46)</f>
        <v/>
      </c>
    </row>
    <row r="47">
      <c r="A47" s="57" t="inlineStr">
        <is>
          <t>IPAC_REN</t>
        </is>
      </c>
      <c r="B47" s="116" t="inlineStr">
        <is>
          <t>Ipac</t>
        </is>
      </c>
      <c r="C47" s="116" t="inlineStr">
        <is>
          <t>Rennes</t>
        </is>
      </c>
      <c r="D47" s="171">
        <f>SUMIFS(Moteur!$P$1:$P$200,Moteur!$D$1:$D$200,$A47,Moteur!$B$1:$B$200,$P$1)</f>
        <v/>
      </c>
      <c r="E47" s="172">
        <f>SUMIFS(Moteur!$R$1:$R$200,Moteur!$D$1:$D$200,$A47,Moteur!$B$1:$B$200,$P$1)</f>
        <v/>
      </c>
      <c r="F47" s="173">
        <f>IFERROR(E47/D47,0)</f>
        <v/>
      </c>
      <c r="G47" s="174">
        <f>IFERROR(E47/SUM($E$39:$E$52),0)</f>
        <v/>
      </c>
      <c r="H47" s="172">
        <f>SUMIFS(_CALC_PNL!$T$1:$T$1347,_CALC_PNL!$A$1:$A$1347,$A47,_CALC_PNL!$D$1:$D$1347,$P$1,_CALC_PNL!$C$1:$C$1347,"2027")</f>
        <v/>
      </c>
      <c r="I47" s="174">
        <f>IFERROR(H47/E47,0)</f>
        <v/>
      </c>
      <c r="J47" s="173">
        <f>IFERROR(H47/D47,0)</f>
        <v/>
      </c>
      <c r="K47" s="173">
        <f>SUMIFS(Pilotage!$K$19:$K$32,Pilotage!$A$19:$A$32,$A47)*SUMIFS(Pilotage!$J$19:$J$32,Pilotage!$A$19:$A$32,$A47)*(SUM(Pilotage!$K$19:$K$32)/SUMPRODUCT(Pilotage!$K$19:$K$32,Pilotage!$J$19:$J$32))</f>
        <v/>
      </c>
      <c r="L47" s="173">
        <f>SUMIFS(Pilotage!$D$19:$D$32,Pilotage!$A$19:$A$32,$A47)</f>
        <v/>
      </c>
    </row>
    <row r="48">
      <c r="A48" s="57" t="inlineStr">
        <is>
          <t>IPAC_MTP</t>
        </is>
      </c>
      <c r="B48" s="116" t="inlineStr">
        <is>
          <t>Ipac</t>
        </is>
      </c>
      <c r="C48" s="116" t="inlineStr">
        <is>
          <t>Montpellier</t>
        </is>
      </c>
      <c r="D48" s="171">
        <f>SUMIFS(Moteur!$P$1:$P$200,Moteur!$D$1:$D$200,$A48,Moteur!$B$1:$B$200,$P$1)</f>
        <v/>
      </c>
      <c r="E48" s="172">
        <f>SUMIFS(Moteur!$R$1:$R$200,Moteur!$D$1:$D$200,$A48,Moteur!$B$1:$B$200,$P$1)</f>
        <v/>
      </c>
      <c r="F48" s="173">
        <f>IFERROR(E48/D48,0)</f>
        <v/>
      </c>
      <c r="G48" s="174">
        <f>IFERROR(E48/SUM($E$39:$E$52),0)</f>
        <v/>
      </c>
      <c r="H48" s="172">
        <f>SUMIFS(_CALC_PNL!$T$1:$T$1347,_CALC_PNL!$A$1:$A$1347,$A48,_CALC_PNL!$D$1:$D$1347,$P$1,_CALC_PNL!$C$1:$C$1347,"2027")</f>
        <v/>
      </c>
      <c r="I48" s="174">
        <f>IFERROR(H48/E48,0)</f>
        <v/>
      </c>
      <c r="J48" s="173">
        <f>IFERROR(H48/D48,0)</f>
        <v/>
      </c>
      <c r="K48" s="173">
        <f>SUMIFS(Pilotage!$K$19:$K$32,Pilotage!$A$19:$A$32,$A48)*SUMIFS(Pilotage!$J$19:$J$32,Pilotage!$A$19:$A$32,$A48)*(SUM(Pilotage!$K$19:$K$32)/SUMPRODUCT(Pilotage!$K$19:$K$32,Pilotage!$J$19:$J$32))</f>
        <v/>
      </c>
      <c r="L48" s="173">
        <f>SUMIFS(Pilotage!$D$19:$D$32,Pilotage!$A$19:$A$32,$A48)</f>
        <v/>
      </c>
    </row>
    <row r="49">
      <c r="A49" s="57" t="inlineStr">
        <is>
          <t>PIGIER_LYO</t>
        </is>
      </c>
      <c r="B49" s="116" t="inlineStr">
        <is>
          <t>Pigier</t>
        </is>
      </c>
      <c r="C49" s="116" t="inlineStr">
        <is>
          <t>Lyon</t>
        </is>
      </c>
      <c r="D49" s="171">
        <f>SUMIFS(Moteur!$P$1:$P$200,Moteur!$D$1:$D$200,$A49,Moteur!$B$1:$B$200,$P$1)</f>
        <v/>
      </c>
      <c r="E49" s="172">
        <f>SUMIFS(Moteur!$R$1:$R$200,Moteur!$D$1:$D$200,$A49,Moteur!$B$1:$B$200,$P$1)</f>
        <v/>
      </c>
      <c r="F49" s="173">
        <f>IFERROR(E49/D49,0)</f>
        <v/>
      </c>
      <c r="G49" s="174">
        <f>IFERROR(E49/SUM($E$39:$E$52),0)</f>
        <v/>
      </c>
      <c r="H49" s="172">
        <f>SUMIFS(_CALC_PNL!$T$1:$T$1347,_CALC_PNL!$A$1:$A$1347,$A49,_CALC_PNL!$D$1:$D$1347,$P$1,_CALC_PNL!$C$1:$C$1347,"2027")</f>
        <v/>
      </c>
      <c r="I49" s="174">
        <f>IFERROR(H49/E49,0)</f>
        <v/>
      </c>
      <c r="J49" s="173">
        <f>IFERROR(H49/D49,0)</f>
        <v/>
      </c>
      <c r="K49" s="173">
        <f>SUMIFS(Pilotage!$K$19:$K$32,Pilotage!$A$19:$A$32,$A49)*SUMIFS(Pilotage!$J$19:$J$32,Pilotage!$A$19:$A$32,$A49)*(SUM(Pilotage!$K$19:$K$32)/SUMPRODUCT(Pilotage!$K$19:$K$32,Pilotage!$J$19:$J$32))</f>
        <v/>
      </c>
      <c r="L49" s="173">
        <f>SUMIFS(Pilotage!$D$19:$D$32,Pilotage!$A$19:$A$32,$A49)</f>
        <v/>
      </c>
    </row>
    <row r="50">
      <c r="A50" s="57" t="inlineStr">
        <is>
          <t>PIGIER_BOR</t>
        </is>
      </c>
      <c r="B50" s="116" t="inlineStr">
        <is>
          <t>Pigier</t>
        </is>
      </c>
      <c r="C50" s="116" t="inlineStr">
        <is>
          <t>Bordeaux</t>
        </is>
      </c>
      <c r="D50" s="171">
        <f>SUMIFS(Moteur!$P$1:$P$200,Moteur!$D$1:$D$200,$A50,Moteur!$B$1:$B$200,$P$1)</f>
        <v/>
      </c>
      <c r="E50" s="172">
        <f>SUMIFS(Moteur!$R$1:$R$200,Moteur!$D$1:$D$200,$A50,Moteur!$B$1:$B$200,$P$1)</f>
        <v/>
      </c>
      <c r="F50" s="173">
        <f>IFERROR(E50/D50,0)</f>
        <v/>
      </c>
      <c r="G50" s="174">
        <f>IFERROR(E50/SUM($E$39:$E$52),0)</f>
        <v/>
      </c>
      <c r="H50" s="172">
        <f>SUMIFS(_CALC_PNL!$T$1:$T$1347,_CALC_PNL!$A$1:$A$1347,$A50,_CALC_PNL!$D$1:$D$1347,$P$1,_CALC_PNL!$C$1:$C$1347,"2027")</f>
        <v/>
      </c>
      <c r="I50" s="174">
        <f>IFERROR(H50/E50,0)</f>
        <v/>
      </c>
      <c r="J50" s="173">
        <f>IFERROR(H50/D50,0)</f>
        <v/>
      </c>
      <c r="K50" s="173">
        <f>SUMIFS(Pilotage!$K$19:$K$32,Pilotage!$A$19:$A$32,$A50)*SUMIFS(Pilotage!$J$19:$J$32,Pilotage!$A$19:$A$32,$A50)*(SUM(Pilotage!$K$19:$K$32)/SUMPRODUCT(Pilotage!$K$19:$K$32,Pilotage!$J$19:$J$32))</f>
        <v/>
      </c>
      <c r="L50" s="173">
        <f>SUMIFS(Pilotage!$D$19:$D$32,Pilotage!$A$19:$A$32,$A50)</f>
        <v/>
      </c>
    </row>
    <row r="51">
      <c r="A51" s="57" t="inlineStr">
        <is>
          <t>TUNON_PAR</t>
        </is>
      </c>
      <c r="B51" s="116" t="inlineStr">
        <is>
          <t>Tunon</t>
        </is>
      </c>
      <c r="C51" s="116" t="inlineStr">
        <is>
          <t>Paris</t>
        </is>
      </c>
      <c r="D51" s="171">
        <f>SUMIFS(Moteur!$P$1:$P$200,Moteur!$D$1:$D$200,$A51,Moteur!$B$1:$B$200,$P$1)</f>
        <v/>
      </c>
      <c r="E51" s="172">
        <f>SUMIFS(Moteur!$R$1:$R$200,Moteur!$D$1:$D$200,$A51,Moteur!$B$1:$B$200,$P$1)</f>
        <v/>
      </c>
      <c r="F51" s="173">
        <f>IFERROR(E51/D51,0)</f>
        <v/>
      </c>
      <c r="G51" s="174">
        <f>IFERROR(E51/SUM($E$39:$E$52),0)</f>
        <v/>
      </c>
      <c r="H51" s="172">
        <f>SUMIFS(_CALC_PNL!$T$1:$T$1347,_CALC_PNL!$A$1:$A$1347,$A51,_CALC_PNL!$D$1:$D$1347,$P$1,_CALC_PNL!$C$1:$C$1347,"2027")</f>
        <v/>
      </c>
      <c r="I51" s="174">
        <f>IFERROR(H51/E51,0)</f>
        <v/>
      </c>
      <c r="J51" s="173">
        <f>IFERROR(H51/D51,0)</f>
        <v/>
      </c>
      <c r="K51" s="173">
        <f>SUMIFS(Pilotage!$K$19:$K$32,Pilotage!$A$19:$A$32,$A51)*SUMIFS(Pilotage!$J$19:$J$32,Pilotage!$A$19:$A$32,$A51)*(SUM(Pilotage!$K$19:$K$32)/SUMPRODUCT(Pilotage!$K$19:$K$32,Pilotage!$J$19:$J$32))</f>
        <v/>
      </c>
      <c r="L51" s="173">
        <f>SUMIFS(Pilotage!$D$19:$D$32,Pilotage!$A$19:$A$32,$A51)</f>
        <v/>
      </c>
    </row>
    <row r="52">
      <c r="A52" s="57" t="inlineStr">
        <is>
          <t>TUNON_LYO</t>
        </is>
      </c>
      <c r="B52" s="116" t="inlineStr">
        <is>
          <t>Tunon</t>
        </is>
      </c>
      <c r="C52" s="116" t="inlineStr">
        <is>
          <t>Lyon</t>
        </is>
      </c>
      <c r="D52" s="171">
        <f>SUMIFS(Moteur!$P$1:$P$200,Moteur!$D$1:$D$200,$A52,Moteur!$B$1:$B$200,$P$1)</f>
        <v/>
      </c>
      <c r="E52" s="172">
        <f>SUMIFS(Moteur!$R$1:$R$200,Moteur!$D$1:$D$200,$A52,Moteur!$B$1:$B$200,$P$1)</f>
        <v/>
      </c>
      <c r="F52" s="173">
        <f>IFERROR(E52/D52,0)</f>
        <v/>
      </c>
      <c r="G52" s="174">
        <f>IFERROR(E52/SUM($E$39:$E$52),0)</f>
        <v/>
      </c>
      <c r="H52" s="172">
        <f>SUMIFS(_CALC_PNL!$T$1:$T$1347,_CALC_PNL!$A$1:$A$1347,$A52,_CALC_PNL!$D$1:$D$1347,$P$1,_CALC_PNL!$C$1:$C$1347,"2027")</f>
        <v/>
      </c>
      <c r="I52" s="174">
        <f>IFERROR(H52/E52,0)</f>
        <v/>
      </c>
      <c r="J52" s="173">
        <f>IFERROR(H52/D52,0)</f>
        <v/>
      </c>
      <c r="K52" s="173">
        <f>SUMIFS(Pilotage!$K$19:$K$32,Pilotage!$A$19:$A$32,$A52)*SUMIFS(Pilotage!$J$19:$J$32,Pilotage!$A$19:$A$32,$A52)*(SUM(Pilotage!$K$19:$K$32)/SUMPRODUCT(Pilotage!$K$19:$K$32,Pilotage!$J$19:$J$32))</f>
        <v/>
      </c>
      <c r="L52" s="173">
        <f>SUMIFS(Pilotage!$D$19:$D$32,Pilotage!$A$19:$A$32,$A52)</f>
        <v/>
      </c>
    </row>
    <row r="53">
      <c r="A53" s="80" t="inlineStr">
        <is>
          <t>Sous-total campus</t>
        </is>
      </c>
      <c r="B53" s="109" t="inlineStr">
        <is>
          <t>Sous-total campus</t>
        </is>
      </c>
      <c r="C53" s="96" t="n"/>
      <c r="D53" s="175">
        <f>SUM(D39:D52)</f>
        <v/>
      </c>
      <c r="E53" s="176">
        <f>SUM(E39:E52)</f>
        <v/>
      </c>
      <c r="F53" s="176">
        <f>IFERROR(E53/D53,0)</f>
        <v/>
      </c>
      <c r="G53" s="177">
        <f>SUM(G39:G52)</f>
        <v/>
      </c>
      <c r="H53" s="176">
        <f>SUM(H39:H52)</f>
        <v/>
      </c>
      <c r="I53" s="177">
        <f>IFERROR(H53/E53,0)</f>
        <v/>
      </c>
      <c r="J53" s="176">
        <f>IFERROR(H53/D53,0)</f>
        <v/>
      </c>
      <c r="K53" s="176">
        <f>SUM(K39:K52)</f>
        <v/>
      </c>
      <c r="L53" s="176" t="n"/>
    </row>
    <row r="54">
      <c r="A54" s="80" t="inlineStr">
        <is>
          <t>Siege / holding (GRP)</t>
        </is>
      </c>
      <c r="B54" s="109" t="inlineStr">
        <is>
          <t>Siege / holding (GRP)</t>
        </is>
      </c>
      <c r="C54" s="96" t="n"/>
      <c r="D54" s="175" t="n"/>
      <c r="E54" s="176" t="n"/>
      <c r="F54" s="176" t="n"/>
      <c r="G54" s="96" t="n"/>
      <c r="H54" s="176">
        <f>SUMIFS(_CALC_PNL!$T$1:$T$1347,_CALC_PNL!$A$1:$A$1347,"GRP",_CALC_PNL!$D$1:$D$1347,$P$1,_CALC_PNL!$C$1:$C$1347,"2027")</f>
        <v/>
      </c>
      <c r="I54" s="177" t="n"/>
      <c r="J54" s="176" t="n"/>
      <c r="K54" s="176" t="n"/>
      <c r="L54" s="176" t="n"/>
    </row>
    <row r="55">
      <c r="A55" s="80" t="inlineStr">
        <is>
          <t>GROUPE 2027 V01</t>
        </is>
      </c>
      <c r="B55" s="109" t="inlineStr">
        <is>
          <t>GROUPE 2027 V01</t>
        </is>
      </c>
      <c r="C55" s="96" t="n"/>
      <c r="D55" s="175">
        <f>D53</f>
        <v/>
      </c>
      <c r="E55" s="176">
        <f>E53</f>
        <v/>
      </c>
      <c r="F55" s="176">
        <f>IFERROR(E55/D55,0)</f>
        <v/>
      </c>
      <c r="G55" s="177">
        <f>SUM(G39:G52)</f>
        <v/>
      </c>
      <c r="H55" s="176">
        <f>H53+H54</f>
        <v/>
      </c>
      <c r="I55" s="177">
        <f>IFERROR(H55/E55,0)</f>
        <v/>
      </c>
      <c r="J55" s="176">
        <f>IFERROR(H55/D55,0)</f>
        <v/>
      </c>
      <c r="K55" s="176">
        <f>SUM(K39:K52)</f>
        <v/>
      </c>
      <c r="L55" s="176" t="n"/>
    </row>
  </sheetData>
  <mergeCells count="5">
    <mergeCell ref="B9:C9"/>
    <mergeCell ref="D9:E9"/>
    <mergeCell ref="H9:I9"/>
    <mergeCell ref="F9:G9"/>
    <mergeCell ref="J9:K9"/>
  </mergeCells>
  <conditionalFormatting sqref="G39:G52">
    <cfRule type="colorScale" priority="2">
      <colorScale>
        <cfvo type="min"/>
        <cfvo type="max"/>
        <color rgb="FFFFFFFF"/>
        <color rgb="FF9CC3E6"/>
      </colorScale>
    </cfRule>
  </conditionalFormatting>
  <conditionalFormatting sqref="I19:I34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9:I52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sqref="E6" showDropDown="0" showInputMessage="1" showErrorMessage="1" allowBlank="1" type="list">
      <formula1>"Cadrage,Optimiste,Prudent"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1"/>
  <sheetViews>
    <sheetView showRowColHeaders="0" topLeftCell="V1" workbookViewId="0">
      <selection activeCell="AC2" sqref="AC2"/>
    </sheetView>
  </sheetViews>
  <sheetFormatPr baseColWidth="10" defaultRowHeight="14.25"/>
  <sheetData>
    <row r="1">
      <c r="A1" s="1" t="inlineStr">
        <is>
          <t>SCENARIO</t>
        </is>
      </c>
      <c r="B1" s="1" t="inlineStr">
        <is>
          <t>PERIODE</t>
        </is>
      </c>
      <c r="C1" s="1" t="inlineStr">
        <is>
          <t>ENTITY</t>
        </is>
      </c>
      <c r="D1" s="1" t="inlineStr">
        <is>
          <t>PROGRAMME</t>
        </is>
      </c>
      <c r="E1" s="1" t="inlineStr">
        <is>
          <t>AN_ETUDE</t>
        </is>
      </c>
      <c r="F1" s="1" t="inlineStr">
        <is>
          <t>MODALITE</t>
        </is>
      </c>
      <c r="G1" s="1" t="inlineStr">
        <is>
          <t>EXERCICE</t>
        </is>
      </c>
      <c r="H1" s="1" t="inlineStr">
        <is>
          <t>VOL_LEAD</t>
        </is>
      </c>
      <c r="I1" s="1" t="inlineStr">
        <is>
          <t>VOL_CAND</t>
        </is>
      </c>
      <c r="J1" s="1" t="inlineStr">
        <is>
          <t>VOL_ADMIS</t>
        </is>
      </c>
      <c r="K1" s="1" t="inlineStr">
        <is>
          <t>VOL_NEW</t>
        </is>
      </c>
      <c r="L1" s="1" t="inlineStr">
        <is>
          <t>VOL_REINS</t>
        </is>
      </c>
      <c r="M1" s="1" t="inlineStr">
        <is>
          <t>VOL_EFF</t>
        </is>
      </c>
      <c r="N1" s="1" t="inlineStr">
        <is>
          <t>VOL_EFF_INF</t>
        </is>
      </c>
      <c r="O1" s="1" t="inlineStr">
        <is>
          <t>VOL_CLASS</t>
        </is>
      </c>
      <c r="P1" s="1" t="inlineStr">
        <is>
          <t>REV_STUD</t>
        </is>
      </c>
      <c r="Q1" s="1" t="inlineStr">
        <is>
          <t>REV_FRAIS_INS</t>
        </is>
      </c>
      <c r="R1" s="1" t="inlineStr">
        <is>
          <t>VOL_LEAD_ORG</t>
        </is>
      </c>
      <c r="S1" s="1" t="inlineStr">
        <is>
          <t>VOL_LEAD_PAY</t>
        </is>
      </c>
      <c r="T1" s="1" t="inlineStr">
        <is>
          <t>DEPENSE_ACQ</t>
        </is>
      </c>
      <c r="U1" s="1" t="inlineStr">
        <is>
          <t>DEPENSE_MARQUE</t>
        </is>
      </c>
      <c r="V1" s="1" t="inlineStr">
        <is>
          <t>TX_PASSAGE</t>
        </is>
      </c>
      <c r="W1" s="1" t="inlineStr">
        <is>
          <t>TX_LEAD_CAND</t>
        </is>
      </c>
      <c r="X1" s="1" t="inlineStr">
        <is>
          <t>TX_CAND_ADMIS</t>
        </is>
      </c>
      <c r="Y1" s="1" t="inlineStr">
        <is>
          <t>TX_YIELD_ADMIS_INSC</t>
        </is>
      </c>
      <c r="Z1" s="1" t="inlineStr">
        <is>
          <t>VOL_LEAD_TOTAL</t>
        </is>
      </c>
      <c r="AA1" s="1" t="inlineStr">
        <is>
          <t>PART_ORG</t>
        </is>
      </c>
      <c r="AB1" s="1" t="inlineStr">
        <is>
          <t>CPL</t>
        </is>
      </c>
      <c r="AC1" s="1" t="inlineStr">
        <is>
          <t>CA</t>
        </is>
      </c>
    </row>
    <row r="2">
      <c r="A2" s="1" t="inlineStr">
        <is>
          <t>2027BUD_V1</t>
        </is>
      </c>
      <c r="B2" s="1" t="inlineStr">
        <is>
          <t>12</t>
        </is>
      </c>
      <c r="C2" s="1" t="inlineStr">
        <is>
          <t>MBWAY_PAR</t>
        </is>
      </c>
      <c r="D2" s="1" t="inlineStr">
        <is>
          <t>BAC_MGT</t>
        </is>
      </c>
      <c r="E2" s="1" t="inlineStr">
        <is>
          <t>B1</t>
        </is>
      </c>
      <c r="F2" s="1" t="inlineStr">
        <is>
          <t>INIT</t>
        </is>
      </c>
      <c r="G2" s="1" t="inlineStr">
        <is>
          <t>2026</t>
        </is>
      </c>
      <c r="H2" s="1" t="n">
        <v>646</v>
      </c>
      <c r="I2" s="1" t="n">
        <v>181</v>
      </c>
      <c r="J2" s="1" t="n">
        <v>130</v>
      </c>
      <c r="K2" s="1" t="n">
        <v>78</v>
      </c>
      <c r="L2" s="1" t="n">
        <v>0</v>
      </c>
      <c r="M2" s="1" t="n">
        <v>78</v>
      </c>
      <c r="N2" s="1" t="n">
        <v>0</v>
      </c>
      <c r="O2" s="1" t="n">
        <v>3</v>
      </c>
      <c r="P2" s="1" t="n">
        <v>8400</v>
      </c>
      <c r="Q2" s="1" t="n">
        <v>90</v>
      </c>
      <c r="R2" s="1" t="n">
        <v>232</v>
      </c>
      <c r="S2" s="1" t="n">
        <v>414</v>
      </c>
      <c r="T2" s="1" t="n">
        <v>22326</v>
      </c>
      <c r="U2" s="1" t="n">
        <v>21185</v>
      </c>
      <c r="V2" s="1" t="n">
        <v>0</v>
      </c>
      <c r="W2" s="1" t="n">
        <v>0.280185759</v>
      </c>
      <c r="X2" s="1" t="n">
        <v>0.718232044</v>
      </c>
      <c r="Y2" s="1" t="n">
        <v>0.6</v>
      </c>
      <c r="Z2" s="1" t="n">
        <v>646</v>
      </c>
      <c r="AA2" s="1" t="n">
        <v>0.359133127</v>
      </c>
      <c r="AB2" s="1" t="n">
        <v>53.927536232</v>
      </c>
      <c r="AC2" s="1" t="n">
        <v>662220</v>
      </c>
    </row>
    <row r="3">
      <c r="A3" s="1" t="inlineStr">
        <is>
          <t>2027BUD_V1</t>
        </is>
      </c>
      <c r="B3" s="1" t="inlineStr">
        <is>
          <t>12</t>
        </is>
      </c>
      <c r="C3" s="1" t="inlineStr">
        <is>
          <t>MBWAY_PAR</t>
        </is>
      </c>
      <c r="D3" s="1" t="inlineStr">
        <is>
          <t>BAC_MGT</t>
        </is>
      </c>
      <c r="E3" s="1" t="inlineStr">
        <is>
          <t>B2</t>
        </is>
      </c>
      <c r="F3" s="1" t="inlineStr">
        <is>
          <t>ALT</t>
        </is>
      </c>
      <c r="G3" s="1" t="inlineStr">
        <is>
          <t>2026</t>
        </is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76</v>
      </c>
      <c r="M3" s="1" t="n">
        <v>76</v>
      </c>
      <c r="N3" s="1" t="n">
        <v>78</v>
      </c>
      <c r="O3" s="1" t="n">
        <v>3</v>
      </c>
      <c r="P3" s="1" t="n">
        <v>7840</v>
      </c>
      <c r="Q3" s="1" t="n">
        <v>90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0.974358974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595840</v>
      </c>
    </row>
    <row r="4">
      <c r="A4" s="1" t="inlineStr">
        <is>
          <t>2027BUD_V1</t>
        </is>
      </c>
      <c r="B4" s="1" t="inlineStr">
        <is>
          <t>12</t>
        </is>
      </c>
      <c r="C4" s="1" t="inlineStr">
        <is>
          <t>MBWAY_PAR</t>
        </is>
      </c>
      <c r="D4" s="1" t="inlineStr">
        <is>
          <t>BAC_MGT</t>
        </is>
      </c>
      <c r="E4" s="1" t="inlineStr">
        <is>
          <t>B3</t>
        </is>
      </c>
      <c r="F4" s="1" t="inlineStr">
        <is>
          <t>ALT</t>
        </is>
      </c>
      <c r="G4" s="1" t="inlineStr">
        <is>
          <t>2026</t>
        </is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74</v>
      </c>
      <c r="M4" s="1" t="n">
        <v>74</v>
      </c>
      <c r="N4" s="1" t="n">
        <v>76</v>
      </c>
      <c r="O4" s="1" t="n">
        <v>3</v>
      </c>
      <c r="P4" s="1" t="n">
        <v>7840</v>
      </c>
      <c r="Q4" s="1" t="n">
        <v>90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0.973684211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580160</v>
      </c>
    </row>
    <row r="5">
      <c r="A5" s="1" t="inlineStr">
        <is>
          <t>2027BUD_V1</t>
        </is>
      </c>
      <c r="B5" s="1" t="inlineStr">
        <is>
          <t>12</t>
        </is>
      </c>
      <c r="C5" s="1" t="inlineStr">
        <is>
          <t>MBWAY_PAR</t>
        </is>
      </c>
      <c r="D5" s="1" t="inlineStr">
        <is>
          <t>MAS_MGT</t>
        </is>
      </c>
      <c r="E5" s="1" t="inlineStr">
        <is>
          <t>M1</t>
        </is>
      </c>
      <c r="F5" s="1" t="inlineStr">
        <is>
          <t>ALT</t>
        </is>
      </c>
      <c r="G5" s="1" t="inlineStr">
        <is>
          <t>2026</t>
        </is>
      </c>
      <c r="H5" s="1" t="n">
        <v>1330</v>
      </c>
      <c r="I5" s="1" t="n">
        <v>266</v>
      </c>
      <c r="J5" s="1" t="n">
        <v>186</v>
      </c>
      <c r="K5" s="1" t="n">
        <v>78</v>
      </c>
      <c r="L5" s="1" t="n">
        <v>0</v>
      </c>
      <c r="M5" s="1" t="n">
        <v>78</v>
      </c>
      <c r="N5" s="1" t="n">
        <v>0</v>
      </c>
      <c r="O5" s="1" t="n">
        <v>3</v>
      </c>
      <c r="P5" s="1" t="n">
        <v>8400</v>
      </c>
      <c r="Q5" s="1" t="n">
        <v>90</v>
      </c>
      <c r="R5" s="1" t="n">
        <v>479</v>
      </c>
      <c r="S5" s="1" t="n">
        <v>851</v>
      </c>
      <c r="T5" s="1" t="n">
        <v>45965</v>
      </c>
      <c r="U5" s="1" t="n">
        <v>43615</v>
      </c>
      <c r="V5" s="1" t="n">
        <v>0</v>
      </c>
      <c r="W5" s="1" t="n">
        <v>0.2</v>
      </c>
      <c r="X5" s="1" t="n">
        <v>0.69924812</v>
      </c>
      <c r="Y5" s="1" t="n">
        <v>0.419354839</v>
      </c>
      <c r="Z5" s="1" t="n">
        <v>1330</v>
      </c>
      <c r="AA5" s="1" t="n">
        <v>0.360150376</v>
      </c>
      <c r="AB5" s="1" t="n">
        <v>54.012925969</v>
      </c>
      <c r="AC5" s="1" t="n">
        <v>662220</v>
      </c>
    </row>
    <row r="6">
      <c r="A6" s="1" t="inlineStr">
        <is>
          <t>2027BUD_V1</t>
        </is>
      </c>
      <c r="B6" s="1" t="inlineStr">
        <is>
          <t>12</t>
        </is>
      </c>
      <c r="C6" s="1" t="inlineStr">
        <is>
          <t>MBWAY_PAR</t>
        </is>
      </c>
      <c r="D6" s="1" t="inlineStr">
        <is>
          <t>MAS_MGT</t>
        </is>
      </c>
      <c r="E6" s="1" t="inlineStr">
        <is>
          <t>M2</t>
        </is>
      </c>
      <c r="F6" s="1" t="inlineStr">
        <is>
          <t>ALT</t>
        </is>
      </c>
      <c r="G6" s="1" t="inlineStr">
        <is>
          <t>2026</t>
        </is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76</v>
      </c>
      <c r="M6" s="1" t="n">
        <v>76</v>
      </c>
      <c r="N6" s="1" t="n">
        <v>78</v>
      </c>
      <c r="O6" s="1" t="n">
        <v>3</v>
      </c>
      <c r="P6" s="1" t="n">
        <v>8400</v>
      </c>
      <c r="Q6" s="1" t="n">
        <v>90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0.974358974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638400</v>
      </c>
    </row>
    <row r="7">
      <c r="A7" s="1" t="inlineStr">
        <is>
          <t>2027BUD_V1</t>
        </is>
      </c>
      <c r="B7" s="1" t="inlineStr">
        <is>
          <t>12</t>
        </is>
      </c>
      <c r="C7" s="1" t="inlineStr">
        <is>
          <t>MBWAY_LYO</t>
        </is>
      </c>
      <c r="D7" s="1" t="inlineStr">
        <is>
          <t>BAC_MGT</t>
        </is>
      </c>
      <c r="E7" s="1" t="inlineStr">
        <is>
          <t>B1</t>
        </is>
      </c>
      <c r="F7" s="1" t="inlineStr">
        <is>
          <t>INIT</t>
        </is>
      </c>
      <c r="G7" s="1" t="inlineStr">
        <is>
          <t>2026</t>
        </is>
      </c>
      <c r="H7" s="1" t="n">
        <v>546</v>
      </c>
      <c r="I7" s="1" t="n">
        <v>153</v>
      </c>
      <c r="J7" s="1" t="n">
        <v>110</v>
      </c>
      <c r="K7" s="1" t="n">
        <v>66</v>
      </c>
      <c r="L7" s="1" t="n">
        <v>0</v>
      </c>
      <c r="M7" s="1" t="n">
        <v>66</v>
      </c>
      <c r="N7" s="1" t="n">
        <v>0</v>
      </c>
      <c r="O7" s="1" t="n">
        <v>3</v>
      </c>
      <c r="P7" s="1" t="n">
        <v>7875</v>
      </c>
      <c r="Q7" s="1" t="n">
        <v>90</v>
      </c>
      <c r="R7" s="1" t="n">
        <v>235</v>
      </c>
      <c r="S7" s="1" t="n">
        <v>311</v>
      </c>
      <c r="T7" s="1" t="n">
        <v>13694</v>
      </c>
      <c r="U7" s="1" t="n">
        <v>21386</v>
      </c>
      <c r="V7" s="1" t="n">
        <v>0</v>
      </c>
      <c r="W7" s="1" t="n">
        <v>0.28021978</v>
      </c>
      <c r="X7" s="1" t="n">
        <v>0.718954248</v>
      </c>
      <c r="Y7" s="1" t="n">
        <v>0.6</v>
      </c>
      <c r="Z7" s="1" t="n">
        <v>546</v>
      </c>
      <c r="AA7" s="1" t="n">
        <v>0.43040293</v>
      </c>
      <c r="AB7" s="1" t="n">
        <v>44.032154341</v>
      </c>
      <c r="AC7" s="1" t="n">
        <v>525690</v>
      </c>
    </row>
    <row r="8">
      <c r="A8" s="1" t="inlineStr">
        <is>
          <t>2027BUD_V1</t>
        </is>
      </c>
      <c r="B8" s="1" t="inlineStr">
        <is>
          <t>12</t>
        </is>
      </c>
      <c r="C8" s="1" t="inlineStr">
        <is>
          <t>MBWAY_LYO</t>
        </is>
      </c>
      <c r="D8" s="1" t="inlineStr">
        <is>
          <t>BAC_MGT</t>
        </is>
      </c>
      <c r="E8" s="1" t="inlineStr">
        <is>
          <t>B2</t>
        </is>
      </c>
      <c r="F8" s="1" t="inlineStr">
        <is>
          <t>ALT</t>
        </is>
      </c>
      <c r="G8" s="1" t="inlineStr">
        <is>
          <t>2026</t>
        </is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64</v>
      </c>
      <c r="M8" s="1" t="n">
        <v>64</v>
      </c>
      <c r="N8" s="1" t="n">
        <v>66</v>
      </c>
      <c r="O8" s="1" t="n">
        <v>2</v>
      </c>
      <c r="P8" s="1" t="n">
        <v>7350</v>
      </c>
      <c r="Q8" s="1" t="n">
        <v>90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0.96969697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470400</v>
      </c>
    </row>
    <row r="9">
      <c r="A9" s="1" t="inlineStr">
        <is>
          <t>2027BUD_V1</t>
        </is>
      </c>
      <c r="B9" s="1" t="inlineStr">
        <is>
          <t>12</t>
        </is>
      </c>
      <c r="C9" s="1" t="inlineStr">
        <is>
          <t>MBWAY_LYO</t>
        </is>
      </c>
      <c r="D9" s="1" t="inlineStr">
        <is>
          <t>BAC_MGT</t>
        </is>
      </c>
      <c r="E9" s="1" t="inlineStr">
        <is>
          <t>B3</t>
        </is>
      </c>
      <c r="F9" s="1" t="inlineStr">
        <is>
          <t>ALT</t>
        </is>
      </c>
      <c r="G9" s="1" t="inlineStr">
        <is>
          <t>2026</t>
        </is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63</v>
      </c>
      <c r="M9" s="1" t="n">
        <v>63</v>
      </c>
      <c r="N9" s="1" t="n">
        <v>64</v>
      </c>
      <c r="O9" s="1" t="n">
        <v>2</v>
      </c>
      <c r="P9" s="1" t="n">
        <v>7350</v>
      </c>
      <c r="Q9" s="1" t="n">
        <v>90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0.984375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463050</v>
      </c>
    </row>
    <row r="10">
      <c r="A10" s="1" t="inlineStr">
        <is>
          <t>2027BUD_V1</t>
        </is>
      </c>
      <c r="B10" s="1" t="inlineStr">
        <is>
          <t>12</t>
        </is>
      </c>
      <c r="C10" s="1" t="inlineStr">
        <is>
          <t>MBWAY_LYO</t>
        </is>
      </c>
      <c r="D10" s="1" t="inlineStr">
        <is>
          <t>MAS_MGT</t>
        </is>
      </c>
      <c r="E10" s="1" t="inlineStr">
        <is>
          <t>M1</t>
        </is>
      </c>
      <c r="F10" s="1" t="inlineStr">
        <is>
          <t>ALT</t>
        </is>
      </c>
      <c r="G10" s="1" t="inlineStr">
        <is>
          <t>2026</t>
        </is>
      </c>
      <c r="H10" s="1" t="n">
        <v>1120</v>
      </c>
      <c r="I10" s="1" t="n">
        <v>224</v>
      </c>
      <c r="J10" s="1" t="n">
        <v>157</v>
      </c>
      <c r="K10" s="1" t="n">
        <v>66</v>
      </c>
      <c r="L10" s="1" t="n">
        <v>0</v>
      </c>
      <c r="M10" s="1" t="n">
        <v>66</v>
      </c>
      <c r="N10" s="1" t="n">
        <v>0</v>
      </c>
      <c r="O10" s="1" t="n">
        <v>3</v>
      </c>
      <c r="P10" s="1" t="n">
        <v>7875</v>
      </c>
      <c r="Q10" s="1" t="n">
        <v>90</v>
      </c>
      <c r="R10" s="1" t="n">
        <v>481</v>
      </c>
      <c r="S10" s="1" t="n">
        <v>639</v>
      </c>
      <c r="T10" s="1" t="n">
        <v>28089</v>
      </c>
      <c r="U10" s="1" t="n">
        <v>43869</v>
      </c>
      <c r="V10" s="1" t="n">
        <v>0</v>
      </c>
      <c r="W10" s="1" t="n">
        <v>0.2</v>
      </c>
      <c r="X10" s="1" t="n">
        <v>0.700892857</v>
      </c>
      <c r="Y10" s="1" t="n">
        <v>0.420382166</v>
      </c>
      <c r="Z10" s="1" t="n">
        <v>1120</v>
      </c>
      <c r="AA10" s="1" t="n">
        <v>0.429464286</v>
      </c>
      <c r="AB10" s="1" t="n">
        <v>43.957746479</v>
      </c>
      <c r="AC10" s="1" t="n">
        <v>525690</v>
      </c>
    </row>
    <row r="11">
      <c r="A11" s="1" t="inlineStr">
        <is>
          <t>2027BUD_V1</t>
        </is>
      </c>
      <c r="B11" s="1" t="inlineStr">
        <is>
          <t>12</t>
        </is>
      </c>
      <c r="C11" s="1" t="inlineStr">
        <is>
          <t>MBWAY_LYO</t>
        </is>
      </c>
      <c r="D11" s="1" t="inlineStr">
        <is>
          <t>MAS_MGT</t>
        </is>
      </c>
      <c r="E11" s="1" t="inlineStr">
        <is>
          <t>M2</t>
        </is>
      </c>
      <c r="F11" s="1" t="inlineStr">
        <is>
          <t>ALT</t>
        </is>
      </c>
      <c r="G11" s="1" t="inlineStr">
        <is>
          <t>2026</t>
        </is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65</v>
      </c>
      <c r="M11" s="1" t="n">
        <v>65</v>
      </c>
      <c r="N11" s="1" t="n">
        <v>66</v>
      </c>
      <c r="O11" s="1" t="n">
        <v>3</v>
      </c>
      <c r="P11" s="1" t="n">
        <v>7875</v>
      </c>
      <c r="Q11" s="1" t="n">
        <v>90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0.984848485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511875</v>
      </c>
    </row>
    <row r="12">
      <c r="A12" s="1" t="inlineStr">
        <is>
          <t>2027BUD_V1</t>
        </is>
      </c>
      <c r="B12" s="1" t="inlineStr">
        <is>
          <t>12</t>
        </is>
      </c>
      <c r="C12" s="1" t="inlineStr">
        <is>
          <t>MBWAY_NAN</t>
        </is>
      </c>
      <c r="D12" s="1" t="inlineStr">
        <is>
          <t>BAC_MGT</t>
        </is>
      </c>
      <c r="E12" s="1" t="inlineStr">
        <is>
          <t>B1</t>
        </is>
      </c>
      <c r="F12" s="1" t="inlineStr">
        <is>
          <t>INIT</t>
        </is>
      </c>
      <c r="G12" s="1" t="inlineStr">
        <is>
          <t>2026</t>
        </is>
      </c>
      <c r="H12" s="1" t="n">
        <v>496</v>
      </c>
      <c r="I12" s="1" t="n">
        <v>139</v>
      </c>
      <c r="J12" s="1" t="n">
        <v>100</v>
      </c>
      <c r="K12" s="1" t="n">
        <v>60</v>
      </c>
      <c r="L12" s="1" t="n">
        <v>0</v>
      </c>
      <c r="M12" s="1" t="n">
        <v>60</v>
      </c>
      <c r="N12" s="1" t="n">
        <v>0</v>
      </c>
      <c r="O12" s="1" t="n">
        <v>2</v>
      </c>
      <c r="P12" s="1" t="n">
        <v>7500</v>
      </c>
      <c r="Q12" s="1" t="n">
        <v>90</v>
      </c>
      <c r="R12" s="1" t="n">
        <v>238</v>
      </c>
      <c r="S12" s="1" t="n">
        <v>258</v>
      </c>
      <c r="T12" s="1" t="n">
        <v>10317</v>
      </c>
      <c r="U12" s="1" t="n">
        <v>21708</v>
      </c>
      <c r="V12" s="1" t="n">
        <v>0</v>
      </c>
      <c r="W12" s="1" t="n">
        <v>0.280241935</v>
      </c>
      <c r="X12" s="1" t="n">
        <v>0.71942446</v>
      </c>
      <c r="Y12" s="1" t="n">
        <v>0.6</v>
      </c>
      <c r="Z12" s="1" t="n">
        <v>496</v>
      </c>
      <c r="AA12" s="1" t="n">
        <v>0.47983871</v>
      </c>
      <c r="AB12" s="1" t="n">
        <v>39.988372093</v>
      </c>
      <c r="AC12" s="1" t="n">
        <v>455400</v>
      </c>
    </row>
    <row r="13">
      <c r="A13" s="1" t="inlineStr">
        <is>
          <t>2027BUD_V1</t>
        </is>
      </c>
      <c r="B13" s="1" t="inlineStr">
        <is>
          <t>12</t>
        </is>
      </c>
      <c r="C13" s="1" t="inlineStr">
        <is>
          <t>MBWAY_NAN</t>
        </is>
      </c>
      <c r="D13" s="1" t="inlineStr">
        <is>
          <t>BAC_MGT</t>
        </is>
      </c>
      <c r="E13" s="1" t="inlineStr">
        <is>
          <t>B2</t>
        </is>
      </c>
      <c r="F13" s="1" t="inlineStr">
        <is>
          <t>ALT</t>
        </is>
      </c>
      <c r="G13" s="1" t="inlineStr">
        <is>
          <t>2026</t>
        </is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58</v>
      </c>
      <c r="M13" s="1" t="n">
        <v>58</v>
      </c>
      <c r="N13" s="1" t="n">
        <v>60</v>
      </c>
      <c r="O13" s="1" t="n">
        <v>2</v>
      </c>
      <c r="P13" s="1" t="n">
        <v>7000</v>
      </c>
      <c r="Q13" s="1" t="n">
        <v>90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0.966666667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406000</v>
      </c>
    </row>
    <row r="14">
      <c r="A14" s="1" t="inlineStr">
        <is>
          <t>2027BUD_V1</t>
        </is>
      </c>
      <c r="B14" s="1" t="inlineStr">
        <is>
          <t>12</t>
        </is>
      </c>
      <c r="C14" s="1" t="inlineStr">
        <is>
          <t>MBWAY_NAN</t>
        </is>
      </c>
      <c r="D14" s="1" t="inlineStr">
        <is>
          <t>BAC_MGT</t>
        </is>
      </c>
      <c r="E14" s="1" t="inlineStr">
        <is>
          <t>B3</t>
        </is>
      </c>
      <c r="F14" s="1" t="inlineStr">
        <is>
          <t>ALT</t>
        </is>
      </c>
      <c r="G14" s="1" t="inlineStr">
        <is>
          <t>2026</t>
        </is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57</v>
      </c>
      <c r="M14" s="1" t="n">
        <v>57</v>
      </c>
      <c r="N14" s="1" t="n">
        <v>58</v>
      </c>
      <c r="O14" s="1" t="n">
        <v>2</v>
      </c>
      <c r="P14" s="1" t="n">
        <v>7000</v>
      </c>
      <c r="Q14" s="1" t="n">
        <v>90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0.982758621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399000</v>
      </c>
    </row>
    <row r="15">
      <c r="A15" s="1" t="inlineStr">
        <is>
          <t>2027BUD_V1</t>
        </is>
      </c>
      <c r="B15" s="1" t="inlineStr">
        <is>
          <t>12</t>
        </is>
      </c>
      <c r="C15" s="1" t="inlineStr">
        <is>
          <t>MBWAY_NAN</t>
        </is>
      </c>
      <c r="D15" s="1" t="inlineStr">
        <is>
          <t>MAS_MGT</t>
        </is>
      </c>
      <c r="E15" s="1" t="inlineStr">
        <is>
          <t>M1</t>
        </is>
      </c>
      <c r="F15" s="1" t="inlineStr">
        <is>
          <t>ALT</t>
        </is>
      </c>
      <c r="G15" s="1" t="inlineStr">
        <is>
          <t>2026</t>
        </is>
      </c>
      <c r="H15" s="1" t="n">
        <v>1020</v>
      </c>
      <c r="I15" s="1" t="n">
        <v>204</v>
      </c>
      <c r="J15" s="1" t="n">
        <v>143</v>
      </c>
      <c r="K15" s="1" t="n">
        <v>60</v>
      </c>
      <c r="L15" s="1" t="n">
        <v>0</v>
      </c>
      <c r="M15" s="1" t="n">
        <v>60</v>
      </c>
      <c r="N15" s="1" t="n">
        <v>0</v>
      </c>
      <c r="O15" s="1" t="n">
        <v>3</v>
      </c>
      <c r="P15" s="1" t="n">
        <v>7500</v>
      </c>
      <c r="Q15" s="1" t="n">
        <v>90</v>
      </c>
      <c r="R15" s="1" t="n">
        <v>490</v>
      </c>
      <c r="S15" s="1" t="n">
        <v>530</v>
      </c>
      <c r="T15" s="1" t="n">
        <v>21216</v>
      </c>
      <c r="U15" s="1" t="n">
        <v>44641</v>
      </c>
      <c r="V15" s="1" t="n">
        <v>0</v>
      </c>
      <c r="W15" s="1" t="n">
        <v>0.2</v>
      </c>
      <c r="X15" s="1" t="n">
        <v>0.700980392</v>
      </c>
      <c r="Y15" s="1" t="n">
        <v>0.41958042</v>
      </c>
      <c r="Z15" s="1" t="n">
        <v>1020</v>
      </c>
      <c r="AA15" s="1" t="n">
        <v>0.480392157</v>
      </c>
      <c r="AB15" s="1" t="n">
        <v>40.030188679</v>
      </c>
      <c r="AC15" s="1" t="n">
        <v>455400</v>
      </c>
    </row>
    <row r="16">
      <c r="A16" s="1" t="inlineStr">
        <is>
          <t>2027BUD_V1</t>
        </is>
      </c>
      <c r="B16" s="1" t="inlineStr">
        <is>
          <t>12</t>
        </is>
      </c>
      <c r="C16" s="1" t="inlineStr">
        <is>
          <t>MBWAY_NAN</t>
        </is>
      </c>
      <c r="D16" s="1" t="inlineStr">
        <is>
          <t>MAS_MGT</t>
        </is>
      </c>
      <c r="E16" s="1" t="inlineStr">
        <is>
          <t>M2</t>
        </is>
      </c>
      <c r="F16" s="1" t="inlineStr">
        <is>
          <t>ALT</t>
        </is>
      </c>
      <c r="G16" s="1" t="inlineStr">
        <is>
          <t>2026</t>
        </is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59</v>
      </c>
      <c r="M16" s="1" t="n">
        <v>59</v>
      </c>
      <c r="N16" s="1" t="n">
        <v>60</v>
      </c>
      <c r="O16" s="1" t="n">
        <v>3</v>
      </c>
      <c r="P16" s="1" t="n">
        <v>7500</v>
      </c>
      <c r="Q16" s="1" t="n">
        <v>90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0.983333333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442500</v>
      </c>
    </row>
    <row r="17">
      <c r="A17" s="1" t="inlineStr">
        <is>
          <t>2027BUD_V1</t>
        </is>
      </c>
      <c r="B17" s="1" t="inlineStr">
        <is>
          <t>12</t>
        </is>
      </c>
      <c r="C17" s="1" t="inlineStr">
        <is>
          <t>MBWAY_BOR</t>
        </is>
      </c>
      <c r="D17" s="1" t="inlineStr">
        <is>
          <t>BAC_MGT</t>
        </is>
      </c>
      <c r="E17" s="1" t="inlineStr">
        <is>
          <t>B1</t>
        </is>
      </c>
      <c r="F17" s="1" t="inlineStr">
        <is>
          <t>INIT</t>
        </is>
      </c>
      <c r="G17" s="1" t="inlineStr">
        <is>
          <t>2026</t>
        </is>
      </c>
      <c r="H17" s="1" t="n">
        <v>421</v>
      </c>
      <c r="I17" s="1" t="n">
        <v>118</v>
      </c>
      <c r="J17" s="1" t="n">
        <v>85</v>
      </c>
      <c r="K17" s="1" t="n">
        <v>51</v>
      </c>
      <c r="L17" s="1" t="n">
        <v>0</v>
      </c>
      <c r="M17" s="1" t="n">
        <v>51</v>
      </c>
      <c r="N17" s="1" t="n">
        <v>0</v>
      </c>
      <c r="O17" s="1" t="n">
        <v>2</v>
      </c>
      <c r="P17" s="1" t="n">
        <v>7275</v>
      </c>
      <c r="Q17" s="1" t="n">
        <v>90</v>
      </c>
      <c r="R17" s="1" t="n">
        <v>206</v>
      </c>
      <c r="S17" s="1" t="n">
        <v>215</v>
      </c>
      <c r="T17" s="1" t="n">
        <v>8159</v>
      </c>
      <c r="U17" s="1" t="n">
        <v>18797</v>
      </c>
      <c r="V17" s="1" t="n">
        <v>0</v>
      </c>
      <c r="W17" s="1" t="n">
        <v>0.280285036</v>
      </c>
      <c r="X17" s="1" t="n">
        <v>0.720338983</v>
      </c>
      <c r="Y17" s="1" t="n">
        <v>0.6</v>
      </c>
      <c r="Z17" s="1" t="n">
        <v>421</v>
      </c>
      <c r="AA17" s="1" t="n">
        <v>0.489311164</v>
      </c>
      <c r="AB17" s="1" t="n">
        <v>37.948837209</v>
      </c>
      <c r="AC17" s="1" t="n">
        <v>375615</v>
      </c>
    </row>
    <row r="18">
      <c r="A18" s="1" t="inlineStr">
        <is>
          <t>2027BUD_V1</t>
        </is>
      </c>
      <c r="B18" s="1" t="inlineStr">
        <is>
          <t>12</t>
        </is>
      </c>
      <c r="C18" s="1" t="inlineStr">
        <is>
          <t>MBWAY_BOR</t>
        </is>
      </c>
      <c r="D18" s="1" t="inlineStr">
        <is>
          <t>BAC_MGT</t>
        </is>
      </c>
      <c r="E18" s="1" t="inlineStr">
        <is>
          <t>B2</t>
        </is>
      </c>
      <c r="F18" s="1" t="inlineStr">
        <is>
          <t>ALT</t>
        </is>
      </c>
      <c r="G18" s="1" t="inlineStr">
        <is>
          <t>2026</t>
        </is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49</v>
      </c>
      <c r="M18" s="1" t="n">
        <v>49</v>
      </c>
      <c r="N18" s="1" t="n">
        <v>51</v>
      </c>
      <c r="O18" s="1" t="n">
        <v>2</v>
      </c>
      <c r="P18" s="1" t="n">
        <v>6790</v>
      </c>
      <c r="Q18" s="1" t="n">
        <v>90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0.960784314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332710</v>
      </c>
    </row>
    <row r="19">
      <c r="A19" s="1" t="inlineStr">
        <is>
          <t>2027BUD_V1</t>
        </is>
      </c>
      <c r="B19" s="1" t="inlineStr">
        <is>
          <t>12</t>
        </is>
      </c>
      <c r="C19" s="1" t="inlineStr">
        <is>
          <t>MBWAY_BOR</t>
        </is>
      </c>
      <c r="D19" s="1" t="inlineStr">
        <is>
          <t>BAC_MGT</t>
        </is>
      </c>
      <c r="E19" s="1" t="inlineStr">
        <is>
          <t>B3</t>
        </is>
      </c>
      <c r="F19" s="1" t="inlineStr">
        <is>
          <t>ALT</t>
        </is>
      </c>
      <c r="G19" s="1" t="inlineStr">
        <is>
          <t>2026</t>
        </is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48</v>
      </c>
      <c r="M19" s="1" t="n">
        <v>48</v>
      </c>
      <c r="N19" s="1" t="n">
        <v>49</v>
      </c>
      <c r="O19" s="1" t="n">
        <v>2</v>
      </c>
      <c r="P19" s="1" t="n">
        <v>6790</v>
      </c>
      <c r="Q19" s="1" t="n">
        <v>90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0.979591837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325920</v>
      </c>
    </row>
    <row r="20">
      <c r="A20" s="1" t="inlineStr">
        <is>
          <t>2027BUD_V1</t>
        </is>
      </c>
      <c r="B20" s="1" t="inlineStr">
        <is>
          <t>12</t>
        </is>
      </c>
      <c r="C20" s="1" t="inlineStr">
        <is>
          <t>MBWAY_BOR</t>
        </is>
      </c>
      <c r="D20" s="1" t="inlineStr">
        <is>
          <t>MAS_MGT</t>
        </is>
      </c>
      <c r="E20" s="1" t="inlineStr">
        <is>
          <t>M1</t>
        </is>
      </c>
      <c r="F20" s="1" t="inlineStr">
        <is>
          <t>ALT</t>
        </is>
      </c>
      <c r="G20" s="1" t="inlineStr">
        <is>
          <t>2026</t>
        </is>
      </c>
      <c r="H20" s="1" t="n">
        <v>865</v>
      </c>
      <c r="I20" s="1" t="n">
        <v>173</v>
      </c>
      <c r="J20" s="1" t="n">
        <v>121</v>
      </c>
      <c r="K20" s="1" t="n">
        <v>51</v>
      </c>
      <c r="L20" s="1" t="n">
        <v>0</v>
      </c>
      <c r="M20" s="1" t="n">
        <v>51</v>
      </c>
      <c r="N20" s="1" t="n">
        <v>0</v>
      </c>
      <c r="O20" s="1" t="n">
        <v>2</v>
      </c>
      <c r="P20" s="1" t="n">
        <v>7275</v>
      </c>
      <c r="Q20" s="1" t="n">
        <v>90</v>
      </c>
      <c r="R20" s="1" t="n">
        <v>424</v>
      </c>
      <c r="S20" s="1" t="n">
        <v>441</v>
      </c>
      <c r="T20" s="1" t="n">
        <v>16764</v>
      </c>
      <c r="U20" s="1" t="n">
        <v>38621</v>
      </c>
      <c r="V20" s="1" t="n">
        <v>0</v>
      </c>
      <c r="W20" s="1" t="n">
        <v>0.2</v>
      </c>
      <c r="X20" s="1" t="n">
        <v>0.699421965</v>
      </c>
      <c r="Y20" s="1" t="n">
        <v>0.421487603</v>
      </c>
      <c r="Z20" s="1" t="n">
        <v>865</v>
      </c>
      <c r="AA20" s="1" t="n">
        <v>0.49017341</v>
      </c>
      <c r="AB20" s="1" t="n">
        <v>38.013605442</v>
      </c>
      <c r="AC20" s="1" t="n">
        <v>375615</v>
      </c>
    </row>
    <row r="21">
      <c r="A21" s="1" t="inlineStr">
        <is>
          <t>2027BUD_V1</t>
        </is>
      </c>
      <c r="B21" s="1" t="inlineStr">
        <is>
          <t>12</t>
        </is>
      </c>
      <c r="C21" s="1" t="inlineStr">
        <is>
          <t>MBWAY_BOR</t>
        </is>
      </c>
      <c r="D21" s="1" t="inlineStr">
        <is>
          <t>MAS_MGT</t>
        </is>
      </c>
      <c r="E21" s="1" t="inlineStr">
        <is>
          <t>M2</t>
        </is>
      </c>
      <c r="F21" s="1" t="inlineStr">
        <is>
          <t>ALT</t>
        </is>
      </c>
      <c r="G21" s="1" t="inlineStr">
        <is>
          <t>2026</t>
        </is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50</v>
      </c>
      <c r="M21" s="1" t="n">
        <v>50</v>
      </c>
      <c r="N21" s="1" t="n">
        <v>51</v>
      </c>
      <c r="O21" s="1" t="n">
        <v>2</v>
      </c>
      <c r="P21" s="1" t="n">
        <v>7275</v>
      </c>
      <c r="Q21" s="1" t="n">
        <v>90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0.980392157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363750</v>
      </c>
    </row>
    <row r="22">
      <c r="A22" s="1" t="inlineStr">
        <is>
          <t>2027BUD_V1</t>
        </is>
      </c>
      <c r="B22" s="1" t="inlineStr">
        <is>
          <t>12</t>
        </is>
      </c>
      <c r="C22" s="1" t="inlineStr">
        <is>
          <t>ISCOM_PAR</t>
        </is>
      </c>
      <c r="D22" s="1" t="inlineStr">
        <is>
          <t>BAC_COM</t>
        </is>
      </c>
      <c r="E22" s="1" t="inlineStr">
        <is>
          <t>B1</t>
        </is>
      </c>
      <c r="F22" s="1" t="inlineStr">
        <is>
          <t>INIT</t>
        </is>
      </c>
      <c r="G22" s="1" t="inlineStr">
        <is>
          <t>2026</t>
        </is>
      </c>
      <c r="H22" s="1" t="n">
        <v>596</v>
      </c>
      <c r="I22" s="1" t="n">
        <v>167</v>
      </c>
      <c r="J22" s="1" t="n">
        <v>120</v>
      </c>
      <c r="K22" s="1" t="n">
        <v>72</v>
      </c>
      <c r="L22" s="1" t="n">
        <v>0</v>
      </c>
      <c r="M22" s="1" t="n">
        <v>72</v>
      </c>
      <c r="N22" s="1" t="n">
        <v>0</v>
      </c>
      <c r="O22" s="1" t="n">
        <v>3</v>
      </c>
      <c r="P22" s="1" t="n">
        <v>8400</v>
      </c>
      <c r="Q22" s="1" t="n">
        <v>90</v>
      </c>
      <c r="R22" s="1" t="n">
        <v>226</v>
      </c>
      <c r="S22" s="1" t="n">
        <v>370</v>
      </c>
      <c r="T22" s="1" t="n">
        <v>19954</v>
      </c>
      <c r="U22" s="1" t="n">
        <v>20639</v>
      </c>
      <c r="V22" s="1" t="n">
        <v>0</v>
      </c>
      <c r="W22" s="1" t="n">
        <v>0.280201342</v>
      </c>
      <c r="X22" s="1" t="n">
        <v>0.718562874</v>
      </c>
      <c r="Y22" s="1" t="n">
        <v>0.6</v>
      </c>
      <c r="Z22" s="1" t="n">
        <v>596</v>
      </c>
      <c r="AA22" s="1" t="n">
        <v>0.379194631</v>
      </c>
      <c r="AB22" s="1" t="n">
        <v>53.92972973</v>
      </c>
      <c r="AC22" s="1" t="n">
        <v>611280</v>
      </c>
    </row>
    <row r="23">
      <c r="A23" s="1" t="inlineStr">
        <is>
          <t>2027BUD_V1</t>
        </is>
      </c>
      <c r="B23" s="1" t="inlineStr">
        <is>
          <t>12</t>
        </is>
      </c>
      <c r="C23" s="1" t="inlineStr">
        <is>
          <t>ISCOM_PAR</t>
        </is>
      </c>
      <c r="D23" s="1" t="inlineStr">
        <is>
          <t>BAC_COM</t>
        </is>
      </c>
      <c r="E23" s="1" t="inlineStr">
        <is>
          <t>B2</t>
        </is>
      </c>
      <c r="F23" s="1" t="inlineStr">
        <is>
          <t>ALT</t>
        </is>
      </c>
      <c r="G23" s="1" t="inlineStr">
        <is>
          <t>2026</t>
        </is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70</v>
      </c>
      <c r="M23" s="1" t="n">
        <v>70</v>
      </c>
      <c r="N23" s="1" t="n">
        <v>72</v>
      </c>
      <c r="O23" s="1" t="n">
        <v>3</v>
      </c>
      <c r="P23" s="1" t="n">
        <v>7840</v>
      </c>
      <c r="Q23" s="1" t="n">
        <v>90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0.972222222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548800</v>
      </c>
    </row>
    <row r="24">
      <c r="A24" s="1" t="inlineStr">
        <is>
          <t>2027BUD_V1</t>
        </is>
      </c>
      <c r="B24" s="1" t="inlineStr">
        <is>
          <t>12</t>
        </is>
      </c>
      <c r="C24" s="1" t="inlineStr">
        <is>
          <t>ISCOM_PAR</t>
        </is>
      </c>
      <c r="D24" s="1" t="inlineStr">
        <is>
          <t>BAC_COM</t>
        </is>
      </c>
      <c r="E24" s="1" t="inlineStr">
        <is>
          <t>B3</t>
        </is>
      </c>
      <c r="F24" s="1" t="inlineStr">
        <is>
          <t>ALT</t>
        </is>
      </c>
      <c r="G24" s="1" t="inlineStr">
        <is>
          <t>2026</t>
        </is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69</v>
      </c>
      <c r="M24" s="1" t="n">
        <v>69</v>
      </c>
      <c r="N24" s="1" t="n">
        <v>70</v>
      </c>
      <c r="O24" s="1" t="n">
        <v>3</v>
      </c>
      <c r="P24" s="1" t="n">
        <v>7840</v>
      </c>
      <c r="Q24" s="1" t="n">
        <v>90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0.985714286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540960</v>
      </c>
    </row>
    <row r="25">
      <c r="A25" s="1" t="inlineStr">
        <is>
          <t>2027BUD_V1</t>
        </is>
      </c>
      <c r="B25" s="1" t="inlineStr">
        <is>
          <t>12</t>
        </is>
      </c>
      <c r="C25" s="1" t="inlineStr">
        <is>
          <t>ISCOM_PAR</t>
        </is>
      </c>
      <c r="D25" s="1" t="inlineStr">
        <is>
          <t>MAS_COM</t>
        </is>
      </c>
      <c r="E25" s="1" t="inlineStr">
        <is>
          <t>M1</t>
        </is>
      </c>
      <c r="F25" s="1" t="inlineStr">
        <is>
          <t>ALT</t>
        </is>
      </c>
      <c r="G25" s="1" t="inlineStr">
        <is>
          <t>2026</t>
        </is>
      </c>
      <c r="H25" s="1" t="n">
        <v>1220</v>
      </c>
      <c r="I25" s="1" t="n">
        <v>244</v>
      </c>
      <c r="J25" s="1" t="n">
        <v>171</v>
      </c>
      <c r="K25" s="1" t="n">
        <v>72</v>
      </c>
      <c r="L25" s="1" t="n">
        <v>0</v>
      </c>
      <c r="M25" s="1" t="n">
        <v>72</v>
      </c>
      <c r="N25" s="1" t="n">
        <v>0</v>
      </c>
      <c r="O25" s="1" t="n">
        <v>3</v>
      </c>
      <c r="P25" s="1" t="n">
        <v>8400</v>
      </c>
      <c r="Q25" s="1" t="n">
        <v>90</v>
      </c>
      <c r="R25" s="1" t="n">
        <v>464</v>
      </c>
      <c r="S25" s="1" t="n">
        <v>756</v>
      </c>
      <c r="T25" s="1" t="n">
        <v>40846</v>
      </c>
      <c r="U25" s="1" t="n">
        <v>42247</v>
      </c>
      <c r="V25" s="1" t="n">
        <v>0</v>
      </c>
      <c r="W25" s="1" t="n">
        <v>0.2</v>
      </c>
      <c r="X25" s="1" t="n">
        <v>0.7008196719999999</v>
      </c>
      <c r="Y25" s="1" t="n">
        <v>0.421052632</v>
      </c>
      <c r="Z25" s="1" t="n">
        <v>1220</v>
      </c>
      <c r="AA25" s="1" t="n">
        <v>0.380327869</v>
      </c>
      <c r="AB25" s="1" t="n">
        <v>54.029100529</v>
      </c>
      <c r="AC25" s="1" t="n">
        <v>611280</v>
      </c>
    </row>
    <row r="26">
      <c r="A26" s="1" t="inlineStr">
        <is>
          <t>2027BUD_V1</t>
        </is>
      </c>
      <c r="B26" s="1" t="inlineStr">
        <is>
          <t>12</t>
        </is>
      </c>
      <c r="C26" s="1" t="inlineStr">
        <is>
          <t>ISCOM_PAR</t>
        </is>
      </c>
      <c r="D26" s="1" t="inlineStr">
        <is>
          <t>MAS_COM</t>
        </is>
      </c>
      <c r="E26" s="1" t="inlineStr">
        <is>
          <t>M2</t>
        </is>
      </c>
      <c r="F26" s="1" t="inlineStr">
        <is>
          <t>ALT</t>
        </is>
      </c>
      <c r="G26" s="1" t="inlineStr">
        <is>
          <t>2026</t>
        </is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71</v>
      </c>
      <c r="M26" s="1" t="n">
        <v>71</v>
      </c>
      <c r="N26" s="1" t="n">
        <v>72</v>
      </c>
      <c r="O26" s="1" t="n">
        <v>3</v>
      </c>
      <c r="P26" s="1" t="n">
        <v>8400</v>
      </c>
      <c r="Q26" s="1" t="n">
        <v>90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0.986111111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596400</v>
      </c>
    </row>
    <row r="27">
      <c r="A27" s="1" t="inlineStr">
        <is>
          <t>2027BUD_V1</t>
        </is>
      </c>
      <c r="B27" s="1" t="inlineStr">
        <is>
          <t>12</t>
        </is>
      </c>
      <c r="C27" s="1" t="inlineStr">
        <is>
          <t>ISCOM_LIL</t>
        </is>
      </c>
      <c r="D27" s="1" t="inlineStr">
        <is>
          <t>BAC_COM</t>
        </is>
      </c>
      <c r="E27" s="1" t="inlineStr">
        <is>
          <t>B1</t>
        </is>
      </c>
      <c r="F27" s="1" t="inlineStr">
        <is>
          <t>INIT</t>
        </is>
      </c>
      <c r="G27" s="1" t="inlineStr">
        <is>
          <t>2026</t>
        </is>
      </c>
      <c r="H27" s="1" t="n">
        <v>411</v>
      </c>
      <c r="I27" s="1" t="n">
        <v>115</v>
      </c>
      <c r="J27" s="1" t="n">
        <v>83</v>
      </c>
      <c r="K27" s="1" t="n">
        <v>50</v>
      </c>
      <c r="L27" s="1" t="n">
        <v>0</v>
      </c>
      <c r="M27" s="1" t="n">
        <v>50</v>
      </c>
      <c r="N27" s="1" t="n">
        <v>0</v>
      </c>
      <c r="O27" s="1" t="n">
        <v>2</v>
      </c>
      <c r="P27" s="1" t="n">
        <v>7350</v>
      </c>
      <c r="Q27" s="1" t="n">
        <v>90</v>
      </c>
      <c r="R27" s="1" t="n">
        <v>205</v>
      </c>
      <c r="S27" s="1" t="n">
        <v>205</v>
      </c>
      <c r="T27" s="1" t="n">
        <v>8220</v>
      </c>
      <c r="U27" s="1" t="n">
        <v>18714</v>
      </c>
      <c r="V27" s="1" t="n">
        <v>0</v>
      </c>
      <c r="W27" s="1" t="n">
        <v>0.279805353</v>
      </c>
      <c r="X27" s="1" t="n">
        <v>0.72173913</v>
      </c>
      <c r="Y27" s="1" t="n">
        <v>0.602409639</v>
      </c>
      <c r="Z27" s="1" t="n">
        <v>410</v>
      </c>
      <c r="AA27" s="1" t="n">
        <v>0.5</v>
      </c>
      <c r="AB27" s="1" t="n">
        <v>40.097560976</v>
      </c>
      <c r="AC27" s="1" t="n">
        <v>372000</v>
      </c>
    </row>
    <row r="28">
      <c r="A28" s="1" t="inlineStr">
        <is>
          <t>2027BUD_V1</t>
        </is>
      </c>
      <c r="B28" s="1" t="inlineStr">
        <is>
          <t>12</t>
        </is>
      </c>
      <c r="C28" s="1" t="inlineStr">
        <is>
          <t>ISCOM_LIL</t>
        </is>
      </c>
      <c r="D28" s="1" t="inlineStr">
        <is>
          <t>BAC_COM</t>
        </is>
      </c>
      <c r="E28" s="1" t="inlineStr">
        <is>
          <t>B2</t>
        </is>
      </c>
      <c r="F28" s="1" t="inlineStr">
        <is>
          <t>ALT</t>
        </is>
      </c>
      <c r="G28" s="1" t="inlineStr">
        <is>
          <t>2026</t>
        </is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48</v>
      </c>
      <c r="M28" s="1" t="n">
        <v>48</v>
      </c>
      <c r="N28" s="1" t="n">
        <v>50</v>
      </c>
      <c r="O28" s="1" t="n">
        <v>2</v>
      </c>
      <c r="P28" s="1" t="n">
        <v>6860</v>
      </c>
      <c r="Q28" s="1" t="n">
        <v>90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0.96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329280</v>
      </c>
    </row>
    <row r="29">
      <c r="A29" s="1" t="inlineStr">
        <is>
          <t>2027BUD_V1</t>
        </is>
      </c>
      <c r="B29" s="1" t="inlineStr">
        <is>
          <t>12</t>
        </is>
      </c>
      <c r="C29" s="1" t="inlineStr">
        <is>
          <t>ISCOM_LIL</t>
        </is>
      </c>
      <c r="D29" s="1" t="inlineStr">
        <is>
          <t>BAC_COM</t>
        </is>
      </c>
      <c r="E29" s="1" t="inlineStr">
        <is>
          <t>B3</t>
        </is>
      </c>
      <c r="F29" s="1" t="inlineStr">
        <is>
          <t>ALT</t>
        </is>
      </c>
      <c r="G29" s="1" t="inlineStr">
        <is>
          <t>2026</t>
        </is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47</v>
      </c>
      <c r="M29" s="1" t="n">
        <v>47</v>
      </c>
      <c r="N29" s="1" t="n">
        <v>48</v>
      </c>
      <c r="O29" s="1" t="n">
        <v>2</v>
      </c>
      <c r="P29" s="1" t="n">
        <v>6860</v>
      </c>
      <c r="Q29" s="1" t="n">
        <v>90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0.979166667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322420</v>
      </c>
    </row>
    <row r="30">
      <c r="A30" s="1" t="inlineStr">
        <is>
          <t>2027BUD_V1</t>
        </is>
      </c>
      <c r="B30" s="1" t="inlineStr">
        <is>
          <t>12</t>
        </is>
      </c>
      <c r="C30" s="1" t="inlineStr">
        <is>
          <t>ISCOM_LIL</t>
        </is>
      </c>
      <c r="D30" s="1" t="inlineStr">
        <is>
          <t>MAS_COM</t>
        </is>
      </c>
      <c r="E30" s="1" t="inlineStr">
        <is>
          <t>M1</t>
        </is>
      </c>
      <c r="F30" s="1" t="inlineStr">
        <is>
          <t>ALT</t>
        </is>
      </c>
      <c r="G30" s="1" t="inlineStr">
        <is>
          <t>2026</t>
        </is>
      </c>
      <c r="H30" s="1" t="n">
        <v>850</v>
      </c>
      <c r="I30" s="1" t="n">
        <v>170</v>
      </c>
      <c r="J30" s="1" t="n">
        <v>119</v>
      </c>
      <c r="K30" s="1" t="n">
        <v>50</v>
      </c>
      <c r="L30" s="1" t="n">
        <v>0</v>
      </c>
      <c r="M30" s="1" t="n">
        <v>50</v>
      </c>
      <c r="N30" s="1" t="n">
        <v>0</v>
      </c>
      <c r="O30" s="1" t="n">
        <v>2</v>
      </c>
      <c r="P30" s="1" t="n">
        <v>7350</v>
      </c>
      <c r="Q30" s="1" t="n">
        <v>90</v>
      </c>
      <c r="R30" s="1" t="n">
        <v>425</v>
      </c>
      <c r="S30" s="1" t="n">
        <v>425</v>
      </c>
      <c r="T30" s="1" t="n">
        <v>17000</v>
      </c>
      <c r="U30" s="1" t="n">
        <v>38704</v>
      </c>
      <c r="V30" s="1" t="n">
        <v>0</v>
      </c>
      <c r="W30" s="1" t="n">
        <v>0.2</v>
      </c>
      <c r="X30" s="1" t="n">
        <v>0.7</v>
      </c>
      <c r="Y30" s="1" t="n">
        <v>0.420168067</v>
      </c>
      <c r="Z30" s="1" t="n">
        <v>850</v>
      </c>
      <c r="AA30" s="1" t="n">
        <v>0.5</v>
      </c>
      <c r="AB30" s="1" t="n">
        <v>40</v>
      </c>
      <c r="AC30" s="1" t="n">
        <v>372000</v>
      </c>
    </row>
    <row r="31">
      <c r="A31" s="1" t="inlineStr">
        <is>
          <t>2027BUD_V1</t>
        </is>
      </c>
      <c r="B31" s="1" t="inlineStr">
        <is>
          <t>12</t>
        </is>
      </c>
      <c r="C31" s="1" t="inlineStr">
        <is>
          <t>ISCOM_LIL</t>
        </is>
      </c>
      <c r="D31" s="1" t="inlineStr">
        <is>
          <t>MAS_COM</t>
        </is>
      </c>
      <c r="E31" s="1" t="inlineStr">
        <is>
          <t>M2</t>
        </is>
      </c>
      <c r="F31" s="1" t="inlineStr">
        <is>
          <t>ALT</t>
        </is>
      </c>
      <c r="G31" s="1" t="inlineStr">
        <is>
          <t>2026</t>
        </is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49</v>
      </c>
      <c r="M31" s="1" t="n">
        <v>49</v>
      </c>
      <c r="N31" s="1" t="n">
        <v>50</v>
      </c>
      <c r="O31" s="1" t="n">
        <v>2</v>
      </c>
      <c r="P31" s="1" t="n">
        <v>7350</v>
      </c>
      <c r="Q31" s="1" t="n">
        <v>90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0.98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360150</v>
      </c>
    </row>
    <row r="32">
      <c r="A32" s="1" t="inlineStr">
        <is>
          <t>2027BUD_V1</t>
        </is>
      </c>
      <c r="B32" s="1" t="inlineStr">
        <is>
          <t>12</t>
        </is>
      </c>
      <c r="C32" s="1" t="inlineStr">
        <is>
          <t>ISCOM_TLS</t>
        </is>
      </c>
      <c r="D32" s="1" t="inlineStr">
        <is>
          <t>BAC_COM</t>
        </is>
      </c>
      <c r="E32" s="1" t="inlineStr">
        <is>
          <t>B1</t>
        </is>
      </c>
      <c r="F32" s="1" t="inlineStr">
        <is>
          <t>INIT</t>
        </is>
      </c>
      <c r="G32" s="1" t="inlineStr">
        <is>
          <t>2026</t>
        </is>
      </c>
      <c r="H32" s="1" t="n">
        <v>386</v>
      </c>
      <c r="I32" s="1" t="n">
        <v>108</v>
      </c>
      <c r="J32" s="1" t="n">
        <v>78</v>
      </c>
      <c r="K32" s="1" t="n">
        <v>47</v>
      </c>
      <c r="L32" s="1" t="n">
        <v>0</v>
      </c>
      <c r="M32" s="1" t="n">
        <v>47</v>
      </c>
      <c r="N32" s="1" t="n">
        <v>0</v>
      </c>
      <c r="O32" s="1" t="n">
        <v>2</v>
      </c>
      <c r="P32" s="1" t="n">
        <v>7200</v>
      </c>
      <c r="Q32" s="1" t="n">
        <v>90</v>
      </c>
      <c r="R32" s="1" t="n">
        <v>197</v>
      </c>
      <c r="S32" s="1" t="n">
        <v>189</v>
      </c>
      <c r="T32" s="1" t="n">
        <v>7187</v>
      </c>
      <c r="U32" s="1" t="n">
        <v>17946</v>
      </c>
      <c r="V32" s="1" t="n">
        <v>0</v>
      </c>
      <c r="W32" s="1" t="n">
        <v>0.279792746</v>
      </c>
      <c r="X32" s="1" t="n">
        <v>0.722222222</v>
      </c>
      <c r="Y32" s="1" t="n">
        <v>0.602564103</v>
      </c>
      <c r="Z32" s="1" t="n">
        <v>386</v>
      </c>
      <c r="AA32" s="1" t="n">
        <v>0.510362694</v>
      </c>
      <c r="AB32" s="1" t="n">
        <v>38.026455026</v>
      </c>
      <c r="AC32" s="1" t="n">
        <v>342630</v>
      </c>
    </row>
    <row r="33">
      <c r="A33" s="1" t="inlineStr">
        <is>
          <t>2027BUD_V1</t>
        </is>
      </c>
      <c r="B33" s="1" t="inlineStr">
        <is>
          <t>12</t>
        </is>
      </c>
      <c r="C33" s="1" t="inlineStr">
        <is>
          <t>ISCOM_TLS</t>
        </is>
      </c>
      <c r="D33" s="1" t="inlineStr">
        <is>
          <t>BAC_COM</t>
        </is>
      </c>
      <c r="E33" s="1" t="inlineStr">
        <is>
          <t>B2</t>
        </is>
      </c>
      <c r="F33" s="1" t="inlineStr">
        <is>
          <t>ALT</t>
        </is>
      </c>
      <c r="G33" s="1" t="inlineStr">
        <is>
          <t>2026</t>
        </is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46</v>
      </c>
      <c r="M33" s="1" t="n">
        <v>46</v>
      </c>
      <c r="N33" s="1" t="n">
        <v>47</v>
      </c>
      <c r="O33" s="1" t="n">
        <v>2</v>
      </c>
      <c r="P33" s="1" t="n">
        <v>6720</v>
      </c>
      <c r="Q33" s="1" t="n">
        <v>90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0.978723404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309120</v>
      </c>
    </row>
    <row r="34">
      <c r="A34" s="1" t="inlineStr">
        <is>
          <t>2027BUD_V1</t>
        </is>
      </c>
      <c r="B34" s="1" t="inlineStr">
        <is>
          <t>12</t>
        </is>
      </c>
      <c r="C34" s="1" t="inlineStr">
        <is>
          <t>ISCOM_TLS</t>
        </is>
      </c>
      <c r="D34" s="1" t="inlineStr">
        <is>
          <t>BAC_COM</t>
        </is>
      </c>
      <c r="E34" s="1" t="inlineStr">
        <is>
          <t>B3</t>
        </is>
      </c>
      <c r="F34" s="1" t="inlineStr">
        <is>
          <t>ALT</t>
        </is>
      </c>
      <c r="G34" s="1" t="inlineStr">
        <is>
          <t>2026</t>
        </is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45</v>
      </c>
      <c r="M34" s="1" t="n">
        <v>45</v>
      </c>
      <c r="N34" s="1" t="n">
        <v>46</v>
      </c>
      <c r="O34" s="1" t="n">
        <v>2</v>
      </c>
      <c r="P34" s="1" t="n">
        <v>6720</v>
      </c>
      <c r="Q34" s="1" t="n">
        <v>90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0.9782608699999999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302400</v>
      </c>
    </row>
    <row r="35">
      <c r="A35" s="1" t="inlineStr">
        <is>
          <t>2027BUD_V1</t>
        </is>
      </c>
      <c r="B35" s="1" t="inlineStr">
        <is>
          <t>12</t>
        </is>
      </c>
      <c r="C35" s="1" t="inlineStr">
        <is>
          <t>ISCOM_TLS</t>
        </is>
      </c>
      <c r="D35" s="1" t="inlineStr">
        <is>
          <t>MAS_COM</t>
        </is>
      </c>
      <c r="E35" s="1" t="inlineStr">
        <is>
          <t>M1</t>
        </is>
      </c>
      <c r="F35" s="1" t="inlineStr">
        <is>
          <t>ALT</t>
        </is>
      </c>
      <c r="G35" s="1" t="inlineStr">
        <is>
          <t>2026</t>
        </is>
      </c>
      <c r="H35" s="1" t="n">
        <v>800</v>
      </c>
      <c r="I35" s="1" t="n">
        <v>160</v>
      </c>
      <c r="J35" s="1" t="n">
        <v>112</v>
      </c>
      <c r="K35" s="1" t="n">
        <v>47</v>
      </c>
      <c r="L35" s="1" t="n">
        <v>0</v>
      </c>
      <c r="M35" s="1" t="n">
        <v>47</v>
      </c>
      <c r="N35" s="1" t="n">
        <v>0</v>
      </c>
      <c r="O35" s="1" t="n">
        <v>2</v>
      </c>
      <c r="P35" s="1" t="n">
        <v>7200</v>
      </c>
      <c r="Q35" s="1" t="n">
        <v>90</v>
      </c>
      <c r="R35" s="1" t="n">
        <v>408</v>
      </c>
      <c r="S35" s="1" t="n">
        <v>392</v>
      </c>
      <c r="T35" s="1" t="n">
        <v>14896</v>
      </c>
      <c r="U35" s="1" t="n">
        <v>37193</v>
      </c>
      <c r="V35" s="1" t="n">
        <v>0</v>
      </c>
      <c r="W35" s="1" t="n">
        <v>0.2</v>
      </c>
      <c r="X35" s="1" t="n">
        <v>0.7</v>
      </c>
      <c r="Y35" s="1" t="n">
        <v>0.419642857</v>
      </c>
      <c r="Z35" s="1" t="n">
        <v>800</v>
      </c>
      <c r="AA35" s="1" t="n">
        <v>0.51</v>
      </c>
      <c r="AB35" s="1" t="n">
        <v>38</v>
      </c>
      <c r="AC35" s="1" t="n">
        <v>342630</v>
      </c>
    </row>
    <row r="36">
      <c r="A36" s="1" t="inlineStr">
        <is>
          <t>2027BUD_V1</t>
        </is>
      </c>
      <c r="B36" s="1" t="inlineStr">
        <is>
          <t>12</t>
        </is>
      </c>
      <c r="C36" s="1" t="inlineStr">
        <is>
          <t>ISCOM_TLS</t>
        </is>
      </c>
      <c r="D36" s="1" t="inlineStr">
        <is>
          <t>MAS_COM</t>
        </is>
      </c>
      <c r="E36" s="1" t="inlineStr">
        <is>
          <t>M2</t>
        </is>
      </c>
      <c r="F36" s="1" t="inlineStr">
        <is>
          <t>ALT</t>
        </is>
      </c>
      <c r="G36" s="1" t="inlineStr">
        <is>
          <t>2026</t>
        </is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46</v>
      </c>
      <c r="M36" s="1" t="n">
        <v>46</v>
      </c>
      <c r="N36" s="1" t="n">
        <v>47</v>
      </c>
      <c r="O36" s="1" t="n">
        <v>2</v>
      </c>
      <c r="P36" s="1" t="n">
        <v>7200</v>
      </c>
      <c r="Q36" s="1" t="n">
        <v>90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0.978723404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331200</v>
      </c>
    </row>
    <row r="37">
      <c r="A37" s="1" t="inlineStr">
        <is>
          <t>2027BUD_V1</t>
        </is>
      </c>
      <c r="B37" s="1" t="inlineStr">
        <is>
          <t>12</t>
        </is>
      </c>
      <c r="C37" s="1" t="inlineStr">
        <is>
          <t>IPAC_NAN</t>
        </is>
      </c>
      <c r="D37" s="1" t="inlineStr">
        <is>
          <t>BAC_CCE</t>
        </is>
      </c>
      <c r="E37" s="1" t="inlineStr">
        <is>
          <t>B1</t>
        </is>
      </c>
      <c r="F37" s="1" t="inlineStr">
        <is>
          <t>ALT</t>
        </is>
      </c>
      <c r="G37" s="1" t="inlineStr">
        <is>
          <t>2026</t>
        </is>
      </c>
      <c r="H37" s="1" t="n">
        <v>850</v>
      </c>
      <c r="I37" s="1" t="n">
        <v>170</v>
      </c>
      <c r="J37" s="1" t="n">
        <v>119</v>
      </c>
      <c r="K37" s="1" t="n">
        <v>50</v>
      </c>
      <c r="L37" s="1" t="n">
        <v>0</v>
      </c>
      <c r="M37" s="1" t="n">
        <v>50</v>
      </c>
      <c r="N37" s="1" t="n">
        <v>0</v>
      </c>
      <c r="O37" s="1" t="n">
        <v>2</v>
      </c>
      <c r="P37" s="1" t="n">
        <v>7000</v>
      </c>
      <c r="Q37" s="1" t="n">
        <v>90</v>
      </c>
      <c r="R37" s="1" t="n">
        <v>306</v>
      </c>
      <c r="S37" s="1" t="n">
        <v>544</v>
      </c>
      <c r="T37" s="1" t="n">
        <v>21760</v>
      </c>
      <c r="U37" s="1" t="n">
        <v>27889</v>
      </c>
      <c r="V37" s="1" t="n">
        <v>0</v>
      </c>
      <c r="W37" s="1" t="n">
        <v>0.2</v>
      </c>
      <c r="X37" s="1" t="n">
        <v>0.7</v>
      </c>
      <c r="Y37" s="1" t="n">
        <v>0.420168067</v>
      </c>
      <c r="Z37" s="1" t="n">
        <v>850</v>
      </c>
      <c r="AA37" s="1" t="n">
        <v>0.36</v>
      </c>
      <c r="AB37" s="1" t="n">
        <v>40</v>
      </c>
      <c r="AC37" s="1" t="n">
        <v>354500</v>
      </c>
    </row>
    <row r="38">
      <c r="A38" s="1" t="inlineStr">
        <is>
          <t>2027BUD_V1</t>
        </is>
      </c>
      <c r="B38" s="1" t="inlineStr">
        <is>
          <t>12</t>
        </is>
      </c>
      <c r="C38" s="1" t="inlineStr">
        <is>
          <t>IPAC_NAN</t>
        </is>
      </c>
      <c r="D38" s="1" t="inlineStr">
        <is>
          <t>BAC_CCE</t>
        </is>
      </c>
      <c r="E38" s="1" t="inlineStr">
        <is>
          <t>B2</t>
        </is>
      </c>
      <c r="F38" s="1" t="inlineStr">
        <is>
          <t>ALT</t>
        </is>
      </c>
      <c r="G38" s="1" t="inlineStr">
        <is>
          <t>2026</t>
        </is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48</v>
      </c>
      <c r="M38" s="1" t="n">
        <v>48</v>
      </c>
      <c r="N38" s="1" t="n">
        <v>50</v>
      </c>
      <c r="O38" s="1" t="n">
        <v>2</v>
      </c>
      <c r="P38" s="1" t="n">
        <v>7000</v>
      </c>
      <c r="Q38" s="1" t="n">
        <v>90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0.96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336000</v>
      </c>
    </row>
    <row r="39">
      <c r="A39" s="1" t="inlineStr">
        <is>
          <t>2027BUD_V1</t>
        </is>
      </c>
      <c r="B39" s="1" t="inlineStr">
        <is>
          <t>12</t>
        </is>
      </c>
      <c r="C39" s="1" t="inlineStr">
        <is>
          <t>IPAC_NAN</t>
        </is>
      </c>
      <c r="D39" s="1" t="inlineStr">
        <is>
          <t>BAC_CCE</t>
        </is>
      </c>
      <c r="E39" s="1" t="inlineStr">
        <is>
          <t>B3</t>
        </is>
      </c>
      <c r="F39" s="1" t="inlineStr">
        <is>
          <t>ALT</t>
        </is>
      </c>
      <c r="G39" s="1" t="inlineStr">
        <is>
          <t>2026</t>
        </is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47</v>
      </c>
      <c r="M39" s="1" t="n">
        <v>47</v>
      </c>
      <c r="N39" s="1" t="n">
        <v>48</v>
      </c>
      <c r="O39" s="1" t="n">
        <v>2</v>
      </c>
      <c r="P39" s="1" t="n">
        <v>7000</v>
      </c>
      <c r="Q39" s="1" t="n">
        <v>90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0.979166667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329000</v>
      </c>
    </row>
    <row r="40">
      <c r="A40" s="1" t="inlineStr">
        <is>
          <t>2027BUD_V1</t>
        </is>
      </c>
      <c r="B40" s="1" t="inlineStr">
        <is>
          <t>12</t>
        </is>
      </c>
      <c r="C40" s="1" t="inlineStr">
        <is>
          <t>IPAC_REN</t>
        </is>
      </c>
      <c r="D40" s="1" t="inlineStr">
        <is>
          <t>BAC_CCE</t>
        </is>
      </c>
      <c r="E40" s="1" t="inlineStr">
        <is>
          <t>B1</t>
        </is>
      </c>
      <c r="F40" s="1" t="inlineStr">
        <is>
          <t>ALT</t>
        </is>
      </c>
      <c r="G40" s="1" t="inlineStr">
        <is>
          <t>2026</t>
        </is>
      </c>
      <c r="H40" s="1" t="n">
        <v>680</v>
      </c>
      <c r="I40" s="1" t="n">
        <v>136</v>
      </c>
      <c r="J40" s="1" t="n">
        <v>95</v>
      </c>
      <c r="K40" s="1" t="n">
        <v>40</v>
      </c>
      <c r="L40" s="1" t="n">
        <v>0</v>
      </c>
      <c r="M40" s="1" t="n">
        <v>40</v>
      </c>
      <c r="N40" s="1" t="n">
        <v>0</v>
      </c>
      <c r="O40" s="1" t="n">
        <v>2</v>
      </c>
      <c r="P40" s="1" t="n">
        <v>6650</v>
      </c>
      <c r="Q40" s="1" t="n">
        <v>90</v>
      </c>
      <c r="R40" s="1" t="n">
        <v>265</v>
      </c>
      <c r="S40" s="1" t="n">
        <v>415</v>
      </c>
      <c r="T40" s="1" t="n">
        <v>14933</v>
      </c>
      <c r="U40" s="1" t="n">
        <v>24152</v>
      </c>
      <c r="V40" s="1" t="n">
        <v>0</v>
      </c>
      <c r="W40" s="1" t="n">
        <v>0.2</v>
      </c>
      <c r="X40" s="1" t="n">
        <v>0.698529412</v>
      </c>
      <c r="Y40" s="1" t="n">
        <v>0.421052632</v>
      </c>
      <c r="Z40" s="1" t="n">
        <v>680</v>
      </c>
      <c r="AA40" s="1" t="n">
        <v>0.389705882</v>
      </c>
      <c r="AB40" s="1" t="n">
        <v>35.98313253</v>
      </c>
      <c r="AC40" s="1" t="n">
        <v>269600</v>
      </c>
    </row>
    <row r="41">
      <c r="A41" s="1" t="inlineStr">
        <is>
          <t>2027BUD_V1</t>
        </is>
      </c>
      <c r="B41" s="1" t="inlineStr">
        <is>
          <t>12</t>
        </is>
      </c>
      <c r="C41" s="1" t="inlineStr">
        <is>
          <t>IPAC_REN</t>
        </is>
      </c>
      <c r="D41" s="1" t="inlineStr">
        <is>
          <t>BAC_CCE</t>
        </is>
      </c>
      <c r="E41" s="1" t="inlineStr">
        <is>
          <t>B2</t>
        </is>
      </c>
      <c r="F41" s="1" t="inlineStr">
        <is>
          <t>ALT</t>
        </is>
      </c>
      <c r="G41" s="1" t="inlineStr">
        <is>
          <t>2026</t>
        </is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39</v>
      </c>
      <c r="M41" s="1" t="n">
        <v>39</v>
      </c>
      <c r="N41" s="1" t="n">
        <v>40</v>
      </c>
      <c r="O41" s="1" t="n">
        <v>2</v>
      </c>
      <c r="P41" s="1" t="n">
        <v>6650</v>
      </c>
      <c r="Q41" s="1" t="n">
        <v>90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0.975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259350</v>
      </c>
    </row>
    <row r="42">
      <c r="A42" s="1" t="inlineStr">
        <is>
          <t>2027BUD_V1</t>
        </is>
      </c>
      <c r="B42" s="1" t="inlineStr">
        <is>
          <t>12</t>
        </is>
      </c>
      <c r="C42" s="1" t="inlineStr">
        <is>
          <t>IPAC_REN</t>
        </is>
      </c>
      <c r="D42" s="1" t="inlineStr">
        <is>
          <t>BAC_CCE</t>
        </is>
      </c>
      <c r="E42" s="1" t="inlineStr">
        <is>
          <t>B3</t>
        </is>
      </c>
      <c r="F42" s="1" t="inlineStr">
        <is>
          <t>ALT</t>
        </is>
      </c>
      <c r="G42" s="1" t="inlineStr">
        <is>
          <t>2026</t>
        </is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38</v>
      </c>
      <c r="M42" s="1" t="n">
        <v>38</v>
      </c>
      <c r="N42" s="1" t="n">
        <v>39</v>
      </c>
      <c r="O42" s="1" t="n">
        <v>2</v>
      </c>
      <c r="P42" s="1" t="n">
        <v>6650</v>
      </c>
      <c r="Q42" s="1" t="n">
        <v>90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0.974358974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252700</v>
      </c>
    </row>
    <row r="43">
      <c r="A43" s="1" t="inlineStr">
        <is>
          <t>2027BUD_V1</t>
        </is>
      </c>
      <c r="B43" s="1" t="inlineStr">
        <is>
          <t>12</t>
        </is>
      </c>
      <c r="C43" s="1" t="inlineStr">
        <is>
          <t>IPAC_MTP</t>
        </is>
      </c>
      <c r="D43" s="1" t="inlineStr">
        <is>
          <t>BAC_CCE</t>
        </is>
      </c>
      <c r="E43" s="1" t="inlineStr">
        <is>
          <t>B1</t>
        </is>
      </c>
      <c r="F43" s="1" t="inlineStr">
        <is>
          <t>ALT</t>
        </is>
      </c>
      <c r="G43" s="1" t="inlineStr">
        <is>
          <t>2026</t>
        </is>
      </c>
      <c r="H43" s="1" t="n">
        <v>680</v>
      </c>
      <c r="I43" s="1" t="n">
        <v>136</v>
      </c>
      <c r="J43" s="1" t="n">
        <v>95</v>
      </c>
      <c r="K43" s="1" t="n">
        <v>40</v>
      </c>
      <c r="L43" s="1" t="n">
        <v>0</v>
      </c>
      <c r="M43" s="1" t="n">
        <v>40</v>
      </c>
      <c r="N43" s="1" t="n">
        <v>0</v>
      </c>
      <c r="O43" s="1" t="n">
        <v>2</v>
      </c>
      <c r="P43" s="1" t="n">
        <v>6650</v>
      </c>
      <c r="Q43" s="1" t="n">
        <v>90</v>
      </c>
      <c r="R43" s="1" t="n">
        <v>258</v>
      </c>
      <c r="S43" s="1" t="n">
        <v>422</v>
      </c>
      <c r="T43" s="1" t="n">
        <v>15178</v>
      </c>
      <c r="U43" s="1" t="n">
        <v>23514</v>
      </c>
      <c r="V43" s="1" t="n">
        <v>0</v>
      </c>
      <c r="W43" s="1" t="n">
        <v>0.2</v>
      </c>
      <c r="X43" s="1" t="n">
        <v>0.698529412</v>
      </c>
      <c r="Y43" s="1" t="n">
        <v>0.421052632</v>
      </c>
      <c r="Z43" s="1" t="n">
        <v>680</v>
      </c>
      <c r="AA43" s="1" t="n">
        <v>0.379411765</v>
      </c>
      <c r="AB43" s="1" t="n">
        <v>35.966824645</v>
      </c>
      <c r="AC43" s="1" t="n">
        <v>269600</v>
      </c>
    </row>
    <row r="44">
      <c r="A44" s="1" t="inlineStr">
        <is>
          <t>2027BUD_V1</t>
        </is>
      </c>
      <c r="B44" s="1" t="inlineStr">
        <is>
          <t>12</t>
        </is>
      </c>
      <c r="C44" s="1" t="inlineStr">
        <is>
          <t>IPAC_MTP</t>
        </is>
      </c>
      <c r="D44" s="1" t="inlineStr">
        <is>
          <t>BAC_CCE</t>
        </is>
      </c>
      <c r="E44" s="1" t="inlineStr">
        <is>
          <t>B2</t>
        </is>
      </c>
      <c r="F44" s="1" t="inlineStr">
        <is>
          <t>ALT</t>
        </is>
      </c>
      <c r="G44" s="1" t="inlineStr">
        <is>
          <t>2026</t>
        </is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39</v>
      </c>
      <c r="M44" s="1" t="n">
        <v>39</v>
      </c>
      <c r="N44" s="1" t="n">
        <v>40</v>
      </c>
      <c r="O44" s="1" t="n">
        <v>2</v>
      </c>
      <c r="P44" s="1" t="n">
        <v>6650</v>
      </c>
      <c r="Q44" s="1" t="n">
        <v>90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0.975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259350</v>
      </c>
    </row>
    <row r="45">
      <c r="A45" s="1" t="inlineStr">
        <is>
          <t>2027BUD_V1</t>
        </is>
      </c>
      <c r="B45" s="1" t="inlineStr">
        <is>
          <t>12</t>
        </is>
      </c>
      <c r="C45" s="1" t="inlineStr">
        <is>
          <t>IPAC_MTP</t>
        </is>
      </c>
      <c r="D45" s="1" t="inlineStr">
        <is>
          <t>BAC_CCE</t>
        </is>
      </c>
      <c r="E45" s="1" t="inlineStr">
        <is>
          <t>B3</t>
        </is>
      </c>
      <c r="F45" s="1" t="inlineStr">
        <is>
          <t>ALT</t>
        </is>
      </c>
      <c r="G45" s="1" t="inlineStr">
        <is>
          <t>2026</t>
        </is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38</v>
      </c>
      <c r="M45" s="1" t="n">
        <v>38</v>
      </c>
      <c r="N45" s="1" t="n">
        <v>39</v>
      </c>
      <c r="O45" s="1" t="n">
        <v>2</v>
      </c>
      <c r="P45" s="1" t="n">
        <v>6650</v>
      </c>
      <c r="Q45" s="1" t="n">
        <v>90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0.974358974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252700</v>
      </c>
    </row>
    <row r="46">
      <c r="A46" s="1" t="inlineStr">
        <is>
          <t>2027BUD_V1</t>
        </is>
      </c>
      <c r="B46" s="1" t="inlineStr">
        <is>
          <t>12</t>
        </is>
      </c>
      <c r="C46" s="1" t="inlineStr">
        <is>
          <t>PIGIER_LYO</t>
        </is>
      </c>
      <c r="D46" s="1" t="inlineStr">
        <is>
          <t>BTS_GES</t>
        </is>
      </c>
      <c r="E46" s="1" t="inlineStr">
        <is>
          <t>BTS1</t>
        </is>
      </c>
      <c r="F46" s="1" t="inlineStr">
        <is>
          <t>ALT</t>
        </is>
      </c>
      <c r="G46" s="1" t="inlineStr">
        <is>
          <t>2026</t>
        </is>
      </c>
      <c r="H46" s="1" t="n">
        <v>785</v>
      </c>
      <c r="I46" s="1" t="n">
        <v>157</v>
      </c>
      <c r="J46" s="1" t="n">
        <v>110</v>
      </c>
      <c r="K46" s="1" t="n">
        <v>46</v>
      </c>
      <c r="L46" s="1" t="n">
        <v>0</v>
      </c>
      <c r="M46" s="1" t="n">
        <v>46</v>
      </c>
      <c r="N46" s="1" t="n">
        <v>0</v>
      </c>
      <c r="O46" s="1" t="n">
        <v>2</v>
      </c>
      <c r="P46" s="1" t="n">
        <v>6300</v>
      </c>
      <c r="Q46" s="1" t="n">
        <v>90</v>
      </c>
      <c r="R46" s="1" t="n">
        <v>369</v>
      </c>
      <c r="S46" s="1" t="n">
        <v>416</v>
      </c>
      <c r="T46" s="1" t="n">
        <v>18306</v>
      </c>
      <c r="U46" s="1" t="n">
        <v>33630</v>
      </c>
      <c r="V46" s="1" t="n">
        <v>0</v>
      </c>
      <c r="W46" s="1" t="n">
        <v>0.2</v>
      </c>
      <c r="X46" s="1" t="n">
        <v>0.700636943</v>
      </c>
      <c r="Y46" s="1" t="n">
        <v>0.418181818</v>
      </c>
      <c r="Z46" s="1" t="n">
        <v>785</v>
      </c>
      <c r="AA46" s="1" t="n">
        <v>0.470063694</v>
      </c>
      <c r="AB46" s="1" t="n">
        <v>44.004807692</v>
      </c>
      <c r="AC46" s="1" t="n">
        <v>293940</v>
      </c>
    </row>
    <row r="47">
      <c r="A47" s="1" t="inlineStr">
        <is>
          <t>2027BUD_V1</t>
        </is>
      </c>
      <c r="B47" s="1" t="inlineStr">
        <is>
          <t>12</t>
        </is>
      </c>
      <c r="C47" s="1" t="inlineStr">
        <is>
          <t>PIGIER_LYO</t>
        </is>
      </c>
      <c r="D47" s="1" t="inlineStr">
        <is>
          <t>BTS_GES</t>
        </is>
      </c>
      <c r="E47" s="1" t="inlineStr">
        <is>
          <t>BTS2</t>
        </is>
      </c>
      <c r="F47" s="1" t="inlineStr">
        <is>
          <t>ALT</t>
        </is>
      </c>
      <c r="G47" s="1" t="inlineStr">
        <is>
          <t>2026</t>
        </is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45</v>
      </c>
      <c r="M47" s="1" t="n">
        <v>45</v>
      </c>
      <c r="N47" s="1" t="n">
        <v>46</v>
      </c>
      <c r="O47" s="1" t="n">
        <v>2</v>
      </c>
      <c r="P47" s="1" t="n">
        <v>6300</v>
      </c>
      <c r="Q47" s="1" t="n">
        <v>90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0.9782608699999999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283500</v>
      </c>
    </row>
    <row r="48">
      <c r="A48" s="1" t="inlineStr">
        <is>
          <t>2027BUD_V1</t>
        </is>
      </c>
      <c r="B48" s="1" t="inlineStr">
        <is>
          <t>12</t>
        </is>
      </c>
      <c r="C48" s="1" t="inlineStr">
        <is>
          <t>PIGIER_LYO</t>
        </is>
      </c>
      <c r="D48" s="1" t="inlineStr">
        <is>
          <t>BAC_RH</t>
        </is>
      </c>
      <c r="E48" s="1" t="inlineStr">
        <is>
          <t>B1</t>
        </is>
      </c>
      <c r="F48" s="1" t="inlineStr">
        <is>
          <t>ALT</t>
        </is>
      </c>
      <c r="G48" s="1" t="inlineStr">
        <is>
          <t>2026</t>
        </is>
      </c>
      <c r="H48" s="1" t="n">
        <v>785</v>
      </c>
      <c r="I48" s="1" t="n">
        <v>157</v>
      </c>
      <c r="J48" s="1" t="n">
        <v>110</v>
      </c>
      <c r="K48" s="1" t="n">
        <v>46</v>
      </c>
      <c r="L48" s="1" t="n">
        <v>0</v>
      </c>
      <c r="M48" s="1" t="n">
        <v>46</v>
      </c>
      <c r="N48" s="1" t="n">
        <v>0</v>
      </c>
      <c r="O48" s="1" t="n">
        <v>2</v>
      </c>
      <c r="P48" s="1" t="n">
        <v>7350</v>
      </c>
      <c r="Q48" s="1" t="n">
        <v>90</v>
      </c>
      <c r="R48" s="1" t="n">
        <v>369</v>
      </c>
      <c r="S48" s="1" t="n">
        <v>416</v>
      </c>
      <c r="T48" s="1" t="n">
        <v>18306</v>
      </c>
      <c r="U48" s="1" t="n">
        <v>33631</v>
      </c>
      <c r="V48" s="1" t="n">
        <v>0</v>
      </c>
      <c r="W48" s="1" t="n">
        <v>0.2</v>
      </c>
      <c r="X48" s="1" t="n">
        <v>0.700636943</v>
      </c>
      <c r="Y48" s="1" t="n">
        <v>0.418181818</v>
      </c>
      <c r="Z48" s="1" t="n">
        <v>785</v>
      </c>
      <c r="AA48" s="1" t="n">
        <v>0.470063694</v>
      </c>
      <c r="AB48" s="1" t="n">
        <v>44.004807692</v>
      </c>
      <c r="AC48" s="1" t="n">
        <v>342240</v>
      </c>
    </row>
    <row r="49">
      <c r="A49" s="1" t="inlineStr">
        <is>
          <t>2027BUD_V1</t>
        </is>
      </c>
      <c r="B49" s="1" t="inlineStr">
        <is>
          <t>12</t>
        </is>
      </c>
      <c r="C49" s="1" t="inlineStr">
        <is>
          <t>PIGIER_BOR</t>
        </is>
      </c>
      <c r="D49" s="1" t="inlineStr">
        <is>
          <t>BAC_RH</t>
        </is>
      </c>
      <c r="E49" s="1" t="inlineStr">
        <is>
          <t>B2</t>
        </is>
      </c>
      <c r="F49" s="1" t="inlineStr">
        <is>
          <t>ALT</t>
        </is>
      </c>
      <c r="G49" s="1" t="inlineStr">
        <is>
          <t>2024</t>
        </is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31</v>
      </c>
      <c r="M49" s="1" t="n">
        <v>31</v>
      </c>
      <c r="N49" s="1" t="n">
        <v>32</v>
      </c>
      <c r="O49" s="1" t="n">
        <v>2</v>
      </c>
      <c r="P49" s="1" t="n">
        <v>6790</v>
      </c>
      <c r="Q49" s="1" t="n">
        <v>90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0.96875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210490</v>
      </c>
    </row>
    <row r="50">
      <c r="A50" s="1" t="inlineStr">
        <is>
          <t>2027BUD_V1</t>
        </is>
      </c>
      <c r="B50" s="1" t="inlineStr">
        <is>
          <t>12</t>
        </is>
      </c>
      <c r="C50" s="1" t="inlineStr">
        <is>
          <t>PIGIER_BOR</t>
        </is>
      </c>
      <c r="D50" s="1" t="inlineStr">
        <is>
          <t>BTS_GES</t>
        </is>
      </c>
      <c r="E50" s="1" t="inlineStr">
        <is>
          <t>BTS1</t>
        </is>
      </c>
      <c r="F50" s="1" t="inlineStr">
        <is>
          <t>ALT</t>
        </is>
      </c>
      <c r="G50" s="1" t="inlineStr">
        <is>
          <t>2026</t>
        </is>
      </c>
      <c r="H50" s="1" t="n">
        <v>615</v>
      </c>
      <c r="I50" s="1" t="n">
        <v>123</v>
      </c>
      <c r="J50" s="1" t="n">
        <v>86</v>
      </c>
      <c r="K50" s="1" t="n">
        <v>36</v>
      </c>
      <c r="L50" s="1" t="n">
        <v>0</v>
      </c>
      <c r="M50" s="1" t="n">
        <v>36</v>
      </c>
      <c r="N50" s="1" t="n">
        <v>0</v>
      </c>
      <c r="O50" s="1" t="n">
        <v>2</v>
      </c>
      <c r="P50" s="1" t="n">
        <v>5820</v>
      </c>
      <c r="Q50" s="1" t="n">
        <v>90</v>
      </c>
      <c r="R50" s="1" t="n">
        <v>326</v>
      </c>
      <c r="S50" s="1" t="n">
        <v>289</v>
      </c>
      <c r="T50" s="1" t="n">
        <v>10984</v>
      </c>
      <c r="U50" s="1" t="n">
        <v>29712</v>
      </c>
      <c r="V50" s="1" t="n">
        <v>0</v>
      </c>
      <c r="W50" s="1" t="n">
        <v>0.2</v>
      </c>
      <c r="X50" s="1" t="n">
        <v>0.699186992</v>
      </c>
      <c r="Y50" s="1" t="n">
        <v>0.418604651</v>
      </c>
      <c r="Z50" s="1" t="n">
        <v>615</v>
      </c>
      <c r="AA50" s="1" t="n">
        <v>0.5300813009999999</v>
      </c>
      <c r="AB50" s="1" t="n">
        <v>38.006920415</v>
      </c>
      <c r="AC50" s="1" t="n">
        <v>212760</v>
      </c>
    </row>
    <row r="51">
      <c r="A51" s="1" t="inlineStr">
        <is>
          <t>2027BUD_V1</t>
        </is>
      </c>
      <c r="B51" s="1" t="inlineStr">
        <is>
          <t>12</t>
        </is>
      </c>
      <c r="C51" s="1" t="inlineStr">
        <is>
          <t>PIGIER_BOR</t>
        </is>
      </c>
      <c r="D51" s="1" t="inlineStr">
        <is>
          <t>BTS_GES</t>
        </is>
      </c>
      <c r="E51" s="1" t="inlineStr">
        <is>
          <t>BTS2</t>
        </is>
      </c>
      <c r="F51" s="1" t="inlineStr">
        <is>
          <t>ALT</t>
        </is>
      </c>
      <c r="G51" s="1" t="inlineStr">
        <is>
          <t>2026</t>
        </is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35</v>
      </c>
      <c r="M51" s="1" t="n">
        <v>35</v>
      </c>
      <c r="N51" s="1" t="n">
        <v>36</v>
      </c>
      <c r="O51" s="1" t="n">
        <v>2</v>
      </c>
      <c r="P51" s="1" t="n">
        <v>5820</v>
      </c>
      <c r="Q51" s="1" t="n">
        <v>90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0.972222222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203700</v>
      </c>
    </row>
    <row r="52">
      <c r="A52" s="1" t="inlineStr">
        <is>
          <t>2027BUD_V1</t>
        </is>
      </c>
      <c r="B52" s="1" t="inlineStr">
        <is>
          <t>12</t>
        </is>
      </c>
      <c r="C52" s="1" t="inlineStr">
        <is>
          <t>PIGIER_BOR</t>
        </is>
      </c>
      <c r="D52" s="1" t="inlineStr">
        <is>
          <t>BAC_RH</t>
        </is>
      </c>
      <c r="E52" s="1" t="inlineStr">
        <is>
          <t>B1</t>
        </is>
      </c>
      <c r="F52" s="1" t="inlineStr">
        <is>
          <t>ALT</t>
        </is>
      </c>
      <c r="G52" s="1" t="inlineStr">
        <is>
          <t>2026</t>
        </is>
      </c>
      <c r="H52" s="1" t="n">
        <v>615</v>
      </c>
      <c r="I52" s="1" t="n">
        <v>123</v>
      </c>
      <c r="J52" s="1" t="n">
        <v>86</v>
      </c>
      <c r="K52" s="1" t="n">
        <v>36</v>
      </c>
      <c r="L52" s="1" t="n">
        <v>0</v>
      </c>
      <c r="M52" s="1" t="n">
        <v>36</v>
      </c>
      <c r="N52" s="1" t="n">
        <v>0</v>
      </c>
      <c r="O52" s="1" t="n">
        <v>2</v>
      </c>
      <c r="P52" s="1" t="n">
        <v>6790</v>
      </c>
      <c r="Q52" s="1" t="n">
        <v>90</v>
      </c>
      <c r="R52" s="1" t="n">
        <v>326</v>
      </c>
      <c r="S52" s="1" t="n">
        <v>289</v>
      </c>
      <c r="T52" s="1" t="n">
        <v>10984</v>
      </c>
      <c r="U52" s="1" t="n">
        <v>29711</v>
      </c>
      <c r="V52" s="1" t="n">
        <v>0</v>
      </c>
      <c r="W52" s="1" t="n">
        <v>0.2</v>
      </c>
      <c r="X52" s="1" t="n">
        <v>0.699186992</v>
      </c>
      <c r="Y52" s="1" t="n">
        <v>0.418604651</v>
      </c>
      <c r="Z52" s="1" t="n">
        <v>615</v>
      </c>
      <c r="AA52" s="1" t="n">
        <v>0.5300813009999999</v>
      </c>
      <c r="AB52" s="1" t="n">
        <v>38.006920415</v>
      </c>
      <c r="AC52" s="1" t="n">
        <v>247680</v>
      </c>
    </row>
    <row r="53">
      <c r="A53" s="1" t="inlineStr">
        <is>
          <t>2027BUD_V1</t>
        </is>
      </c>
      <c r="B53" s="1" t="inlineStr">
        <is>
          <t>12</t>
        </is>
      </c>
      <c r="C53" s="1" t="inlineStr">
        <is>
          <t>PIGIER_BOR</t>
        </is>
      </c>
      <c r="D53" s="1" t="inlineStr">
        <is>
          <t>BAC_RH</t>
        </is>
      </c>
      <c r="E53" s="1" t="inlineStr">
        <is>
          <t>B2</t>
        </is>
      </c>
      <c r="F53" s="1" t="inlineStr">
        <is>
          <t>ALT</t>
        </is>
      </c>
      <c r="G53" s="1" t="inlineStr">
        <is>
          <t>2025</t>
        </is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33</v>
      </c>
      <c r="M53" s="1" t="n">
        <v>33</v>
      </c>
      <c r="N53" s="1" t="n">
        <v>34</v>
      </c>
      <c r="O53" s="1" t="n">
        <v>2</v>
      </c>
      <c r="P53" s="1" t="n">
        <v>6790</v>
      </c>
      <c r="Q53" s="1" t="n">
        <v>90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0.970588235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224070</v>
      </c>
    </row>
    <row r="54">
      <c r="A54" s="1" t="inlineStr">
        <is>
          <t>2027BUD_V1</t>
        </is>
      </c>
      <c r="B54" s="1" t="inlineStr">
        <is>
          <t>12</t>
        </is>
      </c>
      <c r="C54" s="1" t="inlineStr">
        <is>
          <t>TUNON_PAR</t>
        </is>
      </c>
      <c r="D54" s="1" t="inlineStr">
        <is>
          <t>BAC_TOU</t>
        </is>
      </c>
      <c r="E54" s="1" t="inlineStr">
        <is>
          <t>B1</t>
        </is>
      </c>
      <c r="F54" s="1" t="inlineStr">
        <is>
          <t>ALT</t>
        </is>
      </c>
      <c r="G54" s="1" t="inlineStr">
        <is>
          <t>2026</t>
        </is>
      </c>
      <c r="H54" s="1" t="n">
        <v>800</v>
      </c>
      <c r="I54" s="1" t="n">
        <v>160</v>
      </c>
      <c r="J54" s="1" t="n">
        <v>112</v>
      </c>
      <c r="K54" s="1" t="n">
        <v>47</v>
      </c>
      <c r="L54" s="1" t="n">
        <v>0</v>
      </c>
      <c r="M54" s="1" t="n">
        <v>47</v>
      </c>
      <c r="N54" s="1" t="n">
        <v>0</v>
      </c>
      <c r="O54" s="1" t="n">
        <v>2</v>
      </c>
      <c r="P54" s="1" t="n">
        <v>7840</v>
      </c>
      <c r="Q54" s="1" t="n">
        <v>90</v>
      </c>
      <c r="R54" s="1" t="n">
        <v>240</v>
      </c>
      <c r="S54" s="1" t="n">
        <v>560</v>
      </c>
      <c r="T54" s="1" t="n">
        <v>30240</v>
      </c>
      <c r="U54" s="1" t="n">
        <v>21873</v>
      </c>
      <c r="V54" s="1" t="n">
        <v>0</v>
      </c>
      <c r="W54" s="1" t="n">
        <v>0.2</v>
      </c>
      <c r="X54" s="1" t="n">
        <v>0.7</v>
      </c>
      <c r="Y54" s="1" t="n">
        <v>0.419642857</v>
      </c>
      <c r="Z54" s="1" t="n">
        <v>800</v>
      </c>
      <c r="AA54" s="1" t="n">
        <v>0.3</v>
      </c>
      <c r="AB54" s="1" t="n">
        <v>54</v>
      </c>
      <c r="AC54" s="1" t="n">
        <v>372710</v>
      </c>
    </row>
    <row r="55">
      <c r="A55" s="1" t="inlineStr">
        <is>
          <t>2027BUD_V1</t>
        </is>
      </c>
      <c r="B55" s="1" t="inlineStr">
        <is>
          <t>12</t>
        </is>
      </c>
      <c r="C55" s="1" t="inlineStr">
        <is>
          <t>TUNON_PAR</t>
        </is>
      </c>
      <c r="D55" s="1" t="inlineStr">
        <is>
          <t>BAC_TOU</t>
        </is>
      </c>
      <c r="E55" s="1" t="inlineStr">
        <is>
          <t>B2</t>
        </is>
      </c>
      <c r="F55" s="1" t="inlineStr">
        <is>
          <t>ALT</t>
        </is>
      </c>
      <c r="G55" s="1" t="inlineStr">
        <is>
          <t>2026</t>
        </is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46</v>
      </c>
      <c r="M55" s="1" t="n">
        <v>46</v>
      </c>
      <c r="N55" s="1" t="n">
        <v>47</v>
      </c>
      <c r="O55" s="1" t="n">
        <v>2</v>
      </c>
      <c r="P55" s="1" t="n">
        <v>7840</v>
      </c>
      <c r="Q55" s="1" t="n">
        <v>90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0.978723404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360640</v>
      </c>
    </row>
    <row r="56">
      <c r="A56" s="1" t="inlineStr">
        <is>
          <t>2027BUD_V1</t>
        </is>
      </c>
      <c r="B56" s="1" t="inlineStr">
        <is>
          <t>12</t>
        </is>
      </c>
      <c r="C56" s="1" t="inlineStr">
        <is>
          <t>TUNON_PAR</t>
        </is>
      </c>
      <c r="D56" s="1" t="inlineStr">
        <is>
          <t>BAC_TOU</t>
        </is>
      </c>
      <c r="E56" s="1" t="inlineStr">
        <is>
          <t>B3</t>
        </is>
      </c>
      <c r="F56" s="1" t="inlineStr">
        <is>
          <t>ALT</t>
        </is>
      </c>
      <c r="G56" s="1" t="inlineStr">
        <is>
          <t>2026</t>
        </is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45</v>
      </c>
      <c r="M56" s="1" t="n">
        <v>45</v>
      </c>
      <c r="N56" s="1" t="n">
        <v>46</v>
      </c>
      <c r="O56" s="1" t="n">
        <v>2</v>
      </c>
      <c r="P56" s="1" t="n">
        <v>7840</v>
      </c>
      <c r="Q56" s="1" t="n">
        <v>90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0.9782608699999999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352800</v>
      </c>
    </row>
    <row r="57">
      <c r="A57" s="1" t="inlineStr">
        <is>
          <t>2027BUD_V1</t>
        </is>
      </c>
      <c r="B57" s="1" t="inlineStr">
        <is>
          <t>12</t>
        </is>
      </c>
      <c r="C57" s="1" t="inlineStr">
        <is>
          <t>TUNON_LYO</t>
        </is>
      </c>
      <c r="D57" s="1" t="inlineStr">
        <is>
          <t>BAC_TOU</t>
        </is>
      </c>
      <c r="E57" s="1" t="inlineStr">
        <is>
          <t>B1</t>
        </is>
      </c>
      <c r="F57" s="1" t="inlineStr">
        <is>
          <t>ALT</t>
        </is>
      </c>
      <c r="G57" s="1" t="inlineStr">
        <is>
          <t>2026</t>
        </is>
      </c>
      <c r="H57" s="1" t="n">
        <v>680</v>
      </c>
      <c r="I57" s="1" t="n">
        <v>136</v>
      </c>
      <c r="J57" s="1" t="n">
        <v>95</v>
      </c>
      <c r="K57" s="1" t="n">
        <v>40</v>
      </c>
      <c r="L57" s="1" t="n">
        <v>0</v>
      </c>
      <c r="M57" s="1" t="n">
        <v>40</v>
      </c>
      <c r="N57" s="1" t="n">
        <v>0</v>
      </c>
      <c r="O57" s="1" t="n">
        <v>2</v>
      </c>
      <c r="P57" s="1" t="n">
        <v>7350</v>
      </c>
      <c r="Q57" s="1" t="n">
        <v>90</v>
      </c>
      <c r="R57" s="1" t="n">
        <v>252</v>
      </c>
      <c r="S57" s="1" t="n">
        <v>428</v>
      </c>
      <c r="T57" s="1" t="n">
        <v>18850</v>
      </c>
      <c r="U57" s="1" t="n">
        <v>22967</v>
      </c>
      <c r="V57" s="1" t="n">
        <v>0</v>
      </c>
      <c r="W57" s="1" t="n">
        <v>0.2</v>
      </c>
      <c r="X57" s="1" t="n">
        <v>0.698529412</v>
      </c>
      <c r="Y57" s="1" t="n">
        <v>0.421052632</v>
      </c>
      <c r="Z57" s="1" t="n">
        <v>680</v>
      </c>
      <c r="AA57" s="1" t="n">
        <v>0.370588235</v>
      </c>
      <c r="AB57" s="1" t="n">
        <v>44.042056075</v>
      </c>
      <c r="AC57" s="1" t="n">
        <v>297600</v>
      </c>
    </row>
    <row r="58">
      <c r="A58" s="1" t="inlineStr">
        <is>
          <t>2027BUD_V1</t>
        </is>
      </c>
      <c r="B58" s="1" t="inlineStr">
        <is>
          <t>12</t>
        </is>
      </c>
      <c r="C58" s="1" t="inlineStr">
        <is>
          <t>TUNON_LYO</t>
        </is>
      </c>
      <c r="D58" s="1" t="inlineStr">
        <is>
          <t>BAC_TOU</t>
        </is>
      </c>
      <c r="E58" s="1" t="inlineStr">
        <is>
          <t>B2</t>
        </is>
      </c>
      <c r="F58" s="1" t="inlineStr">
        <is>
          <t>ALT</t>
        </is>
      </c>
      <c r="G58" s="1" t="inlineStr">
        <is>
          <t>2026</t>
        </is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39</v>
      </c>
      <c r="M58" s="1" t="n">
        <v>39</v>
      </c>
      <c r="N58" s="1" t="n">
        <v>40</v>
      </c>
      <c r="O58" s="1" t="n">
        <v>2</v>
      </c>
      <c r="P58" s="1" t="n">
        <v>7350</v>
      </c>
      <c r="Q58" s="1" t="n">
        <v>90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0.975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286650</v>
      </c>
    </row>
    <row r="59">
      <c r="A59" s="1" t="inlineStr">
        <is>
          <t>2027BUD_V1</t>
        </is>
      </c>
      <c r="B59" s="1" t="inlineStr">
        <is>
          <t>12</t>
        </is>
      </c>
      <c r="C59" s="1" t="inlineStr">
        <is>
          <t>TUNON_LYO</t>
        </is>
      </c>
      <c r="D59" s="1" t="inlineStr">
        <is>
          <t>BAC_TOU</t>
        </is>
      </c>
      <c r="E59" s="1" t="inlineStr">
        <is>
          <t>B3</t>
        </is>
      </c>
      <c r="F59" s="1" t="inlineStr">
        <is>
          <t>ALT</t>
        </is>
      </c>
      <c r="G59" s="1" t="inlineStr">
        <is>
          <t>2026</t>
        </is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38</v>
      </c>
      <c r="M59" s="1" t="n">
        <v>38</v>
      </c>
      <c r="N59" s="1" t="n">
        <v>39</v>
      </c>
      <c r="O59" s="1" t="n">
        <v>2</v>
      </c>
      <c r="P59" s="1" t="n">
        <v>7350</v>
      </c>
      <c r="Q59" s="1" t="n">
        <v>90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0.974358974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279300</v>
      </c>
    </row>
    <row r="60">
      <c r="A60" s="1" t="inlineStr">
        <is>
          <t>2027BUD_V1</t>
        </is>
      </c>
      <c r="B60" s="1" t="inlineStr">
        <is>
          <t>12</t>
        </is>
      </c>
      <c r="C60" s="1" t="inlineStr">
        <is>
          <t>MBWAY_PAR</t>
        </is>
      </c>
      <c r="D60" s="1" t="inlineStr">
        <is>
          <t>BAC_MGT</t>
        </is>
      </c>
      <c r="E60" s="1" t="inlineStr">
        <is>
          <t>B1</t>
        </is>
      </c>
      <c r="F60" s="1" t="inlineStr">
        <is>
          <t>INIT</t>
        </is>
      </c>
      <c r="G60" s="1" t="inlineStr">
        <is>
          <t>2025</t>
        </is>
      </c>
      <c r="H60" s="1" t="n">
        <v>609</v>
      </c>
      <c r="I60" s="1" t="n">
        <v>171</v>
      </c>
      <c r="J60" s="1" t="n">
        <v>123</v>
      </c>
      <c r="K60" s="1" t="n">
        <v>74</v>
      </c>
      <c r="L60" s="1" t="n">
        <v>0</v>
      </c>
      <c r="M60" s="1" t="n">
        <v>74</v>
      </c>
      <c r="N60" s="1" t="n">
        <v>0</v>
      </c>
      <c r="O60" s="1" t="n">
        <v>3</v>
      </c>
      <c r="P60" s="1" t="n">
        <v>8400</v>
      </c>
      <c r="Q60" s="1" t="n">
        <v>90</v>
      </c>
      <c r="R60" s="1" t="n">
        <v>217</v>
      </c>
      <c r="S60" s="1" t="n">
        <v>396</v>
      </c>
      <c r="T60" s="1" t="n">
        <v>20296</v>
      </c>
      <c r="U60" s="1" t="n">
        <v>17007</v>
      </c>
      <c r="V60" s="1" t="n">
        <v>0</v>
      </c>
      <c r="W60" s="1" t="n">
        <v>0.280788177</v>
      </c>
      <c r="X60" s="1" t="n">
        <v>0.719298246</v>
      </c>
      <c r="Y60" s="1" t="n">
        <v>0.601626016</v>
      </c>
      <c r="Z60" s="1" t="n">
        <v>613</v>
      </c>
      <c r="AA60" s="1" t="n">
        <v>0.353996737</v>
      </c>
      <c r="AB60" s="1" t="n">
        <v>51.252525253</v>
      </c>
      <c r="AC60" s="1" t="n">
        <v>628260</v>
      </c>
    </row>
    <row r="61">
      <c r="A61" s="1" t="inlineStr">
        <is>
          <t>2027BUD_V1</t>
        </is>
      </c>
      <c r="B61" s="1" t="inlineStr">
        <is>
          <t>12</t>
        </is>
      </c>
      <c r="C61" s="1" t="inlineStr">
        <is>
          <t>MBWAY_PAR</t>
        </is>
      </c>
      <c r="D61" s="1" t="inlineStr">
        <is>
          <t>BAC_MGT</t>
        </is>
      </c>
      <c r="E61" s="1" t="inlineStr">
        <is>
          <t>B2</t>
        </is>
      </c>
      <c r="F61" s="1" t="inlineStr">
        <is>
          <t>ALT</t>
        </is>
      </c>
      <c r="G61" s="1" t="inlineStr">
        <is>
          <t>2025</t>
        </is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72</v>
      </c>
      <c r="M61" s="1" t="n">
        <v>72</v>
      </c>
      <c r="N61" s="1" t="n">
        <v>74</v>
      </c>
      <c r="O61" s="1" t="n">
        <v>3</v>
      </c>
      <c r="P61" s="1" t="n">
        <v>7840</v>
      </c>
      <c r="Q61" s="1" t="n">
        <v>90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0.972972973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564480</v>
      </c>
    </row>
    <row r="62">
      <c r="A62" s="1" t="inlineStr">
        <is>
          <t>2027BUD_V1</t>
        </is>
      </c>
      <c r="B62" s="1" t="inlineStr">
        <is>
          <t>12</t>
        </is>
      </c>
      <c r="C62" s="1" t="inlineStr">
        <is>
          <t>MBWAY_PAR</t>
        </is>
      </c>
      <c r="D62" s="1" t="inlineStr">
        <is>
          <t>BAC_MGT</t>
        </is>
      </c>
      <c r="E62" s="1" t="inlineStr">
        <is>
          <t>B3</t>
        </is>
      </c>
      <c r="F62" s="1" t="inlineStr">
        <is>
          <t>ALT</t>
        </is>
      </c>
      <c r="G62" s="1" t="inlineStr">
        <is>
          <t>2025</t>
        </is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70</v>
      </c>
      <c r="M62" s="1" t="n">
        <v>70</v>
      </c>
      <c r="N62" s="1" t="n">
        <v>72</v>
      </c>
      <c r="O62" s="1" t="n">
        <v>3</v>
      </c>
      <c r="P62" s="1" t="n">
        <v>7840</v>
      </c>
      <c r="Q62" s="1" t="n">
        <v>90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0.972222222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548800</v>
      </c>
    </row>
    <row r="63">
      <c r="A63" s="1" t="inlineStr">
        <is>
          <t>2027BUD_V1</t>
        </is>
      </c>
      <c r="B63" s="1" t="inlineStr">
        <is>
          <t>12</t>
        </is>
      </c>
      <c r="C63" s="1" t="inlineStr">
        <is>
          <t>MBWAY_PAR</t>
        </is>
      </c>
      <c r="D63" s="1" t="inlineStr">
        <is>
          <t>MAS_MGT</t>
        </is>
      </c>
      <c r="E63" s="1" t="inlineStr">
        <is>
          <t>M1</t>
        </is>
      </c>
      <c r="F63" s="1" t="inlineStr">
        <is>
          <t>ALT</t>
        </is>
      </c>
      <c r="G63" s="1" t="inlineStr">
        <is>
          <t>2025</t>
        </is>
      </c>
      <c r="H63" s="1" t="n">
        <v>1255</v>
      </c>
      <c r="I63" s="1" t="n">
        <v>251</v>
      </c>
      <c r="J63" s="1" t="n">
        <v>175</v>
      </c>
      <c r="K63" s="1" t="n">
        <v>74</v>
      </c>
      <c r="L63" s="1" t="n">
        <v>0</v>
      </c>
      <c r="M63" s="1" t="n">
        <v>74</v>
      </c>
      <c r="N63" s="1" t="n">
        <v>0</v>
      </c>
      <c r="O63" s="1" t="n">
        <v>3</v>
      </c>
      <c r="P63" s="1" t="n">
        <v>8400</v>
      </c>
      <c r="Q63" s="1" t="n">
        <v>90</v>
      </c>
      <c r="R63" s="1" t="n">
        <v>448</v>
      </c>
      <c r="S63" s="1" t="n">
        <v>814</v>
      </c>
      <c r="T63" s="1" t="n">
        <v>41786</v>
      </c>
      <c r="U63" s="1" t="n">
        <v>35013</v>
      </c>
      <c r="V63" s="1" t="n">
        <v>0</v>
      </c>
      <c r="W63" s="1" t="n">
        <v>0.2</v>
      </c>
      <c r="X63" s="1" t="n">
        <v>0.697211155</v>
      </c>
      <c r="Y63" s="1" t="n">
        <v>0.422857143</v>
      </c>
      <c r="Z63" s="1" t="n">
        <v>1262</v>
      </c>
      <c r="AA63" s="1" t="n">
        <v>0.354992076</v>
      </c>
      <c r="AB63" s="1" t="n">
        <v>51.334152334</v>
      </c>
      <c r="AC63" s="1" t="n">
        <v>628260</v>
      </c>
    </row>
    <row r="64">
      <c r="A64" s="1" t="inlineStr">
        <is>
          <t>2027BUD_V1</t>
        </is>
      </c>
      <c r="B64" s="1" t="inlineStr">
        <is>
          <t>12</t>
        </is>
      </c>
      <c r="C64" s="1" t="inlineStr">
        <is>
          <t>MBWAY_PAR</t>
        </is>
      </c>
      <c r="D64" s="1" t="inlineStr">
        <is>
          <t>MAS_MGT</t>
        </is>
      </c>
      <c r="E64" s="1" t="inlineStr">
        <is>
          <t>M2</t>
        </is>
      </c>
      <c r="F64" s="1" t="inlineStr">
        <is>
          <t>ALT</t>
        </is>
      </c>
      <c r="G64" s="1" t="inlineStr">
        <is>
          <t>2025</t>
        </is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72</v>
      </c>
      <c r="M64" s="1" t="n">
        <v>72</v>
      </c>
      <c r="N64" s="1" t="n">
        <v>74</v>
      </c>
      <c r="O64" s="1" t="n">
        <v>3</v>
      </c>
      <c r="P64" s="1" t="n">
        <v>8400</v>
      </c>
      <c r="Q64" s="1" t="n">
        <v>90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0.972972973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604800</v>
      </c>
    </row>
    <row r="65">
      <c r="A65" s="1" t="inlineStr">
        <is>
          <t>2027BUD_V1</t>
        </is>
      </c>
      <c r="B65" s="1" t="inlineStr">
        <is>
          <t>12</t>
        </is>
      </c>
      <c r="C65" s="1" t="inlineStr">
        <is>
          <t>MBWAY_LYO</t>
        </is>
      </c>
      <c r="D65" s="1" t="inlineStr">
        <is>
          <t>BAC_MGT</t>
        </is>
      </c>
      <c r="E65" s="1" t="inlineStr">
        <is>
          <t>B1</t>
        </is>
      </c>
      <c r="F65" s="1" t="inlineStr">
        <is>
          <t>INIT</t>
        </is>
      </c>
      <c r="G65" s="1" t="inlineStr">
        <is>
          <t>2025</t>
        </is>
      </c>
      <c r="H65" s="1" t="n">
        <v>515</v>
      </c>
      <c r="I65" s="1" t="n">
        <v>144</v>
      </c>
      <c r="J65" s="1" t="n">
        <v>104</v>
      </c>
      <c r="K65" s="1" t="n">
        <v>62</v>
      </c>
      <c r="L65" s="1" t="n">
        <v>0</v>
      </c>
      <c r="M65" s="1" t="n">
        <v>62</v>
      </c>
      <c r="N65" s="1" t="n">
        <v>0</v>
      </c>
      <c r="O65" s="1" t="n">
        <v>3</v>
      </c>
      <c r="P65" s="1" t="n">
        <v>7875</v>
      </c>
      <c r="Q65" s="1" t="n">
        <v>90</v>
      </c>
      <c r="R65" s="1" t="n">
        <v>220</v>
      </c>
      <c r="S65" s="1" t="n">
        <v>297</v>
      </c>
      <c r="T65" s="1" t="n">
        <v>12449</v>
      </c>
      <c r="U65" s="1" t="n">
        <v>17411</v>
      </c>
      <c r="V65" s="1" t="n">
        <v>0</v>
      </c>
      <c r="W65" s="1" t="n">
        <v>0.27961165</v>
      </c>
      <c r="X65" s="1" t="n">
        <v>0.722222222</v>
      </c>
      <c r="Y65" s="1" t="n">
        <v>0.596153846</v>
      </c>
      <c r="Z65" s="1" t="n">
        <v>517</v>
      </c>
      <c r="AA65" s="1" t="n">
        <v>0.425531915</v>
      </c>
      <c r="AB65" s="1" t="n">
        <v>41.915824916</v>
      </c>
      <c r="AC65" s="1" t="n">
        <v>493830</v>
      </c>
    </row>
    <row r="66">
      <c r="A66" s="1" t="inlineStr">
        <is>
          <t>2027BUD_V1</t>
        </is>
      </c>
      <c r="B66" s="1" t="inlineStr">
        <is>
          <t>12</t>
        </is>
      </c>
      <c r="C66" s="1" t="inlineStr">
        <is>
          <t>MBWAY_LYO</t>
        </is>
      </c>
      <c r="D66" s="1" t="inlineStr">
        <is>
          <t>BAC_MGT</t>
        </is>
      </c>
      <c r="E66" s="1" t="inlineStr">
        <is>
          <t>B2</t>
        </is>
      </c>
      <c r="F66" s="1" t="inlineStr">
        <is>
          <t>ALT</t>
        </is>
      </c>
      <c r="G66" s="1" t="inlineStr">
        <is>
          <t>2025</t>
        </is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60</v>
      </c>
      <c r="M66" s="1" t="n">
        <v>60</v>
      </c>
      <c r="N66" s="1" t="n">
        <v>62</v>
      </c>
      <c r="O66" s="1" t="n">
        <v>2</v>
      </c>
      <c r="P66" s="1" t="n">
        <v>7350</v>
      </c>
      <c r="Q66" s="1" t="n">
        <v>90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0.9677419350000001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441000</v>
      </c>
    </row>
    <row r="67">
      <c r="A67" s="1" t="inlineStr">
        <is>
          <t>2027BUD_V1</t>
        </is>
      </c>
      <c r="B67" s="1" t="inlineStr">
        <is>
          <t>12</t>
        </is>
      </c>
      <c r="C67" s="1" t="inlineStr">
        <is>
          <t>MBWAY_LYO</t>
        </is>
      </c>
      <c r="D67" s="1" t="inlineStr">
        <is>
          <t>BAC_MGT</t>
        </is>
      </c>
      <c r="E67" s="1" t="inlineStr">
        <is>
          <t>B3</t>
        </is>
      </c>
      <c r="F67" s="1" t="inlineStr">
        <is>
          <t>ALT</t>
        </is>
      </c>
      <c r="G67" s="1" t="inlineStr">
        <is>
          <t>2025</t>
        </is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59</v>
      </c>
      <c r="M67" s="1" t="n">
        <v>59</v>
      </c>
      <c r="N67" s="1" t="n">
        <v>60</v>
      </c>
      <c r="O67" s="1" t="n">
        <v>2</v>
      </c>
      <c r="P67" s="1" t="n">
        <v>7350</v>
      </c>
      <c r="Q67" s="1" t="n">
        <v>90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0.983333333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433650</v>
      </c>
    </row>
    <row r="68">
      <c r="A68" s="1" t="inlineStr">
        <is>
          <t>2027BUD_V1</t>
        </is>
      </c>
      <c r="B68" s="1" t="inlineStr">
        <is>
          <t>12</t>
        </is>
      </c>
      <c r="C68" s="1" t="inlineStr">
        <is>
          <t>MBWAY_LYO</t>
        </is>
      </c>
      <c r="D68" s="1" t="inlineStr">
        <is>
          <t>MAS_MGT</t>
        </is>
      </c>
      <c r="E68" s="1" t="inlineStr">
        <is>
          <t>M1</t>
        </is>
      </c>
      <c r="F68" s="1" t="inlineStr">
        <is>
          <t>ALT</t>
        </is>
      </c>
      <c r="G68" s="1" t="inlineStr">
        <is>
          <t>2025</t>
        </is>
      </c>
      <c r="H68" s="1" t="n">
        <v>1057</v>
      </c>
      <c r="I68" s="1" t="n">
        <v>211</v>
      </c>
      <c r="J68" s="1" t="n">
        <v>148</v>
      </c>
      <c r="K68" s="1" t="n">
        <v>62</v>
      </c>
      <c r="L68" s="1" t="n">
        <v>0</v>
      </c>
      <c r="M68" s="1" t="n">
        <v>62</v>
      </c>
      <c r="N68" s="1" t="n">
        <v>0</v>
      </c>
      <c r="O68" s="1" t="n">
        <v>3</v>
      </c>
      <c r="P68" s="1" t="n">
        <v>7875</v>
      </c>
      <c r="Q68" s="1" t="n">
        <v>90</v>
      </c>
      <c r="R68" s="1" t="n">
        <v>450</v>
      </c>
      <c r="S68" s="1" t="n">
        <v>608</v>
      </c>
      <c r="T68" s="1" t="n">
        <v>25536</v>
      </c>
      <c r="U68" s="1" t="n">
        <v>35714</v>
      </c>
      <c r="V68" s="1" t="n">
        <v>0</v>
      </c>
      <c r="W68" s="1" t="n">
        <v>0.19962157</v>
      </c>
      <c r="X68" s="1" t="n">
        <v>0.701421801</v>
      </c>
      <c r="Y68" s="1" t="n">
        <v>0.418918919</v>
      </c>
      <c r="Z68" s="1" t="n">
        <v>1058</v>
      </c>
      <c r="AA68" s="1" t="n">
        <v>0.425330813</v>
      </c>
      <c r="AB68" s="1" t="n">
        <v>42</v>
      </c>
      <c r="AC68" s="1" t="n">
        <v>493830</v>
      </c>
    </row>
    <row r="69">
      <c r="A69" s="1" t="inlineStr">
        <is>
          <t>2027BUD_V1</t>
        </is>
      </c>
      <c r="B69" s="1" t="inlineStr">
        <is>
          <t>12</t>
        </is>
      </c>
      <c r="C69" s="1" t="inlineStr">
        <is>
          <t>MBWAY_LYO</t>
        </is>
      </c>
      <c r="D69" s="1" t="inlineStr">
        <is>
          <t>MAS_MGT</t>
        </is>
      </c>
      <c r="E69" s="1" t="inlineStr">
        <is>
          <t>M2</t>
        </is>
      </c>
      <c r="F69" s="1" t="inlineStr">
        <is>
          <t>ALT</t>
        </is>
      </c>
      <c r="G69" s="1" t="inlineStr">
        <is>
          <t>2025</t>
        </is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61</v>
      </c>
      <c r="M69" s="1" t="n">
        <v>61</v>
      </c>
      <c r="N69" s="1" t="n">
        <v>62</v>
      </c>
      <c r="O69" s="1" t="n">
        <v>3</v>
      </c>
      <c r="P69" s="1" t="n">
        <v>7875</v>
      </c>
      <c r="Q69" s="1" t="n">
        <v>90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0.983870968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480375</v>
      </c>
    </row>
    <row r="70">
      <c r="A70" s="1" t="inlineStr">
        <is>
          <t>2027BUD_V1</t>
        </is>
      </c>
      <c r="B70" s="1" t="inlineStr">
        <is>
          <t>12</t>
        </is>
      </c>
      <c r="C70" s="1" t="inlineStr">
        <is>
          <t>MBWAY_NAN</t>
        </is>
      </c>
      <c r="D70" s="1" t="inlineStr">
        <is>
          <t>BAC_MGT</t>
        </is>
      </c>
      <c r="E70" s="1" t="inlineStr">
        <is>
          <t>B1</t>
        </is>
      </c>
      <c r="F70" s="1" t="inlineStr">
        <is>
          <t>INIT</t>
        </is>
      </c>
      <c r="G70" s="1" t="inlineStr">
        <is>
          <t>2025</t>
        </is>
      </c>
      <c r="H70" s="1" t="n">
        <v>468</v>
      </c>
      <c r="I70" s="1" t="n">
        <v>131</v>
      </c>
      <c r="J70" s="1" t="n">
        <v>94</v>
      </c>
      <c r="K70" s="1" t="n">
        <v>57</v>
      </c>
      <c r="L70" s="1" t="n">
        <v>0</v>
      </c>
      <c r="M70" s="1" t="n">
        <v>57</v>
      </c>
      <c r="N70" s="1" t="n">
        <v>0</v>
      </c>
      <c r="O70" s="1" t="n">
        <v>2</v>
      </c>
      <c r="P70" s="1" t="n">
        <v>7500</v>
      </c>
      <c r="Q70" s="1" t="n">
        <v>90</v>
      </c>
      <c r="R70" s="1" t="n">
        <v>222</v>
      </c>
      <c r="S70" s="1" t="n">
        <v>245</v>
      </c>
      <c r="T70" s="1" t="n">
        <v>9379</v>
      </c>
      <c r="U70" s="1" t="n">
        <v>17832</v>
      </c>
      <c r="V70" s="1" t="n">
        <v>0</v>
      </c>
      <c r="W70" s="1" t="n">
        <v>0.27991453</v>
      </c>
      <c r="X70" s="1" t="n">
        <v>0.717557252</v>
      </c>
      <c r="Y70" s="1" t="n">
        <v>0.606382979</v>
      </c>
      <c r="Z70" s="1" t="n">
        <v>467</v>
      </c>
      <c r="AA70" s="1" t="n">
        <v>0.475374732</v>
      </c>
      <c r="AB70" s="1" t="n">
        <v>38.281632653</v>
      </c>
      <c r="AC70" s="1" t="n">
        <v>432630</v>
      </c>
    </row>
    <row r="71">
      <c r="A71" s="1" t="inlineStr">
        <is>
          <t>2027BUD_V1</t>
        </is>
      </c>
      <c r="B71" s="1" t="inlineStr">
        <is>
          <t>12</t>
        </is>
      </c>
      <c r="C71" s="1" t="inlineStr">
        <is>
          <t>MBWAY_NAN</t>
        </is>
      </c>
      <c r="D71" s="1" t="inlineStr">
        <is>
          <t>BAC_MGT</t>
        </is>
      </c>
      <c r="E71" s="1" t="inlineStr">
        <is>
          <t>B2</t>
        </is>
      </c>
      <c r="F71" s="1" t="inlineStr">
        <is>
          <t>ALT</t>
        </is>
      </c>
      <c r="G71" s="1" t="inlineStr">
        <is>
          <t>2025</t>
        </is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55</v>
      </c>
      <c r="M71" s="1" t="n">
        <v>55</v>
      </c>
      <c r="N71" s="1" t="n">
        <v>57</v>
      </c>
      <c r="O71" s="1" t="n">
        <v>2</v>
      </c>
      <c r="P71" s="1" t="n">
        <v>7000</v>
      </c>
      <c r="Q71" s="1" t="n">
        <v>90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0.964912281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385000</v>
      </c>
    </row>
    <row r="72">
      <c r="A72" s="1" t="inlineStr">
        <is>
          <t>2027BUD_V1</t>
        </is>
      </c>
      <c r="B72" s="1" t="inlineStr">
        <is>
          <t>12</t>
        </is>
      </c>
      <c r="C72" s="1" t="inlineStr">
        <is>
          <t>MBWAY_NAN</t>
        </is>
      </c>
      <c r="D72" s="1" t="inlineStr">
        <is>
          <t>BAC_MGT</t>
        </is>
      </c>
      <c r="E72" s="1" t="inlineStr">
        <is>
          <t>B3</t>
        </is>
      </c>
      <c r="F72" s="1" t="inlineStr">
        <is>
          <t>ALT</t>
        </is>
      </c>
      <c r="G72" s="1" t="inlineStr">
        <is>
          <t>2025</t>
        </is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54</v>
      </c>
      <c r="M72" s="1" t="n">
        <v>54</v>
      </c>
      <c r="N72" s="1" t="n">
        <v>55</v>
      </c>
      <c r="O72" s="1" t="n">
        <v>2</v>
      </c>
      <c r="P72" s="1" t="n">
        <v>7000</v>
      </c>
      <c r="Q72" s="1" t="n">
        <v>90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0.981818182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378000</v>
      </c>
    </row>
    <row r="73">
      <c r="A73" s="1" t="inlineStr">
        <is>
          <t>2027BUD_V1</t>
        </is>
      </c>
      <c r="B73" s="1" t="inlineStr">
        <is>
          <t>12</t>
        </is>
      </c>
      <c r="C73" s="1" t="inlineStr">
        <is>
          <t>MBWAY_NAN</t>
        </is>
      </c>
      <c r="D73" s="1" t="inlineStr">
        <is>
          <t>MAS_MGT</t>
        </is>
      </c>
      <c r="E73" s="1" t="inlineStr">
        <is>
          <t>M1</t>
        </is>
      </c>
      <c r="F73" s="1" t="inlineStr">
        <is>
          <t>ALT</t>
        </is>
      </c>
      <c r="G73" s="1" t="inlineStr">
        <is>
          <t>2025</t>
        </is>
      </c>
      <c r="H73" s="1" t="n">
        <v>962</v>
      </c>
      <c r="I73" s="1" t="n">
        <v>192</v>
      </c>
      <c r="J73" s="1" t="n">
        <v>135</v>
      </c>
      <c r="K73" s="1" t="n">
        <v>57</v>
      </c>
      <c r="L73" s="1" t="n">
        <v>0</v>
      </c>
      <c r="M73" s="1" t="n">
        <v>57</v>
      </c>
      <c r="N73" s="1" t="n">
        <v>0</v>
      </c>
      <c r="O73" s="1" t="n">
        <v>3</v>
      </c>
      <c r="P73" s="1" t="n">
        <v>7500</v>
      </c>
      <c r="Q73" s="1" t="n">
        <v>90</v>
      </c>
      <c r="R73" s="1" t="n">
        <v>458</v>
      </c>
      <c r="S73" s="1" t="n">
        <v>504</v>
      </c>
      <c r="T73" s="1" t="n">
        <v>19287</v>
      </c>
      <c r="U73" s="1" t="n">
        <v>36670</v>
      </c>
      <c r="V73" s="1" t="n">
        <v>0</v>
      </c>
      <c r="W73" s="1" t="n">
        <v>0.1995842</v>
      </c>
      <c r="X73" s="1" t="n">
        <v>0.703125</v>
      </c>
      <c r="Y73" s="1" t="n">
        <v>0.422222222</v>
      </c>
      <c r="Z73" s="1" t="n">
        <v>962</v>
      </c>
      <c r="AA73" s="1" t="n">
        <v>0.476091476</v>
      </c>
      <c r="AB73" s="1" t="n">
        <v>38.267857143</v>
      </c>
      <c r="AC73" s="1" t="n">
        <v>432630</v>
      </c>
    </row>
    <row r="74">
      <c r="A74" s="1" t="inlineStr">
        <is>
          <t>2027BUD_V1</t>
        </is>
      </c>
      <c r="B74" s="1" t="inlineStr">
        <is>
          <t>12</t>
        </is>
      </c>
      <c r="C74" s="1" t="inlineStr">
        <is>
          <t>MBWAY_NAN</t>
        </is>
      </c>
      <c r="D74" s="1" t="inlineStr">
        <is>
          <t>MAS_MGT</t>
        </is>
      </c>
      <c r="E74" s="1" t="inlineStr">
        <is>
          <t>M2</t>
        </is>
      </c>
      <c r="F74" s="1" t="inlineStr">
        <is>
          <t>ALT</t>
        </is>
      </c>
      <c r="G74" s="1" t="inlineStr">
        <is>
          <t>2025</t>
        </is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56</v>
      </c>
      <c r="M74" s="1" t="n">
        <v>56</v>
      </c>
      <c r="N74" s="1" t="n">
        <v>57</v>
      </c>
      <c r="O74" s="1" t="n">
        <v>3</v>
      </c>
      <c r="P74" s="1" t="n">
        <v>7500</v>
      </c>
      <c r="Q74" s="1" t="n">
        <v>90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0.98245614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420000</v>
      </c>
    </row>
    <row r="75">
      <c r="A75" s="1" t="inlineStr">
        <is>
          <t>2027BUD_V1</t>
        </is>
      </c>
      <c r="B75" s="1" t="inlineStr">
        <is>
          <t>12</t>
        </is>
      </c>
      <c r="C75" s="1" t="inlineStr">
        <is>
          <t>MBWAY_BOR</t>
        </is>
      </c>
      <c r="D75" s="1" t="inlineStr">
        <is>
          <t>BAC_MGT</t>
        </is>
      </c>
      <c r="E75" s="1" t="inlineStr">
        <is>
          <t>B1</t>
        </is>
      </c>
      <c r="F75" s="1" t="inlineStr">
        <is>
          <t>INIT</t>
        </is>
      </c>
      <c r="G75" s="1" t="inlineStr">
        <is>
          <t>2025</t>
        </is>
      </c>
      <c r="H75" s="1" t="n">
        <v>397</v>
      </c>
      <c r="I75" s="1" t="n">
        <v>111</v>
      </c>
      <c r="J75" s="1" t="n">
        <v>80</v>
      </c>
      <c r="K75" s="1" t="n">
        <v>48</v>
      </c>
      <c r="L75" s="1" t="n">
        <v>0</v>
      </c>
      <c r="M75" s="1" t="n">
        <v>48</v>
      </c>
      <c r="N75" s="1" t="n">
        <v>0</v>
      </c>
      <c r="O75" s="1" t="n">
        <v>2</v>
      </c>
      <c r="P75" s="1" t="n">
        <v>7275</v>
      </c>
      <c r="Q75" s="1" t="n">
        <v>90</v>
      </c>
      <c r="R75" s="1" t="n">
        <v>193</v>
      </c>
      <c r="S75" s="1" t="n">
        <v>204</v>
      </c>
      <c r="T75" s="1" t="n">
        <v>7417</v>
      </c>
      <c r="U75" s="1" t="n">
        <v>15467</v>
      </c>
      <c r="V75" s="1" t="n">
        <v>0</v>
      </c>
      <c r="W75" s="1" t="n">
        <v>0.279596977</v>
      </c>
      <c r="X75" s="1" t="n">
        <v>0.720720721</v>
      </c>
      <c r="Y75" s="1" t="n">
        <v>0.6</v>
      </c>
      <c r="Z75" s="1" t="n">
        <v>397</v>
      </c>
      <c r="AA75" s="1" t="n">
        <v>0.486146096</v>
      </c>
      <c r="AB75" s="1" t="n">
        <v>36.357843137</v>
      </c>
      <c r="AC75" s="1" t="n">
        <v>353520</v>
      </c>
    </row>
    <row r="76">
      <c r="A76" s="1" t="inlineStr">
        <is>
          <t>2027BUD_V1</t>
        </is>
      </c>
      <c r="B76" s="1" t="inlineStr">
        <is>
          <t>12</t>
        </is>
      </c>
      <c r="C76" s="1" t="inlineStr">
        <is>
          <t>MBWAY_BOR</t>
        </is>
      </c>
      <c r="D76" s="1" t="inlineStr">
        <is>
          <t>BAC_MGT</t>
        </is>
      </c>
      <c r="E76" s="1" t="inlineStr">
        <is>
          <t>B2</t>
        </is>
      </c>
      <c r="F76" s="1" t="inlineStr">
        <is>
          <t>ALT</t>
        </is>
      </c>
      <c r="G76" s="1" t="inlineStr">
        <is>
          <t>2025</t>
        </is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46</v>
      </c>
      <c r="M76" s="1" t="n">
        <v>46</v>
      </c>
      <c r="N76" s="1" t="n">
        <v>48</v>
      </c>
      <c r="O76" s="1" t="n">
        <v>2</v>
      </c>
      <c r="P76" s="1" t="n">
        <v>6790</v>
      </c>
      <c r="Q76" s="1" t="n">
        <v>90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0.958333333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312340</v>
      </c>
    </row>
    <row r="77">
      <c r="A77" s="1" t="inlineStr">
        <is>
          <t>2027BUD_V1</t>
        </is>
      </c>
      <c r="B77" s="1" t="inlineStr">
        <is>
          <t>12</t>
        </is>
      </c>
      <c r="C77" s="1" t="inlineStr">
        <is>
          <t>MBWAY_BOR</t>
        </is>
      </c>
      <c r="D77" s="1" t="inlineStr">
        <is>
          <t>BAC_MGT</t>
        </is>
      </c>
      <c r="E77" s="1" t="inlineStr">
        <is>
          <t>B3</t>
        </is>
      </c>
      <c r="F77" s="1" t="inlineStr">
        <is>
          <t>ALT</t>
        </is>
      </c>
      <c r="G77" s="1" t="inlineStr">
        <is>
          <t>2025</t>
        </is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45</v>
      </c>
      <c r="M77" s="1" t="n">
        <v>45</v>
      </c>
      <c r="N77" s="1" t="n">
        <v>46</v>
      </c>
      <c r="O77" s="1" t="n">
        <v>2</v>
      </c>
      <c r="P77" s="1" t="n">
        <v>6790</v>
      </c>
      <c r="Q77" s="1" t="n">
        <v>90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0.9782608699999999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305550</v>
      </c>
    </row>
    <row r="78">
      <c r="A78" s="1" t="inlineStr">
        <is>
          <t>2027BUD_V1</t>
        </is>
      </c>
      <c r="B78" s="1" t="inlineStr">
        <is>
          <t>12</t>
        </is>
      </c>
      <c r="C78" s="1" t="inlineStr">
        <is>
          <t>MBWAY_BOR</t>
        </is>
      </c>
      <c r="D78" s="1" t="inlineStr">
        <is>
          <t>MAS_MGT</t>
        </is>
      </c>
      <c r="E78" s="1" t="inlineStr">
        <is>
          <t>M1</t>
        </is>
      </c>
      <c r="F78" s="1" t="inlineStr">
        <is>
          <t>ALT</t>
        </is>
      </c>
      <c r="G78" s="1" t="inlineStr">
        <is>
          <t>2025</t>
        </is>
      </c>
      <c r="H78" s="1" t="n">
        <v>816</v>
      </c>
      <c r="I78" s="1" t="n">
        <v>163</v>
      </c>
      <c r="J78" s="1" t="n">
        <v>114</v>
      </c>
      <c r="K78" s="1" t="n">
        <v>48</v>
      </c>
      <c r="L78" s="1" t="n">
        <v>0</v>
      </c>
      <c r="M78" s="1" t="n">
        <v>48</v>
      </c>
      <c r="N78" s="1" t="n">
        <v>0</v>
      </c>
      <c r="O78" s="1" t="n">
        <v>2</v>
      </c>
      <c r="P78" s="1" t="n">
        <v>7275</v>
      </c>
      <c r="Q78" s="1" t="n">
        <v>90</v>
      </c>
      <c r="R78" s="1" t="n">
        <v>396</v>
      </c>
      <c r="S78" s="1" t="n">
        <v>419</v>
      </c>
      <c r="T78" s="1" t="n">
        <v>15240</v>
      </c>
      <c r="U78" s="1" t="n">
        <v>31779</v>
      </c>
      <c r="V78" s="1" t="n">
        <v>0</v>
      </c>
      <c r="W78" s="1" t="n">
        <v>0.199754902</v>
      </c>
      <c r="X78" s="1" t="n">
        <v>0.699386503</v>
      </c>
      <c r="Y78" s="1" t="n">
        <v>0.421052632</v>
      </c>
      <c r="Z78" s="1" t="n">
        <v>815</v>
      </c>
      <c r="AA78" s="1" t="n">
        <v>0.485889571</v>
      </c>
      <c r="AB78" s="1" t="n">
        <v>36.372315036</v>
      </c>
      <c r="AC78" s="1" t="n">
        <v>353520</v>
      </c>
    </row>
    <row r="79">
      <c r="A79" s="1" t="inlineStr">
        <is>
          <t>2027BUD_V1</t>
        </is>
      </c>
      <c r="B79" s="1" t="inlineStr">
        <is>
          <t>12</t>
        </is>
      </c>
      <c r="C79" s="1" t="inlineStr">
        <is>
          <t>MBWAY_BOR</t>
        </is>
      </c>
      <c r="D79" s="1" t="inlineStr">
        <is>
          <t>MAS_MGT</t>
        </is>
      </c>
      <c r="E79" s="1" t="inlineStr">
        <is>
          <t>M2</t>
        </is>
      </c>
      <c r="F79" s="1" t="inlineStr">
        <is>
          <t>ALT</t>
        </is>
      </c>
      <c r="G79" s="1" t="inlineStr">
        <is>
          <t>2025</t>
        </is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47</v>
      </c>
      <c r="M79" s="1" t="n">
        <v>47</v>
      </c>
      <c r="N79" s="1" t="n">
        <v>48</v>
      </c>
      <c r="O79" s="1" t="n">
        <v>2</v>
      </c>
      <c r="P79" s="1" t="n">
        <v>7275</v>
      </c>
      <c r="Q79" s="1" t="n">
        <v>90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0.979166667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341925</v>
      </c>
    </row>
    <row r="80">
      <c r="A80" s="1" t="inlineStr">
        <is>
          <t>2027BUD_V1</t>
        </is>
      </c>
      <c r="B80" s="1" t="inlineStr">
        <is>
          <t>12</t>
        </is>
      </c>
      <c r="C80" s="1" t="inlineStr">
        <is>
          <t>ISCOM_PAR</t>
        </is>
      </c>
      <c r="D80" s="1" t="inlineStr">
        <is>
          <t>BAC_COM</t>
        </is>
      </c>
      <c r="E80" s="1" t="inlineStr">
        <is>
          <t>B1</t>
        </is>
      </c>
      <c r="F80" s="1" t="inlineStr">
        <is>
          <t>INIT</t>
        </is>
      </c>
      <c r="G80" s="1" t="inlineStr">
        <is>
          <t>2025</t>
        </is>
      </c>
      <c r="H80" s="1" t="n">
        <v>562</v>
      </c>
      <c r="I80" s="1" t="n">
        <v>158</v>
      </c>
      <c r="J80" s="1" t="n">
        <v>113</v>
      </c>
      <c r="K80" s="1" t="n">
        <v>68</v>
      </c>
      <c r="L80" s="1" t="n">
        <v>0</v>
      </c>
      <c r="M80" s="1" t="n">
        <v>68</v>
      </c>
      <c r="N80" s="1" t="n">
        <v>0</v>
      </c>
      <c r="O80" s="1" t="n">
        <v>3</v>
      </c>
      <c r="P80" s="1" t="n">
        <v>8400</v>
      </c>
      <c r="Q80" s="1" t="n">
        <v>90</v>
      </c>
      <c r="R80" s="1" t="n">
        <v>220</v>
      </c>
      <c r="S80" s="1" t="n">
        <v>354</v>
      </c>
      <c r="T80" s="1" t="n">
        <v>18140</v>
      </c>
      <c r="U80" s="1" t="n">
        <v>18785</v>
      </c>
      <c r="V80" s="1" t="n">
        <v>0</v>
      </c>
      <c r="W80" s="1" t="n">
        <v>0.28113879</v>
      </c>
      <c r="X80" s="1" t="n">
        <v>0.715189873</v>
      </c>
      <c r="Y80" s="1" t="n">
        <v>0.601769912</v>
      </c>
      <c r="Z80" s="1" t="n">
        <v>574</v>
      </c>
      <c r="AA80" s="1" t="n">
        <v>0.383275261</v>
      </c>
      <c r="AB80" s="1" t="n">
        <v>51.242937853</v>
      </c>
      <c r="AC80" s="1" t="n">
        <v>577320</v>
      </c>
    </row>
    <row r="81">
      <c r="A81" s="1" t="inlineStr">
        <is>
          <t>2027BUD_V1</t>
        </is>
      </c>
      <c r="B81" s="1" t="inlineStr">
        <is>
          <t>12</t>
        </is>
      </c>
      <c r="C81" s="1" t="inlineStr">
        <is>
          <t>ISCOM_PAR</t>
        </is>
      </c>
      <c r="D81" s="1" t="inlineStr">
        <is>
          <t>BAC_COM</t>
        </is>
      </c>
      <c r="E81" s="1" t="inlineStr">
        <is>
          <t>B2</t>
        </is>
      </c>
      <c r="F81" s="1" t="inlineStr">
        <is>
          <t>ALT</t>
        </is>
      </c>
      <c r="G81" s="1" t="inlineStr">
        <is>
          <t>2025</t>
        </is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66</v>
      </c>
      <c r="M81" s="1" t="n">
        <v>66</v>
      </c>
      <c r="N81" s="1" t="n">
        <v>68</v>
      </c>
      <c r="O81" s="1" t="n">
        <v>3</v>
      </c>
      <c r="P81" s="1" t="n">
        <v>7840</v>
      </c>
      <c r="Q81" s="1" t="n">
        <v>90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0.970588235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517440</v>
      </c>
    </row>
    <row r="82">
      <c r="A82" s="1" t="inlineStr">
        <is>
          <t>2027BUD_V1</t>
        </is>
      </c>
      <c r="B82" s="1" t="inlineStr">
        <is>
          <t>12</t>
        </is>
      </c>
      <c r="C82" s="1" t="inlineStr">
        <is>
          <t>ISCOM_PAR</t>
        </is>
      </c>
      <c r="D82" s="1" t="inlineStr">
        <is>
          <t>BAC_COM</t>
        </is>
      </c>
      <c r="E82" s="1" t="inlineStr">
        <is>
          <t>B3</t>
        </is>
      </c>
      <c r="F82" s="1" t="inlineStr">
        <is>
          <t>ALT</t>
        </is>
      </c>
      <c r="G82" s="1" t="inlineStr">
        <is>
          <t>2025</t>
        </is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65</v>
      </c>
      <c r="M82" s="1" t="n">
        <v>65</v>
      </c>
      <c r="N82" s="1" t="n">
        <v>66</v>
      </c>
      <c r="O82" s="1" t="n">
        <v>3</v>
      </c>
      <c r="P82" s="1" t="n">
        <v>7840</v>
      </c>
      <c r="Q82" s="1" t="n">
        <v>90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0.984848485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509600</v>
      </c>
    </row>
    <row r="83">
      <c r="A83" s="1" t="inlineStr">
        <is>
          <t>2027BUD_V1</t>
        </is>
      </c>
      <c r="B83" s="1" t="inlineStr">
        <is>
          <t>12</t>
        </is>
      </c>
      <c r="C83" s="1" t="inlineStr">
        <is>
          <t>ISCOM_PAR</t>
        </is>
      </c>
      <c r="D83" s="1" t="inlineStr">
        <is>
          <t>MAS_COM</t>
        </is>
      </c>
      <c r="E83" s="1" t="inlineStr">
        <is>
          <t>M1</t>
        </is>
      </c>
      <c r="F83" s="1" t="inlineStr">
        <is>
          <t>ALT</t>
        </is>
      </c>
      <c r="G83" s="1" t="inlineStr">
        <is>
          <t>2025</t>
        </is>
      </c>
      <c r="H83" s="1" t="n">
        <v>1151</v>
      </c>
      <c r="I83" s="1" t="n">
        <v>230</v>
      </c>
      <c r="J83" s="1" t="n">
        <v>161</v>
      </c>
      <c r="K83" s="1" t="n">
        <v>68</v>
      </c>
      <c r="L83" s="1" t="n">
        <v>0</v>
      </c>
      <c r="M83" s="1" t="n">
        <v>68</v>
      </c>
      <c r="N83" s="1" t="n">
        <v>0</v>
      </c>
      <c r="O83" s="1" t="n">
        <v>3</v>
      </c>
      <c r="P83" s="1" t="n">
        <v>8400</v>
      </c>
      <c r="Q83" s="1" t="n">
        <v>90</v>
      </c>
      <c r="R83" s="1" t="n">
        <v>450</v>
      </c>
      <c r="S83" s="1" t="n">
        <v>726</v>
      </c>
      <c r="T83" s="1" t="n">
        <v>37132</v>
      </c>
      <c r="U83" s="1" t="n">
        <v>38451</v>
      </c>
      <c r="V83" s="1" t="n">
        <v>0</v>
      </c>
      <c r="W83" s="1" t="n">
        <v>0.199826238</v>
      </c>
      <c r="X83" s="1" t="n">
        <v>0.7</v>
      </c>
      <c r="Y83" s="1" t="n">
        <v>0.422360248</v>
      </c>
      <c r="Z83" s="1" t="n">
        <v>1176</v>
      </c>
      <c r="AA83" s="1" t="n">
        <v>0.382653061</v>
      </c>
      <c r="AB83" s="1" t="n">
        <v>51.14600551</v>
      </c>
      <c r="AC83" s="1" t="n">
        <v>577320</v>
      </c>
    </row>
    <row r="84">
      <c r="A84" s="1" t="inlineStr">
        <is>
          <t>2027BUD_V1</t>
        </is>
      </c>
      <c r="B84" s="1" t="inlineStr">
        <is>
          <t>12</t>
        </is>
      </c>
      <c r="C84" s="1" t="inlineStr">
        <is>
          <t>ISCOM_PAR</t>
        </is>
      </c>
      <c r="D84" s="1" t="inlineStr">
        <is>
          <t>MAS_COM</t>
        </is>
      </c>
      <c r="E84" s="1" t="inlineStr">
        <is>
          <t>M2</t>
        </is>
      </c>
      <c r="F84" s="1" t="inlineStr">
        <is>
          <t>ALT</t>
        </is>
      </c>
      <c r="G84" s="1" t="inlineStr">
        <is>
          <t>2025</t>
        </is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67</v>
      </c>
      <c r="M84" s="1" t="n">
        <v>67</v>
      </c>
      <c r="N84" s="1" t="n">
        <v>68</v>
      </c>
      <c r="O84" s="1" t="n">
        <v>3</v>
      </c>
      <c r="P84" s="1" t="n">
        <v>8400</v>
      </c>
      <c r="Q84" s="1" t="n">
        <v>90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0.985294118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562800</v>
      </c>
    </row>
    <row r="85">
      <c r="A85" s="1" t="inlineStr">
        <is>
          <t>2027BUD_V1</t>
        </is>
      </c>
      <c r="B85" s="1" t="inlineStr">
        <is>
          <t>12</t>
        </is>
      </c>
      <c r="C85" s="1" t="inlineStr">
        <is>
          <t>ISCOM_LIL</t>
        </is>
      </c>
      <c r="D85" s="1" t="inlineStr">
        <is>
          <t>BAC_COM</t>
        </is>
      </c>
      <c r="E85" s="1" t="inlineStr">
        <is>
          <t>B1</t>
        </is>
      </c>
      <c r="F85" s="1" t="inlineStr">
        <is>
          <t>INIT</t>
        </is>
      </c>
      <c r="G85" s="1" t="inlineStr">
        <is>
          <t>2025</t>
        </is>
      </c>
      <c r="H85" s="1" t="n">
        <v>388</v>
      </c>
      <c r="I85" s="1" t="n">
        <v>108</v>
      </c>
      <c r="J85" s="1" t="n">
        <v>78</v>
      </c>
      <c r="K85" s="1" t="n">
        <v>47</v>
      </c>
      <c r="L85" s="1" t="n">
        <v>0</v>
      </c>
      <c r="M85" s="1" t="n">
        <v>47</v>
      </c>
      <c r="N85" s="1" t="n">
        <v>0</v>
      </c>
      <c r="O85" s="1" t="n">
        <v>2</v>
      </c>
      <c r="P85" s="1" t="n">
        <v>7350</v>
      </c>
      <c r="Q85" s="1" t="n">
        <v>90</v>
      </c>
      <c r="R85" s="1" t="n">
        <v>199</v>
      </c>
      <c r="S85" s="1" t="n">
        <v>196</v>
      </c>
      <c r="T85" s="1" t="n">
        <v>7473</v>
      </c>
      <c r="U85" s="1" t="n">
        <v>17199</v>
      </c>
      <c r="V85" s="1" t="n">
        <v>0</v>
      </c>
      <c r="W85" s="1" t="n">
        <v>0.278350515</v>
      </c>
      <c r="X85" s="1" t="n">
        <v>0.722222222</v>
      </c>
      <c r="Y85" s="1" t="n">
        <v>0.602564103</v>
      </c>
      <c r="Z85" s="1" t="n">
        <v>395</v>
      </c>
      <c r="AA85" s="1" t="n">
        <v>0.503797468</v>
      </c>
      <c r="AB85" s="1" t="n">
        <v>38.12755102</v>
      </c>
      <c r="AC85" s="1" t="n">
        <v>349680</v>
      </c>
    </row>
    <row r="86">
      <c r="A86" s="1" t="inlineStr">
        <is>
          <t>2027BUD_V1</t>
        </is>
      </c>
      <c r="B86" s="1" t="inlineStr">
        <is>
          <t>12</t>
        </is>
      </c>
      <c r="C86" s="1" t="inlineStr">
        <is>
          <t>ISCOM_LIL</t>
        </is>
      </c>
      <c r="D86" s="1" t="inlineStr">
        <is>
          <t>BAC_COM</t>
        </is>
      </c>
      <c r="E86" s="1" t="inlineStr">
        <is>
          <t>B2</t>
        </is>
      </c>
      <c r="F86" s="1" t="inlineStr">
        <is>
          <t>ALT</t>
        </is>
      </c>
      <c r="G86" s="1" t="inlineStr">
        <is>
          <t>2025</t>
        </is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45</v>
      </c>
      <c r="M86" s="1" t="n">
        <v>45</v>
      </c>
      <c r="N86" s="1" t="n">
        <v>47</v>
      </c>
      <c r="O86" s="1" t="n">
        <v>2</v>
      </c>
      <c r="P86" s="1" t="n">
        <v>6860</v>
      </c>
      <c r="Q86" s="1" t="n">
        <v>90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0.957446809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308700</v>
      </c>
    </row>
    <row r="87">
      <c r="A87" s="1" t="inlineStr">
        <is>
          <t>2027BUD_V1</t>
        </is>
      </c>
      <c r="B87" s="1" t="inlineStr">
        <is>
          <t>12</t>
        </is>
      </c>
      <c r="C87" s="1" t="inlineStr">
        <is>
          <t>ISCOM_LIL</t>
        </is>
      </c>
      <c r="D87" s="1" t="inlineStr">
        <is>
          <t>BAC_COM</t>
        </is>
      </c>
      <c r="E87" s="1" t="inlineStr">
        <is>
          <t>B3</t>
        </is>
      </c>
      <c r="F87" s="1" t="inlineStr">
        <is>
          <t>ALT</t>
        </is>
      </c>
      <c r="G87" s="1" t="inlineStr">
        <is>
          <t>2025</t>
        </is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44</v>
      </c>
      <c r="M87" s="1" t="n">
        <v>44</v>
      </c>
      <c r="N87" s="1" t="n">
        <v>45</v>
      </c>
      <c r="O87" s="1" t="n">
        <v>2</v>
      </c>
      <c r="P87" s="1" t="n">
        <v>6860</v>
      </c>
      <c r="Q87" s="1" t="n">
        <v>90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0.977777778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301840</v>
      </c>
    </row>
    <row r="88">
      <c r="A88" s="1" t="inlineStr">
        <is>
          <t>2027BUD_V1</t>
        </is>
      </c>
      <c r="B88" s="1" t="inlineStr">
        <is>
          <t>12</t>
        </is>
      </c>
      <c r="C88" s="1" t="inlineStr">
        <is>
          <t>ISCOM_LIL</t>
        </is>
      </c>
      <c r="D88" s="1" t="inlineStr">
        <is>
          <t>MAS_COM</t>
        </is>
      </c>
      <c r="E88" s="1" t="inlineStr">
        <is>
          <t>M1</t>
        </is>
      </c>
      <c r="F88" s="1" t="inlineStr">
        <is>
          <t>ALT</t>
        </is>
      </c>
      <c r="G88" s="1" t="inlineStr">
        <is>
          <t>2025</t>
        </is>
      </c>
      <c r="H88" s="1" t="n">
        <v>802</v>
      </c>
      <c r="I88" s="1" t="n">
        <v>160</v>
      </c>
      <c r="J88" s="1" t="n">
        <v>112</v>
      </c>
      <c r="K88" s="1" t="n">
        <v>47</v>
      </c>
      <c r="L88" s="1" t="n">
        <v>0</v>
      </c>
      <c r="M88" s="1" t="n">
        <v>47</v>
      </c>
      <c r="N88" s="1" t="n">
        <v>0</v>
      </c>
      <c r="O88" s="1" t="n">
        <v>2</v>
      </c>
      <c r="P88" s="1" t="n">
        <v>7350</v>
      </c>
      <c r="Q88" s="1" t="n">
        <v>90</v>
      </c>
      <c r="R88" s="1" t="n">
        <v>413</v>
      </c>
      <c r="S88" s="1" t="n">
        <v>404</v>
      </c>
      <c r="T88" s="1" t="n">
        <v>15454</v>
      </c>
      <c r="U88" s="1" t="n">
        <v>35569</v>
      </c>
      <c r="V88" s="1" t="n">
        <v>0</v>
      </c>
      <c r="W88" s="1" t="n">
        <v>0.199501247</v>
      </c>
      <c r="X88" s="1" t="n">
        <v>0.7</v>
      </c>
      <c r="Y88" s="1" t="n">
        <v>0.419642857</v>
      </c>
      <c r="Z88" s="1" t="n">
        <v>817</v>
      </c>
      <c r="AA88" s="1" t="n">
        <v>0.505507956</v>
      </c>
      <c r="AB88" s="1" t="n">
        <v>38.252475248</v>
      </c>
      <c r="AC88" s="1" t="n">
        <v>349680</v>
      </c>
    </row>
    <row r="89">
      <c r="A89" s="1" t="inlineStr">
        <is>
          <t>2027BUD_V1</t>
        </is>
      </c>
      <c r="B89" s="1" t="inlineStr">
        <is>
          <t>12</t>
        </is>
      </c>
      <c r="C89" s="1" t="inlineStr">
        <is>
          <t>ISCOM_LIL</t>
        </is>
      </c>
      <c r="D89" s="1" t="inlineStr">
        <is>
          <t>MAS_COM</t>
        </is>
      </c>
      <c r="E89" s="1" t="inlineStr">
        <is>
          <t>M2</t>
        </is>
      </c>
      <c r="F89" s="1" t="inlineStr">
        <is>
          <t>ALT</t>
        </is>
      </c>
      <c r="G89" s="1" t="inlineStr">
        <is>
          <t>2025</t>
        </is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46</v>
      </c>
      <c r="M89" s="1" t="n">
        <v>46</v>
      </c>
      <c r="N89" s="1" t="n">
        <v>47</v>
      </c>
      <c r="O89" s="1" t="n">
        <v>2</v>
      </c>
      <c r="P89" s="1" t="n">
        <v>7350</v>
      </c>
      <c r="Q89" s="1" t="n">
        <v>90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0.978723404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338100</v>
      </c>
    </row>
    <row r="90">
      <c r="A90" s="1" t="inlineStr">
        <is>
          <t>2027BUD_V1</t>
        </is>
      </c>
      <c r="B90" s="1" t="inlineStr">
        <is>
          <t>12</t>
        </is>
      </c>
      <c r="C90" s="1" t="inlineStr">
        <is>
          <t>ISCOM_TLS</t>
        </is>
      </c>
      <c r="D90" s="1" t="inlineStr">
        <is>
          <t>BAC_COM</t>
        </is>
      </c>
      <c r="E90" s="1" t="inlineStr">
        <is>
          <t>B1</t>
        </is>
      </c>
      <c r="F90" s="1" t="inlineStr">
        <is>
          <t>INIT</t>
        </is>
      </c>
      <c r="G90" s="1" t="inlineStr">
        <is>
          <t>2025</t>
        </is>
      </c>
      <c r="H90" s="1" t="n">
        <v>364</v>
      </c>
      <c r="I90" s="1" t="n">
        <v>102</v>
      </c>
      <c r="J90" s="1" t="n">
        <v>74</v>
      </c>
      <c r="K90" s="1" t="n">
        <v>44</v>
      </c>
      <c r="L90" s="1" t="n">
        <v>0</v>
      </c>
      <c r="M90" s="1" t="n">
        <v>44</v>
      </c>
      <c r="N90" s="1" t="n">
        <v>0</v>
      </c>
      <c r="O90" s="1" t="n">
        <v>2</v>
      </c>
      <c r="P90" s="1" t="n">
        <v>7200</v>
      </c>
      <c r="Q90" s="1" t="n">
        <v>90</v>
      </c>
      <c r="R90" s="1" t="n">
        <v>191</v>
      </c>
      <c r="S90" s="1" t="n">
        <v>180</v>
      </c>
      <c r="T90" s="1" t="n">
        <v>6534</v>
      </c>
      <c r="U90" s="1" t="n">
        <v>16504</v>
      </c>
      <c r="V90" s="1" t="n">
        <v>0</v>
      </c>
      <c r="W90" s="1" t="n">
        <v>0.28021978</v>
      </c>
      <c r="X90" s="1" t="n">
        <v>0.725490196</v>
      </c>
      <c r="Y90" s="1" t="n">
        <v>0.594594595</v>
      </c>
      <c r="Z90" s="1" t="n">
        <v>371</v>
      </c>
      <c r="AA90" s="1" t="n">
        <v>0.514824798</v>
      </c>
      <c r="AB90" s="1" t="n">
        <v>36.3</v>
      </c>
      <c r="AC90" s="1" t="n">
        <v>320760</v>
      </c>
    </row>
    <row r="91">
      <c r="A91" s="1" t="inlineStr">
        <is>
          <t>2027BUD_V1</t>
        </is>
      </c>
      <c r="B91" s="1" t="inlineStr">
        <is>
          <t>12</t>
        </is>
      </c>
      <c r="C91" s="1" t="inlineStr">
        <is>
          <t>ISCOM_TLS</t>
        </is>
      </c>
      <c r="D91" s="1" t="inlineStr">
        <is>
          <t>BAC_COM</t>
        </is>
      </c>
      <c r="E91" s="1" t="inlineStr">
        <is>
          <t>B2</t>
        </is>
      </c>
      <c r="F91" s="1" t="inlineStr">
        <is>
          <t>ALT</t>
        </is>
      </c>
      <c r="G91" s="1" t="inlineStr">
        <is>
          <t>2025</t>
        </is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43</v>
      </c>
      <c r="M91" s="1" t="n">
        <v>43</v>
      </c>
      <c r="N91" s="1" t="n">
        <v>44</v>
      </c>
      <c r="O91" s="1" t="n">
        <v>2</v>
      </c>
      <c r="P91" s="1" t="n">
        <v>6720</v>
      </c>
      <c r="Q91" s="1" t="n">
        <v>90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0.977272727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288960</v>
      </c>
    </row>
    <row r="92">
      <c r="A92" s="1" t="inlineStr">
        <is>
          <t>2027BUD_V1</t>
        </is>
      </c>
      <c r="B92" s="1" t="inlineStr">
        <is>
          <t>12</t>
        </is>
      </c>
      <c r="C92" s="1" t="inlineStr">
        <is>
          <t>ISCOM_TLS</t>
        </is>
      </c>
      <c r="D92" s="1" t="inlineStr">
        <is>
          <t>BAC_COM</t>
        </is>
      </c>
      <c r="E92" s="1" t="inlineStr">
        <is>
          <t>B3</t>
        </is>
      </c>
      <c r="F92" s="1" t="inlineStr">
        <is>
          <t>ALT</t>
        </is>
      </c>
      <c r="G92" s="1" t="inlineStr">
        <is>
          <t>2025</t>
        </is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42</v>
      </c>
      <c r="M92" s="1" t="n">
        <v>42</v>
      </c>
      <c r="N92" s="1" t="n">
        <v>43</v>
      </c>
      <c r="O92" s="1" t="n">
        <v>2</v>
      </c>
      <c r="P92" s="1" t="n">
        <v>6720</v>
      </c>
      <c r="Q92" s="1" t="n">
        <v>90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0.976744186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282240</v>
      </c>
    </row>
    <row r="93">
      <c r="A93" s="1" t="inlineStr">
        <is>
          <t>2027BUD_V1</t>
        </is>
      </c>
      <c r="B93" s="1" t="inlineStr">
        <is>
          <t>12</t>
        </is>
      </c>
      <c r="C93" s="1" t="inlineStr">
        <is>
          <t>ISCOM_TLS</t>
        </is>
      </c>
      <c r="D93" s="1" t="inlineStr">
        <is>
          <t>MAS_COM</t>
        </is>
      </c>
      <c r="E93" s="1" t="inlineStr">
        <is>
          <t>M1</t>
        </is>
      </c>
      <c r="F93" s="1" t="inlineStr">
        <is>
          <t>ALT</t>
        </is>
      </c>
      <c r="G93" s="1" t="inlineStr">
        <is>
          <t>2025</t>
        </is>
      </c>
      <c r="H93" s="1" t="n">
        <v>755</v>
      </c>
      <c r="I93" s="1" t="n">
        <v>151</v>
      </c>
      <c r="J93" s="1" t="n">
        <v>106</v>
      </c>
      <c r="K93" s="1" t="n">
        <v>44</v>
      </c>
      <c r="L93" s="1" t="n">
        <v>0</v>
      </c>
      <c r="M93" s="1" t="n">
        <v>44</v>
      </c>
      <c r="N93" s="1" t="n">
        <v>0</v>
      </c>
      <c r="O93" s="1" t="n">
        <v>2</v>
      </c>
      <c r="P93" s="1" t="n">
        <v>7200</v>
      </c>
      <c r="Q93" s="1" t="n">
        <v>90</v>
      </c>
      <c r="R93" s="1" t="n">
        <v>396</v>
      </c>
      <c r="S93" s="1" t="n">
        <v>373</v>
      </c>
      <c r="T93" s="1" t="n">
        <v>13542</v>
      </c>
      <c r="U93" s="1" t="n">
        <v>34206</v>
      </c>
      <c r="V93" s="1" t="n">
        <v>0</v>
      </c>
      <c r="W93" s="1" t="n">
        <v>0.2</v>
      </c>
      <c r="X93" s="1" t="n">
        <v>0.701986755</v>
      </c>
      <c r="Y93" s="1" t="n">
        <v>0.41509434</v>
      </c>
      <c r="Z93" s="1" t="n">
        <v>769</v>
      </c>
      <c r="AA93" s="1" t="n">
        <v>0.514954486</v>
      </c>
      <c r="AB93" s="1" t="n">
        <v>36.305630027</v>
      </c>
      <c r="AC93" s="1" t="n">
        <v>320760</v>
      </c>
    </row>
    <row r="94">
      <c r="A94" s="1" t="inlineStr">
        <is>
          <t>2027BUD_V1</t>
        </is>
      </c>
      <c r="B94" s="1" t="inlineStr">
        <is>
          <t>12</t>
        </is>
      </c>
      <c r="C94" s="1" t="inlineStr">
        <is>
          <t>ISCOM_TLS</t>
        </is>
      </c>
      <c r="D94" s="1" t="inlineStr">
        <is>
          <t>MAS_COM</t>
        </is>
      </c>
      <c r="E94" s="1" t="inlineStr">
        <is>
          <t>M2</t>
        </is>
      </c>
      <c r="F94" s="1" t="inlineStr">
        <is>
          <t>ALT</t>
        </is>
      </c>
      <c r="G94" s="1" t="inlineStr">
        <is>
          <t>2025</t>
        </is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43</v>
      </c>
      <c r="M94" s="1" t="n">
        <v>43</v>
      </c>
      <c r="N94" s="1" t="n">
        <v>44</v>
      </c>
      <c r="O94" s="1" t="n">
        <v>2</v>
      </c>
      <c r="P94" s="1" t="n">
        <v>7200</v>
      </c>
      <c r="Q94" s="1" t="n">
        <v>90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0.977272727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309600</v>
      </c>
    </row>
    <row r="95">
      <c r="A95" s="1" t="inlineStr">
        <is>
          <t>2027BUD_V1</t>
        </is>
      </c>
      <c r="B95" s="1" t="inlineStr">
        <is>
          <t>12</t>
        </is>
      </c>
      <c r="C95" s="1" t="inlineStr">
        <is>
          <t>IPAC_NAN</t>
        </is>
      </c>
      <c r="D95" s="1" t="inlineStr">
        <is>
          <t>BAC_CCE</t>
        </is>
      </c>
      <c r="E95" s="1" t="inlineStr">
        <is>
          <t>B1</t>
        </is>
      </c>
      <c r="F95" s="1" t="inlineStr">
        <is>
          <t>ALT</t>
        </is>
      </c>
      <c r="G95" s="1" t="inlineStr">
        <is>
          <t>2025</t>
        </is>
      </c>
      <c r="H95" s="1" t="n">
        <v>802</v>
      </c>
      <c r="I95" s="1" t="n">
        <v>160</v>
      </c>
      <c r="J95" s="1" t="n">
        <v>112</v>
      </c>
      <c r="K95" s="1" t="n">
        <v>47</v>
      </c>
      <c r="L95" s="1" t="n">
        <v>0</v>
      </c>
      <c r="M95" s="1" t="n">
        <v>47</v>
      </c>
      <c r="N95" s="1" t="n">
        <v>0</v>
      </c>
      <c r="O95" s="1" t="n">
        <v>2</v>
      </c>
      <c r="P95" s="1" t="n">
        <v>7000</v>
      </c>
      <c r="Q95" s="1" t="n">
        <v>90</v>
      </c>
      <c r="R95" s="1" t="n">
        <v>281</v>
      </c>
      <c r="S95" s="1" t="n">
        <v>516</v>
      </c>
      <c r="T95" s="1" t="n">
        <v>19782</v>
      </c>
      <c r="U95" s="1" t="n">
        <v>21082</v>
      </c>
      <c r="V95" s="1" t="n">
        <v>0</v>
      </c>
      <c r="W95" s="1" t="n">
        <v>0.199501247</v>
      </c>
      <c r="X95" s="1" t="n">
        <v>0.7</v>
      </c>
      <c r="Y95" s="1" t="n">
        <v>0.419642857</v>
      </c>
      <c r="Z95" s="1" t="n">
        <v>797</v>
      </c>
      <c r="AA95" s="1" t="n">
        <v>0.352572146</v>
      </c>
      <c r="AB95" s="1" t="n">
        <v>38.337209302</v>
      </c>
      <c r="AC95" s="1" t="n">
        <v>333230</v>
      </c>
    </row>
    <row r="96">
      <c r="A96" s="1" t="inlineStr">
        <is>
          <t>2027BUD_V1</t>
        </is>
      </c>
      <c r="B96" s="1" t="inlineStr">
        <is>
          <t>12</t>
        </is>
      </c>
      <c r="C96" s="1" t="inlineStr">
        <is>
          <t>IPAC_NAN</t>
        </is>
      </c>
      <c r="D96" s="1" t="inlineStr">
        <is>
          <t>BAC_CCE</t>
        </is>
      </c>
      <c r="E96" s="1" t="inlineStr">
        <is>
          <t>B2</t>
        </is>
      </c>
      <c r="F96" s="1" t="inlineStr">
        <is>
          <t>ALT</t>
        </is>
      </c>
      <c r="G96" s="1" t="inlineStr">
        <is>
          <t>2025</t>
        </is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45</v>
      </c>
      <c r="M96" s="1" t="n">
        <v>45</v>
      </c>
      <c r="N96" s="1" t="n">
        <v>47</v>
      </c>
      <c r="O96" s="1" t="n">
        <v>2</v>
      </c>
      <c r="P96" s="1" t="n">
        <v>7000</v>
      </c>
      <c r="Q96" s="1" t="n">
        <v>90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0.957446809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315000</v>
      </c>
    </row>
    <row r="97">
      <c r="A97" s="1" t="inlineStr">
        <is>
          <t>2027BUD_V1</t>
        </is>
      </c>
      <c r="B97" s="1" t="inlineStr">
        <is>
          <t>12</t>
        </is>
      </c>
      <c r="C97" s="1" t="inlineStr">
        <is>
          <t>IPAC_NAN</t>
        </is>
      </c>
      <c r="D97" s="1" t="inlineStr">
        <is>
          <t>BAC_CCE</t>
        </is>
      </c>
      <c r="E97" s="1" t="inlineStr">
        <is>
          <t>B3</t>
        </is>
      </c>
      <c r="F97" s="1" t="inlineStr">
        <is>
          <t>ALT</t>
        </is>
      </c>
      <c r="G97" s="1" t="inlineStr">
        <is>
          <t>2025</t>
        </is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44</v>
      </c>
      <c r="M97" s="1" t="n">
        <v>44</v>
      </c>
      <c r="N97" s="1" t="n">
        <v>45</v>
      </c>
      <c r="O97" s="1" t="n">
        <v>2</v>
      </c>
      <c r="P97" s="1" t="n">
        <v>7000</v>
      </c>
      <c r="Q97" s="1" t="n">
        <v>90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0.977777778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308000</v>
      </c>
    </row>
    <row r="98">
      <c r="A98" s="1" t="inlineStr">
        <is>
          <t>2027BUD_V1</t>
        </is>
      </c>
      <c r="B98" s="1" t="inlineStr">
        <is>
          <t>12</t>
        </is>
      </c>
      <c r="C98" s="1" t="inlineStr">
        <is>
          <t>IPAC_REN</t>
        </is>
      </c>
      <c r="D98" s="1" t="inlineStr">
        <is>
          <t>BAC_CCE</t>
        </is>
      </c>
      <c r="E98" s="1" t="inlineStr">
        <is>
          <t>B1</t>
        </is>
      </c>
      <c r="F98" s="1" t="inlineStr">
        <is>
          <t>ALT</t>
        </is>
      </c>
      <c r="G98" s="1" t="inlineStr">
        <is>
          <t>2025</t>
        </is>
      </c>
      <c r="H98" s="1" t="n">
        <v>642</v>
      </c>
      <c r="I98" s="1" t="n">
        <v>128</v>
      </c>
      <c r="J98" s="1" t="n">
        <v>90</v>
      </c>
      <c r="K98" s="1" t="n">
        <v>38</v>
      </c>
      <c r="L98" s="1" t="n">
        <v>0</v>
      </c>
      <c r="M98" s="1" t="n">
        <v>38</v>
      </c>
      <c r="N98" s="1" t="n">
        <v>0</v>
      </c>
      <c r="O98" s="1" t="n">
        <v>2</v>
      </c>
      <c r="P98" s="1" t="n">
        <v>6650</v>
      </c>
      <c r="Q98" s="1" t="n">
        <v>90</v>
      </c>
      <c r="R98" s="1" t="n">
        <v>243</v>
      </c>
      <c r="S98" s="1" t="n">
        <v>392</v>
      </c>
      <c r="T98" s="1" t="n">
        <v>13575</v>
      </c>
      <c r="U98" s="1" t="n">
        <v>18403</v>
      </c>
      <c r="V98" s="1" t="n">
        <v>0</v>
      </c>
      <c r="W98" s="1" t="n">
        <v>0.199376947</v>
      </c>
      <c r="X98" s="1" t="n">
        <v>0.703125</v>
      </c>
      <c r="Y98" s="1" t="n">
        <v>0.422222222</v>
      </c>
      <c r="Z98" s="1" t="n">
        <v>635</v>
      </c>
      <c r="AA98" s="1" t="n">
        <v>0.382677165</v>
      </c>
      <c r="AB98" s="1" t="n">
        <v>34.630102041</v>
      </c>
      <c r="AC98" s="1" t="n">
        <v>256120</v>
      </c>
    </row>
    <row r="99">
      <c r="A99" s="1" t="inlineStr">
        <is>
          <t>2027BUD_V1</t>
        </is>
      </c>
      <c r="B99" s="1" t="inlineStr">
        <is>
          <t>12</t>
        </is>
      </c>
      <c r="C99" s="1" t="inlineStr">
        <is>
          <t>IPAC_REN</t>
        </is>
      </c>
      <c r="D99" s="1" t="inlineStr">
        <is>
          <t>BAC_CCE</t>
        </is>
      </c>
      <c r="E99" s="1" t="inlineStr">
        <is>
          <t>B2</t>
        </is>
      </c>
      <c r="F99" s="1" t="inlineStr">
        <is>
          <t>ALT</t>
        </is>
      </c>
      <c r="G99" s="1" t="inlineStr">
        <is>
          <t>2025</t>
        </is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37</v>
      </c>
      <c r="M99" s="1" t="n">
        <v>37</v>
      </c>
      <c r="N99" s="1" t="n">
        <v>38</v>
      </c>
      <c r="O99" s="1" t="n">
        <v>2</v>
      </c>
      <c r="P99" s="1" t="n">
        <v>6650</v>
      </c>
      <c r="Q99" s="1" t="n">
        <v>90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0.973684211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246050</v>
      </c>
    </row>
    <row r="100">
      <c r="A100" s="1" t="inlineStr">
        <is>
          <t>2027BUD_V1</t>
        </is>
      </c>
      <c r="B100" s="1" t="inlineStr">
        <is>
          <t>12</t>
        </is>
      </c>
      <c r="C100" s="1" t="inlineStr">
        <is>
          <t>IPAC_REN</t>
        </is>
      </c>
      <c r="D100" s="1" t="inlineStr">
        <is>
          <t>BAC_CCE</t>
        </is>
      </c>
      <c r="E100" s="1" t="inlineStr">
        <is>
          <t>B3</t>
        </is>
      </c>
      <c r="F100" s="1" t="inlineStr">
        <is>
          <t>ALT</t>
        </is>
      </c>
      <c r="G100" s="1" t="inlineStr">
        <is>
          <t>2025</t>
        </is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36</v>
      </c>
      <c r="M100" s="1" t="n">
        <v>36</v>
      </c>
      <c r="N100" s="1" t="n">
        <v>37</v>
      </c>
      <c r="O100" s="1" t="n">
        <v>2</v>
      </c>
      <c r="P100" s="1" t="n">
        <v>6650</v>
      </c>
      <c r="Q100" s="1" t="n">
        <v>90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0.972972973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239400</v>
      </c>
    </row>
    <row r="101">
      <c r="A101" s="1" t="inlineStr">
        <is>
          <t>2027BUD_V1</t>
        </is>
      </c>
      <c r="B101" s="1" t="inlineStr">
        <is>
          <t>12</t>
        </is>
      </c>
      <c r="C101" s="1" t="inlineStr">
        <is>
          <t>IPAC_MTP</t>
        </is>
      </c>
      <c r="D101" s="1" t="inlineStr">
        <is>
          <t>BAC_CCE</t>
        </is>
      </c>
      <c r="E101" s="1" t="inlineStr">
        <is>
          <t>B1</t>
        </is>
      </c>
      <c r="F101" s="1" t="inlineStr">
        <is>
          <t>ALT</t>
        </is>
      </c>
      <c r="G101" s="1" t="inlineStr">
        <is>
          <t>2025</t>
        </is>
      </c>
      <c r="H101" s="1" t="n">
        <v>642</v>
      </c>
      <c r="I101" s="1" t="n">
        <v>128</v>
      </c>
      <c r="J101" s="1" t="n">
        <v>90</v>
      </c>
      <c r="K101" s="1" t="n">
        <v>38</v>
      </c>
      <c r="L101" s="1" t="n">
        <v>0</v>
      </c>
      <c r="M101" s="1" t="n">
        <v>38</v>
      </c>
      <c r="N101" s="1" t="n">
        <v>0</v>
      </c>
      <c r="O101" s="1" t="n">
        <v>2</v>
      </c>
      <c r="P101" s="1" t="n">
        <v>6650</v>
      </c>
      <c r="Q101" s="1" t="n">
        <v>90</v>
      </c>
      <c r="R101" s="1" t="n">
        <v>237</v>
      </c>
      <c r="S101" s="1" t="n">
        <v>399</v>
      </c>
      <c r="T101" s="1" t="n">
        <v>13798</v>
      </c>
      <c r="U101" s="1" t="n">
        <v>17870</v>
      </c>
      <c r="V101" s="1" t="n">
        <v>0</v>
      </c>
      <c r="W101" s="1" t="n">
        <v>0.199376947</v>
      </c>
      <c r="X101" s="1" t="n">
        <v>0.703125</v>
      </c>
      <c r="Y101" s="1" t="n">
        <v>0.422222222</v>
      </c>
      <c r="Z101" s="1" t="n">
        <v>636</v>
      </c>
      <c r="AA101" s="1" t="n">
        <v>0.372641509</v>
      </c>
      <c r="AB101" s="1" t="n">
        <v>34.581453634</v>
      </c>
      <c r="AC101" s="1" t="n">
        <v>256120</v>
      </c>
    </row>
    <row r="102">
      <c r="A102" s="1" t="inlineStr">
        <is>
          <t>2027BUD_V1</t>
        </is>
      </c>
      <c r="B102" s="1" t="inlineStr">
        <is>
          <t>12</t>
        </is>
      </c>
      <c r="C102" s="1" t="inlineStr">
        <is>
          <t>IPAC_MTP</t>
        </is>
      </c>
      <c r="D102" s="1" t="inlineStr">
        <is>
          <t>BAC_CCE</t>
        </is>
      </c>
      <c r="E102" s="1" t="inlineStr">
        <is>
          <t>B2</t>
        </is>
      </c>
      <c r="F102" s="1" t="inlineStr">
        <is>
          <t>ALT</t>
        </is>
      </c>
      <c r="G102" s="1" t="inlineStr">
        <is>
          <t>2025</t>
        </is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37</v>
      </c>
      <c r="M102" s="1" t="n">
        <v>37</v>
      </c>
      <c r="N102" s="1" t="n">
        <v>38</v>
      </c>
      <c r="O102" s="1" t="n">
        <v>2</v>
      </c>
      <c r="P102" s="1" t="n">
        <v>6650</v>
      </c>
      <c r="Q102" s="1" t="n">
        <v>90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0.973684211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246050</v>
      </c>
    </row>
    <row r="103">
      <c r="A103" s="1" t="inlineStr">
        <is>
          <t>2027BUD_V1</t>
        </is>
      </c>
      <c r="B103" s="1" t="inlineStr">
        <is>
          <t>12</t>
        </is>
      </c>
      <c r="C103" s="1" t="inlineStr">
        <is>
          <t>IPAC_MTP</t>
        </is>
      </c>
      <c r="D103" s="1" t="inlineStr">
        <is>
          <t>BAC_CCE</t>
        </is>
      </c>
      <c r="E103" s="1" t="inlineStr">
        <is>
          <t>B3</t>
        </is>
      </c>
      <c r="F103" s="1" t="inlineStr">
        <is>
          <t>ALT</t>
        </is>
      </c>
      <c r="G103" s="1" t="inlineStr">
        <is>
          <t>2025</t>
        </is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36</v>
      </c>
      <c r="M103" s="1" t="n">
        <v>36</v>
      </c>
      <c r="N103" s="1" t="n">
        <v>37</v>
      </c>
      <c r="O103" s="1" t="n">
        <v>2</v>
      </c>
      <c r="P103" s="1" t="n">
        <v>6650</v>
      </c>
      <c r="Q103" s="1" t="n">
        <v>90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0.972972973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239400</v>
      </c>
    </row>
    <row r="104">
      <c r="A104" s="1" t="inlineStr">
        <is>
          <t>2027BUD_V1</t>
        </is>
      </c>
      <c r="B104" s="1" t="inlineStr">
        <is>
          <t>12</t>
        </is>
      </c>
      <c r="C104" s="1" t="inlineStr">
        <is>
          <t>PIGIER_LYO</t>
        </is>
      </c>
      <c r="D104" s="1" t="inlineStr">
        <is>
          <t>BTS_GES</t>
        </is>
      </c>
      <c r="E104" s="1" t="inlineStr">
        <is>
          <t>BTS1</t>
        </is>
      </c>
      <c r="F104" s="1" t="inlineStr">
        <is>
          <t>ALT</t>
        </is>
      </c>
      <c r="G104" s="1" t="inlineStr">
        <is>
          <t>2025</t>
        </is>
      </c>
      <c r="H104" s="1" t="n">
        <v>741</v>
      </c>
      <c r="I104" s="1" t="n">
        <v>148</v>
      </c>
      <c r="J104" s="1" t="n">
        <v>104</v>
      </c>
      <c r="K104" s="1" t="n">
        <v>43</v>
      </c>
      <c r="L104" s="1" t="n">
        <v>0</v>
      </c>
      <c r="M104" s="1" t="n">
        <v>43</v>
      </c>
      <c r="N104" s="1" t="n">
        <v>0</v>
      </c>
      <c r="O104" s="1" t="n">
        <v>2</v>
      </c>
      <c r="P104" s="1" t="n">
        <v>6300</v>
      </c>
      <c r="Q104" s="1" t="n">
        <v>90</v>
      </c>
      <c r="R104" s="1" t="n">
        <v>355</v>
      </c>
      <c r="S104" s="1" t="n">
        <v>399</v>
      </c>
      <c r="T104" s="1" t="n">
        <v>16642</v>
      </c>
      <c r="U104" s="1" t="n">
        <v>29976</v>
      </c>
      <c r="V104" s="1" t="n">
        <v>0</v>
      </c>
      <c r="W104" s="1" t="n">
        <v>0.199730094</v>
      </c>
      <c r="X104" s="1" t="n">
        <v>0.702702703</v>
      </c>
      <c r="Y104" s="1" t="n">
        <v>0.413461538</v>
      </c>
      <c r="Z104" s="1" t="n">
        <v>754</v>
      </c>
      <c r="AA104" s="1" t="n">
        <v>0.470822281</v>
      </c>
      <c r="AB104" s="1" t="n">
        <v>41.709273183</v>
      </c>
      <c r="AC104" s="1" t="n">
        <v>274770</v>
      </c>
    </row>
    <row r="105">
      <c r="A105" s="1" t="inlineStr">
        <is>
          <t>2027BUD_V1</t>
        </is>
      </c>
      <c r="B105" s="1" t="inlineStr">
        <is>
          <t>12</t>
        </is>
      </c>
      <c r="C105" s="1" t="inlineStr">
        <is>
          <t>PIGIER_LYO</t>
        </is>
      </c>
      <c r="D105" s="1" t="inlineStr">
        <is>
          <t>BTS_GES</t>
        </is>
      </c>
      <c r="E105" s="1" t="inlineStr">
        <is>
          <t>BTS2</t>
        </is>
      </c>
      <c r="F105" s="1" t="inlineStr">
        <is>
          <t>ALT</t>
        </is>
      </c>
      <c r="G105" s="1" t="inlineStr">
        <is>
          <t>2025</t>
        </is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42</v>
      </c>
      <c r="M105" s="1" t="n">
        <v>42</v>
      </c>
      <c r="N105" s="1" t="n">
        <v>43</v>
      </c>
      <c r="O105" s="1" t="n">
        <v>2</v>
      </c>
      <c r="P105" s="1" t="n">
        <v>6300</v>
      </c>
      <c r="Q105" s="1" t="n">
        <v>90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0.976744186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264600</v>
      </c>
    </row>
    <row r="106">
      <c r="A106" s="1" t="inlineStr">
        <is>
          <t>2027BUD_V1</t>
        </is>
      </c>
      <c r="B106" s="1" t="inlineStr">
        <is>
          <t>12</t>
        </is>
      </c>
      <c r="C106" s="1" t="inlineStr">
        <is>
          <t>PIGIER_LYO</t>
        </is>
      </c>
      <c r="D106" s="1" t="inlineStr">
        <is>
          <t>BAC_RH</t>
        </is>
      </c>
      <c r="E106" s="1" t="inlineStr">
        <is>
          <t>B1</t>
        </is>
      </c>
      <c r="F106" s="1" t="inlineStr">
        <is>
          <t>ALT</t>
        </is>
      </c>
      <c r="G106" s="1" t="inlineStr">
        <is>
          <t>2025</t>
        </is>
      </c>
      <c r="H106" s="1" t="n">
        <v>741</v>
      </c>
      <c r="I106" s="1" t="n">
        <v>148</v>
      </c>
      <c r="J106" s="1" t="n">
        <v>104</v>
      </c>
      <c r="K106" s="1" t="n">
        <v>43</v>
      </c>
      <c r="L106" s="1" t="n">
        <v>0</v>
      </c>
      <c r="M106" s="1" t="n">
        <v>43</v>
      </c>
      <c r="N106" s="1" t="n">
        <v>0</v>
      </c>
      <c r="O106" s="1" t="n">
        <v>2</v>
      </c>
      <c r="P106" s="1" t="n">
        <v>7350</v>
      </c>
      <c r="Q106" s="1" t="n">
        <v>90</v>
      </c>
      <c r="R106" s="1" t="n">
        <v>355</v>
      </c>
      <c r="S106" s="1" t="n">
        <v>399</v>
      </c>
      <c r="T106" s="1" t="n">
        <v>16642</v>
      </c>
      <c r="U106" s="1" t="n">
        <v>29977</v>
      </c>
      <c r="V106" s="1" t="n">
        <v>0</v>
      </c>
      <c r="W106" s="1" t="n">
        <v>0.199730094</v>
      </c>
      <c r="X106" s="1" t="n">
        <v>0.702702703</v>
      </c>
      <c r="Y106" s="1" t="n">
        <v>0.413461538</v>
      </c>
      <c r="Z106" s="1" t="n">
        <v>754</v>
      </c>
      <c r="AA106" s="1" t="n">
        <v>0.470822281</v>
      </c>
      <c r="AB106" s="1" t="n">
        <v>41.709273183</v>
      </c>
      <c r="AC106" s="1" t="n">
        <v>319920</v>
      </c>
    </row>
    <row r="107">
      <c r="A107" s="1" t="inlineStr">
        <is>
          <t>2027BUD_V1</t>
        </is>
      </c>
      <c r="B107" s="1" t="inlineStr">
        <is>
          <t>12</t>
        </is>
      </c>
      <c r="C107" s="1" t="inlineStr">
        <is>
          <t>PIGIER_BOR</t>
        </is>
      </c>
      <c r="D107" s="1" t="inlineStr">
        <is>
          <t>BAC_RH</t>
        </is>
      </c>
      <c r="E107" s="1" t="inlineStr">
        <is>
          <t>B2</t>
        </is>
      </c>
      <c r="F107" s="1" t="inlineStr">
        <is>
          <t>ALT</t>
        </is>
      </c>
      <c r="G107" s="1" t="inlineStr">
        <is>
          <t>2026</t>
        </is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35</v>
      </c>
      <c r="M107" s="1" t="n">
        <v>35</v>
      </c>
      <c r="N107" s="1" t="n">
        <v>36</v>
      </c>
      <c r="O107" s="1" t="n">
        <v>2</v>
      </c>
      <c r="P107" s="1" t="n">
        <v>6790</v>
      </c>
      <c r="Q107" s="1" t="n">
        <v>90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0.972222222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237650</v>
      </c>
    </row>
    <row r="108">
      <c r="A108" s="1" t="inlineStr">
        <is>
          <t>2027BUD_V1</t>
        </is>
      </c>
      <c r="B108" s="1" t="inlineStr">
        <is>
          <t>12</t>
        </is>
      </c>
      <c r="C108" s="1" t="inlineStr">
        <is>
          <t>PIGIER_BOR</t>
        </is>
      </c>
      <c r="D108" s="1" t="inlineStr">
        <is>
          <t>BTS_GES</t>
        </is>
      </c>
      <c r="E108" s="1" t="inlineStr">
        <is>
          <t>BTS1</t>
        </is>
      </c>
      <c r="F108" s="1" t="inlineStr">
        <is>
          <t>ALT</t>
        </is>
      </c>
      <c r="G108" s="1" t="inlineStr">
        <is>
          <t>2025</t>
        </is>
      </c>
      <c r="H108" s="1" t="n">
        <v>580</v>
      </c>
      <c r="I108" s="1" t="n">
        <v>116</v>
      </c>
      <c r="J108" s="1" t="n">
        <v>81</v>
      </c>
      <c r="K108" s="1" t="n">
        <v>34</v>
      </c>
      <c r="L108" s="1" t="n">
        <v>0</v>
      </c>
      <c r="M108" s="1" t="n">
        <v>34</v>
      </c>
      <c r="N108" s="1" t="n">
        <v>0</v>
      </c>
      <c r="O108" s="1" t="n">
        <v>2</v>
      </c>
      <c r="P108" s="1" t="n">
        <v>5820</v>
      </c>
      <c r="Q108" s="1" t="n">
        <v>90</v>
      </c>
      <c r="R108" s="1" t="n">
        <v>314</v>
      </c>
      <c r="S108" s="1" t="n">
        <v>276</v>
      </c>
      <c r="T108" s="1" t="n">
        <v>9986</v>
      </c>
      <c r="U108" s="1" t="n">
        <v>26636</v>
      </c>
      <c r="V108" s="1" t="n">
        <v>0</v>
      </c>
      <c r="W108" s="1" t="n">
        <v>0.2</v>
      </c>
      <c r="X108" s="1" t="n">
        <v>0.698275862</v>
      </c>
      <c r="Y108" s="1" t="n">
        <v>0.419753086</v>
      </c>
      <c r="Z108" s="1" t="n">
        <v>590</v>
      </c>
      <c r="AA108" s="1" t="n">
        <v>0.5322033900000001</v>
      </c>
      <c r="AB108" s="1" t="n">
        <v>36.18115942</v>
      </c>
      <c r="AC108" s="1" t="n">
        <v>200940</v>
      </c>
    </row>
    <row r="109">
      <c r="A109" s="1" t="inlineStr">
        <is>
          <t>2027BUD_V1</t>
        </is>
      </c>
      <c r="B109" s="1" t="inlineStr">
        <is>
          <t>12</t>
        </is>
      </c>
      <c r="C109" s="1" t="inlineStr">
        <is>
          <t>PIGIER_BOR</t>
        </is>
      </c>
      <c r="D109" s="1" t="inlineStr">
        <is>
          <t>BTS_GES</t>
        </is>
      </c>
      <c r="E109" s="1" t="inlineStr">
        <is>
          <t>BTS2</t>
        </is>
      </c>
      <c r="F109" s="1" t="inlineStr">
        <is>
          <t>ALT</t>
        </is>
      </c>
      <c r="G109" s="1" t="inlineStr">
        <is>
          <t>2025</t>
        </is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33</v>
      </c>
      <c r="M109" s="1" t="n">
        <v>33</v>
      </c>
      <c r="N109" s="1" t="n">
        <v>34</v>
      </c>
      <c r="O109" s="1" t="n">
        <v>2</v>
      </c>
      <c r="P109" s="1" t="n">
        <v>5820</v>
      </c>
      <c r="Q109" s="1" t="n">
        <v>90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0.970588235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192060</v>
      </c>
    </row>
    <row r="110">
      <c r="A110" s="1" t="inlineStr">
        <is>
          <t>2027BUD_V1</t>
        </is>
      </c>
      <c r="B110" s="1" t="inlineStr">
        <is>
          <t>12</t>
        </is>
      </c>
      <c r="C110" s="1" t="inlineStr">
        <is>
          <t>PIGIER_BOR</t>
        </is>
      </c>
      <c r="D110" s="1" t="inlineStr">
        <is>
          <t>BAC_RH</t>
        </is>
      </c>
      <c r="E110" s="1" t="inlineStr">
        <is>
          <t>B1</t>
        </is>
      </c>
      <c r="F110" s="1" t="inlineStr">
        <is>
          <t>ALT</t>
        </is>
      </c>
      <c r="G110" s="1" t="inlineStr">
        <is>
          <t>2025</t>
        </is>
      </c>
      <c r="H110" s="1" t="n">
        <v>580</v>
      </c>
      <c r="I110" s="1" t="n">
        <v>116</v>
      </c>
      <c r="J110" s="1" t="n">
        <v>81</v>
      </c>
      <c r="K110" s="1" t="n">
        <v>34</v>
      </c>
      <c r="L110" s="1" t="n">
        <v>0</v>
      </c>
      <c r="M110" s="1" t="n">
        <v>34</v>
      </c>
      <c r="N110" s="1" t="n">
        <v>0</v>
      </c>
      <c r="O110" s="1" t="n">
        <v>2</v>
      </c>
      <c r="P110" s="1" t="n">
        <v>6790</v>
      </c>
      <c r="Q110" s="1" t="n">
        <v>90</v>
      </c>
      <c r="R110" s="1" t="n">
        <v>313</v>
      </c>
      <c r="S110" s="1" t="n">
        <v>276</v>
      </c>
      <c r="T110" s="1" t="n">
        <v>9985</v>
      </c>
      <c r="U110" s="1" t="n">
        <v>26637</v>
      </c>
      <c r="V110" s="1" t="n">
        <v>0</v>
      </c>
      <c r="W110" s="1" t="n">
        <v>0.2</v>
      </c>
      <c r="X110" s="1" t="n">
        <v>0.698275862</v>
      </c>
      <c r="Y110" s="1" t="n">
        <v>0.419753086</v>
      </c>
      <c r="Z110" s="1" t="n">
        <v>589</v>
      </c>
      <c r="AA110" s="1" t="n">
        <v>0.531409168</v>
      </c>
      <c r="AB110" s="1" t="n">
        <v>36.177536232</v>
      </c>
      <c r="AC110" s="1" t="n">
        <v>233920</v>
      </c>
    </row>
    <row r="111">
      <c r="A111" s="1" t="inlineStr">
        <is>
          <t>2027BUD_V1</t>
        </is>
      </c>
      <c r="B111" s="1" t="inlineStr">
        <is>
          <t>12</t>
        </is>
      </c>
      <c r="C111" s="1" t="inlineStr">
        <is>
          <t>PIGIER_LYO</t>
        </is>
      </c>
      <c r="D111" s="1" t="inlineStr">
        <is>
          <t>BAC_RH</t>
        </is>
      </c>
      <c r="E111" s="1" t="inlineStr">
        <is>
          <t>B2</t>
        </is>
      </c>
      <c r="F111" s="1" t="inlineStr">
        <is>
          <t>ALT</t>
        </is>
      </c>
      <c r="G111" s="1" t="inlineStr">
        <is>
          <t>2024</t>
        </is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40</v>
      </c>
      <c r="M111" s="1" t="n">
        <v>40</v>
      </c>
      <c r="N111" s="1" t="n">
        <v>41</v>
      </c>
      <c r="O111" s="1" t="n">
        <v>2</v>
      </c>
      <c r="P111" s="1" t="n">
        <v>7350</v>
      </c>
      <c r="Q111" s="1" t="n">
        <v>90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0.975609756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294000</v>
      </c>
    </row>
    <row r="112">
      <c r="A112" s="1" t="inlineStr">
        <is>
          <t>2027BUD_V1</t>
        </is>
      </c>
      <c r="B112" s="1" t="inlineStr">
        <is>
          <t>12</t>
        </is>
      </c>
      <c r="C112" s="1" t="inlineStr">
        <is>
          <t>TUNON_PAR</t>
        </is>
      </c>
      <c r="D112" s="1" t="inlineStr">
        <is>
          <t>BAC_TOU</t>
        </is>
      </c>
      <c r="E112" s="1" t="inlineStr">
        <is>
          <t>B1</t>
        </is>
      </c>
      <c r="F112" s="1" t="inlineStr">
        <is>
          <t>ALT</t>
        </is>
      </c>
      <c r="G112" s="1" t="inlineStr">
        <is>
          <t>2025</t>
        </is>
      </c>
      <c r="H112" s="1" t="n">
        <v>755</v>
      </c>
      <c r="I112" s="1" t="n">
        <v>151</v>
      </c>
      <c r="J112" s="1" t="n">
        <v>106</v>
      </c>
      <c r="K112" s="1" t="n">
        <v>44</v>
      </c>
      <c r="L112" s="1" t="n">
        <v>0</v>
      </c>
      <c r="M112" s="1" t="n">
        <v>44</v>
      </c>
      <c r="N112" s="1" t="n">
        <v>0</v>
      </c>
      <c r="O112" s="1" t="n">
        <v>2</v>
      </c>
      <c r="P112" s="1" t="n">
        <v>7840</v>
      </c>
      <c r="Q112" s="1" t="n">
        <v>90</v>
      </c>
      <c r="R112" s="1" t="n">
        <v>235</v>
      </c>
      <c r="S112" s="1" t="n">
        <v>538</v>
      </c>
      <c r="T112" s="1" t="n">
        <v>27491</v>
      </c>
      <c r="U112" s="1" t="n">
        <v>20429</v>
      </c>
      <c r="V112" s="1" t="n">
        <v>0</v>
      </c>
      <c r="W112" s="1" t="n">
        <v>0.2</v>
      </c>
      <c r="X112" s="1" t="n">
        <v>0.701986755</v>
      </c>
      <c r="Y112" s="1" t="n">
        <v>0.41509434</v>
      </c>
      <c r="Z112" s="1" t="n">
        <v>773</v>
      </c>
      <c r="AA112" s="1" t="n">
        <v>0.304010349</v>
      </c>
      <c r="AB112" s="1" t="n">
        <v>51.098513011</v>
      </c>
      <c r="AC112" s="1" t="n">
        <v>348920</v>
      </c>
    </row>
    <row r="113">
      <c r="A113" s="1" t="inlineStr">
        <is>
          <t>2027BUD_V1</t>
        </is>
      </c>
      <c r="B113" s="1" t="inlineStr">
        <is>
          <t>12</t>
        </is>
      </c>
      <c r="C113" s="1" t="inlineStr">
        <is>
          <t>TUNON_PAR</t>
        </is>
      </c>
      <c r="D113" s="1" t="inlineStr">
        <is>
          <t>BAC_TOU</t>
        </is>
      </c>
      <c r="E113" s="1" t="inlineStr">
        <is>
          <t>B2</t>
        </is>
      </c>
      <c r="F113" s="1" t="inlineStr">
        <is>
          <t>ALT</t>
        </is>
      </c>
      <c r="G113" s="1" t="inlineStr">
        <is>
          <t>2025</t>
        </is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43</v>
      </c>
      <c r="M113" s="1" t="n">
        <v>43</v>
      </c>
      <c r="N113" s="1" t="n">
        <v>44</v>
      </c>
      <c r="O113" s="1" t="n">
        <v>2</v>
      </c>
      <c r="P113" s="1" t="n">
        <v>7840</v>
      </c>
      <c r="Q113" s="1" t="n">
        <v>90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0.977272727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337120</v>
      </c>
    </row>
    <row r="114">
      <c r="A114" s="1" t="inlineStr">
        <is>
          <t>2027BUD_V1</t>
        </is>
      </c>
      <c r="B114" s="1" t="inlineStr">
        <is>
          <t>12</t>
        </is>
      </c>
      <c r="C114" s="1" t="inlineStr">
        <is>
          <t>TUNON_PAR</t>
        </is>
      </c>
      <c r="D114" s="1" t="inlineStr">
        <is>
          <t>BAC_TOU</t>
        </is>
      </c>
      <c r="E114" s="1" t="inlineStr">
        <is>
          <t>B3</t>
        </is>
      </c>
      <c r="F114" s="1" t="inlineStr">
        <is>
          <t>ALT</t>
        </is>
      </c>
      <c r="G114" s="1" t="inlineStr">
        <is>
          <t>2025</t>
        </is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42</v>
      </c>
      <c r="M114" s="1" t="n">
        <v>42</v>
      </c>
      <c r="N114" s="1" t="n">
        <v>43</v>
      </c>
      <c r="O114" s="1" t="n">
        <v>2</v>
      </c>
      <c r="P114" s="1" t="n">
        <v>7840</v>
      </c>
      <c r="Q114" s="1" t="n">
        <v>90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0.976744186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329280</v>
      </c>
    </row>
    <row r="115">
      <c r="A115" s="1" t="inlineStr">
        <is>
          <t>2027BUD_V1</t>
        </is>
      </c>
      <c r="B115" s="1" t="inlineStr">
        <is>
          <t>12</t>
        </is>
      </c>
      <c r="C115" s="1" t="inlineStr">
        <is>
          <t>TUNON_LYO</t>
        </is>
      </c>
      <c r="D115" s="1" t="inlineStr">
        <is>
          <t>BAC_TOU</t>
        </is>
      </c>
      <c r="E115" s="1" t="inlineStr">
        <is>
          <t>B1</t>
        </is>
      </c>
      <c r="F115" s="1" t="inlineStr">
        <is>
          <t>ALT</t>
        </is>
      </c>
      <c r="G115" s="1" t="inlineStr">
        <is>
          <t>2025</t>
        </is>
      </c>
      <c r="H115" s="1" t="n">
        <v>642</v>
      </c>
      <c r="I115" s="1" t="n">
        <v>128</v>
      </c>
      <c r="J115" s="1" t="n">
        <v>90</v>
      </c>
      <c r="K115" s="1" t="n">
        <v>38</v>
      </c>
      <c r="L115" s="1" t="n">
        <v>0</v>
      </c>
      <c r="M115" s="1" t="n">
        <v>38</v>
      </c>
      <c r="N115" s="1" t="n">
        <v>0</v>
      </c>
      <c r="O115" s="1" t="n">
        <v>2</v>
      </c>
      <c r="P115" s="1" t="n">
        <v>7350</v>
      </c>
      <c r="Q115" s="1" t="n">
        <v>90</v>
      </c>
      <c r="R115" s="1" t="n">
        <v>247</v>
      </c>
      <c r="S115" s="1" t="n">
        <v>410</v>
      </c>
      <c r="T115" s="1" t="n">
        <v>17136</v>
      </c>
      <c r="U115" s="1" t="n">
        <v>21550</v>
      </c>
      <c r="V115" s="1" t="n">
        <v>0</v>
      </c>
      <c r="W115" s="1" t="n">
        <v>0.199376947</v>
      </c>
      <c r="X115" s="1" t="n">
        <v>0.703125</v>
      </c>
      <c r="Y115" s="1" t="n">
        <v>0.422222222</v>
      </c>
      <c r="Z115" s="1" t="n">
        <v>657</v>
      </c>
      <c r="AA115" s="1" t="n">
        <v>0.375951294</v>
      </c>
      <c r="AB115" s="1" t="n">
        <v>41.795121951</v>
      </c>
      <c r="AC115" s="1" t="n">
        <v>282720</v>
      </c>
    </row>
    <row r="116">
      <c r="A116" s="1" t="inlineStr">
        <is>
          <t>2027BUD_V1</t>
        </is>
      </c>
      <c r="B116" s="1" t="inlineStr">
        <is>
          <t>12</t>
        </is>
      </c>
      <c r="C116" s="1" t="inlineStr">
        <is>
          <t>TUNON_LYO</t>
        </is>
      </c>
      <c r="D116" s="1" t="inlineStr">
        <is>
          <t>BAC_TOU</t>
        </is>
      </c>
      <c r="E116" s="1" t="inlineStr">
        <is>
          <t>B2</t>
        </is>
      </c>
      <c r="F116" s="1" t="inlineStr">
        <is>
          <t>ALT</t>
        </is>
      </c>
      <c r="G116" s="1" t="inlineStr">
        <is>
          <t>2025</t>
        </is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37</v>
      </c>
      <c r="M116" s="1" t="n">
        <v>37</v>
      </c>
      <c r="N116" s="1" t="n">
        <v>38</v>
      </c>
      <c r="O116" s="1" t="n">
        <v>2</v>
      </c>
      <c r="P116" s="1" t="n">
        <v>7350</v>
      </c>
      <c r="Q116" s="1" t="n">
        <v>90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0.973684211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271950</v>
      </c>
    </row>
    <row r="117">
      <c r="A117" s="1" t="inlineStr">
        <is>
          <t>2027BUD_V1</t>
        </is>
      </c>
      <c r="B117" s="1" t="inlineStr">
        <is>
          <t>12</t>
        </is>
      </c>
      <c r="C117" s="1" t="inlineStr">
        <is>
          <t>TUNON_LYO</t>
        </is>
      </c>
      <c r="D117" s="1" t="inlineStr">
        <is>
          <t>BAC_TOU</t>
        </is>
      </c>
      <c r="E117" s="1" t="inlineStr">
        <is>
          <t>B3</t>
        </is>
      </c>
      <c r="F117" s="1" t="inlineStr">
        <is>
          <t>ALT</t>
        </is>
      </c>
      <c r="G117" s="1" t="inlineStr">
        <is>
          <t>2025</t>
        </is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36</v>
      </c>
      <c r="M117" s="1" t="n">
        <v>36</v>
      </c>
      <c r="N117" s="1" t="n">
        <v>37</v>
      </c>
      <c r="O117" s="1" t="n">
        <v>2</v>
      </c>
      <c r="P117" s="1" t="n">
        <v>7350</v>
      </c>
      <c r="Q117" s="1" t="n">
        <v>90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0.972972973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264600</v>
      </c>
    </row>
    <row r="118">
      <c r="A118" s="1" t="inlineStr">
        <is>
          <t>2027BUD_V1</t>
        </is>
      </c>
      <c r="B118" s="1" t="inlineStr">
        <is>
          <t>12</t>
        </is>
      </c>
      <c r="C118" s="1" t="inlineStr">
        <is>
          <t>MBWAY_PAR</t>
        </is>
      </c>
      <c r="D118" s="1" t="inlineStr">
        <is>
          <t>BAC_MGT</t>
        </is>
      </c>
      <c r="E118" s="1" t="inlineStr">
        <is>
          <t>B1</t>
        </is>
      </c>
      <c r="F118" s="1" t="inlineStr">
        <is>
          <t>INIT</t>
        </is>
      </c>
      <c r="G118" s="1" t="inlineStr">
        <is>
          <t>2024</t>
        </is>
      </c>
      <c r="H118" s="1" t="n">
        <v>575</v>
      </c>
      <c r="I118" s="1" t="n">
        <v>161</v>
      </c>
      <c r="J118" s="1" t="n">
        <v>116</v>
      </c>
      <c r="K118" s="1" t="n">
        <v>69</v>
      </c>
      <c r="L118" s="1" t="n">
        <v>0</v>
      </c>
      <c r="M118" s="1" t="n">
        <v>69</v>
      </c>
      <c r="N118" s="1" t="n">
        <v>0</v>
      </c>
      <c r="O118" s="1" t="n">
        <v>3</v>
      </c>
      <c r="P118" s="1" t="n">
        <v>8400</v>
      </c>
      <c r="Q118" s="1" t="n">
        <v>90</v>
      </c>
      <c r="R118" s="1" t="n">
        <v>203</v>
      </c>
      <c r="S118" s="1" t="n">
        <v>379</v>
      </c>
      <c r="T118" s="1" t="n">
        <v>18451</v>
      </c>
      <c r="U118" s="1" t="n">
        <v>13653</v>
      </c>
      <c r="V118" s="1" t="n">
        <v>0</v>
      </c>
      <c r="W118" s="1" t="n">
        <v>0.28</v>
      </c>
      <c r="X118" s="1" t="n">
        <v>0.7204968940000001</v>
      </c>
      <c r="Y118" s="1" t="n">
        <v>0.594827586</v>
      </c>
      <c r="Z118" s="1" t="n">
        <v>582</v>
      </c>
      <c r="AA118" s="1" t="n">
        <v>0.348797251</v>
      </c>
      <c r="AB118" s="1" t="n">
        <v>48.683377309</v>
      </c>
      <c r="AC118" s="1" t="n">
        <v>585810</v>
      </c>
    </row>
    <row r="119">
      <c r="A119" s="1" t="inlineStr">
        <is>
          <t>2027BUD_V1</t>
        </is>
      </c>
      <c r="B119" s="1" t="inlineStr">
        <is>
          <t>12</t>
        </is>
      </c>
      <c r="C119" s="1" t="inlineStr">
        <is>
          <t>MBWAY_PAR</t>
        </is>
      </c>
      <c r="D119" s="1" t="inlineStr">
        <is>
          <t>BAC_MGT</t>
        </is>
      </c>
      <c r="E119" s="1" t="inlineStr">
        <is>
          <t>B2</t>
        </is>
      </c>
      <c r="F119" s="1" t="inlineStr">
        <is>
          <t>ALT</t>
        </is>
      </c>
      <c r="G119" s="1" t="inlineStr">
        <is>
          <t>2024</t>
        </is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68</v>
      </c>
      <c r="M119" s="1" t="n">
        <v>68</v>
      </c>
      <c r="N119" s="1" t="n">
        <v>69</v>
      </c>
      <c r="O119" s="1" t="n">
        <v>3</v>
      </c>
      <c r="P119" s="1" t="n">
        <v>7840</v>
      </c>
      <c r="Q119" s="1" t="n">
        <v>90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0.9855072459999999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533120</v>
      </c>
    </row>
    <row r="120">
      <c r="A120" s="1" t="inlineStr">
        <is>
          <t>2027BUD_V1</t>
        </is>
      </c>
      <c r="B120" s="1" t="inlineStr">
        <is>
          <t>12</t>
        </is>
      </c>
      <c r="C120" s="1" t="inlineStr">
        <is>
          <t>MBWAY_PAR</t>
        </is>
      </c>
      <c r="D120" s="1" t="inlineStr">
        <is>
          <t>BAC_MGT</t>
        </is>
      </c>
      <c r="E120" s="1" t="inlineStr">
        <is>
          <t>B3</t>
        </is>
      </c>
      <c r="F120" s="1" t="inlineStr">
        <is>
          <t>ALT</t>
        </is>
      </c>
      <c r="G120" s="1" t="inlineStr">
        <is>
          <t>2024</t>
        </is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66</v>
      </c>
      <c r="M120" s="1" t="n">
        <v>66</v>
      </c>
      <c r="N120" s="1" t="n">
        <v>68</v>
      </c>
      <c r="O120" s="1" t="n">
        <v>3</v>
      </c>
      <c r="P120" s="1" t="n">
        <v>7840</v>
      </c>
      <c r="Q120" s="1" t="n">
        <v>90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0.970588235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517440</v>
      </c>
    </row>
    <row r="121">
      <c r="A121" s="1" t="inlineStr">
        <is>
          <t>2027BUD_V1</t>
        </is>
      </c>
      <c r="B121" s="1" t="inlineStr">
        <is>
          <t>12</t>
        </is>
      </c>
      <c r="C121" s="1" t="inlineStr">
        <is>
          <t>MBWAY_PAR</t>
        </is>
      </c>
      <c r="D121" s="1" t="inlineStr">
        <is>
          <t>MAS_MGT</t>
        </is>
      </c>
      <c r="E121" s="1" t="inlineStr">
        <is>
          <t>M1</t>
        </is>
      </c>
      <c r="F121" s="1" t="inlineStr">
        <is>
          <t>ALT</t>
        </is>
      </c>
      <c r="G121" s="1" t="inlineStr">
        <is>
          <t>2024</t>
        </is>
      </c>
      <c r="H121" s="1" t="n">
        <v>1184</v>
      </c>
      <c r="I121" s="1" t="n">
        <v>237</v>
      </c>
      <c r="J121" s="1" t="n">
        <v>166</v>
      </c>
      <c r="K121" s="1" t="n">
        <v>69</v>
      </c>
      <c r="L121" s="1" t="n">
        <v>0</v>
      </c>
      <c r="M121" s="1" t="n">
        <v>69</v>
      </c>
      <c r="N121" s="1" t="n">
        <v>0</v>
      </c>
      <c r="O121" s="1" t="n">
        <v>3</v>
      </c>
      <c r="P121" s="1" t="n">
        <v>8400</v>
      </c>
      <c r="Q121" s="1" t="n">
        <v>90</v>
      </c>
      <c r="R121" s="1" t="n">
        <v>418</v>
      </c>
      <c r="S121" s="1" t="n">
        <v>779</v>
      </c>
      <c r="T121" s="1" t="n">
        <v>37987</v>
      </c>
      <c r="U121" s="1" t="n">
        <v>28108</v>
      </c>
      <c r="V121" s="1" t="n">
        <v>0</v>
      </c>
      <c r="W121" s="1" t="n">
        <v>0.200168919</v>
      </c>
      <c r="X121" s="1" t="n">
        <v>0.700421941</v>
      </c>
      <c r="Y121" s="1" t="n">
        <v>0.415662651</v>
      </c>
      <c r="Z121" s="1" t="n">
        <v>1197</v>
      </c>
      <c r="AA121" s="1" t="n">
        <v>0.349206349</v>
      </c>
      <c r="AB121" s="1" t="n">
        <v>48.763799743</v>
      </c>
      <c r="AC121" s="1" t="n">
        <v>585810</v>
      </c>
    </row>
    <row r="122">
      <c r="A122" s="1" t="inlineStr">
        <is>
          <t>2027BUD_V1</t>
        </is>
      </c>
      <c r="B122" s="1" t="inlineStr">
        <is>
          <t>12</t>
        </is>
      </c>
      <c r="C122" s="1" t="inlineStr">
        <is>
          <t>MBWAY_PAR</t>
        </is>
      </c>
      <c r="D122" s="1" t="inlineStr">
        <is>
          <t>MAS_MGT</t>
        </is>
      </c>
      <c r="E122" s="1" t="inlineStr">
        <is>
          <t>M2</t>
        </is>
      </c>
      <c r="F122" s="1" t="inlineStr">
        <is>
          <t>ALT</t>
        </is>
      </c>
      <c r="G122" s="1" t="inlineStr">
        <is>
          <t>2024</t>
        </is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68</v>
      </c>
      <c r="M122" s="1" t="n">
        <v>68</v>
      </c>
      <c r="N122" s="1" t="n">
        <v>69</v>
      </c>
      <c r="O122" s="1" t="n">
        <v>3</v>
      </c>
      <c r="P122" s="1" t="n">
        <v>8400</v>
      </c>
      <c r="Q122" s="1" t="n">
        <v>90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0.9855072459999999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571200</v>
      </c>
    </row>
    <row r="123">
      <c r="A123" s="1" t="inlineStr">
        <is>
          <t>2027BUD_V1</t>
        </is>
      </c>
      <c r="B123" s="1" t="inlineStr">
        <is>
          <t>12</t>
        </is>
      </c>
      <c r="C123" s="1" t="inlineStr">
        <is>
          <t>MBWAY_LYO</t>
        </is>
      </c>
      <c r="D123" s="1" t="inlineStr">
        <is>
          <t>BAC_MGT</t>
        </is>
      </c>
      <c r="E123" s="1" t="inlineStr">
        <is>
          <t>B1</t>
        </is>
      </c>
      <c r="F123" s="1" t="inlineStr">
        <is>
          <t>INIT</t>
        </is>
      </c>
      <c r="G123" s="1" t="inlineStr">
        <is>
          <t>2024</t>
        </is>
      </c>
      <c r="H123" s="1" t="n">
        <v>486</v>
      </c>
      <c r="I123" s="1" t="n">
        <v>136</v>
      </c>
      <c r="J123" s="1" t="n">
        <v>98</v>
      </c>
      <c r="K123" s="1" t="n">
        <v>59</v>
      </c>
      <c r="L123" s="1" t="n">
        <v>0</v>
      </c>
      <c r="M123" s="1" t="n">
        <v>59</v>
      </c>
      <c r="N123" s="1" t="n">
        <v>0</v>
      </c>
      <c r="O123" s="1" t="n">
        <v>3</v>
      </c>
      <c r="P123" s="1" t="n">
        <v>7875</v>
      </c>
      <c r="Q123" s="1" t="n">
        <v>90</v>
      </c>
      <c r="R123" s="1" t="n">
        <v>205</v>
      </c>
      <c r="S123" s="1" t="n">
        <v>283</v>
      </c>
      <c r="T123" s="1" t="n">
        <v>11317</v>
      </c>
      <c r="U123" s="1" t="n">
        <v>14174</v>
      </c>
      <c r="V123" s="1" t="n">
        <v>0</v>
      </c>
      <c r="W123" s="1" t="n">
        <v>0.279835391</v>
      </c>
      <c r="X123" s="1" t="n">
        <v>0.720588235</v>
      </c>
      <c r="Y123" s="1" t="n">
        <v>0.602040816</v>
      </c>
      <c r="Z123" s="1" t="n">
        <v>488</v>
      </c>
      <c r="AA123" s="1" t="n">
        <v>0.420081967</v>
      </c>
      <c r="AB123" s="1" t="n">
        <v>39.989399293</v>
      </c>
      <c r="AC123" s="1" t="n">
        <v>469935</v>
      </c>
    </row>
    <row r="124">
      <c r="A124" s="1" t="inlineStr">
        <is>
          <t>2027BUD_V1</t>
        </is>
      </c>
      <c r="B124" s="1" t="inlineStr">
        <is>
          <t>12</t>
        </is>
      </c>
      <c r="C124" s="1" t="inlineStr">
        <is>
          <t>MBWAY_LYO</t>
        </is>
      </c>
      <c r="D124" s="1" t="inlineStr">
        <is>
          <t>BAC_MGT</t>
        </is>
      </c>
      <c r="E124" s="1" t="inlineStr">
        <is>
          <t>B2</t>
        </is>
      </c>
      <c r="F124" s="1" t="inlineStr">
        <is>
          <t>ALT</t>
        </is>
      </c>
      <c r="G124" s="1" t="inlineStr">
        <is>
          <t>2024</t>
        </is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57</v>
      </c>
      <c r="M124" s="1" t="n">
        <v>57</v>
      </c>
      <c r="N124" s="1" t="n">
        <v>59</v>
      </c>
      <c r="O124" s="1" t="n">
        <v>2</v>
      </c>
      <c r="P124" s="1" t="n">
        <v>7350</v>
      </c>
      <c r="Q124" s="1" t="n">
        <v>90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0.966101695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418950</v>
      </c>
    </row>
    <row r="125">
      <c r="A125" s="1" t="inlineStr">
        <is>
          <t>2027BUD_V1</t>
        </is>
      </c>
      <c r="B125" s="1" t="inlineStr">
        <is>
          <t>12</t>
        </is>
      </c>
      <c r="C125" s="1" t="inlineStr">
        <is>
          <t>MBWAY_LYO</t>
        </is>
      </c>
      <c r="D125" s="1" t="inlineStr">
        <is>
          <t>BAC_MGT</t>
        </is>
      </c>
      <c r="E125" s="1" t="inlineStr">
        <is>
          <t>B3</t>
        </is>
      </c>
      <c r="F125" s="1" t="inlineStr">
        <is>
          <t>ALT</t>
        </is>
      </c>
      <c r="G125" s="1" t="inlineStr">
        <is>
          <t>2024</t>
        </is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56</v>
      </c>
      <c r="M125" s="1" t="n">
        <v>56</v>
      </c>
      <c r="N125" s="1" t="n">
        <v>57</v>
      </c>
      <c r="O125" s="1" t="n">
        <v>2</v>
      </c>
      <c r="P125" s="1" t="n">
        <v>7350</v>
      </c>
      <c r="Q125" s="1" t="n">
        <v>90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0.98245614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411600</v>
      </c>
    </row>
    <row r="126">
      <c r="A126" s="1" t="inlineStr">
        <is>
          <t>2027BUD_V1</t>
        </is>
      </c>
      <c r="B126" s="1" t="inlineStr">
        <is>
          <t>12</t>
        </is>
      </c>
      <c r="C126" s="1" t="inlineStr">
        <is>
          <t>MBWAY_LYO</t>
        </is>
      </c>
      <c r="D126" s="1" t="inlineStr">
        <is>
          <t>MAS_MGT</t>
        </is>
      </c>
      <c r="E126" s="1" t="inlineStr">
        <is>
          <t>M1</t>
        </is>
      </c>
      <c r="F126" s="1" t="inlineStr">
        <is>
          <t>ALT</t>
        </is>
      </c>
      <c r="G126" s="1" t="inlineStr">
        <is>
          <t>2024</t>
        </is>
      </c>
      <c r="H126" s="1" t="n">
        <v>997</v>
      </c>
      <c r="I126" s="1" t="n">
        <v>199</v>
      </c>
      <c r="J126" s="1" t="n">
        <v>140</v>
      </c>
      <c r="K126" s="1" t="n">
        <v>59</v>
      </c>
      <c r="L126" s="1" t="n">
        <v>0</v>
      </c>
      <c r="M126" s="1" t="n">
        <v>59</v>
      </c>
      <c r="N126" s="1" t="n">
        <v>0</v>
      </c>
      <c r="O126" s="1" t="n">
        <v>3</v>
      </c>
      <c r="P126" s="1" t="n">
        <v>7875</v>
      </c>
      <c r="Q126" s="1" t="n">
        <v>90</v>
      </c>
      <c r="R126" s="1" t="n">
        <v>421</v>
      </c>
      <c r="S126" s="1" t="n">
        <v>580</v>
      </c>
      <c r="T126" s="1" t="n">
        <v>23215</v>
      </c>
      <c r="U126" s="1" t="n">
        <v>29076</v>
      </c>
      <c r="V126" s="1" t="n">
        <v>0</v>
      </c>
      <c r="W126" s="1" t="n">
        <v>0.199598796</v>
      </c>
      <c r="X126" s="1" t="n">
        <v>0.703517588</v>
      </c>
      <c r="Y126" s="1" t="n">
        <v>0.421428571</v>
      </c>
      <c r="Z126" s="1" t="n">
        <v>1001</v>
      </c>
      <c r="AA126" s="1" t="n">
        <v>0.420579421</v>
      </c>
      <c r="AB126" s="1" t="n">
        <v>40.025862069</v>
      </c>
      <c r="AC126" s="1" t="n">
        <v>469935</v>
      </c>
    </row>
    <row r="127">
      <c r="A127" s="1" t="inlineStr">
        <is>
          <t>2027BUD_V1</t>
        </is>
      </c>
      <c r="B127" s="1" t="inlineStr">
        <is>
          <t>12</t>
        </is>
      </c>
      <c r="C127" s="1" t="inlineStr">
        <is>
          <t>MBWAY_LYO</t>
        </is>
      </c>
      <c r="D127" s="1" t="inlineStr">
        <is>
          <t>MAS_MGT</t>
        </is>
      </c>
      <c r="E127" s="1" t="inlineStr">
        <is>
          <t>M2</t>
        </is>
      </c>
      <c r="F127" s="1" t="inlineStr">
        <is>
          <t>ALT</t>
        </is>
      </c>
      <c r="G127" s="1" t="inlineStr">
        <is>
          <t>2024</t>
        </is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58</v>
      </c>
      <c r="M127" s="1" t="n">
        <v>58</v>
      </c>
      <c r="N127" s="1" t="n">
        <v>59</v>
      </c>
      <c r="O127" s="1" t="n">
        <v>3</v>
      </c>
      <c r="P127" s="1" t="n">
        <v>7875</v>
      </c>
      <c r="Q127" s="1" t="n">
        <v>90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0.983050847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456750</v>
      </c>
    </row>
    <row r="128">
      <c r="A128" s="1" t="inlineStr">
        <is>
          <t>2027BUD_V1</t>
        </is>
      </c>
      <c r="B128" s="1" t="inlineStr">
        <is>
          <t>12</t>
        </is>
      </c>
      <c r="C128" s="1" t="inlineStr">
        <is>
          <t>MBWAY_NAN</t>
        </is>
      </c>
      <c r="D128" s="1" t="inlineStr">
        <is>
          <t>BAC_MGT</t>
        </is>
      </c>
      <c r="E128" s="1" t="inlineStr">
        <is>
          <t>B1</t>
        </is>
      </c>
      <c r="F128" s="1" t="inlineStr">
        <is>
          <t>INIT</t>
        </is>
      </c>
      <c r="G128" s="1" t="inlineStr">
        <is>
          <t>2024</t>
        </is>
      </c>
      <c r="H128" s="1" t="n">
        <v>441</v>
      </c>
      <c r="I128" s="1" t="n">
        <v>124</v>
      </c>
      <c r="J128" s="1" t="n">
        <v>89</v>
      </c>
      <c r="K128" s="1" t="n">
        <v>53</v>
      </c>
      <c r="L128" s="1" t="n">
        <v>0</v>
      </c>
      <c r="M128" s="1" t="n">
        <v>53</v>
      </c>
      <c r="N128" s="1" t="n">
        <v>0</v>
      </c>
      <c r="O128" s="1" t="n">
        <v>2</v>
      </c>
      <c r="P128" s="1" t="n">
        <v>7500</v>
      </c>
      <c r="Q128" s="1" t="n">
        <v>90</v>
      </c>
      <c r="R128" s="1" t="n">
        <v>208</v>
      </c>
      <c r="S128" s="1" t="n">
        <v>233</v>
      </c>
      <c r="T128" s="1" t="n">
        <v>8526</v>
      </c>
      <c r="U128" s="1" t="n">
        <v>14648</v>
      </c>
      <c r="V128" s="1" t="n">
        <v>0</v>
      </c>
      <c r="W128" s="1" t="n">
        <v>0.281179138</v>
      </c>
      <c r="X128" s="1" t="n">
        <v>0.7177419350000001</v>
      </c>
      <c r="Y128" s="1" t="n">
        <v>0.595505618</v>
      </c>
      <c r="Z128" s="1" t="n">
        <v>441</v>
      </c>
      <c r="AA128" s="1" t="n">
        <v>0.471655329</v>
      </c>
      <c r="AB128" s="1" t="n">
        <v>36.592274678</v>
      </c>
      <c r="AC128" s="1" t="n">
        <v>402270</v>
      </c>
    </row>
    <row r="129">
      <c r="A129" s="1" t="inlineStr">
        <is>
          <t>2027BUD_V1</t>
        </is>
      </c>
      <c r="B129" s="1" t="inlineStr">
        <is>
          <t>12</t>
        </is>
      </c>
      <c r="C129" s="1" t="inlineStr">
        <is>
          <t>MBWAY_NAN</t>
        </is>
      </c>
      <c r="D129" s="1" t="inlineStr">
        <is>
          <t>BAC_MGT</t>
        </is>
      </c>
      <c r="E129" s="1" t="inlineStr">
        <is>
          <t>B2</t>
        </is>
      </c>
      <c r="F129" s="1" t="inlineStr">
        <is>
          <t>ALT</t>
        </is>
      </c>
      <c r="G129" s="1" t="inlineStr">
        <is>
          <t>2024</t>
        </is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52</v>
      </c>
      <c r="M129" s="1" t="n">
        <v>52</v>
      </c>
      <c r="N129" s="1" t="n">
        <v>53</v>
      </c>
      <c r="O129" s="1" t="n">
        <v>2</v>
      </c>
      <c r="P129" s="1" t="n">
        <v>7000</v>
      </c>
      <c r="Q129" s="1" t="n">
        <v>90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0.981132075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364000</v>
      </c>
    </row>
    <row r="130">
      <c r="A130" s="1" t="inlineStr">
        <is>
          <t>2027BUD_V1</t>
        </is>
      </c>
      <c r="B130" s="1" t="inlineStr">
        <is>
          <t>12</t>
        </is>
      </c>
      <c r="C130" s="1" t="inlineStr">
        <is>
          <t>MBWAY_NAN</t>
        </is>
      </c>
      <c r="D130" s="1" t="inlineStr">
        <is>
          <t>BAC_MGT</t>
        </is>
      </c>
      <c r="E130" s="1" t="inlineStr">
        <is>
          <t>B3</t>
        </is>
      </c>
      <c r="F130" s="1" t="inlineStr">
        <is>
          <t>ALT</t>
        </is>
      </c>
      <c r="G130" s="1" t="inlineStr">
        <is>
          <t>2024</t>
        </is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51</v>
      </c>
      <c r="M130" s="1" t="n">
        <v>51</v>
      </c>
      <c r="N130" s="1" t="n">
        <v>52</v>
      </c>
      <c r="O130" s="1" t="n">
        <v>2</v>
      </c>
      <c r="P130" s="1" t="n">
        <v>7000</v>
      </c>
      <c r="Q130" s="1" t="n">
        <v>90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0.980769231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357000</v>
      </c>
    </row>
    <row r="131">
      <c r="A131" s="1" t="inlineStr">
        <is>
          <t>2027BUD_V1</t>
        </is>
      </c>
      <c r="B131" s="1" t="inlineStr">
        <is>
          <t>12</t>
        </is>
      </c>
      <c r="C131" s="1" t="inlineStr">
        <is>
          <t>MBWAY_NAN</t>
        </is>
      </c>
      <c r="D131" s="1" t="inlineStr">
        <is>
          <t>MAS_MGT</t>
        </is>
      </c>
      <c r="E131" s="1" t="inlineStr">
        <is>
          <t>M1</t>
        </is>
      </c>
      <c r="F131" s="1" t="inlineStr">
        <is>
          <t>ALT</t>
        </is>
      </c>
      <c r="G131" s="1" t="inlineStr">
        <is>
          <t>2024</t>
        </is>
      </c>
      <c r="H131" s="1" t="n">
        <v>908</v>
      </c>
      <c r="I131" s="1" t="n">
        <v>182</v>
      </c>
      <c r="J131" s="1" t="n">
        <v>127</v>
      </c>
      <c r="K131" s="1" t="n">
        <v>53</v>
      </c>
      <c r="L131" s="1" t="n">
        <v>0</v>
      </c>
      <c r="M131" s="1" t="n">
        <v>53</v>
      </c>
      <c r="N131" s="1" t="n">
        <v>0</v>
      </c>
      <c r="O131" s="1" t="n">
        <v>3</v>
      </c>
      <c r="P131" s="1" t="n">
        <v>7500</v>
      </c>
      <c r="Q131" s="1" t="n">
        <v>90</v>
      </c>
      <c r="R131" s="1" t="n">
        <v>428</v>
      </c>
      <c r="S131" s="1" t="n">
        <v>480</v>
      </c>
      <c r="T131" s="1" t="n">
        <v>17534</v>
      </c>
      <c r="U131" s="1" t="n">
        <v>30123</v>
      </c>
      <c r="V131" s="1" t="n">
        <v>0</v>
      </c>
      <c r="W131" s="1" t="n">
        <v>0.200440529</v>
      </c>
      <c r="X131" s="1" t="n">
        <v>0.697802198</v>
      </c>
      <c r="Y131" s="1" t="n">
        <v>0.417322835</v>
      </c>
      <c r="Z131" s="1" t="n">
        <v>908</v>
      </c>
      <c r="AA131" s="1" t="n">
        <v>0.471365639</v>
      </c>
      <c r="AB131" s="1" t="n">
        <v>36.529166667</v>
      </c>
      <c r="AC131" s="1" t="n">
        <v>402270</v>
      </c>
    </row>
    <row r="132">
      <c r="A132" s="1" t="inlineStr">
        <is>
          <t>2027BUD_V1</t>
        </is>
      </c>
      <c r="B132" s="1" t="inlineStr">
        <is>
          <t>12</t>
        </is>
      </c>
      <c r="C132" s="1" t="inlineStr">
        <is>
          <t>MBWAY_NAN</t>
        </is>
      </c>
      <c r="D132" s="1" t="inlineStr">
        <is>
          <t>MAS_MGT</t>
        </is>
      </c>
      <c r="E132" s="1" t="inlineStr">
        <is>
          <t>M2</t>
        </is>
      </c>
      <c r="F132" s="1" t="inlineStr">
        <is>
          <t>ALT</t>
        </is>
      </c>
      <c r="G132" s="1" t="inlineStr">
        <is>
          <t>2024</t>
        </is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53</v>
      </c>
      <c r="M132" s="1" t="n">
        <v>53</v>
      </c>
      <c r="N132" s="1" t="n">
        <v>53</v>
      </c>
      <c r="O132" s="1" t="n">
        <v>3</v>
      </c>
      <c r="P132" s="1" t="n">
        <v>7500</v>
      </c>
      <c r="Q132" s="1" t="n">
        <v>90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1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397500</v>
      </c>
    </row>
    <row r="133">
      <c r="A133" s="1" t="inlineStr">
        <is>
          <t>2027BUD_V1</t>
        </is>
      </c>
      <c r="B133" s="1" t="inlineStr">
        <is>
          <t>12</t>
        </is>
      </c>
      <c r="C133" s="1" t="inlineStr">
        <is>
          <t>MBWAY_BOR</t>
        </is>
      </c>
      <c r="D133" s="1" t="inlineStr">
        <is>
          <t>BAC_MGT</t>
        </is>
      </c>
      <c r="E133" s="1" t="inlineStr">
        <is>
          <t>B1</t>
        </is>
      </c>
      <c r="F133" s="1" t="inlineStr">
        <is>
          <t>INIT</t>
        </is>
      </c>
      <c r="G133" s="1" t="inlineStr">
        <is>
          <t>2024</t>
        </is>
      </c>
      <c r="H133" s="1" t="n">
        <v>375</v>
      </c>
      <c r="I133" s="1" t="n">
        <v>105</v>
      </c>
      <c r="J133" s="1" t="n">
        <v>76</v>
      </c>
      <c r="K133" s="1" t="n">
        <v>45</v>
      </c>
      <c r="L133" s="1" t="n">
        <v>0</v>
      </c>
      <c r="M133" s="1" t="n">
        <v>45</v>
      </c>
      <c r="N133" s="1" t="n">
        <v>0</v>
      </c>
      <c r="O133" s="1" t="n">
        <v>2</v>
      </c>
      <c r="P133" s="1" t="n">
        <v>7275</v>
      </c>
      <c r="Q133" s="1" t="n">
        <v>90</v>
      </c>
      <c r="R133" s="1" t="n">
        <v>180</v>
      </c>
      <c r="S133" s="1" t="n">
        <v>194</v>
      </c>
      <c r="T133" s="1" t="n">
        <v>6743</v>
      </c>
      <c r="U133" s="1" t="n">
        <v>12727</v>
      </c>
      <c r="V133" s="1" t="n">
        <v>0</v>
      </c>
      <c r="W133" s="1" t="n">
        <v>0.28</v>
      </c>
      <c r="X133" s="1" t="n">
        <v>0.723809524</v>
      </c>
      <c r="Y133" s="1" t="n">
        <v>0.592105263</v>
      </c>
      <c r="Z133" s="1" t="n">
        <v>374</v>
      </c>
      <c r="AA133" s="1" t="n">
        <v>0.481283422</v>
      </c>
      <c r="AB133" s="1" t="n">
        <v>34.757731959</v>
      </c>
      <c r="AC133" s="1" t="n">
        <v>331425</v>
      </c>
    </row>
    <row r="134">
      <c r="A134" s="1" t="inlineStr">
        <is>
          <t>2027BUD_V1</t>
        </is>
      </c>
      <c r="B134" s="1" t="inlineStr">
        <is>
          <t>12</t>
        </is>
      </c>
      <c r="C134" s="1" t="inlineStr">
        <is>
          <t>MBWAY_BOR</t>
        </is>
      </c>
      <c r="D134" s="1" t="inlineStr">
        <is>
          <t>BAC_MGT</t>
        </is>
      </c>
      <c r="E134" s="1" t="inlineStr">
        <is>
          <t>B2</t>
        </is>
      </c>
      <c r="F134" s="1" t="inlineStr">
        <is>
          <t>ALT</t>
        </is>
      </c>
      <c r="G134" s="1" t="inlineStr">
        <is>
          <t>2024</t>
        </is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44</v>
      </c>
      <c r="M134" s="1" t="n">
        <v>44</v>
      </c>
      <c r="N134" s="1" t="n">
        <v>45</v>
      </c>
      <c r="O134" s="1" t="n">
        <v>2</v>
      </c>
      <c r="P134" s="1" t="n">
        <v>6790</v>
      </c>
      <c r="Q134" s="1" t="n">
        <v>90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0.977777778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298760</v>
      </c>
    </row>
    <row r="135">
      <c r="A135" s="1" t="inlineStr">
        <is>
          <t>2027BUD_V1</t>
        </is>
      </c>
      <c r="B135" s="1" t="inlineStr">
        <is>
          <t>12</t>
        </is>
      </c>
      <c r="C135" s="1" t="inlineStr">
        <is>
          <t>MBWAY_BOR</t>
        </is>
      </c>
      <c r="D135" s="1" t="inlineStr">
        <is>
          <t>BAC_MGT</t>
        </is>
      </c>
      <c r="E135" s="1" t="inlineStr">
        <is>
          <t>B3</t>
        </is>
      </c>
      <c r="F135" s="1" t="inlineStr">
        <is>
          <t>ALT</t>
        </is>
      </c>
      <c r="G135" s="1" t="inlineStr">
        <is>
          <t>2024</t>
        </is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43</v>
      </c>
      <c r="M135" s="1" t="n">
        <v>43</v>
      </c>
      <c r="N135" s="1" t="n">
        <v>44</v>
      </c>
      <c r="O135" s="1" t="n">
        <v>2</v>
      </c>
      <c r="P135" s="1" t="n">
        <v>6790</v>
      </c>
      <c r="Q135" s="1" t="n">
        <v>90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0.977272727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291970</v>
      </c>
    </row>
    <row r="136">
      <c r="A136" s="1" t="inlineStr">
        <is>
          <t>2027BUD_V1</t>
        </is>
      </c>
      <c r="B136" s="1" t="inlineStr">
        <is>
          <t>12</t>
        </is>
      </c>
      <c r="C136" s="1" t="inlineStr">
        <is>
          <t>MBWAY_BOR</t>
        </is>
      </c>
      <c r="D136" s="1" t="inlineStr">
        <is>
          <t>MAS_MGT</t>
        </is>
      </c>
      <c r="E136" s="1" t="inlineStr">
        <is>
          <t>M1</t>
        </is>
      </c>
      <c r="F136" s="1" t="inlineStr">
        <is>
          <t>ALT</t>
        </is>
      </c>
      <c r="G136" s="1" t="inlineStr">
        <is>
          <t>2024</t>
        </is>
      </c>
      <c r="H136" s="1" t="n">
        <v>770</v>
      </c>
      <c r="I136" s="1" t="n">
        <v>154</v>
      </c>
      <c r="J136" s="1" t="n">
        <v>108</v>
      </c>
      <c r="K136" s="1" t="n">
        <v>45</v>
      </c>
      <c r="L136" s="1" t="n">
        <v>0</v>
      </c>
      <c r="M136" s="1" t="n">
        <v>45</v>
      </c>
      <c r="N136" s="1" t="n">
        <v>0</v>
      </c>
      <c r="O136" s="1" t="n">
        <v>2</v>
      </c>
      <c r="P136" s="1" t="n">
        <v>7275</v>
      </c>
      <c r="Q136" s="1" t="n">
        <v>90</v>
      </c>
      <c r="R136" s="1" t="n">
        <v>370</v>
      </c>
      <c r="S136" s="1" t="n">
        <v>398</v>
      </c>
      <c r="T136" s="1" t="n">
        <v>13854</v>
      </c>
      <c r="U136" s="1" t="n">
        <v>26150</v>
      </c>
      <c r="V136" s="1" t="n">
        <v>0</v>
      </c>
      <c r="W136" s="1" t="n">
        <v>0.2</v>
      </c>
      <c r="X136" s="1" t="n">
        <v>0.701298701</v>
      </c>
      <c r="Y136" s="1" t="n">
        <v>0.416666667</v>
      </c>
      <c r="Z136" s="1" t="n">
        <v>768</v>
      </c>
      <c r="AA136" s="1" t="n">
        <v>0.481770833</v>
      </c>
      <c r="AB136" s="1" t="n">
        <v>34.809045226</v>
      </c>
      <c r="AC136" s="1" t="n">
        <v>331425</v>
      </c>
    </row>
    <row r="137">
      <c r="A137" s="1" t="inlineStr">
        <is>
          <t>2027BUD_V1</t>
        </is>
      </c>
      <c r="B137" s="1" t="inlineStr">
        <is>
          <t>12</t>
        </is>
      </c>
      <c r="C137" s="1" t="inlineStr">
        <is>
          <t>MBWAY_BOR</t>
        </is>
      </c>
      <c r="D137" s="1" t="inlineStr">
        <is>
          <t>MAS_MGT</t>
        </is>
      </c>
      <c r="E137" s="1" t="inlineStr">
        <is>
          <t>M2</t>
        </is>
      </c>
      <c r="F137" s="1" t="inlineStr">
        <is>
          <t>ALT</t>
        </is>
      </c>
      <c r="G137" s="1" t="inlineStr">
        <is>
          <t>2024</t>
        </is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44</v>
      </c>
      <c r="M137" s="1" t="n">
        <v>44</v>
      </c>
      <c r="N137" s="1" t="n">
        <v>45</v>
      </c>
      <c r="O137" s="1" t="n">
        <v>2</v>
      </c>
      <c r="P137" s="1" t="n">
        <v>7275</v>
      </c>
      <c r="Q137" s="1" t="n">
        <v>90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0.977777778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320100</v>
      </c>
    </row>
    <row r="138">
      <c r="A138" s="1" t="inlineStr">
        <is>
          <t>2027BUD_V1</t>
        </is>
      </c>
      <c r="B138" s="1" t="inlineStr">
        <is>
          <t>12</t>
        </is>
      </c>
      <c r="C138" s="1" t="inlineStr">
        <is>
          <t>ISCOM_PAR</t>
        </is>
      </c>
      <c r="D138" s="1" t="inlineStr">
        <is>
          <t>BAC_COM</t>
        </is>
      </c>
      <c r="E138" s="1" t="inlineStr">
        <is>
          <t>B1</t>
        </is>
      </c>
      <c r="F138" s="1" t="inlineStr">
        <is>
          <t>INIT</t>
        </is>
      </c>
      <c r="G138" s="1" t="inlineStr">
        <is>
          <t>2024</t>
        </is>
      </c>
      <c r="H138" s="1" t="n">
        <v>530</v>
      </c>
      <c r="I138" s="1" t="n">
        <v>149</v>
      </c>
      <c r="J138" s="1" t="n">
        <v>107</v>
      </c>
      <c r="K138" s="1" t="n">
        <v>64</v>
      </c>
      <c r="L138" s="1" t="n">
        <v>0</v>
      </c>
      <c r="M138" s="1" t="n">
        <v>64</v>
      </c>
      <c r="N138" s="1" t="n">
        <v>0</v>
      </c>
      <c r="O138" s="1" t="n">
        <v>3</v>
      </c>
      <c r="P138" s="1" t="n">
        <v>8400</v>
      </c>
      <c r="Q138" s="1" t="n">
        <v>90</v>
      </c>
      <c r="R138" s="1" t="n">
        <v>213</v>
      </c>
      <c r="S138" s="1" t="n">
        <v>340</v>
      </c>
      <c r="T138" s="1" t="n">
        <v>16491</v>
      </c>
      <c r="U138" s="1" t="n">
        <v>17097</v>
      </c>
      <c r="V138" s="1" t="n">
        <v>0</v>
      </c>
      <c r="W138" s="1" t="n">
        <v>0.281132075</v>
      </c>
      <c r="X138" s="1" t="n">
        <v>0.718120805</v>
      </c>
      <c r="Y138" s="1" t="n">
        <v>0.598130841</v>
      </c>
      <c r="Z138" s="1" t="n">
        <v>553</v>
      </c>
      <c r="AA138" s="1" t="n">
        <v>0.38517179</v>
      </c>
      <c r="AB138" s="1" t="n">
        <v>48.502941176</v>
      </c>
      <c r="AC138" s="1" t="n">
        <v>543360</v>
      </c>
    </row>
    <row r="139">
      <c r="A139" s="1" t="inlineStr">
        <is>
          <t>2027BUD_V1</t>
        </is>
      </c>
      <c r="B139" s="1" t="inlineStr">
        <is>
          <t>12</t>
        </is>
      </c>
      <c r="C139" s="1" t="inlineStr">
        <is>
          <t>ISCOM_PAR</t>
        </is>
      </c>
      <c r="D139" s="1" t="inlineStr">
        <is>
          <t>BAC_COM</t>
        </is>
      </c>
      <c r="E139" s="1" t="inlineStr">
        <is>
          <t>B2</t>
        </is>
      </c>
      <c r="F139" s="1" t="inlineStr">
        <is>
          <t>ALT</t>
        </is>
      </c>
      <c r="G139" s="1" t="inlineStr">
        <is>
          <t>2024</t>
        </is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62</v>
      </c>
      <c r="M139" s="1" t="n">
        <v>62</v>
      </c>
      <c r="N139" s="1" t="n">
        <v>64</v>
      </c>
      <c r="O139" s="1" t="n">
        <v>3</v>
      </c>
      <c r="P139" s="1" t="n">
        <v>7840</v>
      </c>
      <c r="Q139" s="1" t="n">
        <v>90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0.96875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486080</v>
      </c>
    </row>
    <row r="140">
      <c r="A140" s="1" t="inlineStr">
        <is>
          <t>2027BUD_V1</t>
        </is>
      </c>
      <c r="B140" s="1" t="inlineStr">
        <is>
          <t>12</t>
        </is>
      </c>
      <c r="C140" s="1" t="inlineStr">
        <is>
          <t>ISCOM_PAR</t>
        </is>
      </c>
      <c r="D140" s="1" t="inlineStr">
        <is>
          <t>BAC_COM</t>
        </is>
      </c>
      <c r="E140" s="1" t="inlineStr">
        <is>
          <t>B3</t>
        </is>
      </c>
      <c r="F140" s="1" t="inlineStr">
        <is>
          <t>ALT</t>
        </is>
      </c>
      <c r="G140" s="1" t="inlineStr">
        <is>
          <t>2024</t>
        </is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61</v>
      </c>
      <c r="M140" s="1" t="n">
        <v>61</v>
      </c>
      <c r="N140" s="1" t="n">
        <v>62</v>
      </c>
      <c r="O140" s="1" t="n">
        <v>3</v>
      </c>
      <c r="P140" s="1" t="n">
        <v>7840</v>
      </c>
      <c r="Q140" s="1" t="n">
        <v>90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0.983870968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478240</v>
      </c>
    </row>
    <row r="141">
      <c r="A141" s="1" t="inlineStr">
        <is>
          <t>2027BUD_V1</t>
        </is>
      </c>
      <c r="B141" s="1" t="inlineStr">
        <is>
          <t>12</t>
        </is>
      </c>
      <c r="C141" s="1" t="inlineStr">
        <is>
          <t>ISCOM_PAR</t>
        </is>
      </c>
      <c r="D141" s="1" t="inlineStr">
        <is>
          <t>MAS_COM</t>
        </is>
      </c>
      <c r="E141" s="1" t="inlineStr">
        <is>
          <t>M1</t>
        </is>
      </c>
      <c r="F141" s="1" t="inlineStr">
        <is>
          <t>ALT</t>
        </is>
      </c>
      <c r="G141" s="1" t="inlineStr">
        <is>
          <t>2024</t>
        </is>
      </c>
      <c r="H141" s="1" t="n">
        <v>1086</v>
      </c>
      <c r="I141" s="1" t="n">
        <v>217</v>
      </c>
      <c r="J141" s="1" t="n">
        <v>152</v>
      </c>
      <c r="K141" s="1" t="n">
        <v>64</v>
      </c>
      <c r="L141" s="1" t="n">
        <v>0</v>
      </c>
      <c r="M141" s="1" t="n">
        <v>64</v>
      </c>
      <c r="N141" s="1" t="n">
        <v>0</v>
      </c>
      <c r="O141" s="1" t="n">
        <v>3</v>
      </c>
      <c r="P141" s="1" t="n">
        <v>8400</v>
      </c>
      <c r="Q141" s="1" t="n">
        <v>90</v>
      </c>
      <c r="R141" s="1" t="n">
        <v>437</v>
      </c>
      <c r="S141" s="1" t="n">
        <v>695</v>
      </c>
      <c r="T141" s="1" t="n">
        <v>33757</v>
      </c>
      <c r="U141" s="1" t="n">
        <v>34997</v>
      </c>
      <c r="V141" s="1" t="n">
        <v>0</v>
      </c>
      <c r="W141" s="1" t="n">
        <v>0.199815838</v>
      </c>
      <c r="X141" s="1" t="n">
        <v>0.700460829</v>
      </c>
      <c r="Y141" s="1" t="n">
        <v>0.421052632</v>
      </c>
      <c r="Z141" s="1" t="n">
        <v>1132</v>
      </c>
      <c r="AA141" s="1" t="n">
        <v>0.386042403</v>
      </c>
      <c r="AB141" s="1" t="n">
        <v>48.571223022</v>
      </c>
      <c r="AC141" s="1" t="n">
        <v>543360</v>
      </c>
    </row>
    <row r="142">
      <c r="A142" s="1" t="inlineStr">
        <is>
          <t>2027BUD_V1</t>
        </is>
      </c>
      <c r="B142" s="1" t="inlineStr">
        <is>
          <t>12</t>
        </is>
      </c>
      <c r="C142" s="1" t="inlineStr">
        <is>
          <t>ISCOM_PAR</t>
        </is>
      </c>
      <c r="D142" s="1" t="inlineStr">
        <is>
          <t>MAS_COM</t>
        </is>
      </c>
      <c r="E142" s="1" t="inlineStr">
        <is>
          <t>M2</t>
        </is>
      </c>
      <c r="F142" s="1" t="inlineStr">
        <is>
          <t>ALT</t>
        </is>
      </c>
      <c r="G142" s="1" t="inlineStr">
        <is>
          <t>2024</t>
        </is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63</v>
      </c>
      <c r="M142" s="1" t="n">
        <v>63</v>
      </c>
      <c r="N142" s="1" t="n">
        <v>64</v>
      </c>
      <c r="O142" s="1" t="n">
        <v>3</v>
      </c>
      <c r="P142" s="1" t="n">
        <v>8400</v>
      </c>
      <c r="Q142" s="1" t="n">
        <v>90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0.984375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529200</v>
      </c>
    </row>
    <row r="143">
      <c r="A143" s="1" t="inlineStr">
        <is>
          <t>2027BUD_V1</t>
        </is>
      </c>
      <c r="B143" s="1" t="inlineStr">
        <is>
          <t>12</t>
        </is>
      </c>
      <c r="C143" s="1" t="inlineStr">
        <is>
          <t>ISCOM_LIL</t>
        </is>
      </c>
      <c r="D143" s="1" t="inlineStr">
        <is>
          <t>BAC_COM</t>
        </is>
      </c>
      <c r="E143" s="1" t="inlineStr">
        <is>
          <t>B1</t>
        </is>
      </c>
      <c r="F143" s="1" t="inlineStr">
        <is>
          <t>INIT</t>
        </is>
      </c>
      <c r="G143" s="1" t="inlineStr">
        <is>
          <t>2024</t>
        </is>
      </c>
      <c r="H143" s="1" t="n">
        <v>366</v>
      </c>
      <c r="I143" s="1" t="n">
        <v>102</v>
      </c>
      <c r="J143" s="1" t="n">
        <v>74</v>
      </c>
      <c r="K143" s="1" t="n">
        <v>44</v>
      </c>
      <c r="L143" s="1" t="n">
        <v>0</v>
      </c>
      <c r="M143" s="1" t="n">
        <v>44</v>
      </c>
      <c r="N143" s="1" t="n">
        <v>0</v>
      </c>
      <c r="O143" s="1" t="n">
        <v>2</v>
      </c>
      <c r="P143" s="1" t="n">
        <v>7350</v>
      </c>
      <c r="Q143" s="1" t="n">
        <v>90</v>
      </c>
      <c r="R143" s="1" t="n">
        <v>194</v>
      </c>
      <c r="S143" s="1" t="n">
        <v>186</v>
      </c>
      <c r="T143" s="1" t="n">
        <v>6793</v>
      </c>
      <c r="U143" s="1" t="n">
        <v>15806</v>
      </c>
      <c r="V143" s="1" t="n">
        <v>0</v>
      </c>
      <c r="W143" s="1" t="n">
        <v>0.278688525</v>
      </c>
      <c r="X143" s="1" t="n">
        <v>0.725490196</v>
      </c>
      <c r="Y143" s="1" t="n">
        <v>0.594594595</v>
      </c>
      <c r="Z143" s="1" t="n">
        <v>380</v>
      </c>
      <c r="AA143" s="1" t="n">
        <v>0.510526316</v>
      </c>
      <c r="AB143" s="1" t="n">
        <v>36.521505376</v>
      </c>
      <c r="AC143" s="1" t="n">
        <v>327360</v>
      </c>
    </row>
    <row r="144">
      <c r="A144" s="1" t="inlineStr">
        <is>
          <t>2027BUD_V1</t>
        </is>
      </c>
      <c r="B144" s="1" t="inlineStr">
        <is>
          <t>12</t>
        </is>
      </c>
      <c r="C144" s="1" t="inlineStr">
        <is>
          <t>ISCOM_LIL</t>
        </is>
      </c>
      <c r="D144" s="1" t="inlineStr">
        <is>
          <t>BAC_COM</t>
        </is>
      </c>
      <c r="E144" s="1" t="inlineStr">
        <is>
          <t>B2</t>
        </is>
      </c>
      <c r="F144" s="1" t="inlineStr">
        <is>
          <t>ALT</t>
        </is>
      </c>
      <c r="G144" s="1" t="inlineStr">
        <is>
          <t>2024</t>
        </is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43</v>
      </c>
      <c r="M144" s="1" t="n">
        <v>43</v>
      </c>
      <c r="N144" s="1" t="n">
        <v>44</v>
      </c>
      <c r="O144" s="1" t="n">
        <v>2</v>
      </c>
      <c r="P144" s="1" t="n">
        <v>6860</v>
      </c>
      <c r="Q144" s="1" t="n">
        <v>90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0.977272727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294980</v>
      </c>
    </row>
    <row r="145">
      <c r="A145" s="1" t="inlineStr">
        <is>
          <t>2027BUD_V1</t>
        </is>
      </c>
      <c r="B145" s="1" t="inlineStr">
        <is>
          <t>12</t>
        </is>
      </c>
      <c r="C145" s="1" t="inlineStr">
        <is>
          <t>ISCOM_LIL</t>
        </is>
      </c>
      <c r="D145" s="1" t="inlineStr">
        <is>
          <t>BAC_COM</t>
        </is>
      </c>
      <c r="E145" s="1" t="inlineStr">
        <is>
          <t>B3</t>
        </is>
      </c>
      <c r="F145" s="1" t="inlineStr">
        <is>
          <t>ALT</t>
        </is>
      </c>
      <c r="G145" s="1" t="inlineStr">
        <is>
          <t>2024</t>
        </is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42</v>
      </c>
      <c r="M145" s="1" t="n">
        <v>42</v>
      </c>
      <c r="N145" s="1" t="n">
        <v>43</v>
      </c>
      <c r="O145" s="1" t="n">
        <v>2</v>
      </c>
      <c r="P145" s="1" t="n">
        <v>6860</v>
      </c>
      <c r="Q145" s="1" t="n">
        <v>90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0.976744186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288120</v>
      </c>
    </row>
    <row r="146">
      <c r="A146" s="1" t="inlineStr">
        <is>
          <t>2027BUD_V1</t>
        </is>
      </c>
      <c r="B146" s="1" t="inlineStr">
        <is>
          <t>12</t>
        </is>
      </c>
      <c r="C146" s="1" t="inlineStr">
        <is>
          <t>ISCOM_LIL</t>
        </is>
      </c>
      <c r="D146" s="1" t="inlineStr">
        <is>
          <t>MAS_COM</t>
        </is>
      </c>
      <c r="E146" s="1" t="inlineStr">
        <is>
          <t>M1</t>
        </is>
      </c>
      <c r="F146" s="1" t="inlineStr">
        <is>
          <t>ALT</t>
        </is>
      </c>
      <c r="G146" s="1" t="inlineStr">
        <is>
          <t>2024</t>
        </is>
      </c>
      <c r="H146" s="1" t="n">
        <v>756</v>
      </c>
      <c r="I146" s="1" t="n">
        <v>151</v>
      </c>
      <c r="J146" s="1" t="n">
        <v>106</v>
      </c>
      <c r="K146" s="1" t="n">
        <v>44</v>
      </c>
      <c r="L146" s="1" t="n">
        <v>0</v>
      </c>
      <c r="M146" s="1" t="n">
        <v>44</v>
      </c>
      <c r="N146" s="1" t="n">
        <v>0</v>
      </c>
      <c r="O146" s="1" t="n">
        <v>2</v>
      </c>
      <c r="P146" s="1" t="n">
        <v>7350</v>
      </c>
      <c r="Q146" s="1" t="n">
        <v>90</v>
      </c>
      <c r="R146" s="1" t="n">
        <v>400</v>
      </c>
      <c r="S146" s="1" t="n">
        <v>385</v>
      </c>
      <c r="T146" s="1" t="n">
        <v>14050</v>
      </c>
      <c r="U146" s="1" t="n">
        <v>32689</v>
      </c>
      <c r="V146" s="1" t="n">
        <v>0</v>
      </c>
      <c r="W146" s="1" t="n">
        <v>0.19973545</v>
      </c>
      <c r="X146" s="1" t="n">
        <v>0.701986755</v>
      </c>
      <c r="Y146" s="1" t="n">
        <v>0.41509434</v>
      </c>
      <c r="Z146" s="1" t="n">
        <v>785</v>
      </c>
      <c r="AA146" s="1" t="n">
        <v>0.50955414</v>
      </c>
      <c r="AB146" s="1" t="n">
        <v>36.493506494</v>
      </c>
      <c r="AC146" s="1" t="n">
        <v>327360</v>
      </c>
    </row>
    <row r="147">
      <c r="A147" s="1" t="inlineStr">
        <is>
          <t>2027BUD_V1</t>
        </is>
      </c>
      <c r="B147" s="1" t="inlineStr">
        <is>
          <t>12</t>
        </is>
      </c>
      <c r="C147" s="1" t="inlineStr">
        <is>
          <t>ISCOM_LIL</t>
        </is>
      </c>
      <c r="D147" s="1" t="inlineStr">
        <is>
          <t>MAS_COM</t>
        </is>
      </c>
      <c r="E147" s="1" t="inlineStr">
        <is>
          <t>M2</t>
        </is>
      </c>
      <c r="F147" s="1" t="inlineStr">
        <is>
          <t>ALT</t>
        </is>
      </c>
      <c r="G147" s="1" t="inlineStr">
        <is>
          <t>2024</t>
        </is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44</v>
      </c>
      <c r="M147" s="1" t="n">
        <v>44</v>
      </c>
      <c r="N147" s="1" t="n">
        <v>44</v>
      </c>
      <c r="O147" s="1" t="n">
        <v>2</v>
      </c>
      <c r="P147" s="1" t="n">
        <v>7350</v>
      </c>
      <c r="Q147" s="1" t="n">
        <v>90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1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323400</v>
      </c>
    </row>
    <row r="148">
      <c r="A148" s="1" t="inlineStr">
        <is>
          <t>2027BUD_V1</t>
        </is>
      </c>
      <c r="B148" s="1" t="inlineStr">
        <is>
          <t>12</t>
        </is>
      </c>
      <c r="C148" s="1" t="inlineStr">
        <is>
          <t>ISCOM_TLS</t>
        </is>
      </c>
      <c r="D148" s="1" t="inlineStr">
        <is>
          <t>BAC_COM</t>
        </is>
      </c>
      <c r="E148" s="1" t="inlineStr">
        <is>
          <t>B1</t>
        </is>
      </c>
      <c r="F148" s="1" t="inlineStr">
        <is>
          <t>INIT</t>
        </is>
      </c>
      <c r="G148" s="1" t="inlineStr">
        <is>
          <t>2024</t>
        </is>
      </c>
      <c r="H148" s="1" t="n">
        <v>344</v>
      </c>
      <c r="I148" s="1" t="n">
        <v>96</v>
      </c>
      <c r="J148" s="1" t="n">
        <v>69</v>
      </c>
      <c r="K148" s="1" t="n">
        <v>42</v>
      </c>
      <c r="L148" s="1" t="n">
        <v>0</v>
      </c>
      <c r="M148" s="1" t="n">
        <v>42</v>
      </c>
      <c r="N148" s="1" t="n">
        <v>0</v>
      </c>
      <c r="O148" s="1" t="n">
        <v>2</v>
      </c>
      <c r="P148" s="1" t="n">
        <v>7200</v>
      </c>
      <c r="Q148" s="1" t="n">
        <v>90</v>
      </c>
      <c r="R148" s="1" t="n">
        <v>186</v>
      </c>
      <c r="S148" s="1" t="n">
        <v>171</v>
      </c>
      <c r="T148" s="1" t="n">
        <v>5940</v>
      </c>
      <c r="U148" s="1" t="n">
        <v>15179</v>
      </c>
      <c r="V148" s="1" t="n">
        <v>0</v>
      </c>
      <c r="W148" s="1" t="n">
        <v>0.279069767</v>
      </c>
      <c r="X148" s="1" t="n">
        <v>0.71875</v>
      </c>
      <c r="Y148" s="1" t="n">
        <v>0.608695652</v>
      </c>
      <c r="Z148" s="1" t="n">
        <v>357</v>
      </c>
      <c r="AA148" s="1" t="n">
        <v>0.521008403</v>
      </c>
      <c r="AB148" s="1" t="n">
        <v>34.736842105</v>
      </c>
      <c r="AC148" s="1" t="n">
        <v>306180</v>
      </c>
    </row>
    <row r="149">
      <c r="A149" s="1" t="inlineStr">
        <is>
          <t>2027BUD_V1</t>
        </is>
      </c>
      <c r="B149" s="1" t="inlineStr">
        <is>
          <t>12</t>
        </is>
      </c>
      <c r="C149" s="1" t="inlineStr">
        <is>
          <t>ISCOM_TLS</t>
        </is>
      </c>
      <c r="D149" s="1" t="inlineStr">
        <is>
          <t>BAC_COM</t>
        </is>
      </c>
      <c r="E149" s="1" t="inlineStr">
        <is>
          <t>B2</t>
        </is>
      </c>
      <c r="F149" s="1" t="inlineStr">
        <is>
          <t>ALT</t>
        </is>
      </c>
      <c r="G149" s="1" t="inlineStr">
        <is>
          <t>2024</t>
        </is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41</v>
      </c>
      <c r="M149" s="1" t="n">
        <v>41</v>
      </c>
      <c r="N149" s="1" t="n">
        <v>42</v>
      </c>
      <c r="O149" s="1" t="n">
        <v>2</v>
      </c>
      <c r="P149" s="1" t="n">
        <v>6720</v>
      </c>
      <c r="Q149" s="1" t="n">
        <v>90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0.976190476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275520</v>
      </c>
    </row>
    <row r="150">
      <c r="A150" s="1" t="inlineStr">
        <is>
          <t>2027BUD_V1</t>
        </is>
      </c>
      <c r="B150" s="1" t="inlineStr">
        <is>
          <t>12</t>
        </is>
      </c>
      <c r="C150" s="1" t="inlineStr">
        <is>
          <t>ISCOM_TLS</t>
        </is>
      </c>
      <c r="D150" s="1" t="inlineStr">
        <is>
          <t>BAC_COM</t>
        </is>
      </c>
      <c r="E150" s="1" t="inlineStr">
        <is>
          <t>B3</t>
        </is>
      </c>
      <c r="F150" s="1" t="inlineStr">
        <is>
          <t>ALT</t>
        </is>
      </c>
      <c r="G150" s="1" t="inlineStr">
        <is>
          <t>2024</t>
        </is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40</v>
      </c>
      <c r="M150" s="1" t="n">
        <v>40</v>
      </c>
      <c r="N150" s="1" t="n">
        <v>41</v>
      </c>
      <c r="O150" s="1" t="n">
        <v>2</v>
      </c>
      <c r="P150" s="1" t="n">
        <v>6720</v>
      </c>
      <c r="Q150" s="1" t="n">
        <v>90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0.975609756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268800</v>
      </c>
    </row>
    <row r="151">
      <c r="A151" s="1" t="inlineStr">
        <is>
          <t>2027BUD_V1</t>
        </is>
      </c>
      <c r="B151" s="1" t="inlineStr">
        <is>
          <t>12</t>
        </is>
      </c>
      <c r="C151" s="1" t="inlineStr">
        <is>
          <t>ISCOM_TLS</t>
        </is>
      </c>
      <c r="D151" s="1" t="inlineStr">
        <is>
          <t>MAS_COM</t>
        </is>
      </c>
      <c r="E151" s="1" t="inlineStr">
        <is>
          <t>M1</t>
        </is>
      </c>
      <c r="F151" s="1" t="inlineStr">
        <is>
          <t>ALT</t>
        </is>
      </c>
      <c r="G151" s="1" t="inlineStr">
        <is>
          <t>2024</t>
        </is>
      </c>
      <c r="H151" s="1" t="n">
        <v>712</v>
      </c>
      <c r="I151" s="1" t="n">
        <v>142</v>
      </c>
      <c r="J151" s="1" t="n">
        <v>100</v>
      </c>
      <c r="K151" s="1" t="n">
        <v>42</v>
      </c>
      <c r="L151" s="1" t="n">
        <v>0</v>
      </c>
      <c r="M151" s="1" t="n">
        <v>42</v>
      </c>
      <c r="N151" s="1" t="n">
        <v>0</v>
      </c>
      <c r="O151" s="1" t="n">
        <v>2</v>
      </c>
      <c r="P151" s="1" t="n">
        <v>7200</v>
      </c>
      <c r="Q151" s="1" t="n">
        <v>90</v>
      </c>
      <c r="R151" s="1" t="n">
        <v>384</v>
      </c>
      <c r="S151" s="1" t="n">
        <v>355</v>
      </c>
      <c r="T151" s="1" t="n">
        <v>12311</v>
      </c>
      <c r="U151" s="1" t="n">
        <v>31458</v>
      </c>
      <c r="V151" s="1" t="n">
        <v>0</v>
      </c>
      <c r="W151" s="1" t="n">
        <v>0.199438202</v>
      </c>
      <c r="X151" s="1" t="n">
        <v>0.704225352</v>
      </c>
      <c r="Y151" s="1" t="n">
        <v>0.42</v>
      </c>
      <c r="Z151" s="1" t="n">
        <v>739</v>
      </c>
      <c r="AA151" s="1" t="n">
        <v>0.51962111</v>
      </c>
      <c r="AB151" s="1" t="n">
        <v>34.678873239</v>
      </c>
      <c r="AC151" s="1" t="n">
        <v>306180</v>
      </c>
    </row>
    <row r="152">
      <c r="A152" s="1" t="inlineStr">
        <is>
          <t>2027BUD_V1</t>
        </is>
      </c>
      <c r="B152" s="1" t="inlineStr">
        <is>
          <t>12</t>
        </is>
      </c>
      <c r="C152" s="1" t="inlineStr">
        <is>
          <t>ISCOM_TLS</t>
        </is>
      </c>
      <c r="D152" s="1" t="inlineStr">
        <is>
          <t>MAS_COM</t>
        </is>
      </c>
      <c r="E152" s="1" t="inlineStr">
        <is>
          <t>M2</t>
        </is>
      </c>
      <c r="F152" s="1" t="inlineStr">
        <is>
          <t>ALT</t>
        </is>
      </c>
      <c r="G152" s="1" t="inlineStr">
        <is>
          <t>2024</t>
        </is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41</v>
      </c>
      <c r="M152" s="1" t="n">
        <v>41</v>
      </c>
      <c r="N152" s="1" t="n">
        <v>42</v>
      </c>
      <c r="O152" s="1" t="n">
        <v>2</v>
      </c>
      <c r="P152" s="1" t="n">
        <v>7200</v>
      </c>
      <c r="Q152" s="1" t="n">
        <v>90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0.976190476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295200</v>
      </c>
    </row>
    <row r="153">
      <c r="A153" s="1" t="inlineStr">
        <is>
          <t>2027BUD_V1</t>
        </is>
      </c>
      <c r="B153" s="1" t="inlineStr">
        <is>
          <t>12</t>
        </is>
      </c>
      <c r="C153" s="1" t="inlineStr">
        <is>
          <t>IPAC_NAN</t>
        </is>
      </c>
      <c r="D153" s="1" t="inlineStr">
        <is>
          <t>BAC_CCE</t>
        </is>
      </c>
      <c r="E153" s="1" t="inlineStr">
        <is>
          <t>B1</t>
        </is>
      </c>
      <c r="F153" s="1" t="inlineStr">
        <is>
          <t>ALT</t>
        </is>
      </c>
      <c r="G153" s="1" t="inlineStr">
        <is>
          <t>2024</t>
        </is>
      </c>
      <c r="H153" s="1" t="n">
        <v>756</v>
      </c>
      <c r="I153" s="1" t="n">
        <v>151</v>
      </c>
      <c r="J153" s="1" t="n">
        <v>106</v>
      </c>
      <c r="K153" s="1" t="n">
        <v>44</v>
      </c>
      <c r="L153" s="1" t="n">
        <v>0</v>
      </c>
      <c r="M153" s="1" t="n">
        <v>44</v>
      </c>
      <c r="N153" s="1" t="n">
        <v>0</v>
      </c>
      <c r="O153" s="1" t="n">
        <v>2</v>
      </c>
      <c r="P153" s="1" t="n">
        <v>7000</v>
      </c>
      <c r="Q153" s="1" t="n">
        <v>90</v>
      </c>
      <c r="R153" s="1" t="n">
        <v>258</v>
      </c>
      <c r="S153" s="1" t="n">
        <v>489</v>
      </c>
      <c r="T153" s="1" t="n">
        <v>17983</v>
      </c>
      <c r="U153" s="1" t="n">
        <v>15937</v>
      </c>
      <c r="V153" s="1" t="n">
        <v>0</v>
      </c>
      <c r="W153" s="1" t="n">
        <v>0.19973545</v>
      </c>
      <c r="X153" s="1" t="n">
        <v>0.701986755</v>
      </c>
      <c r="Y153" s="1" t="n">
        <v>0.41509434</v>
      </c>
      <c r="Z153" s="1" t="n">
        <v>747</v>
      </c>
      <c r="AA153" s="1" t="n">
        <v>0.345381526</v>
      </c>
      <c r="AB153" s="1" t="n">
        <v>36.775051125</v>
      </c>
      <c r="AC153" s="1" t="n">
        <v>311960</v>
      </c>
    </row>
    <row r="154">
      <c r="A154" s="1" t="inlineStr">
        <is>
          <t>2027BUD_V1</t>
        </is>
      </c>
      <c r="B154" s="1" t="inlineStr">
        <is>
          <t>12</t>
        </is>
      </c>
      <c r="C154" s="1" t="inlineStr">
        <is>
          <t>IPAC_NAN</t>
        </is>
      </c>
      <c r="D154" s="1" t="inlineStr">
        <is>
          <t>BAC_CCE</t>
        </is>
      </c>
      <c r="E154" s="1" t="inlineStr">
        <is>
          <t>B2</t>
        </is>
      </c>
      <c r="F154" s="1" t="inlineStr">
        <is>
          <t>ALT</t>
        </is>
      </c>
      <c r="G154" s="1" t="inlineStr">
        <is>
          <t>2024</t>
        </is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43</v>
      </c>
      <c r="M154" s="1" t="n">
        <v>43</v>
      </c>
      <c r="N154" s="1" t="n">
        <v>44</v>
      </c>
      <c r="O154" s="1" t="n">
        <v>2</v>
      </c>
      <c r="P154" s="1" t="n">
        <v>7000</v>
      </c>
      <c r="Q154" s="1" t="n">
        <v>90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0.977272727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301000</v>
      </c>
    </row>
    <row r="155">
      <c r="A155" s="1" t="inlineStr">
        <is>
          <t>2027BUD_V1</t>
        </is>
      </c>
      <c r="B155" s="1" t="inlineStr">
        <is>
          <t>12</t>
        </is>
      </c>
      <c r="C155" s="1" t="inlineStr">
        <is>
          <t>IPAC_NAN</t>
        </is>
      </c>
      <c r="D155" s="1" t="inlineStr">
        <is>
          <t>BAC_CCE</t>
        </is>
      </c>
      <c r="E155" s="1" t="inlineStr">
        <is>
          <t>B3</t>
        </is>
      </c>
      <c r="F155" s="1" t="inlineStr">
        <is>
          <t>ALT</t>
        </is>
      </c>
      <c r="G155" s="1" t="inlineStr">
        <is>
          <t>2024</t>
        </is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42</v>
      </c>
      <c r="M155" s="1" t="n">
        <v>42</v>
      </c>
      <c r="N155" s="1" t="n">
        <v>43</v>
      </c>
      <c r="O155" s="1" t="n">
        <v>2</v>
      </c>
      <c r="P155" s="1" t="n">
        <v>7000</v>
      </c>
      <c r="Q155" s="1" t="n">
        <v>90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0.976744186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294000</v>
      </c>
    </row>
    <row r="156">
      <c r="A156" s="1" t="inlineStr">
        <is>
          <t>2027BUD_V1</t>
        </is>
      </c>
      <c r="B156" s="1" t="inlineStr">
        <is>
          <t>12</t>
        </is>
      </c>
      <c r="C156" s="1" t="inlineStr">
        <is>
          <t>IPAC_REN</t>
        </is>
      </c>
      <c r="D156" s="1" t="inlineStr">
        <is>
          <t>BAC_CCE</t>
        </is>
      </c>
      <c r="E156" s="1" t="inlineStr">
        <is>
          <t>B1</t>
        </is>
      </c>
      <c r="F156" s="1" t="inlineStr">
        <is>
          <t>ALT</t>
        </is>
      </c>
      <c r="G156" s="1" t="inlineStr">
        <is>
          <t>2024</t>
        </is>
      </c>
      <c r="H156" s="1" t="n">
        <v>605</v>
      </c>
      <c r="I156" s="1" t="n">
        <v>121</v>
      </c>
      <c r="J156" s="1" t="n">
        <v>85</v>
      </c>
      <c r="K156" s="1" t="n">
        <v>36</v>
      </c>
      <c r="L156" s="1" t="n">
        <v>0</v>
      </c>
      <c r="M156" s="1" t="n">
        <v>36</v>
      </c>
      <c r="N156" s="1" t="n">
        <v>0</v>
      </c>
      <c r="O156" s="1" t="n">
        <v>2</v>
      </c>
      <c r="P156" s="1" t="n">
        <v>6650</v>
      </c>
      <c r="Q156" s="1" t="n">
        <v>90</v>
      </c>
      <c r="R156" s="1" t="n">
        <v>223</v>
      </c>
      <c r="S156" s="1" t="n">
        <v>371</v>
      </c>
      <c r="T156" s="1" t="n">
        <v>12341</v>
      </c>
      <c r="U156" s="1" t="n">
        <v>14022</v>
      </c>
      <c r="V156" s="1" t="n">
        <v>0</v>
      </c>
      <c r="W156" s="1" t="n">
        <v>0.2</v>
      </c>
      <c r="X156" s="1" t="n">
        <v>0.702479339</v>
      </c>
      <c r="Y156" s="1" t="n">
        <v>0.423529412</v>
      </c>
      <c r="Z156" s="1" t="n">
        <v>594</v>
      </c>
      <c r="AA156" s="1" t="n">
        <v>0.375420875</v>
      </c>
      <c r="AB156" s="1" t="n">
        <v>33.264150943</v>
      </c>
      <c r="AC156" s="1" t="n">
        <v>242640</v>
      </c>
    </row>
    <row r="157">
      <c r="A157" s="1" t="inlineStr">
        <is>
          <t>2027BUD_V1</t>
        </is>
      </c>
      <c r="B157" s="1" t="inlineStr">
        <is>
          <t>12</t>
        </is>
      </c>
      <c r="C157" s="1" t="inlineStr">
        <is>
          <t>IPAC_REN</t>
        </is>
      </c>
      <c r="D157" s="1" t="inlineStr">
        <is>
          <t>BAC_CCE</t>
        </is>
      </c>
      <c r="E157" s="1" t="inlineStr">
        <is>
          <t>B2</t>
        </is>
      </c>
      <c r="F157" s="1" t="inlineStr">
        <is>
          <t>ALT</t>
        </is>
      </c>
      <c r="G157" s="1" t="inlineStr">
        <is>
          <t>2024</t>
        </is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35</v>
      </c>
      <c r="M157" s="1" t="n">
        <v>35</v>
      </c>
      <c r="N157" s="1" t="n">
        <v>36</v>
      </c>
      <c r="O157" s="1" t="n">
        <v>2</v>
      </c>
      <c r="P157" s="1" t="n">
        <v>6650</v>
      </c>
      <c r="Q157" s="1" t="n">
        <v>90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0.972222222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232750</v>
      </c>
    </row>
    <row r="158">
      <c r="A158" s="1" t="inlineStr">
        <is>
          <t>2027BUD_V1</t>
        </is>
      </c>
      <c r="B158" s="1" t="inlineStr">
        <is>
          <t>12</t>
        </is>
      </c>
      <c r="C158" s="1" t="inlineStr">
        <is>
          <t>IPAC_REN</t>
        </is>
      </c>
      <c r="D158" s="1" t="inlineStr">
        <is>
          <t>BAC_CCE</t>
        </is>
      </c>
      <c r="E158" s="1" t="inlineStr">
        <is>
          <t>B3</t>
        </is>
      </c>
      <c r="F158" s="1" t="inlineStr">
        <is>
          <t>ALT</t>
        </is>
      </c>
      <c r="G158" s="1" t="inlineStr">
        <is>
          <t>2024</t>
        </is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34</v>
      </c>
      <c r="M158" s="1" t="n">
        <v>34</v>
      </c>
      <c r="N158" s="1" t="n">
        <v>35</v>
      </c>
      <c r="O158" s="1" t="n">
        <v>2</v>
      </c>
      <c r="P158" s="1" t="n">
        <v>6650</v>
      </c>
      <c r="Q158" s="1" t="n">
        <v>90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0.971428571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226100</v>
      </c>
    </row>
    <row r="159">
      <c r="A159" s="1" t="inlineStr">
        <is>
          <t>2027BUD_V1</t>
        </is>
      </c>
      <c r="B159" s="1" t="inlineStr">
        <is>
          <t>12</t>
        </is>
      </c>
      <c r="C159" s="1" t="inlineStr">
        <is>
          <t>IPAC_MTP</t>
        </is>
      </c>
      <c r="D159" s="1" t="inlineStr">
        <is>
          <t>BAC_CCE</t>
        </is>
      </c>
      <c r="E159" s="1" t="inlineStr">
        <is>
          <t>B1</t>
        </is>
      </c>
      <c r="F159" s="1" t="inlineStr">
        <is>
          <t>ALT</t>
        </is>
      </c>
      <c r="G159" s="1" t="inlineStr">
        <is>
          <t>2024</t>
        </is>
      </c>
      <c r="H159" s="1" t="n">
        <v>605</v>
      </c>
      <c r="I159" s="1" t="n">
        <v>121</v>
      </c>
      <c r="J159" s="1" t="n">
        <v>85</v>
      </c>
      <c r="K159" s="1" t="n">
        <v>36</v>
      </c>
      <c r="L159" s="1" t="n">
        <v>0</v>
      </c>
      <c r="M159" s="1" t="n">
        <v>36</v>
      </c>
      <c r="N159" s="1" t="n">
        <v>0</v>
      </c>
      <c r="O159" s="1" t="n">
        <v>2</v>
      </c>
      <c r="P159" s="1" t="n">
        <v>6650</v>
      </c>
      <c r="Q159" s="1" t="n">
        <v>90</v>
      </c>
      <c r="R159" s="1" t="n">
        <v>217</v>
      </c>
      <c r="S159" s="1" t="n">
        <v>377</v>
      </c>
      <c r="T159" s="1" t="n">
        <v>12543</v>
      </c>
      <c r="U159" s="1" t="n">
        <v>13581</v>
      </c>
      <c r="V159" s="1" t="n">
        <v>0</v>
      </c>
      <c r="W159" s="1" t="n">
        <v>0.2</v>
      </c>
      <c r="X159" s="1" t="n">
        <v>0.702479339</v>
      </c>
      <c r="Y159" s="1" t="n">
        <v>0.423529412</v>
      </c>
      <c r="Z159" s="1" t="n">
        <v>594</v>
      </c>
      <c r="AA159" s="1" t="n">
        <v>0.365319865</v>
      </c>
      <c r="AB159" s="1" t="n">
        <v>33.270557029</v>
      </c>
      <c r="AC159" s="1" t="n">
        <v>242640</v>
      </c>
    </row>
    <row r="160">
      <c r="A160" s="1" t="inlineStr">
        <is>
          <t>2027BUD_V1</t>
        </is>
      </c>
      <c r="B160" s="1" t="inlineStr">
        <is>
          <t>12</t>
        </is>
      </c>
      <c r="C160" s="1" t="inlineStr">
        <is>
          <t>IPAC_MTP</t>
        </is>
      </c>
      <c r="D160" s="1" t="inlineStr">
        <is>
          <t>BAC_CCE</t>
        </is>
      </c>
      <c r="E160" s="1" t="inlineStr">
        <is>
          <t>B2</t>
        </is>
      </c>
      <c r="F160" s="1" t="inlineStr">
        <is>
          <t>ALT</t>
        </is>
      </c>
      <c r="G160" s="1" t="inlineStr">
        <is>
          <t>2024</t>
        </is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35</v>
      </c>
      <c r="M160" s="1" t="n">
        <v>35</v>
      </c>
      <c r="N160" s="1" t="n">
        <v>36</v>
      </c>
      <c r="O160" s="1" t="n">
        <v>2</v>
      </c>
      <c r="P160" s="1" t="n">
        <v>6650</v>
      </c>
      <c r="Q160" s="1" t="n">
        <v>90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0.972222222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232750</v>
      </c>
    </row>
    <row r="161">
      <c r="A161" s="1" t="inlineStr">
        <is>
          <t>2027BUD_V1</t>
        </is>
      </c>
      <c r="B161" s="1" t="inlineStr">
        <is>
          <t>12</t>
        </is>
      </c>
      <c r="C161" s="1" t="inlineStr">
        <is>
          <t>IPAC_MTP</t>
        </is>
      </c>
      <c r="D161" s="1" t="inlineStr">
        <is>
          <t>BAC_CCE</t>
        </is>
      </c>
      <c r="E161" s="1" t="inlineStr">
        <is>
          <t>B3</t>
        </is>
      </c>
      <c r="F161" s="1" t="inlineStr">
        <is>
          <t>ALT</t>
        </is>
      </c>
      <c r="G161" s="1" t="inlineStr">
        <is>
          <t>2024</t>
        </is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34</v>
      </c>
      <c r="M161" s="1" t="n">
        <v>34</v>
      </c>
      <c r="N161" s="1" t="n">
        <v>35</v>
      </c>
      <c r="O161" s="1" t="n">
        <v>2</v>
      </c>
      <c r="P161" s="1" t="n">
        <v>6650</v>
      </c>
      <c r="Q161" s="1" t="n">
        <v>90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0.971428571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226100</v>
      </c>
    </row>
    <row r="162">
      <c r="A162" s="1" t="inlineStr">
        <is>
          <t>2027BUD_V1</t>
        </is>
      </c>
      <c r="B162" s="1" t="inlineStr">
        <is>
          <t>12</t>
        </is>
      </c>
      <c r="C162" s="1" t="inlineStr">
        <is>
          <t>PIGIER_LYO</t>
        </is>
      </c>
      <c r="D162" s="1" t="inlineStr">
        <is>
          <t>BTS_GES</t>
        </is>
      </c>
      <c r="E162" s="1" t="inlineStr">
        <is>
          <t>BTS1</t>
        </is>
      </c>
      <c r="F162" s="1" t="inlineStr">
        <is>
          <t>ALT</t>
        </is>
      </c>
      <c r="G162" s="1" t="inlineStr">
        <is>
          <t>2024</t>
        </is>
      </c>
      <c r="H162" s="1" t="n">
        <v>699</v>
      </c>
      <c r="I162" s="1" t="n">
        <v>140</v>
      </c>
      <c r="J162" s="1" t="n">
        <v>98</v>
      </c>
      <c r="K162" s="1" t="n">
        <v>41</v>
      </c>
      <c r="L162" s="1" t="n">
        <v>0</v>
      </c>
      <c r="M162" s="1" t="n">
        <v>41</v>
      </c>
      <c r="N162" s="1" t="n">
        <v>0</v>
      </c>
      <c r="O162" s="1" t="n">
        <v>2</v>
      </c>
      <c r="P162" s="1" t="n">
        <v>6300</v>
      </c>
      <c r="Q162" s="1" t="n">
        <v>90</v>
      </c>
      <c r="R162" s="1" t="n">
        <v>341</v>
      </c>
      <c r="S162" s="1" t="n">
        <v>382</v>
      </c>
      <c r="T162" s="1" t="n">
        <v>15129</v>
      </c>
      <c r="U162" s="1" t="n">
        <v>26720</v>
      </c>
      <c r="V162" s="1" t="n">
        <v>0</v>
      </c>
      <c r="W162" s="1" t="n">
        <v>0.200286123</v>
      </c>
      <c r="X162" s="1" t="n">
        <v>0.7</v>
      </c>
      <c r="Y162" s="1" t="n">
        <v>0.418367347</v>
      </c>
      <c r="Z162" s="1" t="n">
        <v>723</v>
      </c>
      <c r="AA162" s="1" t="n">
        <v>0.47164592</v>
      </c>
      <c r="AB162" s="1" t="n">
        <v>39.604712042</v>
      </c>
      <c r="AC162" s="1" t="n">
        <v>261990</v>
      </c>
    </row>
    <row r="163">
      <c r="A163" s="1" t="inlineStr">
        <is>
          <t>2027BUD_V1</t>
        </is>
      </c>
      <c r="B163" s="1" t="inlineStr">
        <is>
          <t>12</t>
        </is>
      </c>
      <c r="C163" s="1" t="inlineStr">
        <is>
          <t>PIGIER_LYO</t>
        </is>
      </c>
      <c r="D163" s="1" t="inlineStr">
        <is>
          <t>BTS_GES</t>
        </is>
      </c>
      <c r="E163" s="1" t="inlineStr">
        <is>
          <t>BTS2</t>
        </is>
      </c>
      <c r="F163" s="1" t="inlineStr">
        <is>
          <t>ALT</t>
        </is>
      </c>
      <c r="G163" s="1" t="inlineStr">
        <is>
          <t>2024</t>
        </is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40</v>
      </c>
      <c r="M163" s="1" t="n">
        <v>40</v>
      </c>
      <c r="N163" s="1" t="n">
        <v>41</v>
      </c>
      <c r="O163" s="1" t="n">
        <v>2</v>
      </c>
      <c r="P163" s="1" t="n">
        <v>6300</v>
      </c>
      <c r="Q163" s="1" t="n">
        <v>90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0.975609756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252000</v>
      </c>
    </row>
    <row r="164">
      <c r="A164" s="1" t="inlineStr">
        <is>
          <t>2027BUD_V1</t>
        </is>
      </c>
      <c r="B164" s="1" t="inlineStr">
        <is>
          <t>12</t>
        </is>
      </c>
      <c r="C164" s="1" t="inlineStr">
        <is>
          <t>PIGIER_LYO</t>
        </is>
      </c>
      <c r="D164" s="1" t="inlineStr">
        <is>
          <t>BAC_RH</t>
        </is>
      </c>
      <c r="E164" s="1" t="inlineStr">
        <is>
          <t>B1</t>
        </is>
      </c>
      <c r="F164" s="1" t="inlineStr">
        <is>
          <t>ALT</t>
        </is>
      </c>
      <c r="G164" s="1" t="inlineStr">
        <is>
          <t>2024</t>
        </is>
      </c>
      <c r="H164" s="1" t="n">
        <v>699</v>
      </c>
      <c r="I164" s="1" t="n">
        <v>140</v>
      </c>
      <c r="J164" s="1" t="n">
        <v>98</v>
      </c>
      <c r="K164" s="1" t="n">
        <v>41</v>
      </c>
      <c r="L164" s="1" t="n">
        <v>0</v>
      </c>
      <c r="M164" s="1" t="n">
        <v>41</v>
      </c>
      <c r="N164" s="1" t="n">
        <v>0</v>
      </c>
      <c r="O164" s="1" t="n">
        <v>2</v>
      </c>
      <c r="P164" s="1" t="n">
        <v>7350</v>
      </c>
      <c r="Q164" s="1" t="n">
        <v>90</v>
      </c>
      <c r="R164" s="1" t="n">
        <v>341</v>
      </c>
      <c r="S164" s="1" t="n">
        <v>383</v>
      </c>
      <c r="T164" s="1" t="n">
        <v>15129</v>
      </c>
      <c r="U164" s="1" t="n">
        <v>26719</v>
      </c>
      <c r="V164" s="1" t="n">
        <v>0</v>
      </c>
      <c r="W164" s="1" t="n">
        <v>0.200286123</v>
      </c>
      <c r="X164" s="1" t="n">
        <v>0.7</v>
      </c>
      <c r="Y164" s="1" t="n">
        <v>0.418367347</v>
      </c>
      <c r="Z164" s="1" t="n">
        <v>724</v>
      </c>
      <c r="AA164" s="1" t="n">
        <v>0.470994475</v>
      </c>
      <c r="AB164" s="1" t="n">
        <v>39.501305483</v>
      </c>
      <c r="AC164" s="1" t="n">
        <v>305040</v>
      </c>
    </row>
    <row r="165">
      <c r="A165" s="1" t="inlineStr">
        <is>
          <t>2027BUD_V1</t>
        </is>
      </c>
      <c r="B165" s="1" t="inlineStr">
        <is>
          <t>12</t>
        </is>
      </c>
      <c r="C165" s="1" t="inlineStr">
        <is>
          <t>PIGIER_LYO</t>
        </is>
      </c>
      <c r="D165" s="1" t="inlineStr">
        <is>
          <t>BAC_RH</t>
        </is>
      </c>
      <c r="E165" s="1" t="inlineStr">
        <is>
          <t>B2</t>
        </is>
      </c>
      <c r="F165" s="1" t="inlineStr">
        <is>
          <t>ALT</t>
        </is>
      </c>
      <c r="G165" s="1" t="inlineStr">
        <is>
          <t>2025</t>
        </is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42</v>
      </c>
      <c r="M165" s="1" t="n">
        <v>42</v>
      </c>
      <c r="N165" s="1" t="n">
        <v>43</v>
      </c>
      <c r="O165" s="1" t="n">
        <v>2</v>
      </c>
      <c r="P165" s="1" t="n">
        <v>7350</v>
      </c>
      <c r="Q165" s="1" t="n">
        <v>90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0.976744186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308700</v>
      </c>
    </row>
    <row r="166">
      <c r="A166" s="1" t="inlineStr">
        <is>
          <t>2027BUD_V1</t>
        </is>
      </c>
      <c r="B166" s="1" t="inlineStr">
        <is>
          <t>12</t>
        </is>
      </c>
      <c r="C166" s="1" t="inlineStr">
        <is>
          <t>PIGIER_BOR</t>
        </is>
      </c>
      <c r="D166" s="1" t="inlineStr">
        <is>
          <t>BTS_GES</t>
        </is>
      </c>
      <c r="E166" s="1" t="inlineStr">
        <is>
          <t>BTS1</t>
        </is>
      </c>
      <c r="F166" s="1" t="inlineStr">
        <is>
          <t>ALT</t>
        </is>
      </c>
      <c r="G166" s="1" t="inlineStr">
        <is>
          <t>2024</t>
        </is>
      </c>
      <c r="H166" s="1" t="n">
        <v>547</v>
      </c>
      <c r="I166" s="1" t="n">
        <v>109</v>
      </c>
      <c r="J166" s="1" t="n">
        <v>77</v>
      </c>
      <c r="K166" s="1" t="n">
        <v>32</v>
      </c>
      <c r="L166" s="1" t="n">
        <v>0</v>
      </c>
      <c r="M166" s="1" t="n">
        <v>32</v>
      </c>
      <c r="N166" s="1" t="n">
        <v>0</v>
      </c>
      <c r="O166" s="1" t="n">
        <v>2</v>
      </c>
      <c r="P166" s="1" t="n">
        <v>5820</v>
      </c>
      <c r="Q166" s="1" t="n">
        <v>90</v>
      </c>
      <c r="R166" s="1" t="n">
        <v>302</v>
      </c>
      <c r="S166" s="1" t="n">
        <v>264</v>
      </c>
      <c r="T166" s="1" t="n">
        <v>9078</v>
      </c>
      <c r="U166" s="1" t="n">
        <v>23880</v>
      </c>
      <c r="V166" s="1" t="n">
        <v>0</v>
      </c>
      <c r="W166" s="1" t="n">
        <v>0.199268739</v>
      </c>
      <c r="X166" s="1" t="n">
        <v>0.706422018</v>
      </c>
      <c r="Y166" s="1" t="n">
        <v>0.415584416</v>
      </c>
      <c r="Z166" s="1" t="n">
        <v>566</v>
      </c>
      <c r="AA166" s="1" t="n">
        <v>0.533568905</v>
      </c>
      <c r="AB166" s="1" t="n">
        <v>34.386363636</v>
      </c>
      <c r="AC166" s="1" t="n">
        <v>189120</v>
      </c>
    </row>
    <row r="167">
      <c r="A167" s="1" t="inlineStr">
        <is>
          <t>2027BUD_V1</t>
        </is>
      </c>
      <c r="B167" s="1" t="inlineStr">
        <is>
          <t>12</t>
        </is>
      </c>
      <c r="C167" s="1" t="inlineStr">
        <is>
          <t>PIGIER_BOR</t>
        </is>
      </c>
      <c r="D167" s="1" t="inlineStr">
        <is>
          <t>BTS_GES</t>
        </is>
      </c>
      <c r="E167" s="1" t="inlineStr">
        <is>
          <t>BTS2</t>
        </is>
      </c>
      <c r="F167" s="1" t="inlineStr">
        <is>
          <t>ALT</t>
        </is>
      </c>
      <c r="G167" s="1" t="inlineStr">
        <is>
          <t>2024</t>
        </is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31</v>
      </c>
      <c r="M167" s="1" t="n">
        <v>31</v>
      </c>
      <c r="N167" s="1" t="n">
        <v>32</v>
      </c>
      <c r="O167" s="1" t="n">
        <v>2</v>
      </c>
      <c r="P167" s="1" t="n">
        <v>5820</v>
      </c>
      <c r="Q167" s="1" t="n">
        <v>90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0.96875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180420</v>
      </c>
    </row>
    <row r="168">
      <c r="A168" s="1" t="inlineStr">
        <is>
          <t>2027BUD_V1</t>
        </is>
      </c>
      <c r="B168" s="1" t="inlineStr">
        <is>
          <t>12</t>
        </is>
      </c>
      <c r="C168" s="1" t="inlineStr">
        <is>
          <t>PIGIER_BOR</t>
        </is>
      </c>
      <c r="D168" s="1" t="inlineStr">
        <is>
          <t>BAC_RH</t>
        </is>
      </c>
      <c r="E168" s="1" t="inlineStr">
        <is>
          <t>B1</t>
        </is>
      </c>
      <c r="F168" s="1" t="inlineStr">
        <is>
          <t>ALT</t>
        </is>
      </c>
      <c r="G168" s="1" t="inlineStr">
        <is>
          <t>2024</t>
        </is>
      </c>
      <c r="H168" s="1" t="n">
        <v>547</v>
      </c>
      <c r="I168" s="1" t="n">
        <v>109</v>
      </c>
      <c r="J168" s="1" t="n">
        <v>77</v>
      </c>
      <c r="K168" s="1" t="n">
        <v>32</v>
      </c>
      <c r="L168" s="1" t="n">
        <v>0</v>
      </c>
      <c r="M168" s="1" t="n">
        <v>32</v>
      </c>
      <c r="N168" s="1" t="n">
        <v>0</v>
      </c>
      <c r="O168" s="1" t="n">
        <v>2</v>
      </c>
      <c r="P168" s="1" t="n">
        <v>6790</v>
      </c>
      <c r="Q168" s="1" t="n">
        <v>90</v>
      </c>
      <c r="R168" s="1" t="n">
        <v>301</v>
      </c>
      <c r="S168" s="1" t="n">
        <v>264</v>
      </c>
      <c r="T168" s="1" t="n">
        <v>9077</v>
      </c>
      <c r="U168" s="1" t="n">
        <v>23880</v>
      </c>
      <c r="V168" s="1" t="n">
        <v>0</v>
      </c>
      <c r="W168" s="1" t="n">
        <v>0.199268739</v>
      </c>
      <c r="X168" s="1" t="n">
        <v>0.706422018</v>
      </c>
      <c r="Y168" s="1" t="n">
        <v>0.415584416</v>
      </c>
      <c r="Z168" s="1" t="n">
        <v>565</v>
      </c>
      <c r="AA168" s="1" t="n">
        <v>0.532743363</v>
      </c>
      <c r="AB168" s="1" t="n">
        <v>34.382575758</v>
      </c>
      <c r="AC168" s="1" t="n">
        <v>220160</v>
      </c>
    </row>
    <row r="169">
      <c r="A169" s="1" t="inlineStr">
        <is>
          <t>2027BUD_V1</t>
        </is>
      </c>
      <c r="B169" s="1" t="inlineStr">
        <is>
          <t>12</t>
        </is>
      </c>
      <c r="C169" s="1" t="inlineStr">
        <is>
          <t>PIGIER_LYO</t>
        </is>
      </c>
      <c r="D169" s="1" t="inlineStr">
        <is>
          <t>BAC_RH</t>
        </is>
      </c>
      <c r="E169" s="1" t="inlineStr">
        <is>
          <t>B2</t>
        </is>
      </c>
      <c r="F169" s="1" t="inlineStr">
        <is>
          <t>ALT</t>
        </is>
      </c>
      <c r="G169" s="1" t="inlineStr">
        <is>
          <t>2026</t>
        </is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45</v>
      </c>
      <c r="M169" s="1" t="n">
        <v>45</v>
      </c>
      <c r="N169" s="1" t="n">
        <v>46</v>
      </c>
      <c r="O169" s="1" t="n">
        <v>2</v>
      </c>
      <c r="P169" s="1" t="n">
        <v>7350</v>
      </c>
      <c r="Q169" s="1" t="n">
        <v>90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0.9782608699999999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330750</v>
      </c>
    </row>
    <row r="170">
      <c r="A170" s="1" t="inlineStr">
        <is>
          <t>2027BUD_V1</t>
        </is>
      </c>
      <c r="B170" s="1" t="inlineStr">
        <is>
          <t>12</t>
        </is>
      </c>
      <c r="C170" s="1" t="inlineStr">
        <is>
          <t>TUNON_PAR</t>
        </is>
      </c>
      <c r="D170" s="1" t="inlineStr">
        <is>
          <t>BAC_TOU</t>
        </is>
      </c>
      <c r="E170" s="1" t="inlineStr">
        <is>
          <t>B1</t>
        </is>
      </c>
      <c r="F170" s="1" t="inlineStr">
        <is>
          <t>ALT</t>
        </is>
      </c>
      <c r="G170" s="1" t="inlineStr">
        <is>
          <t>2024</t>
        </is>
      </c>
      <c r="H170" s="1" t="n">
        <v>712</v>
      </c>
      <c r="I170" s="1" t="n">
        <v>142</v>
      </c>
      <c r="J170" s="1" t="n">
        <v>100</v>
      </c>
      <c r="K170" s="1" t="n">
        <v>42</v>
      </c>
      <c r="L170" s="1" t="n">
        <v>0</v>
      </c>
      <c r="M170" s="1" t="n">
        <v>42</v>
      </c>
      <c r="N170" s="1" t="n">
        <v>0</v>
      </c>
      <c r="O170" s="1" t="n">
        <v>2</v>
      </c>
      <c r="P170" s="1" t="n">
        <v>7840</v>
      </c>
      <c r="Q170" s="1" t="n">
        <v>90</v>
      </c>
      <c r="R170" s="1" t="n">
        <v>231</v>
      </c>
      <c r="S170" s="1" t="n">
        <v>517</v>
      </c>
      <c r="T170" s="1" t="n">
        <v>24992</v>
      </c>
      <c r="U170" s="1" t="n">
        <v>19081</v>
      </c>
      <c r="V170" s="1" t="n">
        <v>0</v>
      </c>
      <c r="W170" s="1" t="n">
        <v>0.199438202</v>
      </c>
      <c r="X170" s="1" t="n">
        <v>0.704225352</v>
      </c>
      <c r="Y170" s="1" t="n">
        <v>0.42</v>
      </c>
      <c r="Z170" s="1" t="n">
        <v>748</v>
      </c>
      <c r="AA170" s="1" t="n">
        <v>0.308823529</v>
      </c>
      <c r="AB170" s="1" t="n">
        <v>48.340425532</v>
      </c>
      <c r="AC170" s="1" t="n">
        <v>333060</v>
      </c>
    </row>
    <row r="171">
      <c r="A171" s="1" t="inlineStr">
        <is>
          <t>2027BUD_V1</t>
        </is>
      </c>
      <c r="B171" s="1" t="inlineStr">
        <is>
          <t>12</t>
        </is>
      </c>
      <c r="C171" s="1" t="inlineStr">
        <is>
          <t>TUNON_PAR</t>
        </is>
      </c>
      <c r="D171" s="1" t="inlineStr">
        <is>
          <t>BAC_TOU</t>
        </is>
      </c>
      <c r="E171" s="1" t="inlineStr">
        <is>
          <t>B2</t>
        </is>
      </c>
      <c r="F171" s="1" t="inlineStr">
        <is>
          <t>ALT</t>
        </is>
      </c>
      <c r="G171" s="1" t="inlineStr">
        <is>
          <t>2024</t>
        </is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41</v>
      </c>
      <c r="M171" s="1" t="n">
        <v>41</v>
      </c>
      <c r="N171" s="1" t="n">
        <v>42</v>
      </c>
      <c r="O171" s="1" t="n">
        <v>2</v>
      </c>
      <c r="P171" s="1" t="n">
        <v>7840</v>
      </c>
      <c r="Q171" s="1" t="n">
        <v>90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0.976190476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321440</v>
      </c>
    </row>
    <row r="172">
      <c r="A172" s="1" t="inlineStr">
        <is>
          <t>2027BUD_V1</t>
        </is>
      </c>
      <c r="B172" s="1" t="inlineStr">
        <is>
          <t>12</t>
        </is>
      </c>
      <c r="C172" s="1" t="inlineStr">
        <is>
          <t>TUNON_PAR</t>
        </is>
      </c>
      <c r="D172" s="1" t="inlineStr">
        <is>
          <t>BAC_TOU</t>
        </is>
      </c>
      <c r="E172" s="1" t="inlineStr">
        <is>
          <t>B3</t>
        </is>
      </c>
      <c r="F172" s="1" t="inlineStr">
        <is>
          <t>ALT</t>
        </is>
      </c>
      <c r="G172" s="1" t="inlineStr">
        <is>
          <t>2024</t>
        </is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40</v>
      </c>
      <c r="M172" s="1" t="n">
        <v>40</v>
      </c>
      <c r="N172" s="1" t="n">
        <v>41</v>
      </c>
      <c r="O172" s="1" t="n">
        <v>2</v>
      </c>
      <c r="P172" s="1" t="n">
        <v>7840</v>
      </c>
      <c r="Q172" s="1" t="n">
        <v>90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0.975609756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313600</v>
      </c>
    </row>
    <row r="173">
      <c r="A173" s="1" t="inlineStr">
        <is>
          <t>2027BUD_V1</t>
        </is>
      </c>
      <c r="B173" s="1" t="inlineStr">
        <is>
          <t>12</t>
        </is>
      </c>
      <c r="C173" s="1" t="inlineStr">
        <is>
          <t>TUNON_LYO</t>
        </is>
      </c>
      <c r="D173" s="1" t="inlineStr">
        <is>
          <t>BAC_TOU</t>
        </is>
      </c>
      <c r="E173" s="1" t="inlineStr">
        <is>
          <t>B1</t>
        </is>
      </c>
      <c r="F173" s="1" t="inlineStr">
        <is>
          <t>ALT</t>
        </is>
      </c>
      <c r="G173" s="1" t="inlineStr">
        <is>
          <t>2024</t>
        </is>
      </c>
      <c r="H173" s="1" t="n">
        <v>605</v>
      </c>
      <c r="I173" s="1" t="n">
        <v>121</v>
      </c>
      <c r="J173" s="1" t="n">
        <v>85</v>
      </c>
      <c r="K173" s="1" t="n">
        <v>36</v>
      </c>
      <c r="L173" s="1" t="n">
        <v>0</v>
      </c>
      <c r="M173" s="1" t="n">
        <v>36</v>
      </c>
      <c r="N173" s="1" t="n">
        <v>0</v>
      </c>
      <c r="O173" s="1" t="n">
        <v>2</v>
      </c>
      <c r="P173" s="1" t="n">
        <v>7350</v>
      </c>
      <c r="Q173" s="1" t="n">
        <v>90</v>
      </c>
      <c r="R173" s="1" t="n">
        <v>242</v>
      </c>
      <c r="S173" s="1" t="n">
        <v>392</v>
      </c>
      <c r="T173" s="1" t="n">
        <v>15578</v>
      </c>
      <c r="U173" s="1" t="n">
        <v>20221</v>
      </c>
      <c r="V173" s="1" t="n">
        <v>0</v>
      </c>
      <c r="W173" s="1" t="n">
        <v>0.2</v>
      </c>
      <c r="X173" s="1" t="n">
        <v>0.702479339</v>
      </c>
      <c r="Y173" s="1" t="n">
        <v>0.423529412</v>
      </c>
      <c r="Z173" s="1" t="n">
        <v>634</v>
      </c>
      <c r="AA173" s="1" t="n">
        <v>0.38170347</v>
      </c>
      <c r="AB173" s="1" t="n">
        <v>39.739795918</v>
      </c>
      <c r="AC173" s="1" t="n">
        <v>267840</v>
      </c>
    </row>
    <row r="174">
      <c r="A174" s="1" t="inlineStr">
        <is>
          <t>2027BUD_V1</t>
        </is>
      </c>
      <c r="B174" s="1" t="inlineStr">
        <is>
          <t>12</t>
        </is>
      </c>
      <c r="C174" s="1" t="inlineStr">
        <is>
          <t>TUNON_LYO</t>
        </is>
      </c>
      <c r="D174" s="1" t="inlineStr">
        <is>
          <t>BAC_TOU</t>
        </is>
      </c>
      <c r="E174" s="1" t="inlineStr">
        <is>
          <t>B2</t>
        </is>
      </c>
      <c r="F174" s="1" t="inlineStr">
        <is>
          <t>ALT</t>
        </is>
      </c>
      <c r="G174" s="1" t="inlineStr">
        <is>
          <t>2024</t>
        </is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35</v>
      </c>
      <c r="M174" s="1" t="n">
        <v>35</v>
      </c>
      <c r="N174" s="1" t="n">
        <v>36</v>
      </c>
      <c r="O174" s="1" t="n">
        <v>2</v>
      </c>
      <c r="P174" s="1" t="n">
        <v>7350</v>
      </c>
      <c r="Q174" s="1" t="n">
        <v>90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0.972222222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257250</v>
      </c>
    </row>
    <row r="175">
      <c r="A175" s="1" t="inlineStr">
        <is>
          <t>2027BUD_V1</t>
        </is>
      </c>
      <c r="B175" s="1" t="inlineStr">
        <is>
          <t>12</t>
        </is>
      </c>
      <c r="C175" s="1" t="inlineStr">
        <is>
          <t>TUNON_LYO</t>
        </is>
      </c>
      <c r="D175" s="1" t="inlineStr">
        <is>
          <t>BAC_TOU</t>
        </is>
      </c>
      <c r="E175" s="1" t="inlineStr">
        <is>
          <t>B3</t>
        </is>
      </c>
      <c r="F175" s="1" t="inlineStr">
        <is>
          <t>ALT</t>
        </is>
      </c>
      <c r="G175" s="1" t="inlineStr">
        <is>
          <t>2024</t>
        </is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34</v>
      </c>
      <c r="M175" s="1" t="n">
        <v>34</v>
      </c>
      <c r="N175" s="1" t="n">
        <v>35</v>
      </c>
      <c r="O175" s="1" t="n">
        <v>2</v>
      </c>
      <c r="P175" s="1" t="n">
        <v>7350</v>
      </c>
      <c r="Q175" s="1" t="n">
        <v>90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0.971428571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249900</v>
      </c>
    </row>
    <row r="176">
      <c r="A176" s="1" t="inlineStr">
        <is>
          <t>2027BUD_V1</t>
        </is>
      </c>
      <c r="B176" s="1" t="inlineStr">
        <is>
          <t>12</t>
        </is>
      </c>
      <c r="C176" s="1" t="inlineStr">
        <is>
          <t>PIGIER_BOR</t>
        </is>
      </c>
      <c r="D176" s="1" t="inlineStr">
        <is>
          <t>BAC_RH</t>
        </is>
      </c>
      <c r="E176" s="1" t="inlineStr">
        <is>
          <t>B3</t>
        </is>
      </c>
      <c r="F176" s="1" t="inlineStr">
        <is>
          <t>ALT</t>
        </is>
      </c>
      <c r="G176" s="1" t="inlineStr">
        <is>
          <t>2024</t>
        </is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30</v>
      </c>
      <c r="M176" s="1" t="n">
        <v>30</v>
      </c>
      <c r="N176" s="1" t="n">
        <v>31</v>
      </c>
      <c r="O176" s="1" t="n">
        <v>2</v>
      </c>
      <c r="P176" s="1" t="n">
        <v>6790</v>
      </c>
      <c r="Q176" s="1" t="n">
        <v>90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0.9677419350000001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203700</v>
      </c>
    </row>
    <row r="177">
      <c r="A177" s="1" t="inlineStr">
        <is>
          <t>2027BUD_V1</t>
        </is>
      </c>
      <c r="B177" s="1" t="inlineStr">
        <is>
          <t>12</t>
        </is>
      </c>
      <c r="C177" s="1" t="inlineStr">
        <is>
          <t>PIGIER_BOR</t>
        </is>
      </c>
      <c r="D177" s="1" t="inlineStr">
        <is>
          <t>BAC_RH</t>
        </is>
      </c>
      <c r="E177" s="1" t="inlineStr">
        <is>
          <t>B3</t>
        </is>
      </c>
      <c r="F177" s="1" t="inlineStr">
        <is>
          <t>ALT</t>
        </is>
      </c>
      <c r="G177" s="1" t="inlineStr">
        <is>
          <t>2025</t>
        </is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32</v>
      </c>
      <c r="M177" s="1" t="n">
        <v>32</v>
      </c>
      <c r="N177" s="1" t="n">
        <v>33</v>
      </c>
      <c r="O177" s="1" t="n">
        <v>2</v>
      </c>
      <c r="P177" s="1" t="n">
        <v>6790</v>
      </c>
      <c r="Q177" s="1" t="n">
        <v>90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0.96969697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217280</v>
      </c>
    </row>
    <row r="178">
      <c r="A178" s="1" t="inlineStr">
        <is>
          <t>2027BUD_V1</t>
        </is>
      </c>
      <c r="B178" s="1" t="inlineStr">
        <is>
          <t>12</t>
        </is>
      </c>
      <c r="C178" s="1" t="inlineStr">
        <is>
          <t>PIGIER_BOR</t>
        </is>
      </c>
      <c r="D178" s="1" t="inlineStr">
        <is>
          <t>BAC_RH</t>
        </is>
      </c>
      <c r="E178" s="1" t="inlineStr">
        <is>
          <t>B3</t>
        </is>
      </c>
      <c r="F178" s="1" t="inlineStr">
        <is>
          <t>ALT</t>
        </is>
      </c>
      <c r="G178" s="1" t="inlineStr">
        <is>
          <t>2026</t>
        </is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34</v>
      </c>
      <c r="M178" s="1" t="n">
        <v>34</v>
      </c>
      <c r="N178" s="1" t="n">
        <v>35</v>
      </c>
      <c r="O178" s="1" t="n">
        <v>2</v>
      </c>
      <c r="P178" s="1" t="n">
        <v>6790</v>
      </c>
      <c r="Q178" s="1" t="n">
        <v>90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0.971428571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230860</v>
      </c>
    </row>
    <row r="179">
      <c r="A179" s="1" t="inlineStr">
        <is>
          <t>2027BUD_V1</t>
        </is>
      </c>
      <c r="B179" s="1" t="inlineStr">
        <is>
          <t>12</t>
        </is>
      </c>
      <c r="C179" s="1" t="inlineStr">
        <is>
          <t>PIGIER_LYO</t>
        </is>
      </c>
      <c r="D179" s="1" t="inlineStr">
        <is>
          <t>BAC_RH</t>
        </is>
      </c>
      <c r="E179" s="1" t="inlineStr">
        <is>
          <t>B3</t>
        </is>
      </c>
      <c r="F179" s="1" t="inlineStr">
        <is>
          <t>ALT</t>
        </is>
      </c>
      <c r="G179" s="1" t="inlineStr">
        <is>
          <t>2024</t>
        </is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39</v>
      </c>
      <c r="M179" s="1" t="n">
        <v>39</v>
      </c>
      <c r="N179" s="1" t="n">
        <v>40</v>
      </c>
      <c r="O179" s="1" t="n">
        <v>2</v>
      </c>
      <c r="P179" s="1" t="n">
        <v>7350</v>
      </c>
      <c r="Q179" s="1" t="n">
        <v>90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0.975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286650</v>
      </c>
    </row>
    <row r="180">
      <c r="A180" s="1" t="inlineStr">
        <is>
          <t>2027BUD_V1</t>
        </is>
      </c>
      <c r="B180" s="1" t="inlineStr">
        <is>
          <t>12</t>
        </is>
      </c>
      <c r="C180" s="1" t="inlineStr">
        <is>
          <t>PIGIER_LYO</t>
        </is>
      </c>
      <c r="D180" s="1" t="inlineStr">
        <is>
          <t>BAC_RH</t>
        </is>
      </c>
      <c r="E180" s="1" t="inlineStr">
        <is>
          <t>B3</t>
        </is>
      </c>
      <c r="F180" s="1" t="inlineStr">
        <is>
          <t>ALT</t>
        </is>
      </c>
      <c r="G180" s="1" t="inlineStr">
        <is>
          <t>2025</t>
        </is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41</v>
      </c>
      <c r="M180" s="1" t="n">
        <v>41</v>
      </c>
      <c r="N180" s="1" t="n">
        <v>42</v>
      </c>
      <c r="O180" s="1" t="n">
        <v>2</v>
      </c>
      <c r="P180" s="1" t="n">
        <v>7350</v>
      </c>
      <c r="Q180" s="1" t="n">
        <v>90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0.976190476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301350</v>
      </c>
    </row>
    <row r="181">
      <c r="A181" s="1" t="inlineStr">
        <is>
          <t>2027BUD_V1</t>
        </is>
      </c>
      <c r="B181" s="1" t="inlineStr">
        <is>
          <t>12</t>
        </is>
      </c>
      <c r="C181" s="1" t="inlineStr">
        <is>
          <t>PIGIER_LYO</t>
        </is>
      </c>
      <c r="D181" s="1" t="inlineStr">
        <is>
          <t>BAC_RH</t>
        </is>
      </c>
      <c r="E181" s="1" t="inlineStr">
        <is>
          <t>B3</t>
        </is>
      </c>
      <c r="F181" s="1" t="inlineStr">
        <is>
          <t>ALT</t>
        </is>
      </c>
      <c r="G181" s="1" t="inlineStr">
        <is>
          <t>2026</t>
        </is>
      </c>
      <c r="H181" t="n">
        <v>0</v>
      </c>
      <c r="I181" t="n">
        <v>0</v>
      </c>
      <c r="J181" t="n">
        <v>0</v>
      </c>
      <c r="K181" t="n">
        <v>0</v>
      </c>
      <c r="L181" t="n">
        <v>44</v>
      </c>
      <c r="M181" t="n">
        <v>44</v>
      </c>
      <c r="N181" t="n">
        <v>45</v>
      </c>
      <c r="O181" t="n">
        <v>2</v>
      </c>
      <c r="P181" t="n">
        <v>7350</v>
      </c>
      <c r="Q181" t="n">
        <v>90</v>
      </c>
      <c r="R181" t="n">
        <v>0</v>
      </c>
      <c r="S181" t="n">
        <v>0</v>
      </c>
      <c r="T181" t="n">
        <v>0</v>
      </c>
      <c r="U181" t="n">
        <v>0</v>
      </c>
      <c r="V181" t="n">
        <v>0.977777778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323400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topLeftCell="G1" workbookViewId="0">
      <selection activeCell="A1" sqref="A1"/>
    </sheetView>
  </sheetViews>
  <sheetFormatPr baseColWidth="10" defaultRowHeight="14.25"/>
  <sheetData>
    <row r="1">
      <c r="A1" s="1" t="inlineStr">
        <is>
          <t>SCENARIO</t>
        </is>
      </c>
      <c r="B1" s="1" t="inlineStr">
        <is>
          <t>PERIODE</t>
        </is>
      </c>
      <c r="C1" s="1" t="inlineStr">
        <is>
          <t>ENTITY</t>
        </is>
      </c>
      <c r="D1" s="1" t="inlineStr">
        <is>
          <t>ORG_REF</t>
        </is>
      </c>
      <c r="E1" s="1" t="inlineStr">
        <is>
          <t>PAID_REF</t>
        </is>
      </c>
      <c r="F1" s="1" t="inlineStr">
        <is>
          <t>LEAD_REF</t>
        </is>
      </c>
      <c r="G1" s="1" t="inlineStr">
        <is>
          <t>SPEND_ACQ_REF</t>
        </is>
      </c>
      <c r="H1" s="1" t="inlineStr">
        <is>
          <t>SPEND_BRAND_REF</t>
        </is>
      </c>
      <c r="I1" s="1" t="inlineStr">
        <is>
          <t>PART_ORG</t>
        </is>
      </c>
      <c r="J1" s="1" t="inlineStr">
        <is>
          <t>CPL</t>
        </is>
      </c>
      <c r="K1" s="1" t="inlineStr">
        <is>
          <t>REND_ACQ</t>
        </is>
      </c>
      <c r="L1" s="1" t="inlineStr">
        <is>
          <t>CONVERSION</t>
        </is>
      </c>
      <c r="M1" s="1" t="inlineStr">
        <is>
          <t>REND_BRAND</t>
        </is>
      </c>
      <c r="N1" s="1" t="inlineStr">
        <is>
          <t>CAC_MARGINAL</t>
        </is>
      </c>
    </row>
    <row r="2">
      <c r="A2" s="1" t="inlineStr">
        <is>
          <t>2027BUD_V1</t>
        </is>
      </c>
      <c r="B2" s="1" t="inlineStr">
        <is>
          <t>12</t>
        </is>
      </c>
      <c r="C2" s="1" t="inlineStr">
        <is>
          <t>MBWAY_PAR</t>
        </is>
      </c>
      <c r="D2" s="1" t="n">
        <v>711</v>
      </c>
      <c r="E2" s="1" t="n">
        <v>1265</v>
      </c>
      <c r="F2" s="1" t="n">
        <v>1976</v>
      </c>
      <c r="G2" s="1" t="n">
        <v>68291</v>
      </c>
      <c r="H2" s="1" t="n">
        <v>64800</v>
      </c>
      <c r="I2" s="1" t="n">
        <v>0.359817814</v>
      </c>
      <c r="J2" s="1" t="n">
        <v>53.984980237</v>
      </c>
      <c r="K2" s="1" t="n">
        <v>0.463595949</v>
      </c>
      <c r="L2" s="1" t="n">
        <v>0.078947368</v>
      </c>
      <c r="M2" s="1" t="n">
        <v>0.308054121</v>
      </c>
      <c r="N2" s="1" t="n">
        <v>1475.012350428</v>
      </c>
    </row>
    <row r="3">
      <c r="A3" s="1" t="inlineStr">
        <is>
          <t>2027BUD_V1</t>
        </is>
      </c>
      <c r="B3" s="1" t="inlineStr">
        <is>
          <t>12</t>
        </is>
      </c>
      <c r="C3" s="1" t="inlineStr">
        <is>
          <t>MBWAY_LYO</t>
        </is>
      </c>
      <c r="D3" s="1" t="n">
        <v>716</v>
      </c>
      <c r="E3" s="1" t="n">
        <v>950</v>
      </c>
      <c r="F3" s="1" t="n">
        <v>1666</v>
      </c>
      <c r="G3" s="1" t="n">
        <v>41783</v>
      </c>
      <c r="H3" s="1" t="n">
        <v>65255</v>
      </c>
      <c r="I3" s="1" t="n">
        <v>0.429771909</v>
      </c>
      <c r="J3" s="1" t="n">
        <v>43.982105263</v>
      </c>
      <c r="K3" s="1" t="n">
        <v>0.5039124109999999</v>
      </c>
      <c r="L3" s="1" t="n">
        <v>0.07923169300000001</v>
      </c>
      <c r="M3" s="1" t="n">
        <v>0.326593761</v>
      </c>
      <c r="N3" s="1" t="n">
        <v>1101.595174386</v>
      </c>
    </row>
    <row r="4">
      <c r="A4" s="1" t="inlineStr">
        <is>
          <t>2027BUD_V1</t>
        </is>
      </c>
      <c r="B4" s="1" t="inlineStr">
        <is>
          <t>12</t>
        </is>
      </c>
      <c r="C4" s="1" t="inlineStr">
        <is>
          <t>MBWAY_NAN</t>
        </is>
      </c>
      <c r="D4" s="1" t="n">
        <v>728</v>
      </c>
      <c r="E4" s="1" t="n">
        <v>788</v>
      </c>
      <c r="F4" s="1" t="n">
        <v>1516</v>
      </c>
      <c r="G4" s="1" t="n">
        <v>31533</v>
      </c>
      <c r="H4" s="1" t="n">
        <v>66349</v>
      </c>
      <c r="I4" s="1" t="n">
        <v>0.480211082</v>
      </c>
      <c r="J4" s="1" t="n">
        <v>40.016497462</v>
      </c>
      <c r="K4" s="1" t="n">
        <v>0.524655642</v>
      </c>
      <c r="L4" s="1" t="n">
        <v>0.079155673</v>
      </c>
      <c r="M4" s="1" t="n">
        <v>0.343450594</v>
      </c>
      <c r="N4" s="1" t="n">
        <v>963.568692205</v>
      </c>
    </row>
    <row r="5">
      <c r="A5" s="1" t="inlineStr">
        <is>
          <t>2027BUD_V1</t>
        </is>
      </c>
      <c r="B5" s="1" t="inlineStr">
        <is>
          <t>12</t>
        </is>
      </c>
      <c r="C5" s="1" t="inlineStr">
        <is>
          <t>MBWAY_BOR</t>
        </is>
      </c>
      <c r="D5" s="1" t="n">
        <v>630</v>
      </c>
      <c r="E5" s="1" t="n">
        <v>656</v>
      </c>
      <c r="F5" s="1" t="n">
        <v>1286</v>
      </c>
      <c r="G5" s="1" t="n">
        <v>24923</v>
      </c>
      <c r="H5" s="1" t="n">
        <v>57418</v>
      </c>
      <c r="I5" s="1" t="n">
        <v>0.489891135</v>
      </c>
      <c r="J5" s="1" t="n">
        <v>37.992378049</v>
      </c>
      <c r="K5" s="1" t="n">
        <v>0.538455294</v>
      </c>
      <c r="L5" s="1" t="n">
        <v>0.079315708</v>
      </c>
      <c r="M5" s="1" t="n">
        <v>0.348249172</v>
      </c>
      <c r="N5" s="1" t="n">
        <v>889.585353923</v>
      </c>
    </row>
    <row r="6">
      <c r="A6" s="1" t="inlineStr">
        <is>
          <t>2027BUD_V1</t>
        </is>
      </c>
      <c r="B6" s="1" t="inlineStr">
        <is>
          <t>12</t>
        </is>
      </c>
      <c r="C6" s="1" t="inlineStr">
        <is>
          <t>ISCOM_PAR</t>
        </is>
      </c>
      <c r="D6" s="1" t="n">
        <v>690</v>
      </c>
      <c r="E6" s="1" t="n">
        <v>1126</v>
      </c>
      <c r="F6" s="1" t="n">
        <v>1816</v>
      </c>
      <c r="G6" s="1" t="n">
        <v>60800</v>
      </c>
      <c r="H6" s="1" t="n">
        <v>62886</v>
      </c>
      <c r="I6" s="1" t="n">
        <v>0.379955947</v>
      </c>
      <c r="J6" s="1" t="n">
        <v>53.996447602</v>
      </c>
      <c r="K6" s="1" t="n">
        <v>0.442086266</v>
      </c>
      <c r="L6" s="1" t="n">
        <v>0.07929515400000001</v>
      </c>
      <c r="M6" s="1" t="n">
        <v>0.317193514</v>
      </c>
      <c r="N6" s="1" t="n">
        <v>1540.321996231</v>
      </c>
    </row>
    <row r="7">
      <c r="A7" s="1" t="inlineStr">
        <is>
          <t>2027BUD_V1</t>
        </is>
      </c>
      <c r="B7" s="1" t="inlineStr">
        <is>
          <t>12</t>
        </is>
      </c>
      <c r="C7" s="1" t="inlineStr">
        <is>
          <t>ISCOM_LIL</t>
        </is>
      </c>
      <c r="D7" s="1" t="n">
        <v>630</v>
      </c>
      <c r="E7" s="1" t="n">
        <v>630</v>
      </c>
      <c r="F7" s="1" t="n">
        <v>1260</v>
      </c>
      <c r="G7" s="1" t="n">
        <v>25220</v>
      </c>
      <c r="H7" s="1" t="n">
        <v>57418</v>
      </c>
      <c r="I7" s="1" t="n">
        <v>0.5</v>
      </c>
      <c r="J7" s="1" t="n">
        <v>40.031746032</v>
      </c>
      <c r="K7" s="1" t="n">
        <v>0.515848308</v>
      </c>
      <c r="L7" s="1" t="n">
        <v>0.07930214100000001</v>
      </c>
      <c r="M7" s="1" t="n">
        <v>0.348380583</v>
      </c>
      <c r="N7" s="1" t="n">
        <v>978.582869128</v>
      </c>
    </row>
    <row r="8">
      <c r="A8" s="1" t="inlineStr">
        <is>
          <t>2027BUD_V1</t>
        </is>
      </c>
      <c r="B8" s="1" t="inlineStr">
        <is>
          <t>12</t>
        </is>
      </c>
      <c r="C8" s="1" t="inlineStr">
        <is>
          <t>ISCOM_TLS</t>
        </is>
      </c>
      <c r="D8" s="1" t="n">
        <v>605</v>
      </c>
      <c r="E8" s="1" t="n">
        <v>581</v>
      </c>
      <c r="F8" s="1" t="n">
        <v>1186</v>
      </c>
      <c r="G8" s="1" t="n">
        <v>22083</v>
      </c>
      <c r="H8" s="1" t="n">
        <v>55139</v>
      </c>
      <c r="I8" s="1" t="n">
        <v>0.510118044</v>
      </c>
      <c r="J8" s="1" t="n">
        <v>38.008605852</v>
      </c>
      <c r="K8" s="1" t="n">
        <v>0.521803369</v>
      </c>
      <c r="L8" s="1" t="n">
        <v>0.07925801</v>
      </c>
      <c r="M8" s="1" t="n">
        <v>0.35585226</v>
      </c>
      <c r="N8" s="1" t="n">
        <v>919.034672834</v>
      </c>
    </row>
    <row r="9">
      <c r="A9" s="1" t="inlineStr">
        <is>
          <t>2027BUD_V1</t>
        </is>
      </c>
      <c r="B9" s="1" t="inlineStr">
        <is>
          <t>12</t>
        </is>
      </c>
      <c r="C9" s="1" t="inlineStr">
        <is>
          <t>IPAC_NAN</t>
        </is>
      </c>
      <c r="D9" s="1" t="n">
        <v>306</v>
      </c>
      <c r="E9" s="1" t="n">
        <v>544</v>
      </c>
      <c r="F9" s="1" t="n">
        <v>850</v>
      </c>
      <c r="G9" s="1" t="n">
        <v>21760</v>
      </c>
      <c r="H9" s="1" t="n">
        <v>27889</v>
      </c>
      <c r="I9" s="1" t="n">
        <v>0.36</v>
      </c>
      <c r="J9" s="1" t="n">
        <v>40</v>
      </c>
      <c r="K9" s="1" t="n">
        <v>0.559080786</v>
      </c>
      <c r="L9" s="1" t="n">
        <v>0.058823529</v>
      </c>
      <c r="M9" s="1" t="n">
        <v>0.304912257</v>
      </c>
      <c r="N9" s="1" t="n">
        <v>1216.28218483</v>
      </c>
    </row>
    <row r="10">
      <c r="A10" s="1" t="inlineStr">
        <is>
          <t>2027BUD_V1</t>
        </is>
      </c>
      <c r="B10" s="1" t="inlineStr">
        <is>
          <t>12</t>
        </is>
      </c>
      <c r="C10" s="1" t="inlineStr">
        <is>
          <t>IPAC_REN</t>
        </is>
      </c>
      <c r="D10" s="1" t="n">
        <v>265</v>
      </c>
      <c r="E10" s="1" t="n">
        <v>415</v>
      </c>
      <c r="F10" s="1" t="n">
        <v>680</v>
      </c>
      <c r="G10" s="1" t="n">
        <v>14933</v>
      </c>
      <c r="H10" s="1" t="n">
        <v>24152</v>
      </c>
      <c r="I10" s="1" t="n">
        <v>0.389705882</v>
      </c>
      <c r="J10" s="1" t="n">
        <v>35.98313253</v>
      </c>
      <c r="K10" s="1" t="n">
        <v>0.587876564</v>
      </c>
      <c r="L10" s="1" t="n">
        <v>0.058823529</v>
      </c>
      <c r="M10" s="1" t="n">
        <v>0.317354148</v>
      </c>
      <c r="N10" s="1" t="n">
        <v>1040.547097942</v>
      </c>
    </row>
    <row r="11">
      <c r="A11" s="1" t="inlineStr">
        <is>
          <t>2027BUD_V1</t>
        </is>
      </c>
      <c r="B11" s="1" t="inlineStr">
        <is>
          <t>12</t>
        </is>
      </c>
      <c r="C11" s="1" t="inlineStr">
        <is>
          <t>IPAC_MTP</t>
        </is>
      </c>
      <c r="D11" s="1" t="n">
        <v>258</v>
      </c>
      <c r="E11" s="1" t="n">
        <v>422</v>
      </c>
      <c r="F11" s="1" t="n">
        <v>680</v>
      </c>
      <c r="G11" s="1" t="n">
        <v>15178</v>
      </c>
      <c r="H11" s="1" t="n">
        <v>23514</v>
      </c>
      <c r="I11" s="1" t="n">
        <v>0.379411765</v>
      </c>
      <c r="J11" s="1" t="n">
        <v>35.966824645</v>
      </c>
      <c r="K11" s="1" t="n">
        <v>0.591344893</v>
      </c>
      <c r="L11" s="1" t="n">
        <v>0.058823529</v>
      </c>
      <c r="M11" s="1" t="n">
        <v>0.315275187</v>
      </c>
      <c r="N11" s="1" t="n">
        <v>1033.975309229</v>
      </c>
    </row>
    <row r="12">
      <c r="A12" s="1" t="inlineStr">
        <is>
          <t>2027BUD_V1</t>
        </is>
      </c>
      <c r="B12" s="1" t="inlineStr">
        <is>
          <t>12</t>
        </is>
      </c>
      <c r="C12" s="1" t="inlineStr">
        <is>
          <t>PIGIER_LYO</t>
        </is>
      </c>
      <c r="D12" s="1" t="n">
        <v>738</v>
      </c>
      <c r="E12" s="1" t="n">
        <v>832</v>
      </c>
      <c r="F12" s="1" t="n">
        <v>1570</v>
      </c>
      <c r="G12" s="1" t="n">
        <v>36612</v>
      </c>
      <c r="H12" s="1" t="n">
        <v>67261</v>
      </c>
      <c r="I12" s="1" t="n">
        <v>0.470063694</v>
      </c>
      <c r="J12" s="1" t="n">
        <v>44.004807692</v>
      </c>
      <c r="K12" s="1" t="n">
        <v>0.440450262</v>
      </c>
      <c r="L12" s="1" t="n">
        <v>0.058598726</v>
      </c>
      <c r="M12" s="1" t="n">
        <v>0.343045779</v>
      </c>
      <c r="N12" s="1" t="n">
        <v>1704.963476705</v>
      </c>
    </row>
    <row r="13">
      <c r="A13" s="1" t="inlineStr">
        <is>
          <t>2027BUD_V1</t>
        </is>
      </c>
      <c r="B13" s="1" t="inlineStr">
        <is>
          <t>12</t>
        </is>
      </c>
      <c r="C13" s="1" t="inlineStr">
        <is>
          <t>PIGIER_BOR</t>
        </is>
      </c>
      <c r="D13" s="1" t="n">
        <v>652</v>
      </c>
      <c r="E13" s="1" t="n">
        <v>578</v>
      </c>
      <c r="F13" s="1" t="n">
        <v>1230</v>
      </c>
      <c r="G13" s="1" t="n">
        <v>21968</v>
      </c>
      <c r="H13" s="1" t="n">
        <v>59423</v>
      </c>
      <c r="I13" s="1" t="n">
        <v>0.5300813009999999</v>
      </c>
      <c r="J13" s="1" t="n">
        <v>38.006920415</v>
      </c>
      <c r="K13" s="1" t="n">
        <v>0.474596633</v>
      </c>
      <c r="L13" s="1" t="n">
        <v>0.058536585</v>
      </c>
      <c r="M13" s="1" t="n">
        <v>0.357573956</v>
      </c>
      <c r="N13" s="1" t="n">
        <v>1368.077320588</v>
      </c>
    </row>
    <row r="14">
      <c r="A14" s="1" t="inlineStr">
        <is>
          <t>2027BUD_V1</t>
        </is>
      </c>
      <c r="B14" s="1" t="inlineStr">
        <is>
          <t>12</t>
        </is>
      </c>
      <c r="C14" s="1" t="inlineStr">
        <is>
          <t>TUNON_PAR</t>
        </is>
      </c>
      <c r="D14" s="1" t="n">
        <v>240</v>
      </c>
      <c r="E14" s="1" t="n">
        <v>560</v>
      </c>
      <c r="F14" s="1" t="n">
        <v>800</v>
      </c>
      <c r="G14" s="1" t="n">
        <v>30240</v>
      </c>
      <c r="H14" s="1" t="n">
        <v>21873</v>
      </c>
      <c r="I14" s="1" t="n">
        <v>0.3</v>
      </c>
      <c r="J14" s="1" t="n">
        <v>54</v>
      </c>
      <c r="K14" s="1" t="n">
        <v>0.41914907</v>
      </c>
      <c r="L14" s="1" t="n">
        <v>0.05875</v>
      </c>
      <c r="M14" s="1" t="n">
        <v>0.27988845</v>
      </c>
      <c r="N14" s="1" t="n">
        <v>2192.892700999</v>
      </c>
    </row>
    <row r="15">
      <c r="A15" s="1" t="inlineStr">
        <is>
          <t>2027BUD_V1</t>
        </is>
      </c>
      <c r="B15" s="1" t="inlineStr">
        <is>
          <t>12</t>
        </is>
      </c>
      <c r="C15" s="1" t="inlineStr">
        <is>
          <t>TUNON_LYO</t>
        </is>
      </c>
      <c r="D15" t="n">
        <v>252</v>
      </c>
      <c r="E15" t="n">
        <v>428</v>
      </c>
      <c r="F15" t="n">
        <v>680</v>
      </c>
      <c r="G15" t="n">
        <v>18850</v>
      </c>
      <c r="H15" t="n">
        <v>22967</v>
      </c>
      <c r="I15" t="n">
        <v>0.370588235</v>
      </c>
      <c r="J15" t="n">
        <v>44.042056075</v>
      </c>
      <c r="K15" t="n">
        <v>0.460843562</v>
      </c>
      <c r="L15" t="n">
        <v>0.058823529</v>
      </c>
      <c r="M15" t="n">
        <v>0.317986245</v>
      </c>
      <c r="N15" t="n">
        <v>1624.661847906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2" sqref="A2"/>
    </sheetView>
  </sheetViews>
  <sheetFormatPr baseColWidth="10" defaultRowHeight="14.25"/>
  <cols>
    <col width="9.265625" bestFit="1" customWidth="1" min="1" max="1"/>
    <col width="8.06640625" bestFit="1" customWidth="1" min="2" max="2"/>
    <col width="7.9296875" bestFit="1" customWidth="1" min="3" max="3"/>
    <col width="6.265625" bestFit="1" customWidth="1" min="4" max="4"/>
    <col width="7.796875" bestFit="1" customWidth="1" min="5" max="5"/>
    <col width="11.46484375" bestFit="1" customWidth="1" min="6" max="6"/>
    <col width="9.06640625" bestFit="1" customWidth="1" min="7" max="7"/>
    <col width="8.9296875" bestFit="1" customWidth="1" min="8" max="8"/>
    <col width="8.796875" bestFit="1" customWidth="1" min="9" max="9"/>
    <col width="9.796875" bestFit="1" customWidth="1" min="10" max="10"/>
    <col width="8.06640625" bestFit="1" customWidth="1" min="11" max="11"/>
    <col width="4.73046875" bestFit="1" customWidth="1" min="12" max="13"/>
  </cols>
  <sheetData>
    <row r="1">
      <c r="A1" s="3" t="inlineStr">
        <is>
          <t>SCENARIO</t>
        </is>
      </c>
      <c r="B1" s="1" t="inlineStr">
        <is>
          <t>VERSION</t>
        </is>
      </c>
      <c r="C1" s="1" t="inlineStr">
        <is>
          <t>PERIODE</t>
        </is>
      </c>
      <c r="D1" s="1" t="inlineStr">
        <is>
          <t>ENTITY</t>
        </is>
      </c>
      <c r="E1" s="1" t="inlineStr">
        <is>
          <t>MARQUE</t>
        </is>
      </c>
      <c r="F1" s="1" t="inlineStr">
        <is>
          <t>PROGRAMME</t>
        </is>
      </c>
      <c r="G1" s="1" t="inlineStr">
        <is>
          <t>AN_ETUDE</t>
        </is>
      </c>
      <c r="H1" s="1" t="inlineStr">
        <is>
          <t>MODALITE</t>
        </is>
      </c>
      <c r="I1" s="1" t="inlineStr">
        <is>
          <t>EXERCICE</t>
        </is>
      </c>
      <c r="J1" s="1" t="inlineStr">
        <is>
          <t>NOUVEAUX</t>
        </is>
      </c>
      <c r="K1" s="1" t="inlineStr">
        <is>
          <t>EFFECTIF</t>
        </is>
      </c>
      <c r="L1" s="1" t="inlineStr">
        <is>
          <t>PRIX</t>
        </is>
      </c>
      <c r="M1" s="1" t="inlineStr">
        <is>
          <t>CA</t>
        </is>
      </c>
      <c r="O1" t="inlineStr">
        <is>
          <t>NOUVEAUX (live)</t>
        </is>
      </c>
      <c r="P1" t="inlineStr">
        <is>
          <t>EFFECTIF (live)</t>
        </is>
      </c>
      <c r="Q1" t="inlineStr">
        <is>
          <t>PRIX (live)</t>
        </is>
      </c>
      <c r="R1" t="inlineStr">
        <is>
          <t>🟢 CA (live)</t>
        </is>
      </c>
      <c r="S1" t="inlineStr">
        <is>
          <t>Δ CA vs Tagetik</t>
        </is>
      </c>
    </row>
    <row r="2">
      <c r="A2" s="1" t="inlineStr">
        <is>
          <t>2027BUD_V1</t>
        </is>
      </c>
      <c r="B2" s="1" t="inlineStr">
        <is>
          <t>V01</t>
        </is>
      </c>
      <c r="C2" s="1" t="inlineStr">
        <is>
          <t>12</t>
        </is>
      </c>
      <c r="D2" s="1" t="inlineStr">
        <is>
          <t>MBWAY_PAR</t>
        </is>
      </c>
      <c r="E2" s="1" t="inlineStr">
        <is>
          <t>MBWAY</t>
        </is>
      </c>
      <c r="F2" s="1" t="inlineStr">
        <is>
          <t>BAC_MGT</t>
        </is>
      </c>
      <c r="G2" s="1" t="inlineStr">
        <is>
          <t>B1</t>
        </is>
      </c>
      <c r="H2" s="1" t="inlineStr">
        <is>
          <t>INIT</t>
        </is>
      </c>
      <c r="I2" s="1" t="inlineStr">
        <is>
          <t>2027</t>
        </is>
      </c>
      <c r="J2" t="n">
        <v>84.920593997</v>
      </c>
      <c r="K2" t="n">
        <v>84.920593997</v>
      </c>
      <c r="L2" t="n">
        <v>8429.232</v>
      </c>
      <c r="M2" t="n">
        <v>723458.241839087</v>
      </c>
      <c r="O2">
        <f>IF(D2="","",_CALC_MOTEUR!AE2)</f>
        <v/>
      </c>
      <c r="P2">
        <f>IF(D2="","",_CALC_MOTEUR!AF2)</f>
        <v/>
      </c>
      <c r="Q2">
        <f>IF(D2="","",_CALC_MOTEUR!AG2)</f>
        <v/>
      </c>
      <c r="R2">
        <f>IF(D2="","",_CALC_MOTEUR!AH2)</f>
        <v/>
      </c>
      <c r="S2">
        <f>IF(D2="","",R2-M2)</f>
        <v/>
      </c>
    </row>
    <row r="3">
      <c r="A3" s="1" t="inlineStr">
        <is>
          <t>2027BUD_V1</t>
        </is>
      </c>
      <c r="B3" s="1" t="inlineStr">
        <is>
          <t>V02</t>
        </is>
      </c>
      <c r="C3" s="1" t="inlineStr">
        <is>
          <t>12</t>
        </is>
      </c>
      <c r="D3" s="1" t="inlineStr">
        <is>
          <t>MBWAY_PAR</t>
        </is>
      </c>
      <c r="E3" s="1" t="inlineStr">
        <is>
          <t>MBWAY</t>
        </is>
      </c>
      <c r="F3" s="1" t="inlineStr">
        <is>
          <t>BAC_MGT</t>
        </is>
      </c>
      <c r="G3" s="1" t="inlineStr">
        <is>
          <t>B1</t>
        </is>
      </c>
      <c r="H3" s="1" t="inlineStr">
        <is>
          <t>INIT</t>
        </is>
      </c>
      <c r="I3" s="1" t="inlineStr">
        <is>
          <t>2027</t>
        </is>
      </c>
      <c r="J3" t="n">
        <v>95.228067389</v>
      </c>
      <c r="K3" t="n">
        <v>95.228067389</v>
      </c>
      <c r="L3" t="n">
        <v>8752.799999999999</v>
      </c>
      <c r="M3" t="n">
        <v>842082.754308413</v>
      </c>
      <c r="O3">
        <f>IF(D3="","",_CALC_MOTEUR!AE3)</f>
        <v/>
      </c>
      <c r="P3">
        <f>IF(D3="","",_CALC_MOTEUR!AF3)</f>
        <v/>
      </c>
      <c r="Q3">
        <f>IF(D3="","",_CALC_MOTEUR!AG3)</f>
        <v/>
      </c>
      <c r="R3">
        <f>IF(D3="","",_CALC_MOTEUR!AH3)</f>
        <v/>
      </c>
      <c r="S3">
        <f>IF(D3="","",R3-M3)</f>
        <v/>
      </c>
    </row>
    <row r="4">
      <c r="A4" s="1" t="inlineStr">
        <is>
          <t>2027BUD_V1</t>
        </is>
      </c>
      <c r="B4" s="1" t="inlineStr">
        <is>
          <t>V03</t>
        </is>
      </c>
      <c r="C4" s="1" t="inlineStr">
        <is>
          <t>12</t>
        </is>
      </c>
      <c r="D4" s="1" t="inlineStr">
        <is>
          <t>MBWAY_PAR</t>
        </is>
      </c>
      <c r="E4" s="1" t="inlineStr">
        <is>
          <t>MBWAY</t>
        </is>
      </c>
      <c r="F4" s="1" t="inlineStr">
        <is>
          <t>BAC_MGT</t>
        </is>
      </c>
      <c r="G4" s="1" t="inlineStr">
        <is>
          <t>B1</t>
        </is>
      </c>
      <c r="H4" s="1" t="inlineStr">
        <is>
          <t>INIT</t>
        </is>
      </c>
      <c r="I4" s="1" t="inlineStr">
        <is>
          <t>2027</t>
        </is>
      </c>
      <c r="J4" t="n">
        <v>72.432660492</v>
      </c>
      <c r="K4" t="n">
        <v>72.432660492</v>
      </c>
      <c r="L4" t="n">
        <v>8601.6</v>
      </c>
      <c r="M4" t="n">
        <v>629555.7119284699</v>
      </c>
      <c r="O4">
        <f>IF(D4="","",_CALC_MOTEUR!AE4)</f>
        <v/>
      </c>
      <c r="P4">
        <f>IF(D4="","",_CALC_MOTEUR!AF4)</f>
        <v/>
      </c>
      <c r="Q4">
        <f>IF(D4="","",_CALC_MOTEUR!AG4)</f>
        <v/>
      </c>
      <c r="R4">
        <f>IF(D4="","",_CALC_MOTEUR!AH4)</f>
        <v/>
      </c>
      <c r="S4">
        <f>IF(D4="","",R4-M4)</f>
        <v/>
      </c>
    </row>
    <row r="5">
      <c r="A5" s="1" t="inlineStr">
        <is>
          <t>2027BUD_V1</t>
        </is>
      </c>
      <c r="B5" s="1" t="inlineStr">
        <is>
          <t>V01</t>
        </is>
      </c>
      <c r="C5" s="1" t="inlineStr">
        <is>
          <t>12</t>
        </is>
      </c>
      <c r="D5" s="1" t="inlineStr">
        <is>
          <t>MBWAY_PAR</t>
        </is>
      </c>
      <c r="E5" s="1" t="inlineStr">
        <is>
          <t>MBWAY</t>
        </is>
      </c>
      <c r="F5" s="1" t="inlineStr">
        <is>
          <t>BAC_MGT</t>
        </is>
      </c>
      <c r="G5" s="1" t="inlineStr">
        <is>
          <t>B2</t>
        </is>
      </c>
      <c r="H5" s="1" t="inlineStr">
        <is>
          <t>ALT</t>
        </is>
      </c>
      <c r="I5" s="1" t="inlineStr">
        <is>
          <t>2027</t>
        </is>
      </c>
      <c r="J5" t="n">
        <v>0</v>
      </c>
      <c r="K5" t="n">
        <v>76.39</v>
      </c>
      <c r="L5" t="n">
        <v>7867.2832</v>
      </c>
      <c r="M5" t="n">
        <v>600981.763648</v>
      </c>
      <c r="O5">
        <f>IF(D5="","",_CALC_MOTEUR!AE5)</f>
        <v/>
      </c>
      <c r="P5">
        <f>IF(D5="","",_CALC_MOTEUR!AF5)</f>
        <v/>
      </c>
      <c r="Q5">
        <f>IF(D5="","",_CALC_MOTEUR!AG5)</f>
        <v/>
      </c>
      <c r="R5">
        <f>IF(D5="","",_CALC_MOTEUR!AH5)</f>
        <v/>
      </c>
      <c r="S5">
        <f>IF(D5="","",R5-M5)</f>
        <v/>
      </c>
    </row>
    <row r="6">
      <c r="A6" s="1" t="inlineStr">
        <is>
          <t>2027BUD_V1</t>
        </is>
      </c>
      <c r="B6" s="1" t="inlineStr">
        <is>
          <t>V02</t>
        </is>
      </c>
      <c r="C6" s="1" t="inlineStr">
        <is>
          <t>12</t>
        </is>
      </c>
      <c r="D6" s="1" t="inlineStr">
        <is>
          <t>MBWAY_PAR</t>
        </is>
      </c>
      <c r="E6" s="1" t="inlineStr">
        <is>
          <t>MBWAY</t>
        </is>
      </c>
      <c r="F6" s="1" t="inlineStr">
        <is>
          <t>BAC_MGT</t>
        </is>
      </c>
      <c r="G6" s="1" t="inlineStr">
        <is>
          <t>B2</t>
        </is>
      </c>
      <c r="H6" s="1" t="inlineStr">
        <is>
          <t>ALT</t>
        </is>
      </c>
      <c r="I6" s="1" t="inlineStr">
        <is>
          <t>2027</t>
        </is>
      </c>
      <c r="J6" t="n">
        <v>0</v>
      </c>
      <c r="K6" t="n">
        <v>77.17</v>
      </c>
      <c r="L6" t="n">
        <v>8169.28</v>
      </c>
      <c r="M6" t="n">
        <v>630423.3376</v>
      </c>
      <c r="O6">
        <f>IF(D6="","",_CALC_MOTEUR!AE6)</f>
        <v/>
      </c>
      <c r="P6">
        <f>IF(D6="","",_CALC_MOTEUR!AF6)</f>
        <v/>
      </c>
      <c r="Q6">
        <f>IF(D6="","",_CALC_MOTEUR!AG6)</f>
        <v/>
      </c>
      <c r="R6">
        <f>IF(D6="","",_CALC_MOTEUR!AH6)</f>
        <v/>
      </c>
      <c r="S6">
        <f>IF(D6="","",R6-M6)</f>
        <v/>
      </c>
    </row>
    <row r="7">
      <c r="A7" s="1" t="inlineStr">
        <is>
          <t>2027BUD_V1</t>
        </is>
      </c>
      <c r="B7" s="1" t="inlineStr">
        <is>
          <t>V03</t>
        </is>
      </c>
      <c r="C7" s="1" t="inlineStr">
        <is>
          <t>12</t>
        </is>
      </c>
      <c r="D7" s="1" t="inlineStr">
        <is>
          <t>MBWAY_PAR</t>
        </is>
      </c>
      <c r="E7" s="1" t="inlineStr">
        <is>
          <t>MBWAY</t>
        </is>
      </c>
      <c r="F7" s="1" t="inlineStr">
        <is>
          <t>BAC_MGT</t>
        </is>
      </c>
      <c r="G7" s="1" t="inlineStr">
        <is>
          <t>B2</t>
        </is>
      </c>
      <c r="H7" s="1" t="inlineStr">
        <is>
          <t>ALT</t>
        </is>
      </c>
      <c r="I7" s="1" t="inlineStr">
        <is>
          <t>2027</t>
        </is>
      </c>
      <c r="J7" t="n">
        <v>0</v>
      </c>
      <c r="K7" t="n">
        <v>75.22</v>
      </c>
      <c r="L7" t="n">
        <v>8028.16</v>
      </c>
      <c r="M7" t="n">
        <v>603878.1952</v>
      </c>
      <c r="O7">
        <f>IF(D7="","",_CALC_MOTEUR!AE7)</f>
        <v/>
      </c>
      <c r="P7">
        <f>IF(D7="","",_CALC_MOTEUR!AF7)</f>
        <v/>
      </c>
      <c r="Q7">
        <f>IF(D7="","",_CALC_MOTEUR!AG7)</f>
        <v/>
      </c>
      <c r="R7">
        <f>IF(D7="","",_CALC_MOTEUR!AH7)</f>
        <v/>
      </c>
      <c r="S7">
        <f>IF(D7="","",R7-M7)</f>
        <v/>
      </c>
    </row>
    <row r="8">
      <c r="A8" s="1" t="inlineStr">
        <is>
          <t>2027BUD_V1</t>
        </is>
      </c>
      <c r="B8" s="1" t="inlineStr">
        <is>
          <t>V01</t>
        </is>
      </c>
      <c r="C8" s="1" t="inlineStr">
        <is>
          <t>12</t>
        </is>
      </c>
      <c r="D8" s="1" t="inlineStr">
        <is>
          <t>MBWAY_PAR</t>
        </is>
      </c>
      <c r="E8" s="1" t="inlineStr">
        <is>
          <t>MBWAY</t>
        </is>
      </c>
      <c r="F8" s="1" t="inlineStr">
        <is>
          <t>BAC_MGT</t>
        </is>
      </c>
      <c r="G8" s="1" t="inlineStr">
        <is>
          <t>B3</t>
        </is>
      </c>
      <c r="H8" s="1" t="inlineStr">
        <is>
          <t>ALT</t>
        </is>
      </c>
      <c r="I8" s="1" t="inlineStr">
        <is>
          <t>2027</t>
        </is>
      </c>
      <c r="J8" t="n">
        <v>0</v>
      </c>
      <c r="K8" t="n">
        <v>74.38</v>
      </c>
      <c r="L8" t="n">
        <v>7867.2832</v>
      </c>
      <c r="M8" t="n">
        <v>585168.524416</v>
      </c>
      <c r="O8">
        <f>IF(D8="","",_CALC_MOTEUR!AE8)</f>
        <v/>
      </c>
      <c r="P8">
        <f>IF(D8="","",_CALC_MOTEUR!AF8)</f>
        <v/>
      </c>
      <c r="Q8">
        <f>IF(D8="","",_CALC_MOTEUR!AG8)</f>
        <v/>
      </c>
      <c r="R8">
        <f>IF(D8="","",_CALC_MOTEUR!AH8)</f>
        <v/>
      </c>
      <c r="S8">
        <f>IF(D8="","",R8-M8)</f>
        <v/>
      </c>
    </row>
    <row r="9">
      <c r="A9" s="1" t="inlineStr">
        <is>
          <t>2027BUD_V1</t>
        </is>
      </c>
      <c r="B9" s="1" t="inlineStr">
        <is>
          <t>V02</t>
        </is>
      </c>
      <c r="C9" s="1" t="inlineStr">
        <is>
          <t>12</t>
        </is>
      </c>
      <c r="D9" s="1" t="inlineStr">
        <is>
          <t>MBWAY_PAR</t>
        </is>
      </c>
      <c r="E9" s="1" t="inlineStr">
        <is>
          <t>MBWAY</t>
        </is>
      </c>
      <c r="F9" s="1" t="inlineStr">
        <is>
          <t>BAC_MGT</t>
        </is>
      </c>
      <c r="G9" s="1" t="inlineStr">
        <is>
          <t>B3</t>
        </is>
      </c>
      <c r="H9" s="1" t="inlineStr">
        <is>
          <t>ALT</t>
        </is>
      </c>
      <c r="I9" s="1" t="inlineStr">
        <is>
          <t>2027</t>
        </is>
      </c>
      <c r="J9" t="n">
        <v>0</v>
      </c>
      <c r="K9" t="n">
        <v>75.14</v>
      </c>
      <c r="L9" t="n">
        <v>8169.28</v>
      </c>
      <c r="M9" t="n">
        <v>613839.6992</v>
      </c>
      <c r="O9">
        <f>IF(D9="","",_CALC_MOTEUR!AE9)</f>
        <v/>
      </c>
      <c r="P9">
        <f>IF(D9="","",_CALC_MOTEUR!AF9)</f>
        <v/>
      </c>
      <c r="Q9">
        <f>IF(D9="","",_CALC_MOTEUR!AG9)</f>
        <v/>
      </c>
      <c r="R9">
        <f>IF(D9="","",_CALC_MOTEUR!AH9)</f>
        <v/>
      </c>
      <c r="S9">
        <f>IF(D9="","",R9-M9)</f>
        <v/>
      </c>
    </row>
    <row r="10">
      <c r="A10" s="1" t="inlineStr">
        <is>
          <t>2027BUD_V1</t>
        </is>
      </c>
      <c r="B10" s="1" t="inlineStr">
        <is>
          <t>V03</t>
        </is>
      </c>
      <c r="C10" s="1" t="inlineStr">
        <is>
          <t>12</t>
        </is>
      </c>
      <c r="D10" s="1" t="inlineStr">
        <is>
          <t>MBWAY_PAR</t>
        </is>
      </c>
      <c r="E10" s="1" t="inlineStr">
        <is>
          <t>MBWAY</t>
        </is>
      </c>
      <c r="F10" s="1" t="inlineStr">
        <is>
          <t>BAC_MGT</t>
        </is>
      </c>
      <c r="G10" s="1" t="inlineStr">
        <is>
          <t>B3</t>
        </is>
      </c>
      <c r="H10" s="1" t="inlineStr">
        <is>
          <t>ALT</t>
        </is>
      </c>
      <c r="I10" s="1" t="inlineStr">
        <is>
          <t>2027</t>
        </is>
      </c>
      <c r="J10" t="n">
        <v>0</v>
      </c>
      <c r="K10" t="n">
        <v>73.23999999999999</v>
      </c>
      <c r="L10" t="n">
        <v>8028.16</v>
      </c>
      <c r="M10" t="n">
        <v>587982.4384</v>
      </c>
      <c r="O10">
        <f>IF(D10="","",_CALC_MOTEUR!AE10)</f>
        <v/>
      </c>
      <c r="P10">
        <f>IF(D10="","",_CALC_MOTEUR!AF10)</f>
        <v/>
      </c>
      <c r="Q10">
        <f>IF(D10="","",_CALC_MOTEUR!AG10)</f>
        <v/>
      </c>
      <c r="R10">
        <f>IF(D10="","",_CALC_MOTEUR!AH10)</f>
        <v/>
      </c>
      <c r="S10">
        <f>IF(D10="","",R10-M10)</f>
        <v/>
      </c>
    </row>
    <row r="11">
      <c r="A11" s="1" t="inlineStr">
        <is>
          <t>2027BUD_V1</t>
        </is>
      </c>
      <c r="B11" s="1" t="inlineStr">
        <is>
          <t>V01</t>
        </is>
      </c>
      <c r="C11" s="1" t="inlineStr">
        <is>
          <t>12</t>
        </is>
      </c>
      <c r="D11" s="1" t="inlineStr">
        <is>
          <t>MBWAY_PAR</t>
        </is>
      </c>
      <c r="E11" s="1" t="inlineStr">
        <is>
          <t>MBWAY</t>
        </is>
      </c>
      <c r="F11" s="1" t="inlineStr">
        <is>
          <t>MAS_MGT</t>
        </is>
      </c>
      <c r="G11" s="1" t="inlineStr">
        <is>
          <t>M1</t>
        </is>
      </c>
      <c r="H11" s="1" t="inlineStr">
        <is>
          <t>ALT</t>
        </is>
      </c>
      <c r="I11" s="1" t="inlineStr">
        <is>
          <t>2027</t>
        </is>
      </c>
      <c r="J11" t="n">
        <v>86.701857734</v>
      </c>
      <c r="K11" t="n">
        <v>86.701857734</v>
      </c>
      <c r="L11" t="n">
        <v>8429.232</v>
      </c>
      <c r="M11" t="n">
        <v>738633.2408656341</v>
      </c>
      <c r="O11">
        <f>IF(D11="","",_CALC_MOTEUR!AE11)</f>
        <v/>
      </c>
      <c r="P11">
        <f>IF(D11="","",_CALC_MOTEUR!AF11)</f>
        <v/>
      </c>
      <c r="Q11">
        <f>IF(D11="","",_CALC_MOTEUR!AG11)</f>
        <v/>
      </c>
      <c r="R11">
        <f>IF(D11="","",_CALC_MOTEUR!AH11)</f>
        <v/>
      </c>
      <c r="S11">
        <f>IF(D11="","",R11-M11)</f>
        <v/>
      </c>
    </row>
    <row r="12">
      <c r="A12" s="1" t="inlineStr">
        <is>
          <t>2027BUD_V1</t>
        </is>
      </c>
      <c r="B12" s="1" t="inlineStr">
        <is>
          <t>V02</t>
        </is>
      </c>
      <c r="C12" s="1" t="inlineStr">
        <is>
          <t>12</t>
        </is>
      </c>
      <c r="D12" s="1" t="inlineStr">
        <is>
          <t>MBWAY_PAR</t>
        </is>
      </c>
      <c r="E12" s="1" t="inlineStr">
        <is>
          <t>MBWAY</t>
        </is>
      </c>
      <c r="F12" s="1" t="inlineStr">
        <is>
          <t>MAS_MGT</t>
        </is>
      </c>
      <c r="G12" s="1" t="inlineStr">
        <is>
          <t>M1</t>
        </is>
      </c>
      <c r="H12" s="1" t="inlineStr">
        <is>
          <t>ALT</t>
        </is>
      </c>
      <c r="I12" s="1" t="inlineStr">
        <is>
          <t>2027</t>
        </is>
      </c>
      <c r="J12" t="n">
        <v>100.625140975</v>
      </c>
      <c r="K12" t="n">
        <v>100.625140975</v>
      </c>
      <c r="L12" t="n">
        <v>8752.799999999999</v>
      </c>
      <c r="M12" t="n">
        <v>889807.996610338</v>
      </c>
      <c r="O12">
        <f>IF(D12="","",_CALC_MOTEUR!AE12)</f>
        <v/>
      </c>
      <c r="P12">
        <f>IF(D12="","",_CALC_MOTEUR!AF12)</f>
        <v/>
      </c>
      <c r="Q12">
        <f>IF(D12="","",_CALC_MOTEUR!AG12)</f>
        <v/>
      </c>
      <c r="R12">
        <f>IF(D12="","",_CALC_MOTEUR!AH12)</f>
        <v/>
      </c>
      <c r="S12">
        <f>IF(D12="","",R12-M12)</f>
        <v/>
      </c>
    </row>
    <row r="13">
      <c r="A13" s="1" t="inlineStr">
        <is>
          <t>2027BUD_V1</t>
        </is>
      </c>
      <c r="B13" s="1" t="inlineStr">
        <is>
          <t>V03</t>
        </is>
      </c>
      <c r="C13" s="1" t="inlineStr">
        <is>
          <t>12</t>
        </is>
      </c>
      <c r="D13" s="1" t="inlineStr">
        <is>
          <t>MBWAY_PAR</t>
        </is>
      </c>
      <c r="E13" s="1" t="inlineStr">
        <is>
          <t>MBWAY</t>
        </is>
      </c>
      <c r="F13" s="1" t="inlineStr">
        <is>
          <t>MAS_MGT</t>
        </is>
      </c>
      <c r="G13" s="1" t="inlineStr">
        <is>
          <t>M1</t>
        </is>
      </c>
      <c r="H13" s="1" t="inlineStr">
        <is>
          <t>ALT</t>
        </is>
      </c>
      <c r="I13" s="1" t="inlineStr">
        <is>
          <t>2027</t>
        </is>
      </c>
      <c r="J13" t="n">
        <v>70.836835948</v>
      </c>
      <c r="K13" t="n">
        <v>70.836835948</v>
      </c>
      <c r="L13" t="n">
        <v>8601.6</v>
      </c>
      <c r="M13" t="n">
        <v>615685.443329367</v>
      </c>
      <c r="O13">
        <f>IF(D13="","",_CALC_MOTEUR!AE13)</f>
        <v/>
      </c>
      <c r="P13">
        <f>IF(D13="","",_CALC_MOTEUR!AF13)</f>
        <v/>
      </c>
      <c r="Q13">
        <f>IF(D13="","",_CALC_MOTEUR!AG13)</f>
        <v/>
      </c>
      <c r="R13">
        <f>IF(D13="","",_CALC_MOTEUR!AH13)</f>
        <v/>
      </c>
      <c r="S13">
        <f>IF(D13="","",R13-M13)</f>
        <v/>
      </c>
    </row>
    <row r="14">
      <c r="A14" s="1" t="inlineStr">
        <is>
          <t>2027BUD_V1</t>
        </is>
      </c>
      <c r="B14" s="1" t="inlineStr">
        <is>
          <t>V01</t>
        </is>
      </c>
      <c r="C14" s="1" t="inlineStr">
        <is>
          <t>12</t>
        </is>
      </c>
      <c r="D14" s="1" t="inlineStr">
        <is>
          <t>MBWAY_PAR</t>
        </is>
      </c>
      <c r="E14" s="1" t="inlineStr">
        <is>
          <t>MBWAY</t>
        </is>
      </c>
      <c r="F14" s="1" t="inlineStr">
        <is>
          <t>MAS_MGT</t>
        </is>
      </c>
      <c r="G14" s="1" t="inlineStr">
        <is>
          <t>M2</t>
        </is>
      </c>
      <c r="H14" s="1" t="inlineStr">
        <is>
          <t>ALT</t>
        </is>
      </c>
      <c r="I14" s="1" t="inlineStr">
        <is>
          <t>2027</t>
        </is>
      </c>
      <c r="J14" t="n">
        <v>0</v>
      </c>
      <c r="K14" t="n">
        <v>76.39</v>
      </c>
      <c r="L14" t="n">
        <v>8429.232</v>
      </c>
      <c r="M14" t="n">
        <v>643909.0324800001</v>
      </c>
      <c r="O14">
        <f>IF(D14="","",_CALC_MOTEUR!AE14)</f>
        <v/>
      </c>
      <c r="P14">
        <f>IF(D14="","",_CALC_MOTEUR!AF14)</f>
        <v/>
      </c>
      <c r="Q14">
        <f>IF(D14="","",_CALC_MOTEUR!AG14)</f>
        <v/>
      </c>
      <c r="R14">
        <f>IF(D14="","",_CALC_MOTEUR!AH14)</f>
        <v/>
      </c>
      <c r="S14">
        <f>IF(D14="","",R14-M14)</f>
        <v/>
      </c>
    </row>
    <row r="15">
      <c r="A15" s="1" t="inlineStr">
        <is>
          <t>2027BUD_V1</t>
        </is>
      </c>
      <c r="B15" s="1" t="inlineStr">
        <is>
          <t>V02</t>
        </is>
      </c>
      <c r="C15" s="1" t="inlineStr">
        <is>
          <t>12</t>
        </is>
      </c>
      <c r="D15" s="1" t="inlineStr">
        <is>
          <t>MBWAY_PAR</t>
        </is>
      </c>
      <c r="E15" s="1" t="inlineStr">
        <is>
          <t>MBWAY</t>
        </is>
      </c>
      <c r="F15" s="1" t="inlineStr">
        <is>
          <t>MAS_MGT</t>
        </is>
      </c>
      <c r="G15" s="1" t="inlineStr">
        <is>
          <t>M2</t>
        </is>
      </c>
      <c r="H15" s="1" t="inlineStr">
        <is>
          <t>ALT</t>
        </is>
      </c>
      <c r="I15" s="1" t="inlineStr">
        <is>
          <t>2027</t>
        </is>
      </c>
      <c r="J15" t="n">
        <v>0</v>
      </c>
      <c r="K15" t="n">
        <v>77.17</v>
      </c>
      <c r="L15" t="n">
        <v>8752.799999999999</v>
      </c>
      <c r="M15" t="n">
        <v>675453.576</v>
      </c>
      <c r="O15">
        <f>IF(D15="","",_CALC_MOTEUR!AE15)</f>
        <v/>
      </c>
      <c r="P15">
        <f>IF(D15="","",_CALC_MOTEUR!AF15)</f>
        <v/>
      </c>
      <c r="Q15">
        <f>IF(D15="","",_CALC_MOTEUR!AG15)</f>
        <v/>
      </c>
      <c r="R15">
        <f>IF(D15="","",_CALC_MOTEUR!AH15)</f>
        <v/>
      </c>
      <c r="S15">
        <f>IF(D15="","",R15-M15)</f>
        <v/>
      </c>
    </row>
    <row r="16">
      <c r="A16" s="1" t="inlineStr">
        <is>
          <t>2027BUD_V1</t>
        </is>
      </c>
      <c r="B16" s="1" t="inlineStr">
        <is>
          <t>V03</t>
        </is>
      </c>
      <c r="C16" s="1" t="inlineStr">
        <is>
          <t>12</t>
        </is>
      </c>
      <c r="D16" s="1" t="inlineStr">
        <is>
          <t>MBWAY_PAR</t>
        </is>
      </c>
      <c r="E16" s="1" t="inlineStr">
        <is>
          <t>MBWAY</t>
        </is>
      </c>
      <c r="F16" s="1" t="inlineStr">
        <is>
          <t>MAS_MGT</t>
        </is>
      </c>
      <c r="G16" s="1" t="inlineStr">
        <is>
          <t>M2</t>
        </is>
      </c>
      <c r="H16" s="1" t="inlineStr">
        <is>
          <t>ALT</t>
        </is>
      </c>
      <c r="I16" s="1" t="inlineStr">
        <is>
          <t>2027</t>
        </is>
      </c>
      <c r="J16" t="n">
        <v>0</v>
      </c>
      <c r="K16" t="n">
        <v>75.22</v>
      </c>
      <c r="L16" t="n">
        <v>8601.6</v>
      </c>
      <c r="M16" t="n">
        <v>647012.352</v>
      </c>
      <c r="O16">
        <f>IF(D16="","",_CALC_MOTEUR!AE16)</f>
        <v/>
      </c>
      <c r="P16">
        <f>IF(D16="","",_CALC_MOTEUR!AF16)</f>
        <v/>
      </c>
      <c r="Q16">
        <f>IF(D16="","",_CALC_MOTEUR!AG16)</f>
        <v/>
      </c>
      <c r="R16">
        <f>IF(D16="","",_CALC_MOTEUR!AH16)</f>
        <v/>
      </c>
      <c r="S16">
        <f>IF(D16="","",R16-M16)</f>
        <v/>
      </c>
    </row>
    <row r="17">
      <c r="A17" s="1" t="inlineStr">
        <is>
          <t>2027BUD_V1</t>
        </is>
      </c>
      <c r="B17" s="1" t="inlineStr">
        <is>
          <t>V01</t>
        </is>
      </c>
      <c r="C17" s="1" t="inlineStr">
        <is>
          <t>12</t>
        </is>
      </c>
      <c r="D17" s="1" t="inlineStr">
        <is>
          <t>MBWAY_LYO</t>
        </is>
      </c>
      <c r="E17" s="1" t="inlineStr">
        <is>
          <t>MBWAY</t>
        </is>
      </c>
      <c r="F17" s="1" t="inlineStr">
        <is>
          <t>BAC_MGT</t>
        </is>
      </c>
      <c r="G17" s="1" t="inlineStr">
        <is>
          <t>B1</t>
        </is>
      </c>
      <c r="H17" s="1" t="inlineStr">
        <is>
          <t>INIT</t>
        </is>
      </c>
      <c r="I17" s="1" t="inlineStr">
        <is>
          <t>2027</t>
        </is>
      </c>
      <c r="J17" t="n">
        <v>72.00587267100001</v>
      </c>
      <c r="K17" t="n">
        <v>72.00587267100001</v>
      </c>
      <c r="L17" t="n">
        <v>7902.405</v>
      </c>
      <c r="M17" t="n">
        <v>575500.0967623841</v>
      </c>
      <c r="O17">
        <f>IF(D17="","",_CALC_MOTEUR!AE17)</f>
        <v/>
      </c>
      <c r="P17">
        <f>IF(D17="","",_CALC_MOTEUR!AF17)</f>
        <v/>
      </c>
      <c r="Q17">
        <f>IF(D17="","",_CALC_MOTEUR!AG17)</f>
        <v/>
      </c>
      <c r="R17">
        <f>IF(D17="","",_CALC_MOTEUR!AH17)</f>
        <v/>
      </c>
      <c r="S17">
        <f>IF(D17="","",R17-M17)</f>
        <v/>
      </c>
    </row>
    <row r="18">
      <c r="A18" s="1" t="inlineStr">
        <is>
          <t>2027BUD_V1</t>
        </is>
      </c>
      <c r="B18" s="1" t="inlineStr">
        <is>
          <t>V02</t>
        </is>
      </c>
      <c r="C18" s="1" t="inlineStr">
        <is>
          <t>12</t>
        </is>
      </c>
      <c r="D18" s="1" t="inlineStr">
        <is>
          <t>MBWAY_LYO</t>
        </is>
      </c>
      <c r="E18" s="1" t="inlineStr">
        <is>
          <t>MBWAY</t>
        </is>
      </c>
      <c r="F18" s="1" t="inlineStr">
        <is>
          <t>BAC_MGT</t>
        </is>
      </c>
      <c r="G18" s="1" t="inlineStr">
        <is>
          <t>B1</t>
        </is>
      </c>
      <c r="H18" s="1" t="inlineStr">
        <is>
          <t>INIT</t>
        </is>
      </c>
      <c r="I18" s="1" t="inlineStr">
        <is>
          <t>2027</t>
        </is>
      </c>
      <c r="J18" t="n">
        <v>80.804745267</v>
      </c>
      <c r="K18" t="n">
        <v>80.804745267</v>
      </c>
      <c r="L18" t="n">
        <v>8205.75</v>
      </c>
      <c r="M18" t="n">
        <v>670335.965548777</v>
      </c>
      <c r="O18">
        <f>IF(D18="","",_CALC_MOTEUR!AE18)</f>
        <v/>
      </c>
      <c r="P18">
        <f>IF(D18="","",_CALC_MOTEUR!AF18)</f>
        <v/>
      </c>
      <c r="Q18">
        <f>IF(D18="","",_CALC_MOTEUR!AG18)</f>
        <v/>
      </c>
      <c r="R18">
        <f>IF(D18="","",_CALC_MOTEUR!AH18)</f>
        <v/>
      </c>
      <c r="S18">
        <f>IF(D18="","",R18-M18)</f>
        <v/>
      </c>
    </row>
    <row r="19">
      <c r="A19" s="1" t="inlineStr">
        <is>
          <t>2027BUD_V1</t>
        </is>
      </c>
      <c r="B19" s="1" t="inlineStr">
        <is>
          <t>V03</t>
        </is>
      </c>
      <c r="C19" s="1" t="inlineStr">
        <is>
          <t>12</t>
        </is>
      </c>
      <c r="D19" s="1" t="inlineStr">
        <is>
          <t>MBWAY_LYO</t>
        </is>
      </c>
      <c r="E19" s="1" t="inlineStr">
        <is>
          <t>MBWAY</t>
        </is>
      </c>
      <c r="F19" s="1" t="inlineStr">
        <is>
          <t>BAC_MGT</t>
        </is>
      </c>
      <c r="G19" s="1" t="inlineStr">
        <is>
          <t>B1</t>
        </is>
      </c>
      <c r="H19" s="1" t="inlineStr">
        <is>
          <t>INIT</t>
        </is>
      </c>
      <c r="I19" s="1" t="inlineStr">
        <is>
          <t>2027</t>
        </is>
      </c>
      <c r="J19" t="n">
        <v>61.226538255</v>
      </c>
      <c r="K19" t="n">
        <v>61.226538255</v>
      </c>
      <c r="L19" t="n">
        <v>8064</v>
      </c>
      <c r="M19" t="n">
        <v>499241.192934098</v>
      </c>
      <c r="O19">
        <f>IF(D19="","",_CALC_MOTEUR!AE19)</f>
        <v/>
      </c>
      <c r="P19">
        <f>IF(D19="","",_CALC_MOTEUR!AF19)</f>
        <v/>
      </c>
      <c r="Q19">
        <f>IF(D19="","",_CALC_MOTEUR!AG19)</f>
        <v/>
      </c>
      <c r="R19">
        <f>IF(D19="","",_CALC_MOTEUR!AH19)</f>
        <v/>
      </c>
      <c r="S19">
        <f>IF(D19="","",R19-M19)</f>
        <v/>
      </c>
    </row>
    <row r="20">
      <c r="A20" s="1" t="inlineStr">
        <is>
          <t>2027BUD_V1</t>
        </is>
      </c>
      <c r="B20" s="1" t="inlineStr">
        <is>
          <t>V01</t>
        </is>
      </c>
      <c r="C20" s="1" t="inlineStr">
        <is>
          <t>12</t>
        </is>
      </c>
      <c r="D20" s="1" t="inlineStr">
        <is>
          <t>MBWAY_LYO</t>
        </is>
      </c>
      <c r="E20" s="1" t="inlineStr">
        <is>
          <t>MBWAY</t>
        </is>
      </c>
      <c r="F20" s="1" t="inlineStr">
        <is>
          <t>BAC_MGT</t>
        </is>
      </c>
      <c r="G20" s="1" t="inlineStr">
        <is>
          <t>B2</t>
        </is>
      </c>
      <c r="H20" s="1" t="inlineStr">
        <is>
          <t>ALT</t>
        </is>
      </c>
      <c r="I20" s="1" t="inlineStr">
        <is>
          <t>2027</t>
        </is>
      </c>
      <c r="J20" t="n">
        <v>0</v>
      </c>
      <c r="K20" t="n">
        <v>64.33</v>
      </c>
      <c r="L20" t="n">
        <v>7375.578</v>
      </c>
      <c r="M20" t="n">
        <v>474470.93274</v>
      </c>
      <c r="O20">
        <f>IF(D20="","",_CALC_MOTEUR!AE20)</f>
        <v/>
      </c>
      <c r="P20">
        <f>IF(D20="","",_CALC_MOTEUR!AF20)</f>
        <v/>
      </c>
      <c r="Q20">
        <f>IF(D20="","",_CALC_MOTEUR!AG20)</f>
        <v/>
      </c>
      <c r="R20">
        <f>IF(D20="","",_CALC_MOTEUR!AH20)</f>
        <v/>
      </c>
      <c r="S20">
        <f>IF(D20="","",R20-M20)</f>
        <v/>
      </c>
    </row>
    <row r="21">
      <c r="A21" s="1" t="inlineStr">
        <is>
          <t>2027BUD_V1</t>
        </is>
      </c>
      <c r="B21" s="1" t="inlineStr">
        <is>
          <t>V02</t>
        </is>
      </c>
      <c r="C21" s="1" t="inlineStr">
        <is>
          <t>12</t>
        </is>
      </c>
      <c r="D21" s="1" t="inlineStr">
        <is>
          <t>MBWAY_LYO</t>
        </is>
      </c>
      <c r="E21" s="1" t="inlineStr">
        <is>
          <t>MBWAY</t>
        </is>
      </c>
      <c r="F21" s="1" t="inlineStr">
        <is>
          <t>BAC_MGT</t>
        </is>
      </c>
      <c r="G21" s="1" t="inlineStr">
        <is>
          <t>B2</t>
        </is>
      </c>
      <c r="H21" s="1" t="inlineStr">
        <is>
          <t>ALT</t>
        </is>
      </c>
      <c r="I21" s="1" t="inlineStr">
        <is>
          <t>2027</t>
        </is>
      </c>
      <c r="J21" t="n">
        <v>0</v>
      </c>
      <c r="K21" t="n">
        <v>64.98999999999999</v>
      </c>
      <c r="L21" t="n">
        <v>7658.7</v>
      </c>
      <c r="M21" t="n">
        <v>497738.913</v>
      </c>
      <c r="O21">
        <f>IF(D21="","",_CALC_MOTEUR!AE21)</f>
        <v/>
      </c>
      <c r="P21">
        <f>IF(D21="","",_CALC_MOTEUR!AF21)</f>
        <v/>
      </c>
      <c r="Q21">
        <f>IF(D21="","",_CALC_MOTEUR!AG21)</f>
        <v/>
      </c>
      <c r="R21">
        <f>IF(D21="","",_CALC_MOTEUR!AH21)</f>
        <v/>
      </c>
      <c r="S21">
        <f>IF(D21="","",R21-M21)</f>
        <v/>
      </c>
    </row>
    <row r="22">
      <c r="A22" s="1" t="inlineStr">
        <is>
          <t>2027BUD_V1</t>
        </is>
      </c>
      <c r="B22" s="1" t="inlineStr">
        <is>
          <t>V03</t>
        </is>
      </c>
      <c r="C22" s="1" t="inlineStr">
        <is>
          <t>12</t>
        </is>
      </c>
      <c r="D22" s="1" t="inlineStr">
        <is>
          <t>MBWAY_LYO</t>
        </is>
      </c>
      <c r="E22" s="1" t="inlineStr">
        <is>
          <t>MBWAY</t>
        </is>
      </c>
      <c r="F22" s="1" t="inlineStr">
        <is>
          <t>BAC_MGT</t>
        </is>
      </c>
      <c r="G22" s="1" t="inlineStr">
        <is>
          <t>B2</t>
        </is>
      </c>
      <c r="H22" s="1" t="inlineStr">
        <is>
          <t>ALT</t>
        </is>
      </c>
      <c r="I22" s="1" t="inlineStr">
        <is>
          <t>2027</t>
        </is>
      </c>
      <c r="J22" t="n">
        <v>0</v>
      </c>
      <c r="K22" t="n">
        <v>63.34</v>
      </c>
      <c r="L22" t="n">
        <v>7526.4</v>
      </c>
      <c r="M22" t="n">
        <v>476722.176</v>
      </c>
      <c r="O22">
        <f>IF(D22="","",_CALC_MOTEUR!AE22)</f>
        <v/>
      </c>
      <c r="P22">
        <f>IF(D22="","",_CALC_MOTEUR!AF22)</f>
        <v/>
      </c>
      <c r="Q22">
        <f>IF(D22="","",_CALC_MOTEUR!AG22)</f>
        <v/>
      </c>
      <c r="R22">
        <f>IF(D22="","",_CALC_MOTEUR!AH22)</f>
        <v/>
      </c>
      <c r="S22">
        <f>IF(D22="","",R22-M22)</f>
        <v/>
      </c>
    </row>
    <row r="23">
      <c r="A23" s="1" t="inlineStr">
        <is>
          <t>2027BUD_V1</t>
        </is>
      </c>
      <c r="B23" s="1" t="inlineStr">
        <is>
          <t>V01</t>
        </is>
      </c>
      <c r="C23" s="1" t="inlineStr">
        <is>
          <t>12</t>
        </is>
      </c>
      <c r="D23" s="1" t="inlineStr">
        <is>
          <t>MBWAY_LYO</t>
        </is>
      </c>
      <c r="E23" s="1" t="inlineStr">
        <is>
          <t>MBWAY</t>
        </is>
      </c>
      <c r="F23" s="1" t="inlineStr">
        <is>
          <t>BAC_MGT</t>
        </is>
      </c>
      <c r="G23" s="1" t="inlineStr">
        <is>
          <t>B3</t>
        </is>
      </c>
      <c r="H23" s="1" t="inlineStr">
        <is>
          <t>ALT</t>
        </is>
      </c>
      <c r="I23" s="1" t="inlineStr">
        <is>
          <t>2027</t>
        </is>
      </c>
      <c r="J23" t="n">
        <v>0</v>
      </c>
      <c r="K23" t="n">
        <v>63.32</v>
      </c>
      <c r="L23" t="n">
        <v>7375.578</v>
      </c>
      <c r="M23" t="n">
        <v>467021.59896</v>
      </c>
      <c r="O23">
        <f>IF(D23="","",_CALC_MOTEUR!AE23)</f>
        <v/>
      </c>
      <c r="P23">
        <f>IF(D23="","",_CALC_MOTEUR!AF23)</f>
        <v/>
      </c>
      <c r="Q23">
        <f>IF(D23="","",_CALC_MOTEUR!AG23)</f>
        <v/>
      </c>
      <c r="R23">
        <f>IF(D23="","",_CALC_MOTEUR!AH23)</f>
        <v/>
      </c>
      <c r="S23">
        <f>IF(D23="","",R23-M23)</f>
        <v/>
      </c>
    </row>
    <row r="24">
      <c r="A24" s="1" t="inlineStr">
        <is>
          <t>2027BUD_V1</t>
        </is>
      </c>
      <c r="B24" s="1" t="inlineStr">
        <is>
          <t>V02</t>
        </is>
      </c>
      <c r="C24" s="1" t="inlineStr">
        <is>
          <t>12</t>
        </is>
      </c>
      <c r="D24" s="1" t="inlineStr">
        <is>
          <t>MBWAY_LYO</t>
        </is>
      </c>
      <c r="E24" s="1" t="inlineStr">
        <is>
          <t>MBWAY</t>
        </is>
      </c>
      <c r="F24" s="1" t="inlineStr">
        <is>
          <t>BAC_MGT</t>
        </is>
      </c>
      <c r="G24" s="1" t="inlineStr">
        <is>
          <t>B3</t>
        </is>
      </c>
      <c r="H24" s="1" t="inlineStr">
        <is>
          <t>ALT</t>
        </is>
      </c>
      <c r="I24" s="1" t="inlineStr">
        <is>
          <t>2027</t>
        </is>
      </c>
      <c r="J24" t="n">
        <v>0</v>
      </c>
      <c r="K24" t="n">
        <v>63.96</v>
      </c>
      <c r="L24" t="n">
        <v>7658.7</v>
      </c>
      <c r="M24" t="n">
        <v>489850.452</v>
      </c>
      <c r="O24">
        <f>IF(D24="","",_CALC_MOTEUR!AE24)</f>
        <v/>
      </c>
      <c r="P24">
        <f>IF(D24="","",_CALC_MOTEUR!AF24)</f>
        <v/>
      </c>
      <c r="Q24">
        <f>IF(D24="","",_CALC_MOTEUR!AG24)</f>
        <v/>
      </c>
      <c r="R24">
        <f>IF(D24="","",_CALC_MOTEUR!AH24)</f>
        <v/>
      </c>
      <c r="S24">
        <f>IF(D24="","",R24-M24)</f>
        <v/>
      </c>
    </row>
    <row r="25">
      <c r="A25" s="1" t="inlineStr">
        <is>
          <t>2027BUD_V1</t>
        </is>
      </c>
      <c r="B25" s="1" t="inlineStr">
        <is>
          <t>V03</t>
        </is>
      </c>
      <c r="C25" s="1" t="inlineStr">
        <is>
          <t>12</t>
        </is>
      </c>
      <c r="D25" s="1" t="inlineStr">
        <is>
          <t>MBWAY_LYO</t>
        </is>
      </c>
      <c r="E25" s="1" t="inlineStr">
        <is>
          <t>MBWAY</t>
        </is>
      </c>
      <c r="F25" s="1" t="inlineStr">
        <is>
          <t>BAC_MGT</t>
        </is>
      </c>
      <c r="G25" s="1" t="inlineStr">
        <is>
          <t>B3</t>
        </is>
      </c>
      <c r="H25" s="1" t="inlineStr">
        <is>
          <t>ALT</t>
        </is>
      </c>
      <c r="I25" s="1" t="inlineStr">
        <is>
          <t>2027</t>
        </is>
      </c>
      <c r="J25" t="n">
        <v>0</v>
      </c>
      <c r="K25" t="n">
        <v>62.36</v>
      </c>
      <c r="L25" t="n">
        <v>7526.4</v>
      </c>
      <c r="M25" t="n">
        <v>469346.304</v>
      </c>
      <c r="O25">
        <f>IF(D25="","",_CALC_MOTEUR!AE25)</f>
        <v/>
      </c>
      <c r="P25">
        <f>IF(D25="","",_CALC_MOTEUR!AF25)</f>
        <v/>
      </c>
      <c r="Q25">
        <f>IF(D25="","",_CALC_MOTEUR!AG25)</f>
        <v/>
      </c>
      <c r="R25">
        <f>IF(D25="","",_CALC_MOTEUR!AH25)</f>
        <v/>
      </c>
      <c r="S25">
        <f>IF(D25="","",R25-M25)</f>
        <v/>
      </c>
    </row>
    <row r="26">
      <c r="A26" s="1" t="inlineStr">
        <is>
          <t>2027BUD_V1</t>
        </is>
      </c>
      <c r="B26" s="1" t="inlineStr">
        <is>
          <t>V01</t>
        </is>
      </c>
      <c r="C26" s="1" t="inlineStr">
        <is>
          <t>12</t>
        </is>
      </c>
      <c r="D26" s="1" t="inlineStr">
        <is>
          <t>MBWAY_LYO</t>
        </is>
      </c>
      <c r="E26" s="1" t="inlineStr">
        <is>
          <t>MBWAY</t>
        </is>
      </c>
      <c r="F26" s="1" t="inlineStr">
        <is>
          <t>MAS_MGT</t>
        </is>
      </c>
      <c r="G26" s="1" t="inlineStr">
        <is>
          <t>M1</t>
        </is>
      </c>
      <c r="H26" s="1" t="inlineStr">
        <is>
          <t>ALT</t>
        </is>
      </c>
      <c r="I26" s="1" t="inlineStr">
        <is>
          <t>2027</t>
        </is>
      </c>
      <c r="J26" t="n">
        <v>73.512365059</v>
      </c>
      <c r="K26" t="n">
        <v>73.512365059</v>
      </c>
      <c r="L26" t="n">
        <v>7902.405</v>
      </c>
      <c r="M26" t="n">
        <v>587540.594063364</v>
      </c>
      <c r="O26">
        <f>IF(D26="","",_CALC_MOTEUR!AE26)</f>
        <v/>
      </c>
      <c r="P26">
        <f>IF(D26="","",_CALC_MOTEUR!AF26)</f>
        <v/>
      </c>
      <c r="Q26">
        <f>IF(D26="","",_CALC_MOTEUR!AG26)</f>
        <v/>
      </c>
      <c r="R26">
        <f>IF(D26="","",_CALC_MOTEUR!AH26)</f>
        <v/>
      </c>
      <c r="S26">
        <f>IF(D26="","",R26-M26)</f>
        <v/>
      </c>
    </row>
    <row r="27">
      <c r="A27" s="1" t="inlineStr">
        <is>
          <t>2027BUD_V1</t>
        </is>
      </c>
      <c r="B27" s="1" t="inlineStr">
        <is>
          <t>V02</t>
        </is>
      </c>
      <c r="C27" s="1" t="inlineStr">
        <is>
          <t>12</t>
        </is>
      </c>
      <c r="D27" s="1" t="inlineStr">
        <is>
          <t>MBWAY_LYO</t>
        </is>
      </c>
      <c r="E27" s="1" t="inlineStr">
        <is>
          <t>MBWAY</t>
        </is>
      </c>
      <c r="F27" s="1" t="inlineStr">
        <is>
          <t>MAS_MGT</t>
        </is>
      </c>
      <c r="G27" s="1" t="inlineStr">
        <is>
          <t>M1</t>
        </is>
      </c>
      <c r="H27" s="1" t="inlineStr">
        <is>
          <t>ALT</t>
        </is>
      </c>
      <c r="I27" s="1" t="inlineStr">
        <is>
          <t>2027</t>
        </is>
      </c>
      <c r="J27" t="n">
        <v>85.373636511</v>
      </c>
      <c r="K27" t="n">
        <v>85.373636511</v>
      </c>
      <c r="L27" t="n">
        <v>8205.75</v>
      </c>
      <c r="M27" t="n">
        <v>708238.345082806</v>
      </c>
      <c r="O27">
        <f>IF(D27="","",_CALC_MOTEUR!AE27)</f>
        <v/>
      </c>
      <c r="P27">
        <f>IF(D27="","",_CALC_MOTEUR!AF27)</f>
        <v/>
      </c>
      <c r="Q27">
        <f>IF(D27="","",_CALC_MOTEUR!AG27)</f>
        <v/>
      </c>
      <c r="R27">
        <f>IF(D27="","",_CALC_MOTEUR!AH27)</f>
        <v/>
      </c>
      <c r="S27">
        <f>IF(D27="","",R27-M27)</f>
        <v/>
      </c>
    </row>
    <row r="28">
      <c r="A28" s="1" t="inlineStr">
        <is>
          <t>2027BUD_V1</t>
        </is>
      </c>
      <c r="B28" s="1" t="inlineStr">
        <is>
          <t>V03</t>
        </is>
      </c>
      <c r="C28" s="1" t="inlineStr">
        <is>
          <t>12</t>
        </is>
      </c>
      <c r="D28" s="1" t="inlineStr">
        <is>
          <t>MBWAY_LYO</t>
        </is>
      </c>
      <c r="E28" s="1" t="inlineStr">
        <is>
          <t>MBWAY</t>
        </is>
      </c>
      <c r="F28" s="1" t="inlineStr">
        <is>
          <t>MAS_MGT</t>
        </is>
      </c>
      <c r="G28" s="1" t="inlineStr">
        <is>
          <t>M1</t>
        </is>
      </c>
      <c r="H28" s="1" t="inlineStr">
        <is>
          <t>ALT</t>
        </is>
      </c>
      <c r="I28" s="1" t="inlineStr">
        <is>
          <t>2027</t>
        </is>
      </c>
      <c r="J28" t="n">
        <v>59.880910697</v>
      </c>
      <c r="K28" t="n">
        <v>59.880910697</v>
      </c>
      <c r="L28" t="n">
        <v>8064</v>
      </c>
      <c r="M28" t="n">
        <v>488268.945824948</v>
      </c>
      <c r="O28">
        <f>IF(D28="","",_CALC_MOTEUR!AE28)</f>
        <v/>
      </c>
      <c r="P28">
        <f>IF(D28="","",_CALC_MOTEUR!AF28)</f>
        <v/>
      </c>
      <c r="Q28">
        <f>IF(D28="","",_CALC_MOTEUR!AG28)</f>
        <v/>
      </c>
      <c r="R28">
        <f>IF(D28="","",_CALC_MOTEUR!AH28)</f>
        <v/>
      </c>
      <c r="S28">
        <f>IF(D28="","",R28-M28)</f>
        <v/>
      </c>
    </row>
    <row r="29">
      <c r="A29" s="1" t="inlineStr">
        <is>
          <t>2027BUD_V1</t>
        </is>
      </c>
      <c r="B29" s="1" t="inlineStr">
        <is>
          <t>V01</t>
        </is>
      </c>
      <c r="C29" s="1" t="inlineStr">
        <is>
          <t>12</t>
        </is>
      </c>
      <c r="D29" s="1" t="inlineStr">
        <is>
          <t>MBWAY_LYO</t>
        </is>
      </c>
      <c r="E29" s="1" t="inlineStr">
        <is>
          <t>MBWAY</t>
        </is>
      </c>
      <c r="F29" s="1" t="inlineStr">
        <is>
          <t>MAS_MGT</t>
        </is>
      </c>
      <c r="G29" s="1" t="inlineStr">
        <is>
          <t>M2</t>
        </is>
      </c>
      <c r="H29" s="1" t="inlineStr">
        <is>
          <t>ALT</t>
        </is>
      </c>
      <c r="I29" s="1" t="inlineStr">
        <is>
          <t>2027</t>
        </is>
      </c>
      <c r="J29" t="n">
        <v>0</v>
      </c>
      <c r="K29" t="n">
        <v>65.33</v>
      </c>
      <c r="L29" t="n">
        <v>7902.405</v>
      </c>
      <c r="M29" t="n">
        <v>516264.11865</v>
      </c>
      <c r="O29">
        <f>IF(D29="","",_CALC_MOTEUR!AE29)</f>
        <v/>
      </c>
      <c r="P29">
        <f>IF(D29="","",_CALC_MOTEUR!AF29)</f>
        <v/>
      </c>
      <c r="Q29">
        <f>IF(D29="","",_CALC_MOTEUR!AG29)</f>
        <v/>
      </c>
      <c r="R29">
        <f>IF(D29="","",_CALC_MOTEUR!AH29)</f>
        <v/>
      </c>
      <c r="S29">
        <f>IF(D29="","",R29-M29)</f>
        <v/>
      </c>
    </row>
    <row r="30">
      <c r="A30" s="1" t="inlineStr">
        <is>
          <t>2027BUD_V1</t>
        </is>
      </c>
      <c r="B30" s="1" t="inlineStr">
        <is>
          <t>V02</t>
        </is>
      </c>
      <c r="C30" s="1" t="inlineStr">
        <is>
          <t>12</t>
        </is>
      </c>
      <c r="D30" s="1" t="inlineStr">
        <is>
          <t>MBWAY_LYO</t>
        </is>
      </c>
      <c r="E30" s="1" t="inlineStr">
        <is>
          <t>MBWAY</t>
        </is>
      </c>
      <c r="F30" s="1" t="inlineStr">
        <is>
          <t>MAS_MGT</t>
        </is>
      </c>
      <c r="G30" s="1" t="inlineStr">
        <is>
          <t>M2</t>
        </is>
      </c>
      <c r="H30" s="1" t="inlineStr">
        <is>
          <t>ALT</t>
        </is>
      </c>
      <c r="I30" s="1" t="inlineStr">
        <is>
          <t>2027</t>
        </is>
      </c>
      <c r="J30" t="n">
        <v>0</v>
      </c>
      <c r="K30" t="n">
        <v>65.98999999999999</v>
      </c>
      <c r="L30" t="n">
        <v>8205.75</v>
      </c>
      <c r="M30" t="n">
        <v>541497.4425</v>
      </c>
      <c r="O30">
        <f>IF(D30="","",_CALC_MOTEUR!AE30)</f>
        <v/>
      </c>
      <c r="P30">
        <f>IF(D30="","",_CALC_MOTEUR!AF30)</f>
        <v/>
      </c>
      <c r="Q30">
        <f>IF(D30="","",_CALC_MOTEUR!AG30)</f>
        <v/>
      </c>
      <c r="R30">
        <f>IF(D30="","",_CALC_MOTEUR!AH30)</f>
        <v/>
      </c>
      <c r="S30">
        <f>IF(D30="","",R30-M30)</f>
        <v/>
      </c>
    </row>
    <row r="31">
      <c r="A31" s="1" t="inlineStr">
        <is>
          <t>2027BUD_V1</t>
        </is>
      </c>
      <c r="B31" s="1" t="inlineStr">
        <is>
          <t>V03</t>
        </is>
      </c>
      <c r="C31" s="1" t="inlineStr">
        <is>
          <t>12</t>
        </is>
      </c>
      <c r="D31" s="1" t="inlineStr">
        <is>
          <t>MBWAY_LYO</t>
        </is>
      </c>
      <c r="E31" s="1" t="inlineStr">
        <is>
          <t>MBWAY</t>
        </is>
      </c>
      <c r="F31" s="1" t="inlineStr">
        <is>
          <t>MAS_MGT</t>
        </is>
      </c>
      <c r="G31" s="1" t="inlineStr">
        <is>
          <t>M2</t>
        </is>
      </c>
      <c r="H31" s="1" t="inlineStr">
        <is>
          <t>ALT</t>
        </is>
      </c>
      <c r="I31" s="1" t="inlineStr">
        <is>
          <t>2027</t>
        </is>
      </c>
      <c r="J31" t="n">
        <v>0</v>
      </c>
      <c r="K31" t="n">
        <v>64.34</v>
      </c>
      <c r="L31" t="n">
        <v>8064</v>
      </c>
      <c r="M31" t="n">
        <v>518837.76</v>
      </c>
      <c r="O31">
        <f>IF(D31="","",_CALC_MOTEUR!AE31)</f>
        <v/>
      </c>
      <c r="P31">
        <f>IF(D31="","",_CALC_MOTEUR!AF31)</f>
        <v/>
      </c>
      <c r="Q31">
        <f>IF(D31="","",_CALC_MOTEUR!AG31)</f>
        <v/>
      </c>
      <c r="R31">
        <f>IF(D31="","",_CALC_MOTEUR!AH31)</f>
        <v/>
      </c>
      <c r="S31">
        <f>IF(D31="","",R31-M31)</f>
        <v/>
      </c>
    </row>
    <row r="32">
      <c r="A32" s="1" t="inlineStr">
        <is>
          <t>2027BUD_V1</t>
        </is>
      </c>
      <c r="B32" s="1" t="inlineStr">
        <is>
          <t>V01</t>
        </is>
      </c>
      <c r="C32" s="1" t="inlineStr">
        <is>
          <t>12</t>
        </is>
      </c>
      <c r="D32" s="1" t="inlineStr">
        <is>
          <t>MBWAY_NAN</t>
        </is>
      </c>
      <c r="E32" s="1" t="inlineStr">
        <is>
          <t>MBWAY</t>
        </is>
      </c>
      <c r="F32" s="1" t="inlineStr">
        <is>
          <t>BAC_MGT</t>
        </is>
      </c>
      <c r="G32" s="1" t="inlineStr">
        <is>
          <t>B1</t>
        </is>
      </c>
      <c r="H32" s="1" t="inlineStr">
        <is>
          <t>INIT</t>
        </is>
      </c>
      <c r="I32" s="1" t="inlineStr">
        <is>
          <t>2027</t>
        </is>
      </c>
      <c r="J32" t="n">
        <v>65.53931274599999</v>
      </c>
      <c r="K32" t="n">
        <v>65.53931274599999</v>
      </c>
      <c r="L32" t="n">
        <v>7526.1</v>
      </c>
      <c r="M32" t="n">
        <v>499153.959808111</v>
      </c>
      <c r="O32">
        <f>IF(D32="","",_CALC_MOTEUR!AE32)</f>
        <v/>
      </c>
      <c r="P32">
        <f>IF(D32="","",_CALC_MOTEUR!AF32)</f>
        <v/>
      </c>
      <c r="Q32">
        <f>IF(D32="","",_CALC_MOTEUR!AG32)</f>
        <v/>
      </c>
      <c r="R32">
        <f>IF(D32="","",_CALC_MOTEUR!AH32)</f>
        <v/>
      </c>
      <c r="S32">
        <f>IF(D32="","",R32-M32)</f>
        <v/>
      </c>
    </row>
    <row r="33">
      <c r="A33" s="1" t="inlineStr">
        <is>
          <t>2027BUD_V1</t>
        </is>
      </c>
      <c r="B33" s="1" t="inlineStr">
        <is>
          <t>V02</t>
        </is>
      </c>
      <c r="C33" s="1" t="inlineStr">
        <is>
          <t>12</t>
        </is>
      </c>
      <c r="D33" s="1" t="inlineStr">
        <is>
          <t>MBWAY_NAN</t>
        </is>
      </c>
      <c r="E33" s="1" t="inlineStr">
        <is>
          <t>MBWAY</t>
        </is>
      </c>
      <c r="F33" s="1" t="inlineStr">
        <is>
          <t>BAC_MGT</t>
        </is>
      </c>
      <c r="G33" s="1" t="inlineStr">
        <is>
          <t>B1</t>
        </is>
      </c>
      <c r="H33" s="1" t="inlineStr">
        <is>
          <t>INIT</t>
        </is>
      </c>
      <c r="I33" s="1" t="inlineStr">
        <is>
          <t>2027</t>
        </is>
      </c>
      <c r="J33" t="n">
        <v>73.560705656</v>
      </c>
      <c r="K33" t="n">
        <v>73.560705656</v>
      </c>
      <c r="L33" t="n">
        <v>7815</v>
      </c>
      <c r="M33" t="n">
        <v>581497.378208116</v>
      </c>
      <c r="O33">
        <f>IF(D33="","",_CALC_MOTEUR!AE33)</f>
        <v/>
      </c>
      <c r="P33">
        <f>IF(D33="","",_CALC_MOTEUR!AF33)</f>
        <v/>
      </c>
      <c r="Q33">
        <f>IF(D33="","",_CALC_MOTEUR!AG33)</f>
        <v/>
      </c>
      <c r="R33">
        <f>IF(D33="","",_CALC_MOTEUR!AH33)</f>
        <v/>
      </c>
      <c r="S33">
        <f>IF(D33="","",R33-M33)</f>
        <v/>
      </c>
    </row>
    <row r="34">
      <c r="A34" s="1" t="inlineStr">
        <is>
          <t>2027BUD_V1</t>
        </is>
      </c>
      <c r="B34" s="1" t="inlineStr">
        <is>
          <t>V03</t>
        </is>
      </c>
      <c r="C34" s="1" t="inlineStr">
        <is>
          <t>12</t>
        </is>
      </c>
      <c r="D34" s="1" t="inlineStr">
        <is>
          <t>MBWAY_NAN</t>
        </is>
      </c>
      <c r="E34" s="1" t="inlineStr">
        <is>
          <t>MBWAY</t>
        </is>
      </c>
      <c r="F34" s="1" t="inlineStr">
        <is>
          <t>BAC_MGT</t>
        </is>
      </c>
      <c r="G34" s="1" t="inlineStr">
        <is>
          <t>B1</t>
        </is>
      </c>
      <c r="H34" s="1" t="inlineStr">
        <is>
          <t>INIT</t>
        </is>
      </c>
      <c r="I34" s="1" t="inlineStr">
        <is>
          <t>2027</t>
        </is>
      </c>
      <c r="J34" t="n">
        <v>55.632335847</v>
      </c>
      <c r="K34" t="n">
        <v>55.632335847</v>
      </c>
      <c r="L34" t="n">
        <v>7680</v>
      </c>
      <c r="M34" t="n">
        <v>432263.249533759</v>
      </c>
      <c r="O34">
        <f>IF(D34="","",_CALC_MOTEUR!AE34)</f>
        <v/>
      </c>
      <c r="P34">
        <f>IF(D34="","",_CALC_MOTEUR!AF34)</f>
        <v/>
      </c>
      <c r="Q34">
        <f>IF(D34="","",_CALC_MOTEUR!AG34)</f>
        <v/>
      </c>
      <c r="R34">
        <f>IF(D34="","",_CALC_MOTEUR!AH34)</f>
        <v/>
      </c>
      <c r="S34">
        <f>IF(D34="","",R34-M34)</f>
        <v/>
      </c>
    </row>
    <row r="35">
      <c r="A35" s="1" t="inlineStr">
        <is>
          <t>2027BUD_V1</t>
        </is>
      </c>
      <c r="B35" s="1" t="inlineStr">
        <is>
          <t>V01</t>
        </is>
      </c>
      <c r="C35" s="1" t="inlineStr">
        <is>
          <t>12</t>
        </is>
      </c>
      <c r="D35" s="1" t="inlineStr">
        <is>
          <t>MBWAY_NAN</t>
        </is>
      </c>
      <c r="E35" s="1" t="inlineStr">
        <is>
          <t>MBWAY</t>
        </is>
      </c>
      <c r="F35" s="1" t="inlineStr">
        <is>
          <t>BAC_MGT</t>
        </is>
      </c>
      <c r="G35" s="1" t="inlineStr">
        <is>
          <t>B2</t>
        </is>
      </c>
      <c r="H35" s="1" t="inlineStr">
        <is>
          <t>ALT</t>
        </is>
      </c>
      <c r="I35" s="1" t="inlineStr">
        <is>
          <t>2027</t>
        </is>
      </c>
      <c r="J35" t="n">
        <v>0</v>
      </c>
      <c r="K35" t="n">
        <v>58.3</v>
      </c>
      <c r="L35" t="n">
        <v>7024.36</v>
      </c>
      <c r="M35" t="n">
        <v>409520.188</v>
      </c>
      <c r="O35">
        <f>IF(D35="","",_CALC_MOTEUR!AE35)</f>
        <v/>
      </c>
      <c r="P35">
        <f>IF(D35="","",_CALC_MOTEUR!AF35)</f>
        <v/>
      </c>
      <c r="Q35">
        <f>IF(D35="","",_CALC_MOTEUR!AG35)</f>
        <v/>
      </c>
      <c r="R35">
        <f>IF(D35="","",_CALC_MOTEUR!AH35)</f>
        <v/>
      </c>
      <c r="S35">
        <f>IF(D35="","",R35-M35)</f>
        <v/>
      </c>
    </row>
    <row r="36">
      <c r="A36" s="1" t="inlineStr">
        <is>
          <t>2027BUD_V1</t>
        </is>
      </c>
      <c r="B36" s="1" t="inlineStr">
        <is>
          <t>V02</t>
        </is>
      </c>
      <c r="C36" s="1" t="inlineStr">
        <is>
          <t>12</t>
        </is>
      </c>
      <c r="D36" s="1" t="inlineStr">
        <is>
          <t>MBWAY_NAN</t>
        </is>
      </c>
      <c r="E36" s="1" t="inlineStr">
        <is>
          <t>MBWAY</t>
        </is>
      </c>
      <c r="F36" s="1" t="inlineStr">
        <is>
          <t>BAC_MGT</t>
        </is>
      </c>
      <c r="G36" s="1" t="inlineStr">
        <is>
          <t>B2</t>
        </is>
      </c>
      <c r="H36" s="1" t="inlineStr">
        <is>
          <t>ALT</t>
        </is>
      </c>
      <c r="I36" s="1" t="inlineStr">
        <is>
          <t>2027</t>
        </is>
      </c>
      <c r="J36" t="n">
        <v>0</v>
      </c>
      <c r="K36" t="n">
        <v>58.9</v>
      </c>
      <c r="L36" t="n">
        <v>7294</v>
      </c>
      <c r="M36" t="n">
        <v>429616.6</v>
      </c>
      <c r="O36">
        <f>IF(D36="","",_CALC_MOTEUR!AE36)</f>
        <v/>
      </c>
      <c r="P36">
        <f>IF(D36="","",_CALC_MOTEUR!AF36)</f>
        <v/>
      </c>
      <c r="Q36">
        <f>IF(D36="","",_CALC_MOTEUR!AG36)</f>
        <v/>
      </c>
      <c r="R36">
        <f>IF(D36="","",_CALC_MOTEUR!AH36)</f>
        <v/>
      </c>
      <c r="S36">
        <f>IF(D36="","",R36-M36)</f>
        <v/>
      </c>
    </row>
    <row r="37">
      <c r="A37" s="1" t="inlineStr">
        <is>
          <t>2027BUD_V1</t>
        </is>
      </c>
      <c r="B37" s="1" t="inlineStr">
        <is>
          <t>V03</t>
        </is>
      </c>
      <c r="C37" s="1" t="inlineStr">
        <is>
          <t>12</t>
        </is>
      </c>
      <c r="D37" s="1" t="inlineStr">
        <is>
          <t>MBWAY_NAN</t>
        </is>
      </c>
      <c r="E37" s="1" t="inlineStr">
        <is>
          <t>MBWAY</t>
        </is>
      </c>
      <c r="F37" s="1" t="inlineStr">
        <is>
          <t>BAC_MGT</t>
        </is>
      </c>
      <c r="G37" s="1" t="inlineStr">
        <is>
          <t>B2</t>
        </is>
      </c>
      <c r="H37" s="1" t="inlineStr">
        <is>
          <t>ALT</t>
        </is>
      </c>
      <c r="I37" s="1" t="inlineStr">
        <is>
          <t>2027</t>
        </is>
      </c>
      <c r="J37" t="n">
        <v>0</v>
      </c>
      <c r="K37" t="n">
        <v>57.4</v>
      </c>
      <c r="L37" t="n">
        <v>7168</v>
      </c>
      <c r="M37" t="n">
        <v>411443.2</v>
      </c>
      <c r="O37">
        <f>IF(D37="","",_CALC_MOTEUR!AE37)</f>
        <v/>
      </c>
      <c r="P37">
        <f>IF(D37="","",_CALC_MOTEUR!AF37)</f>
        <v/>
      </c>
      <c r="Q37">
        <f>IF(D37="","",_CALC_MOTEUR!AG37)</f>
        <v/>
      </c>
      <c r="R37">
        <f>IF(D37="","",_CALC_MOTEUR!AH37)</f>
        <v/>
      </c>
      <c r="S37">
        <f>IF(D37="","",R37-M37)</f>
        <v/>
      </c>
    </row>
    <row r="38">
      <c r="A38" s="1" t="inlineStr">
        <is>
          <t>2027BUD_V1</t>
        </is>
      </c>
      <c r="B38" s="1" t="inlineStr">
        <is>
          <t>V01</t>
        </is>
      </c>
      <c r="C38" s="1" t="inlineStr">
        <is>
          <t>12</t>
        </is>
      </c>
      <c r="D38" s="1" t="inlineStr">
        <is>
          <t>MBWAY_NAN</t>
        </is>
      </c>
      <c r="E38" s="1" t="inlineStr">
        <is>
          <t>MBWAY</t>
        </is>
      </c>
      <c r="F38" s="1" t="inlineStr">
        <is>
          <t>BAC_MGT</t>
        </is>
      </c>
      <c r="G38" s="1" t="inlineStr">
        <is>
          <t>B3</t>
        </is>
      </c>
      <c r="H38" s="1" t="inlineStr">
        <is>
          <t>ALT</t>
        </is>
      </c>
      <c r="I38" s="1" t="inlineStr">
        <is>
          <t>2027</t>
        </is>
      </c>
      <c r="J38" t="n">
        <v>0</v>
      </c>
      <c r="K38" t="n">
        <v>57.29</v>
      </c>
      <c r="L38" t="n">
        <v>7024.36</v>
      </c>
      <c r="M38" t="n">
        <v>402425.5844</v>
      </c>
      <c r="O38">
        <f>IF(D38="","",_CALC_MOTEUR!AE38)</f>
        <v/>
      </c>
      <c r="P38">
        <f>IF(D38="","",_CALC_MOTEUR!AF38)</f>
        <v/>
      </c>
      <c r="Q38">
        <f>IF(D38="","",_CALC_MOTEUR!AG38)</f>
        <v/>
      </c>
      <c r="R38">
        <f>IF(D38="","",_CALC_MOTEUR!AH38)</f>
        <v/>
      </c>
      <c r="S38">
        <f>IF(D38="","",R38-M38)</f>
        <v/>
      </c>
    </row>
    <row r="39">
      <c r="A39" s="1" t="inlineStr">
        <is>
          <t>2027BUD_V1</t>
        </is>
      </c>
      <c r="B39" s="1" t="inlineStr">
        <is>
          <t>V02</t>
        </is>
      </c>
      <c r="C39" s="1" t="inlineStr">
        <is>
          <t>12</t>
        </is>
      </c>
      <c r="D39" s="1" t="inlineStr">
        <is>
          <t>MBWAY_NAN</t>
        </is>
      </c>
      <c r="E39" s="1" t="inlineStr">
        <is>
          <t>MBWAY</t>
        </is>
      </c>
      <c r="F39" s="1" t="inlineStr">
        <is>
          <t>BAC_MGT</t>
        </is>
      </c>
      <c r="G39" s="1" t="inlineStr">
        <is>
          <t>B3</t>
        </is>
      </c>
      <c r="H39" s="1" t="inlineStr">
        <is>
          <t>ALT</t>
        </is>
      </c>
      <c r="I39" s="1" t="inlineStr">
        <is>
          <t>2027</t>
        </is>
      </c>
      <c r="J39" t="n">
        <v>0</v>
      </c>
      <c r="K39" t="n">
        <v>57.87</v>
      </c>
      <c r="L39" t="n">
        <v>7294</v>
      </c>
      <c r="M39" t="n">
        <v>422103.78</v>
      </c>
      <c r="O39">
        <f>IF(D39="","",_CALC_MOTEUR!AE39)</f>
        <v/>
      </c>
      <c r="P39">
        <f>IF(D39="","",_CALC_MOTEUR!AF39)</f>
        <v/>
      </c>
      <c r="Q39">
        <f>IF(D39="","",_CALC_MOTEUR!AG39)</f>
        <v/>
      </c>
      <c r="R39">
        <f>IF(D39="","",_CALC_MOTEUR!AH39)</f>
        <v/>
      </c>
      <c r="S39">
        <f>IF(D39="","",R39-M39)</f>
        <v/>
      </c>
    </row>
    <row r="40">
      <c r="A40" s="1" t="inlineStr">
        <is>
          <t>2027BUD_V1</t>
        </is>
      </c>
      <c r="B40" s="1" t="inlineStr">
        <is>
          <t>V03</t>
        </is>
      </c>
      <c r="C40" s="1" t="inlineStr">
        <is>
          <t>12</t>
        </is>
      </c>
      <c r="D40" s="1" t="inlineStr">
        <is>
          <t>MBWAY_NAN</t>
        </is>
      </c>
      <c r="E40" s="1" t="inlineStr">
        <is>
          <t>MBWAY</t>
        </is>
      </c>
      <c r="F40" s="1" t="inlineStr">
        <is>
          <t>BAC_MGT</t>
        </is>
      </c>
      <c r="G40" s="1" t="inlineStr">
        <is>
          <t>B3</t>
        </is>
      </c>
      <c r="H40" s="1" t="inlineStr">
        <is>
          <t>ALT</t>
        </is>
      </c>
      <c r="I40" s="1" t="inlineStr">
        <is>
          <t>2027</t>
        </is>
      </c>
      <c r="J40" t="n">
        <v>0</v>
      </c>
      <c r="K40" t="n">
        <v>56.42</v>
      </c>
      <c r="L40" t="n">
        <v>7168</v>
      </c>
      <c r="M40" t="n">
        <v>404418.56</v>
      </c>
      <c r="O40">
        <f>IF(D40="","",_CALC_MOTEUR!AE40)</f>
        <v/>
      </c>
      <c r="P40">
        <f>IF(D40="","",_CALC_MOTEUR!AF40)</f>
        <v/>
      </c>
      <c r="Q40">
        <f>IF(D40="","",_CALC_MOTEUR!AG40)</f>
        <v/>
      </c>
      <c r="R40">
        <f>IF(D40="","",_CALC_MOTEUR!AH40)</f>
        <v/>
      </c>
      <c r="S40">
        <f>IF(D40="","",R40-M40)</f>
        <v/>
      </c>
    </row>
    <row r="41">
      <c r="A41" s="1" t="inlineStr">
        <is>
          <t>2027BUD_V1</t>
        </is>
      </c>
      <c r="B41" s="1" t="inlineStr">
        <is>
          <t>V01</t>
        </is>
      </c>
      <c r="C41" s="1" t="inlineStr">
        <is>
          <t>12</t>
        </is>
      </c>
      <c r="D41" s="1" t="inlineStr">
        <is>
          <t>MBWAY_NAN</t>
        </is>
      </c>
      <c r="E41" s="1" t="inlineStr">
        <is>
          <t>MBWAY</t>
        </is>
      </c>
      <c r="F41" s="1" t="inlineStr">
        <is>
          <t>MAS_MGT</t>
        </is>
      </c>
      <c r="G41" s="1" t="inlineStr">
        <is>
          <t>M1</t>
        </is>
      </c>
      <c r="H41" s="1" t="inlineStr">
        <is>
          <t>ALT</t>
        </is>
      </c>
      <c r="I41" s="1" t="inlineStr">
        <is>
          <t>2027</t>
        </is>
      </c>
      <c r="J41" t="n">
        <v>66.913666066</v>
      </c>
      <c r="K41" t="n">
        <v>66.913666066</v>
      </c>
      <c r="L41" t="n">
        <v>7526.1</v>
      </c>
      <c r="M41" t="n">
        <v>509621.172122065</v>
      </c>
      <c r="O41">
        <f>IF(D41="","",_CALC_MOTEUR!AE41)</f>
        <v/>
      </c>
      <c r="P41">
        <f>IF(D41="","",_CALC_MOTEUR!AF41)</f>
        <v/>
      </c>
      <c r="Q41">
        <f>IF(D41="","",_CALC_MOTEUR!AG41)</f>
        <v/>
      </c>
      <c r="R41">
        <f>IF(D41="","",_CALC_MOTEUR!AH41)</f>
        <v/>
      </c>
      <c r="S41">
        <f>IF(D41="","",R41-M41)</f>
        <v/>
      </c>
    </row>
    <row r="42">
      <c r="A42" s="1" t="inlineStr">
        <is>
          <t>2027BUD_V1</t>
        </is>
      </c>
      <c r="B42" s="1" t="inlineStr">
        <is>
          <t>V02</t>
        </is>
      </c>
      <c r="C42" s="1" t="inlineStr">
        <is>
          <t>12</t>
        </is>
      </c>
      <c r="D42" s="1" t="inlineStr">
        <is>
          <t>MBWAY_NAN</t>
        </is>
      </c>
      <c r="E42" s="1" t="inlineStr">
        <is>
          <t>MBWAY</t>
        </is>
      </c>
      <c r="F42" s="1" t="inlineStr">
        <is>
          <t>MAS_MGT</t>
        </is>
      </c>
      <c r="G42" s="1" t="inlineStr">
        <is>
          <t>M1</t>
        </is>
      </c>
      <c r="H42" s="1" t="inlineStr">
        <is>
          <t>ALT</t>
        </is>
      </c>
      <c r="I42" s="1" t="inlineStr">
        <is>
          <t>2027</t>
        </is>
      </c>
      <c r="J42" t="n">
        <v>77.72893211900001</v>
      </c>
      <c r="K42" t="n">
        <v>77.72893211900001</v>
      </c>
      <c r="L42" t="n">
        <v>7815</v>
      </c>
      <c r="M42" t="n">
        <v>614447.208397195</v>
      </c>
      <c r="O42">
        <f>IF(D42="","",_CALC_MOTEUR!AE42)</f>
        <v/>
      </c>
      <c r="P42">
        <f>IF(D42="","",_CALC_MOTEUR!AF42)</f>
        <v/>
      </c>
      <c r="Q42">
        <f>IF(D42="","",_CALC_MOTEUR!AG42)</f>
        <v/>
      </c>
      <c r="R42">
        <f>IF(D42="","",_CALC_MOTEUR!AH42)</f>
        <v/>
      </c>
      <c r="S42">
        <f>IF(D42="","",R42-M42)</f>
        <v/>
      </c>
    </row>
    <row r="43">
      <c r="A43" s="1" t="inlineStr">
        <is>
          <t>2027BUD_V1</t>
        </is>
      </c>
      <c r="B43" s="1" t="inlineStr">
        <is>
          <t>V03</t>
        </is>
      </c>
      <c r="C43" s="1" t="inlineStr">
        <is>
          <t>12</t>
        </is>
      </c>
      <c r="D43" s="1" t="inlineStr">
        <is>
          <t>MBWAY_NAN</t>
        </is>
      </c>
      <c r="E43" s="1" t="inlineStr">
        <is>
          <t>MBWAY</t>
        </is>
      </c>
      <c r="F43" s="1" t="inlineStr">
        <is>
          <t>MAS_MGT</t>
        </is>
      </c>
      <c r="G43" s="1" t="inlineStr">
        <is>
          <t>M1</t>
        </is>
      </c>
      <c r="H43" s="1" t="inlineStr">
        <is>
          <t>ALT</t>
        </is>
      </c>
      <c r="I43" s="1" t="inlineStr">
        <is>
          <t>2027</t>
        </is>
      </c>
      <c r="J43" t="n">
        <v>54.406964212</v>
      </c>
      <c r="K43" t="n">
        <v>54.406964212</v>
      </c>
      <c r="L43" t="n">
        <v>7680</v>
      </c>
      <c r="M43" t="n">
        <v>422742.111923539</v>
      </c>
      <c r="O43">
        <f>IF(D43="","",_CALC_MOTEUR!AE43)</f>
        <v/>
      </c>
      <c r="P43">
        <f>IF(D43="","",_CALC_MOTEUR!AF43)</f>
        <v/>
      </c>
      <c r="Q43">
        <f>IF(D43="","",_CALC_MOTEUR!AG43)</f>
        <v/>
      </c>
      <c r="R43">
        <f>IF(D43="","",_CALC_MOTEUR!AH43)</f>
        <v/>
      </c>
      <c r="S43">
        <f>IF(D43="","",R43-M43)</f>
        <v/>
      </c>
    </row>
    <row r="44">
      <c r="A44" s="1" t="inlineStr">
        <is>
          <t>2027BUD_V1</t>
        </is>
      </c>
      <c r="B44" s="1" t="inlineStr">
        <is>
          <t>V01</t>
        </is>
      </c>
      <c r="C44" s="1" t="inlineStr">
        <is>
          <t>12</t>
        </is>
      </c>
      <c r="D44" s="1" t="inlineStr">
        <is>
          <t>MBWAY_NAN</t>
        </is>
      </c>
      <c r="E44" s="1" t="inlineStr">
        <is>
          <t>MBWAY</t>
        </is>
      </c>
      <c r="F44" s="1" t="inlineStr">
        <is>
          <t>MAS_MGT</t>
        </is>
      </c>
      <c r="G44" s="1" t="inlineStr">
        <is>
          <t>M2</t>
        </is>
      </c>
      <c r="H44" s="1" t="inlineStr">
        <is>
          <t>ALT</t>
        </is>
      </c>
      <c r="I44" s="1" t="inlineStr">
        <is>
          <t>2027</t>
        </is>
      </c>
      <c r="J44" t="n">
        <v>0</v>
      </c>
      <c r="K44" t="n">
        <v>59.3</v>
      </c>
      <c r="L44" t="n">
        <v>7526.1</v>
      </c>
      <c r="M44" t="n">
        <v>446297.73</v>
      </c>
      <c r="O44">
        <f>IF(D44="","",_CALC_MOTEUR!AE44)</f>
        <v/>
      </c>
      <c r="P44">
        <f>IF(D44="","",_CALC_MOTEUR!AF44)</f>
        <v/>
      </c>
      <c r="Q44">
        <f>IF(D44="","",_CALC_MOTEUR!AG44)</f>
        <v/>
      </c>
      <c r="R44">
        <f>IF(D44="","",_CALC_MOTEUR!AH44)</f>
        <v/>
      </c>
      <c r="S44">
        <f>IF(D44="","",R44-M44)</f>
        <v/>
      </c>
    </row>
    <row r="45">
      <c r="A45" s="1" t="inlineStr">
        <is>
          <t>2027BUD_V1</t>
        </is>
      </c>
      <c r="B45" s="1" t="inlineStr">
        <is>
          <t>V02</t>
        </is>
      </c>
      <c r="C45" s="1" t="inlineStr">
        <is>
          <t>12</t>
        </is>
      </c>
      <c r="D45" s="1" t="inlineStr">
        <is>
          <t>MBWAY_NAN</t>
        </is>
      </c>
      <c r="E45" s="1" t="inlineStr">
        <is>
          <t>MBWAY</t>
        </is>
      </c>
      <c r="F45" s="1" t="inlineStr">
        <is>
          <t>MAS_MGT</t>
        </is>
      </c>
      <c r="G45" s="1" t="inlineStr">
        <is>
          <t>M2</t>
        </is>
      </c>
      <c r="H45" s="1" t="inlineStr">
        <is>
          <t>ALT</t>
        </is>
      </c>
      <c r="I45" s="1" t="inlineStr">
        <is>
          <t>2027</t>
        </is>
      </c>
      <c r="J45" t="n">
        <v>0</v>
      </c>
      <c r="K45" t="n">
        <v>59.9</v>
      </c>
      <c r="L45" t="n">
        <v>7815</v>
      </c>
      <c r="M45" t="n">
        <v>468118.5</v>
      </c>
      <c r="O45">
        <f>IF(D45="","",_CALC_MOTEUR!AE45)</f>
        <v/>
      </c>
      <c r="P45">
        <f>IF(D45="","",_CALC_MOTEUR!AF45)</f>
        <v/>
      </c>
      <c r="Q45">
        <f>IF(D45="","",_CALC_MOTEUR!AG45)</f>
        <v/>
      </c>
      <c r="R45">
        <f>IF(D45="","",_CALC_MOTEUR!AH45)</f>
        <v/>
      </c>
      <c r="S45">
        <f>IF(D45="","",R45-M45)</f>
        <v/>
      </c>
    </row>
    <row r="46">
      <c r="A46" s="1" t="inlineStr">
        <is>
          <t>2027BUD_V1</t>
        </is>
      </c>
      <c r="B46" s="1" t="inlineStr">
        <is>
          <t>V03</t>
        </is>
      </c>
      <c r="C46" s="1" t="inlineStr">
        <is>
          <t>12</t>
        </is>
      </c>
      <c r="D46" s="1" t="inlineStr">
        <is>
          <t>MBWAY_NAN</t>
        </is>
      </c>
      <c r="E46" s="1" t="inlineStr">
        <is>
          <t>MBWAY</t>
        </is>
      </c>
      <c r="F46" s="1" t="inlineStr">
        <is>
          <t>MAS_MGT</t>
        </is>
      </c>
      <c r="G46" s="1" t="inlineStr">
        <is>
          <t>M2</t>
        </is>
      </c>
      <c r="H46" s="1" t="inlineStr">
        <is>
          <t>ALT</t>
        </is>
      </c>
      <c r="I46" s="1" t="inlineStr">
        <is>
          <t>2027</t>
        </is>
      </c>
      <c r="J46" t="n">
        <v>0</v>
      </c>
      <c r="K46" t="n">
        <v>58.4</v>
      </c>
      <c r="L46" t="n">
        <v>7680</v>
      </c>
      <c r="M46" t="n">
        <v>448512</v>
      </c>
      <c r="O46">
        <f>IF(D46="","",_CALC_MOTEUR!AE46)</f>
        <v/>
      </c>
      <c r="P46">
        <f>IF(D46="","",_CALC_MOTEUR!AF46)</f>
        <v/>
      </c>
      <c r="Q46">
        <f>IF(D46="","",_CALC_MOTEUR!AG46)</f>
        <v/>
      </c>
      <c r="R46">
        <f>IF(D46="","",_CALC_MOTEUR!AH46)</f>
        <v/>
      </c>
      <c r="S46">
        <f>IF(D46="","",R46-M46)</f>
        <v/>
      </c>
    </row>
    <row r="47">
      <c r="A47" s="1" t="inlineStr">
        <is>
          <t>2027BUD_V1</t>
        </is>
      </c>
      <c r="B47" s="1" t="inlineStr">
        <is>
          <t>V01</t>
        </is>
      </c>
      <c r="C47" s="1" t="inlineStr">
        <is>
          <t>12</t>
        </is>
      </c>
      <c r="D47" s="1" t="inlineStr">
        <is>
          <t>MBWAY_BOR</t>
        </is>
      </c>
      <c r="E47" s="1" t="inlineStr">
        <is>
          <t>MBWAY</t>
        </is>
      </c>
      <c r="F47" s="1" t="inlineStr">
        <is>
          <t>BAC_MGT</t>
        </is>
      </c>
      <c r="G47" s="1" t="inlineStr">
        <is>
          <t>B1</t>
        </is>
      </c>
      <c r="H47" s="1" t="inlineStr">
        <is>
          <t>INIT</t>
        </is>
      </c>
      <c r="I47" s="1" t="inlineStr">
        <is>
          <t>2027</t>
        </is>
      </c>
      <c r="J47" t="n">
        <v>55.74674119</v>
      </c>
      <c r="K47" t="n">
        <v>55.74674119</v>
      </c>
      <c r="L47" t="n">
        <v>7300.317</v>
      </c>
      <c r="M47" t="n">
        <v>411986.089109216</v>
      </c>
      <c r="O47">
        <f>IF(D47="","",_CALC_MOTEUR!AE47)</f>
        <v/>
      </c>
      <c r="P47">
        <f>IF(D47="","",_CALC_MOTEUR!AF47)</f>
        <v/>
      </c>
      <c r="Q47">
        <f>IF(D47="","",_CALC_MOTEUR!AG47)</f>
        <v/>
      </c>
      <c r="R47">
        <f>IF(D47="","",_CALC_MOTEUR!AH47)</f>
        <v/>
      </c>
      <c r="S47">
        <f>IF(D47="","",R47-M47)</f>
        <v/>
      </c>
    </row>
    <row r="48">
      <c r="A48" s="1" t="inlineStr">
        <is>
          <t>2027BUD_V1</t>
        </is>
      </c>
      <c r="B48" s="1" t="inlineStr">
        <is>
          <t>V02</t>
        </is>
      </c>
      <c r="C48" s="1" t="inlineStr">
        <is>
          <t>12</t>
        </is>
      </c>
      <c r="D48" s="1" t="inlineStr">
        <is>
          <t>MBWAY_BOR</t>
        </is>
      </c>
      <c r="E48" s="1" t="inlineStr">
        <is>
          <t>MBWAY</t>
        </is>
      </c>
      <c r="F48" s="1" t="inlineStr">
        <is>
          <t>BAC_MGT</t>
        </is>
      </c>
      <c r="G48" s="1" t="inlineStr">
        <is>
          <t>B1</t>
        </is>
      </c>
      <c r="H48" s="1" t="inlineStr">
        <is>
          <t>INIT</t>
        </is>
      </c>
      <c r="I48" s="1" t="inlineStr">
        <is>
          <t>2027</t>
        </is>
      </c>
      <c r="J48" t="n">
        <v>62.592951917</v>
      </c>
      <c r="K48" t="n">
        <v>62.592951917</v>
      </c>
      <c r="L48" t="n">
        <v>7580.55</v>
      </c>
      <c r="M48" t="n">
        <v>480122.367330054</v>
      </c>
      <c r="O48">
        <f>IF(D48="","",_CALC_MOTEUR!AE48)</f>
        <v/>
      </c>
      <c r="P48">
        <f>IF(D48="","",_CALC_MOTEUR!AF48)</f>
        <v/>
      </c>
      <c r="Q48">
        <f>IF(D48="","",_CALC_MOTEUR!AG48)</f>
        <v/>
      </c>
      <c r="R48">
        <f>IF(D48="","",_CALC_MOTEUR!AH48)</f>
        <v/>
      </c>
      <c r="S48">
        <f>IF(D48="","",R48-M48)</f>
        <v/>
      </c>
    </row>
    <row r="49">
      <c r="A49" s="1" t="inlineStr">
        <is>
          <t>2027BUD_V1</t>
        </is>
      </c>
      <c r="B49" s="1" t="inlineStr">
        <is>
          <t>V03</t>
        </is>
      </c>
      <c r="C49" s="1" t="inlineStr">
        <is>
          <t>12</t>
        </is>
      </c>
      <c r="D49" s="1" t="inlineStr">
        <is>
          <t>MBWAY_BOR</t>
        </is>
      </c>
      <c r="E49" s="1" t="inlineStr">
        <is>
          <t>MBWAY</t>
        </is>
      </c>
      <c r="F49" s="1" t="inlineStr">
        <is>
          <t>BAC_MGT</t>
        </is>
      </c>
      <c r="G49" s="1" t="inlineStr">
        <is>
          <t>B1</t>
        </is>
      </c>
      <c r="H49" s="1" t="inlineStr">
        <is>
          <t>INIT</t>
        </is>
      </c>
      <c r="I49" s="1" t="inlineStr">
        <is>
          <t>2027</t>
        </is>
      </c>
      <c r="J49" t="n">
        <v>47.269289152</v>
      </c>
      <c r="K49" t="n">
        <v>47.269289152</v>
      </c>
      <c r="L49" t="n">
        <v>7449.6</v>
      </c>
      <c r="M49" t="n">
        <v>356391.532488372</v>
      </c>
      <c r="O49">
        <f>IF(D49="","",_CALC_MOTEUR!AE49)</f>
        <v/>
      </c>
      <c r="P49">
        <f>IF(D49="","",_CALC_MOTEUR!AF49)</f>
        <v/>
      </c>
      <c r="Q49">
        <f>IF(D49="","",_CALC_MOTEUR!AG49)</f>
        <v/>
      </c>
      <c r="R49">
        <f>IF(D49="","",_CALC_MOTEUR!AH49)</f>
        <v/>
      </c>
      <c r="S49">
        <f>IF(D49="","",R49-M49)</f>
        <v/>
      </c>
    </row>
    <row r="50">
      <c r="A50" s="1" t="inlineStr">
        <is>
          <t>2027BUD_V1</t>
        </is>
      </c>
      <c r="B50" s="1" t="inlineStr">
        <is>
          <t>V01</t>
        </is>
      </c>
      <c r="C50" s="1" t="inlineStr">
        <is>
          <t>12</t>
        </is>
      </c>
      <c r="D50" s="1" t="inlineStr">
        <is>
          <t>MBWAY_BOR</t>
        </is>
      </c>
      <c r="E50" s="1" t="inlineStr">
        <is>
          <t>MBWAY</t>
        </is>
      </c>
      <c r="F50" s="1" t="inlineStr">
        <is>
          <t>BAC_MGT</t>
        </is>
      </c>
      <c r="G50" s="1" t="inlineStr">
        <is>
          <t>B2</t>
        </is>
      </c>
      <c r="H50" s="1" t="inlineStr">
        <is>
          <t>ALT</t>
        </is>
      </c>
      <c r="I50" s="1" t="inlineStr">
        <is>
          <t>2027</t>
        </is>
      </c>
      <c r="J50" t="n">
        <v>0</v>
      </c>
      <c r="K50" t="n">
        <v>49.255</v>
      </c>
      <c r="L50" t="n">
        <v>6813.6292</v>
      </c>
      <c r="M50" t="n">
        <v>335605.306246</v>
      </c>
      <c r="O50">
        <f>IF(D50="","",_CALC_MOTEUR!AE50)</f>
        <v/>
      </c>
      <c r="P50">
        <f>IF(D50="","",_CALC_MOTEUR!AF50)</f>
        <v/>
      </c>
      <c r="Q50">
        <f>IF(D50="","",_CALC_MOTEUR!AG50)</f>
        <v/>
      </c>
      <c r="R50">
        <f>IF(D50="","",_CALC_MOTEUR!AH50)</f>
        <v/>
      </c>
      <c r="S50">
        <f>IF(D50="","",R50-M50)</f>
        <v/>
      </c>
    </row>
    <row r="51">
      <c r="A51" s="1" t="inlineStr">
        <is>
          <t>2027BUD_V1</t>
        </is>
      </c>
      <c r="B51" s="1" t="inlineStr">
        <is>
          <t>V02</t>
        </is>
      </c>
      <c r="C51" s="1" t="inlineStr">
        <is>
          <t>12</t>
        </is>
      </c>
      <c r="D51" s="1" t="inlineStr">
        <is>
          <t>MBWAY_BOR</t>
        </is>
      </c>
      <c r="E51" s="1" t="inlineStr">
        <is>
          <t>MBWAY</t>
        </is>
      </c>
      <c r="F51" s="1" t="inlineStr">
        <is>
          <t>BAC_MGT</t>
        </is>
      </c>
      <c r="G51" s="1" t="inlineStr">
        <is>
          <t>B2</t>
        </is>
      </c>
      <c r="H51" s="1" t="inlineStr">
        <is>
          <t>ALT</t>
        </is>
      </c>
      <c r="I51" s="1" t="inlineStr">
        <is>
          <t>2027</t>
        </is>
      </c>
      <c r="J51" t="n">
        <v>0</v>
      </c>
      <c r="K51" t="n">
        <v>49.765</v>
      </c>
      <c r="L51" t="n">
        <v>7075.18</v>
      </c>
      <c r="M51" t="n">
        <v>352096.3327</v>
      </c>
      <c r="O51">
        <f>IF(D51="","",_CALC_MOTEUR!AE51)</f>
        <v/>
      </c>
      <c r="P51">
        <f>IF(D51="","",_CALC_MOTEUR!AF51)</f>
        <v/>
      </c>
      <c r="Q51">
        <f>IF(D51="","",_CALC_MOTEUR!AG51)</f>
        <v/>
      </c>
      <c r="R51">
        <f>IF(D51="","",_CALC_MOTEUR!AH51)</f>
        <v/>
      </c>
      <c r="S51">
        <f>IF(D51="","",R51-M51)</f>
        <v/>
      </c>
    </row>
    <row r="52">
      <c r="A52" s="1" t="inlineStr">
        <is>
          <t>2027BUD_V1</t>
        </is>
      </c>
      <c r="B52" s="1" t="inlineStr">
        <is>
          <t>V03</t>
        </is>
      </c>
      <c r="C52" s="1" t="inlineStr">
        <is>
          <t>12</t>
        </is>
      </c>
      <c r="D52" s="1" t="inlineStr">
        <is>
          <t>MBWAY_BOR</t>
        </is>
      </c>
      <c r="E52" s="1" t="inlineStr">
        <is>
          <t>MBWAY</t>
        </is>
      </c>
      <c r="F52" s="1" t="inlineStr">
        <is>
          <t>BAC_MGT</t>
        </is>
      </c>
      <c r="G52" s="1" t="inlineStr">
        <is>
          <t>B2</t>
        </is>
      </c>
      <c r="H52" s="1" t="inlineStr">
        <is>
          <t>ALT</t>
        </is>
      </c>
      <c r="I52" s="1" t="inlineStr">
        <is>
          <t>2027</t>
        </is>
      </c>
      <c r="J52" t="n">
        <v>0</v>
      </c>
      <c r="K52" t="n">
        <v>48.49</v>
      </c>
      <c r="L52" t="n">
        <v>6952.96</v>
      </c>
      <c r="M52" t="n">
        <v>337149.0304</v>
      </c>
      <c r="O52">
        <f>IF(D52="","",_CALC_MOTEUR!AE52)</f>
        <v/>
      </c>
      <c r="P52">
        <f>IF(D52="","",_CALC_MOTEUR!AF52)</f>
        <v/>
      </c>
      <c r="Q52">
        <f>IF(D52="","",_CALC_MOTEUR!AG52)</f>
        <v/>
      </c>
      <c r="R52">
        <f>IF(D52="","",_CALC_MOTEUR!AH52)</f>
        <v/>
      </c>
      <c r="S52">
        <f>IF(D52="","",R52-M52)</f>
        <v/>
      </c>
    </row>
    <row r="53">
      <c r="A53" s="1" t="inlineStr">
        <is>
          <t>2027BUD_V1</t>
        </is>
      </c>
      <c r="B53" s="1" t="inlineStr">
        <is>
          <t>V01</t>
        </is>
      </c>
      <c r="C53" s="1" t="inlineStr">
        <is>
          <t>12</t>
        </is>
      </c>
      <c r="D53" s="1" t="inlineStr">
        <is>
          <t>MBWAY_BOR</t>
        </is>
      </c>
      <c r="E53" s="1" t="inlineStr">
        <is>
          <t>MBWAY</t>
        </is>
      </c>
      <c r="F53" s="1" t="inlineStr">
        <is>
          <t>BAC_MGT</t>
        </is>
      </c>
      <c r="G53" s="1" t="inlineStr">
        <is>
          <t>B3</t>
        </is>
      </c>
      <c r="H53" s="1" t="inlineStr">
        <is>
          <t>ALT</t>
        </is>
      </c>
      <c r="I53" s="1" t="inlineStr">
        <is>
          <t>2027</t>
        </is>
      </c>
      <c r="J53" t="n">
        <v>0</v>
      </c>
      <c r="K53" t="n">
        <v>48.245</v>
      </c>
      <c r="L53" t="n">
        <v>6813.6292</v>
      </c>
      <c r="M53" t="n">
        <v>328723.540754</v>
      </c>
      <c r="O53">
        <f>IF(D53="","",_CALC_MOTEUR!AE53)</f>
        <v/>
      </c>
      <c r="P53">
        <f>IF(D53="","",_CALC_MOTEUR!AF53)</f>
        <v/>
      </c>
      <c r="Q53">
        <f>IF(D53="","",_CALC_MOTEUR!AG53)</f>
        <v/>
      </c>
      <c r="R53">
        <f>IF(D53="","",_CALC_MOTEUR!AH53)</f>
        <v/>
      </c>
      <c r="S53">
        <f>IF(D53="","",R53-M53)</f>
        <v/>
      </c>
    </row>
    <row r="54">
      <c r="A54" s="1" t="inlineStr">
        <is>
          <t>2027BUD_V1</t>
        </is>
      </c>
      <c r="B54" s="1" t="inlineStr">
        <is>
          <t>V02</t>
        </is>
      </c>
      <c r="C54" s="1" t="inlineStr">
        <is>
          <t>12</t>
        </is>
      </c>
      <c r="D54" s="1" t="inlineStr">
        <is>
          <t>MBWAY_BOR</t>
        </is>
      </c>
      <c r="E54" s="1" t="inlineStr">
        <is>
          <t>MBWAY</t>
        </is>
      </c>
      <c r="F54" s="1" t="inlineStr">
        <is>
          <t>BAC_MGT</t>
        </is>
      </c>
      <c r="G54" s="1" t="inlineStr">
        <is>
          <t>B3</t>
        </is>
      </c>
      <c r="H54" s="1" t="inlineStr">
        <is>
          <t>ALT</t>
        </is>
      </c>
      <c r="I54" s="1" t="inlineStr">
        <is>
          <t>2027</t>
        </is>
      </c>
      <c r="J54" t="n">
        <v>0</v>
      </c>
      <c r="K54" t="n">
        <v>48.735</v>
      </c>
      <c r="L54" t="n">
        <v>7075.18</v>
      </c>
      <c r="M54" t="n">
        <v>344808.8973</v>
      </c>
      <c r="O54">
        <f>IF(D54="","",_CALC_MOTEUR!AE54)</f>
        <v/>
      </c>
      <c r="P54">
        <f>IF(D54="","",_CALC_MOTEUR!AF54)</f>
        <v/>
      </c>
      <c r="Q54">
        <f>IF(D54="","",_CALC_MOTEUR!AG54)</f>
        <v/>
      </c>
      <c r="R54">
        <f>IF(D54="","",_CALC_MOTEUR!AH54)</f>
        <v/>
      </c>
      <c r="S54">
        <f>IF(D54="","",R54-M54)</f>
        <v/>
      </c>
    </row>
    <row r="55">
      <c r="A55" s="1" t="inlineStr">
        <is>
          <t>2027BUD_V1</t>
        </is>
      </c>
      <c r="B55" s="1" t="inlineStr">
        <is>
          <t>V03</t>
        </is>
      </c>
      <c r="C55" s="1" t="inlineStr">
        <is>
          <t>12</t>
        </is>
      </c>
      <c r="D55" s="1" t="inlineStr">
        <is>
          <t>MBWAY_BOR</t>
        </is>
      </c>
      <c r="E55" s="1" t="inlineStr">
        <is>
          <t>MBWAY</t>
        </is>
      </c>
      <c r="F55" s="1" t="inlineStr">
        <is>
          <t>BAC_MGT</t>
        </is>
      </c>
      <c r="G55" s="1" t="inlineStr">
        <is>
          <t>B3</t>
        </is>
      </c>
      <c r="H55" s="1" t="inlineStr">
        <is>
          <t>ALT</t>
        </is>
      </c>
      <c r="I55" s="1" t="inlineStr">
        <is>
          <t>2027</t>
        </is>
      </c>
      <c r="J55" t="n">
        <v>0</v>
      </c>
      <c r="K55" t="n">
        <v>47.51</v>
      </c>
      <c r="L55" t="n">
        <v>6952.96</v>
      </c>
      <c r="M55" t="n">
        <v>330335.1296</v>
      </c>
      <c r="O55">
        <f>IF(D55="","",_CALC_MOTEUR!AE55)</f>
        <v/>
      </c>
      <c r="P55">
        <f>IF(D55="","",_CALC_MOTEUR!AF55)</f>
        <v/>
      </c>
      <c r="Q55">
        <f>IF(D55="","",_CALC_MOTEUR!AG55)</f>
        <v/>
      </c>
      <c r="R55">
        <f>IF(D55="","",_CALC_MOTEUR!AH55)</f>
        <v/>
      </c>
      <c r="S55">
        <f>IF(D55="","",R55-M55)</f>
        <v/>
      </c>
    </row>
    <row r="56">
      <c r="A56" s="1" t="inlineStr">
        <is>
          <t>2027BUD_V1</t>
        </is>
      </c>
      <c r="B56" s="1" t="inlineStr">
        <is>
          <t>V01</t>
        </is>
      </c>
      <c r="C56" s="1" t="inlineStr">
        <is>
          <t>12</t>
        </is>
      </c>
      <c r="D56" s="1" t="inlineStr">
        <is>
          <t>MBWAY_BOR</t>
        </is>
      </c>
      <c r="E56" s="1" t="inlineStr">
        <is>
          <t>MBWAY</t>
        </is>
      </c>
      <c r="F56" s="1" t="inlineStr">
        <is>
          <t>MAS_MGT</t>
        </is>
      </c>
      <c r="G56" s="1" t="inlineStr">
        <is>
          <t>M1</t>
        </is>
      </c>
      <c r="H56" s="1" t="inlineStr">
        <is>
          <t>ALT</t>
        </is>
      </c>
      <c r="I56" s="1" t="inlineStr">
        <is>
          <t>2027</t>
        </is>
      </c>
      <c r="J56" t="n">
        <v>56.910051615</v>
      </c>
      <c r="K56" t="n">
        <v>56.910051615</v>
      </c>
      <c r="L56" t="n">
        <v>7300.317</v>
      </c>
      <c r="M56" t="n">
        <v>420583.321919262</v>
      </c>
      <c r="O56">
        <f>IF(D56="","",_CALC_MOTEUR!AE56)</f>
        <v/>
      </c>
      <c r="P56">
        <f>IF(D56="","",_CALC_MOTEUR!AF56)</f>
        <v/>
      </c>
      <c r="Q56">
        <f>IF(D56="","",_CALC_MOTEUR!AG56)</f>
        <v/>
      </c>
      <c r="R56">
        <f>IF(D56="","",_CALC_MOTEUR!AH56)</f>
        <v/>
      </c>
      <c r="S56">
        <f>IF(D56="","",R56-M56)</f>
        <v/>
      </c>
    </row>
    <row r="57">
      <c r="A57" s="1" t="inlineStr">
        <is>
          <t>2027BUD_V1</t>
        </is>
      </c>
      <c r="B57" s="1" t="inlineStr">
        <is>
          <t>V02</t>
        </is>
      </c>
      <c r="C57" s="1" t="inlineStr">
        <is>
          <t>12</t>
        </is>
      </c>
      <c r="D57" s="1" t="inlineStr">
        <is>
          <t>MBWAY_BOR</t>
        </is>
      </c>
      <c r="E57" s="1" t="inlineStr">
        <is>
          <t>MBWAY</t>
        </is>
      </c>
      <c r="F57" s="1" t="inlineStr">
        <is>
          <t>MAS_MGT</t>
        </is>
      </c>
      <c r="G57" s="1" t="inlineStr">
        <is>
          <t>M1</t>
        </is>
      </c>
      <c r="H57" s="1" t="inlineStr">
        <is>
          <t>ALT</t>
        </is>
      </c>
      <c r="I57" s="1" t="inlineStr">
        <is>
          <t>2027</t>
        </is>
      </c>
      <c r="J57" t="n">
        <v>66.123858355</v>
      </c>
      <c r="K57" t="n">
        <v>66.123858355</v>
      </c>
      <c r="L57" t="n">
        <v>7580.55</v>
      </c>
      <c r="M57" t="n">
        <v>507206.361706278</v>
      </c>
      <c r="O57">
        <f>IF(D57="","",_CALC_MOTEUR!AE57)</f>
        <v/>
      </c>
      <c r="P57">
        <f>IF(D57="","",_CALC_MOTEUR!AF57)</f>
        <v/>
      </c>
      <c r="Q57">
        <f>IF(D57="","",_CALC_MOTEUR!AG57)</f>
        <v/>
      </c>
      <c r="R57">
        <f>IF(D57="","",_CALC_MOTEUR!AH57)</f>
        <v/>
      </c>
      <c r="S57">
        <f>IF(D57="","",R57-M57)</f>
        <v/>
      </c>
    </row>
    <row r="58">
      <c r="A58" s="1" t="inlineStr">
        <is>
          <t>2027BUD_V1</t>
        </is>
      </c>
      <c r="B58" s="1" t="inlineStr">
        <is>
          <t>V03</t>
        </is>
      </c>
      <c r="C58" s="1" t="inlineStr">
        <is>
          <t>12</t>
        </is>
      </c>
      <c r="D58" s="1" t="inlineStr">
        <is>
          <t>MBWAY_BOR</t>
        </is>
      </c>
      <c r="E58" s="1" t="inlineStr">
        <is>
          <t>MBWAY</t>
        </is>
      </c>
      <c r="F58" s="1" t="inlineStr">
        <is>
          <t>MAS_MGT</t>
        </is>
      </c>
      <c r="G58" s="1" t="inlineStr">
        <is>
          <t>M1</t>
        </is>
      </c>
      <c r="H58" s="1" t="inlineStr">
        <is>
          <t>ALT</t>
        </is>
      </c>
      <c r="I58" s="1" t="inlineStr">
        <is>
          <t>2027</t>
        </is>
      </c>
      <c r="J58" t="n">
        <v>46.232968089</v>
      </c>
      <c r="K58" t="n">
        <v>46.232968089</v>
      </c>
      <c r="L58" t="n">
        <v>7449.6</v>
      </c>
      <c r="M58" t="n">
        <v>348578.086205575</v>
      </c>
      <c r="O58">
        <f>IF(D58="","",_CALC_MOTEUR!AE58)</f>
        <v/>
      </c>
      <c r="P58">
        <f>IF(D58="","",_CALC_MOTEUR!AF58)</f>
        <v/>
      </c>
      <c r="Q58">
        <f>IF(D58="","",_CALC_MOTEUR!AG58)</f>
        <v/>
      </c>
      <c r="R58">
        <f>IF(D58="","",_CALC_MOTEUR!AH58)</f>
        <v/>
      </c>
      <c r="S58">
        <f>IF(D58="","",R58-M58)</f>
        <v/>
      </c>
    </row>
    <row r="59">
      <c r="A59" s="1" t="inlineStr">
        <is>
          <t>2027BUD_V1</t>
        </is>
      </c>
      <c r="B59" s="1" t="inlineStr">
        <is>
          <t>V01</t>
        </is>
      </c>
      <c r="C59" s="1" t="inlineStr">
        <is>
          <t>12</t>
        </is>
      </c>
      <c r="D59" s="1" t="inlineStr">
        <is>
          <t>MBWAY_BOR</t>
        </is>
      </c>
      <c r="E59" s="1" t="inlineStr">
        <is>
          <t>MBWAY</t>
        </is>
      </c>
      <c r="F59" s="1" t="inlineStr">
        <is>
          <t>MAS_MGT</t>
        </is>
      </c>
      <c r="G59" s="1" t="inlineStr">
        <is>
          <t>M2</t>
        </is>
      </c>
      <c r="H59" s="1" t="inlineStr">
        <is>
          <t>ALT</t>
        </is>
      </c>
      <c r="I59" s="1" t="inlineStr">
        <is>
          <t>2027</t>
        </is>
      </c>
      <c r="J59" t="n">
        <v>0</v>
      </c>
      <c r="K59" t="n">
        <v>50.255</v>
      </c>
      <c r="L59" t="n">
        <v>7300.317</v>
      </c>
      <c r="M59" t="n">
        <v>366877.430835</v>
      </c>
      <c r="O59">
        <f>IF(D59="","",_CALC_MOTEUR!AE59)</f>
        <v/>
      </c>
      <c r="P59">
        <f>IF(D59="","",_CALC_MOTEUR!AF59)</f>
        <v/>
      </c>
      <c r="Q59">
        <f>IF(D59="","",_CALC_MOTEUR!AG59)</f>
        <v/>
      </c>
      <c r="R59">
        <f>IF(D59="","",_CALC_MOTEUR!AH59)</f>
        <v/>
      </c>
      <c r="S59">
        <f>IF(D59="","",R59-M59)</f>
        <v/>
      </c>
    </row>
    <row r="60">
      <c r="A60" s="1" t="inlineStr">
        <is>
          <t>2027BUD_V1</t>
        </is>
      </c>
      <c r="B60" s="1" t="inlineStr">
        <is>
          <t>V02</t>
        </is>
      </c>
      <c r="C60" s="1" t="inlineStr">
        <is>
          <t>12</t>
        </is>
      </c>
      <c r="D60" s="1" t="inlineStr">
        <is>
          <t>MBWAY_BOR</t>
        </is>
      </c>
      <c r="E60" s="1" t="inlineStr">
        <is>
          <t>MBWAY</t>
        </is>
      </c>
      <c r="F60" s="1" t="inlineStr">
        <is>
          <t>MAS_MGT</t>
        </is>
      </c>
      <c r="G60" s="1" t="inlineStr">
        <is>
          <t>M2</t>
        </is>
      </c>
      <c r="H60" s="1" t="inlineStr">
        <is>
          <t>ALT</t>
        </is>
      </c>
      <c r="I60" s="1" t="inlineStr">
        <is>
          <t>2027</t>
        </is>
      </c>
      <c r="J60" t="n">
        <v>0</v>
      </c>
      <c r="K60" t="n">
        <v>50.765</v>
      </c>
      <c r="L60" t="n">
        <v>7580.55</v>
      </c>
      <c r="M60" t="n">
        <v>384826.62075</v>
      </c>
      <c r="O60">
        <f>IF(D60="","",_CALC_MOTEUR!AE60)</f>
        <v/>
      </c>
      <c r="P60">
        <f>IF(D60="","",_CALC_MOTEUR!AF60)</f>
        <v/>
      </c>
      <c r="Q60">
        <f>IF(D60="","",_CALC_MOTEUR!AG60)</f>
        <v/>
      </c>
      <c r="R60">
        <f>IF(D60="","",_CALC_MOTEUR!AH60)</f>
        <v/>
      </c>
      <c r="S60">
        <f>IF(D60="","",R60-M60)</f>
        <v/>
      </c>
    </row>
    <row r="61">
      <c r="A61" s="1" t="inlineStr">
        <is>
          <t>2027BUD_V1</t>
        </is>
      </c>
      <c r="B61" s="1" t="inlineStr">
        <is>
          <t>V03</t>
        </is>
      </c>
      <c r="C61" s="1" t="inlineStr">
        <is>
          <t>12</t>
        </is>
      </c>
      <c r="D61" s="1" t="inlineStr">
        <is>
          <t>MBWAY_BOR</t>
        </is>
      </c>
      <c r="E61" s="1" t="inlineStr">
        <is>
          <t>MBWAY</t>
        </is>
      </c>
      <c r="F61" s="1" t="inlineStr">
        <is>
          <t>MAS_MGT</t>
        </is>
      </c>
      <c r="G61" s="1" t="inlineStr">
        <is>
          <t>M2</t>
        </is>
      </c>
      <c r="H61" s="1" t="inlineStr">
        <is>
          <t>ALT</t>
        </is>
      </c>
      <c r="I61" s="1" t="inlineStr">
        <is>
          <t>2027</t>
        </is>
      </c>
      <c r="J61" t="n">
        <v>0</v>
      </c>
      <c r="K61" t="n">
        <v>49.49</v>
      </c>
      <c r="L61" t="n">
        <v>7449.6</v>
      </c>
      <c r="M61" t="n">
        <v>368680.704</v>
      </c>
      <c r="O61">
        <f>IF(D61="","",_CALC_MOTEUR!AE61)</f>
        <v/>
      </c>
      <c r="P61">
        <f>IF(D61="","",_CALC_MOTEUR!AF61)</f>
        <v/>
      </c>
      <c r="Q61">
        <f>IF(D61="","",_CALC_MOTEUR!AG61)</f>
        <v/>
      </c>
      <c r="R61">
        <f>IF(D61="","",_CALC_MOTEUR!AH61)</f>
        <v/>
      </c>
      <c r="S61">
        <f>IF(D61="","",R61-M61)</f>
        <v/>
      </c>
    </row>
    <row r="62">
      <c r="A62" s="1" t="inlineStr">
        <is>
          <t>2027BUD_V1</t>
        </is>
      </c>
      <c r="B62" s="1" t="inlineStr">
        <is>
          <t>V01</t>
        </is>
      </c>
      <c r="C62" s="1" t="inlineStr">
        <is>
          <t>12</t>
        </is>
      </c>
      <c r="D62" s="1" t="inlineStr">
        <is>
          <t>ISCOM_PAR</t>
        </is>
      </c>
      <c r="E62" s="1" t="inlineStr">
        <is>
          <t>ISCOM</t>
        </is>
      </c>
      <c r="F62" s="1" t="inlineStr">
        <is>
          <t>BAC_COM</t>
        </is>
      </c>
      <c r="G62" s="1" t="inlineStr">
        <is>
          <t>B1</t>
        </is>
      </c>
      <c r="H62" s="1" t="inlineStr">
        <is>
          <t>INIT</t>
        </is>
      </c>
      <c r="I62" s="1" t="inlineStr">
        <is>
          <t>2027</t>
        </is>
      </c>
      <c r="J62" t="n">
        <v>78.32340050400001</v>
      </c>
      <c r="K62" t="n">
        <v>78.32340050400001</v>
      </c>
      <c r="L62" t="n">
        <v>8428.013999999999</v>
      </c>
      <c r="M62" t="n">
        <v>667159.822022278</v>
      </c>
      <c r="O62">
        <f>IF(D62="","",_CALC_MOTEUR!AE62)</f>
        <v/>
      </c>
      <c r="P62">
        <f>IF(D62="","",_CALC_MOTEUR!AF62)</f>
        <v/>
      </c>
      <c r="Q62">
        <f>IF(D62="","",_CALC_MOTEUR!AG62)</f>
        <v/>
      </c>
      <c r="R62">
        <f>IF(D62="","",_CALC_MOTEUR!AH62)</f>
        <v/>
      </c>
      <c r="S62">
        <f>IF(D62="","",R62-M62)</f>
        <v/>
      </c>
    </row>
    <row r="63">
      <c r="A63" s="1" t="inlineStr">
        <is>
          <t>2027BUD_V1</t>
        </is>
      </c>
      <c r="B63" s="1" t="inlineStr">
        <is>
          <t>V02</t>
        </is>
      </c>
      <c r="C63" s="1" t="inlineStr">
        <is>
          <t>12</t>
        </is>
      </c>
      <c r="D63" s="1" t="inlineStr">
        <is>
          <t>ISCOM_PAR</t>
        </is>
      </c>
      <c r="E63" s="1" t="inlineStr">
        <is>
          <t>ISCOM</t>
        </is>
      </c>
      <c r="F63" s="1" t="inlineStr">
        <is>
          <t>BAC_COM</t>
        </is>
      </c>
      <c r="G63" s="1" t="inlineStr">
        <is>
          <t>B1</t>
        </is>
      </c>
      <c r="H63" s="1" t="inlineStr">
        <is>
          <t>INIT</t>
        </is>
      </c>
      <c r="I63" s="1" t="inlineStr">
        <is>
          <t>2027</t>
        </is>
      </c>
      <c r="J63" t="n">
        <v>87.741212494</v>
      </c>
      <c r="K63" t="n">
        <v>87.741212494</v>
      </c>
      <c r="L63" t="n">
        <v>8738.1</v>
      </c>
      <c r="M63" t="n">
        <v>774588.198020432</v>
      </c>
      <c r="O63">
        <f>IF(D63="","",_CALC_MOTEUR!AE63)</f>
        <v/>
      </c>
      <c r="P63">
        <f>IF(D63="","",_CALC_MOTEUR!AF63)</f>
        <v/>
      </c>
      <c r="Q63">
        <f>IF(D63="","",_CALC_MOTEUR!AG63)</f>
        <v/>
      </c>
      <c r="R63">
        <f>IF(D63="","",_CALC_MOTEUR!AH63)</f>
        <v/>
      </c>
      <c r="S63">
        <f>IF(D63="","",R63-M63)</f>
        <v/>
      </c>
    </row>
    <row r="64">
      <c r="A64" s="1" t="inlineStr">
        <is>
          <t>2027BUD_V1</t>
        </is>
      </c>
      <c r="B64" s="1" t="inlineStr">
        <is>
          <t>V03</t>
        </is>
      </c>
      <c r="C64" s="1" t="inlineStr">
        <is>
          <t>12</t>
        </is>
      </c>
      <c r="D64" s="1" t="inlineStr">
        <is>
          <t>ISCOM_PAR</t>
        </is>
      </c>
      <c r="E64" s="1" t="inlineStr">
        <is>
          <t>ISCOM</t>
        </is>
      </c>
      <c r="F64" s="1" t="inlineStr">
        <is>
          <t>BAC_COM</t>
        </is>
      </c>
      <c r="G64" s="1" t="inlineStr">
        <is>
          <t>B1</t>
        </is>
      </c>
      <c r="H64" s="1" t="inlineStr">
        <is>
          <t>INIT</t>
        </is>
      </c>
      <c r="I64" s="1" t="inlineStr">
        <is>
          <t>2027</t>
        </is>
      </c>
      <c r="J64" t="n">
        <v>66.90547511699999</v>
      </c>
      <c r="K64" t="n">
        <v>66.90547511699999</v>
      </c>
      <c r="L64" t="n">
        <v>8593.200000000001</v>
      </c>
      <c r="M64" t="n">
        <v>580953.621538659</v>
      </c>
      <c r="O64">
        <f>IF(D64="","",_CALC_MOTEUR!AE64)</f>
        <v/>
      </c>
      <c r="P64">
        <f>IF(D64="","",_CALC_MOTEUR!AF64)</f>
        <v/>
      </c>
      <c r="Q64">
        <f>IF(D64="","",_CALC_MOTEUR!AG64)</f>
        <v/>
      </c>
      <c r="R64">
        <f>IF(D64="","",_CALC_MOTEUR!AH64)</f>
        <v/>
      </c>
      <c r="S64">
        <f>IF(D64="","",R64-M64)</f>
        <v/>
      </c>
    </row>
    <row r="65">
      <c r="A65" s="1" t="inlineStr">
        <is>
          <t>2027BUD_V1</t>
        </is>
      </c>
      <c r="B65" s="1" t="inlineStr">
        <is>
          <t>V01</t>
        </is>
      </c>
      <c r="C65" s="1" t="inlineStr">
        <is>
          <t>12</t>
        </is>
      </c>
      <c r="D65" s="1" t="inlineStr">
        <is>
          <t>ISCOM_PAR</t>
        </is>
      </c>
      <c r="E65" s="1" t="inlineStr">
        <is>
          <t>ISCOM</t>
        </is>
      </c>
      <c r="F65" s="1" t="inlineStr">
        <is>
          <t>BAC_COM</t>
        </is>
      </c>
      <c r="G65" s="1" t="inlineStr">
        <is>
          <t>B2</t>
        </is>
      </c>
      <c r="H65" s="1" t="inlineStr">
        <is>
          <t>ALT</t>
        </is>
      </c>
      <c r="I65" s="1" t="inlineStr">
        <is>
          <t>2027</t>
        </is>
      </c>
      <c r="J65" t="n">
        <v>0</v>
      </c>
      <c r="K65" t="n">
        <v>70.36</v>
      </c>
      <c r="L65" t="n">
        <v>7866.1464</v>
      </c>
      <c r="M65" t="n">
        <v>553462.0607039999</v>
      </c>
      <c r="O65">
        <f>IF(D65="","",_CALC_MOTEUR!AE65)</f>
        <v/>
      </c>
      <c r="P65">
        <f>IF(D65="","",_CALC_MOTEUR!AF65)</f>
        <v/>
      </c>
      <c r="Q65">
        <f>IF(D65="","",_CALC_MOTEUR!AG65)</f>
        <v/>
      </c>
      <c r="R65">
        <f>IF(D65="","",_CALC_MOTEUR!AH65)</f>
        <v/>
      </c>
      <c r="S65">
        <f>IF(D65="","",R65-M65)</f>
        <v/>
      </c>
    </row>
    <row r="66">
      <c r="A66" s="1" t="inlineStr">
        <is>
          <t>2027BUD_V1</t>
        </is>
      </c>
      <c r="B66" s="1" t="inlineStr">
        <is>
          <t>V02</t>
        </is>
      </c>
      <c r="C66" s="1" t="inlineStr">
        <is>
          <t>12</t>
        </is>
      </c>
      <c r="D66" s="1" t="inlineStr">
        <is>
          <t>ISCOM_PAR</t>
        </is>
      </c>
      <c r="E66" s="1" t="inlineStr">
        <is>
          <t>ISCOM</t>
        </is>
      </c>
      <c r="F66" s="1" t="inlineStr">
        <is>
          <t>BAC_COM</t>
        </is>
      </c>
      <c r="G66" s="1" t="inlineStr">
        <is>
          <t>B2</t>
        </is>
      </c>
      <c r="H66" s="1" t="inlineStr">
        <is>
          <t>ALT</t>
        </is>
      </c>
      <c r="I66" s="1" t="inlineStr">
        <is>
          <t>2027</t>
        </is>
      </c>
      <c r="J66" t="n">
        <v>0</v>
      </c>
      <c r="K66" t="n">
        <v>71.08</v>
      </c>
      <c r="L66" t="n">
        <v>8155.56</v>
      </c>
      <c r="M66" t="n">
        <v>579697.2047999999</v>
      </c>
      <c r="O66">
        <f>IF(D66="","",_CALC_MOTEUR!AE66)</f>
        <v/>
      </c>
      <c r="P66">
        <f>IF(D66="","",_CALC_MOTEUR!AF66)</f>
        <v/>
      </c>
      <c r="Q66">
        <f>IF(D66="","",_CALC_MOTEUR!AG66)</f>
        <v/>
      </c>
      <c r="R66">
        <f>IF(D66="","",_CALC_MOTEUR!AH66)</f>
        <v/>
      </c>
      <c r="S66">
        <f>IF(D66="","",R66-M66)</f>
        <v/>
      </c>
    </row>
    <row r="67">
      <c r="A67" s="1" t="inlineStr">
        <is>
          <t>2027BUD_V1</t>
        </is>
      </c>
      <c r="B67" s="1" t="inlineStr">
        <is>
          <t>V03</t>
        </is>
      </c>
      <c r="C67" s="1" t="inlineStr">
        <is>
          <t>12</t>
        </is>
      </c>
      <c r="D67" s="1" t="inlineStr">
        <is>
          <t>ISCOM_PAR</t>
        </is>
      </c>
      <c r="E67" s="1" t="inlineStr">
        <is>
          <t>ISCOM</t>
        </is>
      </c>
      <c r="F67" s="1" t="inlineStr">
        <is>
          <t>BAC_COM</t>
        </is>
      </c>
      <c r="G67" s="1" t="inlineStr">
        <is>
          <t>B2</t>
        </is>
      </c>
      <c r="H67" s="1" t="inlineStr">
        <is>
          <t>ALT</t>
        </is>
      </c>
      <c r="I67" s="1" t="inlineStr">
        <is>
          <t>2027</t>
        </is>
      </c>
      <c r="J67" t="n">
        <v>0</v>
      </c>
      <c r="K67" t="n">
        <v>69.28</v>
      </c>
      <c r="L67" t="n">
        <v>8020.32</v>
      </c>
      <c r="M67" t="n">
        <v>555647.7696</v>
      </c>
      <c r="O67">
        <f>IF(D67="","",_CALC_MOTEUR!AE67)</f>
        <v/>
      </c>
      <c r="P67">
        <f>IF(D67="","",_CALC_MOTEUR!AF67)</f>
        <v/>
      </c>
      <c r="Q67">
        <f>IF(D67="","",_CALC_MOTEUR!AG67)</f>
        <v/>
      </c>
      <c r="R67">
        <f>IF(D67="","",_CALC_MOTEUR!AH67)</f>
        <v/>
      </c>
      <c r="S67">
        <f>IF(D67="","",R67-M67)</f>
        <v/>
      </c>
    </row>
    <row r="68">
      <c r="A68" s="1" t="inlineStr">
        <is>
          <t>2027BUD_V1</t>
        </is>
      </c>
      <c r="B68" s="1" t="inlineStr">
        <is>
          <t>V01</t>
        </is>
      </c>
      <c r="C68" s="1" t="inlineStr">
        <is>
          <t>12</t>
        </is>
      </c>
      <c r="D68" s="1" t="inlineStr">
        <is>
          <t>ISCOM_PAR</t>
        </is>
      </c>
      <c r="E68" s="1" t="inlineStr">
        <is>
          <t>ISCOM</t>
        </is>
      </c>
      <c r="F68" s="1" t="inlineStr">
        <is>
          <t>BAC_COM</t>
        </is>
      </c>
      <c r="G68" s="1" t="inlineStr">
        <is>
          <t>B3</t>
        </is>
      </c>
      <c r="H68" s="1" t="inlineStr">
        <is>
          <t>ALT</t>
        </is>
      </c>
      <c r="I68" s="1" t="inlineStr">
        <is>
          <t>2027</t>
        </is>
      </c>
      <c r="J68" t="n">
        <v>0</v>
      </c>
      <c r="K68" t="n">
        <v>69.34999999999999</v>
      </c>
      <c r="L68" t="n">
        <v>7866.1464</v>
      </c>
      <c r="M68" t="n">
        <v>545517.25284</v>
      </c>
      <c r="O68">
        <f>IF(D68="","",_CALC_MOTEUR!AE68)</f>
        <v/>
      </c>
      <c r="P68">
        <f>IF(D68="","",_CALC_MOTEUR!AF68)</f>
        <v/>
      </c>
      <c r="Q68">
        <f>IF(D68="","",_CALC_MOTEUR!AG68)</f>
        <v/>
      </c>
      <c r="R68">
        <f>IF(D68="","",_CALC_MOTEUR!AH68)</f>
        <v/>
      </c>
      <c r="S68">
        <f>IF(D68="","",R68-M68)</f>
        <v/>
      </c>
    </row>
    <row r="69">
      <c r="A69" s="1" t="inlineStr">
        <is>
          <t>2027BUD_V1</t>
        </is>
      </c>
      <c r="B69" s="1" t="inlineStr">
        <is>
          <t>V02</t>
        </is>
      </c>
      <c r="C69" s="1" t="inlineStr">
        <is>
          <t>12</t>
        </is>
      </c>
      <c r="D69" s="1" t="inlineStr">
        <is>
          <t>ISCOM_PAR</t>
        </is>
      </c>
      <c r="E69" s="1" t="inlineStr">
        <is>
          <t>ISCOM</t>
        </is>
      </c>
      <c r="F69" s="1" t="inlineStr">
        <is>
          <t>BAC_COM</t>
        </is>
      </c>
      <c r="G69" s="1" t="inlineStr">
        <is>
          <t>B3</t>
        </is>
      </c>
      <c r="H69" s="1" t="inlineStr">
        <is>
          <t>ALT</t>
        </is>
      </c>
      <c r="I69" s="1" t="inlineStr">
        <is>
          <t>2027</t>
        </is>
      </c>
      <c r="J69" t="n">
        <v>0</v>
      </c>
      <c r="K69" t="n">
        <v>70.05</v>
      </c>
      <c r="L69" t="n">
        <v>8155.56</v>
      </c>
      <c r="M69" t="n">
        <v>571296.978</v>
      </c>
      <c r="O69">
        <f>IF(D69="","",_CALC_MOTEUR!AE69)</f>
        <v/>
      </c>
      <c r="P69">
        <f>IF(D69="","",_CALC_MOTEUR!AF69)</f>
        <v/>
      </c>
      <c r="Q69">
        <f>IF(D69="","",_CALC_MOTEUR!AG69)</f>
        <v/>
      </c>
      <c r="R69">
        <f>IF(D69="","",_CALC_MOTEUR!AH69)</f>
        <v/>
      </c>
      <c r="S69">
        <f>IF(D69="","",R69-M69)</f>
        <v/>
      </c>
    </row>
    <row r="70">
      <c r="A70" s="1" t="inlineStr">
        <is>
          <t>2027BUD_V1</t>
        </is>
      </c>
      <c r="B70" s="1" t="inlineStr">
        <is>
          <t>V03</t>
        </is>
      </c>
      <c r="C70" s="1" t="inlineStr">
        <is>
          <t>12</t>
        </is>
      </c>
      <c r="D70" s="1" t="inlineStr">
        <is>
          <t>ISCOM_PAR</t>
        </is>
      </c>
      <c r="E70" s="1" t="inlineStr">
        <is>
          <t>ISCOM</t>
        </is>
      </c>
      <c r="F70" s="1" t="inlineStr">
        <is>
          <t>BAC_COM</t>
        </is>
      </c>
      <c r="G70" s="1" t="inlineStr">
        <is>
          <t>B3</t>
        </is>
      </c>
      <c r="H70" s="1" t="inlineStr">
        <is>
          <t>ALT</t>
        </is>
      </c>
      <c r="I70" s="1" t="inlineStr">
        <is>
          <t>2027</t>
        </is>
      </c>
      <c r="J70" t="n">
        <v>0</v>
      </c>
      <c r="K70" t="n">
        <v>68.3</v>
      </c>
      <c r="L70" t="n">
        <v>8020.32</v>
      </c>
      <c r="M70" t="n">
        <v>547787.856</v>
      </c>
      <c r="O70">
        <f>IF(D70="","",_CALC_MOTEUR!AE70)</f>
        <v/>
      </c>
      <c r="P70">
        <f>IF(D70="","",_CALC_MOTEUR!AF70)</f>
        <v/>
      </c>
      <c r="Q70">
        <f>IF(D70="","",_CALC_MOTEUR!AG70)</f>
        <v/>
      </c>
      <c r="R70">
        <f>IF(D70="","",_CALC_MOTEUR!AH70)</f>
        <v/>
      </c>
      <c r="S70">
        <f>IF(D70="","",R70-M70)</f>
        <v/>
      </c>
    </row>
    <row r="71">
      <c r="A71" s="1" t="inlineStr">
        <is>
          <t>2027BUD_V1</t>
        </is>
      </c>
      <c r="B71" s="1" t="inlineStr">
        <is>
          <t>V01</t>
        </is>
      </c>
      <c r="C71" s="1" t="inlineStr">
        <is>
          <t>12</t>
        </is>
      </c>
      <c r="D71" s="1" t="inlineStr">
        <is>
          <t>ISCOM_PAR</t>
        </is>
      </c>
      <c r="E71" s="1" t="inlineStr">
        <is>
          <t>ISCOM</t>
        </is>
      </c>
      <c r="F71" s="1" t="inlineStr">
        <is>
          <t>MAS_COM</t>
        </is>
      </c>
      <c r="G71" s="1" t="inlineStr">
        <is>
          <t>M1</t>
        </is>
      </c>
      <c r="H71" s="1" t="inlineStr">
        <is>
          <t>ALT</t>
        </is>
      </c>
      <c r="I71" s="1" t="inlineStr">
        <is>
          <t>2027</t>
        </is>
      </c>
      <c r="J71" t="n">
        <v>79.95892715700001</v>
      </c>
      <c r="K71" t="n">
        <v>79.95892715700001</v>
      </c>
      <c r="L71" t="n">
        <v>8428.013999999999</v>
      </c>
      <c r="M71" t="n">
        <v>681091.260944862</v>
      </c>
      <c r="O71">
        <f>IF(D71="","",_CALC_MOTEUR!AE71)</f>
        <v/>
      </c>
      <c r="P71">
        <f>IF(D71="","",_CALC_MOTEUR!AF71)</f>
        <v/>
      </c>
      <c r="Q71">
        <f>IF(D71="","",_CALC_MOTEUR!AG71)</f>
        <v/>
      </c>
      <c r="R71">
        <f>IF(D71="","",_CALC_MOTEUR!AH71)</f>
        <v/>
      </c>
      <c r="S71">
        <f>IF(D71="","",R71-M71)</f>
        <v/>
      </c>
    </row>
    <row r="72">
      <c r="A72" s="1" t="inlineStr">
        <is>
          <t>2027BUD_V1</t>
        </is>
      </c>
      <c r="B72" s="1" t="inlineStr">
        <is>
          <t>V02</t>
        </is>
      </c>
      <c r="C72" s="1" t="inlineStr">
        <is>
          <t>12</t>
        </is>
      </c>
      <c r="D72" s="1" t="inlineStr">
        <is>
          <t>ISCOM_PAR</t>
        </is>
      </c>
      <c r="E72" s="1" t="inlineStr">
        <is>
          <t>ISCOM</t>
        </is>
      </c>
      <c r="F72" s="1" t="inlineStr">
        <is>
          <t>MAS_COM</t>
        </is>
      </c>
      <c r="G72" s="1" t="inlineStr">
        <is>
          <t>M1</t>
        </is>
      </c>
      <c r="H72" s="1" t="inlineStr">
        <is>
          <t>ALT</t>
        </is>
      </c>
      <c r="I72" s="1" t="inlineStr">
        <is>
          <t>2027</t>
        </is>
      </c>
      <c r="J72" t="n">
        <v>92.693432265</v>
      </c>
      <c r="K72" t="n">
        <v>92.693432265</v>
      </c>
      <c r="L72" t="n">
        <v>8738.1</v>
      </c>
      <c r="M72" t="n">
        <v>818306.889377602</v>
      </c>
      <c r="O72">
        <f>IF(D72="","",_CALC_MOTEUR!AE72)</f>
        <v/>
      </c>
      <c r="P72">
        <f>IF(D72="","",_CALC_MOTEUR!AF72)</f>
        <v/>
      </c>
      <c r="Q72">
        <f>IF(D72="","",_CALC_MOTEUR!AG72)</f>
        <v/>
      </c>
      <c r="R72">
        <f>IF(D72="","",_CALC_MOTEUR!AH72)</f>
        <v/>
      </c>
      <c r="S72">
        <f>IF(D72="","",R72-M72)</f>
        <v/>
      </c>
    </row>
    <row r="73">
      <c r="A73" s="1" t="inlineStr">
        <is>
          <t>2027BUD_V1</t>
        </is>
      </c>
      <c r="B73" s="1" t="inlineStr">
        <is>
          <t>V03</t>
        </is>
      </c>
      <c r="C73" s="1" t="inlineStr">
        <is>
          <t>12</t>
        </is>
      </c>
      <c r="D73" s="1" t="inlineStr">
        <is>
          <t>ISCOM_PAR</t>
        </is>
      </c>
      <c r="E73" s="1" t="inlineStr">
        <is>
          <t>ISCOM</t>
        </is>
      </c>
      <c r="F73" s="1" t="inlineStr">
        <is>
          <t>MAS_COM</t>
        </is>
      </c>
      <c r="G73" s="1" t="inlineStr">
        <is>
          <t>M1</t>
        </is>
      </c>
      <c r="H73" s="1" t="inlineStr">
        <is>
          <t>ALT</t>
        </is>
      </c>
      <c r="I73" s="1" t="inlineStr">
        <is>
          <t>2027</t>
        </is>
      </c>
      <c r="J73" t="n">
        <v>65.43773509499999</v>
      </c>
      <c r="K73" t="n">
        <v>65.43773509499999</v>
      </c>
      <c r="L73" t="n">
        <v>8593.200000000001</v>
      </c>
      <c r="M73" t="n">
        <v>568208.941377352</v>
      </c>
      <c r="O73">
        <f>IF(D73="","",_CALC_MOTEUR!AE73)</f>
        <v/>
      </c>
      <c r="P73">
        <f>IF(D73="","",_CALC_MOTEUR!AF73)</f>
        <v/>
      </c>
      <c r="Q73">
        <f>IF(D73="","",_CALC_MOTEUR!AG73)</f>
        <v/>
      </c>
      <c r="R73">
        <f>IF(D73="","",_CALC_MOTEUR!AH73)</f>
        <v/>
      </c>
      <c r="S73">
        <f>IF(D73="","",R73-M73)</f>
        <v/>
      </c>
    </row>
    <row r="74">
      <c r="A74" s="1" t="inlineStr">
        <is>
          <t>2027BUD_V1</t>
        </is>
      </c>
      <c r="B74" s="1" t="inlineStr">
        <is>
          <t>V01</t>
        </is>
      </c>
      <c r="C74" s="1" t="inlineStr">
        <is>
          <t>12</t>
        </is>
      </c>
      <c r="D74" s="1" t="inlineStr">
        <is>
          <t>ISCOM_PAR</t>
        </is>
      </c>
      <c r="E74" s="1" t="inlineStr">
        <is>
          <t>ISCOM</t>
        </is>
      </c>
      <c r="F74" s="1" t="inlineStr">
        <is>
          <t>MAS_COM</t>
        </is>
      </c>
      <c r="G74" s="1" t="inlineStr">
        <is>
          <t>M2</t>
        </is>
      </c>
      <c r="H74" s="1" t="inlineStr">
        <is>
          <t>ALT</t>
        </is>
      </c>
      <c r="I74" s="1" t="inlineStr">
        <is>
          <t>2027</t>
        </is>
      </c>
      <c r="J74" t="n">
        <v>0</v>
      </c>
      <c r="K74" t="n">
        <v>71.36</v>
      </c>
      <c r="L74" t="n">
        <v>8428.013999999999</v>
      </c>
      <c r="M74" t="n">
        <v>601423.07904</v>
      </c>
      <c r="O74">
        <f>IF(D74="","",_CALC_MOTEUR!AE74)</f>
        <v/>
      </c>
      <c r="P74">
        <f>IF(D74="","",_CALC_MOTEUR!AF74)</f>
        <v/>
      </c>
      <c r="Q74">
        <f>IF(D74="","",_CALC_MOTEUR!AG74)</f>
        <v/>
      </c>
      <c r="R74">
        <f>IF(D74="","",_CALC_MOTEUR!AH74)</f>
        <v/>
      </c>
      <c r="S74">
        <f>IF(D74="","",R74-M74)</f>
        <v/>
      </c>
    </row>
    <row r="75">
      <c r="A75" s="1" t="inlineStr">
        <is>
          <t>2027BUD_V1</t>
        </is>
      </c>
      <c r="B75" s="1" t="inlineStr">
        <is>
          <t>V02</t>
        </is>
      </c>
      <c r="C75" s="1" t="inlineStr">
        <is>
          <t>12</t>
        </is>
      </c>
      <c r="D75" s="1" t="inlineStr">
        <is>
          <t>ISCOM_PAR</t>
        </is>
      </c>
      <c r="E75" s="1" t="inlineStr">
        <is>
          <t>ISCOM</t>
        </is>
      </c>
      <c r="F75" s="1" t="inlineStr">
        <is>
          <t>MAS_COM</t>
        </is>
      </c>
      <c r="G75" s="1" t="inlineStr">
        <is>
          <t>M2</t>
        </is>
      </c>
      <c r="H75" s="1" t="inlineStr">
        <is>
          <t>ALT</t>
        </is>
      </c>
      <c r="I75" s="1" t="inlineStr">
        <is>
          <t>2027</t>
        </is>
      </c>
      <c r="J75" t="n">
        <v>0</v>
      </c>
      <c r="K75" t="n">
        <v>72.08</v>
      </c>
      <c r="L75" t="n">
        <v>8738.1</v>
      </c>
      <c r="M75" t="n">
        <v>629842.248</v>
      </c>
      <c r="O75">
        <f>IF(D75="","",_CALC_MOTEUR!AE75)</f>
        <v/>
      </c>
      <c r="P75">
        <f>IF(D75="","",_CALC_MOTEUR!AF75)</f>
        <v/>
      </c>
      <c r="Q75">
        <f>IF(D75="","",_CALC_MOTEUR!AG75)</f>
        <v/>
      </c>
      <c r="R75">
        <f>IF(D75="","",_CALC_MOTEUR!AH75)</f>
        <v/>
      </c>
      <c r="S75">
        <f>IF(D75="","",R75-M75)</f>
        <v/>
      </c>
    </row>
    <row r="76">
      <c r="A76" s="1" t="inlineStr">
        <is>
          <t>2027BUD_V1</t>
        </is>
      </c>
      <c r="B76" s="1" t="inlineStr">
        <is>
          <t>V03</t>
        </is>
      </c>
      <c r="C76" s="1" t="inlineStr">
        <is>
          <t>12</t>
        </is>
      </c>
      <c r="D76" s="1" t="inlineStr">
        <is>
          <t>ISCOM_PAR</t>
        </is>
      </c>
      <c r="E76" s="1" t="inlineStr">
        <is>
          <t>ISCOM</t>
        </is>
      </c>
      <c r="F76" s="1" t="inlineStr">
        <is>
          <t>MAS_COM</t>
        </is>
      </c>
      <c r="G76" s="1" t="inlineStr">
        <is>
          <t>M2</t>
        </is>
      </c>
      <c r="H76" s="1" t="inlineStr">
        <is>
          <t>ALT</t>
        </is>
      </c>
      <c r="I76" s="1" t="inlineStr">
        <is>
          <t>2027</t>
        </is>
      </c>
      <c r="J76" t="n">
        <v>0</v>
      </c>
      <c r="K76" t="n">
        <v>70.28</v>
      </c>
      <c r="L76" t="n">
        <v>8593.200000000001</v>
      </c>
      <c r="M76" t="n">
        <v>603930.096</v>
      </c>
      <c r="O76">
        <f>IF(D76="","",_CALC_MOTEUR!AE76)</f>
        <v/>
      </c>
      <c r="P76">
        <f>IF(D76="","",_CALC_MOTEUR!AF76)</f>
        <v/>
      </c>
      <c r="Q76">
        <f>IF(D76="","",_CALC_MOTEUR!AG76)</f>
        <v/>
      </c>
      <c r="R76">
        <f>IF(D76="","",_CALC_MOTEUR!AH76)</f>
        <v/>
      </c>
      <c r="S76">
        <f>IF(D76="","",R76-M76)</f>
        <v/>
      </c>
    </row>
    <row r="77">
      <c r="A77" s="1" t="inlineStr">
        <is>
          <t>2027BUD_V1</t>
        </is>
      </c>
      <c r="B77" s="1" t="inlineStr">
        <is>
          <t>V01</t>
        </is>
      </c>
      <c r="C77" s="1" t="inlineStr">
        <is>
          <t>12</t>
        </is>
      </c>
      <c r="D77" s="1" t="inlineStr">
        <is>
          <t>ISCOM_LIL</t>
        </is>
      </c>
      <c r="E77" s="1" t="inlineStr">
        <is>
          <t>ISCOM</t>
        </is>
      </c>
      <c r="F77" s="1" t="inlineStr">
        <is>
          <t>BAC_COM</t>
        </is>
      </c>
      <c r="G77" s="1" t="inlineStr">
        <is>
          <t>B1</t>
        </is>
      </c>
      <c r="H77" s="1" t="inlineStr">
        <is>
          <t>INIT</t>
        </is>
      </c>
      <c r="I77" s="1" t="inlineStr">
        <is>
          <t>2027</t>
        </is>
      </c>
      <c r="J77" t="n">
        <v>54.601400531</v>
      </c>
      <c r="K77" t="n">
        <v>54.601400531</v>
      </c>
      <c r="L77" t="n">
        <v>7374.51225</v>
      </c>
      <c r="M77" t="n">
        <v>407572.823132196</v>
      </c>
      <c r="O77">
        <f>IF(D77="","",_CALC_MOTEUR!AE77)</f>
        <v/>
      </c>
      <c r="P77">
        <f>IF(D77="","",_CALC_MOTEUR!AF77)</f>
        <v/>
      </c>
      <c r="Q77">
        <f>IF(D77="","",_CALC_MOTEUR!AG77)</f>
        <v/>
      </c>
      <c r="R77">
        <f>IF(D77="","",_CALC_MOTEUR!AH77)</f>
        <v/>
      </c>
      <c r="S77">
        <f>IF(D77="","",R77-M77)</f>
        <v/>
      </c>
    </row>
    <row r="78">
      <c r="A78" s="1" t="inlineStr">
        <is>
          <t>2027BUD_V1</t>
        </is>
      </c>
      <c r="B78" s="1" t="inlineStr">
        <is>
          <t>V02</t>
        </is>
      </c>
      <c r="C78" s="1" t="inlineStr">
        <is>
          <t>12</t>
        </is>
      </c>
      <c r="D78" s="1" t="inlineStr">
        <is>
          <t>ISCOM_LIL</t>
        </is>
      </c>
      <c r="E78" s="1" t="inlineStr">
        <is>
          <t>ISCOM</t>
        </is>
      </c>
      <c r="F78" s="1" t="inlineStr">
        <is>
          <t>BAC_COM</t>
        </is>
      </c>
      <c r="G78" s="1" t="inlineStr">
        <is>
          <t>B1</t>
        </is>
      </c>
      <c r="H78" s="1" t="inlineStr">
        <is>
          <t>INIT</t>
        </is>
      </c>
      <c r="I78" s="1" t="inlineStr">
        <is>
          <t>2027</t>
        </is>
      </c>
      <c r="J78" t="n">
        <v>61.252007898</v>
      </c>
      <c r="K78" t="n">
        <v>61.252007898</v>
      </c>
      <c r="L78" t="n">
        <v>7645.8375</v>
      </c>
      <c r="M78" t="n">
        <v>473835.57964801</v>
      </c>
      <c r="O78">
        <f>IF(D78="","",_CALC_MOTEUR!AE78)</f>
        <v/>
      </c>
      <c r="P78">
        <f>IF(D78="","",_CALC_MOTEUR!AF78)</f>
        <v/>
      </c>
      <c r="Q78">
        <f>IF(D78="","",_CALC_MOTEUR!AG78)</f>
        <v/>
      </c>
      <c r="R78">
        <f>IF(D78="","",_CALC_MOTEUR!AH78)</f>
        <v/>
      </c>
      <c r="S78">
        <f>IF(D78="","",R78-M78)</f>
        <v/>
      </c>
    </row>
    <row r="79">
      <c r="A79" s="1" t="inlineStr">
        <is>
          <t>2027BUD_V1</t>
        </is>
      </c>
      <c r="B79" s="1" t="inlineStr">
        <is>
          <t>V03</t>
        </is>
      </c>
      <c r="C79" s="1" t="inlineStr">
        <is>
          <t>12</t>
        </is>
      </c>
      <c r="D79" s="1" t="inlineStr">
        <is>
          <t>ISCOM_LIL</t>
        </is>
      </c>
      <c r="E79" s="1" t="inlineStr">
        <is>
          <t>ISCOM</t>
        </is>
      </c>
      <c r="F79" s="1" t="inlineStr">
        <is>
          <t>BAC_COM</t>
        </is>
      </c>
      <c r="G79" s="1" t="inlineStr">
        <is>
          <t>B1</t>
        </is>
      </c>
      <c r="H79" s="1" t="inlineStr">
        <is>
          <t>INIT</t>
        </is>
      </c>
      <c r="I79" s="1" t="inlineStr">
        <is>
          <t>2027</t>
        </is>
      </c>
      <c r="J79" t="n">
        <v>46.373812864</v>
      </c>
      <c r="K79" t="n">
        <v>46.373812864</v>
      </c>
      <c r="L79" t="n">
        <v>7519.05</v>
      </c>
      <c r="M79" t="n">
        <v>352860.660773726</v>
      </c>
      <c r="O79">
        <f>IF(D79="","",_CALC_MOTEUR!AE79)</f>
        <v/>
      </c>
      <c r="P79">
        <f>IF(D79="","",_CALC_MOTEUR!AF79)</f>
        <v/>
      </c>
      <c r="Q79">
        <f>IF(D79="","",_CALC_MOTEUR!AG79)</f>
        <v/>
      </c>
      <c r="R79">
        <f>IF(D79="","",_CALC_MOTEUR!AH79)</f>
        <v/>
      </c>
      <c r="S79">
        <f>IF(D79="","",R79-M79)</f>
        <v/>
      </c>
    </row>
    <row r="80">
      <c r="A80" s="1" t="inlineStr">
        <is>
          <t>2027BUD_V1</t>
        </is>
      </c>
      <c r="B80" s="1" t="inlineStr">
        <is>
          <t>V01</t>
        </is>
      </c>
      <c r="C80" s="1" t="inlineStr">
        <is>
          <t>12</t>
        </is>
      </c>
      <c r="D80" s="1" t="inlineStr">
        <is>
          <t>ISCOM_LIL</t>
        </is>
      </c>
      <c r="E80" s="1" t="inlineStr">
        <is>
          <t>ISCOM</t>
        </is>
      </c>
      <c r="F80" s="1" t="inlineStr">
        <is>
          <t>BAC_COM</t>
        </is>
      </c>
      <c r="G80" s="1" t="inlineStr">
        <is>
          <t>B2</t>
        </is>
      </c>
      <c r="H80" s="1" t="inlineStr">
        <is>
          <t>ALT</t>
        </is>
      </c>
      <c r="I80" s="1" t="inlineStr">
        <is>
          <t>2027</t>
        </is>
      </c>
      <c r="J80" t="n">
        <v>0</v>
      </c>
      <c r="K80" t="n">
        <v>48.25</v>
      </c>
      <c r="L80" t="n">
        <v>6882.8781</v>
      </c>
      <c r="M80" t="n">
        <v>332098.868325</v>
      </c>
      <c r="O80">
        <f>IF(D80="","",_CALC_MOTEUR!AE80)</f>
        <v/>
      </c>
      <c r="P80">
        <f>IF(D80="","",_CALC_MOTEUR!AF80)</f>
        <v/>
      </c>
      <c r="Q80">
        <f>IF(D80="","",_CALC_MOTEUR!AG80)</f>
        <v/>
      </c>
      <c r="R80">
        <f>IF(D80="","",_CALC_MOTEUR!AH80)</f>
        <v/>
      </c>
      <c r="S80">
        <f>IF(D80="","",R80-M80)</f>
        <v/>
      </c>
    </row>
    <row r="81">
      <c r="A81" s="1" t="inlineStr">
        <is>
          <t>2027BUD_V1</t>
        </is>
      </c>
      <c r="B81" s="1" t="inlineStr">
        <is>
          <t>V02</t>
        </is>
      </c>
      <c r="C81" s="1" t="inlineStr">
        <is>
          <t>12</t>
        </is>
      </c>
      <c r="D81" s="1" t="inlineStr">
        <is>
          <t>ISCOM_LIL</t>
        </is>
      </c>
      <c r="E81" s="1" t="inlineStr">
        <is>
          <t>ISCOM</t>
        </is>
      </c>
      <c r="F81" s="1" t="inlineStr">
        <is>
          <t>BAC_COM</t>
        </is>
      </c>
      <c r="G81" s="1" t="inlineStr">
        <is>
          <t>B2</t>
        </is>
      </c>
      <c r="H81" s="1" t="inlineStr">
        <is>
          <t>ALT</t>
        </is>
      </c>
      <c r="I81" s="1" t="inlineStr">
        <is>
          <t>2027</t>
        </is>
      </c>
      <c r="J81" t="n">
        <v>0</v>
      </c>
      <c r="K81" t="n">
        <v>48.75</v>
      </c>
      <c r="L81" t="n">
        <v>7136.115</v>
      </c>
      <c r="M81" t="n">
        <v>347885.60625</v>
      </c>
      <c r="O81">
        <f>IF(D81="","",_CALC_MOTEUR!AE81)</f>
        <v/>
      </c>
      <c r="P81">
        <f>IF(D81="","",_CALC_MOTEUR!AF81)</f>
        <v/>
      </c>
      <c r="Q81">
        <f>IF(D81="","",_CALC_MOTEUR!AG81)</f>
        <v/>
      </c>
      <c r="R81">
        <f>IF(D81="","",_CALC_MOTEUR!AH81)</f>
        <v/>
      </c>
      <c r="S81">
        <f>IF(D81="","",R81-M81)</f>
        <v/>
      </c>
    </row>
    <row r="82">
      <c r="A82" s="1" t="inlineStr">
        <is>
          <t>2027BUD_V1</t>
        </is>
      </c>
      <c r="B82" s="1" t="inlineStr">
        <is>
          <t>V03</t>
        </is>
      </c>
      <c r="C82" s="1" t="inlineStr">
        <is>
          <t>12</t>
        </is>
      </c>
      <c r="D82" s="1" t="inlineStr">
        <is>
          <t>ISCOM_LIL</t>
        </is>
      </c>
      <c r="E82" s="1" t="inlineStr">
        <is>
          <t>ISCOM</t>
        </is>
      </c>
      <c r="F82" s="1" t="inlineStr">
        <is>
          <t>BAC_COM</t>
        </is>
      </c>
      <c r="G82" s="1" t="inlineStr">
        <is>
          <t>B2</t>
        </is>
      </c>
      <c r="H82" s="1" t="inlineStr">
        <is>
          <t>ALT</t>
        </is>
      </c>
      <c r="I82" s="1" t="inlineStr">
        <is>
          <t>2027</t>
        </is>
      </c>
      <c r="J82" t="n">
        <v>0</v>
      </c>
      <c r="K82" t="n">
        <v>47.5</v>
      </c>
      <c r="L82" t="n">
        <v>7017.78</v>
      </c>
      <c r="M82" t="n">
        <v>333344.55</v>
      </c>
      <c r="O82">
        <f>IF(D82="","",_CALC_MOTEUR!AE82)</f>
        <v/>
      </c>
      <c r="P82">
        <f>IF(D82="","",_CALC_MOTEUR!AF82)</f>
        <v/>
      </c>
      <c r="Q82">
        <f>IF(D82="","",_CALC_MOTEUR!AG82)</f>
        <v/>
      </c>
      <c r="R82">
        <f>IF(D82="","",_CALC_MOTEUR!AH82)</f>
        <v/>
      </c>
      <c r="S82">
        <f>IF(D82="","",R82-M82)</f>
        <v/>
      </c>
    </row>
    <row r="83">
      <c r="A83" s="1" t="inlineStr">
        <is>
          <t>2027BUD_V1</t>
        </is>
      </c>
      <c r="B83" s="1" t="inlineStr">
        <is>
          <t>V01</t>
        </is>
      </c>
      <c r="C83" s="1" t="inlineStr">
        <is>
          <t>12</t>
        </is>
      </c>
      <c r="D83" s="1" t="inlineStr">
        <is>
          <t>ISCOM_LIL</t>
        </is>
      </c>
      <c r="E83" s="1" t="inlineStr">
        <is>
          <t>ISCOM</t>
        </is>
      </c>
      <c r="F83" s="1" t="inlineStr">
        <is>
          <t>BAC_COM</t>
        </is>
      </c>
      <c r="G83" s="1" t="inlineStr">
        <is>
          <t>B3</t>
        </is>
      </c>
      <c r="H83" s="1" t="inlineStr">
        <is>
          <t>ALT</t>
        </is>
      </c>
      <c r="I83" s="1" t="inlineStr">
        <is>
          <t>2027</t>
        </is>
      </c>
      <c r="J83" t="n">
        <v>0</v>
      </c>
      <c r="K83" t="n">
        <v>47.24</v>
      </c>
      <c r="L83" t="n">
        <v>6882.8781</v>
      </c>
      <c r="M83" t="n">
        <v>325147.161444</v>
      </c>
      <c r="O83">
        <f>IF(D83="","",_CALC_MOTEUR!AE83)</f>
        <v/>
      </c>
      <c r="P83">
        <f>IF(D83="","",_CALC_MOTEUR!AF83)</f>
        <v/>
      </c>
      <c r="Q83">
        <f>IF(D83="","",_CALC_MOTEUR!AG83)</f>
        <v/>
      </c>
      <c r="R83">
        <f>IF(D83="","",_CALC_MOTEUR!AH83)</f>
        <v/>
      </c>
      <c r="S83">
        <f>IF(D83="","",R83-M83)</f>
        <v/>
      </c>
    </row>
    <row r="84">
      <c r="A84" s="1" t="inlineStr">
        <is>
          <t>2027BUD_V1</t>
        </is>
      </c>
      <c r="B84" s="1" t="inlineStr">
        <is>
          <t>V02</t>
        </is>
      </c>
      <c r="C84" s="1" t="inlineStr">
        <is>
          <t>12</t>
        </is>
      </c>
      <c r="D84" s="1" t="inlineStr">
        <is>
          <t>ISCOM_LIL</t>
        </is>
      </c>
      <c r="E84" s="1" t="inlineStr">
        <is>
          <t>ISCOM</t>
        </is>
      </c>
      <c r="F84" s="1" t="inlineStr">
        <is>
          <t>BAC_COM</t>
        </is>
      </c>
      <c r="G84" s="1" t="inlineStr">
        <is>
          <t>B3</t>
        </is>
      </c>
      <c r="H84" s="1" t="inlineStr">
        <is>
          <t>ALT</t>
        </is>
      </c>
      <c r="I84" s="1" t="inlineStr">
        <is>
          <t>2027</t>
        </is>
      </c>
      <c r="J84" t="n">
        <v>0</v>
      </c>
      <c r="K84" t="n">
        <v>47.72</v>
      </c>
      <c r="L84" t="n">
        <v>7136.115</v>
      </c>
      <c r="M84" t="n">
        <v>340535.4078</v>
      </c>
      <c r="O84">
        <f>IF(D84="","",_CALC_MOTEUR!AE84)</f>
        <v/>
      </c>
      <c r="P84">
        <f>IF(D84="","",_CALC_MOTEUR!AF84)</f>
        <v/>
      </c>
      <c r="Q84">
        <f>IF(D84="","",_CALC_MOTEUR!AG84)</f>
        <v/>
      </c>
      <c r="R84">
        <f>IF(D84="","",_CALC_MOTEUR!AH84)</f>
        <v/>
      </c>
      <c r="S84">
        <f>IF(D84="","",R84-M84)</f>
        <v/>
      </c>
    </row>
    <row r="85">
      <c r="A85" s="1" t="inlineStr">
        <is>
          <t>2027BUD_V1</t>
        </is>
      </c>
      <c r="B85" s="1" t="inlineStr">
        <is>
          <t>V03</t>
        </is>
      </c>
      <c r="C85" s="1" t="inlineStr">
        <is>
          <t>12</t>
        </is>
      </c>
      <c r="D85" s="1" t="inlineStr">
        <is>
          <t>ISCOM_LIL</t>
        </is>
      </c>
      <c r="E85" s="1" t="inlineStr">
        <is>
          <t>ISCOM</t>
        </is>
      </c>
      <c r="F85" s="1" t="inlineStr">
        <is>
          <t>BAC_COM</t>
        </is>
      </c>
      <c r="G85" s="1" t="inlineStr">
        <is>
          <t>B3</t>
        </is>
      </c>
      <c r="H85" s="1" t="inlineStr">
        <is>
          <t>ALT</t>
        </is>
      </c>
      <c r="I85" s="1" t="inlineStr">
        <is>
          <t>2027</t>
        </is>
      </c>
      <c r="J85" t="n">
        <v>0</v>
      </c>
      <c r="K85" t="n">
        <v>46.52</v>
      </c>
      <c r="L85" t="n">
        <v>7017.78</v>
      </c>
      <c r="M85" t="n">
        <v>326467.1256</v>
      </c>
      <c r="O85">
        <f>IF(D85="","",_CALC_MOTEUR!AE85)</f>
        <v/>
      </c>
      <c r="P85">
        <f>IF(D85="","",_CALC_MOTEUR!AF85)</f>
        <v/>
      </c>
      <c r="Q85">
        <f>IF(D85="","",_CALC_MOTEUR!AG85)</f>
        <v/>
      </c>
      <c r="R85">
        <f>IF(D85="","",_CALC_MOTEUR!AH85)</f>
        <v/>
      </c>
      <c r="S85">
        <f>IF(D85="","",R85-M85)</f>
        <v/>
      </c>
    </row>
    <row r="86">
      <c r="A86" s="1" t="inlineStr">
        <is>
          <t>2027BUD_V1</t>
        </is>
      </c>
      <c r="B86" s="1" t="inlineStr">
        <is>
          <t>V01</t>
        </is>
      </c>
      <c r="C86" s="1" t="inlineStr">
        <is>
          <t>12</t>
        </is>
      </c>
      <c r="D86" s="1" t="inlineStr">
        <is>
          <t>ISCOM_LIL</t>
        </is>
      </c>
      <c r="E86" s="1" t="inlineStr">
        <is>
          <t>ISCOM</t>
        </is>
      </c>
      <c r="F86" s="1" t="inlineStr">
        <is>
          <t>MAS_COM</t>
        </is>
      </c>
      <c r="G86" s="1" t="inlineStr">
        <is>
          <t>M1</t>
        </is>
      </c>
      <c r="H86" s="1" t="inlineStr">
        <is>
          <t>ALT</t>
        </is>
      </c>
      <c r="I86" s="1" t="inlineStr">
        <is>
          <t>2027</t>
        </is>
      </c>
      <c r="J86" t="n">
        <v>55.745230707</v>
      </c>
      <c r="K86" t="n">
        <v>55.745230707</v>
      </c>
      <c r="L86" t="n">
        <v>7374.51225</v>
      </c>
      <c r="M86" t="n">
        <v>416110.957492503</v>
      </c>
      <c r="O86">
        <f>IF(D86="","",_CALC_MOTEUR!AE86)</f>
        <v/>
      </c>
      <c r="P86">
        <f>IF(D86="","",_CALC_MOTEUR!AF86)</f>
        <v/>
      </c>
      <c r="Q86">
        <f>IF(D86="","",_CALC_MOTEUR!AG86)</f>
        <v/>
      </c>
      <c r="R86">
        <f>IF(D86="","",_CALC_MOTEUR!AH86)</f>
        <v/>
      </c>
      <c r="S86">
        <f>IF(D86="","",R86-M86)</f>
        <v/>
      </c>
    </row>
    <row r="87">
      <c r="A87" s="1" t="inlineStr">
        <is>
          <t>2027BUD_V1</t>
        </is>
      </c>
      <c r="B87" s="1" t="inlineStr">
        <is>
          <t>V02</t>
        </is>
      </c>
      <c r="C87" s="1" t="inlineStr">
        <is>
          <t>12</t>
        </is>
      </c>
      <c r="D87" s="1" t="inlineStr">
        <is>
          <t>ISCOM_LIL</t>
        </is>
      </c>
      <c r="E87" s="1" t="inlineStr">
        <is>
          <t>ISCOM</t>
        </is>
      </c>
      <c r="F87" s="1" t="inlineStr">
        <is>
          <t>MAS_COM</t>
        </is>
      </c>
      <c r="G87" s="1" t="inlineStr">
        <is>
          <t>M1</t>
        </is>
      </c>
      <c r="H87" s="1" t="inlineStr">
        <is>
          <t>ALT</t>
        </is>
      </c>
      <c r="I87" s="1" t="inlineStr">
        <is>
          <t>2027</t>
        </is>
      </c>
      <c r="J87" t="n">
        <v>64.71827875</v>
      </c>
      <c r="K87" t="n">
        <v>64.71827875</v>
      </c>
      <c r="L87" t="n">
        <v>7645.8375</v>
      </c>
      <c r="M87" t="n">
        <v>500650.087686707</v>
      </c>
      <c r="O87">
        <f>IF(D87="","",_CALC_MOTEUR!AE87)</f>
        <v/>
      </c>
      <c r="P87">
        <f>IF(D87="","",_CALC_MOTEUR!AF87)</f>
        <v/>
      </c>
      <c r="Q87">
        <f>IF(D87="","",_CALC_MOTEUR!AG87)</f>
        <v/>
      </c>
      <c r="R87">
        <f>IF(D87="","",_CALC_MOTEUR!AH87)</f>
        <v/>
      </c>
      <c r="S87">
        <f>IF(D87="","",R87-M87)</f>
        <v/>
      </c>
    </row>
    <row r="88">
      <c r="A88" s="1" t="inlineStr">
        <is>
          <t>2027BUD_V1</t>
        </is>
      </c>
      <c r="B88" s="1" t="inlineStr">
        <is>
          <t>V03</t>
        </is>
      </c>
      <c r="C88" s="1" t="inlineStr">
        <is>
          <t>12</t>
        </is>
      </c>
      <c r="D88" s="1" t="inlineStr">
        <is>
          <t>ISCOM_LIL</t>
        </is>
      </c>
      <c r="E88" s="1" t="inlineStr">
        <is>
          <t>ISCOM</t>
        </is>
      </c>
      <c r="F88" s="1" t="inlineStr">
        <is>
          <t>MAS_COM</t>
        </is>
      </c>
      <c r="G88" s="1" t="inlineStr">
        <is>
          <t>M1</t>
        </is>
      </c>
      <c r="H88" s="1" t="inlineStr">
        <is>
          <t>ALT</t>
        </is>
      </c>
      <c r="I88" s="1" t="inlineStr">
        <is>
          <t>2027</t>
        </is>
      </c>
      <c r="J88" t="n">
        <v>45.353464369</v>
      </c>
      <c r="K88" t="n">
        <v>45.353464369</v>
      </c>
      <c r="L88" t="n">
        <v>7519.05</v>
      </c>
      <c r="M88" t="n">
        <v>345096.778058918</v>
      </c>
      <c r="O88">
        <f>IF(D88="","",_CALC_MOTEUR!AE88)</f>
        <v/>
      </c>
      <c r="P88">
        <f>IF(D88="","",_CALC_MOTEUR!AF88)</f>
        <v/>
      </c>
      <c r="Q88">
        <f>IF(D88="","",_CALC_MOTEUR!AG88)</f>
        <v/>
      </c>
      <c r="R88">
        <f>IF(D88="","",_CALC_MOTEUR!AH88)</f>
        <v/>
      </c>
      <c r="S88">
        <f>IF(D88="","",R88-M88)</f>
        <v/>
      </c>
    </row>
    <row r="89">
      <c r="A89" s="1" t="inlineStr">
        <is>
          <t>2027BUD_V1</t>
        </is>
      </c>
      <c r="B89" s="1" t="inlineStr">
        <is>
          <t>V01</t>
        </is>
      </c>
      <c r="C89" s="1" t="inlineStr">
        <is>
          <t>12</t>
        </is>
      </c>
      <c r="D89" s="1" t="inlineStr">
        <is>
          <t>ISCOM_LIL</t>
        </is>
      </c>
      <c r="E89" s="1" t="inlineStr">
        <is>
          <t>ISCOM</t>
        </is>
      </c>
      <c r="F89" s="1" t="inlineStr">
        <is>
          <t>MAS_COM</t>
        </is>
      </c>
      <c r="G89" s="1" t="inlineStr">
        <is>
          <t>M2</t>
        </is>
      </c>
      <c r="H89" s="1" t="inlineStr">
        <is>
          <t>ALT</t>
        </is>
      </c>
      <c r="I89" s="1" t="inlineStr">
        <is>
          <t>2027</t>
        </is>
      </c>
      <c r="J89" t="n">
        <v>0</v>
      </c>
      <c r="K89" t="n">
        <v>49.25</v>
      </c>
      <c r="L89" t="n">
        <v>7374.51225</v>
      </c>
      <c r="M89" t="n">
        <v>363194.7283125</v>
      </c>
      <c r="O89">
        <f>IF(D89="","",_CALC_MOTEUR!AE89)</f>
        <v/>
      </c>
      <c r="P89">
        <f>IF(D89="","",_CALC_MOTEUR!AF89)</f>
        <v/>
      </c>
      <c r="Q89">
        <f>IF(D89="","",_CALC_MOTEUR!AG89)</f>
        <v/>
      </c>
      <c r="R89">
        <f>IF(D89="","",_CALC_MOTEUR!AH89)</f>
        <v/>
      </c>
      <c r="S89">
        <f>IF(D89="","",R89-M89)</f>
        <v/>
      </c>
    </row>
    <row r="90">
      <c r="A90" s="1" t="inlineStr">
        <is>
          <t>2027BUD_V1</t>
        </is>
      </c>
      <c r="B90" s="1" t="inlineStr">
        <is>
          <t>V02</t>
        </is>
      </c>
      <c r="C90" s="1" t="inlineStr">
        <is>
          <t>12</t>
        </is>
      </c>
      <c r="D90" s="1" t="inlineStr">
        <is>
          <t>ISCOM_LIL</t>
        </is>
      </c>
      <c r="E90" s="1" t="inlineStr">
        <is>
          <t>ISCOM</t>
        </is>
      </c>
      <c r="F90" s="1" t="inlineStr">
        <is>
          <t>MAS_COM</t>
        </is>
      </c>
      <c r="G90" s="1" t="inlineStr">
        <is>
          <t>M2</t>
        </is>
      </c>
      <c r="H90" s="1" t="inlineStr">
        <is>
          <t>ALT</t>
        </is>
      </c>
      <c r="I90" s="1" t="inlineStr">
        <is>
          <t>2027</t>
        </is>
      </c>
      <c r="J90" t="n">
        <v>0</v>
      </c>
      <c r="K90" t="n">
        <v>49.75</v>
      </c>
      <c r="L90" t="n">
        <v>7645.8375</v>
      </c>
      <c r="M90" t="n">
        <v>380380.415625</v>
      </c>
      <c r="O90">
        <f>IF(D90="","",_CALC_MOTEUR!AE90)</f>
        <v/>
      </c>
      <c r="P90">
        <f>IF(D90="","",_CALC_MOTEUR!AF90)</f>
        <v/>
      </c>
      <c r="Q90">
        <f>IF(D90="","",_CALC_MOTEUR!AG90)</f>
        <v/>
      </c>
      <c r="R90">
        <f>IF(D90="","",_CALC_MOTEUR!AH90)</f>
        <v/>
      </c>
      <c r="S90">
        <f>IF(D90="","",R90-M90)</f>
        <v/>
      </c>
    </row>
    <row r="91">
      <c r="A91" s="1" t="inlineStr">
        <is>
          <t>2027BUD_V1</t>
        </is>
      </c>
      <c r="B91" s="1" t="inlineStr">
        <is>
          <t>V03</t>
        </is>
      </c>
      <c r="C91" s="1" t="inlineStr">
        <is>
          <t>12</t>
        </is>
      </c>
      <c r="D91" s="1" t="inlineStr">
        <is>
          <t>ISCOM_LIL</t>
        </is>
      </c>
      <c r="E91" s="1" t="inlineStr">
        <is>
          <t>ISCOM</t>
        </is>
      </c>
      <c r="F91" s="1" t="inlineStr">
        <is>
          <t>MAS_COM</t>
        </is>
      </c>
      <c r="G91" s="1" t="inlineStr">
        <is>
          <t>M2</t>
        </is>
      </c>
      <c r="H91" s="1" t="inlineStr">
        <is>
          <t>ALT</t>
        </is>
      </c>
      <c r="I91" s="1" t="inlineStr">
        <is>
          <t>2027</t>
        </is>
      </c>
      <c r="J91" t="n">
        <v>0</v>
      </c>
      <c r="K91" t="n">
        <v>48.5</v>
      </c>
      <c r="L91" t="n">
        <v>7519.05</v>
      </c>
      <c r="M91" t="n">
        <v>364673.925</v>
      </c>
      <c r="O91">
        <f>IF(D91="","",_CALC_MOTEUR!AE91)</f>
        <v/>
      </c>
      <c r="P91">
        <f>IF(D91="","",_CALC_MOTEUR!AF91)</f>
        <v/>
      </c>
      <c r="Q91">
        <f>IF(D91="","",_CALC_MOTEUR!AG91)</f>
        <v/>
      </c>
      <c r="R91">
        <f>IF(D91="","",_CALC_MOTEUR!AH91)</f>
        <v/>
      </c>
      <c r="S91">
        <f>IF(D91="","",R91-M91)</f>
        <v/>
      </c>
    </row>
    <row r="92">
      <c r="A92" s="1" t="inlineStr">
        <is>
          <t>2027BUD_V1</t>
        </is>
      </c>
      <c r="B92" s="1" t="inlineStr">
        <is>
          <t>V01</t>
        </is>
      </c>
      <c r="C92" s="1" t="inlineStr">
        <is>
          <t>12</t>
        </is>
      </c>
      <c r="D92" s="1" t="inlineStr">
        <is>
          <t>ISCOM_TLS</t>
        </is>
      </c>
      <c r="E92" s="1" t="inlineStr">
        <is>
          <t>ISCOM</t>
        </is>
      </c>
      <c r="F92" s="1" t="inlineStr">
        <is>
          <t>BAC_COM</t>
        </is>
      </c>
      <c r="G92" s="1" t="inlineStr">
        <is>
          <t>B1</t>
        </is>
      </c>
      <c r="H92" s="1" t="inlineStr">
        <is>
          <t>INIT</t>
        </is>
      </c>
      <c r="I92" s="1" t="inlineStr">
        <is>
          <t>2027</t>
        </is>
      </c>
      <c r="J92" t="n">
        <v>51.351962358</v>
      </c>
      <c r="K92" t="n">
        <v>51.351962358</v>
      </c>
      <c r="L92" t="n">
        <v>7224.012</v>
      </c>
      <c r="M92" t="n">
        <v>375588.86891087</v>
      </c>
      <c r="O92">
        <f>IF(D92="","",_CALC_MOTEUR!AE92)</f>
        <v/>
      </c>
      <c r="P92">
        <f>IF(D92="","",_CALC_MOTEUR!AF92)</f>
        <v/>
      </c>
      <c r="Q92">
        <f>IF(D92="","",_CALC_MOTEUR!AG92)</f>
        <v/>
      </c>
      <c r="R92">
        <f>IF(D92="","",_CALC_MOTEUR!AH92)</f>
        <v/>
      </c>
      <c r="S92">
        <f>IF(D92="","",R92-M92)</f>
        <v/>
      </c>
    </row>
    <row r="93">
      <c r="A93" s="1" t="inlineStr">
        <is>
          <t>2027BUD_V1</t>
        </is>
      </c>
      <c r="B93" s="1" t="inlineStr">
        <is>
          <t>V02</t>
        </is>
      </c>
      <c r="C93" s="1" t="inlineStr">
        <is>
          <t>12</t>
        </is>
      </c>
      <c r="D93" s="1" t="inlineStr">
        <is>
          <t>ISCOM_TLS</t>
        </is>
      </c>
      <c r="E93" s="1" t="inlineStr">
        <is>
          <t>ISCOM</t>
        </is>
      </c>
      <c r="F93" s="1" t="inlineStr">
        <is>
          <t>BAC_COM</t>
        </is>
      </c>
      <c r="G93" s="1" t="inlineStr">
        <is>
          <t>B1</t>
        </is>
      </c>
      <c r="H93" s="1" t="inlineStr">
        <is>
          <t>INIT</t>
        </is>
      </c>
      <c r="I93" s="1" t="inlineStr">
        <is>
          <t>2027</t>
        </is>
      </c>
      <c r="J93" t="n">
        <v>57.617003474</v>
      </c>
      <c r="K93" t="n">
        <v>57.617003474</v>
      </c>
      <c r="L93" t="n">
        <v>7489.8</v>
      </c>
      <c r="M93" t="n">
        <v>436725.3629359</v>
      </c>
      <c r="O93">
        <f>IF(D93="","",_CALC_MOTEUR!AE93)</f>
        <v/>
      </c>
      <c r="P93">
        <f>IF(D93="","",_CALC_MOTEUR!AF93)</f>
        <v/>
      </c>
      <c r="Q93">
        <f>IF(D93="","",_CALC_MOTEUR!AG93)</f>
        <v/>
      </c>
      <c r="R93">
        <f>IF(D93="","",_CALC_MOTEUR!AH93)</f>
        <v/>
      </c>
      <c r="S93">
        <f>IF(D93="","",R93-M93)</f>
        <v/>
      </c>
    </row>
    <row r="94">
      <c r="A94" s="1" t="inlineStr">
        <is>
          <t>2027BUD_V1</t>
        </is>
      </c>
      <c r="B94" s="1" t="inlineStr">
        <is>
          <t>V03</t>
        </is>
      </c>
      <c r="C94" s="1" t="inlineStr">
        <is>
          <t>12</t>
        </is>
      </c>
      <c r="D94" s="1" t="inlineStr">
        <is>
          <t>ISCOM_TLS</t>
        </is>
      </c>
      <c r="E94" s="1" t="inlineStr">
        <is>
          <t>ISCOM</t>
        </is>
      </c>
      <c r="F94" s="1" t="inlineStr">
        <is>
          <t>BAC_COM</t>
        </is>
      </c>
      <c r="G94" s="1" t="inlineStr">
        <is>
          <t>B1</t>
        </is>
      </c>
      <c r="H94" s="1" t="inlineStr">
        <is>
          <t>INIT</t>
        </is>
      </c>
      <c r="I94" s="1" t="inlineStr">
        <is>
          <t>2027</t>
        </is>
      </c>
      <c r="J94" t="n">
        <v>43.580237562</v>
      </c>
      <c r="K94" t="n">
        <v>43.580237562</v>
      </c>
      <c r="L94" t="n">
        <v>7365.6</v>
      </c>
      <c r="M94" t="n">
        <v>324916.819164416</v>
      </c>
      <c r="O94">
        <f>IF(D94="","",_CALC_MOTEUR!AE94)</f>
        <v/>
      </c>
      <c r="P94">
        <f>IF(D94="","",_CALC_MOTEUR!AF94)</f>
        <v/>
      </c>
      <c r="Q94">
        <f>IF(D94="","",_CALC_MOTEUR!AG94)</f>
        <v/>
      </c>
      <c r="R94">
        <f>IF(D94="","",_CALC_MOTEUR!AH94)</f>
        <v/>
      </c>
      <c r="S94">
        <f>IF(D94="","",R94-M94)</f>
        <v/>
      </c>
    </row>
    <row r="95">
      <c r="A95" s="1" t="inlineStr">
        <is>
          <t>2027BUD_V1</t>
        </is>
      </c>
      <c r="B95" s="1" t="inlineStr">
        <is>
          <t>V01</t>
        </is>
      </c>
      <c r="C95" s="1" t="inlineStr">
        <is>
          <t>12</t>
        </is>
      </c>
      <c r="D95" s="1" t="inlineStr">
        <is>
          <t>ISCOM_TLS</t>
        </is>
      </c>
      <c r="E95" s="1" t="inlineStr">
        <is>
          <t>ISCOM</t>
        </is>
      </c>
      <c r="F95" s="1" t="inlineStr">
        <is>
          <t>BAC_COM</t>
        </is>
      </c>
      <c r="G95" s="1" t="inlineStr">
        <is>
          <t>B2</t>
        </is>
      </c>
      <c r="H95" s="1" t="inlineStr">
        <is>
          <t>ALT</t>
        </is>
      </c>
      <c r="I95" s="1" t="inlineStr">
        <is>
          <t>2027</t>
        </is>
      </c>
      <c r="J95" t="n">
        <v>0</v>
      </c>
      <c r="K95" t="n">
        <v>46.235</v>
      </c>
      <c r="L95" t="n">
        <v>6742.4112</v>
      </c>
      <c r="M95" t="n">
        <v>311735.381832</v>
      </c>
      <c r="O95">
        <f>IF(D95="","",_CALC_MOTEUR!AE95)</f>
        <v/>
      </c>
      <c r="P95">
        <f>IF(D95="","",_CALC_MOTEUR!AF95)</f>
        <v/>
      </c>
      <c r="Q95">
        <f>IF(D95="","",_CALC_MOTEUR!AG95)</f>
        <v/>
      </c>
      <c r="R95">
        <f>IF(D95="","",_CALC_MOTEUR!AH95)</f>
        <v/>
      </c>
      <c r="S95">
        <f>IF(D95="","",R95-M95)</f>
        <v/>
      </c>
    </row>
    <row r="96">
      <c r="A96" s="1" t="inlineStr">
        <is>
          <t>2027BUD_V1</t>
        </is>
      </c>
      <c r="B96" s="1" t="inlineStr">
        <is>
          <t>V02</t>
        </is>
      </c>
      <c r="C96" s="1" t="inlineStr">
        <is>
          <t>12</t>
        </is>
      </c>
      <c r="D96" s="1" t="inlineStr">
        <is>
          <t>ISCOM_TLS</t>
        </is>
      </c>
      <c r="E96" s="1" t="inlineStr">
        <is>
          <t>ISCOM</t>
        </is>
      </c>
      <c r="F96" s="1" t="inlineStr">
        <is>
          <t>BAC_COM</t>
        </is>
      </c>
      <c r="G96" s="1" t="inlineStr">
        <is>
          <t>B2</t>
        </is>
      </c>
      <c r="H96" s="1" t="inlineStr">
        <is>
          <t>ALT</t>
        </is>
      </c>
      <c r="I96" s="1" t="inlineStr">
        <is>
          <t>2027</t>
        </is>
      </c>
      <c r="J96" t="n">
        <v>0</v>
      </c>
      <c r="K96" t="n">
        <v>46.705</v>
      </c>
      <c r="L96" t="n">
        <v>6990.48</v>
      </c>
      <c r="M96" t="n">
        <v>326490.3684</v>
      </c>
      <c r="O96">
        <f>IF(D96="","",_CALC_MOTEUR!AE96)</f>
        <v/>
      </c>
      <c r="P96">
        <f>IF(D96="","",_CALC_MOTEUR!AF96)</f>
        <v/>
      </c>
      <c r="Q96">
        <f>IF(D96="","",_CALC_MOTEUR!AG96)</f>
        <v/>
      </c>
      <c r="R96">
        <f>IF(D96="","",_CALC_MOTEUR!AH96)</f>
        <v/>
      </c>
      <c r="S96">
        <f>IF(D96="","",R96-M96)</f>
        <v/>
      </c>
    </row>
    <row r="97">
      <c r="A97" s="1" t="inlineStr">
        <is>
          <t>2027BUD_V1</t>
        </is>
      </c>
      <c r="B97" s="1" t="inlineStr">
        <is>
          <t>V03</t>
        </is>
      </c>
      <c r="C97" s="1" t="inlineStr">
        <is>
          <t>12</t>
        </is>
      </c>
      <c r="D97" s="1" t="inlineStr">
        <is>
          <t>ISCOM_TLS</t>
        </is>
      </c>
      <c r="E97" s="1" t="inlineStr">
        <is>
          <t>ISCOM</t>
        </is>
      </c>
      <c r="F97" s="1" t="inlineStr">
        <is>
          <t>BAC_COM</t>
        </is>
      </c>
      <c r="G97" s="1" t="inlineStr">
        <is>
          <t>B2</t>
        </is>
      </c>
      <c r="H97" s="1" t="inlineStr">
        <is>
          <t>ALT</t>
        </is>
      </c>
      <c r="I97" s="1" t="inlineStr">
        <is>
          <t>2027</t>
        </is>
      </c>
      <c r="J97" t="n">
        <v>0</v>
      </c>
      <c r="K97" t="n">
        <v>45.53</v>
      </c>
      <c r="L97" t="n">
        <v>6874.56</v>
      </c>
      <c r="M97" t="n">
        <v>312998.7168</v>
      </c>
      <c r="O97">
        <f>IF(D97="","",_CALC_MOTEUR!AE97)</f>
        <v/>
      </c>
      <c r="P97">
        <f>IF(D97="","",_CALC_MOTEUR!AF97)</f>
        <v/>
      </c>
      <c r="Q97">
        <f>IF(D97="","",_CALC_MOTEUR!AG97)</f>
        <v/>
      </c>
      <c r="R97">
        <f>IF(D97="","",_CALC_MOTEUR!AH97)</f>
        <v/>
      </c>
      <c r="S97">
        <f>IF(D97="","",R97-M97)</f>
        <v/>
      </c>
    </row>
    <row r="98">
      <c r="A98" s="1" t="inlineStr">
        <is>
          <t>2027BUD_V1</t>
        </is>
      </c>
      <c r="B98" s="1" t="inlineStr">
        <is>
          <t>V01</t>
        </is>
      </c>
      <c r="C98" s="1" t="inlineStr">
        <is>
          <t>12</t>
        </is>
      </c>
      <c r="D98" s="1" t="inlineStr">
        <is>
          <t>ISCOM_TLS</t>
        </is>
      </c>
      <c r="E98" s="1" t="inlineStr">
        <is>
          <t>ISCOM</t>
        </is>
      </c>
      <c r="F98" s="1" t="inlineStr">
        <is>
          <t>BAC_COM</t>
        </is>
      </c>
      <c r="G98" s="1" t="inlineStr">
        <is>
          <t>B3</t>
        </is>
      </c>
      <c r="H98" s="1" t="inlineStr">
        <is>
          <t>ALT</t>
        </is>
      </c>
      <c r="I98" s="1" t="inlineStr">
        <is>
          <t>2027</t>
        </is>
      </c>
      <c r="J98" t="n">
        <v>0</v>
      </c>
      <c r="K98" t="n">
        <v>45.23</v>
      </c>
      <c r="L98" t="n">
        <v>6742.4112</v>
      </c>
      <c r="M98" t="n">
        <v>304959.258576</v>
      </c>
      <c r="O98">
        <f>IF(D98="","",_CALC_MOTEUR!AE98)</f>
        <v/>
      </c>
      <c r="P98">
        <f>IF(D98="","",_CALC_MOTEUR!AF98)</f>
        <v/>
      </c>
      <c r="Q98">
        <f>IF(D98="","",_CALC_MOTEUR!AG98)</f>
        <v/>
      </c>
      <c r="R98">
        <f>IF(D98="","",_CALC_MOTEUR!AH98)</f>
        <v/>
      </c>
      <c r="S98">
        <f>IF(D98="","",R98-M98)</f>
        <v/>
      </c>
    </row>
    <row r="99">
      <c r="A99" s="1" t="inlineStr">
        <is>
          <t>2027BUD_V1</t>
        </is>
      </c>
      <c r="B99" s="1" t="inlineStr">
        <is>
          <t>V02</t>
        </is>
      </c>
      <c r="C99" s="1" t="inlineStr">
        <is>
          <t>12</t>
        </is>
      </c>
      <c r="D99" s="1" t="inlineStr">
        <is>
          <t>ISCOM_TLS</t>
        </is>
      </c>
      <c r="E99" s="1" t="inlineStr">
        <is>
          <t>ISCOM</t>
        </is>
      </c>
      <c r="F99" s="1" t="inlineStr">
        <is>
          <t>BAC_COM</t>
        </is>
      </c>
      <c r="G99" s="1" t="inlineStr">
        <is>
          <t>B3</t>
        </is>
      </c>
      <c r="H99" s="1" t="inlineStr">
        <is>
          <t>ALT</t>
        </is>
      </c>
      <c r="I99" s="1" t="inlineStr">
        <is>
          <t>2027</t>
        </is>
      </c>
      <c r="J99" t="n">
        <v>0</v>
      </c>
      <c r="K99" t="n">
        <v>45.69</v>
      </c>
      <c r="L99" t="n">
        <v>6990.48</v>
      </c>
      <c r="M99" t="n">
        <v>319395.0312</v>
      </c>
      <c r="O99">
        <f>IF(D99="","",_CALC_MOTEUR!AE99)</f>
        <v/>
      </c>
      <c r="P99">
        <f>IF(D99="","",_CALC_MOTEUR!AF99)</f>
        <v/>
      </c>
      <c r="Q99">
        <f>IF(D99="","",_CALC_MOTEUR!AG99)</f>
        <v/>
      </c>
      <c r="R99">
        <f>IF(D99="","",_CALC_MOTEUR!AH99)</f>
        <v/>
      </c>
      <c r="S99">
        <f>IF(D99="","",R99-M99)</f>
        <v/>
      </c>
    </row>
    <row r="100">
      <c r="A100" s="1" t="inlineStr">
        <is>
          <t>2027BUD_V1</t>
        </is>
      </c>
      <c r="B100" s="1" t="inlineStr">
        <is>
          <t>V03</t>
        </is>
      </c>
      <c r="C100" s="1" t="inlineStr">
        <is>
          <t>12</t>
        </is>
      </c>
      <c r="D100" s="1" t="inlineStr">
        <is>
          <t>ISCOM_TLS</t>
        </is>
      </c>
      <c r="E100" s="1" t="inlineStr">
        <is>
          <t>ISCOM</t>
        </is>
      </c>
      <c r="F100" s="1" t="inlineStr">
        <is>
          <t>BAC_COM</t>
        </is>
      </c>
      <c r="G100" s="1" t="inlineStr">
        <is>
          <t>B3</t>
        </is>
      </c>
      <c r="H100" s="1" t="inlineStr">
        <is>
          <t>ALT</t>
        </is>
      </c>
      <c r="I100" s="1" t="inlineStr">
        <is>
          <t>2027</t>
        </is>
      </c>
      <c r="J100" t="n">
        <v>0</v>
      </c>
      <c r="K100" t="n">
        <v>44.54</v>
      </c>
      <c r="L100" t="n">
        <v>6874.56</v>
      </c>
      <c r="M100" t="n">
        <v>306192.9024</v>
      </c>
      <c r="O100">
        <f>IF(D100="","",_CALC_MOTEUR!AE100)</f>
        <v/>
      </c>
      <c r="P100">
        <f>IF(D100="","",_CALC_MOTEUR!AF100)</f>
        <v/>
      </c>
      <c r="Q100">
        <f>IF(D100="","",_CALC_MOTEUR!AG100)</f>
        <v/>
      </c>
      <c r="R100">
        <f>IF(D100="","",_CALC_MOTEUR!AH100)</f>
        <v/>
      </c>
      <c r="S100">
        <f>IF(D100="","",R100-M100)</f>
        <v/>
      </c>
    </row>
    <row r="101">
      <c r="A101" s="1" t="inlineStr">
        <is>
          <t>2027BUD_V1</t>
        </is>
      </c>
      <c r="B101" s="1" t="inlineStr">
        <is>
          <t>V01</t>
        </is>
      </c>
      <c r="C101" s="1" t="inlineStr">
        <is>
          <t>12</t>
        </is>
      </c>
      <c r="D101" s="1" t="inlineStr">
        <is>
          <t>ISCOM_TLS</t>
        </is>
      </c>
      <c r="E101" s="1" t="inlineStr">
        <is>
          <t>ISCOM</t>
        </is>
      </c>
      <c r="F101" s="1" t="inlineStr">
        <is>
          <t>MAS_COM</t>
        </is>
      </c>
      <c r="G101" s="1" t="inlineStr">
        <is>
          <t>M1</t>
        </is>
      </c>
      <c r="H101" s="1" t="inlineStr">
        <is>
          <t>ALT</t>
        </is>
      </c>
      <c r="I101" s="1" t="inlineStr">
        <is>
          <t>2027</t>
        </is>
      </c>
      <c r="J101" t="n">
        <v>52.42938424</v>
      </c>
      <c r="K101" t="n">
        <v>52.42938424</v>
      </c>
      <c r="L101" t="n">
        <v>7224.012</v>
      </c>
      <c r="M101" t="n">
        <v>383469.145486713</v>
      </c>
      <c r="O101">
        <f>IF(D101="","",_CALC_MOTEUR!AE101)</f>
        <v/>
      </c>
      <c r="P101">
        <f>IF(D101="","",_CALC_MOTEUR!AF101)</f>
        <v/>
      </c>
      <c r="Q101">
        <f>IF(D101="","",_CALC_MOTEUR!AG101)</f>
        <v/>
      </c>
      <c r="R101">
        <f>IF(D101="","",_CALC_MOTEUR!AH101)</f>
        <v/>
      </c>
      <c r="S101">
        <f>IF(D101="","",R101-M101)</f>
        <v/>
      </c>
    </row>
    <row r="102">
      <c r="A102" s="1" t="inlineStr">
        <is>
          <t>2027BUD_V1</t>
        </is>
      </c>
      <c r="B102" s="1" t="inlineStr">
        <is>
          <t>V02</t>
        </is>
      </c>
      <c r="C102" s="1" t="inlineStr">
        <is>
          <t>12</t>
        </is>
      </c>
      <c r="D102" s="1" t="inlineStr">
        <is>
          <t>ISCOM_TLS</t>
        </is>
      </c>
      <c r="E102" s="1" t="inlineStr">
        <is>
          <t>ISCOM</t>
        </is>
      </c>
      <c r="F102" s="1" t="inlineStr">
        <is>
          <t>MAS_COM</t>
        </is>
      </c>
      <c r="G102" s="1" t="inlineStr">
        <is>
          <t>M1</t>
        </is>
      </c>
      <c r="H102" s="1" t="inlineStr">
        <is>
          <t>ALT</t>
        </is>
      </c>
      <c r="I102" s="1" t="inlineStr">
        <is>
          <t>2027</t>
        </is>
      </c>
      <c r="J102" t="n">
        <v>60.882203342</v>
      </c>
      <c r="K102" t="n">
        <v>60.882203342</v>
      </c>
      <c r="L102" t="n">
        <v>7489.8</v>
      </c>
      <c r="M102" t="n">
        <v>461474.9248889</v>
      </c>
      <c r="O102">
        <f>IF(D102="","",_CALC_MOTEUR!AE102)</f>
        <v/>
      </c>
      <c r="P102">
        <f>IF(D102="","",_CALC_MOTEUR!AF102)</f>
        <v/>
      </c>
      <c r="Q102">
        <f>IF(D102="","",_CALC_MOTEUR!AG102)</f>
        <v/>
      </c>
      <c r="R102">
        <f>IF(D102="","",_CALC_MOTEUR!AH102)</f>
        <v/>
      </c>
      <c r="S102">
        <f>IF(D102="","",R102-M102)</f>
        <v/>
      </c>
    </row>
    <row r="103">
      <c r="A103" s="1" t="inlineStr">
        <is>
          <t>2027BUD_V1</t>
        </is>
      </c>
      <c r="B103" s="1" t="inlineStr">
        <is>
          <t>V03</t>
        </is>
      </c>
      <c r="C103" s="1" t="inlineStr">
        <is>
          <t>12</t>
        </is>
      </c>
      <c r="D103" s="1" t="inlineStr">
        <is>
          <t>ISCOM_TLS</t>
        </is>
      </c>
      <c r="E103" s="1" t="inlineStr">
        <is>
          <t>ISCOM</t>
        </is>
      </c>
      <c r="F103" s="1" t="inlineStr">
        <is>
          <t>MAS_COM</t>
        </is>
      </c>
      <c r="G103" s="1" t="inlineStr">
        <is>
          <t>M1</t>
        </is>
      </c>
      <c r="H103" s="1" t="inlineStr">
        <is>
          <t>ALT</t>
        </is>
      </c>
      <c r="I103" s="1" t="inlineStr">
        <is>
          <t>2027</t>
        </is>
      </c>
      <c r="J103" t="n">
        <v>42.619941458</v>
      </c>
      <c r="K103" t="n">
        <v>42.619941458</v>
      </c>
      <c r="L103" t="n">
        <v>7365.6</v>
      </c>
      <c r="M103" t="n">
        <v>317757.235531394</v>
      </c>
      <c r="O103">
        <f>IF(D103="","",_CALC_MOTEUR!AE103)</f>
        <v/>
      </c>
      <c r="P103">
        <f>IF(D103="","",_CALC_MOTEUR!AF103)</f>
        <v/>
      </c>
      <c r="Q103">
        <f>IF(D103="","",_CALC_MOTEUR!AG103)</f>
        <v/>
      </c>
      <c r="R103">
        <f>IF(D103="","",_CALC_MOTEUR!AH103)</f>
        <v/>
      </c>
      <c r="S103">
        <f>IF(D103="","",R103-M103)</f>
        <v/>
      </c>
    </row>
    <row r="104">
      <c r="A104" s="1" t="inlineStr">
        <is>
          <t>2027BUD_V1</t>
        </is>
      </c>
      <c r="B104" s="1" t="inlineStr">
        <is>
          <t>V01</t>
        </is>
      </c>
      <c r="C104" s="1" t="inlineStr">
        <is>
          <t>12</t>
        </is>
      </c>
      <c r="D104" s="1" t="inlineStr">
        <is>
          <t>ISCOM_TLS</t>
        </is>
      </c>
      <c r="E104" s="1" t="inlineStr">
        <is>
          <t>ISCOM</t>
        </is>
      </c>
      <c r="F104" s="1" t="inlineStr">
        <is>
          <t>MAS_COM</t>
        </is>
      </c>
      <c r="G104" s="1" t="inlineStr">
        <is>
          <t>M2</t>
        </is>
      </c>
      <c r="H104" s="1" t="inlineStr">
        <is>
          <t>ALT</t>
        </is>
      </c>
      <c r="I104" s="1" t="inlineStr">
        <is>
          <t>2027</t>
        </is>
      </c>
      <c r="J104" t="n">
        <v>0</v>
      </c>
      <c r="K104" t="n">
        <v>46.235</v>
      </c>
      <c r="L104" t="n">
        <v>7224.012</v>
      </c>
      <c r="M104" t="n">
        <v>334002.19482</v>
      </c>
      <c r="O104">
        <f>IF(D104="","",_CALC_MOTEUR!AE104)</f>
        <v/>
      </c>
      <c r="P104">
        <f>IF(D104="","",_CALC_MOTEUR!AF104)</f>
        <v/>
      </c>
      <c r="Q104">
        <f>IF(D104="","",_CALC_MOTEUR!AG104)</f>
        <v/>
      </c>
      <c r="R104">
        <f>IF(D104="","",_CALC_MOTEUR!AH104)</f>
        <v/>
      </c>
      <c r="S104">
        <f>IF(D104="","",R104-M104)</f>
        <v/>
      </c>
    </row>
    <row r="105">
      <c r="A105" s="1" t="inlineStr">
        <is>
          <t>2027BUD_V1</t>
        </is>
      </c>
      <c r="B105" s="1" t="inlineStr">
        <is>
          <t>V02</t>
        </is>
      </c>
      <c r="C105" s="1" t="inlineStr">
        <is>
          <t>12</t>
        </is>
      </c>
      <c r="D105" s="1" t="inlineStr">
        <is>
          <t>ISCOM_TLS</t>
        </is>
      </c>
      <c r="E105" s="1" t="inlineStr">
        <is>
          <t>ISCOM</t>
        </is>
      </c>
      <c r="F105" s="1" t="inlineStr">
        <is>
          <t>MAS_COM</t>
        </is>
      </c>
      <c r="G105" s="1" t="inlineStr">
        <is>
          <t>M2</t>
        </is>
      </c>
      <c r="H105" s="1" t="inlineStr">
        <is>
          <t>ALT</t>
        </is>
      </c>
      <c r="I105" s="1" t="inlineStr">
        <is>
          <t>2027</t>
        </is>
      </c>
      <c r="J105" t="n">
        <v>0</v>
      </c>
      <c r="K105" t="n">
        <v>46.705</v>
      </c>
      <c r="L105" t="n">
        <v>7489.8</v>
      </c>
      <c r="M105" t="n">
        <v>349811.109</v>
      </c>
      <c r="O105">
        <f>IF(D105="","",_CALC_MOTEUR!AE105)</f>
        <v/>
      </c>
      <c r="P105">
        <f>IF(D105="","",_CALC_MOTEUR!AF105)</f>
        <v/>
      </c>
      <c r="Q105">
        <f>IF(D105="","",_CALC_MOTEUR!AG105)</f>
        <v/>
      </c>
      <c r="R105">
        <f>IF(D105="","",_CALC_MOTEUR!AH105)</f>
        <v/>
      </c>
      <c r="S105">
        <f>IF(D105="","",R105-M105)</f>
        <v/>
      </c>
    </row>
    <row r="106">
      <c r="A106" s="1" t="inlineStr">
        <is>
          <t>2027BUD_V1</t>
        </is>
      </c>
      <c r="B106" s="1" t="inlineStr">
        <is>
          <t>V03</t>
        </is>
      </c>
      <c r="C106" s="1" t="inlineStr">
        <is>
          <t>12</t>
        </is>
      </c>
      <c r="D106" s="1" t="inlineStr">
        <is>
          <t>ISCOM_TLS</t>
        </is>
      </c>
      <c r="E106" s="1" t="inlineStr">
        <is>
          <t>ISCOM</t>
        </is>
      </c>
      <c r="F106" s="1" t="inlineStr">
        <is>
          <t>MAS_COM</t>
        </is>
      </c>
      <c r="G106" s="1" t="inlineStr">
        <is>
          <t>M2</t>
        </is>
      </c>
      <c r="H106" s="1" t="inlineStr">
        <is>
          <t>ALT</t>
        </is>
      </c>
      <c r="I106" s="1" t="inlineStr">
        <is>
          <t>2027</t>
        </is>
      </c>
      <c r="J106" t="n">
        <v>0</v>
      </c>
      <c r="K106" t="n">
        <v>45.53</v>
      </c>
      <c r="L106" t="n">
        <v>7365.6</v>
      </c>
      <c r="M106" t="n">
        <v>335355.768</v>
      </c>
      <c r="O106">
        <f>IF(D106="","",_CALC_MOTEUR!AE106)</f>
        <v/>
      </c>
      <c r="P106">
        <f>IF(D106="","",_CALC_MOTEUR!AF106)</f>
        <v/>
      </c>
      <c r="Q106">
        <f>IF(D106="","",_CALC_MOTEUR!AG106)</f>
        <v/>
      </c>
      <c r="R106">
        <f>IF(D106="","",_CALC_MOTEUR!AH106)</f>
        <v/>
      </c>
      <c r="S106">
        <f>IF(D106="","",R106-M106)</f>
        <v/>
      </c>
    </row>
    <row r="107">
      <c r="A107" s="1" t="inlineStr">
        <is>
          <t>2027BUD_V1</t>
        </is>
      </c>
      <c r="B107" s="1" t="inlineStr">
        <is>
          <t>V01</t>
        </is>
      </c>
      <c r="C107" s="1" t="inlineStr">
        <is>
          <t>12</t>
        </is>
      </c>
      <c r="D107" s="1" t="inlineStr">
        <is>
          <t>IPAC_NAN</t>
        </is>
      </c>
      <c r="E107" s="1" t="inlineStr">
        <is>
          <t>IPAC</t>
        </is>
      </c>
      <c r="F107" s="1" t="inlineStr">
        <is>
          <t>BAC_CCE</t>
        </is>
      </c>
      <c r="G107" s="1" t="inlineStr">
        <is>
          <t>B1</t>
        </is>
      </c>
      <c r="H107" s="1" t="inlineStr">
        <is>
          <t>ALT</t>
        </is>
      </c>
      <c r="I107" s="1" t="inlineStr">
        <is>
          <t>2027</t>
        </is>
      </c>
      <c r="J107" t="n">
        <v>55.83251545</v>
      </c>
      <c r="K107" t="n">
        <v>55.83251545</v>
      </c>
      <c r="L107" t="n">
        <v>7019.285</v>
      </c>
      <c r="M107" t="n">
        <v>396929.264603063</v>
      </c>
      <c r="O107">
        <f>IF(D107="","",_CALC_MOTEUR!AE107)</f>
        <v/>
      </c>
      <c r="P107">
        <f>IF(D107="","",_CALC_MOTEUR!AF107)</f>
        <v/>
      </c>
      <c r="Q107">
        <f>IF(D107="","",_CALC_MOTEUR!AG107)</f>
        <v/>
      </c>
      <c r="R107">
        <f>IF(D107="","",_CALC_MOTEUR!AH107)</f>
        <v/>
      </c>
      <c r="S107">
        <f>IF(D107="","",R107-M107)</f>
        <v/>
      </c>
    </row>
    <row r="108">
      <c r="A108" s="1" t="inlineStr">
        <is>
          <t>2027BUD_V1</t>
        </is>
      </c>
      <c r="B108" s="1" t="inlineStr">
        <is>
          <t>V02</t>
        </is>
      </c>
      <c r="C108" s="1" t="inlineStr">
        <is>
          <t>12</t>
        </is>
      </c>
      <c r="D108" s="1" t="inlineStr">
        <is>
          <t>IPAC_NAN</t>
        </is>
      </c>
      <c r="E108" s="1" t="inlineStr">
        <is>
          <t>IPAC</t>
        </is>
      </c>
      <c r="F108" s="1" t="inlineStr">
        <is>
          <t>BAC_CCE</t>
        </is>
      </c>
      <c r="G108" s="1" t="inlineStr">
        <is>
          <t>B1</t>
        </is>
      </c>
      <c r="H108" s="1" t="inlineStr">
        <is>
          <t>ALT</t>
        </is>
      </c>
      <c r="I108" s="1" t="inlineStr">
        <is>
          <t>2027</t>
        </is>
      </c>
      <c r="J108" t="n">
        <v>65.0448371</v>
      </c>
      <c r="K108" t="n">
        <v>65.0448371</v>
      </c>
      <c r="L108" t="n">
        <v>7232.75</v>
      </c>
      <c r="M108" t="n">
        <v>476307.080874926</v>
      </c>
      <c r="O108">
        <f>IF(D108="","",_CALC_MOTEUR!AE108)</f>
        <v/>
      </c>
      <c r="P108">
        <f>IF(D108="","",_CALC_MOTEUR!AF108)</f>
        <v/>
      </c>
      <c r="Q108">
        <f>IF(D108="","",_CALC_MOTEUR!AG108)</f>
        <v/>
      </c>
      <c r="R108">
        <f>IF(D108="","",_CALC_MOTEUR!AH108)</f>
        <v/>
      </c>
      <c r="S108">
        <f>IF(D108="","",R108-M108)</f>
        <v/>
      </c>
    </row>
    <row r="109">
      <c r="A109" s="1" t="inlineStr">
        <is>
          <t>2027BUD_V1</t>
        </is>
      </c>
      <c r="B109" s="1" t="inlineStr">
        <is>
          <t>V03</t>
        </is>
      </c>
      <c r="C109" s="1" t="inlineStr">
        <is>
          <t>12</t>
        </is>
      </c>
      <c r="D109" s="1" t="inlineStr">
        <is>
          <t>IPAC_NAN</t>
        </is>
      </c>
      <c r="E109" s="1" t="inlineStr">
        <is>
          <t>IPAC</t>
        </is>
      </c>
      <c r="F109" s="1" t="inlineStr">
        <is>
          <t>BAC_CCE</t>
        </is>
      </c>
      <c r="G109" s="1" t="inlineStr">
        <is>
          <t>B1</t>
        </is>
      </c>
      <c r="H109" s="1" t="inlineStr">
        <is>
          <t>ALT</t>
        </is>
      </c>
      <c r="I109" s="1" t="inlineStr">
        <is>
          <t>2027</t>
        </is>
      </c>
      <c r="J109" t="n">
        <v>45.271504504</v>
      </c>
      <c r="K109" t="n">
        <v>45.271504504</v>
      </c>
      <c r="L109" t="n">
        <v>7133</v>
      </c>
      <c r="M109" t="n">
        <v>326996.077033327</v>
      </c>
      <c r="O109">
        <f>IF(D109="","",_CALC_MOTEUR!AE109)</f>
        <v/>
      </c>
      <c r="P109">
        <f>IF(D109="","",_CALC_MOTEUR!AF109)</f>
        <v/>
      </c>
      <c r="Q109">
        <f>IF(D109="","",_CALC_MOTEUR!AG109)</f>
        <v/>
      </c>
      <c r="R109">
        <f>IF(D109="","",_CALC_MOTEUR!AH109)</f>
        <v/>
      </c>
      <c r="S109">
        <f>IF(D109="","",R109-M109)</f>
        <v/>
      </c>
    </row>
    <row r="110">
      <c r="A110" s="1" t="inlineStr">
        <is>
          <t>2027BUD_V1</t>
        </is>
      </c>
      <c r="B110" s="1" t="inlineStr">
        <is>
          <t>V01</t>
        </is>
      </c>
      <c r="C110" s="1" t="inlineStr">
        <is>
          <t>12</t>
        </is>
      </c>
      <c r="D110" s="1" t="inlineStr">
        <is>
          <t>IPAC_NAN</t>
        </is>
      </c>
      <c r="E110" s="1" t="inlineStr">
        <is>
          <t>IPAC</t>
        </is>
      </c>
      <c r="F110" s="1" t="inlineStr">
        <is>
          <t>BAC_CCE</t>
        </is>
      </c>
      <c r="G110" s="1" t="inlineStr">
        <is>
          <t>B2</t>
        </is>
      </c>
      <c r="H110" s="1" t="inlineStr">
        <is>
          <t>ALT</t>
        </is>
      </c>
      <c r="I110" s="1" t="inlineStr">
        <is>
          <t>2027</t>
        </is>
      </c>
      <c r="J110" t="n">
        <v>0</v>
      </c>
      <c r="K110" t="n">
        <v>48.25</v>
      </c>
      <c r="L110" t="n">
        <v>7019.285</v>
      </c>
      <c r="M110" t="n">
        <v>338680.50125</v>
      </c>
      <c r="O110">
        <f>IF(D110="","",_CALC_MOTEUR!AE110)</f>
        <v/>
      </c>
      <c r="P110">
        <f>IF(D110="","",_CALC_MOTEUR!AF110)</f>
        <v/>
      </c>
      <c r="Q110">
        <f>IF(D110="","",_CALC_MOTEUR!AG110)</f>
        <v/>
      </c>
      <c r="R110">
        <f>IF(D110="","",_CALC_MOTEUR!AH110)</f>
        <v/>
      </c>
      <c r="S110">
        <f>IF(D110="","",R110-M110)</f>
        <v/>
      </c>
    </row>
    <row r="111">
      <c r="A111" s="1" t="inlineStr">
        <is>
          <t>2027BUD_V1</t>
        </is>
      </c>
      <c r="B111" s="1" t="inlineStr">
        <is>
          <t>V02</t>
        </is>
      </c>
      <c r="C111" s="1" t="inlineStr">
        <is>
          <t>12</t>
        </is>
      </c>
      <c r="D111" s="1" t="inlineStr">
        <is>
          <t>IPAC_NAN</t>
        </is>
      </c>
      <c r="E111" s="1" t="inlineStr">
        <is>
          <t>IPAC</t>
        </is>
      </c>
      <c r="F111" s="1" t="inlineStr">
        <is>
          <t>BAC_CCE</t>
        </is>
      </c>
      <c r="G111" s="1" t="inlineStr">
        <is>
          <t>B2</t>
        </is>
      </c>
      <c r="H111" s="1" t="inlineStr">
        <is>
          <t>ALT</t>
        </is>
      </c>
      <c r="I111" s="1" t="inlineStr">
        <is>
          <t>2027</t>
        </is>
      </c>
      <c r="J111" t="n">
        <v>0</v>
      </c>
      <c r="K111" t="n">
        <v>48.75</v>
      </c>
      <c r="L111" t="n">
        <v>7232.75</v>
      </c>
      <c r="M111" t="n">
        <v>352596.5625</v>
      </c>
      <c r="O111">
        <f>IF(D111="","",_CALC_MOTEUR!AE111)</f>
        <v/>
      </c>
      <c r="P111">
        <f>IF(D111="","",_CALC_MOTEUR!AF111)</f>
        <v/>
      </c>
      <c r="Q111">
        <f>IF(D111="","",_CALC_MOTEUR!AG111)</f>
        <v/>
      </c>
      <c r="R111">
        <f>IF(D111="","",_CALC_MOTEUR!AH111)</f>
        <v/>
      </c>
      <c r="S111">
        <f>IF(D111="","",R111-M111)</f>
        <v/>
      </c>
    </row>
    <row r="112">
      <c r="A112" s="1" t="inlineStr">
        <is>
          <t>2027BUD_V1</t>
        </is>
      </c>
      <c r="B112" s="1" t="inlineStr">
        <is>
          <t>V03</t>
        </is>
      </c>
      <c r="C112" s="1" t="inlineStr">
        <is>
          <t>12</t>
        </is>
      </c>
      <c r="D112" s="1" t="inlineStr">
        <is>
          <t>IPAC_NAN</t>
        </is>
      </c>
      <c r="E112" s="1" t="inlineStr">
        <is>
          <t>IPAC</t>
        </is>
      </c>
      <c r="F112" s="1" t="inlineStr">
        <is>
          <t>BAC_CCE</t>
        </is>
      </c>
      <c r="G112" s="1" t="inlineStr">
        <is>
          <t>B2</t>
        </is>
      </c>
      <c r="H112" s="1" t="inlineStr">
        <is>
          <t>ALT</t>
        </is>
      </c>
      <c r="I112" s="1" t="inlineStr">
        <is>
          <t>2027</t>
        </is>
      </c>
      <c r="J112" t="n">
        <v>0</v>
      </c>
      <c r="K112" t="n">
        <v>47.5</v>
      </c>
      <c r="L112" t="n">
        <v>7133</v>
      </c>
      <c r="M112" t="n">
        <v>338817.5</v>
      </c>
      <c r="O112">
        <f>IF(D112="","",_CALC_MOTEUR!AE112)</f>
        <v/>
      </c>
      <c r="P112">
        <f>IF(D112="","",_CALC_MOTEUR!AF112)</f>
        <v/>
      </c>
      <c r="Q112">
        <f>IF(D112="","",_CALC_MOTEUR!AG112)</f>
        <v/>
      </c>
      <c r="R112">
        <f>IF(D112="","",_CALC_MOTEUR!AH112)</f>
        <v/>
      </c>
      <c r="S112">
        <f>IF(D112="","",R112-M112)</f>
        <v/>
      </c>
    </row>
    <row r="113">
      <c r="A113" s="1" t="inlineStr">
        <is>
          <t>2027BUD_V1</t>
        </is>
      </c>
      <c r="B113" s="1" t="inlineStr">
        <is>
          <t>V01</t>
        </is>
      </c>
      <c r="C113" s="1" t="inlineStr">
        <is>
          <t>12</t>
        </is>
      </c>
      <c r="D113" s="1" t="inlineStr">
        <is>
          <t>IPAC_NAN</t>
        </is>
      </c>
      <c r="E113" s="1" t="inlineStr">
        <is>
          <t>IPAC</t>
        </is>
      </c>
      <c r="F113" s="1" t="inlineStr">
        <is>
          <t>BAC_CCE</t>
        </is>
      </c>
      <c r="G113" s="1" t="inlineStr">
        <is>
          <t>B3</t>
        </is>
      </c>
      <c r="H113" s="1" t="inlineStr">
        <is>
          <t>ALT</t>
        </is>
      </c>
      <c r="I113" s="1" t="inlineStr">
        <is>
          <t>2027</t>
        </is>
      </c>
      <c r="J113" t="n">
        <v>0</v>
      </c>
      <c r="K113" t="n">
        <v>47.24</v>
      </c>
      <c r="L113" t="n">
        <v>7019.285</v>
      </c>
      <c r="M113" t="n">
        <v>331591.0234</v>
      </c>
      <c r="O113">
        <f>IF(D113="","",_CALC_MOTEUR!AE113)</f>
        <v/>
      </c>
      <c r="P113">
        <f>IF(D113="","",_CALC_MOTEUR!AF113)</f>
        <v/>
      </c>
      <c r="Q113">
        <f>IF(D113="","",_CALC_MOTEUR!AG113)</f>
        <v/>
      </c>
      <c r="R113">
        <f>IF(D113="","",_CALC_MOTEUR!AH113)</f>
        <v/>
      </c>
      <c r="S113">
        <f>IF(D113="","",R113-M113)</f>
        <v/>
      </c>
    </row>
    <row r="114">
      <c r="A114" s="1" t="inlineStr">
        <is>
          <t>2027BUD_V1</t>
        </is>
      </c>
      <c r="B114" s="1" t="inlineStr">
        <is>
          <t>V02</t>
        </is>
      </c>
      <c r="C114" s="1" t="inlineStr">
        <is>
          <t>12</t>
        </is>
      </c>
      <c r="D114" s="1" t="inlineStr">
        <is>
          <t>IPAC_NAN</t>
        </is>
      </c>
      <c r="E114" s="1" t="inlineStr">
        <is>
          <t>IPAC</t>
        </is>
      </c>
      <c r="F114" s="1" t="inlineStr">
        <is>
          <t>BAC_CCE</t>
        </is>
      </c>
      <c r="G114" s="1" t="inlineStr">
        <is>
          <t>B3</t>
        </is>
      </c>
      <c r="H114" s="1" t="inlineStr">
        <is>
          <t>ALT</t>
        </is>
      </c>
      <c r="I114" s="1" t="inlineStr">
        <is>
          <t>2027</t>
        </is>
      </c>
      <c r="J114" t="n">
        <v>0</v>
      </c>
      <c r="K114" t="n">
        <v>47.72</v>
      </c>
      <c r="L114" t="n">
        <v>7232.75</v>
      </c>
      <c r="M114" t="n">
        <v>345146.83</v>
      </c>
      <c r="O114">
        <f>IF(D114="","",_CALC_MOTEUR!AE114)</f>
        <v/>
      </c>
      <c r="P114">
        <f>IF(D114="","",_CALC_MOTEUR!AF114)</f>
        <v/>
      </c>
      <c r="Q114">
        <f>IF(D114="","",_CALC_MOTEUR!AG114)</f>
        <v/>
      </c>
      <c r="R114">
        <f>IF(D114="","",_CALC_MOTEUR!AH114)</f>
        <v/>
      </c>
      <c r="S114">
        <f>IF(D114="","",R114-M114)</f>
        <v/>
      </c>
    </row>
    <row r="115">
      <c r="A115" s="1" t="inlineStr">
        <is>
          <t>2027BUD_V1</t>
        </is>
      </c>
      <c r="B115" s="1" t="inlineStr">
        <is>
          <t>V03</t>
        </is>
      </c>
      <c r="C115" s="1" t="inlineStr">
        <is>
          <t>12</t>
        </is>
      </c>
      <c r="D115" s="1" t="inlineStr">
        <is>
          <t>IPAC_NAN</t>
        </is>
      </c>
      <c r="E115" s="1" t="inlineStr">
        <is>
          <t>IPAC</t>
        </is>
      </c>
      <c r="F115" s="1" t="inlineStr">
        <is>
          <t>BAC_CCE</t>
        </is>
      </c>
      <c r="G115" s="1" t="inlineStr">
        <is>
          <t>B3</t>
        </is>
      </c>
      <c r="H115" s="1" t="inlineStr">
        <is>
          <t>ALT</t>
        </is>
      </c>
      <c r="I115" s="1" t="inlineStr">
        <is>
          <t>2027</t>
        </is>
      </c>
      <c r="J115" t="n">
        <v>0</v>
      </c>
      <c r="K115" t="n">
        <v>46.52</v>
      </c>
      <c r="L115" t="n">
        <v>7133</v>
      </c>
      <c r="M115" t="n">
        <v>331827.16</v>
      </c>
      <c r="O115">
        <f>IF(D115="","",_CALC_MOTEUR!AE115)</f>
        <v/>
      </c>
      <c r="P115">
        <f>IF(D115="","",_CALC_MOTEUR!AF115)</f>
        <v/>
      </c>
      <c r="Q115">
        <f>IF(D115="","",_CALC_MOTEUR!AG115)</f>
        <v/>
      </c>
      <c r="R115">
        <f>IF(D115="","",_CALC_MOTEUR!AH115)</f>
        <v/>
      </c>
      <c r="S115">
        <f>IF(D115="","",R115-M115)</f>
        <v/>
      </c>
    </row>
    <row r="116">
      <c r="A116" s="1" t="inlineStr">
        <is>
          <t>2027BUD_V1</t>
        </is>
      </c>
      <c r="B116" s="1" t="inlineStr">
        <is>
          <t>V01</t>
        </is>
      </c>
      <c r="C116" s="1" t="inlineStr">
        <is>
          <t>12</t>
        </is>
      </c>
      <c r="D116" s="1" t="inlineStr">
        <is>
          <t>IPAC_REN</t>
        </is>
      </c>
      <c r="E116" s="1" t="inlineStr">
        <is>
          <t>IPAC</t>
        </is>
      </c>
      <c r="F116" s="1" t="inlineStr">
        <is>
          <t>BAC_CCE</t>
        </is>
      </c>
      <c r="G116" s="1" t="inlineStr">
        <is>
          <t>B1</t>
        </is>
      </c>
      <c r="H116" s="1" t="inlineStr">
        <is>
          <t>ALT</t>
        </is>
      </c>
      <c r="I116" s="1" t="inlineStr">
        <is>
          <t>2027</t>
        </is>
      </c>
      <c r="J116" t="n">
        <v>44.726584324</v>
      </c>
      <c r="K116" t="n">
        <v>44.726584324</v>
      </c>
      <c r="L116" t="n">
        <v>6668.32075</v>
      </c>
      <c r="M116" t="n">
        <v>302276.602916744</v>
      </c>
      <c r="O116">
        <f>IF(D116="","",_CALC_MOTEUR!AE116)</f>
        <v/>
      </c>
      <c r="P116">
        <f>IF(D116="","",_CALC_MOTEUR!AF116)</f>
        <v/>
      </c>
      <c r="Q116">
        <f>IF(D116="","",_CALC_MOTEUR!AG116)</f>
        <v/>
      </c>
      <c r="R116">
        <f>IF(D116="","",_CALC_MOTEUR!AH116)</f>
        <v/>
      </c>
      <c r="S116">
        <f>IF(D116="","",R116-M116)</f>
        <v/>
      </c>
    </row>
    <row r="117">
      <c r="A117" s="1" t="inlineStr">
        <is>
          <t>2027BUD_V1</t>
        </is>
      </c>
      <c r="B117" s="1" t="inlineStr">
        <is>
          <t>V02</t>
        </is>
      </c>
      <c r="C117" s="1" t="inlineStr">
        <is>
          <t>12</t>
        </is>
      </c>
      <c r="D117" s="1" t="inlineStr">
        <is>
          <t>IPAC_REN</t>
        </is>
      </c>
      <c r="E117" s="1" t="inlineStr">
        <is>
          <t>IPAC</t>
        </is>
      </c>
      <c r="F117" s="1" t="inlineStr">
        <is>
          <t>BAC_CCE</t>
        </is>
      </c>
      <c r="G117" s="1" t="inlineStr">
        <is>
          <t>B1</t>
        </is>
      </c>
      <c r="H117" s="1" t="inlineStr">
        <is>
          <t>ALT</t>
        </is>
      </c>
      <c r="I117" s="1" t="inlineStr">
        <is>
          <t>2027</t>
        </is>
      </c>
      <c r="J117" t="n">
        <v>52.139274943</v>
      </c>
      <c r="K117" t="n">
        <v>52.139274943</v>
      </c>
      <c r="L117" t="n">
        <v>6871.1125</v>
      </c>
      <c r="M117" t="n">
        <v>362947.358547141</v>
      </c>
      <c r="O117">
        <f>IF(D117="","",_CALC_MOTEUR!AE117)</f>
        <v/>
      </c>
      <c r="P117">
        <f>IF(D117="","",_CALC_MOTEUR!AF117)</f>
        <v/>
      </c>
      <c r="Q117">
        <f>IF(D117="","",_CALC_MOTEUR!AG117)</f>
        <v/>
      </c>
      <c r="R117">
        <f>IF(D117="","",_CALC_MOTEUR!AH117)</f>
        <v/>
      </c>
      <c r="S117">
        <f>IF(D117="","",R117-M117)</f>
        <v/>
      </c>
    </row>
    <row r="118">
      <c r="A118" s="1" t="inlineStr">
        <is>
          <t>2027BUD_V1</t>
        </is>
      </c>
      <c r="B118" s="1" t="inlineStr">
        <is>
          <t>V03</t>
        </is>
      </c>
      <c r="C118" s="1" t="inlineStr">
        <is>
          <t>12</t>
        </is>
      </c>
      <c r="D118" s="1" t="inlineStr">
        <is>
          <t>IPAC_REN</t>
        </is>
      </c>
      <c r="E118" s="1" t="inlineStr">
        <is>
          <t>IPAC</t>
        </is>
      </c>
      <c r="F118" s="1" t="inlineStr">
        <is>
          <t>BAC_CCE</t>
        </is>
      </c>
      <c r="G118" s="1" t="inlineStr">
        <is>
          <t>B1</t>
        </is>
      </c>
      <c r="H118" s="1" t="inlineStr">
        <is>
          <t>ALT</t>
        </is>
      </c>
      <c r="I118" s="1" t="inlineStr">
        <is>
          <t>2027</t>
        </is>
      </c>
      <c r="J118" t="n">
        <v>36.191559531</v>
      </c>
      <c r="K118" t="n">
        <v>36.191559531</v>
      </c>
      <c r="L118" t="n">
        <v>6776.35</v>
      </c>
      <c r="M118" t="n">
        <v>248503.914787638</v>
      </c>
      <c r="O118">
        <f>IF(D118="","",_CALC_MOTEUR!AE118)</f>
        <v/>
      </c>
      <c r="P118">
        <f>IF(D118="","",_CALC_MOTEUR!AF118)</f>
        <v/>
      </c>
      <c r="Q118">
        <f>IF(D118="","",_CALC_MOTEUR!AG118)</f>
        <v/>
      </c>
      <c r="R118">
        <f>IF(D118="","",_CALC_MOTEUR!AH118)</f>
        <v/>
      </c>
      <c r="S118">
        <f>IF(D118="","",R118-M118)</f>
        <v/>
      </c>
    </row>
    <row r="119">
      <c r="A119" s="1" t="inlineStr">
        <is>
          <t>2027BUD_V1</t>
        </is>
      </c>
      <c r="B119" s="1" t="inlineStr">
        <is>
          <t>V01</t>
        </is>
      </c>
      <c r="C119" s="1" t="inlineStr">
        <is>
          <t>12</t>
        </is>
      </c>
      <c r="D119" s="1" t="inlineStr">
        <is>
          <t>IPAC_REN</t>
        </is>
      </c>
      <c r="E119" s="1" t="inlineStr">
        <is>
          <t>IPAC</t>
        </is>
      </c>
      <c r="F119" s="1" t="inlineStr">
        <is>
          <t>BAC_CCE</t>
        </is>
      </c>
      <c r="G119" s="1" t="inlineStr">
        <is>
          <t>B2</t>
        </is>
      </c>
      <c r="H119" s="1" t="inlineStr">
        <is>
          <t>ALT</t>
        </is>
      </c>
      <c r="I119" s="1" t="inlineStr">
        <is>
          <t>2027</t>
        </is>
      </c>
      <c r="J119" t="n">
        <v>0</v>
      </c>
      <c r="K119" t="n">
        <v>39.2</v>
      </c>
      <c r="L119" t="n">
        <v>6668.32075</v>
      </c>
      <c r="M119" t="n">
        <v>261398.1734</v>
      </c>
      <c r="O119">
        <f>IF(D119="","",_CALC_MOTEUR!AE119)</f>
        <v/>
      </c>
      <c r="P119">
        <f>IF(D119="","",_CALC_MOTEUR!AF119)</f>
        <v/>
      </c>
      <c r="Q119">
        <f>IF(D119="","",_CALC_MOTEUR!AG119)</f>
        <v/>
      </c>
      <c r="R119">
        <f>IF(D119="","",_CALC_MOTEUR!AH119)</f>
        <v/>
      </c>
      <c r="S119">
        <f>IF(D119="","",R119-M119)</f>
        <v/>
      </c>
    </row>
    <row r="120">
      <c r="A120" s="1" t="inlineStr">
        <is>
          <t>2027BUD_V1</t>
        </is>
      </c>
      <c r="B120" s="1" t="inlineStr">
        <is>
          <t>V02</t>
        </is>
      </c>
      <c r="C120" s="1" t="inlineStr">
        <is>
          <t>12</t>
        </is>
      </c>
      <c r="D120" s="1" t="inlineStr">
        <is>
          <t>IPAC_REN</t>
        </is>
      </c>
      <c r="E120" s="1" t="inlineStr">
        <is>
          <t>IPAC</t>
        </is>
      </c>
      <c r="F120" s="1" t="inlineStr">
        <is>
          <t>BAC_CCE</t>
        </is>
      </c>
      <c r="G120" s="1" t="inlineStr">
        <is>
          <t>B2</t>
        </is>
      </c>
      <c r="H120" s="1" t="inlineStr">
        <is>
          <t>ALT</t>
        </is>
      </c>
      <c r="I120" s="1" t="inlineStr">
        <is>
          <t>2027</t>
        </is>
      </c>
      <c r="J120" t="n">
        <v>0</v>
      </c>
      <c r="K120" t="n">
        <v>39.6</v>
      </c>
      <c r="L120" t="n">
        <v>6871.1125</v>
      </c>
      <c r="M120" t="n">
        <v>272096.055</v>
      </c>
      <c r="O120">
        <f>IF(D120="","",_CALC_MOTEUR!AE120)</f>
        <v/>
      </c>
      <c r="P120">
        <f>IF(D120="","",_CALC_MOTEUR!AF120)</f>
        <v/>
      </c>
      <c r="Q120">
        <f>IF(D120="","",_CALC_MOTEUR!AG120)</f>
        <v/>
      </c>
      <c r="R120">
        <f>IF(D120="","",_CALC_MOTEUR!AH120)</f>
        <v/>
      </c>
      <c r="S120">
        <f>IF(D120="","",R120-M120)</f>
        <v/>
      </c>
    </row>
    <row r="121">
      <c r="A121" s="1" t="inlineStr">
        <is>
          <t>2027BUD_V1</t>
        </is>
      </c>
      <c r="B121" s="1" t="inlineStr">
        <is>
          <t>V03</t>
        </is>
      </c>
      <c r="C121" s="1" t="inlineStr">
        <is>
          <t>12</t>
        </is>
      </c>
      <c r="D121" s="1" t="inlineStr">
        <is>
          <t>IPAC_REN</t>
        </is>
      </c>
      <c r="E121" s="1" t="inlineStr">
        <is>
          <t>IPAC</t>
        </is>
      </c>
      <c r="F121" s="1" t="inlineStr">
        <is>
          <t>BAC_CCE</t>
        </is>
      </c>
      <c r="G121" s="1" t="inlineStr">
        <is>
          <t>B2</t>
        </is>
      </c>
      <c r="H121" s="1" t="inlineStr">
        <is>
          <t>ALT</t>
        </is>
      </c>
      <c r="I121" s="1" t="inlineStr">
        <is>
          <t>2027</t>
        </is>
      </c>
      <c r="J121" t="n">
        <v>0</v>
      </c>
      <c r="K121" t="n">
        <v>38.6</v>
      </c>
      <c r="L121" t="n">
        <v>6776.35</v>
      </c>
      <c r="M121" t="n">
        <v>261567.11</v>
      </c>
      <c r="O121">
        <f>IF(D121="","",_CALC_MOTEUR!AE121)</f>
        <v/>
      </c>
      <c r="P121">
        <f>IF(D121="","",_CALC_MOTEUR!AF121)</f>
        <v/>
      </c>
      <c r="Q121">
        <f>IF(D121="","",_CALC_MOTEUR!AG121)</f>
        <v/>
      </c>
      <c r="R121">
        <f>IF(D121="","",_CALC_MOTEUR!AH121)</f>
        <v/>
      </c>
      <c r="S121">
        <f>IF(D121="","",R121-M121)</f>
        <v/>
      </c>
    </row>
    <row r="122">
      <c r="A122" s="1" t="inlineStr">
        <is>
          <t>2027BUD_V1</t>
        </is>
      </c>
      <c r="B122" s="1" t="inlineStr">
        <is>
          <t>V01</t>
        </is>
      </c>
      <c r="C122" s="1" t="inlineStr">
        <is>
          <t>12</t>
        </is>
      </c>
      <c r="D122" s="1" t="inlineStr">
        <is>
          <t>IPAC_REN</t>
        </is>
      </c>
      <c r="E122" s="1" t="inlineStr">
        <is>
          <t>IPAC</t>
        </is>
      </c>
      <c r="F122" s="1" t="inlineStr">
        <is>
          <t>BAC_CCE</t>
        </is>
      </c>
      <c r="G122" s="1" t="inlineStr">
        <is>
          <t>B3</t>
        </is>
      </c>
      <c r="H122" s="1" t="inlineStr">
        <is>
          <t>ALT</t>
        </is>
      </c>
      <c r="I122" s="1" t="inlineStr">
        <is>
          <t>2027</t>
        </is>
      </c>
      <c r="J122" t="n">
        <v>0</v>
      </c>
      <c r="K122" t="n">
        <v>38.195</v>
      </c>
      <c r="L122" t="n">
        <v>6668.32075</v>
      </c>
      <c r="M122" t="n">
        <v>254696.51104625</v>
      </c>
      <c r="O122">
        <f>IF(D122="","",_CALC_MOTEUR!AE122)</f>
        <v/>
      </c>
      <c r="P122">
        <f>IF(D122="","",_CALC_MOTEUR!AF122)</f>
        <v/>
      </c>
      <c r="Q122">
        <f>IF(D122="","",_CALC_MOTEUR!AG122)</f>
        <v/>
      </c>
      <c r="R122">
        <f>IF(D122="","",_CALC_MOTEUR!AH122)</f>
        <v/>
      </c>
      <c r="S122">
        <f>IF(D122="","",R122-M122)</f>
        <v/>
      </c>
    </row>
    <row r="123">
      <c r="A123" s="1" t="inlineStr">
        <is>
          <t>2027BUD_V1</t>
        </is>
      </c>
      <c r="B123" s="1" t="inlineStr">
        <is>
          <t>V02</t>
        </is>
      </c>
      <c r="C123" s="1" t="inlineStr">
        <is>
          <t>12</t>
        </is>
      </c>
      <c r="D123" s="1" t="inlineStr">
        <is>
          <t>IPAC_REN</t>
        </is>
      </c>
      <c r="E123" s="1" t="inlineStr">
        <is>
          <t>IPAC</t>
        </is>
      </c>
      <c r="F123" s="1" t="inlineStr">
        <is>
          <t>BAC_CCE</t>
        </is>
      </c>
      <c r="G123" s="1" t="inlineStr">
        <is>
          <t>B3</t>
        </is>
      </c>
      <c r="H123" s="1" t="inlineStr">
        <is>
          <t>ALT</t>
        </is>
      </c>
      <c r="I123" s="1" t="inlineStr">
        <is>
          <t>2027</t>
        </is>
      </c>
      <c r="J123" t="n">
        <v>0</v>
      </c>
      <c r="K123" t="n">
        <v>38.585</v>
      </c>
      <c r="L123" t="n">
        <v>6871.1125</v>
      </c>
      <c r="M123" t="n">
        <v>265121.8758125</v>
      </c>
      <c r="O123">
        <f>IF(D123="","",_CALC_MOTEUR!AE123)</f>
        <v/>
      </c>
      <c r="P123">
        <f>IF(D123="","",_CALC_MOTEUR!AF123)</f>
        <v/>
      </c>
      <c r="Q123">
        <f>IF(D123="","",_CALC_MOTEUR!AG123)</f>
        <v/>
      </c>
      <c r="R123">
        <f>IF(D123="","",_CALC_MOTEUR!AH123)</f>
        <v/>
      </c>
      <c r="S123">
        <f>IF(D123="","",R123-M123)</f>
        <v/>
      </c>
    </row>
    <row r="124">
      <c r="A124" s="1" t="inlineStr">
        <is>
          <t>2027BUD_V1</t>
        </is>
      </c>
      <c r="B124" s="1" t="inlineStr">
        <is>
          <t>V03</t>
        </is>
      </c>
      <c r="C124" s="1" t="inlineStr">
        <is>
          <t>12</t>
        </is>
      </c>
      <c r="D124" s="1" t="inlineStr">
        <is>
          <t>IPAC_REN</t>
        </is>
      </c>
      <c r="E124" s="1" t="inlineStr">
        <is>
          <t>IPAC</t>
        </is>
      </c>
      <c r="F124" s="1" t="inlineStr">
        <is>
          <t>BAC_CCE</t>
        </is>
      </c>
      <c r="G124" s="1" t="inlineStr">
        <is>
          <t>B3</t>
        </is>
      </c>
      <c r="H124" s="1" t="inlineStr">
        <is>
          <t>ALT</t>
        </is>
      </c>
      <c r="I124" s="1" t="inlineStr">
        <is>
          <t>2027</t>
        </is>
      </c>
      <c r="J124" t="n">
        <v>0</v>
      </c>
      <c r="K124" t="n">
        <v>37.61</v>
      </c>
      <c r="L124" t="n">
        <v>6776.35</v>
      </c>
      <c r="M124" t="n">
        <v>254858.5235</v>
      </c>
      <c r="O124">
        <f>IF(D124="","",_CALC_MOTEUR!AE124)</f>
        <v/>
      </c>
      <c r="P124">
        <f>IF(D124="","",_CALC_MOTEUR!AF124)</f>
        <v/>
      </c>
      <c r="Q124">
        <f>IF(D124="","",_CALC_MOTEUR!AG124)</f>
        <v/>
      </c>
      <c r="R124">
        <f>IF(D124="","",_CALC_MOTEUR!AH124)</f>
        <v/>
      </c>
      <c r="S124">
        <f>IF(D124="","",R124-M124)</f>
        <v/>
      </c>
    </row>
    <row r="125">
      <c r="A125" s="1" t="inlineStr">
        <is>
          <t>2027BUD_V1</t>
        </is>
      </c>
      <c r="B125" s="1" t="inlineStr">
        <is>
          <t>V01</t>
        </is>
      </c>
      <c r="C125" s="1" t="inlineStr">
        <is>
          <t>12</t>
        </is>
      </c>
      <c r="D125" s="1" t="inlineStr">
        <is>
          <t>IPAC_MTP</t>
        </is>
      </c>
      <c r="E125" s="1" t="inlineStr">
        <is>
          <t>IPAC</t>
        </is>
      </c>
      <c r="F125" s="1" t="inlineStr">
        <is>
          <t>BAC_CCE</t>
        </is>
      </c>
      <c r="G125" s="1" t="inlineStr">
        <is>
          <t>B1</t>
        </is>
      </c>
      <c r="H125" s="1" t="inlineStr">
        <is>
          <t>ALT</t>
        </is>
      </c>
      <c r="I125" s="1" t="inlineStr">
        <is>
          <t>2027</t>
        </is>
      </c>
      <c r="J125" t="n">
        <v>44.737599291</v>
      </c>
      <c r="K125" t="n">
        <v>44.737599291</v>
      </c>
      <c r="L125" t="n">
        <v>6668.32075</v>
      </c>
      <c r="M125" t="n">
        <v>302351.045590334</v>
      </c>
      <c r="O125">
        <f>IF(D125="","",_CALC_MOTEUR!AE125)</f>
        <v/>
      </c>
      <c r="P125">
        <f>IF(D125="","",_CALC_MOTEUR!AF125)</f>
        <v/>
      </c>
      <c r="Q125">
        <f>IF(D125="","",_CALC_MOTEUR!AG125)</f>
        <v/>
      </c>
      <c r="R125">
        <f>IF(D125="","",_CALC_MOTEUR!AH125)</f>
        <v/>
      </c>
      <c r="S125">
        <f>IF(D125="","",R125-M125)</f>
        <v/>
      </c>
    </row>
    <row r="126">
      <c r="A126" s="1" t="inlineStr">
        <is>
          <t>2027BUD_V1</t>
        </is>
      </c>
      <c r="B126" s="1" t="inlineStr">
        <is>
          <t>V02</t>
        </is>
      </c>
      <c r="C126" s="1" t="inlineStr">
        <is>
          <t>12</t>
        </is>
      </c>
      <c r="D126" s="1" t="inlineStr">
        <is>
          <t>IPAC_MTP</t>
        </is>
      </c>
      <c r="E126" s="1" t="inlineStr">
        <is>
          <t>IPAC</t>
        </is>
      </c>
      <c r="F126" s="1" t="inlineStr">
        <is>
          <t>BAC_CCE</t>
        </is>
      </c>
      <c r="G126" s="1" t="inlineStr">
        <is>
          <t>B1</t>
        </is>
      </c>
      <c r="H126" s="1" t="inlineStr">
        <is>
          <t>ALT</t>
        </is>
      </c>
      <c r="I126" s="1" t="inlineStr">
        <is>
          <t>2027</t>
        </is>
      </c>
      <c r="J126" t="n">
        <v>52.169784961</v>
      </c>
      <c r="K126" t="n">
        <v>52.169784961</v>
      </c>
      <c r="L126" t="n">
        <v>6871.1125</v>
      </c>
      <c r="M126" t="n">
        <v>363159.742214471</v>
      </c>
      <c r="O126">
        <f>IF(D126="","",_CALC_MOTEUR!AE126)</f>
        <v/>
      </c>
      <c r="P126">
        <f>IF(D126="","",_CALC_MOTEUR!AF126)</f>
        <v/>
      </c>
      <c r="Q126">
        <f>IF(D126="","",_CALC_MOTEUR!AG126)</f>
        <v/>
      </c>
      <c r="R126">
        <f>IF(D126="","",_CALC_MOTEUR!AH126)</f>
        <v/>
      </c>
      <c r="S126">
        <f>IF(D126="","",R126-M126)</f>
        <v/>
      </c>
    </row>
    <row r="127">
      <c r="A127" s="1" t="inlineStr">
        <is>
          <t>2027BUD_V1</t>
        </is>
      </c>
      <c r="B127" s="1" t="inlineStr">
        <is>
          <t>V03</t>
        </is>
      </c>
      <c r="C127" s="1" t="inlineStr">
        <is>
          <t>12</t>
        </is>
      </c>
      <c r="D127" s="1" t="inlineStr">
        <is>
          <t>IPAC_MTP</t>
        </is>
      </c>
      <c r="E127" s="1" t="inlineStr">
        <is>
          <t>IPAC</t>
        </is>
      </c>
      <c r="F127" s="1" t="inlineStr">
        <is>
          <t>BAC_CCE</t>
        </is>
      </c>
      <c r="G127" s="1" t="inlineStr">
        <is>
          <t>B1</t>
        </is>
      </c>
      <c r="H127" s="1" t="inlineStr">
        <is>
          <t>ALT</t>
        </is>
      </c>
      <c r="I127" s="1" t="inlineStr">
        <is>
          <t>2027</t>
        </is>
      </c>
      <c r="J127" t="n">
        <v>36.183885135</v>
      </c>
      <c r="K127" t="n">
        <v>36.183885135</v>
      </c>
      <c r="L127" t="n">
        <v>6776.35</v>
      </c>
      <c r="M127" t="n">
        <v>248451.21969897</v>
      </c>
      <c r="O127">
        <f>IF(D127="","",_CALC_MOTEUR!AE127)</f>
        <v/>
      </c>
      <c r="P127">
        <f>IF(D127="","",_CALC_MOTEUR!AF127)</f>
        <v/>
      </c>
      <c r="Q127">
        <f>IF(D127="","",_CALC_MOTEUR!AG127)</f>
        <v/>
      </c>
      <c r="R127">
        <f>IF(D127="","",_CALC_MOTEUR!AH127)</f>
        <v/>
      </c>
      <c r="S127">
        <f>IF(D127="","",R127-M127)</f>
        <v/>
      </c>
    </row>
    <row r="128">
      <c r="A128" s="1" t="inlineStr">
        <is>
          <t>2027BUD_V1</t>
        </is>
      </c>
      <c r="B128" s="1" t="inlineStr">
        <is>
          <t>V01</t>
        </is>
      </c>
      <c r="C128" s="1" t="inlineStr">
        <is>
          <t>12</t>
        </is>
      </c>
      <c r="D128" s="1" t="inlineStr">
        <is>
          <t>IPAC_MTP</t>
        </is>
      </c>
      <c r="E128" s="1" t="inlineStr">
        <is>
          <t>IPAC</t>
        </is>
      </c>
      <c r="F128" s="1" t="inlineStr">
        <is>
          <t>BAC_CCE</t>
        </is>
      </c>
      <c r="G128" s="1" t="inlineStr">
        <is>
          <t>B2</t>
        </is>
      </c>
      <c r="H128" s="1" t="inlineStr">
        <is>
          <t>ALT</t>
        </is>
      </c>
      <c r="I128" s="1" t="inlineStr">
        <is>
          <t>2027</t>
        </is>
      </c>
      <c r="J128" t="n">
        <v>0</v>
      </c>
      <c r="K128" t="n">
        <v>39.2</v>
      </c>
      <c r="L128" t="n">
        <v>6668.32075</v>
      </c>
      <c r="M128" t="n">
        <v>261398.1734</v>
      </c>
      <c r="O128">
        <f>IF(D128="","",_CALC_MOTEUR!AE128)</f>
        <v/>
      </c>
      <c r="P128">
        <f>IF(D128="","",_CALC_MOTEUR!AF128)</f>
        <v/>
      </c>
      <c r="Q128">
        <f>IF(D128="","",_CALC_MOTEUR!AG128)</f>
        <v/>
      </c>
      <c r="R128">
        <f>IF(D128="","",_CALC_MOTEUR!AH128)</f>
        <v/>
      </c>
      <c r="S128">
        <f>IF(D128="","",R128-M128)</f>
        <v/>
      </c>
    </row>
    <row r="129">
      <c r="A129" s="1" t="inlineStr">
        <is>
          <t>2027BUD_V1</t>
        </is>
      </c>
      <c r="B129" s="1" t="inlineStr">
        <is>
          <t>V02</t>
        </is>
      </c>
      <c r="C129" s="1" t="inlineStr">
        <is>
          <t>12</t>
        </is>
      </c>
      <c r="D129" s="1" t="inlineStr">
        <is>
          <t>IPAC_MTP</t>
        </is>
      </c>
      <c r="E129" s="1" t="inlineStr">
        <is>
          <t>IPAC</t>
        </is>
      </c>
      <c r="F129" s="1" t="inlineStr">
        <is>
          <t>BAC_CCE</t>
        </is>
      </c>
      <c r="G129" s="1" t="inlineStr">
        <is>
          <t>B2</t>
        </is>
      </c>
      <c r="H129" s="1" t="inlineStr">
        <is>
          <t>ALT</t>
        </is>
      </c>
      <c r="I129" s="1" t="inlineStr">
        <is>
          <t>2027</t>
        </is>
      </c>
      <c r="J129" t="n">
        <v>0</v>
      </c>
      <c r="K129" t="n">
        <v>39.6</v>
      </c>
      <c r="L129" t="n">
        <v>6871.1125</v>
      </c>
      <c r="M129" t="n">
        <v>272096.055</v>
      </c>
      <c r="O129">
        <f>IF(D129="","",_CALC_MOTEUR!AE129)</f>
        <v/>
      </c>
      <c r="P129">
        <f>IF(D129="","",_CALC_MOTEUR!AF129)</f>
        <v/>
      </c>
      <c r="Q129">
        <f>IF(D129="","",_CALC_MOTEUR!AG129)</f>
        <v/>
      </c>
      <c r="R129">
        <f>IF(D129="","",_CALC_MOTEUR!AH129)</f>
        <v/>
      </c>
      <c r="S129">
        <f>IF(D129="","",R129-M129)</f>
        <v/>
      </c>
    </row>
    <row r="130">
      <c r="A130" s="1" t="inlineStr">
        <is>
          <t>2027BUD_V1</t>
        </is>
      </c>
      <c r="B130" s="1" t="inlineStr">
        <is>
          <t>V03</t>
        </is>
      </c>
      <c r="C130" s="1" t="inlineStr">
        <is>
          <t>12</t>
        </is>
      </c>
      <c r="D130" s="1" t="inlineStr">
        <is>
          <t>IPAC_MTP</t>
        </is>
      </c>
      <c r="E130" s="1" t="inlineStr">
        <is>
          <t>IPAC</t>
        </is>
      </c>
      <c r="F130" s="1" t="inlineStr">
        <is>
          <t>BAC_CCE</t>
        </is>
      </c>
      <c r="G130" s="1" t="inlineStr">
        <is>
          <t>B2</t>
        </is>
      </c>
      <c r="H130" s="1" t="inlineStr">
        <is>
          <t>ALT</t>
        </is>
      </c>
      <c r="I130" s="1" t="inlineStr">
        <is>
          <t>2027</t>
        </is>
      </c>
      <c r="J130" t="n">
        <v>0</v>
      </c>
      <c r="K130" t="n">
        <v>38.6</v>
      </c>
      <c r="L130" t="n">
        <v>6776.35</v>
      </c>
      <c r="M130" t="n">
        <v>261567.11</v>
      </c>
      <c r="O130">
        <f>IF(D130="","",_CALC_MOTEUR!AE130)</f>
        <v/>
      </c>
      <c r="P130">
        <f>IF(D130="","",_CALC_MOTEUR!AF130)</f>
        <v/>
      </c>
      <c r="Q130">
        <f>IF(D130="","",_CALC_MOTEUR!AG130)</f>
        <v/>
      </c>
      <c r="R130">
        <f>IF(D130="","",_CALC_MOTEUR!AH130)</f>
        <v/>
      </c>
      <c r="S130">
        <f>IF(D130="","",R130-M130)</f>
        <v/>
      </c>
    </row>
    <row r="131">
      <c r="A131" s="1" t="inlineStr">
        <is>
          <t>2027BUD_V1</t>
        </is>
      </c>
      <c r="B131" s="1" t="inlineStr">
        <is>
          <t>V01</t>
        </is>
      </c>
      <c r="C131" s="1" t="inlineStr">
        <is>
          <t>12</t>
        </is>
      </c>
      <c r="D131" s="1" t="inlineStr">
        <is>
          <t>IPAC_MTP</t>
        </is>
      </c>
      <c r="E131" s="1" t="inlineStr">
        <is>
          <t>IPAC</t>
        </is>
      </c>
      <c r="F131" s="1" t="inlineStr">
        <is>
          <t>BAC_CCE</t>
        </is>
      </c>
      <c r="G131" s="1" t="inlineStr">
        <is>
          <t>B3</t>
        </is>
      </c>
      <c r="H131" s="1" t="inlineStr">
        <is>
          <t>ALT</t>
        </is>
      </c>
      <c r="I131" s="1" t="inlineStr">
        <is>
          <t>2027</t>
        </is>
      </c>
      <c r="J131" t="n">
        <v>0</v>
      </c>
      <c r="K131" t="n">
        <v>38.195</v>
      </c>
      <c r="L131" t="n">
        <v>6668.32075</v>
      </c>
      <c r="M131" t="n">
        <v>254696.51104625</v>
      </c>
      <c r="O131">
        <f>IF(D131="","",_CALC_MOTEUR!AE131)</f>
        <v/>
      </c>
      <c r="P131">
        <f>IF(D131="","",_CALC_MOTEUR!AF131)</f>
        <v/>
      </c>
      <c r="Q131">
        <f>IF(D131="","",_CALC_MOTEUR!AG131)</f>
        <v/>
      </c>
      <c r="R131">
        <f>IF(D131="","",_CALC_MOTEUR!AH131)</f>
        <v/>
      </c>
      <c r="S131">
        <f>IF(D131="","",R131-M131)</f>
        <v/>
      </c>
    </row>
    <row r="132">
      <c r="A132" s="1" t="inlineStr">
        <is>
          <t>2027BUD_V1</t>
        </is>
      </c>
      <c r="B132" s="1" t="inlineStr">
        <is>
          <t>V02</t>
        </is>
      </c>
      <c r="C132" s="1" t="inlineStr">
        <is>
          <t>12</t>
        </is>
      </c>
      <c r="D132" s="1" t="inlineStr">
        <is>
          <t>IPAC_MTP</t>
        </is>
      </c>
      <c r="E132" s="1" t="inlineStr">
        <is>
          <t>IPAC</t>
        </is>
      </c>
      <c r="F132" s="1" t="inlineStr">
        <is>
          <t>BAC_CCE</t>
        </is>
      </c>
      <c r="G132" s="1" t="inlineStr">
        <is>
          <t>B3</t>
        </is>
      </c>
      <c r="H132" s="1" t="inlineStr">
        <is>
          <t>ALT</t>
        </is>
      </c>
      <c r="I132" s="1" t="inlineStr">
        <is>
          <t>2027</t>
        </is>
      </c>
      <c r="J132" t="n">
        <v>0</v>
      </c>
      <c r="K132" t="n">
        <v>38.585</v>
      </c>
      <c r="L132" t="n">
        <v>6871.1125</v>
      </c>
      <c r="M132" t="n">
        <v>265121.8758125</v>
      </c>
      <c r="O132">
        <f>IF(D132="","",_CALC_MOTEUR!AE132)</f>
        <v/>
      </c>
      <c r="P132">
        <f>IF(D132="","",_CALC_MOTEUR!AF132)</f>
        <v/>
      </c>
      <c r="Q132">
        <f>IF(D132="","",_CALC_MOTEUR!AG132)</f>
        <v/>
      </c>
      <c r="R132">
        <f>IF(D132="","",_CALC_MOTEUR!AH132)</f>
        <v/>
      </c>
      <c r="S132">
        <f>IF(D132="","",R132-M132)</f>
        <v/>
      </c>
    </row>
    <row r="133">
      <c r="A133" s="1" t="inlineStr">
        <is>
          <t>2027BUD_V1</t>
        </is>
      </c>
      <c r="B133" s="1" t="inlineStr">
        <is>
          <t>V03</t>
        </is>
      </c>
      <c r="C133" s="1" t="inlineStr">
        <is>
          <t>12</t>
        </is>
      </c>
      <c r="D133" s="1" t="inlineStr">
        <is>
          <t>IPAC_MTP</t>
        </is>
      </c>
      <c r="E133" s="1" t="inlineStr">
        <is>
          <t>IPAC</t>
        </is>
      </c>
      <c r="F133" s="1" t="inlineStr">
        <is>
          <t>BAC_CCE</t>
        </is>
      </c>
      <c r="G133" s="1" t="inlineStr">
        <is>
          <t>B3</t>
        </is>
      </c>
      <c r="H133" s="1" t="inlineStr">
        <is>
          <t>ALT</t>
        </is>
      </c>
      <c r="I133" s="1" t="inlineStr">
        <is>
          <t>2027</t>
        </is>
      </c>
      <c r="J133" t="n">
        <v>0</v>
      </c>
      <c r="K133" t="n">
        <v>37.61</v>
      </c>
      <c r="L133" t="n">
        <v>6776.35</v>
      </c>
      <c r="M133" t="n">
        <v>254858.5235</v>
      </c>
      <c r="O133">
        <f>IF(D133="","",_CALC_MOTEUR!AE133)</f>
        <v/>
      </c>
      <c r="P133">
        <f>IF(D133="","",_CALC_MOTEUR!AF133)</f>
        <v/>
      </c>
      <c r="Q133">
        <f>IF(D133="","",_CALC_MOTEUR!AG133)</f>
        <v/>
      </c>
      <c r="R133">
        <f>IF(D133="","",_CALC_MOTEUR!AH133)</f>
        <v/>
      </c>
      <c r="S133">
        <f>IF(D133="","",R133-M133)</f>
        <v/>
      </c>
    </row>
    <row r="134">
      <c r="A134" s="1" t="inlineStr">
        <is>
          <t>2027BUD_V1</t>
        </is>
      </c>
      <c r="B134" s="1" t="inlineStr">
        <is>
          <t>V01</t>
        </is>
      </c>
      <c r="C134" s="1" t="inlineStr">
        <is>
          <t>12</t>
        </is>
      </c>
      <c r="D134" s="1" t="inlineStr">
        <is>
          <t>PIGIER_LYO</t>
        </is>
      </c>
      <c r="E134" s="1" t="inlineStr">
        <is>
          <t>PIGIER</t>
        </is>
      </c>
      <c r="F134" s="1" t="inlineStr">
        <is>
          <t>BTS_GES</t>
        </is>
      </c>
      <c r="G134" s="1" t="inlineStr">
        <is>
          <t>BTS1</t>
        </is>
      </c>
      <c r="H134" s="1" t="inlineStr">
        <is>
          <t>ALT</t>
        </is>
      </c>
      <c r="I134" s="1" t="inlineStr">
        <is>
          <t>2027</t>
        </is>
      </c>
      <c r="J134" t="n">
        <v>51.131254996</v>
      </c>
      <c r="K134" t="n">
        <v>51.131254996</v>
      </c>
      <c r="L134" t="n">
        <v>6316.443</v>
      </c>
      <c r="M134" t="n">
        <v>327569.470651165</v>
      </c>
      <c r="O134">
        <f>IF(D134="","",_CALC_MOTEUR!AE134)</f>
        <v/>
      </c>
      <c r="P134">
        <f>IF(D134="","",_CALC_MOTEUR!AF134)</f>
        <v/>
      </c>
      <c r="Q134">
        <f>IF(D134="","",_CALC_MOTEUR!AG134)</f>
        <v/>
      </c>
      <c r="R134">
        <f>IF(D134="","",_CALC_MOTEUR!AH134)</f>
        <v/>
      </c>
      <c r="S134">
        <f>IF(D134="","",R134-M134)</f>
        <v/>
      </c>
    </row>
    <row r="135">
      <c r="A135" s="1" t="inlineStr">
        <is>
          <t>2027BUD_V1</t>
        </is>
      </c>
      <c r="B135" s="1" t="inlineStr">
        <is>
          <t>V02</t>
        </is>
      </c>
      <c r="C135" s="1" t="inlineStr">
        <is>
          <t>12</t>
        </is>
      </c>
      <c r="D135" s="1" t="inlineStr">
        <is>
          <t>PIGIER_LYO</t>
        </is>
      </c>
      <c r="E135" s="1" t="inlineStr">
        <is>
          <t>PIGIER</t>
        </is>
      </c>
      <c r="F135" s="1" t="inlineStr">
        <is>
          <t>BTS_GES</t>
        </is>
      </c>
      <c r="G135" s="1" t="inlineStr">
        <is>
          <t>BTS1</t>
        </is>
      </c>
      <c r="H135" s="1" t="inlineStr">
        <is>
          <t>ALT</t>
        </is>
      </c>
      <c r="I135" s="1" t="inlineStr">
        <is>
          <t>2027</t>
        </is>
      </c>
      <c r="J135" t="n">
        <v>59.243094007</v>
      </c>
      <c r="K135" t="n">
        <v>59.243094007</v>
      </c>
      <c r="L135" t="n">
        <v>6498.45</v>
      </c>
      <c r="M135" t="n">
        <v>390320.162713643</v>
      </c>
      <c r="O135">
        <f>IF(D135="","",_CALC_MOTEUR!AE135)</f>
        <v/>
      </c>
      <c r="P135">
        <f>IF(D135="","",_CALC_MOTEUR!AF135)</f>
        <v/>
      </c>
      <c r="Q135">
        <f>IF(D135="","",_CALC_MOTEUR!AG135)</f>
        <v/>
      </c>
      <c r="R135">
        <f>IF(D135="","",_CALC_MOTEUR!AH135)</f>
        <v/>
      </c>
      <c r="S135">
        <f>IF(D135="","",R135-M135)</f>
        <v/>
      </c>
    </row>
    <row r="136">
      <c r="A136" s="1" t="inlineStr">
        <is>
          <t>2027BUD_V1</t>
        </is>
      </c>
      <c r="B136" s="1" t="inlineStr">
        <is>
          <t>V03</t>
        </is>
      </c>
      <c r="C136" s="1" t="inlineStr">
        <is>
          <t>12</t>
        </is>
      </c>
      <c r="D136" s="1" t="inlineStr">
        <is>
          <t>PIGIER_LYO</t>
        </is>
      </c>
      <c r="E136" s="1" t="inlineStr">
        <is>
          <t>PIGIER</t>
        </is>
      </c>
      <c r="F136" s="1" t="inlineStr">
        <is>
          <t>BTS_GES</t>
        </is>
      </c>
      <c r="G136" s="1" t="inlineStr">
        <is>
          <t>BTS1</t>
        </is>
      </c>
      <c r="H136" s="1" t="inlineStr">
        <is>
          <t>ALT</t>
        </is>
      </c>
      <c r="I136" s="1" t="inlineStr">
        <is>
          <t>2027</t>
        </is>
      </c>
      <c r="J136" t="n">
        <v>41.800320022</v>
      </c>
      <c r="K136" t="n">
        <v>41.800320022</v>
      </c>
      <c r="L136" t="n">
        <v>6413.4</v>
      </c>
      <c r="M136" t="n">
        <v>271844.201228555</v>
      </c>
      <c r="O136">
        <f>IF(D136="","",_CALC_MOTEUR!AE136)</f>
        <v/>
      </c>
      <c r="P136">
        <f>IF(D136="","",_CALC_MOTEUR!AF136)</f>
        <v/>
      </c>
      <c r="Q136">
        <f>IF(D136="","",_CALC_MOTEUR!AG136)</f>
        <v/>
      </c>
      <c r="R136">
        <f>IF(D136="","",_CALC_MOTEUR!AH136)</f>
        <v/>
      </c>
      <c r="S136">
        <f>IF(D136="","",R136-M136)</f>
        <v/>
      </c>
    </row>
    <row r="137">
      <c r="A137" s="1" t="inlineStr">
        <is>
          <t>2027BUD_V1</t>
        </is>
      </c>
      <c r="B137" s="1" t="inlineStr">
        <is>
          <t>V01</t>
        </is>
      </c>
      <c r="C137" s="1" t="inlineStr">
        <is>
          <t>12</t>
        </is>
      </c>
      <c r="D137" s="1" t="inlineStr">
        <is>
          <t>PIGIER_LYO</t>
        </is>
      </c>
      <c r="E137" s="1" t="inlineStr">
        <is>
          <t>PIGIER</t>
        </is>
      </c>
      <c r="F137" s="1" t="inlineStr">
        <is>
          <t>BTS_GES</t>
        </is>
      </c>
      <c r="G137" s="1" t="inlineStr">
        <is>
          <t>BTS2</t>
        </is>
      </c>
      <c r="H137" s="1" t="inlineStr">
        <is>
          <t>ALT</t>
        </is>
      </c>
      <c r="I137" s="1" t="inlineStr">
        <is>
          <t>2027</t>
        </is>
      </c>
      <c r="J137" t="n">
        <v>0</v>
      </c>
      <c r="K137" t="n">
        <v>45.23</v>
      </c>
      <c r="L137" t="n">
        <v>6316.443</v>
      </c>
      <c r="M137" t="n">
        <v>285692.71689</v>
      </c>
      <c r="O137">
        <f>IF(D137="","",_CALC_MOTEUR!AE137)</f>
        <v/>
      </c>
      <c r="P137">
        <f>IF(D137="","",_CALC_MOTEUR!AF137)</f>
        <v/>
      </c>
      <c r="Q137">
        <f>IF(D137="","",_CALC_MOTEUR!AG137)</f>
        <v/>
      </c>
      <c r="R137">
        <f>IF(D137="","",_CALC_MOTEUR!AH137)</f>
        <v/>
      </c>
      <c r="S137">
        <f>IF(D137="","",R137-M137)</f>
        <v/>
      </c>
    </row>
    <row r="138">
      <c r="A138" s="1" t="inlineStr">
        <is>
          <t>2027BUD_V1</t>
        </is>
      </c>
      <c r="B138" s="1" t="inlineStr">
        <is>
          <t>V02</t>
        </is>
      </c>
      <c r="C138" s="1" t="inlineStr">
        <is>
          <t>12</t>
        </is>
      </c>
      <c r="D138" s="1" t="inlineStr">
        <is>
          <t>PIGIER_LYO</t>
        </is>
      </c>
      <c r="E138" s="1" t="inlineStr">
        <is>
          <t>PIGIER</t>
        </is>
      </c>
      <c r="F138" s="1" t="inlineStr">
        <is>
          <t>BTS_GES</t>
        </is>
      </c>
      <c r="G138" s="1" t="inlineStr">
        <is>
          <t>BTS2</t>
        </is>
      </c>
      <c r="H138" s="1" t="inlineStr">
        <is>
          <t>ALT</t>
        </is>
      </c>
      <c r="I138" s="1" t="inlineStr">
        <is>
          <t>2027</t>
        </is>
      </c>
      <c r="J138" t="n">
        <v>0</v>
      </c>
      <c r="K138" t="n">
        <v>45.69</v>
      </c>
      <c r="L138" t="n">
        <v>6498.45</v>
      </c>
      <c r="M138" t="n">
        <v>296914.1805</v>
      </c>
      <c r="O138">
        <f>IF(D138="","",_CALC_MOTEUR!AE138)</f>
        <v/>
      </c>
      <c r="P138">
        <f>IF(D138="","",_CALC_MOTEUR!AF138)</f>
        <v/>
      </c>
      <c r="Q138">
        <f>IF(D138="","",_CALC_MOTEUR!AG138)</f>
        <v/>
      </c>
      <c r="R138">
        <f>IF(D138="","",_CALC_MOTEUR!AH138)</f>
        <v/>
      </c>
      <c r="S138">
        <f>IF(D138="","",R138-M138)</f>
        <v/>
      </c>
    </row>
    <row r="139">
      <c r="A139" s="1" t="inlineStr">
        <is>
          <t>2027BUD_V1</t>
        </is>
      </c>
      <c r="B139" s="1" t="inlineStr">
        <is>
          <t>V03</t>
        </is>
      </c>
      <c r="C139" s="1" t="inlineStr">
        <is>
          <t>12</t>
        </is>
      </c>
      <c r="D139" s="1" t="inlineStr">
        <is>
          <t>PIGIER_LYO</t>
        </is>
      </c>
      <c r="E139" s="1" t="inlineStr">
        <is>
          <t>PIGIER</t>
        </is>
      </c>
      <c r="F139" s="1" t="inlineStr">
        <is>
          <t>BTS_GES</t>
        </is>
      </c>
      <c r="G139" s="1" t="inlineStr">
        <is>
          <t>BTS2</t>
        </is>
      </c>
      <c r="H139" s="1" t="inlineStr">
        <is>
          <t>ALT</t>
        </is>
      </c>
      <c r="I139" s="1" t="inlineStr">
        <is>
          <t>2027</t>
        </is>
      </c>
      <c r="J139" t="n">
        <v>0</v>
      </c>
      <c r="K139" t="n">
        <v>44.54</v>
      </c>
      <c r="L139" t="n">
        <v>6413.4</v>
      </c>
      <c r="M139" t="n">
        <v>285652.836</v>
      </c>
      <c r="O139">
        <f>IF(D139="","",_CALC_MOTEUR!AE139)</f>
        <v/>
      </c>
      <c r="P139">
        <f>IF(D139="","",_CALC_MOTEUR!AF139)</f>
        <v/>
      </c>
      <c r="Q139">
        <f>IF(D139="","",_CALC_MOTEUR!AG139)</f>
        <v/>
      </c>
      <c r="R139">
        <f>IF(D139="","",_CALC_MOTEUR!AH139)</f>
        <v/>
      </c>
      <c r="S139">
        <f>IF(D139="","",R139-M139)</f>
        <v/>
      </c>
    </row>
    <row r="140">
      <c r="A140" s="1" t="inlineStr">
        <is>
          <t>2027BUD_V1</t>
        </is>
      </c>
      <c r="B140" s="1" t="inlineStr">
        <is>
          <t>V01</t>
        </is>
      </c>
      <c r="C140" s="1" t="inlineStr">
        <is>
          <t>12</t>
        </is>
      </c>
      <c r="D140" s="1" t="inlineStr">
        <is>
          <t>PIGIER_LYO</t>
        </is>
      </c>
      <c r="E140" s="1" t="inlineStr">
        <is>
          <t>PIGIER</t>
        </is>
      </c>
      <c r="F140" s="1" t="inlineStr">
        <is>
          <t>BAC_RH</t>
        </is>
      </c>
      <c r="G140" s="1" t="inlineStr">
        <is>
          <t>B1</t>
        </is>
      </c>
      <c r="H140" s="1" t="inlineStr">
        <is>
          <t>ALT</t>
        </is>
      </c>
      <c r="I140" s="1" t="inlineStr">
        <is>
          <t>2027</t>
        </is>
      </c>
      <c r="J140" t="n">
        <v>51.131254996</v>
      </c>
      <c r="K140" t="n">
        <v>51.131254996</v>
      </c>
      <c r="L140" t="n">
        <v>7369.1835</v>
      </c>
      <c r="M140" t="n">
        <v>381397.413601417</v>
      </c>
      <c r="O140">
        <f>IF(D140="","",_CALC_MOTEUR!AE140)</f>
        <v/>
      </c>
      <c r="P140">
        <f>IF(D140="","",_CALC_MOTEUR!AF140)</f>
        <v/>
      </c>
      <c r="Q140">
        <f>IF(D140="","",_CALC_MOTEUR!AG140)</f>
        <v/>
      </c>
      <c r="R140">
        <f>IF(D140="","",_CALC_MOTEUR!AH140)</f>
        <v/>
      </c>
      <c r="S140">
        <f>IF(D140="","",R140-M140)</f>
        <v/>
      </c>
    </row>
    <row r="141">
      <c r="A141" s="1" t="inlineStr">
        <is>
          <t>2027BUD_V1</t>
        </is>
      </c>
      <c r="B141" s="1" t="inlineStr">
        <is>
          <t>V02</t>
        </is>
      </c>
      <c r="C141" s="1" t="inlineStr">
        <is>
          <t>12</t>
        </is>
      </c>
      <c r="D141" s="1" t="inlineStr">
        <is>
          <t>PIGIER_LYO</t>
        </is>
      </c>
      <c r="E141" s="1" t="inlineStr">
        <is>
          <t>PIGIER</t>
        </is>
      </c>
      <c r="F141" s="1" t="inlineStr">
        <is>
          <t>BAC_RH</t>
        </is>
      </c>
      <c r="G141" s="1" t="inlineStr">
        <is>
          <t>B1</t>
        </is>
      </c>
      <c r="H141" s="1" t="inlineStr">
        <is>
          <t>ALT</t>
        </is>
      </c>
      <c r="I141" s="1" t="inlineStr">
        <is>
          <t>2027</t>
        </is>
      </c>
      <c r="J141" t="n">
        <v>59.243094007</v>
      </c>
      <c r="K141" t="n">
        <v>59.243094007</v>
      </c>
      <c r="L141" t="n">
        <v>7581.525</v>
      </c>
      <c r="M141" t="n">
        <v>454484.876755804</v>
      </c>
      <c r="O141">
        <f>IF(D141="","",_CALC_MOTEUR!AE141)</f>
        <v/>
      </c>
      <c r="P141">
        <f>IF(D141="","",_CALC_MOTEUR!AF141)</f>
        <v/>
      </c>
      <c r="Q141">
        <f>IF(D141="","",_CALC_MOTEUR!AG141)</f>
        <v/>
      </c>
      <c r="R141">
        <f>IF(D141="","",_CALC_MOTEUR!AH141)</f>
        <v/>
      </c>
      <c r="S141">
        <f>IF(D141="","",R141-M141)</f>
        <v/>
      </c>
    </row>
    <row r="142">
      <c r="A142" s="1" t="inlineStr">
        <is>
          <t>2027BUD_V1</t>
        </is>
      </c>
      <c r="B142" s="1" t="inlineStr">
        <is>
          <t>V03</t>
        </is>
      </c>
      <c r="C142" s="1" t="inlineStr">
        <is>
          <t>12</t>
        </is>
      </c>
      <c r="D142" s="1" t="inlineStr">
        <is>
          <t>PIGIER_LYO</t>
        </is>
      </c>
      <c r="E142" s="1" t="inlineStr">
        <is>
          <t>PIGIER</t>
        </is>
      </c>
      <c r="F142" s="1" t="inlineStr">
        <is>
          <t>BAC_RH</t>
        </is>
      </c>
      <c r="G142" s="1" t="inlineStr">
        <is>
          <t>B1</t>
        </is>
      </c>
      <c r="H142" s="1" t="inlineStr">
        <is>
          <t>ALT</t>
        </is>
      </c>
      <c r="I142" s="1" t="inlineStr">
        <is>
          <t>2027</t>
        </is>
      </c>
      <c r="J142" t="n">
        <v>41.800320022</v>
      </c>
      <c r="K142" t="n">
        <v>41.800320022</v>
      </c>
      <c r="L142" t="n">
        <v>7482.3</v>
      </c>
      <c r="M142" t="n">
        <v>316524.563299657</v>
      </c>
      <c r="O142">
        <f>IF(D142="","",_CALC_MOTEUR!AE142)</f>
        <v/>
      </c>
      <c r="P142">
        <f>IF(D142="","",_CALC_MOTEUR!AF142)</f>
        <v/>
      </c>
      <c r="Q142">
        <f>IF(D142="","",_CALC_MOTEUR!AG142)</f>
        <v/>
      </c>
      <c r="R142">
        <f>IF(D142="","",_CALC_MOTEUR!AH142)</f>
        <v/>
      </c>
      <c r="S142">
        <f>IF(D142="","",R142-M142)</f>
        <v/>
      </c>
    </row>
    <row r="143">
      <c r="A143" s="1" t="inlineStr">
        <is>
          <t>2027BUD_V1</t>
        </is>
      </c>
      <c r="B143" s="1" t="inlineStr">
        <is>
          <t>V01</t>
        </is>
      </c>
      <c r="C143" s="1" t="inlineStr">
        <is>
          <t>12</t>
        </is>
      </c>
      <c r="D143" s="1" t="inlineStr">
        <is>
          <t>PIGIER_LYO</t>
        </is>
      </c>
      <c r="E143" s="1" t="inlineStr">
        <is>
          <t>PIGIER</t>
        </is>
      </c>
      <c r="F143" s="1" t="inlineStr">
        <is>
          <t>BAC_RH</t>
        </is>
      </c>
      <c r="G143" s="1" t="inlineStr">
        <is>
          <t>B2</t>
        </is>
      </c>
      <c r="H143" s="1" t="inlineStr">
        <is>
          <t>ALT</t>
        </is>
      </c>
      <c r="I143" s="1" t="inlineStr">
        <is>
          <t>2027</t>
        </is>
      </c>
      <c r="J143" t="n">
        <v>0</v>
      </c>
      <c r="K143" t="n">
        <v>45.23</v>
      </c>
      <c r="L143" t="n">
        <v>7369.1835</v>
      </c>
      <c r="M143" t="n">
        <v>333308.169705</v>
      </c>
      <c r="O143">
        <f>IF(D143="","",_CALC_MOTEUR!AE143)</f>
        <v/>
      </c>
      <c r="P143">
        <f>IF(D143="","",_CALC_MOTEUR!AF143)</f>
        <v/>
      </c>
      <c r="Q143">
        <f>IF(D143="","",_CALC_MOTEUR!AG143)</f>
        <v/>
      </c>
      <c r="R143">
        <f>IF(D143="","",_CALC_MOTEUR!AH143)</f>
        <v/>
      </c>
      <c r="S143">
        <f>IF(D143="","",R143-M143)</f>
        <v/>
      </c>
    </row>
    <row r="144">
      <c r="A144" s="1" t="inlineStr">
        <is>
          <t>2027BUD_V1</t>
        </is>
      </c>
      <c r="B144" s="1" t="inlineStr">
        <is>
          <t>V02</t>
        </is>
      </c>
      <c r="C144" s="1" t="inlineStr">
        <is>
          <t>12</t>
        </is>
      </c>
      <c r="D144" s="1" t="inlineStr">
        <is>
          <t>PIGIER_LYO</t>
        </is>
      </c>
      <c r="E144" s="1" t="inlineStr">
        <is>
          <t>PIGIER</t>
        </is>
      </c>
      <c r="F144" s="1" t="inlineStr">
        <is>
          <t>BAC_RH</t>
        </is>
      </c>
      <c r="G144" s="1" t="inlineStr">
        <is>
          <t>B2</t>
        </is>
      </c>
      <c r="H144" s="1" t="inlineStr">
        <is>
          <t>ALT</t>
        </is>
      </c>
      <c r="I144" s="1" t="inlineStr">
        <is>
          <t>2027</t>
        </is>
      </c>
      <c r="J144" t="n">
        <v>0</v>
      </c>
      <c r="K144" t="n">
        <v>45.69</v>
      </c>
      <c r="L144" t="n">
        <v>7581.525</v>
      </c>
      <c r="M144" t="n">
        <v>346399.87725</v>
      </c>
      <c r="O144">
        <f>IF(D144="","",_CALC_MOTEUR!AE144)</f>
        <v/>
      </c>
      <c r="P144">
        <f>IF(D144="","",_CALC_MOTEUR!AF144)</f>
        <v/>
      </c>
      <c r="Q144">
        <f>IF(D144="","",_CALC_MOTEUR!AG144)</f>
        <v/>
      </c>
      <c r="R144">
        <f>IF(D144="","",_CALC_MOTEUR!AH144)</f>
        <v/>
      </c>
      <c r="S144">
        <f>IF(D144="","",R144-M144)</f>
        <v/>
      </c>
    </row>
    <row r="145">
      <c r="A145" s="1" t="inlineStr">
        <is>
          <t>2027BUD_V1</t>
        </is>
      </c>
      <c r="B145" s="1" t="inlineStr">
        <is>
          <t>V03</t>
        </is>
      </c>
      <c r="C145" s="1" t="inlineStr">
        <is>
          <t>12</t>
        </is>
      </c>
      <c r="D145" s="1" t="inlineStr">
        <is>
          <t>PIGIER_LYO</t>
        </is>
      </c>
      <c r="E145" s="1" t="inlineStr">
        <is>
          <t>PIGIER</t>
        </is>
      </c>
      <c r="F145" s="1" t="inlineStr">
        <is>
          <t>BAC_RH</t>
        </is>
      </c>
      <c r="G145" s="1" t="inlineStr">
        <is>
          <t>B2</t>
        </is>
      </c>
      <c r="H145" s="1" t="inlineStr">
        <is>
          <t>ALT</t>
        </is>
      </c>
      <c r="I145" s="1" t="inlineStr">
        <is>
          <t>2027</t>
        </is>
      </c>
      <c r="J145" t="n">
        <v>0</v>
      </c>
      <c r="K145" t="n">
        <v>44.54</v>
      </c>
      <c r="L145" t="n">
        <v>7482.3</v>
      </c>
      <c r="M145" t="n">
        <v>333261.642</v>
      </c>
      <c r="O145">
        <f>IF(D145="","",_CALC_MOTEUR!AE145)</f>
        <v/>
      </c>
      <c r="P145">
        <f>IF(D145="","",_CALC_MOTEUR!AF145)</f>
        <v/>
      </c>
      <c r="Q145">
        <f>IF(D145="","",_CALC_MOTEUR!AG145)</f>
        <v/>
      </c>
      <c r="R145">
        <f>IF(D145="","",_CALC_MOTEUR!AH145)</f>
        <v/>
      </c>
      <c r="S145">
        <f>IF(D145="","",R145-M145)</f>
        <v/>
      </c>
    </row>
    <row r="146">
      <c r="A146" s="1" t="inlineStr">
        <is>
          <t>2027BUD_V1</t>
        </is>
      </c>
      <c r="B146" s="1" t="inlineStr">
        <is>
          <t>V01</t>
        </is>
      </c>
      <c r="C146" s="1" t="inlineStr">
        <is>
          <t>12</t>
        </is>
      </c>
      <c r="D146" s="1" t="inlineStr">
        <is>
          <t>PIGIER_LYO</t>
        </is>
      </c>
      <c r="E146" s="1" t="inlineStr">
        <is>
          <t>PIGIER</t>
        </is>
      </c>
      <c r="F146" s="1" t="inlineStr">
        <is>
          <t>BAC_RH</t>
        </is>
      </c>
      <c r="G146" s="1" t="inlineStr">
        <is>
          <t>B3</t>
        </is>
      </c>
      <c r="H146" s="1" t="inlineStr">
        <is>
          <t>ALT</t>
        </is>
      </c>
      <c r="I146" s="1" t="inlineStr">
        <is>
          <t>2027</t>
        </is>
      </c>
      <c r="J146" t="n">
        <v>0</v>
      </c>
      <c r="K146" t="n">
        <v>44.225</v>
      </c>
      <c r="L146" t="n">
        <v>7369.1835</v>
      </c>
      <c r="M146" t="n">
        <v>325902.1402875</v>
      </c>
      <c r="O146">
        <f>IF(D146="","",_CALC_MOTEUR!AE146)</f>
        <v/>
      </c>
      <c r="P146">
        <f>IF(D146="","",_CALC_MOTEUR!AF146)</f>
        <v/>
      </c>
      <c r="Q146">
        <f>IF(D146="","",_CALC_MOTEUR!AG146)</f>
        <v/>
      </c>
      <c r="R146">
        <f>IF(D146="","",_CALC_MOTEUR!AH146)</f>
        <v/>
      </c>
      <c r="S146">
        <f>IF(D146="","",R146-M146)</f>
        <v/>
      </c>
    </row>
    <row r="147">
      <c r="A147" s="1" t="inlineStr">
        <is>
          <t>2027BUD_V1</t>
        </is>
      </c>
      <c r="B147" s="1" t="inlineStr">
        <is>
          <t>V02</t>
        </is>
      </c>
      <c r="C147" s="1" t="inlineStr">
        <is>
          <t>12</t>
        </is>
      </c>
      <c r="D147" s="1" t="inlineStr">
        <is>
          <t>PIGIER_LYO</t>
        </is>
      </c>
      <c r="E147" s="1" t="inlineStr">
        <is>
          <t>PIGIER</t>
        </is>
      </c>
      <c r="F147" s="1" t="inlineStr">
        <is>
          <t>BAC_RH</t>
        </is>
      </c>
      <c r="G147" s="1" t="inlineStr">
        <is>
          <t>B3</t>
        </is>
      </c>
      <c r="H147" s="1" t="inlineStr">
        <is>
          <t>ALT</t>
        </is>
      </c>
      <c r="I147" s="1" t="inlineStr">
        <is>
          <t>2027</t>
        </is>
      </c>
      <c r="J147" t="n">
        <v>0</v>
      </c>
      <c r="K147" t="n">
        <v>44.675</v>
      </c>
      <c r="L147" t="n">
        <v>7581.525</v>
      </c>
      <c r="M147" t="n">
        <v>338704.629375</v>
      </c>
      <c r="O147">
        <f>IF(D147="","",_CALC_MOTEUR!AE147)</f>
        <v/>
      </c>
      <c r="P147">
        <f>IF(D147="","",_CALC_MOTEUR!AF147)</f>
        <v/>
      </c>
      <c r="Q147">
        <f>IF(D147="","",_CALC_MOTEUR!AG147)</f>
        <v/>
      </c>
      <c r="R147">
        <f>IF(D147="","",_CALC_MOTEUR!AH147)</f>
        <v/>
      </c>
      <c r="S147">
        <f>IF(D147="","",R147-M147)</f>
        <v/>
      </c>
    </row>
    <row r="148">
      <c r="A148" s="1" t="inlineStr">
        <is>
          <t>2027BUD_V1</t>
        </is>
      </c>
      <c r="B148" s="1" t="inlineStr">
        <is>
          <t>V03</t>
        </is>
      </c>
      <c r="C148" s="1" t="inlineStr">
        <is>
          <t>12</t>
        </is>
      </c>
      <c r="D148" s="1" t="inlineStr">
        <is>
          <t>PIGIER_LYO</t>
        </is>
      </c>
      <c r="E148" s="1" t="inlineStr">
        <is>
          <t>PIGIER</t>
        </is>
      </c>
      <c r="F148" s="1" t="inlineStr">
        <is>
          <t>BAC_RH</t>
        </is>
      </c>
      <c r="G148" s="1" t="inlineStr">
        <is>
          <t>B3</t>
        </is>
      </c>
      <c r="H148" s="1" t="inlineStr">
        <is>
          <t>ALT</t>
        </is>
      </c>
      <c r="I148" s="1" t="inlineStr">
        <is>
          <t>2027</t>
        </is>
      </c>
      <c r="J148" t="n">
        <v>0</v>
      </c>
      <c r="K148" t="n">
        <v>43.55</v>
      </c>
      <c r="L148" t="n">
        <v>7482.3</v>
      </c>
      <c r="M148" t="n">
        <v>325854.165</v>
      </c>
      <c r="O148">
        <f>IF(D148="","",_CALC_MOTEUR!AE148)</f>
        <v/>
      </c>
      <c r="P148">
        <f>IF(D148="","",_CALC_MOTEUR!AF148)</f>
        <v/>
      </c>
      <c r="Q148">
        <f>IF(D148="","",_CALC_MOTEUR!AG148)</f>
        <v/>
      </c>
      <c r="R148">
        <f>IF(D148="","",_CALC_MOTEUR!AH148)</f>
        <v/>
      </c>
      <c r="S148">
        <f>IF(D148="","",R148-M148)</f>
        <v/>
      </c>
    </row>
    <row r="149">
      <c r="A149" s="1" t="inlineStr">
        <is>
          <t>2027BUD_V1</t>
        </is>
      </c>
      <c r="B149" s="1" t="inlineStr">
        <is>
          <t>V01</t>
        </is>
      </c>
      <c r="C149" s="1" t="inlineStr">
        <is>
          <t>12</t>
        </is>
      </c>
      <c r="D149" s="1" t="inlineStr">
        <is>
          <t>PIGIER_BOR</t>
        </is>
      </c>
      <c r="E149" s="1" t="inlineStr">
        <is>
          <t>PIGIER</t>
        </is>
      </c>
      <c r="F149" s="1" t="inlineStr">
        <is>
          <t>BTS_GES</t>
        </is>
      </c>
      <c r="G149" s="1" t="inlineStr">
        <is>
          <t>BTS1</t>
        </is>
      </c>
      <c r="H149" s="1" t="inlineStr">
        <is>
          <t>ALT</t>
        </is>
      </c>
      <c r="I149" s="1" t="inlineStr">
        <is>
          <t>2027</t>
        </is>
      </c>
      <c r="J149" t="n">
        <v>40.090815026</v>
      </c>
      <c r="K149" t="n">
        <v>40.090815026</v>
      </c>
      <c r="L149" t="n">
        <v>5835.1902</v>
      </c>
      <c r="M149" t="n">
        <v>237545.704304698</v>
      </c>
      <c r="O149">
        <f>IF(D149="","",_CALC_MOTEUR!AE149)</f>
        <v/>
      </c>
      <c r="P149">
        <f>IF(D149="","",_CALC_MOTEUR!AF149)</f>
        <v/>
      </c>
      <c r="Q149">
        <f>IF(D149="","",_CALC_MOTEUR!AG149)</f>
        <v/>
      </c>
      <c r="R149">
        <f>IF(D149="","",_CALC_MOTEUR!AH149)</f>
        <v/>
      </c>
      <c r="S149">
        <f>IF(D149="","",R149-M149)</f>
        <v/>
      </c>
    </row>
    <row r="150">
      <c r="A150" s="1" t="inlineStr">
        <is>
          <t>2027BUD_V1</t>
        </is>
      </c>
      <c r="B150" s="1" t="inlineStr">
        <is>
          <t>V02</t>
        </is>
      </c>
      <c r="C150" s="1" t="inlineStr">
        <is>
          <t>12</t>
        </is>
      </c>
      <c r="D150" s="1" t="inlineStr">
        <is>
          <t>PIGIER_BOR</t>
        </is>
      </c>
      <c r="E150" s="1" t="inlineStr">
        <is>
          <t>PIGIER</t>
        </is>
      </c>
      <c r="F150" s="1" t="inlineStr">
        <is>
          <t>BTS_GES</t>
        </is>
      </c>
      <c r="G150" s="1" t="inlineStr">
        <is>
          <t>BTS1</t>
        </is>
      </c>
      <c r="H150" s="1" t="inlineStr">
        <is>
          <t>ALT</t>
        </is>
      </c>
      <c r="I150" s="1" t="inlineStr">
        <is>
          <t>2027</t>
        </is>
      </c>
      <c r="J150" t="n">
        <v>46.478132189</v>
      </c>
      <c r="K150" t="n">
        <v>46.478132189</v>
      </c>
      <c r="L150" t="n">
        <v>6003.33</v>
      </c>
      <c r="M150" t="n">
        <v>283206.5972091</v>
      </c>
      <c r="O150">
        <f>IF(D150="","",_CALC_MOTEUR!AE150)</f>
        <v/>
      </c>
      <c r="P150">
        <f>IF(D150="","",_CALC_MOTEUR!AF150)</f>
        <v/>
      </c>
      <c r="Q150">
        <f>IF(D150="","",_CALC_MOTEUR!AG150)</f>
        <v/>
      </c>
      <c r="R150">
        <f>IF(D150="","",_CALC_MOTEUR!AH150)</f>
        <v/>
      </c>
      <c r="S150">
        <f>IF(D150="","",R150-M150)</f>
        <v/>
      </c>
    </row>
    <row r="151">
      <c r="A151" s="1" t="inlineStr">
        <is>
          <t>2027BUD_V1</t>
        </is>
      </c>
      <c r="B151" s="1" t="inlineStr">
        <is>
          <t>V03</t>
        </is>
      </c>
      <c r="C151" s="1" t="inlineStr">
        <is>
          <t>12</t>
        </is>
      </c>
      <c r="D151" s="1" t="inlineStr">
        <is>
          <t>PIGIER_BOR</t>
        </is>
      </c>
      <c r="E151" s="1" t="inlineStr">
        <is>
          <t>PIGIER</t>
        </is>
      </c>
      <c r="F151" s="1" t="inlineStr">
        <is>
          <t>BTS_GES</t>
        </is>
      </c>
      <c r="G151" s="1" t="inlineStr">
        <is>
          <t>BTS1</t>
        </is>
      </c>
      <c r="H151" s="1" t="inlineStr">
        <is>
          <t>ALT</t>
        </is>
      </c>
      <c r="I151" s="1" t="inlineStr">
        <is>
          <t>2027</t>
        </is>
      </c>
      <c r="J151" t="n">
        <v>32.684123891</v>
      </c>
      <c r="K151" t="n">
        <v>32.684123891</v>
      </c>
      <c r="L151" t="n">
        <v>5924.76</v>
      </c>
      <c r="M151" t="n">
        <v>196587.161016709</v>
      </c>
      <c r="O151">
        <f>IF(D151="","",_CALC_MOTEUR!AE151)</f>
        <v/>
      </c>
      <c r="P151">
        <f>IF(D151="","",_CALC_MOTEUR!AF151)</f>
        <v/>
      </c>
      <c r="Q151">
        <f>IF(D151="","",_CALC_MOTEUR!AG151)</f>
        <v/>
      </c>
      <c r="R151">
        <f>IF(D151="","",_CALC_MOTEUR!AH151)</f>
        <v/>
      </c>
      <c r="S151">
        <f>IF(D151="","",R151-M151)</f>
        <v/>
      </c>
    </row>
    <row r="152">
      <c r="A152" s="1" t="inlineStr">
        <is>
          <t>2027BUD_V1</t>
        </is>
      </c>
      <c r="B152" s="1" t="inlineStr">
        <is>
          <t>V01</t>
        </is>
      </c>
      <c r="C152" s="1" t="inlineStr">
        <is>
          <t>12</t>
        </is>
      </c>
      <c r="D152" s="1" t="inlineStr">
        <is>
          <t>PIGIER_BOR</t>
        </is>
      </c>
      <c r="E152" s="1" t="inlineStr">
        <is>
          <t>PIGIER</t>
        </is>
      </c>
      <c r="F152" s="1" t="inlineStr">
        <is>
          <t>BTS_GES</t>
        </is>
      </c>
      <c r="G152" s="1" t="inlineStr">
        <is>
          <t>BTS2</t>
        </is>
      </c>
      <c r="H152" s="1" t="inlineStr">
        <is>
          <t>ALT</t>
        </is>
      </c>
      <c r="I152" s="1" t="inlineStr">
        <is>
          <t>2027</t>
        </is>
      </c>
      <c r="J152" t="n">
        <v>0</v>
      </c>
      <c r="K152" t="n">
        <v>35.18</v>
      </c>
      <c r="L152" t="n">
        <v>5835.1902</v>
      </c>
      <c r="M152" t="n">
        <v>205281.991236</v>
      </c>
      <c r="O152">
        <f>IF(D152="","",_CALC_MOTEUR!AE152)</f>
        <v/>
      </c>
      <c r="P152">
        <f>IF(D152="","",_CALC_MOTEUR!AF152)</f>
        <v/>
      </c>
      <c r="Q152">
        <f>IF(D152="","",_CALC_MOTEUR!AG152)</f>
        <v/>
      </c>
      <c r="R152">
        <f>IF(D152="","",_CALC_MOTEUR!AH152)</f>
        <v/>
      </c>
      <c r="S152">
        <f>IF(D152="","",R152-M152)</f>
        <v/>
      </c>
    </row>
    <row r="153">
      <c r="A153" s="1" t="inlineStr">
        <is>
          <t>2027BUD_V1</t>
        </is>
      </c>
      <c r="B153" s="1" t="inlineStr">
        <is>
          <t>V02</t>
        </is>
      </c>
      <c r="C153" s="1" t="inlineStr">
        <is>
          <t>12</t>
        </is>
      </c>
      <c r="D153" s="1" t="inlineStr">
        <is>
          <t>PIGIER_BOR</t>
        </is>
      </c>
      <c r="E153" s="1" t="inlineStr">
        <is>
          <t>PIGIER</t>
        </is>
      </c>
      <c r="F153" s="1" t="inlineStr">
        <is>
          <t>BTS_GES</t>
        </is>
      </c>
      <c r="G153" s="1" t="inlineStr">
        <is>
          <t>BTS2</t>
        </is>
      </c>
      <c r="H153" s="1" t="inlineStr">
        <is>
          <t>ALT</t>
        </is>
      </c>
      <c r="I153" s="1" t="inlineStr">
        <is>
          <t>2027</t>
        </is>
      </c>
      <c r="J153" t="n">
        <v>0</v>
      </c>
      <c r="K153" t="n">
        <v>35.54</v>
      </c>
      <c r="L153" t="n">
        <v>6003.33</v>
      </c>
      <c r="M153" t="n">
        <v>213358.3482</v>
      </c>
      <c r="O153">
        <f>IF(D153="","",_CALC_MOTEUR!AE153)</f>
        <v/>
      </c>
      <c r="P153">
        <f>IF(D153="","",_CALC_MOTEUR!AF153)</f>
        <v/>
      </c>
      <c r="Q153">
        <f>IF(D153="","",_CALC_MOTEUR!AG153)</f>
        <v/>
      </c>
      <c r="R153">
        <f>IF(D153="","",_CALC_MOTEUR!AH153)</f>
        <v/>
      </c>
      <c r="S153">
        <f>IF(D153="","",R153-M153)</f>
        <v/>
      </c>
    </row>
    <row r="154">
      <c r="A154" s="1" t="inlineStr">
        <is>
          <t>2027BUD_V1</t>
        </is>
      </c>
      <c r="B154" s="1" t="inlineStr">
        <is>
          <t>V03</t>
        </is>
      </c>
      <c r="C154" s="1" t="inlineStr">
        <is>
          <t>12</t>
        </is>
      </c>
      <c r="D154" s="1" t="inlineStr">
        <is>
          <t>PIGIER_BOR</t>
        </is>
      </c>
      <c r="E154" s="1" t="inlineStr">
        <is>
          <t>PIGIER</t>
        </is>
      </c>
      <c r="F154" s="1" t="inlineStr">
        <is>
          <t>BTS_GES</t>
        </is>
      </c>
      <c r="G154" s="1" t="inlineStr">
        <is>
          <t>BTS2</t>
        </is>
      </c>
      <c r="H154" s="1" t="inlineStr">
        <is>
          <t>ALT</t>
        </is>
      </c>
      <c r="I154" s="1" t="inlineStr">
        <is>
          <t>2027</t>
        </is>
      </c>
      <c r="J154" t="n">
        <v>0</v>
      </c>
      <c r="K154" t="n">
        <v>34.64</v>
      </c>
      <c r="L154" t="n">
        <v>5924.76</v>
      </c>
      <c r="M154" t="n">
        <v>205233.6864</v>
      </c>
      <c r="O154">
        <f>IF(D154="","",_CALC_MOTEUR!AE154)</f>
        <v/>
      </c>
      <c r="P154">
        <f>IF(D154="","",_CALC_MOTEUR!AF154)</f>
        <v/>
      </c>
      <c r="Q154">
        <f>IF(D154="","",_CALC_MOTEUR!AG154)</f>
        <v/>
      </c>
      <c r="R154">
        <f>IF(D154="","",_CALC_MOTEUR!AH154)</f>
        <v/>
      </c>
      <c r="S154">
        <f>IF(D154="","",R154-M154)</f>
        <v/>
      </c>
    </row>
    <row r="155">
      <c r="A155" s="1" t="inlineStr">
        <is>
          <t>2027BUD_V1</t>
        </is>
      </c>
      <c r="B155" s="1" t="inlineStr">
        <is>
          <t>V01</t>
        </is>
      </c>
      <c r="C155" s="1" t="inlineStr">
        <is>
          <t>12</t>
        </is>
      </c>
      <c r="D155" s="1" t="inlineStr">
        <is>
          <t>PIGIER_BOR</t>
        </is>
      </c>
      <c r="E155" s="1" t="inlineStr">
        <is>
          <t>PIGIER</t>
        </is>
      </c>
      <c r="F155" s="1" t="inlineStr">
        <is>
          <t>BAC_RH</t>
        </is>
      </c>
      <c r="G155" s="1" t="inlineStr">
        <is>
          <t>B1</t>
        </is>
      </c>
      <c r="H155" s="1" t="inlineStr">
        <is>
          <t>ALT</t>
        </is>
      </c>
      <c r="I155" s="1" t="inlineStr">
        <is>
          <t>2027</t>
        </is>
      </c>
      <c r="J155" t="n">
        <v>40.090815026</v>
      </c>
      <c r="K155" t="n">
        <v>40.090815026</v>
      </c>
      <c r="L155" t="n">
        <v>6807.7219</v>
      </c>
      <c r="M155" t="n">
        <v>276535.292796751</v>
      </c>
      <c r="O155">
        <f>IF(D155="","",_CALC_MOTEUR!AE155)</f>
        <v/>
      </c>
      <c r="P155">
        <f>IF(D155="","",_CALC_MOTEUR!AF155)</f>
        <v/>
      </c>
      <c r="Q155">
        <f>IF(D155="","",_CALC_MOTEUR!AG155)</f>
        <v/>
      </c>
      <c r="R155">
        <f>IF(D155="","",_CALC_MOTEUR!AH155)</f>
        <v/>
      </c>
      <c r="S155">
        <f>IF(D155="","",R155-M155)</f>
        <v/>
      </c>
    </row>
    <row r="156">
      <c r="A156" s="1" t="inlineStr">
        <is>
          <t>2027BUD_V1</t>
        </is>
      </c>
      <c r="B156" s="1" t="inlineStr">
        <is>
          <t>V02</t>
        </is>
      </c>
      <c r="C156" s="1" t="inlineStr">
        <is>
          <t>12</t>
        </is>
      </c>
      <c r="D156" s="1" t="inlineStr">
        <is>
          <t>PIGIER_BOR</t>
        </is>
      </c>
      <c r="E156" s="1" t="inlineStr">
        <is>
          <t>PIGIER</t>
        </is>
      </c>
      <c r="F156" s="1" t="inlineStr">
        <is>
          <t>BAC_RH</t>
        </is>
      </c>
      <c r="G156" s="1" t="inlineStr">
        <is>
          <t>B1</t>
        </is>
      </c>
      <c r="H156" s="1" t="inlineStr">
        <is>
          <t>ALT</t>
        </is>
      </c>
      <c r="I156" s="1" t="inlineStr">
        <is>
          <t>2027</t>
        </is>
      </c>
      <c r="J156" t="n">
        <v>46.478132189</v>
      </c>
      <c r="K156" t="n">
        <v>46.478132189</v>
      </c>
      <c r="L156" t="n">
        <v>7003.885</v>
      </c>
      <c r="M156" t="n">
        <v>329710.52476112</v>
      </c>
      <c r="O156">
        <f>IF(D156="","",_CALC_MOTEUR!AE156)</f>
        <v/>
      </c>
      <c r="P156">
        <f>IF(D156="","",_CALC_MOTEUR!AF156)</f>
        <v/>
      </c>
      <c r="Q156">
        <f>IF(D156="","",_CALC_MOTEUR!AG156)</f>
        <v/>
      </c>
      <c r="R156">
        <f>IF(D156="","",_CALC_MOTEUR!AH156)</f>
        <v/>
      </c>
      <c r="S156">
        <f>IF(D156="","",R156-M156)</f>
        <v/>
      </c>
    </row>
    <row r="157">
      <c r="A157" s="1" t="inlineStr">
        <is>
          <t>2027BUD_V1</t>
        </is>
      </c>
      <c r="B157" s="1" t="inlineStr">
        <is>
          <t>V03</t>
        </is>
      </c>
      <c r="C157" s="1" t="inlineStr">
        <is>
          <t>12</t>
        </is>
      </c>
      <c r="D157" s="1" t="inlineStr">
        <is>
          <t>PIGIER_BOR</t>
        </is>
      </c>
      <c r="E157" s="1" t="inlineStr">
        <is>
          <t>PIGIER</t>
        </is>
      </c>
      <c r="F157" s="1" t="inlineStr">
        <is>
          <t>BAC_RH</t>
        </is>
      </c>
      <c r="G157" s="1" t="inlineStr">
        <is>
          <t>B1</t>
        </is>
      </c>
      <c r="H157" s="1" t="inlineStr">
        <is>
          <t>ALT</t>
        </is>
      </c>
      <c r="I157" s="1" t="inlineStr">
        <is>
          <t>2027</t>
        </is>
      </c>
      <c r="J157" t="n">
        <v>32.684123891</v>
      </c>
      <c r="K157" t="n">
        <v>32.684123891</v>
      </c>
      <c r="L157" t="n">
        <v>6912.22</v>
      </c>
      <c r="M157" t="n">
        <v>228861.425994457</v>
      </c>
      <c r="O157">
        <f>IF(D157="","",_CALC_MOTEUR!AE157)</f>
        <v/>
      </c>
      <c r="P157">
        <f>IF(D157="","",_CALC_MOTEUR!AF157)</f>
        <v/>
      </c>
      <c r="Q157">
        <f>IF(D157="","",_CALC_MOTEUR!AG157)</f>
        <v/>
      </c>
      <c r="R157">
        <f>IF(D157="","",_CALC_MOTEUR!AH157)</f>
        <v/>
      </c>
      <c r="S157">
        <f>IF(D157="","",R157-M157)</f>
        <v/>
      </c>
    </row>
    <row r="158">
      <c r="A158" s="1" t="inlineStr">
        <is>
          <t>2027BUD_V1</t>
        </is>
      </c>
      <c r="B158" s="1" t="inlineStr">
        <is>
          <t>V01</t>
        </is>
      </c>
      <c r="C158" s="1" t="inlineStr">
        <is>
          <t>12</t>
        </is>
      </c>
      <c r="D158" s="1" t="inlineStr">
        <is>
          <t>PIGIER_BOR</t>
        </is>
      </c>
      <c r="E158" s="1" t="inlineStr">
        <is>
          <t>PIGIER</t>
        </is>
      </c>
      <c r="F158" s="1" t="inlineStr">
        <is>
          <t>BAC_RH</t>
        </is>
      </c>
      <c r="G158" s="1" t="inlineStr">
        <is>
          <t>B2</t>
        </is>
      </c>
      <c r="H158" s="1" t="inlineStr">
        <is>
          <t>ALT</t>
        </is>
      </c>
      <c r="I158" s="1" t="inlineStr">
        <is>
          <t>2027</t>
        </is>
      </c>
      <c r="J158" t="n">
        <v>0</v>
      </c>
      <c r="K158" t="n">
        <v>35.18</v>
      </c>
      <c r="L158" t="n">
        <v>6807.7219</v>
      </c>
      <c r="M158" t="n">
        <v>239495.656442</v>
      </c>
      <c r="O158">
        <f>IF(D158="","",_CALC_MOTEUR!AE158)</f>
        <v/>
      </c>
      <c r="P158">
        <f>IF(D158="","",_CALC_MOTEUR!AF158)</f>
        <v/>
      </c>
      <c r="Q158">
        <f>IF(D158="","",_CALC_MOTEUR!AG158)</f>
        <v/>
      </c>
      <c r="R158">
        <f>IF(D158="","",_CALC_MOTEUR!AH158)</f>
        <v/>
      </c>
      <c r="S158">
        <f>IF(D158="","",R158-M158)</f>
        <v/>
      </c>
    </row>
    <row r="159">
      <c r="A159" s="1" t="inlineStr">
        <is>
          <t>2027BUD_V1</t>
        </is>
      </c>
      <c r="B159" s="1" t="inlineStr">
        <is>
          <t>V02</t>
        </is>
      </c>
      <c r="C159" s="1" t="inlineStr">
        <is>
          <t>12</t>
        </is>
      </c>
      <c r="D159" s="1" t="inlineStr">
        <is>
          <t>PIGIER_BOR</t>
        </is>
      </c>
      <c r="E159" s="1" t="inlineStr">
        <is>
          <t>PIGIER</t>
        </is>
      </c>
      <c r="F159" s="1" t="inlineStr">
        <is>
          <t>BAC_RH</t>
        </is>
      </c>
      <c r="G159" s="1" t="inlineStr">
        <is>
          <t>B2</t>
        </is>
      </c>
      <c r="H159" s="1" t="inlineStr">
        <is>
          <t>ALT</t>
        </is>
      </c>
      <c r="I159" s="1" t="inlineStr">
        <is>
          <t>2027</t>
        </is>
      </c>
      <c r="J159" t="n">
        <v>0</v>
      </c>
      <c r="K159" t="n">
        <v>35.54</v>
      </c>
      <c r="L159" t="n">
        <v>7003.885</v>
      </c>
      <c r="M159" t="n">
        <v>248918.0729</v>
      </c>
      <c r="O159">
        <f>IF(D159="","",_CALC_MOTEUR!AE159)</f>
        <v/>
      </c>
      <c r="P159">
        <f>IF(D159="","",_CALC_MOTEUR!AF159)</f>
        <v/>
      </c>
      <c r="Q159">
        <f>IF(D159="","",_CALC_MOTEUR!AG159)</f>
        <v/>
      </c>
      <c r="R159">
        <f>IF(D159="","",_CALC_MOTEUR!AH159)</f>
        <v/>
      </c>
      <c r="S159">
        <f>IF(D159="","",R159-M159)</f>
        <v/>
      </c>
    </row>
    <row r="160">
      <c r="A160" s="1" t="inlineStr">
        <is>
          <t>2027BUD_V1</t>
        </is>
      </c>
      <c r="B160" s="1" t="inlineStr">
        <is>
          <t>V03</t>
        </is>
      </c>
      <c r="C160" s="1" t="inlineStr">
        <is>
          <t>12</t>
        </is>
      </c>
      <c r="D160" s="1" t="inlineStr">
        <is>
          <t>PIGIER_BOR</t>
        </is>
      </c>
      <c r="E160" s="1" t="inlineStr">
        <is>
          <t>PIGIER</t>
        </is>
      </c>
      <c r="F160" s="1" t="inlineStr">
        <is>
          <t>BAC_RH</t>
        </is>
      </c>
      <c r="G160" s="1" t="inlineStr">
        <is>
          <t>B2</t>
        </is>
      </c>
      <c r="H160" s="1" t="inlineStr">
        <is>
          <t>ALT</t>
        </is>
      </c>
      <c r="I160" s="1" t="inlineStr">
        <is>
          <t>2027</t>
        </is>
      </c>
      <c r="J160" t="n">
        <v>0</v>
      </c>
      <c r="K160" t="n">
        <v>34.64</v>
      </c>
      <c r="L160" t="n">
        <v>6912.22</v>
      </c>
      <c r="M160" t="n">
        <v>239439.3008</v>
      </c>
      <c r="O160">
        <f>IF(D160="","",_CALC_MOTEUR!AE160)</f>
        <v/>
      </c>
      <c r="P160">
        <f>IF(D160="","",_CALC_MOTEUR!AF160)</f>
        <v/>
      </c>
      <c r="Q160">
        <f>IF(D160="","",_CALC_MOTEUR!AG160)</f>
        <v/>
      </c>
      <c r="R160">
        <f>IF(D160="","",_CALC_MOTEUR!AH160)</f>
        <v/>
      </c>
      <c r="S160">
        <f>IF(D160="","",R160-M160)</f>
        <v/>
      </c>
    </row>
    <row r="161">
      <c r="A161" s="1" t="inlineStr">
        <is>
          <t>2027BUD_V1</t>
        </is>
      </c>
      <c r="B161" s="1" t="inlineStr">
        <is>
          <t>V01</t>
        </is>
      </c>
      <c r="C161" s="1" t="inlineStr">
        <is>
          <t>12</t>
        </is>
      </c>
      <c r="D161" s="1" t="inlineStr">
        <is>
          <t>PIGIER_BOR</t>
        </is>
      </c>
      <c r="E161" s="1" t="inlineStr">
        <is>
          <t>PIGIER</t>
        </is>
      </c>
      <c r="F161" s="1" t="inlineStr">
        <is>
          <t>BAC_RH</t>
        </is>
      </c>
      <c r="G161" s="1" t="inlineStr">
        <is>
          <t>B3</t>
        </is>
      </c>
      <c r="H161" s="1" t="inlineStr">
        <is>
          <t>ALT</t>
        </is>
      </c>
      <c r="I161" s="1" t="inlineStr">
        <is>
          <t>2027</t>
        </is>
      </c>
      <c r="J161" t="n">
        <v>0</v>
      </c>
      <c r="K161" t="n">
        <v>34.175</v>
      </c>
      <c r="L161" t="n">
        <v>6807.7219</v>
      </c>
      <c r="M161" t="n">
        <v>232653.8959325</v>
      </c>
      <c r="O161">
        <f>IF(D161="","",_CALC_MOTEUR!AE161)</f>
        <v/>
      </c>
      <c r="P161">
        <f>IF(D161="","",_CALC_MOTEUR!AF161)</f>
        <v/>
      </c>
      <c r="Q161">
        <f>IF(D161="","",_CALC_MOTEUR!AG161)</f>
        <v/>
      </c>
      <c r="R161">
        <f>IF(D161="","",_CALC_MOTEUR!AH161)</f>
        <v/>
      </c>
      <c r="S161">
        <f>IF(D161="","",R161-M161)</f>
        <v/>
      </c>
    </row>
    <row r="162">
      <c r="A162" s="1" t="inlineStr">
        <is>
          <t>2027BUD_V1</t>
        </is>
      </c>
      <c r="B162" s="1" t="inlineStr">
        <is>
          <t>V02</t>
        </is>
      </c>
      <c r="C162" s="1" t="inlineStr">
        <is>
          <t>12</t>
        </is>
      </c>
      <c r="D162" s="1" t="inlineStr">
        <is>
          <t>PIGIER_BOR</t>
        </is>
      </c>
      <c r="E162" s="1" t="inlineStr">
        <is>
          <t>PIGIER</t>
        </is>
      </c>
      <c r="F162" s="1" t="inlineStr">
        <is>
          <t>BAC_RH</t>
        </is>
      </c>
      <c r="G162" s="1" t="inlineStr">
        <is>
          <t>B3</t>
        </is>
      </c>
      <c r="H162" s="1" t="inlineStr">
        <is>
          <t>ALT</t>
        </is>
      </c>
      <c r="I162" s="1" t="inlineStr">
        <is>
          <t>2027</t>
        </is>
      </c>
      <c r="J162" t="n">
        <v>0</v>
      </c>
      <c r="K162" t="n">
        <v>34.525</v>
      </c>
      <c r="L162" t="n">
        <v>7003.885</v>
      </c>
      <c r="M162" t="n">
        <v>241809.129625</v>
      </c>
      <c r="O162">
        <f>IF(D162="","",_CALC_MOTEUR!AE162)</f>
        <v/>
      </c>
      <c r="P162">
        <f>IF(D162="","",_CALC_MOTEUR!AF162)</f>
        <v/>
      </c>
      <c r="Q162">
        <f>IF(D162="","",_CALC_MOTEUR!AG162)</f>
        <v/>
      </c>
      <c r="R162">
        <f>IF(D162="","",_CALC_MOTEUR!AH162)</f>
        <v/>
      </c>
      <c r="S162">
        <f>IF(D162="","",R162-M162)</f>
        <v/>
      </c>
    </row>
    <row r="163">
      <c r="A163" s="1" t="inlineStr">
        <is>
          <t>2027BUD_V1</t>
        </is>
      </c>
      <c r="B163" s="1" t="inlineStr">
        <is>
          <t>V03</t>
        </is>
      </c>
      <c r="C163" s="1" t="inlineStr">
        <is>
          <t>12</t>
        </is>
      </c>
      <c r="D163" s="1" t="inlineStr">
        <is>
          <t>PIGIER_BOR</t>
        </is>
      </c>
      <c r="E163" s="1" t="inlineStr">
        <is>
          <t>PIGIER</t>
        </is>
      </c>
      <c r="F163" s="1" t="inlineStr">
        <is>
          <t>BAC_RH</t>
        </is>
      </c>
      <c r="G163" s="1" t="inlineStr">
        <is>
          <t>B3</t>
        </is>
      </c>
      <c r="H163" s="1" t="inlineStr">
        <is>
          <t>ALT</t>
        </is>
      </c>
      <c r="I163" s="1" t="inlineStr">
        <is>
          <t>2027</t>
        </is>
      </c>
      <c r="J163" t="n">
        <v>0</v>
      </c>
      <c r="K163" t="n">
        <v>33.65</v>
      </c>
      <c r="L163" t="n">
        <v>6912.22</v>
      </c>
      <c r="M163" t="n">
        <v>232596.203</v>
      </c>
      <c r="O163">
        <f>IF(D163="","",_CALC_MOTEUR!AE163)</f>
        <v/>
      </c>
      <c r="P163">
        <f>IF(D163="","",_CALC_MOTEUR!AF163)</f>
        <v/>
      </c>
      <c r="Q163">
        <f>IF(D163="","",_CALC_MOTEUR!AG163)</f>
        <v/>
      </c>
      <c r="R163">
        <f>IF(D163="","",_CALC_MOTEUR!AH163)</f>
        <v/>
      </c>
      <c r="S163">
        <f>IF(D163="","",R163-M163)</f>
        <v/>
      </c>
    </row>
    <row r="164">
      <c r="A164" s="1" t="inlineStr">
        <is>
          <t>2027BUD_V1</t>
        </is>
      </c>
      <c r="B164" s="1" t="inlineStr">
        <is>
          <t>V01</t>
        </is>
      </c>
      <c r="C164" s="1" t="inlineStr">
        <is>
          <t>12</t>
        </is>
      </c>
      <c r="D164" s="1" t="inlineStr">
        <is>
          <t>TUNON_PAR</t>
        </is>
      </c>
      <c r="E164" s="1" t="inlineStr">
        <is>
          <t>TUNON</t>
        </is>
      </c>
      <c r="F164" s="1" t="inlineStr">
        <is>
          <t>BAC_TOU</t>
        </is>
      </c>
      <c r="G164" s="1" t="inlineStr">
        <is>
          <t>B1</t>
        </is>
      </c>
      <c r="H164" s="1" t="inlineStr">
        <is>
          <t>ALT</t>
        </is>
      </c>
      <c r="I164" s="1" t="inlineStr">
        <is>
          <t>2027</t>
        </is>
      </c>
      <c r="J164" t="n">
        <v>52.095308365</v>
      </c>
      <c r="K164" t="n">
        <v>52.095308365</v>
      </c>
      <c r="L164" t="n">
        <v>7863.8728</v>
      </c>
      <c r="M164" t="n">
        <v>414359.456214295</v>
      </c>
      <c r="O164">
        <f>IF(D164="","",_CALC_MOTEUR!AE164)</f>
        <v/>
      </c>
      <c r="P164">
        <f>IF(D164="","",_CALC_MOTEUR!AF164)</f>
        <v/>
      </c>
      <c r="Q164">
        <f>IF(D164="","",_CALC_MOTEUR!AG164)</f>
        <v/>
      </c>
      <c r="R164">
        <f>IF(D164="","",_CALC_MOTEUR!AH164)</f>
        <v/>
      </c>
      <c r="S164">
        <f>IF(D164="","",R164-M164)</f>
        <v/>
      </c>
    </row>
    <row r="165">
      <c r="A165" s="1" t="inlineStr">
        <is>
          <t>2027BUD_V1</t>
        </is>
      </c>
      <c r="B165" s="1" t="inlineStr">
        <is>
          <t>V02</t>
        </is>
      </c>
      <c r="C165" s="1" t="inlineStr">
        <is>
          <t>12</t>
        </is>
      </c>
      <c r="D165" s="1" t="inlineStr">
        <is>
          <t>TUNON_PAR</t>
        </is>
      </c>
      <c r="E165" s="1" t="inlineStr">
        <is>
          <t>TUNON</t>
        </is>
      </c>
      <c r="F165" s="1" t="inlineStr">
        <is>
          <t>BAC_TOU</t>
        </is>
      </c>
      <c r="G165" s="1" t="inlineStr">
        <is>
          <t>B1</t>
        </is>
      </c>
      <c r="H165" s="1" t="inlineStr">
        <is>
          <t>ALT</t>
        </is>
      </c>
      <c r="I165" s="1" t="inlineStr">
        <is>
          <t>2027</t>
        </is>
      </c>
      <c r="J165" t="n">
        <v>60.37400834</v>
      </c>
      <c r="K165" t="n">
        <v>60.37400834</v>
      </c>
      <c r="L165" t="n">
        <v>8128.12</v>
      </c>
      <c r="M165" t="n">
        <v>496160.845422221</v>
      </c>
      <c r="O165">
        <f>IF(D165="","",_CALC_MOTEUR!AE165)</f>
        <v/>
      </c>
      <c r="P165">
        <f>IF(D165="","",_CALC_MOTEUR!AF165)</f>
        <v/>
      </c>
      <c r="Q165">
        <f>IF(D165="","",_CALC_MOTEUR!AG165)</f>
        <v/>
      </c>
      <c r="R165">
        <f>IF(D165="","",_CALC_MOTEUR!AH165)</f>
        <v/>
      </c>
      <c r="S165">
        <f>IF(D165="","",R165-M165)</f>
        <v/>
      </c>
    </row>
    <row r="166">
      <c r="A166" s="1" t="inlineStr">
        <is>
          <t>2027BUD_V1</t>
        </is>
      </c>
      <c r="B166" s="1" t="inlineStr">
        <is>
          <t>V03</t>
        </is>
      </c>
      <c r="C166" s="1" t="inlineStr">
        <is>
          <t>12</t>
        </is>
      </c>
      <c r="D166" s="1" t="inlineStr">
        <is>
          <t>TUNON_PAR</t>
        </is>
      </c>
      <c r="E166" s="1" t="inlineStr">
        <is>
          <t>TUNON</t>
        </is>
      </c>
      <c r="F166" s="1" t="inlineStr">
        <is>
          <t>BAC_TOU</t>
        </is>
      </c>
      <c r="G166" s="1" t="inlineStr">
        <is>
          <t>B1</t>
        </is>
      </c>
      <c r="H166" s="1" t="inlineStr">
        <is>
          <t>ALT</t>
        </is>
      </c>
      <c r="I166" s="1" t="inlineStr">
        <is>
          <t>2027</t>
        </is>
      </c>
      <c r="J166" t="n">
        <v>42.750665593</v>
      </c>
      <c r="K166" t="n">
        <v>42.750665593</v>
      </c>
      <c r="L166" t="n">
        <v>8004.64</v>
      </c>
      <c r="M166" t="n">
        <v>346051.247736544</v>
      </c>
      <c r="O166">
        <f>IF(D166="","",_CALC_MOTEUR!AE166)</f>
        <v/>
      </c>
      <c r="P166">
        <f>IF(D166="","",_CALC_MOTEUR!AF166)</f>
        <v/>
      </c>
      <c r="Q166">
        <f>IF(D166="","",_CALC_MOTEUR!AG166)</f>
        <v/>
      </c>
      <c r="R166">
        <f>IF(D166="","",_CALC_MOTEUR!AH166)</f>
        <v/>
      </c>
      <c r="S166">
        <f>IF(D166="","",R166-M166)</f>
        <v/>
      </c>
    </row>
    <row r="167">
      <c r="A167" s="1" t="inlineStr">
        <is>
          <t>2027BUD_V1</t>
        </is>
      </c>
      <c r="B167" s="1" t="inlineStr">
        <is>
          <t>V01</t>
        </is>
      </c>
      <c r="C167" s="1" t="inlineStr">
        <is>
          <t>12</t>
        </is>
      </c>
      <c r="D167" s="1" t="inlineStr">
        <is>
          <t>TUNON_PAR</t>
        </is>
      </c>
      <c r="E167" s="1" t="inlineStr">
        <is>
          <t>TUNON</t>
        </is>
      </c>
      <c r="F167" s="1" t="inlineStr">
        <is>
          <t>BAC_TOU</t>
        </is>
      </c>
      <c r="G167" s="1" t="inlineStr">
        <is>
          <t>B2</t>
        </is>
      </c>
      <c r="H167" s="1" t="inlineStr">
        <is>
          <t>ALT</t>
        </is>
      </c>
      <c r="I167" s="1" t="inlineStr">
        <is>
          <t>2027</t>
        </is>
      </c>
      <c r="J167" t="n">
        <v>0</v>
      </c>
      <c r="K167" t="n">
        <v>46.235</v>
      </c>
      <c r="L167" t="n">
        <v>7863.8728</v>
      </c>
      <c r="M167" t="n">
        <v>363586.158908</v>
      </c>
      <c r="O167">
        <f>IF(D167="","",_CALC_MOTEUR!AE167)</f>
        <v/>
      </c>
      <c r="P167">
        <f>IF(D167="","",_CALC_MOTEUR!AF167)</f>
        <v/>
      </c>
      <c r="Q167">
        <f>IF(D167="","",_CALC_MOTEUR!AG167)</f>
        <v/>
      </c>
      <c r="R167">
        <f>IF(D167="","",_CALC_MOTEUR!AH167)</f>
        <v/>
      </c>
      <c r="S167">
        <f>IF(D167="","",R167-M167)</f>
        <v/>
      </c>
    </row>
    <row r="168">
      <c r="A168" s="1" t="inlineStr">
        <is>
          <t>2027BUD_V1</t>
        </is>
      </c>
      <c r="B168" s="1" t="inlineStr">
        <is>
          <t>V02</t>
        </is>
      </c>
      <c r="C168" s="1" t="inlineStr">
        <is>
          <t>12</t>
        </is>
      </c>
      <c r="D168" s="1" t="inlineStr">
        <is>
          <t>TUNON_PAR</t>
        </is>
      </c>
      <c r="E168" s="1" t="inlineStr">
        <is>
          <t>TUNON</t>
        </is>
      </c>
      <c r="F168" s="1" t="inlineStr">
        <is>
          <t>BAC_TOU</t>
        </is>
      </c>
      <c r="G168" s="1" t="inlineStr">
        <is>
          <t>B2</t>
        </is>
      </c>
      <c r="H168" s="1" t="inlineStr">
        <is>
          <t>ALT</t>
        </is>
      </c>
      <c r="I168" s="1" t="inlineStr">
        <is>
          <t>2027</t>
        </is>
      </c>
      <c r="J168" t="n">
        <v>0</v>
      </c>
      <c r="K168" t="n">
        <v>46.705</v>
      </c>
      <c r="L168" t="n">
        <v>8128.12</v>
      </c>
      <c r="M168" t="n">
        <v>379623.8446</v>
      </c>
      <c r="O168">
        <f>IF(D168="","",_CALC_MOTEUR!AE168)</f>
        <v/>
      </c>
      <c r="P168">
        <f>IF(D168="","",_CALC_MOTEUR!AF168)</f>
        <v/>
      </c>
      <c r="Q168">
        <f>IF(D168="","",_CALC_MOTEUR!AG168)</f>
        <v/>
      </c>
      <c r="R168">
        <f>IF(D168="","",_CALC_MOTEUR!AH168)</f>
        <v/>
      </c>
      <c r="S168">
        <f>IF(D168="","",R168-M168)</f>
        <v/>
      </c>
    </row>
    <row r="169">
      <c r="A169" s="1" t="inlineStr">
        <is>
          <t>2027BUD_V1</t>
        </is>
      </c>
      <c r="B169" s="1" t="inlineStr">
        <is>
          <t>V03</t>
        </is>
      </c>
      <c r="C169" s="1" t="inlineStr">
        <is>
          <t>12</t>
        </is>
      </c>
      <c r="D169" s="1" t="inlineStr">
        <is>
          <t>TUNON_PAR</t>
        </is>
      </c>
      <c r="E169" s="1" t="inlineStr">
        <is>
          <t>TUNON</t>
        </is>
      </c>
      <c r="F169" s="1" t="inlineStr">
        <is>
          <t>BAC_TOU</t>
        </is>
      </c>
      <c r="G169" s="1" t="inlineStr">
        <is>
          <t>B2</t>
        </is>
      </c>
      <c r="H169" s="1" t="inlineStr">
        <is>
          <t>ALT</t>
        </is>
      </c>
      <c r="I169" s="1" t="inlineStr">
        <is>
          <t>2027</t>
        </is>
      </c>
      <c r="J169" t="n">
        <v>0</v>
      </c>
      <c r="K169" t="n">
        <v>45.53</v>
      </c>
      <c r="L169" t="n">
        <v>8004.64</v>
      </c>
      <c r="M169" t="n">
        <v>364451.2592</v>
      </c>
      <c r="O169">
        <f>IF(D169="","",_CALC_MOTEUR!AE169)</f>
        <v/>
      </c>
      <c r="P169">
        <f>IF(D169="","",_CALC_MOTEUR!AF169)</f>
        <v/>
      </c>
      <c r="Q169">
        <f>IF(D169="","",_CALC_MOTEUR!AG169)</f>
        <v/>
      </c>
      <c r="R169">
        <f>IF(D169="","",_CALC_MOTEUR!AH169)</f>
        <v/>
      </c>
      <c r="S169">
        <f>IF(D169="","",R169-M169)</f>
        <v/>
      </c>
    </row>
    <row r="170">
      <c r="A170" s="1" t="inlineStr">
        <is>
          <t>2027BUD_V1</t>
        </is>
      </c>
      <c r="B170" s="1" t="inlineStr">
        <is>
          <t>V01</t>
        </is>
      </c>
      <c r="C170" s="1" t="inlineStr">
        <is>
          <t>12</t>
        </is>
      </c>
      <c r="D170" s="1" t="inlineStr">
        <is>
          <t>TUNON_PAR</t>
        </is>
      </c>
      <c r="E170" s="1" t="inlineStr">
        <is>
          <t>TUNON</t>
        </is>
      </c>
      <c r="F170" s="1" t="inlineStr">
        <is>
          <t>BAC_TOU</t>
        </is>
      </c>
      <c r="G170" s="1" t="inlineStr">
        <is>
          <t>B3</t>
        </is>
      </c>
      <c r="H170" s="1" t="inlineStr">
        <is>
          <t>ALT</t>
        </is>
      </c>
      <c r="I170" s="1" t="inlineStr">
        <is>
          <t>2027</t>
        </is>
      </c>
      <c r="J170" t="n">
        <v>0</v>
      </c>
      <c r="K170" t="n">
        <v>45.23</v>
      </c>
      <c r="L170" t="n">
        <v>7863.8728</v>
      </c>
      <c r="M170" t="n">
        <v>355682.966744</v>
      </c>
      <c r="O170">
        <f>IF(D170="","",_CALC_MOTEUR!AE170)</f>
        <v/>
      </c>
      <c r="P170">
        <f>IF(D170="","",_CALC_MOTEUR!AF170)</f>
        <v/>
      </c>
      <c r="Q170">
        <f>IF(D170="","",_CALC_MOTEUR!AG170)</f>
        <v/>
      </c>
      <c r="R170">
        <f>IF(D170="","",_CALC_MOTEUR!AH170)</f>
        <v/>
      </c>
      <c r="S170">
        <f>IF(D170="","",R170-M170)</f>
        <v/>
      </c>
    </row>
    <row r="171">
      <c r="A171" s="1" t="inlineStr">
        <is>
          <t>2027BUD_V1</t>
        </is>
      </c>
      <c r="B171" s="1" t="inlineStr">
        <is>
          <t>V02</t>
        </is>
      </c>
      <c r="C171" s="1" t="inlineStr">
        <is>
          <t>12</t>
        </is>
      </c>
      <c r="D171" s="1" t="inlineStr">
        <is>
          <t>TUNON_PAR</t>
        </is>
      </c>
      <c r="E171" s="1" t="inlineStr">
        <is>
          <t>TUNON</t>
        </is>
      </c>
      <c r="F171" s="1" t="inlineStr">
        <is>
          <t>BAC_TOU</t>
        </is>
      </c>
      <c r="G171" s="1" t="inlineStr">
        <is>
          <t>B3</t>
        </is>
      </c>
      <c r="H171" s="1" t="inlineStr">
        <is>
          <t>ALT</t>
        </is>
      </c>
      <c r="I171" s="1" t="inlineStr">
        <is>
          <t>2027</t>
        </is>
      </c>
      <c r="J171" t="n">
        <v>0</v>
      </c>
      <c r="K171" t="n">
        <v>45.69</v>
      </c>
      <c r="L171" t="n">
        <v>8128.12</v>
      </c>
      <c r="M171" t="n">
        <v>371373.8028</v>
      </c>
      <c r="O171">
        <f>IF(D171="","",_CALC_MOTEUR!AE171)</f>
        <v/>
      </c>
      <c r="P171">
        <f>IF(D171="","",_CALC_MOTEUR!AF171)</f>
        <v/>
      </c>
      <c r="Q171">
        <f>IF(D171="","",_CALC_MOTEUR!AG171)</f>
        <v/>
      </c>
      <c r="R171">
        <f>IF(D171="","",_CALC_MOTEUR!AH171)</f>
        <v/>
      </c>
      <c r="S171">
        <f>IF(D171="","",R171-M171)</f>
        <v/>
      </c>
    </row>
    <row r="172">
      <c r="A172" s="1" t="inlineStr">
        <is>
          <t>2027BUD_V1</t>
        </is>
      </c>
      <c r="B172" s="1" t="inlineStr">
        <is>
          <t>V03</t>
        </is>
      </c>
      <c r="C172" s="1" t="inlineStr">
        <is>
          <t>12</t>
        </is>
      </c>
      <c r="D172" s="1" t="inlineStr">
        <is>
          <t>TUNON_PAR</t>
        </is>
      </c>
      <c r="E172" s="1" t="inlineStr">
        <is>
          <t>TUNON</t>
        </is>
      </c>
      <c r="F172" s="1" t="inlineStr">
        <is>
          <t>BAC_TOU</t>
        </is>
      </c>
      <c r="G172" s="1" t="inlineStr">
        <is>
          <t>B3</t>
        </is>
      </c>
      <c r="H172" s="1" t="inlineStr">
        <is>
          <t>ALT</t>
        </is>
      </c>
      <c r="I172" s="1" t="inlineStr">
        <is>
          <t>2027</t>
        </is>
      </c>
      <c r="J172" t="n">
        <v>0</v>
      </c>
      <c r="K172" t="n">
        <v>44.54</v>
      </c>
      <c r="L172" t="n">
        <v>8004.64</v>
      </c>
      <c r="M172" t="n">
        <v>356526.6656</v>
      </c>
      <c r="O172">
        <f>IF(D172="","",_CALC_MOTEUR!AE172)</f>
        <v/>
      </c>
      <c r="P172">
        <f>IF(D172="","",_CALC_MOTEUR!AF172)</f>
        <v/>
      </c>
      <c r="Q172">
        <f>IF(D172="","",_CALC_MOTEUR!AG172)</f>
        <v/>
      </c>
      <c r="R172">
        <f>IF(D172="","",_CALC_MOTEUR!AH172)</f>
        <v/>
      </c>
      <c r="S172">
        <f>IF(D172="","",R172-M172)</f>
        <v/>
      </c>
    </row>
    <row r="173">
      <c r="A173" s="1" t="inlineStr">
        <is>
          <t>2027BUD_V1</t>
        </is>
      </c>
      <c r="B173" s="1" t="inlineStr">
        <is>
          <t>V01</t>
        </is>
      </c>
      <c r="C173" s="1" t="inlineStr">
        <is>
          <t>12</t>
        </is>
      </c>
      <c r="D173" s="1" t="inlineStr">
        <is>
          <t>TUNON_LYO</t>
        </is>
      </c>
      <c r="E173" s="1" t="inlineStr">
        <is>
          <t>TUNON</t>
        </is>
      </c>
      <c r="F173" s="1" t="inlineStr">
        <is>
          <t>BAC_TOU</t>
        </is>
      </c>
      <c r="G173" s="1" t="inlineStr">
        <is>
          <t>B1</t>
        </is>
      </c>
      <c r="H173" s="1" t="inlineStr">
        <is>
          <t>ALT</t>
        </is>
      </c>
      <c r="I173" s="1" t="inlineStr">
        <is>
          <t>2027</t>
        </is>
      </c>
      <c r="J173" t="n">
        <v>44.464893324</v>
      </c>
      <c r="K173" t="n">
        <v>44.464893324</v>
      </c>
      <c r="L173" t="n">
        <v>7372.38075</v>
      </c>
      <c r="M173" t="n">
        <v>331813.963994274</v>
      </c>
      <c r="O173">
        <f>IF(D173="","",_CALC_MOTEUR!AE173)</f>
        <v/>
      </c>
      <c r="P173">
        <f>IF(D173="","",_CALC_MOTEUR!AF173)</f>
        <v/>
      </c>
      <c r="Q173">
        <f>IF(D173="","",_CALC_MOTEUR!AG173)</f>
        <v/>
      </c>
      <c r="R173">
        <f>IF(D173="","",_CALC_MOTEUR!AH173)</f>
        <v/>
      </c>
      <c r="S173">
        <f>IF(D173="","",R173-M173)</f>
        <v/>
      </c>
    </row>
    <row r="174">
      <c r="A174" s="1" t="inlineStr">
        <is>
          <t>2027BUD_V1</t>
        </is>
      </c>
      <c r="B174" s="1" t="inlineStr">
        <is>
          <t>V02</t>
        </is>
      </c>
      <c r="C174" s="1" t="inlineStr">
        <is>
          <t>12</t>
        </is>
      </c>
      <c r="D174" s="1" t="inlineStr">
        <is>
          <t>TUNON_LYO</t>
        </is>
      </c>
      <c r="E174" s="1" t="inlineStr">
        <is>
          <t>TUNON</t>
        </is>
      </c>
      <c r="F174" s="1" t="inlineStr">
        <is>
          <t>BAC_TOU</t>
        </is>
      </c>
      <c r="G174" s="1" t="inlineStr">
        <is>
          <t>B1</t>
        </is>
      </c>
      <c r="H174" s="1" t="inlineStr">
        <is>
          <t>ALT</t>
        </is>
      </c>
      <c r="I174" s="1" t="inlineStr">
        <is>
          <t>2027</t>
        </is>
      </c>
      <c r="J174" t="n">
        <v>51.592491081</v>
      </c>
      <c r="K174" t="n">
        <v>51.592491081</v>
      </c>
      <c r="L174" t="n">
        <v>7620.1125</v>
      </c>
      <c r="M174" t="n">
        <v>397783.910389352</v>
      </c>
      <c r="O174">
        <f>IF(D174="","",_CALC_MOTEUR!AE174)</f>
        <v/>
      </c>
      <c r="P174">
        <f>IF(D174="","",_CALC_MOTEUR!AF174)</f>
        <v/>
      </c>
      <c r="Q174">
        <f>IF(D174="","",_CALC_MOTEUR!AG174)</f>
        <v/>
      </c>
      <c r="R174">
        <f>IF(D174="","",_CALC_MOTEUR!AH174)</f>
        <v/>
      </c>
      <c r="S174">
        <f>IF(D174="","",R174-M174)</f>
        <v/>
      </c>
    </row>
    <row r="175">
      <c r="A175" s="1" t="inlineStr">
        <is>
          <t>2027BUD_V1</t>
        </is>
      </c>
      <c r="B175" s="1" t="inlineStr">
        <is>
          <t>V03</t>
        </is>
      </c>
      <c r="C175" s="1" t="inlineStr">
        <is>
          <t>12</t>
        </is>
      </c>
      <c r="D175" s="1" t="inlineStr">
        <is>
          <t>TUNON_LYO</t>
        </is>
      </c>
      <c r="E175" s="1" t="inlineStr">
        <is>
          <t>TUNON</t>
        </is>
      </c>
      <c r="F175" s="1" t="inlineStr">
        <is>
          <t>BAC_TOU</t>
        </is>
      </c>
      <c r="G175" s="1" t="inlineStr">
        <is>
          <t>B1</t>
        </is>
      </c>
      <c r="H175" s="1" t="inlineStr">
        <is>
          <t>ALT</t>
        </is>
      </c>
      <c r="I175" s="1" t="inlineStr">
        <is>
          <t>2027</t>
        </is>
      </c>
      <c r="J175" t="n">
        <v>36.329613011</v>
      </c>
      <c r="K175" t="n">
        <v>36.329613011</v>
      </c>
      <c r="L175" t="n">
        <v>7504.35</v>
      </c>
      <c r="M175" t="n">
        <v>275899.796573612</v>
      </c>
      <c r="O175">
        <f>IF(D175="","",_CALC_MOTEUR!AE175)</f>
        <v/>
      </c>
      <c r="P175">
        <f>IF(D175="","",_CALC_MOTEUR!AF175)</f>
        <v/>
      </c>
      <c r="Q175">
        <f>IF(D175="","",_CALC_MOTEUR!AG175)</f>
        <v/>
      </c>
      <c r="R175">
        <f>IF(D175="","",_CALC_MOTEUR!AH175)</f>
        <v/>
      </c>
      <c r="S175">
        <f>IF(D175="","",R175-M175)</f>
        <v/>
      </c>
    </row>
    <row r="176">
      <c r="A176" s="1" t="inlineStr">
        <is>
          <t>2027BUD_V1</t>
        </is>
      </c>
      <c r="B176" s="1" t="inlineStr">
        <is>
          <t>V01</t>
        </is>
      </c>
      <c r="C176" s="1" t="inlineStr">
        <is>
          <t>12</t>
        </is>
      </c>
      <c r="D176" s="1" t="inlineStr">
        <is>
          <t>TUNON_LYO</t>
        </is>
      </c>
      <c r="E176" s="1" t="inlineStr">
        <is>
          <t>TUNON</t>
        </is>
      </c>
      <c r="F176" s="1" t="inlineStr">
        <is>
          <t>BAC_TOU</t>
        </is>
      </c>
      <c r="G176" s="1" t="inlineStr">
        <is>
          <t>B2</t>
        </is>
      </c>
      <c r="H176" s="1" t="inlineStr">
        <is>
          <t>ALT</t>
        </is>
      </c>
      <c r="I176" s="1" t="inlineStr">
        <is>
          <t>2027</t>
        </is>
      </c>
      <c r="J176" t="n">
        <v>0</v>
      </c>
      <c r="K176" t="n">
        <v>39.2</v>
      </c>
      <c r="L176" t="n">
        <v>7372.38075</v>
      </c>
      <c r="M176" t="n">
        <v>288997.3254</v>
      </c>
      <c r="O176">
        <f>IF(D176="","",_CALC_MOTEUR!AE176)</f>
        <v/>
      </c>
      <c r="P176">
        <f>IF(D176="","",_CALC_MOTEUR!AF176)</f>
        <v/>
      </c>
      <c r="Q176">
        <f>IF(D176="","",_CALC_MOTEUR!AG176)</f>
        <v/>
      </c>
      <c r="R176">
        <f>IF(D176="","",_CALC_MOTEUR!AH176)</f>
        <v/>
      </c>
      <c r="S176">
        <f>IF(D176="","",R176-M176)</f>
        <v/>
      </c>
    </row>
    <row r="177">
      <c r="A177" s="1" t="inlineStr">
        <is>
          <t>2027BUD_V1</t>
        </is>
      </c>
      <c r="B177" s="1" t="inlineStr">
        <is>
          <t>V02</t>
        </is>
      </c>
      <c r="C177" s="1" t="inlineStr">
        <is>
          <t>12</t>
        </is>
      </c>
      <c r="D177" s="1" t="inlineStr">
        <is>
          <t>TUNON_LYO</t>
        </is>
      </c>
      <c r="E177" s="1" t="inlineStr">
        <is>
          <t>TUNON</t>
        </is>
      </c>
      <c r="F177" s="1" t="inlineStr">
        <is>
          <t>BAC_TOU</t>
        </is>
      </c>
      <c r="G177" s="1" t="inlineStr">
        <is>
          <t>B2</t>
        </is>
      </c>
      <c r="H177" s="1" t="inlineStr">
        <is>
          <t>ALT</t>
        </is>
      </c>
      <c r="I177" s="1" t="inlineStr">
        <is>
          <t>2027</t>
        </is>
      </c>
      <c r="J177" t="n">
        <v>0</v>
      </c>
      <c r="K177" t="n">
        <v>39.6</v>
      </c>
      <c r="L177" t="n">
        <v>7620.1125</v>
      </c>
      <c r="M177" t="n">
        <v>301756.455</v>
      </c>
      <c r="O177">
        <f>IF(D177="","",_CALC_MOTEUR!AE177)</f>
        <v/>
      </c>
      <c r="P177">
        <f>IF(D177="","",_CALC_MOTEUR!AF177)</f>
        <v/>
      </c>
      <c r="Q177">
        <f>IF(D177="","",_CALC_MOTEUR!AG177)</f>
        <v/>
      </c>
      <c r="R177">
        <f>IF(D177="","",_CALC_MOTEUR!AH177)</f>
        <v/>
      </c>
      <c r="S177">
        <f>IF(D177="","",R177-M177)</f>
        <v/>
      </c>
    </row>
    <row r="178">
      <c r="A178" s="1" t="inlineStr">
        <is>
          <t>2027BUD_V1</t>
        </is>
      </c>
      <c r="B178" s="1" t="inlineStr">
        <is>
          <t>V03</t>
        </is>
      </c>
      <c r="C178" s="1" t="inlineStr">
        <is>
          <t>12</t>
        </is>
      </c>
      <c r="D178" s="1" t="inlineStr">
        <is>
          <t>TUNON_LYO</t>
        </is>
      </c>
      <c r="E178" s="1" t="inlineStr">
        <is>
          <t>TUNON</t>
        </is>
      </c>
      <c r="F178" s="1" t="inlineStr">
        <is>
          <t>BAC_TOU</t>
        </is>
      </c>
      <c r="G178" s="1" t="inlineStr">
        <is>
          <t>B2</t>
        </is>
      </c>
      <c r="H178" s="1" t="inlineStr">
        <is>
          <t>ALT</t>
        </is>
      </c>
      <c r="I178" s="1" t="inlineStr">
        <is>
          <t>2027</t>
        </is>
      </c>
      <c r="J178" t="n">
        <v>0</v>
      </c>
      <c r="K178" t="n">
        <v>38.6</v>
      </c>
      <c r="L178" t="n">
        <v>7504.35</v>
      </c>
      <c r="M178" t="n">
        <v>289667.91</v>
      </c>
      <c r="O178">
        <f>IF(D178="","",_CALC_MOTEUR!AE178)</f>
        <v/>
      </c>
      <c r="P178">
        <f>IF(D178="","",_CALC_MOTEUR!AF178)</f>
        <v/>
      </c>
      <c r="Q178">
        <f>IF(D178="","",_CALC_MOTEUR!AG178)</f>
        <v/>
      </c>
      <c r="R178">
        <f>IF(D178="","",_CALC_MOTEUR!AH178)</f>
        <v/>
      </c>
      <c r="S178">
        <f>IF(D178="","",R178-M178)</f>
        <v/>
      </c>
    </row>
    <row r="179">
      <c r="A179" s="1" t="inlineStr">
        <is>
          <t>2027BUD_V1</t>
        </is>
      </c>
      <c r="B179" s="1" t="inlineStr">
        <is>
          <t>V01</t>
        </is>
      </c>
      <c r="C179" s="1" t="inlineStr">
        <is>
          <t>12</t>
        </is>
      </c>
      <c r="D179" s="1" t="inlineStr">
        <is>
          <t>TUNON_LYO</t>
        </is>
      </c>
      <c r="E179" s="1" t="inlineStr">
        <is>
          <t>TUNON</t>
        </is>
      </c>
      <c r="F179" s="1" t="inlineStr">
        <is>
          <t>BAC_TOU</t>
        </is>
      </c>
      <c r="G179" s="1" t="inlineStr">
        <is>
          <t>B3</t>
        </is>
      </c>
      <c r="H179" s="1" t="inlineStr">
        <is>
          <t>ALT</t>
        </is>
      </c>
      <c r="I179" s="1" t="inlineStr">
        <is>
          <t>2027</t>
        </is>
      </c>
      <c r="J179" t="n">
        <v>0</v>
      </c>
      <c r="K179" t="n">
        <v>38.195</v>
      </c>
      <c r="L179" t="n">
        <v>7372.38075</v>
      </c>
      <c r="M179" t="n">
        <v>281588.08274625</v>
      </c>
      <c r="O179">
        <f>IF(D179="","",_CALC_MOTEUR!AE179)</f>
        <v/>
      </c>
      <c r="P179">
        <f>IF(D179="","",_CALC_MOTEUR!AF179)</f>
        <v/>
      </c>
      <c r="Q179">
        <f>IF(D179="","",_CALC_MOTEUR!AG179)</f>
        <v/>
      </c>
      <c r="R179">
        <f>IF(D179="","",_CALC_MOTEUR!AH179)</f>
        <v/>
      </c>
      <c r="S179">
        <f>IF(D179="","",R179-M179)</f>
        <v/>
      </c>
    </row>
    <row r="180">
      <c r="A180" s="1" t="inlineStr">
        <is>
          <t>2027BUD_V1</t>
        </is>
      </c>
      <c r="B180" s="1" t="inlineStr">
        <is>
          <t>V02</t>
        </is>
      </c>
      <c r="C180" s="1" t="inlineStr">
        <is>
          <t>12</t>
        </is>
      </c>
      <c r="D180" s="1" t="inlineStr">
        <is>
          <t>TUNON_LYO</t>
        </is>
      </c>
      <c r="E180" s="1" t="inlineStr">
        <is>
          <t>TUNON</t>
        </is>
      </c>
      <c r="F180" s="1" t="inlineStr">
        <is>
          <t>BAC_TOU</t>
        </is>
      </c>
      <c r="G180" s="1" t="inlineStr">
        <is>
          <t>B3</t>
        </is>
      </c>
      <c r="H180" s="1" t="inlineStr">
        <is>
          <t>ALT</t>
        </is>
      </c>
      <c r="I180" s="1" t="inlineStr">
        <is>
          <t>2027</t>
        </is>
      </c>
      <c r="J180" t="n">
        <v>0</v>
      </c>
      <c r="K180" t="n">
        <v>38.585</v>
      </c>
      <c r="L180" t="n">
        <v>7620.1125</v>
      </c>
      <c r="M180" t="n">
        <v>294022.0408125</v>
      </c>
      <c r="O180">
        <f>IF(D180="","",_CALC_MOTEUR!AE180)</f>
        <v/>
      </c>
      <c r="P180">
        <f>IF(D180="","",_CALC_MOTEUR!AF180)</f>
        <v/>
      </c>
      <c r="Q180">
        <f>IF(D180="","",_CALC_MOTEUR!AG180)</f>
        <v/>
      </c>
      <c r="R180">
        <f>IF(D180="","",_CALC_MOTEUR!AH180)</f>
        <v/>
      </c>
      <c r="S180">
        <f>IF(D180="","",R180-M180)</f>
        <v/>
      </c>
    </row>
    <row r="181">
      <c r="A181" s="1" t="inlineStr">
        <is>
          <t>2027BUD_V1</t>
        </is>
      </c>
      <c r="B181" s="1" t="inlineStr">
        <is>
          <t>V03</t>
        </is>
      </c>
      <c r="C181" s="1" t="inlineStr">
        <is>
          <t>12</t>
        </is>
      </c>
      <c r="D181" s="1" t="inlineStr">
        <is>
          <t>TUNON_LYO</t>
        </is>
      </c>
      <c r="E181" s="1" t="inlineStr">
        <is>
          <t>TUNON</t>
        </is>
      </c>
      <c r="F181" s="1" t="inlineStr">
        <is>
          <t>BAC_TOU</t>
        </is>
      </c>
      <c r="G181" s="1" t="inlineStr">
        <is>
          <t>B3</t>
        </is>
      </c>
      <c r="H181" s="1" t="inlineStr">
        <is>
          <t>ALT</t>
        </is>
      </c>
      <c r="I181" s="1" t="inlineStr">
        <is>
          <t>2027</t>
        </is>
      </c>
      <c r="J181" t="n">
        <v>0</v>
      </c>
      <c r="K181" t="n">
        <v>37.61</v>
      </c>
      <c r="L181" t="n">
        <v>7504.35</v>
      </c>
      <c r="M181" t="n">
        <v>282238.6035</v>
      </c>
      <c r="O181">
        <f>IF(D181="","",_CALC_MOTEUR!AE181)</f>
        <v/>
      </c>
      <c r="P181">
        <f>IF(D181="","",_CALC_MOTEUR!AF181)</f>
        <v/>
      </c>
      <c r="Q181">
        <f>IF(D181="","",_CALC_MOTEUR!AG181)</f>
        <v/>
      </c>
      <c r="R181">
        <f>IF(D181="","",_CALC_MOTEUR!AH181)</f>
        <v/>
      </c>
      <c r="S181">
        <f>IF(D181="","",R181-M181)</f>
        <v/>
      </c>
    </row>
    <row r="182">
      <c r="O182">
        <f>IF(D182="","",_CALC_MOTEUR!AE182)</f>
        <v/>
      </c>
      <c r="P182">
        <f>IF(D182="","",_CALC_MOTEUR!AF182)</f>
        <v/>
      </c>
      <c r="Q182">
        <f>IF(D182="","",_CALC_MOTEUR!AG182)</f>
        <v/>
      </c>
      <c r="R182">
        <f>IF(D182="","",_CALC_MOTEUR!AH182)</f>
        <v/>
      </c>
      <c r="S182">
        <f>IF(D182="","",R182-M182)</f>
        <v/>
      </c>
    </row>
    <row r="183">
      <c r="O183">
        <f>IF(D183="","",_CALC_MOTEUR!AE183)</f>
        <v/>
      </c>
      <c r="P183">
        <f>IF(D183="","",_CALC_MOTEUR!AF183)</f>
        <v/>
      </c>
      <c r="Q183">
        <f>IF(D183="","",_CALC_MOTEUR!AG183)</f>
        <v/>
      </c>
      <c r="R183">
        <f>IF(D183="","",_CALC_MOTEUR!AH183)</f>
        <v/>
      </c>
      <c r="S183">
        <f>IF(D183="","",R183-M183)</f>
        <v/>
      </c>
    </row>
    <row r="184">
      <c r="O184">
        <f>IF(D184="","",_CALC_MOTEUR!AE184)</f>
        <v/>
      </c>
      <c r="P184">
        <f>IF(D184="","",_CALC_MOTEUR!AF184)</f>
        <v/>
      </c>
      <c r="Q184">
        <f>IF(D184="","",_CALC_MOTEUR!AG184)</f>
        <v/>
      </c>
      <c r="R184">
        <f>IF(D184="","",_CALC_MOTEUR!AH184)</f>
        <v/>
      </c>
      <c r="S184">
        <f>IF(D184="","",R184-M184)</f>
        <v/>
      </c>
    </row>
    <row r="185">
      <c r="O185">
        <f>IF(D185="","",_CALC_MOTEUR!AE185)</f>
        <v/>
      </c>
      <c r="P185">
        <f>IF(D185="","",_CALC_MOTEUR!AF185)</f>
        <v/>
      </c>
      <c r="Q185">
        <f>IF(D185="","",_CALC_MOTEUR!AG185)</f>
        <v/>
      </c>
      <c r="R185">
        <f>IF(D185="","",_CALC_MOTEUR!AH185)</f>
        <v/>
      </c>
      <c r="S185">
        <f>IF(D185="","",R185-M185)</f>
        <v/>
      </c>
    </row>
    <row r="186">
      <c r="O186">
        <f>IF(D186="","",_CALC_MOTEUR!AE186)</f>
        <v/>
      </c>
      <c r="P186">
        <f>IF(D186="","",_CALC_MOTEUR!AF186)</f>
        <v/>
      </c>
      <c r="Q186">
        <f>IF(D186="","",_CALC_MOTEUR!AG186)</f>
        <v/>
      </c>
      <c r="R186">
        <f>IF(D186="","",_CALC_MOTEUR!AH186)</f>
        <v/>
      </c>
      <c r="S186">
        <f>IF(D186="","",R186-M186)</f>
        <v/>
      </c>
    </row>
    <row r="187">
      <c r="O187">
        <f>IF(D187="","",_CALC_MOTEUR!AE187)</f>
        <v/>
      </c>
      <c r="P187">
        <f>IF(D187="","",_CALC_MOTEUR!AF187)</f>
        <v/>
      </c>
      <c r="Q187">
        <f>IF(D187="","",_CALC_MOTEUR!AG187)</f>
        <v/>
      </c>
      <c r="R187">
        <f>IF(D187="","",_CALC_MOTEUR!AH187)</f>
        <v/>
      </c>
      <c r="S187">
        <f>IF(D187="","",R187-M187)</f>
        <v/>
      </c>
    </row>
    <row r="188">
      <c r="O188">
        <f>IF(D188="","",_CALC_MOTEUR!AE188)</f>
        <v/>
      </c>
      <c r="P188">
        <f>IF(D188="","",_CALC_MOTEUR!AF188)</f>
        <v/>
      </c>
      <c r="Q188">
        <f>IF(D188="","",_CALC_MOTEUR!AG188)</f>
        <v/>
      </c>
      <c r="R188">
        <f>IF(D188="","",_CALC_MOTEUR!AH188)</f>
        <v/>
      </c>
      <c r="S188">
        <f>IF(D188="","",R188-M188)</f>
        <v/>
      </c>
    </row>
    <row r="189">
      <c r="O189">
        <f>IF(D189="","",_CALC_MOTEUR!AE189)</f>
        <v/>
      </c>
      <c r="P189">
        <f>IF(D189="","",_CALC_MOTEUR!AF189)</f>
        <v/>
      </c>
      <c r="Q189">
        <f>IF(D189="","",_CALC_MOTEUR!AG189)</f>
        <v/>
      </c>
      <c r="R189">
        <f>IF(D189="","",_CALC_MOTEUR!AH189)</f>
        <v/>
      </c>
      <c r="S189">
        <f>IF(D189="","",R189-M189)</f>
        <v/>
      </c>
    </row>
    <row r="190">
      <c r="O190">
        <f>IF(D190="","",_CALC_MOTEUR!AE190)</f>
        <v/>
      </c>
      <c r="P190">
        <f>IF(D190="","",_CALC_MOTEUR!AF190)</f>
        <v/>
      </c>
      <c r="Q190">
        <f>IF(D190="","",_CALC_MOTEUR!AG190)</f>
        <v/>
      </c>
      <c r="R190">
        <f>IF(D190="","",_CALC_MOTEUR!AH190)</f>
        <v/>
      </c>
      <c r="S190">
        <f>IF(D190="","",R190-M190)</f>
        <v/>
      </c>
    </row>
    <row r="191">
      <c r="O191">
        <f>IF(D191="","",_CALC_MOTEUR!AE191)</f>
        <v/>
      </c>
      <c r="P191">
        <f>IF(D191="","",_CALC_MOTEUR!AF191)</f>
        <v/>
      </c>
      <c r="Q191">
        <f>IF(D191="","",_CALC_MOTEUR!AG191)</f>
        <v/>
      </c>
      <c r="R191">
        <f>IF(D191="","",_CALC_MOTEUR!AH191)</f>
        <v/>
      </c>
      <c r="S191">
        <f>IF(D191="","",R191-M191)</f>
        <v/>
      </c>
    </row>
    <row r="192">
      <c r="O192">
        <f>IF(D192="","",_CALC_MOTEUR!AE192)</f>
        <v/>
      </c>
      <c r="P192">
        <f>IF(D192="","",_CALC_MOTEUR!AF192)</f>
        <v/>
      </c>
      <c r="Q192">
        <f>IF(D192="","",_CALC_MOTEUR!AG192)</f>
        <v/>
      </c>
      <c r="R192">
        <f>IF(D192="","",_CALC_MOTEUR!AH192)</f>
        <v/>
      </c>
      <c r="S192">
        <f>IF(D192="","",R192-M192)</f>
        <v/>
      </c>
    </row>
    <row r="193">
      <c r="O193">
        <f>IF(D193="","",_CALC_MOTEUR!AE193)</f>
        <v/>
      </c>
      <c r="P193">
        <f>IF(D193="","",_CALC_MOTEUR!AF193)</f>
        <v/>
      </c>
      <c r="Q193">
        <f>IF(D193="","",_CALC_MOTEUR!AG193)</f>
        <v/>
      </c>
      <c r="R193">
        <f>IF(D193="","",_CALC_MOTEUR!AH193)</f>
        <v/>
      </c>
      <c r="S193">
        <f>IF(D193="","",R193-M193)</f>
        <v/>
      </c>
    </row>
    <row r="194">
      <c r="O194">
        <f>IF(D194="","",_CALC_MOTEUR!AE194)</f>
        <v/>
      </c>
      <c r="P194">
        <f>IF(D194="","",_CALC_MOTEUR!AF194)</f>
        <v/>
      </c>
      <c r="Q194">
        <f>IF(D194="","",_CALC_MOTEUR!AG194)</f>
        <v/>
      </c>
      <c r="R194">
        <f>IF(D194="","",_CALC_MOTEUR!AH194)</f>
        <v/>
      </c>
      <c r="S194">
        <f>IF(D194="","",R194-M194)</f>
        <v/>
      </c>
    </row>
    <row r="195">
      <c r="O195">
        <f>IF(D195="","",_CALC_MOTEUR!AE195)</f>
        <v/>
      </c>
      <c r="P195">
        <f>IF(D195="","",_CALC_MOTEUR!AF195)</f>
        <v/>
      </c>
      <c r="Q195">
        <f>IF(D195="","",_CALC_MOTEUR!AG195)</f>
        <v/>
      </c>
      <c r="R195">
        <f>IF(D195="","",_CALC_MOTEUR!AH195)</f>
        <v/>
      </c>
      <c r="S195">
        <f>IF(D195="","",R195-M195)</f>
        <v/>
      </c>
    </row>
    <row r="196">
      <c r="O196">
        <f>IF(D196="","",_CALC_MOTEUR!AE196)</f>
        <v/>
      </c>
      <c r="P196">
        <f>IF(D196="","",_CALC_MOTEUR!AF196)</f>
        <v/>
      </c>
      <c r="Q196">
        <f>IF(D196="","",_CALC_MOTEUR!AG196)</f>
        <v/>
      </c>
      <c r="R196">
        <f>IF(D196="","",_CALC_MOTEUR!AH196)</f>
        <v/>
      </c>
      <c r="S196">
        <f>IF(D196="","",R196-M196)</f>
        <v/>
      </c>
    </row>
    <row r="197">
      <c r="O197">
        <f>IF(D197="","",_CALC_MOTEUR!AE197)</f>
        <v/>
      </c>
      <c r="P197">
        <f>IF(D197="","",_CALC_MOTEUR!AF197)</f>
        <v/>
      </c>
      <c r="Q197">
        <f>IF(D197="","",_CALC_MOTEUR!AG197)</f>
        <v/>
      </c>
      <c r="R197">
        <f>IF(D197="","",_CALC_MOTEUR!AH197)</f>
        <v/>
      </c>
      <c r="S197">
        <f>IF(D197="","",R197-M197)</f>
        <v/>
      </c>
    </row>
    <row r="198">
      <c r="O198">
        <f>IF(D198="","",_CALC_MOTEUR!AE198)</f>
        <v/>
      </c>
      <c r="P198">
        <f>IF(D198="","",_CALC_MOTEUR!AF198)</f>
        <v/>
      </c>
      <c r="Q198">
        <f>IF(D198="","",_CALC_MOTEUR!AG198)</f>
        <v/>
      </c>
      <c r="R198">
        <f>IF(D198="","",_CALC_MOTEUR!AH198)</f>
        <v/>
      </c>
      <c r="S198">
        <f>IF(D198="","",R198-M198)</f>
        <v/>
      </c>
    </row>
    <row r="199">
      <c r="O199">
        <f>IF(D199="","",_CALC_MOTEUR!AE199)</f>
        <v/>
      </c>
      <c r="P199">
        <f>IF(D199="","",_CALC_MOTEUR!AF199)</f>
        <v/>
      </c>
      <c r="Q199">
        <f>IF(D199="","",_CALC_MOTEUR!AG199)</f>
        <v/>
      </c>
      <c r="R199">
        <f>IF(D199="","",_CALC_MOTEUR!AH199)</f>
        <v/>
      </c>
      <c r="S199">
        <f>IF(D199="","",R199-M199)</f>
        <v/>
      </c>
    </row>
    <row r="200">
      <c r="O200">
        <f>IF(D200="","",_CALC_MOTEUR!AE200)</f>
        <v/>
      </c>
      <c r="P200">
        <f>IF(D200="","",_CALC_MOTEUR!AF200)</f>
        <v/>
      </c>
      <c r="Q200">
        <f>IF(D200="","",_CALC_MOTEUR!AG200)</f>
        <v/>
      </c>
      <c r="R200">
        <f>IF(D200="","",_CALC_MOTEUR!AH200)</f>
        <v/>
      </c>
      <c r="S200">
        <f>IF(D200="","",R200-M200)</f>
        <v/>
      </c>
    </row>
    <row r="201">
      <c r="O201">
        <f>IF(D201="","",_CALC_MOTEUR!AE201)</f>
        <v/>
      </c>
      <c r="P201">
        <f>IF(D201="","",_CALC_MOTEUR!AF201)</f>
        <v/>
      </c>
      <c r="Q201">
        <f>IF(D201="","",_CALC_MOTEUR!AG201)</f>
        <v/>
      </c>
      <c r="R201">
        <f>IF(D201="","",_CALC_MOTEUR!AH201)</f>
        <v/>
      </c>
      <c r="S201">
        <f>IF(D201="","",R201-M201)</f>
        <v/>
      </c>
    </row>
    <row r="202">
      <c r="O202">
        <f>IF(D202="","",_CALC_MOTEUR!AE202)</f>
        <v/>
      </c>
      <c r="P202">
        <f>IF(D202="","",_CALC_MOTEUR!AF202)</f>
        <v/>
      </c>
      <c r="Q202">
        <f>IF(D202="","",_CALC_MOTEUR!AG202)</f>
        <v/>
      </c>
      <c r="R202">
        <f>IF(D202="","",_CALC_MOTEUR!AH202)</f>
        <v/>
      </c>
      <c r="S202">
        <f>IF(D202="","",R202-M202)</f>
        <v/>
      </c>
    </row>
    <row r="203">
      <c r="O203">
        <f>IF(D203="","",_CALC_MOTEUR!AE203)</f>
        <v/>
      </c>
      <c r="P203">
        <f>IF(D203="","",_CALC_MOTEUR!AF203)</f>
        <v/>
      </c>
      <c r="Q203">
        <f>IF(D203="","",_CALC_MOTEUR!AG203)</f>
        <v/>
      </c>
      <c r="R203">
        <f>IF(D203="","",_CALC_MOTEUR!AH203)</f>
        <v/>
      </c>
      <c r="S203">
        <f>IF(D203="","",R203-M203)</f>
        <v/>
      </c>
    </row>
    <row r="204">
      <c r="O204">
        <f>IF(D204="","",_CALC_MOTEUR!AE204)</f>
        <v/>
      </c>
      <c r="P204">
        <f>IF(D204="","",_CALC_MOTEUR!AF204)</f>
        <v/>
      </c>
      <c r="Q204">
        <f>IF(D204="","",_CALC_MOTEUR!AG204)</f>
        <v/>
      </c>
      <c r="R204">
        <f>IF(D204="","",_CALC_MOTEUR!AH204)</f>
        <v/>
      </c>
      <c r="S204">
        <f>IF(D204="","",R204-M204)</f>
        <v/>
      </c>
    </row>
    <row r="205">
      <c r="O205">
        <f>IF(D205="","",_CALC_MOTEUR!AE205)</f>
        <v/>
      </c>
      <c r="P205">
        <f>IF(D205="","",_CALC_MOTEUR!AF205)</f>
        <v/>
      </c>
      <c r="Q205">
        <f>IF(D205="","",_CALC_MOTEUR!AG205)</f>
        <v/>
      </c>
      <c r="R205">
        <f>IF(D205="","",_CALC_MOTEUR!AH205)</f>
        <v/>
      </c>
      <c r="S205">
        <f>IF(D205="","",R205-M205)</f>
        <v/>
      </c>
    </row>
    <row r="206">
      <c r="O206">
        <f>IF(D206="","",_CALC_MOTEUR!AE206)</f>
        <v/>
      </c>
      <c r="P206">
        <f>IF(D206="","",_CALC_MOTEUR!AF206)</f>
        <v/>
      </c>
      <c r="Q206">
        <f>IF(D206="","",_CALC_MOTEUR!AG206)</f>
        <v/>
      </c>
      <c r="R206">
        <f>IF(D206="","",_CALC_MOTEUR!AH206)</f>
        <v/>
      </c>
      <c r="S206">
        <f>IF(D206="","",R206-M206)</f>
        <v/>
      </c>
    </row>
    <row r="207">
      <c r="O207">
        <f>IF(D207="","",_CALC_MOTEUR!AE207)</f>
        <v/>
      </c>
      <c r="P207">
        <f>IF(D207="","",_CALC_MOTEUR!AF207)</f>
        <v/>
      </c>
      <c r="Q207">
        <f>IF(D207="","",_CALC_MOTEUR!AG207)</f>
        <v/>
      </c>
      <c r="R207">
        <f>IF(D207="","",_CALC_MOTEUR!AH207)</f>
        <v/>
      </c>
      <c r="S207">
        <f>IF(D207="","",R207-M207)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10" defaultRowHeight="14.25"/>
  <sheetData>
    <row r="1">
      <c r="A1" s="1" t="inlineStr">
        <is>
          <t>Entity</t>
        </is>
      </c>
      <c r="B1" s="1" t="inlineStr">
        <is>
          <t>Account</t>
        </is>
      </c>
      <c r="C1" s="1" t="inlineStr">
        <is>
          <t>EXERCICE</t>
        </is>
      </c>
      <c r="D1" s="1" t="inlineStr">
        <is>
          <t>Scenario</t>
        </is>
      </c>
      <c r="E1" s="1" t="inlineStr">
        <is>
          <t>Period</t>
        </is>
      </c>
      <c r="F1" s="1" t="inlineStr">
        <is>
          <t>Amount</t>
        </is>
      </c>
    </row>
    <row r="2">
      <c r="A2" s="1" t="inlineStr">
        <is>
          <t>MBWAY_PAR</t>
        </is>
      </c>
      <c r="B2" s="1" t="inlineStr">
        <is>
          <t>7062</t>
        </is>
      </c>
      <c r="C2" s="1" t="inlineStr">
        <is>
          <t>2024</t>
        </is>
      </c>
      <c r="D2" s="1" t="inlineStr">
        <is>
          <t>2027BUD_V1</t>
        </is>
      </c>
      <c r="E2" s="1" t="inlineStr">
        <is>
          <t>12</t>
        </is>
      </c>
      <c r="F2" t="n">
        <v>2197935</v>
      </c>
    </row>
    <row r="3">
      <c r="A3" s="1" t="inlineStr">
        <is>
          <t>MBWAY_LYO</t>
        </is>
      </c>
      <c r="B3" s="1" t="inlineStr">
        <is>
          <t>7062</t>
        </is>
      </c>
      <c r="C3" s="1" t="inlineStr">
        <is>
          <t>2024</t>
        </is>
      </c>
      <c r="D3" s="1" t="inlineStr">
        <is>
          <t>2027BUD_V1</t>
        </is>
      </c>
      <c r="E3" s="1" t="inlineStr">
        <is>
          <t>12</t>
        </is>
      </c>
      <c r="F3" t="n">
        <v>1748910</v>
      </c>
    </row>
    <row r="4">
      <c r="A4" s="1" t="inlineStr">
        <is>
          <t>MBWAY_NAN</t>
        </is>
      </c>
      <c r="B4" s="1" t="inlineStr">
        <is>
          <t>7062</t>
        </is>
      </c>
      <c r="C4" s="1" t="inlineStr">
        <is>
          <t>2024</t>
        </is>
      </c>
      <c r="D4" s="1" t="inlineStr">
        <is>
          <t>2027BUD_V1</t>
        </is>
      </c>
      <c r="E4" s="1" t="inlineStr">
        <is>
          <t>12</t>
        </is>
      </c>
      <c r="F4" t="n">
        <v>1510769</v>
      </c>
    </row>
    <row r="5">
      <c r="A5" s="1" t="inlineStr">
        <is>
          <t>MBWAY_BOR</t>
        </is>
      </c>
      <c r="B5" s="1" t="inlineStr">
        <is>
          <t>7062</t>
        </is>
      </c>
      <c r="C5" s="1" t="inlineStr">
        <is>
          <t>2024</t>
        </is>
      </c>
      <c r="D5" s="1" t="inlineStr">
        <is>
          <t>2027BUD_V1</t>
        </is>
      </c>
      <c r="E5" s="1" t="inlineStr">
        <is>
          <t>12</t>
        </is>
      </c>
      <c r="F5" t="n">
        <v>1240125</v>
      </c>
    </row>
    <row r="6">
      <c r="A6" s="1" t="inlineStr">
        <is>
          <t>ISCOM_PAR</t>
        </is>
      </c>
      <c r="B6" s="1" t="inlineStr">
        <is>
          <t>7062</t>
        </is>
      </c>
      <c r="C6" s="1" t="inlineStr">
        <is>
          <t>2024</t>
        </is>
      </c>
      <c r="D6" s="1" t="inlineStr">
        <is>
          <t>2027BUD_V1</t>
        </is>
      </c>
      <c r="E6" s="1" t="inlineStr">
        <is>
          <t>12</t>
        </is>
      </c>
      <c r="F6" t="n">
        <v>2038946</v>
      </c>
    </row>
    <row r="7">
      <c r="A7" s="1" t="inlineStr">
        <is>
          <t>ISCOM_LIL</t>
        </is>
      </c>
      <c r="B7" s="1" t="inlineStr">
        <is>
          <t>7062</t>
        </is>
      </c>
      <c r="C7" s="1" t="inlineStr">
        <is>
          <t>2024</t>
        </is>
      </c>
      <c r="D7" s="1" t="inlineStr">
        <is>
          <t>2027BUD_V1</t>
        </is>
      </c>
      <c r="E7" s="1" t="inlineStr">
        <is>
          <t>12</t>
        </is>
      </c>
      <c r="F7" t="n">
        <v>1227617</v>
      </c>
    </row>
    <row r="8">
      <c r="A8" s="1" t="inlineStr">
        <is>
          <t>ISCOM_TLS</t>
        </is>
      </c>
      <c r="B8" s="1" t="inlineStr">
        <is>
          <t>7062</t>
        </is>
      </c>
      <c r="C8" s="1" t="inlineStr">
        <is>
          <t>2024</t>
        </is>
      </c>
      <c r="D8" s="1" t="inlineStr">
        <is>
          <t>2027BUD_V1</t>
        </is>
      </c>
      <c r="E8" s="1" t="inlineStr">
        <is>
          <t>12</t>
        </is>
      </c>
      <c r="F8" t="n">
        <v>1140192</v>
      </c>
    </row>
    <row r="9">
      <c r="A9" s="1" t="inlineStr">
        <is>
          <t>IPAC_NAN</t>
        </is>
      </c>
      <c r="B9" s="1" t="inlineStr">
        <is>
          <t>7062</t>
        </is>
      </c>
      <c r="C9" s="1" t="inlineStr">
        <is>
          <t>2024</t>
        </is>
      </c>
      <c r="D9" s="1" t="inlineStr">
        <is>
          <t>2027BUD_V1</t>
        </is>
      </c>
      <c r="E9" s="1" t="inlineStr">
        <is>
          <t>12</t>
        </is>
      </c>
      <c r="F9" t="n">
        <v>903346</v>
      </c>
    </row>
    <row r="10">
      <c r="A10" s="1" t="inlineStr">
        <is>
          <t>IPAC_REN</t>
        </is>
      </c>
      <c r="B10" s="1" t="inlineStr">
        <is>
          <t>7062</t>
        </is>
      </c>
      <c r="C10" s="1" t="inlineStr">
        <is>
          <t>2024</t>
        </is>
      </c>
      <c r="D10" s="1" t="inlineStr">
        <is>
          <t>2027BUD_V1</t>
        </is>
      </c>
      <c r="E10" s="1" t="inlineStr">
        <is>
          <t>12</t>
        </is>
      </c>
      <c r="F10" t="n">
        <v>692462</v>
      </c>
    </row>
    <row r="11">
      <c r="A11" s="1" t="inlineStr">
        <is>
          <t>IPAC_MTP</t>
        </is>
      </c>
      <c r="B11" s="1" t="inlineStr">
        <is>
          <t>7062</t>
        </is>
      </c>
      <c r="C11" s="1" t="inlineStr">
        <is>
          <t>2024</t>
        </is>
      </c>
      <c r="D11" s="1" t="inlineStr">
        <is>
          <t>2027BUD_V1</t>
        </is>
      </c>
      <c r="E11" s="1" t="inlineStr">
        <is>
          <t>12</t>
        </is>
      </c>
      <c r="F11" t="n">
        <v>692462</v>
      </c>
    </row>
    <row r="12">
      <c r="A12" s="1" t="inlineStr">
        <is>
          <t>TUNON_PAR</t>
        </is>
      </c>
      <c r="B12" s="1" t="inlineStr">
        <is>
          <t>7062</t>
        </is>
      </c>
      <c r="C12" s="1" t="inlineStr">
        <is>
          <t>2024</t>
        </is>
      </c>
      <c r="D12" s="1" t="inlineStr">
        <is>
          <t>2027BUD_V1</t>
        </is>
      </c>
      <c r="E12" s="1" t="inlineStr">
        <is>
          <t>12</t>
        </is>
      </c>
      <c r="F12" t="n">
        <v>962905</v>
      </c>
    </row>
    <row r="13">
      <c r="A13" s="1" t="inlineStr">
        <is>
          <t>TUNON_LYO</t>
        </is>
      </c>
      <c r="B13" s="1" t="inlineStr">
        <is>
          <t>7062</t>
        </is>
      </c>
      <c r="C13" s="1" t="inlineStr">
        <is>
          <t>2024</t>
        </is>
      </c>
      <c r="D13" s="1" t="inlineStr">
        <is>
          <t>2027BUD_V1</t>
        </is>
      </c>
      <c r="E13" s="1" t="inlineStr">
        <is>
          <t>12</t>
        </is>
      </c>
      <c r="F13" t="n">
        <v>765352</v>
      </c>
    </row>
    <row r="14">
      <c r="A14" s="1" t="inlineStr">
        <is>
          <t>MBWAY_PAR</t>
        </is>
      </c>
      <c r="B14" s="1" t="inlineStr">
        <is>
          <t>7062</t>
        </is>
      </c>
      <c r="C14" s="1" t="inlineStr">
        <is>
          <t>2025</t>
        </is>
      </c>
      <c r="D14" s="1" t="inlineStr">
        <is>
          <t>2027BUD_V1</t>
        </is>
      </c>
      <c r="E14" s="1" t="inlineStr">
        <is>
          <t>12</t>
        </is>
      </c>
      <c r="F14" t="n">
        <v>2329811</v>
      </c>
    </row>
    <row r="15">
      <c r="A15" s="1" t="inlineStr">
        <is>
          <t>MBWAY_LYO</t>
        </is>
      </c>
      <c r="B15" s="1" t="inlineStr">
        <is>
          <t>7062</t>
        </is>
      </c>
      <c r="C15" s="1" t="inlineStr">
        <is>
          <t>2025</t>
        </is>
      </c>
      <c r="D15" s="1" t="inlineStr">
        <is>
          <t>2027BUD_V1</t>
        </is>
      </c>
      <c r="E15" s="1" t="inlineStr">
        <is>
          <t>12</t>
        </is>
      </c>
      <c r="F15" t="n">
        <v>1853844</v>
      </c>
    </row>
    <row r="16">
      <c r="A16" s="1" t="inlineStr">
        <is>
          <t>MBWAY_NAN</t>
        </is>
      </c>
      <c r="B16" s="1" t="inlineStr">
        <is>
          <t>7062</t>
        </is>
      </c>
      <c r="C16" s="1" t="inlineStr">
        <is>
          <t>2025</t>
        </is>
      </c>
      <c r="D16" s="1" t="inlineStr">
        <is>
          <t>2027BUD_V1</t>
        </is>
      </c>
      <c r="E16" s="1" t="inlineStr">
        <is>
          <t>12</t>
        </is>
      </c>
      <c r="F16" t="n">
        <v>1601415</v>
      </c>
    </row>
    <row r="17">
      <c r="A17" s="1" t="inlineStr">
        <is>
          <t>MBWAY_BOR</t>
        </is>
      </c>
      <c r="B17" s="1" t="inlineStr">
        <is>
          <t>7062</t>
        </is>
      </c>
      <c r="C17" s="1" t="inlineStr">
        <is>
          <t>2025</t>
        </is>
      </c>
      <c r="D17" s="1" t="inlineStr">
        <is>
          <t>2027BUD_V1</t>
        </is>
      </c>
      <c r="E17" s="1" t="inlineStr">
        <is>
          <t>12</t>
        </is>
      </c>
      <c r="F17" t="n">
        <v>1314533</v>
      </c>
    </row>
    <row r="18">
      <c r="A18" s="1" t="inlineStr">
        <is>
          <t>ISCOM_PAR</t>
        </is>
      </c>
      <c r="B18" s="1" t="inlineStr">
        <is>
          <t>7062</t>
        </is>
      </c>
      <c r="C18" s="1" t="inlineStr">
        <is>
          <t>2025</t>
        </is>
      </c>
      <c r="D18" s="1" t="inlineStr">
        <is>
          <t>2027BUD_V1</t>
        </is>
      </c>
      <c r="E18" s="1" t="inlineStr">
        <is>
          <t>12</t>
        </is>
      </c>
      <c r="F18" t="n">
        <v>2161283</v>
      </c>
    </row>
    <row r="19">
      <c r="A19" s="1" t="inlineStr">
        <is>
          <t>ISCOM_LIL</t>
        </is>
      </c>
      <c r="B19" s="1" t="inlineStr">
        <is>
          <t>7062</t>
        </is>
      </c>
      <c r="C19" s="1" t="inlineStr">
        <is>
          <t>2025</t>
        </is>
      </c>
      <c r="D19" s="1" t="inlineStr">
        <is>
          <t>2027BUD_V1</t>
        </is>
      </c>
      <c r="E19" s="1" t="inlineStr">
        <is>
          <t>12</t>
        </is>
      </c>
      <c r="F19" t="n">
        <v>1301274</v>
      </c>
    </row>
    <row r="20">
      <c r="A20" s="1" t="inlineStr">
        <is>
          <t>ISCOM_TLS</t>
        </is>
      </c>
      <c r="B20" s="1" t="inlineStr">
        <is>
          <t>7062</t>
        </is>
      </c>
      <c r="C20" s="1" t="inlineStr">
        <is>
          <t>2025</t>
        </is>
      </c>
      <c r="D20" s="1" t="inlineStr">
        <is>
          <t>2027BUD_V1</t>
        </is>
      </c>
      <c r="E20" s="1" t="inlineStr">
        <is>
          <t>12</t>
        </is>
      </c>
      <c r="F20" t="n">
        <v>1208604</v>
      </c>
    </row>
    <row r="21">
      <c r="A21" s="1" t="inlineStr">
        <is>
          <t>IPAC_NAN</t>
        </is>
      </c>
      <c r="B21" s="1" t="inlineStr">
        <is>
          <t>7062</t>
        </is>
      </c>
      <c r="C21" s="1" t="inlineStr">
        <is>
          <t>2025</t>
        </is>
      </c>
      <c r="D21" s="1" t="inlineStr">
        <is>
          <t>2027BUD_V1</t>
        </is>
      </c>
      <c r="E21" s="1" t="inlineStr">
        <is>
          <t>12</t>
        </is>
      </c>
      <c r="F21" t="n">
        <v>957547</v>
      </c>
    </row>
    <row r="22">
      <c r="A22" s="1" t="inlineStr">
        <is>
          <t>IPAC_REN</t>
        </is>
      </c>
      <c r="B22" s="1" t="inlineStr">
        <is>
          <t>7062</t>
        </is>
      </c>
      <c r="C22" s="1" t="inlineStr">
        <is>
          <t>2025</t>
        </is>
      </c>
      <c r="D22" s="1" t="inlineStr">
        <is>
          <t>2027BUD_V1</t>
        </is>
      </c>
      <c r="E22" s="1" t="inlineStr">
        <is>
          <t>12</t>
        </is>
      </c>
      <c r="F22" t="n">
        <v>734009</v>
      </c>
    </row>
    <row r="23">
      <c r="A23" s="1" t="inlineStr">
        <is>
          <t>IPAC_MTP</t>
        </is>
      </c>
      <c r="B23" s="1" t="inlineStr">
        <is>
          <t>7062</t>
        </is>
      </c>
      <c r="C23" s="1" t="inlineStr">
        <is>
          <t>2025</t>
        </is>
      </c>
      <c r="D23" s="1" t="inlineStr">
        <is>
          <t>2027BUD_V1</t>
        </is>
      </c>
      <c r="E23" s="1" t="inlineStr">
        <is>
          <t>12</t>
        </is>
      </c>
      <c r="F23" t="n">
        <v>734009</v>
      </c>
    </row>
    <row r="24">
      <c r="A24" s="1" t="inlineStr">
        <is>
          <t>TUNON_PAR</t>
        </is>
      </c>
      <c r="B24" s="1" t="inlineStr">
        <is>
          <t>7062</t>
        </is>
      </c>
      <c r="C24" s="1" t="inlineStr">
        <is>
          <t>2025</t>
        </is>
      </c>
      <c r="D24" s="1" t="inlineStr">
        <is>
          <t>2027BUD_V1</t>
        </is>
      </c>
      <c r="E24" s="1" t="inlineStr">
        <is>
          <t>12</t>
        </is>
      </c>
      <c r="F24" t="n">
        <v>1020679</v>
      </c>
    </row>
    <row r="25">
      <c r="A25" s="1" t="inlineStr">
        <is>
          <t>TUNON_LYO</t>
        </is>
      </c>
      <c r="B25" s="1" t="inlineStr">
        <is>
          <t>7062</t>
        </is>
      </c>
      <c r="C25" s="1" t="inlineStr">
        <is>
          <t>2025</t>
        </is>
      </c>
      <c r="D25" s="1" t="inlineStr">
        <is>
          <t>2027BUD_V1</t>
        </is>
      </c>
      <c r="E25" s="1" t="inlineStr">
        <is>
          <t>12</t>
        </is>
      </c>
      <c r="F25" t="n">
        <v>811274</v>
      </c>
    </row>
    <row r="26">
      <c r="A26" s="1" t="inlineStr">
        <is>
          <t>MBWAY_PAR</t>
        </is>
      </c>
      <c r="B26" s="1" t="inlineStr">
        <is>
          <t>7062</t>
        </is>
      </c>
      <c r="C26" s="1" t="inlineStr">
        <is>
          <t>2026</t>
        </is>
      </c>
      <c r="D26" s="1" t="inlineStr">
        <is>
          <t>2027BUD_V1</t>
        </is>
      </c>
      <c r="E26" s="1" t="inlineStr">
        <is>
          <t>12</t>
        </is>
      </c>
      <c r="F26" t="n">
        <v>2469600</v>
      </c>
    </row>
    <row r="27">
      <c r="A27" s="1" t="inlineStr">
        <is>
          <t>MBWAY_LYO</t>
        </is>
      </c>
      <c r="B27" s="1" t="inlineStr">
        <is>
          <t>7062</t>
        </is>
      </c>
      <c r="C27" s="1" t="inlineStr">
        <is>
          <t>2026</t>
        </is>
      </c>
      <c r="D27" s="1" t="inlineStr">
        <is>
          <t>2027BUD_V1</t>
        </is>
      </c>
      <c r="E27" s="1" t="inlineStr">
        <is>
          <t>12</t>
        </is>
      </c>
      <c r="F27" t="n">
        <v>1965075</v>
      </c>
    </row>
    <row r="28">
      <c r="A28" s="1" t="inlineStr">
        <is>
          <t>MBWAY_NAN</t>
        </is>
      </c>
      <c r="B28" s="1" t="inlineStr">
        <is>
          <t>7062</t>
        </is>
      </c>
      <c r="C28" s="1" t="inlineStr">
        <is>
          <t>2026</t>
        </is>
      </c>
      <c r="D28" s="1" t="inlineStr">
        <is>
          <t>2027BUD_V1</t>
        </is>
      </c>
      <c r="E28" s="1" t="inlineStr">
        <is>
          <t>12</t>
        </is>
      </c>
      <c r="F28" t="n">
        <v>1697500</v>
      </c>
    </row>
    <row r="29">
      <c r="A29" s="1" t="inlineStr">
        <is>
          <t>MBWAY_BOR</t>
        </is>
      </c>
      <c r="B29" s="1" t="inlineStr">
        <is>
          <t>7062</t>
        </is>
      </c>
      <c r="C29" s="1" t="inlineStr">
        <is>
          <t>2026</t>
        </is>
      </c>
      <c r="D29" s="1" t="inlineStr">
        <is>
          <t>2027BUD_V1</t>
        </is>
      </c>
      <c r="E29" s="1" t="inlineStr">
        <is>
          <t>12</t>
        </is>
      </c>
      <c r="F29" t="n">
        <v>1393405</v>
      </c>
    </row>
    <row r="30">
      <c r="A30" s="1" t="inlineStr">
        <is>
          <t>ISCOM_PAR</t>
        </is>
      </c>
      <c r="B30" s="1" t="inlineStr">
        <is>
          <t>7062</t>
        </is>
      </c>
      <c r="C30" s="1" t="inlineStr">
        <is>
          <t>2026</t>
        </is>
      </c>
      <c r="D30" s="1" t="inlineStr">
        <is>
          <t>2027BUD_V1</t>
        </is>
      </c>
      <c r="E30" s="1" t="inlineStr">
        <is>
          <t>12</t>
        </is>
      </c>
      <c r="F30" t="n">
        <v>2290960</v>
      </c>
    </row>
    <row r="31">
      <c r="A31" s="1" t="inlineStr">
        <is>
          <t>ISCOM_LIL</t>
        </is>
      </c>
      <c r="B31" s="1" t="inlineStr">
        <is>
          <t>7062</t>
        </is>
      </c>
      <c r="C31" s="1" t="inlineStr">
        <is>
          <t>2026</t>
        </is>
      </c>
      <c r="D31" s="1" t="inlineStr">
        <is>
          <t>2027BUD_V1</t>
        </is>
      </c>
      <c r="E31" s="1" t="inlineStr">
        <is>
          <t>12</t>
        </is>
      </c>
      <c r="F31" t="n">
        <v>1379350</v>
      </c>
    </row>
    <row r="32">
      <c r="A32" s="1" t="inlineStr">
        <is>
          <t>ISCOM_TLS</t>
        </is>
      </c>
      <c r="B32" s="1" t="inlineStr">
        <is>
          <t>7062</t>
        </is>
      </c>
      <c r="C32" s="1" t="inlineStr">
        <is>
          <t>2026</t>
        </is>
      </c>
      <c r="D32" s="1" t="inlineStr">
        <is>
          <t>2027BUD_V1</t>
        </is>
      </c>
      <c r="E32" s="1" t="inlineStr">
        <is>
          <t>12</t>
        </is>
      </c>
      <c r="F32" t="n">
        <v>1281120</v>
      </c>
    </row>
    <row r="33">
      <c r="A33" s="1" t="inlineStr">
        <is>
          <t>IPAC_NAN</t>
        </is>
      </c>
      <c r="B33" s="1" t="inlineStr">
        <is>
          <t>7062</t>
        </is>
      </c>
      <c r="C33" s="1" t="inlineStr">
        <is>
          <t>2026</t>
        </is>
      </c>
      <c r="D33" s="1" t="inlineStr">
        <is>
          <t>2027BUD_V1</t>
        </is>
      </c>
      <c r="E33" s="1" t="inlineStr">
        <is>
          <t>12</t>
        </is>
      </c>
      <c r="F33" t="n">
        <v>1015000</v>
      </c>
    </row>
    <row r="34">
      <c r="A34" s="1" t="inlineStr">
        <is>
          <t>IPAC_REN</t>
        </is>
      </c>
      <c r="B34" s="1" t="inlineStr">
        <is>
          <t>7062</t>
        </is>
      </c>
      <c r="C34" s="1" t="inlineStr">
        <is>
          <t>2026</t>
        </is>
      </c>
      <c r="D34" s="1" t="inlineStr">
        <is>
          <t>2027BUD_V1</t>
        </is>
      </c>
      <c r="E34" s="1" t="inlineStr">
        <is>
          <t>12</t>
        </is>
      </c>
      <c r="F34" t="n">
        <v>778050</v>
      </c>
    </row>
    <row r="35">
      <c r="A35" s="1" t="inlineStr">
        <is>
          <t>IPAC_MTP</t>
        </is>
      </c>
      <c r="B35" s="1" t="inlineStr">
        <is>
          <t>7062</t>
        </is>
      </c>
      <c r="C35" s="1" t="inlineStr">
        <is>
          <t>2026</t>
        </is>
      </c>
      <c r="D35" s="1" t="inlineStr">
        <is>
          <t>2027BUD_V1</t>
        </is>
      </c>
      <c r="E35" s="1" t="inlineStr">
        <is>
          <t>12</t>
        </is>
      </c>
      <c r="F35" t="n">
        <v>778050</v>
      </c>
    </row>
    <row r="36">
      <c r="A36" s="1" t="inlineStr">
        <is>
          <t>TUNON_PAR</t>
        </is>
      </c>
      <c r="B36" s="1" t="inlineStr">
        <is>
          <t>7062</t>
        </is>
      </c>
      <c r="C36" s="1" t="inlineStr">
        <is>
          <t>2026</t>
        </is>
      </c>
      <c r="D36" s="1" t="inlineStr">
        <is>
          <t>2027BUD_V1</t>
        </is>
      </c>
      <c r="E36" s="1" t="inlineStr">
        <is>
          <t>12</t>
        </is>
      </c>
      <c r="F36" t="n">
        <v>1081920</v>
      </c>
    </row>
    <row r="37">
      <c r="A37" s="1" t="inlineStr">
        <is>
          <t>TUNON_LYO</t>
        </is>
      </c>
      <c r="B37" s="1" t="inlineStr">
        <is>
          <t>7062</t>
        </is>
      </c>
      <c r="C37" s="1" t="inlineStr">
        <is>
          <t>2026</t>
        </is>
      </c>
      <c r="D37" s="1" t="inlineStr">
        <is>
          <t>2027BUD_V1</t>
        </is>
      </c>
      <c r="E37" s="1" t="inlineStr">
        <is>
          <t>12</t>
        </is>
      </c>
      <c r="F37" t="n">
        <v>859950</v>
      </c>
    </row>
    <row r="38">
      <c r="A38" s="1" t="inlineStr">
        <is>
          <t>MBWAY_PAR</t>
        </is>
      </c>
      <c r="B38" s="1" t="inlineStr">
        <is>
          <t>706</t>
        </is>
      </c>
      <c r="C38" s="1" t="inlineStr">
        <is>
          <t>2024</t>
        </is>
      </c>
      <c r="D38" s="1" t="inlineStr">
        <is>
          <t>2027BUD_V1</t>
        </is>
      </c>
      <c r="E38" s="1" t="inlineStr">
        <is>
          <t>12</t>
        </is>
      </c>
      <c r="F38" t="n">
        <v>583126</v>
      </c>
    </row>
    <row r="39">
      <c r="A39" s="1" t="inlineStr">
        <is>
          <t>MBWAY_LYO</t>
        </is>
      </c>
      <c r="B39" s="1" t="inlineStr">
        <is>
          <t>706</t>
        </is>
      </c>
      <c r="C39" s="1" t="inlineStr">
        <is>
          <t>2024</t>
        </is>
      </c>
      <c r="D39" s="1" t="inlineStr">
        <is>
          <t>2027BUD_V1</t>
        </is>
      </c>
      <c r="E39" s="1" t="inlineStr">
        <is>
          <t>12</t>
        </is>
      </c>
      <c r="F39" t="n">
        <v>462576</v>
      </c>
    </row>
    <row r="40">
      <c r="A40" s="1" t="inlineStr">
        <is>
          <t>MBWAY_NAN</t>
        </is>
      </c>
      <c r="B40" s="1" t="inlineStr">
        <is>
          <t>706</t>
        </is>
      </c>
      <c r="C40" s="1" t="inlineStr">
        <is>
          <t>2024</t>
        </is>
      </c>
      <c r="D40" s="1" t="inlineStr">
        <is>
          <t>2027BUD_V1</t>
        </is>
      </c>
      <c r="E40" s="1" t="inlineStr">
        <is>
          <t>12</t>
        </is>
      </c>
      <c r="F40" t="n">
        <v>400498</v>
      </c>
    </row>
    <row r="41">
      <c r="A41" s="1" t="inlineStr">
        <is>
          <t>MBWAY_BOR</t>
        </is>
      </c>
      <c r="B41" s="1" t="inlineStr">
        <is>
          <t>706</t>
        </is>
      </c>
      <c r="C41" s="1" t="inlineStr">
        <is>
          <t>2024</t>
        </is>
      </c>
      <c r="D41" s="1" t="inlineStr">
        <is>
          <t>2027BUD_V1</t>
        </is>
      </c>
      <c r="E41" s="1" t="inlineStr">
        <is>
          <t>12</t>
        </is>
      </c>
      <c r="F41" t="n">
        <v>330211</v>
      </c>
    </row>
    <row r="42">
      <c r="A42" s="1" t="inlineStr">
        <is>
          <t>ISCOM_PAR</t>
        </is>
      </c>
      <c r="B42" s="1" t="inlineStr">
        <is>
          <t>706</t>
        </is>
      </c>
      <c r="C42" s="1" t="inlineStr">
        <is>
          <t>2024</t>
        </is>
      </c>
      <c r="D42" s="1" t="inlineStr">
        <is>
          <t>2027BUD_V1</t>
        </is>
      </c>
      <c r="E42" s="1" t="inlineStr">
        <is>
          <t>12</t>
        </is>
      </c>
      <c r="F42" t="n">
        <v>538270</v>
      </c>
    </row>
    <row r="43">
      <c r="A43" s="1" t="inlineStr">
        <is>
          <t>ISCOM_LIL</t>
        </is>
      </c>
      <c r="B43" s="1" t="inlineStr">
        <is>
          <t>706</t>
        </is>
      </c>
      <c r="C43" s="1" t="inlineStr">
        <is>
          <t>2024</t>
        </is>
      </c>
      <c r="D43" s="1" t="inlineStr">
        <is>
          <t>2027BUD_V1</t>
        </is>
      </c>
      <c r="E43" s="1" t="inlineStr">
        <is>
          <t>12</t>
        </is>
      </c>
      <c r="F43" t="n">
        <v>327074</v>
      </c>
    </row>
    <row r="44">
      <c r="A44" s="1" t="inlineStr">
        <is>
          <t>ISCOM_TLS</t>
        </is>
      </c>
      <c r="B44" s="1" t="inlineStr">
        <is>
          <t>706</t>
        </is>
      </c>
      <c r="C44" s="1" t="inlineStr">
        <is>
          <t>2024</t>
        </is>
      </c>
      <c r="D44" s="1" t="inlineStr">
        <is>
          <t>2027BUD_V1</t>
        </is>
      </c>
      <c r="E44" s="1" t="inlineStr">
        <is>
          <t>12</t>
        </is>
      </c>
      <c r="F44" t="n">
        <v>301175</v>
      </c>
    </row>
    <row r="45">
      <c r="A45" s="1" t="inlineStr">
        <is>
          <t>MBWAY_PAR</t>
        </is>
      </c>
      <c r="B45" s="1" t="inlineStr">
        <is>
          <t>706</t>
        </is>
      </c>
      <c r="C45" s="1" t="inlineStr">
        <is>
          <t>2025</t>
        </is>
      </c>
      <c r="D45" s="1" t="inlineStr">
        <is>
          <t>2027BUD_V1</t>
        </is>
      </c>
      <c r="E45" s="1" t="inlineStr">
        <is>
          <t>12</t>
        </is>
      </c>
      <c r="F45" t="n">
        <v>618113</v>
      </c>
    </row>
    <row r="46">
      <c r="A46" s="1" t="inlineStr">
        <is>
          <t>MBWAY_LYO</t>
        </is>
      </c>
      <c r="B46" s="1" t="inlineStr">
        <is>
          <t>706</t>
        </is>
      </c>
      <c r="C46" s="1" t="inlineStr">
        <is>
          <t>2025</t>
        </is>
      </c>
      <c r="D46" s="1" t="inlineStr">
        <is>
          <t>2027BUD_V1</t>
        </is>
      </c>
      <c r="E46" s="1" t="inlineStr">
        <is>
          <t>12</t>
        </is>
      </c>
      <c r="F46" t="n">
        <v>490330</v>
      </c>
    </row>
    <row r="47">
      <c r="A47" s="1" t="inlineStr">
        <is>
          <t>MBWAY_NAN</t>
        </is>
      </c>
      <c r="B47" s="1" t="inlineStr">
        <is>
          <t>706</t>
        </is>
      </c>
      <c r="C47" s="1" t="inlineStr">
        <is>
          <t>2025</t>
        </is>
      </c>
      <c r="D47" s="1" t="inlineStr">
        <is>
          <t>2027BUD_V1</t>
        </is>
      </c>
      <c r="E47" s="1" t="inlineStr">
        <is>
          <t>12</t>
        </is>
      </c>
      <c r="F47" t="n">
        <v>424528</v>
      </c>
    </row>
    <row r="48">
      <c r="A48" s="1" t="inlineStr">
        <is>
          <t>MBWAY_BOR</t>
        </is>
      </c>
      <c r="B48" s="1" t="inlineStr">
        <is>
          <t>706</t>
        </is>
      </c>
      <c r="C48" s="1" t="inlineStr">
        <is>
          <t>2025</t>
        </is>
      </c>
      <c r="D48" s="1" t="inlineStr">
        <is>
          <t>2027BUD_V1</t>
        </is>
      </c>
      <c r="E48" s="1" t="inlineStr">
        <is>
          <t>12</t>
        </is>
      </c>
      <c r="F48" t="n">
        <v>350024</v>
      </c>
    </row>
    <row r="49">
      <c r="A49" s="1" t="inlineStr">
        <is>
          <t>ISCOM_PAR</t>
        </is>
      </c>
      <c r="B49" s="1" t="inlineStr">
        <is>
          <t>706</t>
        </is>
      </c>
      <c r="C49" s="1" t="inlineStr">
        <is>
          <t>2025</t>
        </is>
      </c>
      <c r="D49" s="1" t="inlineStr">
        <is>
          <t>2027BUD_V1</t>
        </is>
      </c>
      <c r="E49" s="1" t="inlineStr">
        <is>
          <t>12</t>
        </is>
      </c>
      <c r="F49" t="n">
        <v>570566</v>
      </c>
    </row>
    <row r="50">
      <c r="A50" s="1" t="inlineStr">
        <is>
          <t>ISCOM_LIL</t>
        </is>
      </c>
      <c r="B50" s="1" t="inlineStr">
        <is>
          <t>706</t>
        </is>
      </c>
      <c r="C50" s="1" t="inlineStr">
        <is>
          <t>2025</t>
        </is>
      </c>
      <c r="D50" s="1" t="inlineStr">
        <is>
          <t>2027BUD_V1</t>
        </is>
      </c>
      <c r="E50" s="1" t="inlineStr">
        <is>
          <t>12</t>
        </is>
      </c>
      <c r="F50" t="n">
        <v>346698</v>
      </c>
    </row>
    <row r="51">
      <c r="A51" s="1" t="inlineStr">
        <is>
          <t>ISCOM_TLS</t>
        </is>
      </c>
      <c r="B51" s="1" t="inlineStr">
        <is>
          <t>706</t>
        </is>
      </c>
      <c r="C51" s="1" t="inlineStr">
        <is>
          <t>2025</t>
        </is>
      </c>
      <c r="D51" s="1" t="inlineStr">
        <is>
          <t>2027BUD_V1</t>
        </is>
      </c>
      <c r="E51" s="1" t="inlineStr">
        <is>
          <t>12</t>
        </is>
      </c>
      <c r="F51" t="n">
        <v>319245</v>
      </c>
    </row>
    <row r="52">
      <c r="A52" s="1" t="inlineStr">
        <is>
          <t>MBWAY_PAR</t>
        </is>
      </c>
      <c r="B52" s="1" t="inlineStr">
        <is>
          <t>706</t>
        </is>
      </c>
      <c r="C52" s="1" t="inlineStr">
        <is>
          <t>2026</t>
        </is>
      </c>
      <c r="D52" s="1" t="inlineStr">
        <is>
          <t>2027BUD_V1</t>
        </is>
      </c>
      <c r="E52" s="1" t="inlineStr">
        <is>
          <t>12</t>
        </is>
      </c>
      <c r="F52" t="n">
        <v>655200</v>
      </c>
    </row>
    <row r="53">
      <c r="A53" s="1" t="inlineStr">
        <is>
          <t>MBWAY_LYO</t>
        </is>
      </c>
      <c r="B53" s="1" t="inlineStr">
        <is>
          <t>706</t>
        </is>
      </c>
      <c r="C53" s="1" t="inlineStr">
        <is>
          <t>2026</t>
        </is>
      </c>
      <c r="D53" s="1" t="inlineStr">
        <is>
          <t>2027BUD_V1</t>
        </is>
      </c>
      <c r="E53" s="1" t="inlineStr">
        <is>
          <t>12</t>
        </is>
      </c>
      <c r="F53" t="n">
        <v>519750</v>
      </c>
    </row>
    <row r="54">
      <c r="A54" s="1" t="inlineStr">
        <is>
          <t>MBWAY_NAN</t>
        </is>
      </c>
      <c r="B54" s="1" t="inlineStr">
        <is>
          <t>706</t>
        </is>
      </c>
      <c r="C54" s="1" t="inlineStr">
        <is>
          <t>2026</t>
        </is>
      </c>
      <c r="D54" s="1" t="inlineStr">
        <is>
          <t>2027BUD_V1</t>
        </is>
      </c>
      <c r="E54" s="1" t="inlineStr">
        <is>
          <t>12</t>
        </is>
      </c>
      <c r="F54" t="n">
        <v>450000</v>
      </c>
    </row>
    <row r="55">
      <c r="A55" s="1" t="inlineStr">
        <is>
          <t>MBWAY_BOR</t>
        </is>
      </c>
      <c r="B55" s="1" t="inlineStr">
        <is>
          <t>706</t>
        </is>
      </c>
      <c r="C55" s="1" t="inlineStr">
        <is>
          <t>2026</t>
        </is>
      </c>
      <c r="D55" s="1" t="inlineStr">
        <is>
          <t>2027BUD_V1</t>
        </is>
      </c>
      <c r="E55" s="1" t="inlineStr">
        <is>
          <t>12</t>
        </is>
      </c>
      <c r="F55" t="n">
        <v>371025</v>
      </c>
    </row>
    <row r="56">
      <c r="A56" s="1" t="inlineStr">
        <is>
          <t>ISCOM_PAR</t>
        </is>
      </c>
      <c r="B56" s="1" t="inlineStr">
        <is>
          <t>706</t>
        </is>
      </c>
      <c r="C56" s="1" t="inlineStr">
        <is>
          <t>2026</t>
        </is>
      </c>
      <c r="D56" s="1" t="inlineStr">
        <is>
          <t>2027BUD_V1</t>
        </is>
      </c>
      <c r="E56" s="1" t="inlineStr">
        <is>
          <t>12</t>
        </is>
      </c>
      <c r="F56" t="n">
        <v>604800</v>
      </c>
    </row>
    <row r="57">
      <c r="A57" s="1" t="inlineStr">
        <is>
          <t>ISCOM_LIL</t>
        </is>
      </c>
      <c r="B57" s="1" t="inlineStr">
        <is>
          <t>706</t>
        </is>
      </c>
      <c r="C57" s="1" t="inlineStr">
        <is>
          <t>2026</t>
        </is>
      </c>
      <c r="D57" s="1" t="inlineStr">
        <is>
          <t>2027BUD_V1</t>
        </is>
      </c>
      <c r="E57" s="1" t="inlineStr">
        <is>
          <t>12</t>
        </is>
      </c>
      <c r="F57" t="n">
        <v>367500</v>
      </c>
    </row>
    <row r="58">
      <c r="A58" s="1" t="inlineStr">
        <is>
          <t>ISCOM_TLS</t>
        </is>
      </c>
      <c r="B58" s="1" t="inlineStr">
        <is>
          <t>706</t>
        </is>
      </c>
      <c r="C58" s="1" t="inlineStr">
        <is>
          <t>2026</t>
        </is>
      </c>
      <c r="D58" s="1" t="inlineStr">
        <is>
          <t>2027BUD_V1</t>
        </is>
      </c>
      <c r="E58" s="1" t="inlineStr">
        <is>
          <t>12</t>
        </is>
      </c>
      <c r="F58" t="n">
        <v>338400</v>
      </c>
    </row>
    <row r="59">
      <c r="A59" s="1" t="inlineStr">
        <is>
          <t>MBWAY_PAR</t>
        </is>
      </c>
      <c r="B59" s="1" t="inlineStr">
        <is>
          <t>708</t>
        </is>
      </c>
      <c r="C59" s="1" t="inlineStr">
        <is>
          <t>2024</t>
        </is>
      </c>
      <c r="D59" s="1" t="inlineStr">
        <is>
          <t>2027BUD_V1</t>
        </is>
      </c>
      <c r="E59" s="1" t="inlineStr">
        <is>
          <t>12</t>
        </is>
      </c>
      <c r="F59" t="n">
        <v>12496</v>
      </c>
    </row>
    <row r="60">
      <c r="A60" s="1" t="inlineStr">
        <is>
          <t>MBWAY_LYO</t>
        </is>
      </c>
      <c r="B60" s="1" t="inlineStr">
        <is>
          <t>708</t>
        </is>
      </c>
      <c r="C60" s="1" t="inlineStr">
        <is>
          <t>2024</t>
        </is>
      </c>
      <c r="D60" s="1" t="inlineStr">
        <is>
          <t>2027BUD_V1</t>
        </is>
      </c>
      <c r="E60" s="1" t="inlineStr">
        <is>
          <t>12</t>
        </is>
      </c>
      <c r="F60" t="n">
        <v>10573</v>
      </c>
    </row>
    <row r="61">
      <c r="A61" s="1" t="inlineStr">
        <is>
          <t>MBWAY_NAN</t>
        </is>
      </c>
      <c r="B61" s="1" t="inlineStr">
        <is>
          <t>708</t>
        </is>
      </c>
      <c r="C61" s="1" t="inlineStr">
        <is>
          <t>2024</t>
        </is>
      </c>
      <c r="D61" s="1" t="inlineStr">
        <is>
          <t>2027BUD_V1</t>
        </is>
      </c>
      <c r="E61" s="1" t="inlineStr">
        <is>
          <t>12</t>
        </is>
      </c>
      <c r="F61" t="n">
        <v>9612</v>
      </c>
    </row>
    <row r="62">
      <c r="A62" s="1" t="inlineStr">
        <is>
          <t>MBWAY_BOR</t>
        </is>
      </c>
      <c r="B62" s="1" t="inlineStr">
        <is>
          <t>708</t>
        </is>
      </c>
      <c r="C62" s="1" t="inlineStr">
        <is>
          <t>2024</t>
        </is>
      </c>
      <c r="D62" s="1" t="inlineStr">
        <is>
          <t>2027BUD_V1</t>
        </is>
      </c>
      <c r="E62" s="1" t="inlineStr">
        <is>
          <t>12</t>
        </is>
      </c>
      <c r="F62" t="n">
        <v>8170</v>
      </c>
    </row>
    <row r="63">
      <c r="A63" s="1" t="inlineStr">
        <is>
          <t>ISCOM_PAR</t>
        </is>
      </c>
      <c r="B63" s="1" t="inlineStr">
        <is>
          <t>708</t>
        </is>
      </c>
      <c r="C63" s="1" t="inlineStr">
        <is>
          <t>2024</t>
        </is>
      </c>
      <c r="D63" s="1" t="inlineStr">
        <is>
          <t>2027BUD_V1</t>
        </is>
      </c>
      <c r="E63" s="1" t="inlineStr">
        <is>
          <t>12</t>
        </is>
      </c>
      <c r="F63" t="n">
        <v>11534</v>
      </c>
    </row>
    <row r="64">
      <c r="A64" s="1" t="inlineStr">
        <is>
          <t>ISCOM_LIL</t>
        </is>
      </c>
      <c r="B64" s="1" t="inlineStr">
        <is>
          <t>708</t>
        </is>
      </c>
      <c r="C64" s="1" t="inlineStr">
        <is>
          <t>2024</t>
        </is>
      </c>
      <c r="D64" s="1" t="inlineStr">
        <is>
          <t>2027BUD_V1</t>
        </is>
      </c>
      <c r="E64" s="1" t="inlineStr">
        <is>
          <t>12</t>
        </is>
      </c>
      <c r="F64" t="n">
        <v>8010</v>
      </c>
    </row>
    <row r="65">
      <c r="A65" s="1" t="inlineStr">
        <is>
          <t>ISCOM_TLS</t>
        </is>
      </c>
      <c r="B65" s="1" t="inlineStr">
        <is>
          <t>708</t>
        </is>
      </c>
      <c r="C65" s="1" t="inlineStr">
        <is>
          <t>2024</t>
        </is>
      </c>
      <c r="D65" s="1" t="inlineStr">
        <is>
          <t>2027BUD_V1</t>
        </is>
      </c>
      <c r="E65" s="1" t="inlineStr">
        <is>
          <t>12</t>
        </is>
      </c>
      <c r="F65" t="n">
        <v>7529</v>
      </c>
    </row>
    <row r="66">
      <c r="A66" s="1" t="inlineStr">
        <is>
          <t>IPAC_NAN</t>
        </is>
      </c>
      <c r="B66" s="1" t="inlineStr">
        <is>
          <t>708</t>
        </is>
      </c>
      <c r="C66" s="1" t="inlineStr">
        <is>
          <t>2024</t>
        </is>
      </c>
      <c r="D66" s="1" t="inlineStr">
        <is>
          <t>2027BUD_V1</t>
        </is>
      </c>
      <c r="E66" s="1" t="inlineStr">
        <is>
          <t>12</t>
        </is>
      </c>
      <c r="F66" t="n">
        <v>4005</v>
      </c>
    </row>
    <row r="67">
      <c r="A67" s="1" t="inlineStr">
        <is>
          <t>IPAC_REN</t>
        </is>
      </c>
      <c r="B67" s="1" t="inlineStr">
        <is>
          <t>708</t>
        </is>
      </c>
      <c r="C67" s="1" t="inlineStr">
        <is>
          <t>2024</t>
        </is>
      </c>
      <c r="D67" s="1" t="inlineStr">
        <is>
          <t>2027BUD_V1</t>
        </is>
      </c>
      <c r="E67" s="1" t="inlineStr">
        <is>
          <t>12</t>
        </is>
      </c>
      <c r="F67" t="n">
        <v>3204</v>
      </c>
    </row>
    <row r="68">
      <c r="A68" s="1" t="inlineStr">
        <is>
          <t>IPAC_MTP</t>
        </is>
      </c>
      <c r="B68" s="1" t="inlineStr">
        <is>
          <t>708</t>
        </is>
      </c>
      <c r="C68" s="1" t="inlineStr">
        <is>
          <t>2024</t>
        </is>
      </c>
      <c r="D68" s="1" t="inlineStr">
        <is>
          <t>2027BUD_V1</t>
        </is>
      </c>
      <c r="E68" s="1" t="inlineStr">
        <is>
          <t>12</t>
        </is>
      </c>
      <c r="F68" t="n">
        <v>3204</v>
      </c>
    </row>
    <row r="69">
      <c r="A69" s="1" t="inlineStr">
        <is>
          <t>PIGIER_LYO</t>
        </is>
      </c>
      <c r="B69" s="1" t="inlineStr">
        <is>
          <t>708</t>
        </is>
      </c>
      <c r="C69" s="1" t="inlineStr">
        <is>
          <t>2024</t>
        </is>
      </c>
      <c r="D69" s="1" t="inlineStr">
        <is>
          <t>2027BUD_V1</t>
        </is>
      </c>
      <c r="E69" s="1" t="inlineStr">
        <is>
          <t>12</t>
        </is>
      </c>
      <c r="F69" t="n">
        <v>7369</v>
      </c>
    </row>
    <row r="70">
      <c r="A70" s="1" t="inlineStr">
        <is>
          <t>PIGIER_BOR</t>
        </is>
      </c>
      <c r="B70" s="1" t="inlineStr">
        <is>
          <t>708</t>
        </is>
      </c>
      <c r="C70" s="1" t="inlineStr">
        <is>
          <t>2024</t>
        </is>
      </c>
      <c r="D70" s="1" t="inlineStr">
        <is>
          <t>2027BUD_V1</t>
        </is>
      </c>
      <c r="E70" s="1" t="inlineStr">
        <is>
          <t>12</t>
        </is>
      </c>
      <c r="F70" t="n">
        <v>5767</v>
      </c>
    </row>
    <row r="71">
      <c r="A71" s="1" t="inlineStr">
        <is>
          <t>TUNON_PAR</t>
        </is>
      </c>
      <c r="B71" s="1" t="inlineStr">
        <is>
          <t>708</t>
        </is>
      </c>
      <c r="C71" s="1" t="inlineStr">
        <is>
          <t>2024</t>
        </is>
      </c>
      <c r="D71" s="1" t="inlineStr">
        <is>
          <t>2027BUD_V1</t>
        </is>
      </c>
      <c r="E71" s="1" t="inlineStr">
        <is>
          <t>12</t>
        </is>
      </c>
      <c r="F71" t="n">
        <v>3765</v>
      </c>
    </row>
    <row r="72">
      <c r="A72" s="1" t="inlineStr">
        <is>
          <t>TUNON_LYO</t>
        </is>
      </c>
      <c r="B72" s="1" t="inlineStr">
        <is>
          <t>708</t>
        </is>
      </c>
      <c r="C72" s="1" t="inlineStr">
        <is>
          <t>2024</t>
        </is>
      </c>
      <c r="D72" s="1" t="inlineStr">
        <is>
          <t>2027BUD_V1</t>
        </is>
      </c>
      <c r="E72" s="1" t="inlineStr">
        <is>
          <t>12</t>
        </is>
      </c>
      <c r="F72" t="n">
        <v>3204</v>
      </c>
    </row>
    <row r="73">
      <c r="A73" s="1" t="inlineStr">
        <is>
          <t>MBWAY_PAR</t>
        </is>
      </c>
      <c r="B73" s="1" t="inlineStr">
        <is>
          <t>708</t>
        </is>
      </c>
      <c r="C73" s="1" t="inlineStr">
        <is>
          <t>2025</t>
        </is>
      </c>
      <c r="D73" s="1" t="inlineStr">
        <is>
          <t>2027BUD_V1</t>
        </is>
      </c>
      <c r="E73" s="1" t="inlineStr">
        <is>
          <t>12</t>
        </is>
      </c>
      <c r="F73" t="n">
        <v>13245</v>
      </c>
    </row>
    <row r="74">
      <c r="A74" s="1" t="inlineStr">
        <is>
          <t>MBWAY_LYO</t>
        </is>
      </c>
      <c r="B74" s="1" t="inlineStr">
        <is>
          <t>708</t>
        </is>
      </c>
      <c r="C74" s="1" t="inlineStr">
        <is>
          <t>2025</t>
        </is>
      </c>
      <c r="D74" s="1" t="inlineStr">
        <is>
          <t>2027BUD_V1</t>
        </is>
      </c>
      <c r="E74" s="1" t="inlineStr">
        <is>
          <t>12</t>
        </is>
      </c>
      <c r="F74" t="n">
        <v>11208</v>
      </c>
    </row>
    <row r="75">
      <c r="A75" s="1" t="inlineStr">
        <is>
          <t>MBWAY_NAN</t>
        </is>
      </c>
      <c r="B75" s="1" t="inlineStr">
        <is>
          <t>708</t>
        </is>
      </c>
      <c r="C75" s="1" t="inlineStr">
        <is>
          <t>2025</t>
        </is>
      </c>
      <c r="D75" s="1" t="inlineStr">
        <is>
          <t>2027BUD_V1</t>
        </is>
      </c>
      <c r="E75" s="1" t="inlineStr">
        <is>
          <t>12</t>
        </is>
      </c>
      <c r="F75" t="n">
        <v>10189</v>
      </c>
    </row>
    <row r="76">
      <c r="A76" s="1" t="inlineStr">
        <is>
          <t>MBWAY_BOR</t>
        </is>
      </c>
      <c r="B76" s="1" t="inlineStr">
        <is>
          <t>708</t>
        </is>
      </c>
      <c r="C76" s="1" t="inlineStr">
        <is>
          <t>2025</t>
        </is>
      </c>
      <c r="D76" s="1" t="inlineStr">
        <is>
          <t>2027BUD_V1</t>
        </is>
      </c>
      <c r="E76" s="1" t="inlineStr">
        <is>
          <t>12</t>
        </is>
      </c>
      <c r="F76" t="n">
        <v>8660</v>
      </c>
    </row>
    <row r="77">
      <c r="A77" s="1" t="inlineStr">
        <is>
          <t>ISCOM_PAR</t>
        </is>
      </c>
      <c r="B77" s="1" t="inlineStr">
        <is>
          <t>708</t>
        </is>
      </c>
      <c r="C77" s="1" t="inlineStr">
        <is>
          <t>2025</t>
        </is>
      </c>
      <c r="D77" s="1" t="inlineStr">
        <is>
          <t>2027BUD_V1</t>
        </is>
      </c>
      <c r="E77" s="1" t="inlineStr">
        <is>
          <t>12</t>
        </is>
      </c>
      <c r="F77" t="n">
        <v>12226</v>
      </c>
    </row>
    <row r="78">
      <c r="A78" s="1" t="inlineStr">
        <is>
          <t>ISCOM_LIL</t>
        </is>
      </c>
      <c r="B78" s="1" t="inlineStr">
        <is>
          <t>708</t>
        </is>
      </c>
      <c r="C78" s="1" t="inlineStr">
        <is>
          <t>2025</t>
        </is>
      </c>
      <c r="D78" s="1" t="inlineStr">
        <is>
          <t>2027BUD_V1</t>
        </is>
      </c>
      <c r="E78" s="1" t="inlineStr">
        <is>
          <t>12</t>
        </is>
      </c>
      <c r="F78" t="n">
        <v>8491</v>
      </c>
    </row>
    <row r="79">
      <c r="A79" s="1" t="inlineStr">
        <is>
          <t>ISCOM_TLS</t>
        </is>
      </c>
      <c r="B79" s="1" t="inlineStr">
        <is>
          <t>708</t>
        </is>
      </c>
      <c r="C79" s="1" t="inlineStr">
        <is>
          <t>2025</t>
        </is>
      </c>
      <c r="D79" s="1" t="inlineStr">
        <is>
          <t>2027BUD_V1</t>
        </is>
      </c>
      <c r="E79" s="1" t="inlineStr">
        <is>
          <t>12</t>
        </is>
      </c>
      <c r="F79" t="n">
        <v>7981</v>
      </c>
    </row>
    <row r="80">
      <c r="A80" s="1" t="inlineStr">
        <is>
          <t>IPAC_NAN</t>
        </is>
      </c>
      <c r="B80" s="1" t="inlineStr">
        <is>
          <t>708</t>
        </is>
      </c>
      <c r="C80" s="1" t="inlineStr">
        <is>
          <t>2025</t>
        </is>
      </c>
      <c r="D80" s="1" t="inlineStr">
        <is>
          <t>2027BUD_V1</t>
        </is>
      </c>
      <c r="E80" s="1" t="inlineStr">
        <is>
          <t>12</t>
        </is>
      </c>
      <c r="F80" t="n">
        <v>4245</v>
      </c>
    </row>
    <row r="81">
      <c r="A81" s="1" t="inlineStr">
        <is>
          <t>IPAC_REN</t>
        </is>
      </c>
      <c r="B81" s="1" t="inlineStr">
        <is>
          <t>708</t>
        </is>
      </c>
      <c r="C81" s="1" t="inlineStr">
        <is>
          <t>2025</t>
        </is>
      </c>
      <c r="D81" s="1" t="inlineStr">
        <is>
          <t>2027BUD_V1</t>
        </is>
      </c>
      <c r="E81" s="1" t="inlineStr">
        <is>
          <t>12</t>
        </is>
      </c>
      <c r="F81" t="n">
        <v>3396</v>
      </c>
    </row>
    <row r="82">
      <c r="A82" s="1" t="inlineStr">
        <is>
          <t>IPAC_MTP</t>
        </is>
      </c>
      <c r="B82" s="1" t="inlineStr">
        <is>
          <t>708</t>
        </is>
      </c>
      <c r="C82" s="1" t="inlineStr">
        <is>
          <t>2025</t>
        </is>
      </c>
      <c r="D82" s="1" t="inlineStr">
        <is>
          <t>2027BUD_V1</t>
        </is>
      </c>
      <c r="E82" s="1" t="inlineStr">
        <is>
          <t>12</t>
        </is>
      </c>
      <c r="F82" t="n">
        <v>3396</v>
      </c>
    </row>
    <row r="83">
      <c r="A83" s="1" t="inlineStr">
        <is>
          <t>PIGIER_LYO</t>
        </is>
      </c>
      <c r="B83" s="1" t="inlineStr">
        <is>
          <t>708</t>
        </is>
      </c>
      <c r="C83" s="1" t="inlineStr">
        <is>
          <t>2025</t>
        </is>
      </c>
      <c r="D83" s="1" t="inlineStr">
        <is>
          <t>2027BUD_V1</t>
        </is>
      </c>
      <c r="E83" s="1" t="inlineStr">
        <is>
          <t>12</t>
        </is>
      </c>
      <c r="F83" t="n">
        <v>7811</v>
      </c>
    </row>
    <row r="84">
      <c r="A84" s="1" t="inlineStr">
        <is>
          <t>PIGIER_BOR</t>
        </is>
      </c>
      <c r="B84" s="1" t="inlineStr">
        <is>
          <t>708</t>
        </is>
      </c>
      <c r="C84" s="1" t="inlineStr">
        <is>
          <t>2025</t>
        </is>
      </c>
      <c r="D84" s="1" t="inlineStr">
        <is>
          <t>2027BUD_V1</t>
        </is>
      </c>
      <c r="E84" s="1" t="inlineStr">
        <is>
          <t>12</t>
        </is>
      </c>
      <c r="F84" t="n">
        <v>6113</v>
      </c>
    </row>
    <row r="85">
      <c r="A85" s="1" t="inlineStr">
        <is>
          <t>TUNON_PAR</t>
        </is>
      </c>
      <c r="B85" s="1" t="inlineStr">
        <is>
          <t>708</t>
        </is>
      </c>
      <c r="C85" s="1" t="inlineStr">
        <is>
          <t>2025</t>
        </is>
      </c>
      <c r="D85" s="1" t="inlineStr">
        <is>
          <t>2027BUD_V1</t>
        </is>
      </c>
      <c r="E85" s="1" t="inlineStr">
        <is>
          <t>12</t>
        </is>
      </c>
      <c r="F85" t="n">
        <v>3991</v>
      </c>
    </row>
    <row r="86">
      <c r="A86" s="1" t="inlineStr">
        <is>
          <t>TUNON_LYO</t>
        </is>
      </c>
      <c r="B86" s="1" t="inlineStr">
        <is>
          <t>708</t>
        </is>
      </c>
      <c r="C86" s="1" t="inlineStr">
        <is>
          <t>2025</t>
        </is>
      </c>
      <c r="D86" s="1" t="inlineStr">
        <is>
          <t>2027BUD_V1</t>
        </is>
      </c>
      <c r="E86" s="1" t="inlineStr">
        <is>
          <t>12</t>
        </is>
      </c>
      <c r="F86" t="n">
        <v>3396</v>
      </c>
    </row>
    <row r="87">
      <c r="A87" s="1" t="inlineStr">
        <is>
          <t>MBWAY_PAR</t>
        </is>
      </c>
      <c r="B87" s="1" t="inlineStr">
        <is>
          <t>708</t>
        </is>
      </c>
      <c r="C87" s="1" t="inlineStr">
        <is>
          <t>2026</t>
        </is>
      </c>
      <c r="D87" s="1" t="inlineStr">
        <is>
          <t>2027BUD_V1</t>
        </is>
      </c>
      <c r="E87" s="1" t="inlineStr">
        <is>
          <t>12</t>
        </is>
      </c>
      <c r="F87" t="n">
        <v>14040</v>
      </c>
    </row>
    <row r="88">
      <c r="A88" s="1" t="inlineStr">
        <is>
          <t>MBWAY_LYO</t>
        </is>
      </c>
      <c r="B88" s="1" t="inlineStr">
        <is>
          <t>708</t>
        </is>
      </c>
      <c r="C88" s="1" t="inlineStr">
        <is>
          <t>2026</t>
        </is>
      </c>
      <c r="D88" s="1" t="inlineStr">
        <is>
          <t>2027BUD_V1</t>
        </is>
      </c>
      <c r="E88" s="1" t="inlineStr">
        <is>
          <t>12</t>
        </is>
      </c>
      <c r="F88" t="n">
        <v>11880</v>
      </c>
    </row>
    <row r="89">
      <c r="A89" s="1" t="inlineStr">
        <is>
          <t>MBWAY_NAN</t>
        </is>
      </c>
      <c r="B89" s="1" t="inlineStr">
        <is>
          <t>708</t>
        </is>
      </c>
      <c r="C89" s="1" t="inlineStr">
        <is>
          <t>2026</t>
        </is>
      </c>
      <c r="D89" s="1" t="inlineStr">
        <is>
          <t>2027BUD_V1</t>
        </is>
      </c>
      <c r="E89" s="1" t="inlineStr">
        <is>
          <t>12</t>
        </is>
      </c>
      <c r="F89" t="n">
        <v>10800</v>
      </c>
    </row>
    <row r="90">
      <c r="A90" s="1" t="inlineStr">
        <is>
          <t>MBWAY_BOR</t>
        </is>
      </c>
      <c r="B90" s="1" t="inlineStr">
        <is>
          <t>708</t>
        </is>
      </c>
      <c r="C90" s="1" t="inlineStr">
        <is>
          <t>2026</t>
        </is>
      </c>
      <c r="D90" s="1" t="inlineStr">
        <is>
          <t>2027BUD_V1</t>
        </is>
      </c>
      <c r="E90" s="1" t="inlineStr">
        <is>
          <t>12</t>
        </is>
      </c>
      <c r="F90" t="n">
        <v>9180</v>
      </c>
    </row>
    <row r="91">
      <c r="A91" s="1" t="inlineStr">
        <is>
          <t>ISCOM_PAR</t>
        </is>
      </c>
      <c r="B91" s="1" t="inlineStr">
        <is>
          <t>708</t>
        </is>
      </c>
      <c r="C91" s="1" t="inlineStr">
        <is>
          <t>2026</t>
        </is>
      </c>
      <c r="D91" s="1" t="inlineStr">
        <is>
          <t>2027BUD_V1</t>
        </is>
      </c>
      <c r="E91" s="1" t="inlineStr">
        <is>
          <t>12</t>
        </is>
      </c>
      <c r="F91" t="n">
        <v>12960</v>
      </c>
    </row>
    <row r="92">
      <c r="A92" s="1" t="inlineStr">
        <is>
          <t>ISCOM_LIL</t>
        </is>
      </c>
      <c r="B92" s="1" t="inlineStr">
        <is>
          <t>708</t>
        </is>
      </c>
      <c r="C92" s="1" t="inlineStr">
        <is>
          <t>2026</t>
        </is>
      </c>
      <c r="D92" s="1" t="inlineStr">
        <is>
          <t>2027BUD_V1</t>
        </is>
      </c>
      <c r="E92" s="1" t="inlineStr">
        <is>
          <t>12</t>
        </is>
      </c>
      <c r="F92" t="n">
        <v>9000</v>
      </c>
    </row>
    <row r="93">
      <c r="A93" s="1" t="inlineStr">
        <is>
          <t>ISCOM_TLS</t>
        </is>
      </c>
      <c r="B93" s="1" t="inlineStr">
        <is>
          <t>708</t>
        </is>
      </c>
      <c r="C93" s="1" t="inlineStr">
        <is>
          <t>2026</t>
        </is>
      </c>
      <c r="D93" s="1" t="inlineStr">
        <is>
          <t>2027BUD_V1</t>
        </is>
      </c>
      <c r="E93" s="1" t="inlineStr">
        <is>
          <t>12</t>
        </is>
      </c>
      <c r="F93" t="n">
        <v>8460</v>
      </c>
    </row>
    <row r="94">
      <c r="A94" s="1" t="inlineStr">
        <is>
          <t>IPAC_NAN</t>
        </is>
      </c>
      <c r="B94" s="1" t="inlineStr">
        <is>
          <t>708</t>
        </is>
      </c>
      <c r="C94" s="1" t="inlineStr">
        <is>
          <t>2026</t>
        </is>
      </c>
      <c r="D94" s="1" t="inlineStr">
        <is>
          <t>2027BUD_V1</t>
        </is>
      </c>
      <c r="E94" s="1" t="inlineStr">
        <is>
          <t>12</t>
        </is>
      </c>
      <c r="F94" t="n">
        <v>4500</v>
      </c>
    </row>
    <row r="95">
      <c r="A95" s="1" t="inlineStr">
        <is>
          <t>IPAC_REN</t>
        </is>
      </c>
      <c r="B95" s="1" t="inlineStr">
        <is>
          <t>708</t>
        </is>
      </c>
      <c r="C95" s="1" t="inlineStr">
        <is>
          <t>2026</t>
        </is>
      </c>
      <c r="D95" s="1" t="inlineStr">
        <is>
          <t>2027BUD_V1</t>
        </is>
      </c>
      <c r="E95" s="1" t="inlineStr">
        <is>
          <t>12</t>
        </is>
      </c>
      <c r="F95" t="n">
        <v>3600</v>
      </c>
    </row>
    <row r="96">
      <c r="A96" s="1" t="inlineStr">
        <is>
          <t>IPAC_MTP</t>
        </is>
      </c>
      <c r="B96" s="1" t="inlineStr">
        <is>
          <t>708</t>
        </is>
      </c>
      <c r="C96" s="1" t="inlineStr">
        <is>
          <t>2026</t>
        </is>
      </c>
      <c r="D96" s="1" t="inlineStr">
        <is>
          <t>2027BUD_V1</t>
        </is>
      </c>
      <c r="E96" s="1" t="inlineStr">
        <is>
          <t>12</t>
        </is>
      </c>
      <c r="F96" t="n">
        <v>3600</v>
      </c>
    </row>
    <row r="97">
      <c r="A97" s="1" t="inlineStr">
        <is>
          <t>PIGIER_LYO</t>
        </is>
      </c>
      <c r="B97" s="1" t="inlineStr">
        <is>
          <t>708</t>
        </is>
      </c>
      <c r="C97" s="1" t="inlineStr">
        <is>
          <t>2026</t>
        </is>
      </c>
      <c r="D97" s="1" t="inlineStr">
        <is>
          <t>2027BUD_V1</t>
        </is>
      </c>
      <c r="E97" s="1" t="inlineStr">
        <is>
          <t>12</t>
        </is>
      </c>
      <c r="F97" t="n">
        <v>8280</v>
      </c>
    </row>
    <row r="98">
      <c r="A98" s="1" t="inlineStr">
        <is>
          <t>PIGIER_BOR</t>
        </is>
      </c>
      <c r="B98" s="1" t="inlineStr">
        <is>
          <t>708</t>
        </is>
      </c>
      <c r="C98" s="1" t="inlineStr">
        <is>
          <t>2026</t>
        </is>
      </c>
      <c r="D98" s="1" t="inlineStr">
        <is>
          <t>2027BUD_V1</t>
        </is>
      </c>
      <c r="E98" s="1" t="inlineStr">
        <is>
          <t>12</t>
        </is>
      </c>
      <c r="F98" t="n">
        <v>6480</v>
      </c>
    </row>
    <row r="99">
      <c r="A99" s="1" t="inlineStr">
        <is>
          <t>TUNON_PAR</t>
        </is>
      </c>
      <c r="B99" s="1" t="inlineStr">
        <is>
          <t>708</t>
        </is>
      </c>
      <c r="C99" s="1" t="inlineStr">
        <is>
          <t>2026</t>
        </is>
      </c>
      <c r="D99" s="1" t="inlineStr">
        <is>
          <t>2027BUD_V1</t>
        </is>
      </c>
      <c r="E99" s="1" t="inlineStr">
        <is>
          <t>12</t>
        </is>
      </c>
      <c r="F99" t="n">
        <v>4230</v>
      </c>
    </row>
    <row r="100">
      <c r="A100" s="1" t="inlineStr">
        <is>
          <t>TUNON_LYO</t>
        </is>
      </c>
      <c r="B100" s="1" t="inlineStr">
        <is>
          <t>708</t>
        </is>
      </c>
      <c r="C100" s="1" t="inlineStr">
        <is>
          <t>2026</t>
        </is>
      </c>
      <c r="D100" s="1" t="inlineStr">
        <is>
          <t>2027BUD_V1</t>
        </is>
      </c>
      <c r="E100" s="1" t="inlineStr">
        <is>
          <t>12</t>
        </is>
      </c>
      <c r="F100" t="n">
        <v>3600</v>
      </c>
    </row>
    <row r="101">
      <c r="A101" s="1" t="inlineStr">
        <is>
          <t>MBWAY_PAR</t>
        </is>
      </c>
      <c r="B101" s="1" t="inlineStr">
        <is>
          <t>621</t>
        </is>
      </c>
      <c r="C101" s="1" t="inlineStr">
        <is>
          <t>2024</t>
        </is>
      </c>
      <c r="D101" s="1" t="inlineStr">
        <is>
          <t>2027BUD_V1</t>
        </is>
      </c>
      <c r="E101" s="1" t="inlineStr">
        <is>
          <t>12</t>
        </is>
      </c>
      <c r="F101" t="n">
        <v>165271</v>
      </c>
    </row>
    <row r="102">
      <c r="A102" s="1" t="inlineStr">
        <is>
          <t>MBWAY_LYO</t>
        </is>
      </c>
      <c r="B102" s="1" t="inlineStr">
        <is>
          <t>621</t>
        </is>
      </c>
      <c r="C102" s="1" t="inlineStr">
        <is>
          <t>2024</t>
        </is>
      </c>
      <c r="D102" s="1" t="inlineStr">
        <is>
          <t>2027BUD_V1</t>
        </is>
      </c>
      <c r="E102" s="1" t="inlineStr">
        <is>
          <t>12</t>
        </is>
      </c>
      <c r="F102" t="n">
        <v>143235</v>
      </c>
    </row>
    <row r="103">
      <c r="A103" s="1" t="inlineStr">
        <is>
          <t>MBWAY_NAN</t>
        </is>
      </c>
      <c r="B103" s="1" t="inlineStr">
        <is>
          <t>621</t>
        </is>
      </c>
      <c r="C103" s="1" t="inlineStr">
        <is>
          <t>2024</t>
        </is>
      </c>
      <c r="D103" s="1" t="inlineStr">
        <is>
          <t>2027BUD_V1</t>
        </is>
      </c>
      <c r="E103" s="1" t="inlineStr">
        <is>
          <t>12</t>
        </is>
      </c>
      <c r="F103" t="n">
        <v>132216</v>
      </c>
    </row>
    <row r="104">
      <c r="A104" s="1" t="inlineStr">
        <is>
          <t>MBWAY_BOR</t>
        </is>
      </c>
      <c r="B104" s="1" t="inlineStr">
        <is>
          <t>621</t>
        </is>
      </c>
      <c r="C104" s="1" t="inlineStr">
        <is>
          <t>2024</t>
        </is>
      </c>
      <c r="D104" s="1" t="inlineStr">
        <is>
          <t>2027BUD_V1</t>
        </is>
      </c>
      <c r="E104" s="1" t="inlineStr">
        <is>
          <t>12</t>
        </is>
      </c>
      <c r="F104" t="n">
        <v>110180</v>
      </c>
    </row>
    <row r="105">
      <c r="A105" s="1" t="inlineStr">
        <is>
          <t>ISCOM_PAR</t>
        </is>
      </c>
      <c r="B105" s="1" t="inlineStr">
        <is>
          <t>621</t>
        </is>
      </c>
      <c r="C105" s="1" t="inlineStr">
        <is>
          <t>2024</t>
        </is>
      </c>
      <c r="D105" s="1" t="inlineStr">
        <is>
          <t>2027BUD_V1</t>
        </is>
      </c>
      <c r="E105" s="1" t="inlineStr">
        <is>
          <t>12</t>
        </is>
      </c>
      <c r="F105" t="n">
        <v>165271</v>
      </c>
    </row>
    <row r="106">
      <c r="A106" s="1" t="inlineStr">
        <is>
          <t>ISCOM_LIL</t>
        </is>
      </c>
      <c r="B106" s="1" t="inlineStr">
        <is>
          <t>621</t>
        </is>
      </c>
      <c r="C106" s="1" t="inlineStr">
        <is>
          <t>2024</t>
        </is>
      </c>
      <c r="D106" s="1" t="inlineStr">
        <is>
          <t>2027BUD_V1</t>
        </is>
      </c>
      <c r="E106" s="1" t="inlineStr">
        <is>
          <t>12</t>
        </is>
      </c>
      <c r="F106" t="n">
        <v>110180</v>
      </c>
    </row>
    <row r="107">
      <c r="A107" s="1" t="inlineStr">
        <is>
          <t>ISCOM_TLS</t>
        </is>
      </c>
      <c r="B107" s="1" t="inlineStr">
        <is>
          <t>621</t>
        </is>
      </c>
      <c r="C107" s="1" t="inlineStr">
        <is>
          <t>2024</t>
        </is>
      </c>
      <c r="D107" s="1" t="inlineStr">
        <is>
          <t>2027BUD_V1</t>
        </is>
      </c>
      <c r="E107" s="1" t="inlineStr">
        <is>
          <t>12</t>
        </is>
      </c>
      <c r="F107" t="n">
        <v>110180</v>
      </c>
    </row>
    <row r="108">
      <c r="A108" s="1" t="inlineStr">
        <is>
          <t>IPAC_NAN</t>
        </is>
      </c>
      <c r="B108" s="1" t="inlineStr">
        <is>
          <t>621</t>
        </is>
      </c>
      <c r="C108" s="1" t="inlineStr">
        <is>
          <t>2024</t>
        </is>
      </c>
      <c r="D108" s="1" t="inlineStr">
        <is>
          <t>2027BUD_V1</t>
        </is>
      </c>
      <c r="E108" s="1" t="inlineStr">
        <is>
          <t>12</t>
        </is>
      </c>
      <c r="F108" t="n">
        <v>66108</v>
      </c>
    </row>
    <row r="109">
      <c r="A109" s="1" t="inlineStr">
        <is>
          <t>IPAC_REN</t>
        </is>
      </c>
      <c r="B109" s="1" t="inlineStr">
        <is>
          <t>621</t>
        </is>
      </c>
      <c r="C109" s="1" t="inlineStr">
        <is>
          <t>2024</t>
        </is>
      </c>
      <c r="D109" s="1" t="inlineStr">
        <is>
          <t>2027BUD_V1</t>
        </is>
      </c>
      <c r="E109" s="1" t="inlineStr">
        <is>
          <t>12</t>
        </is>
      </c>
      <c r="F109" t="n">
        <v>66108</v>
      </c>
    </row>
    <row r="110">
      <c r="A110" s="1" t="inlineStr">
        <is>
          <t>IPAC_MTP</t>
        </is>
      </c>
      <c r="B110" s="1" t="inlineStr">
        <is>
          <t>621</t>
        </is>
      </c>
      <c r="C110" s="1" t="inlineStr">
        <is>
          <t>2024</t>
        </is>
      </c>
      <c r="D110" s="1" t="inlineStr">
        <is>
          <t>2027BUD_V1</t>
        </is>
      </c>
      <c r="E110" s="1" t="inlineStr">
        <is>
          <t>12</t>
        </is>
      </c>
      <c r="F110" t="n">
        <v>66108</v>
      </c>
    </row>
    <row r="111">
      <c r="A111" s="1" t="inlineStr">
        <is>
          <t>PIGIER_LYO</t>
        </is>
      </c>
      <c r="B111" s="1" t="inlineStr">
        <is>
          <t>621</t>
        </is>
      </c>
      <c r="C111" s="1" t="inlineStr">
        <is>
          <t>2024</t>
        </is>
      </c>
      <c r="D111" s="1" t="inlineStr">
        <is>
          <t>2027BUD_V1</t>
        </is>
      </c>
      <c r="E111" s="1" t="inlineStr">
        <is>
          <t>12</t>
        </is>
      </c>
      <c r="F111" t="n">
        <v>88144</v>
      </c>
    </row>
    <row r="112">
      <c r="A112" s="1" t="inlineStr">
        <is>
          <t>PIGIER_BOR</t>
        </is>
      </c>
      <c r="B112" s="1" t="inlineStr">
        <is>
          <t>621</t>
        </is>
      </c>
      <c r="C112" s="1" t="inlineStr">
        <is>
          <t>2024</t>
        </is>
      </c>
      <c r="D112" s="1" t="inlineStr">
        <is>
          <t>2027BUD_V1</t>
        </is>
      </c>
      <c r="E112" s="1" t="inlineStr">
        <is>
          <t>12</t>
        </is>
      </c>
      <c r="F112" t="n">
        <v>88144</v>
      </c>
    </row>
    <row r="113">
      <c r="A113" s="1" t="inlineStr">
        <is>
          <t>TUNON_PAR</t>
        </is>
      </c>
      <c r="B113" s="1" t="inlineStr">
        <is>
          <t>621</t>
        </is>
      </c>
      <c r="C113" s="1" t="inlineStr">
        <is>
          <t>2024</t>
        </is>
      </c>
      <c r="D113" s="1" t="inlineStr">
        <is>
          <t>2027BUD_V1</t>
        </is>
      </c>
      <c r="E113" s="1" t="inlineStr">
        <is>
          <t>12</t>
        </is>
      </c>
      <c r="F113" t="n">
        <v>66108</v>
      </c>
    </row>
    <row r="114">
      <c r="A114" s="1" t="inlineStr">
        <is>
          <t>TUNON_LYO</t>
        </is>
      </c>
      <c r="B114" s="1" t="inlineStr">
        <is>
          <t>621</t>
        </is>
      </c>
      <c r="C114" s="1" t="inlineStr">
        <is>
          <t>2024</t>
        </is>
      </c>
      <c r="D114" s="1" t="inlineStr">
        <is>
          <t>2027BUD_V1</t>
        </is>
      </c>
      <c r="E114" s="1" t="inlineStr">
        <is>
          <t>12</t>
        </is>
      </c>
      <c r="F114" t="n">
        <v>66108</v>
      </c>
    </row>
    <row r="115">
      <c r="A115" s="1" t="inlineStr">
        <is>
          <t>MBWAY_PAR</t>
        </is>
      </c>
      <c r="B115" s="1" t="inlineStr">
        <is>
          <t>621</t>
        </is>
      </c>
      <c r="C115" s="1" t="inlineStr">
        <is>
          <t>2025</t>
        </is>
      </c>
      <c r="D115" s="1" t="inlineStr">
        <is>
          <t>2027BUD_V1</t>
        </is>
      </c>
      <c r="E115" s="1" t="inlineStr">
        <is>
          <t>12</t>
        </is>
      </c>
      <c r="F115" t="n">
        <v>172844</v>
      </c>
    </row>
    <row r="116">
      <c r="A116" s="1" t="inlineStr">
        <is>
          <t>MBWAY_LYO</t>
        </is>
      </c>
      <c r="B116" s="1" t="inlineStr">
        <is>
          <t>621</t>
        </is>
      </c>
      <c r="C116" s="1" t="inlineStr">
        <is>
          <t>2025</t>
        </is>
      </c>
      <c r="D116" s="1" t="inlineStr">
        <is>
          <t>2027BUD_V1</t>
        </is>
      </c>
      <c r="E116" s="1" t="inlineStr">
        <is>
          <t>12</t>
        </is>
      </c>
      <c r="F116" t="n">
        <v>149798</v>
      </c>
    </row>
    <row r="117">
      <c r="A117" s="1" t="inlineStr">
        <is>
          <t>MBWAY_NAN</t>
        </is>
      </c>
      <c r="B117" s="1" t="inlineStr">
        <is>
          <t>621</t>
        </is>
      </c>
      <c r="C117" s="1" t="inlineStr">
        <is>
          <t>2025</t>
        </is>
      </c>
      <c r="D117" s="1" t="inlineStr">
        <is>
          <t>2027BUD_V1</t>
        </is>
      </c>
      <c r="E117" s="1" t="inlineStr">
        <is>
          <t>12</t>
        </is>
      </c>
      <c r="F117" t="n">
        <v>138275</v>
      </c>
    </row>
    <row r="118">
      <c r="A118" s="1" t="inlineStr">
        <is>
          <t>MBWAY_BOR</t>
        </is>
      </c>
      <c r="B118" s="1" t="inlineStr">
        <is>
          <t>621</t>
        </is>
      </c>
      <c r="C118" s="1" t="inlineStr">
        <is>
          <t>2025</t>
        </is>
      </c>
      <c r="D118" s="1" t="inlineStr">
        <is>
          <t>2027BUD_V1</t>
        </is>
      </c>
      <c r="E118" s="1" t="inlineStr">
        <is>
          <t>12</t>
        </is>
      </c>
      <c r="F118" t="n">
        <v>115229</v>
      </c>
    </row>
    <row r="119">
      <c r="A119" s="1" t="inlineStr">
        <is>
          <t>ISCOM_PAR</t>
        </is>
      </c>
      <c r="B119" s="1" t="inlineStr">
        <is>
          <t>621</t>
        </is>
      </c>
      <c r="C119" s="1" t="inlineStr">
        <is>
          <t>2025</t>
        </is>
      </c>
      <c r="D119" s="1" t="inlineStr">
        <is>
          <t>2027BUD_V1</t>
        </is>
      </c>
      <c r="E119" s="1" t="inlineStr">
        <is>
          <t>12</t>
        </is>
      </c>
      <c r="F119" t="n">
        <v>172844</v>
      </c>
    </row>
    <row r="120">
      <c r="A120" s="1" t="inlineStr">
        <is>
          <t>ISCOM_LIL</t>
        </is>
      </c>
      <c r="B120" s="1" t="inlineStr">
        <is>
          <t>621</t>
        </is>
      </c>
      <c r="C120" s="1" t="inlineStr">
        <is>
          <t>2025</t>
        </is>
      </c>
      <c r="D120" s="1" t="inlineStr">
        <is>
          <t>2027BUD_V1</t>
        </is>
      </c>
      <c r="E120" s="1" t="inlineStr">
        <is>
          <t>12</t>
        </is>
      </c>
      <c r="F120" t="n">
        <v>115229</v>
      </c>
    </row>
    <row r="121">
      <c r="A121" s="1" t="inlineStr">
        <is>
          <t>ISCOM_TLS</t>
        </is>
      </c>
      <c r="B121" s="1" t="inlineStr">
        <is>
          <t>621</t>
        </is>
      </c>
      <c r="C121" s="1" t="inlineStr">
        <is>
          <t>2025</t>
        </is>
      </c>
      <c r="D121" s="1" t="inlineStr">
        <is>
          <t>2027BUD_V1</t>
        </is>
      </c>
      <c r="E121" s="1" t="inlineStr">
        <is>
          <t>12</t>
        </is>
      </c>
      <c r="F121" t="n">
        <v>115229</v>
      </c>
    </row>
    <row r="122">
      <c r="A122" s="1" t="inlineStr">
        <is>
          <t>IPAC_NAN</t>
        </is>
      </c>
      <c r="B122" s="1" t="inlineStr">
        <is>
          <t>621</t>
        </is>
      </c>
      <c r="C122" s="1" t="inlineStr">
        <is>
          <t>2025</t>
        </is>
      </c>
      <c r="D122" s="1" t="inlineStr">
        <is>
          <t>2027BUD_V1</t>
        </is>
      </c>
      <c r="E122" s="1" t="inlineStr">
        <is>
          <t>12</t>
        </is>
      </c>
      <c r="F122" t="n">
        <v>69137</v>
      </c>
    </row>
    <row r="123">
      <c r="A123" s="1" t="inlineStr">
        <is>
          <t>IPAC_REN</t>
        </is>
      </c>
      <c r="B123" s="1" t="inlineStr">
        <is>
          <t>621</t>
        </is>
      </c>
      <c r="C123" s="1" t="inlineStr">
        <is>
          <t>2025</t>
        </is>
      </c>
      <c r="D123" s="1" t="inlineStr">
        <is>
          <t>2027BUD_V1</t>
        </is>
      </c>
      <c r="E123" s="1" t="inlineStr">
        <is>
          <t>12</t>
        </is>
      </c>
      <c r="F123" t="n">
        <v>69137</v>
      </c>
    </row>
    <row r="124">
      <c r="A124" s="1" t="inlineStr">
        <is>
          <t>IPAC_MTP</t>
        </is>
      </c>
      <c r="B124" s="1" t="inlineStr">
        <is>
          <t>621</t>
        </is>
      </c>
      <c r="C124" s="1" t="inlineStr">
        <is>
          <t>2025</t>
        </is>
      </c>
      <c r="D124" s="1" t="inlineStr">
        <is>
          <t>2027BUD_V1</t>
        </is>
      </c>
      <c r="E124" s="1" t="inlineStr">
        <is>
          <t>12</t>
        </is>
      </c>
      <c r="F124" t="n">
        <v>69137</v>
      </c>
    </row>
    <row r="125">
      <c r="A125" s="1" t="inlineStr">
        <is>
          <t>PIGIER_LYO</t>
        </is>
      </c>
      <c r="B125" s="1" t="inlineStr">
        <is>
          <t>621</t>
        </is>
      </c>
      <c r="C125" s="1" t="inlineStr">
        <is>
          <t>2025</t>
        </is>
      </c>
      <c r="D125" s="1" t="inlineStr">
        <is>
          <t>2027BUD_V1</t>
        </is>
      </c>
      <c r="E125" s="1" t="inlineStr">
        <is>
          <t>12</t>
        </is>
      </c>
      <c r="F125" t="n">
        <v>92183</v>
      </c>
    </row>
    <row r="126">
      <c r="A126" s="1" t="inlineStr">
        <is>
          <t>PIGIER_BOR</t>
        </is>
      </c>
      <c r="B126" s="1" t="inlineStr">
        <is>
          <t>621</t>
        </is>
      </c>
      <c r="C126" s="1" t="inlineStr">
        <is>
          <t>2025</t>
        </is>
      </c>
      <c r="D126" s="1" t="inlineStr">
        <is>
          <t>2027BUD_V1</t>
        </is>
      </c>
      <c r="E126" s="1" t="inlineStr">
        <is>
          <t>12</t>
        </is>
      </c>
      <c r="F126" t="n">
        <v>92183</v>
      </c>
    </row>
    <row r="127">
      <c r="A127" s="1" t="inlineStr">
        <is>
          <t>TUNON_PAR</t>
        </is>
      </c>
      <c r="B127" s="1" t="inlineStr">
        <is>
          <t>621</t>
        </is>
      </c>
      <c r="C127" s="1" t="inlineStr">
        <is>
          <t>2025</t>
        </is>
      </c>
      <c r="D127" s="1" t="inlineStr">
        <is>
          <t>2027BUD_V1</t>
        </is>
      </c>
      <c r="E127" s="1" t="inlineStr">
        <is>
          <t>12</t>
        </is>
      </c>
      <c r="F127" t="n">
        <v>69137</v>
      </c>
    </row>
    <row r="128">
      <c r="A128" s="1" t="inlineStr">
        <is>
          <t>TUNON_LYO</t>
        </is>
      </c>
      <c r="B128" s="1" t="inlineStr">
        <is>
          <t>621</t>
        </is>
      </c>
      <c r="C128" s="1" t="inlineStr">
        <is>
          <t>2025</t>
        </is>
      </c>
      <c r="D128" s="1" t="inlineStr">
        <is>
          <t>2027BUD_V1</t>
        </is>
      </c>
      <c r="E128" s="1" t="inlineStr">
        <is>
          <t>12</t>
        </is>
      </c>
      <c r="F128" t="n">
        <v>69137</v>
      </c>
    </row>
    <row r="129">
      <c r="A129" s="1" t="inlineStr">
        <is>
          <t>MBWAY_PAR</t>
        </is>
      </c>
      <c r="B129" s="1" t="inlineStr">
        <is>
          <t>621</t>
        </is>
      </c>
      <c r="C129" s="1" t="inlineStr">
        <is>
          <t>2026</t>
        </is>
      </c>
      <c r="D129" s="1" t="inlineStr">
        <is>
          <t>2027BUD_V1</t>
        </is>
      </c>
      <c r="E129" s="1" t="inlineStr">
        <is>
          <t>12</t>
        </is>
      </c>
      <c r="F129" t="n">
        <v>181094</v>
      </c>
    </row>
    <row r="130">
      <c r="A130" s="1" t="inlineStr">
        <is>
          <t>MBWAY_LYO</t>
        </is>
      </c>
      <c r="B130" s="1" t="inlineStr">
        <is>
          <t>621</t>
        </is>
      </c>
      <c r="C130" s="1" t="inlineStr">
        <is>
          <t>2026</t>
        </is>
      </c>
      <c r="D130" s="1" t="inlineStr">
        <is>
          <t>2027BUD_V1</t>
        </is>
      </c>
      <c r="E130" s="1" t="inlineStr">
        <is>
          <t>12</t>
        </is>
      </c>
      <c r="F130" t="n">
        <v>156948</v>
      </c>
    </row>
    <row r="131">
      <c r="A131" s="1" t="inlineStr">
        <is>
          <t>MBWAY_NAN</t>
        </is>
      </c>
      <c r="B131" s="1" t="inlineStr">
        <is>
          <t>621</t>
        </is>
      </c>
      <c r="C131" s="1" t="inlineStr">
        <is>
          <t>2026</t>
        </is>
      </c>
      <c r="D131" s="1" t="inlineStr">
        <is>
          <t>2027BUD_V1</t>
        </is>
      </c>
      <c r="E131" s="1" t="inlineStr">
        <is>
          <t>12</t>
        </is>
      </c>
      <c r="F131" t="n">
        <v>144875</v>
      </c>
    </row>
    <row r="132">
      <c r="A132" s="1" t="inlineStr">
        <is>
          <t>MBWAY_BOR</t>
        </is>
      </c>
      <c r="B132" s="1" t="inlineStr">
        <is>
          <t>621</t>
        </is>
      </c>
      <c r="C132" s="1" t="inlineStr">
        <is>
          <t>2026</t>
        </is>
      </c>
      <c r="D132" s="1" t="inlineStr">
        <is>
          <t>2027BUD_V1</t>
        </is>
      </c>
      <c r="E132" s="1" t="inlineStr">
        <is>
          <t>12</t>
        </is>
      </c>
      <c r="F132" t="n">
        <v>120729</v>
      </c>
    </row>
    <row r="133">
      <c r="A133" s="1" t="inlineStr">
        <is>
          <t>ISCOM_PAR</t>
        </is>
      </c>
      <c r="B133" s="1" t="inlineStr">
        <is>
          <t>621</t>
        </is>
      </c>
      <c r="C133" s="1" t="inlineStr">
        <is>
          <t>2026</t>
        </is>
      </c>
      <c r="D133" s="1" t="inlineStr">
        <is>
          <t>2027BUD_V1</t>
        </is>
      </c>
      <c r="E133" s="1" t="inlineStr">
        <is>
          <t>12</t>
        </is>
      </c>
      <c r="F133" t="n">
        <v>181094</v>
      </c>
    </row>
    <row r="134">
      <c r="A134" s="1" t="inlineStr">
        <is>
          <t>ISCOM_LIL</t>
        </is>
      </c>
      <c r="B134" s="1" t="inlineStr">
        <is>
          <t>621</t>
        </is>
      </c>
      <c r="C134" s="1" t="inlineStr">
        <is>
          <t>2026</t>
        </is>
      </c>
      <c r="D134" s="1" t="inlineStr">
        <is>
          <t>2027BUD_V1</t>
        </is>
      </c>
      <c r="E134" s="1" t="inlineStr">
        <is>
          <t>12</t>
        </is>
      </c>
      <c r="F134" t="n">
        <v>120729</v>
      </c>
    </row>
    <row r="135">
      <c r="A135" s="1" t="inlineStr">
        <is>
          <t>ISCOM_TLS</t>
        </is>
      </c>
      <c r="B135" s="1" t="inlineStr">
        <is>
          <t>621</t>
        </is>
      </c>
      <c r="C135" s="1" t="inlineStr">
        <is>
          <t>2026</t>
        </is>
      </c>
      <c r="D135" s="1" t="inlineStr">
        <is>
          <t>2027BUD_V1</t>
        </is>
      </c>
      <c r="E135" s="1" t="inlineStr">
        <is>
          <t>12</t>
        </is>
      </c>
      <c r="F135" t="n">
        <v>120729</v>
      </c>
    </row>
    <row r="136">
      <c r="A136" s="1" t="inlineStr">
        <is>
          <t>IPAC_NAN</t>
        </is>
      </c>
      <c r="B136" s="1" t="inlineStr">
        <is>
          <t>621</t>
        </is>
      </c>
      <c r="C136" s="1" t="inlineStr">
        <is>
          <t>2026</t>
        </is>
      </c>
      <c r="D136" s="1" t="inlineStr">
        <is>
          <t>2027BUD_V1</t>
        </is>
      </c>
      <c r="E136" s="1" t="inlineStr">
        <is>
          <t>12</t>
        </is>
      </c>
      <c r="F136" t="n">
        <v>72438</v>
      </c>
    </row>
    <row r="137">
      <c r="A137" s="1" t="inlineStr">
        <is>
          <t>IPAC_REN</t>
        </is>
      </c>
      <c r="B137" s="1" t="inlineStr">
        <is>
          <t>621</t>
        </is>
      </c>
      <c r="C137" s="1" t="inlineStr">
        <is>
          <t>2026</t>
        </is>
      </c>
      <c r="D137" s="1" t="inlineStr">
        <is>
          <t>2027BUD_V1</t>
        </is>
      </c>
      <c r="E137" s="1" t="inlineStr">
        <is>
          <t>12</t>
        </is>
      </c>
      <c r="F137" t="n">
        <v>72438</v>
      </c>
    </row>
    <row r="138">
      <c r="A138" s="1" t="inlineStr">
        <is>
          <t>IPAC_MTP</t>
        </is>
      </c>
      <c r="B138" s="1" t="inlineStr">
        <is>
          <t>621</t>
        </is>
      </c>
      <c r="C138" s="1" t="inlineStr">
        <is>
          <t>2026</t>
        </is>
      </c>
      <c r="D138" s="1" t="inlineStr">
        <is>
          <t>2027BUD_V1</t>
        </is>
      </c>
      <c r="E138" s="1" t="inlineStr">
        <is>
          <t>12</t>
        </is>
      </c>
      <c r="F138" t="n">
        <v>72438</v>
      </c>
    </row>
    <row r="139">
      <c r="A139" s="1" t="inlineStr">
        <is>
          <t>PIGIER_LYO</t>
        </is>
      </c>
      <c r="B139" s="1" t="inlineStr">
        <is>
          <t>621</t>
        </is>
      </c>
      <c r="C139" s="1" t="inlineStr">
        <is>
          <t>2026</t>
        </is>
      </c>
      <c r="D139" s="1" t="inlineStr">
        <is>
          <t>2027BUD_V1</t>
        </is>
      </c>
      <c r="E139" s="1" t="inlineStr">
        <is>
          <t>12</t>
        </is>
      </c>
      <c r="F139" t="n">
        <v>96583</v>
      </c>
    </row>
    <row r="140">
      <c r="A140" s="1" t="inlineStr">
        <is>
          <t>PIGIER_BOR</t>
        </is>
      </c>
      <c r="B140" s="1" t="inlineStr">
        <is>
          <t>621</t>
        </is>
      </c>
      <c r="C140" s="1" t="inlineStr">
        <is>
          <t>2026</t>
        </is>
      </c>
      <c r="D140" s="1" t="inlineStr">
        <is>
          <t>2027BUD_V1</t>
        </is>
      </c>
      <c r="E140" s="1" t="inlineStr">
        <is>
          <t>12</t>
        </is>
      </c>
      <c r="F140" t="n">
        <v>96583</v>
      </c>
    </row>
    <row r="141">
      <c r="A141" s="1" t="inlineStr">
        <is>
          <t>TUNON_PAR</t>
        </is>
      </c>
      <c r="B141" s="1" t="inlineStr">
        <is>
          <t>621</t>
        </is>
      </c>
      <c r="C141" s="1" t="inlineStr">
        <is>
          <t>2026</t>
        </is>
      </c>
      <c r="D141" s="1" t="inlineStr">
        <is>
          <t>2027BUD_V1</t>
        </is>
      </c>
      <c r="E141" s="1" t="inlineStr">
        <is>
          <t>12</t>
        </is>
      </c>
      <c r="F141" t="n">
        <v>72438</v>
      </c>
    </row>
    <row r="142">
      <c r="A142" s="1" t="inlineStr">
        <is>
          <t>TUNON_LYO</t>
        </is>
      </c>
      <c r="B142" s="1" t="inlineStr">
        <is>
          <t>621</t>
        </is>
      </c>
      <c r="C142" s="1" t="inlineStr">
        <is>
          <t>2026</t>
        </is>
      </c>
      <c r="D142" s="1" t="inlineStr">
        <is>
          <t>2027BUD_V1</t>
        </is>
      </c>
      <c r="E142" s="1" t="inlineStr">
        <is>
          <t>12</t>
        </is>
      </c>
      <c r="F142" t="n">
        <v>72438</v>
      </c>
    </row>
    <row r="143">
      <c r="A143" s="1" t="inlineStr">
        <is>
          <t>MBWAY_PAR</t>
        </is>
      </c>
      <c r="B143" s="1" t="inlineStr">
        <is>
          <t>604</t>
        </is>
      </c>
      <c r="C143" s="1" t="inlineStr">
        <is>
          <t>2024</t>
        </is>
      </c>
      <c r="D143" s="1" t="inlineStr">
        <is>
          <t>2027BUD_V1</t>
        </is>
      </c>
      <c r="E143" s="1" t="inlineStr">
        <is>
          <t>12</t>
        </is>
      </c>
      <c r="F143" t="n">
        <v>77832</v>
      </c>
    </row>
    <row r="144">
      <c r="A144" s="1" t="inlineStr">
        <is>
          <t>MBWAY_LYO</t>
        </is>
      </c>
      <c r="B144" s="1" t="inlineStr">
        <is>
          <t>604</t>
        </is>
      </c>
      <c r="C144" s="1" t="inlineStr">
        <is>
          <t>2024</t>
        </is>
      </c>
      <c r="D144" s="1" t="inlineStr">
        <is>
          <t>2027BUD_V1</t>
        </is>
      </c>
      <c r="E144" s="1" t="inlineStr">
        <is>
          <t>12</t>
        </is>
      </c>
      <c r="F144" t="n">
        <v>66015</v>
      </c>
    </row>
    <row r="145">
      <c r="A145" s="1" t="inlineStr">
        <is>
          <t>MBWAY_NAN</t>
        </is>
      </c>
      <c r="B145" s="1" t="inlineStr">
        <is>
          <t>604</t>
        </is>
      </c>
      <c r="C145" s="1" t="inlineStr">
        <is>
          <t>2024</t>
        </is>
      </c>
      <c r="D145" s="1" t="inlineStr">
        <is>
          <t>2027BUD_V1</t>
        </is>
      </c>
      <c r="E145" s="1" t="inlineStr">
        <is>
          <t>12</t>
        </is>
      </c>
      <c r="F145" t="n">
        <v>59902</v>
      </c>
    </row>
    <row r="146">
      <c r="A146" s="1" t="inlineStr">
        <is>
          <t>MBWAY_BOR</t>
        </is>
      </c>
      <c r="B146" s="1" t="inlineStr">
        <is>
          <t>604</t>
        </is>
      </c>
      <c r="C146" s="1" t="inlineStr">
        <is>
          <t>2024</t>
        </is>
      </c>
      <c r="D146" s="1" t="inlineStr">
        <is>
          <t>2027BUD_V1</t>
        </is>
      </c>
      <c r="E146" s="1" t="inlineStr">
        <is>
          <t>12</t>
        </is>
      </c>
      <c r="F146" t="n">
        <v>50734</v>
      </c>
    </row>
    <row r="147">
      <c r="A147" s="1" t="inlineStr">
        <is>
          <t>ISCOM_PAR</t>
        </is>
      </c>
      <c r="B147" s="1" t="inlineStr">
        <is>
          <t>604</t>
        </is>
      </c>
      <c r="C147" s="1" t="inlineStr">
        <is>
          <t>2024</t>
        </is>
      </c>
      <c r="D147" s="1" t="inlineStr">
        <is>
          <t>2027BUD_V1</t>
        </is>
      </c>
      <c r="E147" s="1" t="inlineStr">
        <is>
          <t>12</t>
        </is>
      </c>
      <c r="F147" t="n">
        <v>72127</v>
      </c>
    </row>
    <row r="148">
      <c r="A148" s="1" t="inlineStr">
        <is>
          <t>ISCOM_LIL</t>
        </is>
      </c>
      <c r="B148" s="1" t="inlineStr">
        <is>
          <t>604</t>
        </is>
      </c>
      <c r="C148" s="1" t="inlineStr">
        <is>
          <t>2024</t>
        </is>
      </c>
      <c r="D148" s="1" t="inlineStr">
        <is>
          <t>2027BUD_V1</t>
        </is>
      </c>
      <c r="E148" s="1" t="inlineStr">
        <is>
          <t>12</t>
        </is>
      </c>
      <c r="F148" t="n">
        <v>49715</v>
      </c>
    </row>
    <row r="149">
      <c r="A149" s="1" t="inlineStr">
        <is>
          <t>ISCOM_TLS</t>
        </is>
      </c>
      <c r="B149" s="1" t="inlineStr">
        <is>
          <t>604</t>
        </is>
      </c>
      <c r="C149" s="1" t="inlineStr">
        <is>
          <t>2024</t>
        </is>
      </c>
      <c r="D149" s="1" t="inlineStr">
        <is>
          <t>2027BUD_V1</t>
        </is>
      </c>
      <c r="E149" s="1" t="inlineStr">
        <is>
          <t>12</t>
        </is>
      </c>
      <c r="F149" t="n">
        <v>47066</v>
      </c>
    </row>
    <row r="150">
      <c r="A150" s="1" t="inlineStr">
        <is>
          <t>IPAC_NAN</t>
        </is>
      </c>
      <c r="B150" s="1" t="inlineStr">
        <is>
          <t>604</t>
        </is>
      </c>
      <c r="C150" s="1" t="inlineStr">
        <is>
          <t>2024</t>
        </is>
      </c>
      <c r="D150" s="1" t="inlineStr">
        <is>
          <t>2027BUD_V1</t>
        </is>
      </c>
      <c r="E150" s="1" t="inlineStr">
        <is>
          <t>12</t>
        </is>
      </c>
      <c r="F150" t="n">
        <v>29544</v>
      </c>
    </row>
    <row r="151">
      <c r="A151" s="1" t="inlineStr">
        <is>
          <t>IPAC_REN</t>
        </is>
      </c>
      <c r="B151" s="1" t="inlineStr">
        <is>
          <t>604</t>
        </is>
      </c>
      <c r="C151" s="1" t="inlineStr">
        <is>
          <t>2024</t>
        </is>
      </c>
      <c r="D151" s="1" t="inlineStr">
        <is>
          <t>2027BUD_V1</t>
        </is>
      </c>
      <c r="E151" s="1" t="inlineStr">
        <is>
          <t>12</t>
        </is>
      </c>
      <c r="F151" t="n">
        <v>23839</v>
      </c>
    </row>
    <row r="152">
      <c r="A152" s="1" t="inlineStr">
        <is>
          <t>IPAC_MTP</t>
        </is>
      </c>
      <c r="B152" s="1" t="inlineStr">
        <is>
          <t>604</t>
        </is>
      </c>
      <c r="C152" s="1" t="inlineStr">
        <is>
          <t>2024</t>
        </is>
      </c>
      <c r="D152" s="1" t="inlineStr">
        <is>
          <t>2027BUD_V1</t>
        </is>
      </c>
      <c r="E152" s="1" t="inlineStr">
        <is>
          <t>12</t>
        </is>
      </c>
      <c r="F152" t="n">
        <v>23839</v>
      </c>
    </row>
    <row r="153">
      <c r="A153" s="1" t="inlineStr">
        <is>
          <t>PIGIER_LYO</t>
        </is>
      </c>
      <c r="B153" s="1" t="inlineStr">
        <is>
          <t>604</t>
        </is>
      </c>
      <c r="C153" s="1" t="inlineStr">
        <is>
          <t>2024</t>
        </is>
      </c>
      <c r="D153" s="1" t="inlineStr">
        <is>
          <t>2027BUD_V1</t>
        </is>
      </c>
      <c r="E153" s="1" t="inlineStr">
        <is>
          <t>12</t>
        </is>
      </c>
      <c r="F153" t="n">
        <v>37082</v>
      </c>
    </row>
    <row r="154">
      <c r="A154" s="1" t="inlineStr">
        <is>
          <t>PIGIER_BOR</t>
        </is>
      </c>
      <c r="B154" s="1" t="inlineStr">
        <is>
          <t>604</t>
        </is>
      </c>
      <c r="C154" s="1" t="inlineStr">
        <is>
          <t>2024</t>
        </is>
      </c>
      <c r="D154" s="1" t="inlineStr">
        <is>
          <t>2027BUD_V1</t>
        </is>
      </c>
      <c r="E154" s="1" t="inlineStr">
        <is>
          <t>12</t>
        </is>
      </c>
      <c r="F154" t="n">
        <v>28932</v>
      </c>
    </row>
    <row r="155">
      <c r="A155" s="1" t="inlineStr">
        <is>
          <t>TUNON_PAR</t>
        </is>
      </c>
      <c r="B155" s="1" t="inlineStr">
        <is>
          <t>604</t>
        </is>
      </c>
      <c r="C155" s="1" t="inlineStr">
        <is>
          <t>2024</t>
        </is>
      </c>
      <c r="D155" s="1" t="inlineStr">
        <is>
          <t>2027BUD_V1</t>
        </is>
      </c>
      <c r="E155" s="1" t="inlineStr">
        <is>
          <t>12</t>
        </is>
      </c>
      <c r="F155" t="n">
        <v>28117</v>
      </c>
    </row>
    <row r="156">
      <c r="A156" s="1" t="inlineStr">
        <is>
          <t>TUNON_LYO</t>
        </is>
      </c>
      <c r="B156" s="1" t="inlineStr">
        <is>
          <t>604</t>
        </is>
      </c>
      <c r="C156" s="1" t="inlineStr">
        <is>
          <t>2024</t>
        </is>
      </c>
      <c r="D156" s="1" t="inlineStr">
        <is>
          <t>2027BUD_V1</t>
        </is>
      </c>
      <c r="E156" s="1" t="inlineStr">
        <is>
          <t>12</t>
        </is>
      </c>
      <c r="F156" t="n">
        <v>23839</v>
      </c>
    </row>
    <row r="157">
      <c r="A157" s="1" t="inlineStr">
        <is>
          <t>MBWAY_PAR</t>
        </is>
      </c>
      <c r="B157" s="1" t="inlineStr">
        <is>
          <t>604</t>
        </is>
      </c>
      <c r="C157" s="1" t="inlineStr">
        <is>
          <t>2025</t>
        </is>
      </c>
      <c r="D157" s="1" t="inlineStr">
        <is>
          <t>2027BUD_V1</t>
        </is>
      </c>
      <c r="E157" s="1" t="inlineStr">
        <is>
          <t>12</t>
        </is>
      </c>
      <c r="F157" t="n">
        <v>81399</v>
      </c>
    </row>
    <row r="158">
      <c r="A158" s="1" t="inlineStr">
        <is>
          <t>MBWAY_LYO</t>
        </is>
      </c>
      <c r="B158" s="1" t="inlineStr">
        <is>
          <t>604</t>
        </is>
      </c>
      <c r="C158" s="1" t="inlineStr">
        <is>
          <t>2025</t>
        </is>
      </c>
      <c r="D158" s="1" t="inlineStr">
        <is>
          <t>2027BUD_V1</t>
        </is>
      </c>
      <c r="E158" s="1" t="inlineStr">
        <is>
          <t>12</t>
        </is>
      </c>
      <c r="F158" t="n">
        <v>69040</v>
      </c>
    </row>
    <row r="159">
      <c r="A159" s="1" t="inlineStr">
        <is>
          <t>MBWAY_NAN</t>
        </is>
      </c>
      <c r="B159" s="1" t="inlineStr">
        <is>
          <t>604</t>
        </is>
      </c>
      <c r="C159" s="1" t="inlineStr">
        <is>
          <t>2025</t>
        </is>
      </c>
      <c r="D159" s="1" t="inlineStr">
        <is>
          <t>2027BUD_V1</t>
        </is>
      </c>
      <c r="E159" s="1" t="inlineStr">
        <is>
          <t>12</t>
        </is>
      </c>
      <c r="F159" t="n">
        <v>62647</v>
      </c>
    </row>
    <row r="160">
      <c r="A160" s="1" t="inlineStr">
        <is>
          <t>MBWAY_BOR</t>
        </is>
      </c>
      <c r="B160" s="1" t="inlineStr">
        <is>
          <t>604</t>
        </is>
      </c>
      <c r="C160" s="1" t="inlineStr">
        <is>
          <t>2025</t>
        </is>
      </c>
      <c r="D160" s="1" t="inlineStr">
        <is>
          <t>2027BUD_V1</t>
        </is>
      </c>
      <c r="E160" s="1" t="inlineStr">
        <is>
          <t>12</t>
        </is>
      </c>
      <c r="F160" t="n">
        <v>53058</v>
      </c>
    </row>
    <row r="161">
      <c r="A161" s="1" t="inlineStr">
        <is>
          <t>ISCOM_PAR</t>
        </is>
      </c>
      <c r="B161" s="1" t="inlineStr">
        <is>
          <t>604</t>
        </is>
      </c>
      <c r="C161" s="1" t="inlineStr">
        <is>
          <t>2025</t>
        </is>
      </c>
      <c r="D161" s="1" t="inlineStr">
        <is>
          <t>2027BUD_V1</t>
        </is>
      </c>
      <c r="E161" s="1" t="inlineStr">
        <is>
          <t>12</t>
        </is>
      </c>
      <c r="F161" t="n">
        <v>75432</v>
      </c>
    </row>
    <row r="162">
      <c r="A162" s="1" t="inlineStr">
        <is>
          <t>ISCOM_LIL</t>
        </is>
      </c>
      <c r="B162" s="1" t="inlineStr">
        <is>
          <t>604</t>
        </is>
      </c>
      <c r="C162" s="1" t="inlineStr">
        <is>
          <t>2025</t>
        </is>
      </c>
      <c r="D162" s="1" t="inlineStr">
        <is>
          <t>2027BUD_V1</t>
        </is>
      </c>
      <c r="E162" s="1" t="inlineStr">
        <is>
          <t>12</t>
        </is>
      </c>
      <c r="F162" t="n">
        <v>51993</v>
      </c>
    </row>
    <row r="163">
      <c r="A163" s="1" t="inlineStr">
        <is>
          <t>ISCOM_TLS</t>
        </is>
      </c>
      <c r="B163" s="1" t="inlineStr">
        <is>
          <t>604</t>
        </is>
      </c>
      <c r="C163" s="1" t="inlineStr">
        <is>
          <t>2025</t>
        </is>
      </c>
      <c r="D163" s="1" t="inlineStr">
        <is>
          <t>2027BUD_V1</t>
        </is>
      </c>
      <c r="E163" s="1" t="inlineStr">
        <is>
          <t>12</t>
        </is>
      </c>
      <c r="F163" t="n">
        <v>49223</v>
      </c>
    </row>
    <row r="164">
      <c r="A164" s="1" t="inlineStr">
        <is>
          <t>IPAC_NAN</t>
        </is>
      </c>
      <c r="B164" s="1" t="inlineStr">
        <is>
          <t>604</t>
        </is>
      </c>
      <c r="C164" s="1" t="inlineStr">
        <is>
          <t>2025</t>
        </is>
      </c>
      <c r="D164" s="1" t="inlineStr">
        <is>
          <t>2027BUD_V1</t>
        </is>
      </c>
      <c r="E164" s="1" t="inlineStr">
        <is>
          <t>12</t>
        </is>
      </c>
      <c r="F164" t="n">
        <v>30897</v>
      </c>
    </row>
    <row r="165">
      <c r="A165" s="1" t="inlineStr">
        <is>
          <t>IPAC_REN</t>
        </is>
      </c>
      <c r="B165" s="1" t="inlineStr">
        <is>
          <t>604</t>
        </is>
      </c>
      <c r="C165" s="1" t="inlineStr">
        <is>
          <t>2025</t>
        </is>
      </c>
      <c r="D165" s="1" t="inlineStr">
        <is>
          <t>2027BUD_V1</t>
        </is>
      </c>
      <c r="E165" s="1" t="inlineStr">
        <is>
          <t>12</t>
        </is>
      </c>
      <c r="F165" t="n">
        <v>24931</v>
      </c>
    </row>
    <row r="166">
      <c r="A166" s="1" t="inlineStr">
        <is>
          <t>IPAC_MTP</t>
        </is>
      </c>
      <c r="B166" s="1" t="inlineStr">
        <is>
          <t>604</t>
        </is>
      </c>
      <c r="C166" s="1" t="inlineStr">
        <is>
          <t>2025</t>
        </is>
      </c>
      <c r="D166" s="1" t="inlineStr">
        <is>
          <t>2027BUD_V1</t>
        </is>
      </c>
      <c r="E166" s="1" t="inlineStr">
        <is>
          <t>12</t>
        </is>
      </c>
      <c r="F166" t="n">
        <v>24931</v>
      </c>
    </row>
    <row r="167">
      <c r="A167" s="1" t="inlineStr">
        <is>
          <t>PIGIER_LYO</t>
        </is>
      </c>
      <c r="B167" s="1" t="inlineStr">
        <is>
          <t>604</t>
        </is>
      </c>
      <c r="C167" s="1" t="inlineStr">
        <is>
          <t>2025</t>
        </is>
      </c>
      <c r="D167" s="1" t="inlineStr">
        <is>
          <t>2027BUD_V1</t>
        </is>
      </c>
      <c r="E167" s="1" t="inlineStr">
        <is>
          <t>12</t>
        </is>
      </c>
      <c r="F167" t="n">
        <v>38782</v>
      </c>
    </row>
    <row r="168">
      <c r="A168" s="1" t="inlineStr">
        <is>
          <t>PIGIER_BOR</t>
        </is>
      </c>
      <c r="B168" s="1" t="inlineStr">
        <is>
          <t>604</t>
        </is>
      </c>
      <c r="C168" s="1" t="inlineStr">
        <is>
          <t>2025</t>
        </is>
      </c>
      <c r="D168" s="1" t="inlineStr">
        <is>
          <t>2027BUD_V1</t>
        </is>
      </c>
      <c r="E168" s="1" t="inlineStr">
        <is>
          <t>12</t>
        </is>
      </c>
      <c r="F168" t="n">
        <v>30258</v>
      </c>
    </row>
    <row r="169">
      <c r="A169" s="1" t="inlineStr">
        <is>
          <t>TUNON_PAR</t>
        </is>
      </c>
      <c r="B169" s="1" t="inlineStr">
        <is>
          <t>604</t>
        </is>
      </c>
      <c r="C169" s="1" t="inlineStr">
        <is>
          <t>2025</t>
        </is>
      </c>
      <c r="D169" s="1" t="inlineStr">
        <is>
          <t>2027BUD_V1</t>
        </is>
      </c>
      <c r="E169" s="1" t="inlineStr">
        <is>
          <t>12</t>
        </is>
      </c>
      <c r="F169" t="n">
        <v>29406</v>
      </c>
    </row>
    <row r="170">
      <c r="A170" s="1" t="inlineStr">
        <is>
          <t>TUNON_LYO</t>
        </is>
      </c>
      <c r="B170" s="1" t="inlineStr">
        <is>
          <t>604</t>
        </is>
      </c>
      <c r="C170" s="1" t="inlineStr">
        <is>
          <t>2025</t>
        </is>
      </c>
      <c r="D170" s="1" t="inlineStr">
        <is>
          <t>2027BUD_V1</t>
        </is>
      </c>
      <c r="E170" s="1" t="inlineStr">
        <is>
          <t>12</t>
        </is>
      </c>
      <c r="F170" t="n">
        <v>24931</v>
      </c>
    </row>
    <row r="171">
      <c r="A171" s="1" t="inlineStr">
        <is>
          <t>MBWAY_PAR</t>
        </is>
      </c>
      <c r="B171" s="1" t="inlineStr">
        <is>
          <t>604</t>
        </is>
      </c>
      <c r="C171" s="1" t="inlineStr">
        <is>
          <t>2026</t>
        </is>
      </c>
      <c r="D171" s="1" t="inlineStr">
        <is>
          <t>2027BUD_V1</t>
        </is>
      </c>
      <c r="E171" s="1" t="inlineStr">
        <is>
          <t>12</t>
        </is>
      </c>
      <c r="F171" t="n">
        <v>85284</v>
      </c>
    </row>
    <row r="172">
      <c r="A172" s="1" t="inlineStr">
        <is>
          <t>MBWAY_LYO</t>
        </is>
      </c>
      <c r="B172" s="1" t="inlineStr">
        <is>
          <t>604</t>
        </is>
      </c>
      <c r="C172" s="1" t="inlineStr">
        <is>
          <t>2026</t>
        </is>
      </c>
      <c r="D172" s="1" t="inlineStr">
        <is>
          <t>2027BUD_V1</t>
        </is>
      </c>
      <c r="E172" s="1" t="inlineStr">
        <is>
          <t>12</t>
        </is>
      </c>
      <c r="F172" t="n">
        <v>72335</v>
      </c>
    </row>
    <row r="173">
      <c r="A173" s="1" t="inlineStr">
        <is>
          <t>MBWAY_NAN</t>
        </is>
      </c>
      <c r="B173" s="1" t="inlineStr">
        <is>
          <t>604</t>
        </is>
      </c>
      <c r="C173" s="1" t="inlineStr">
        <is>
          <t>2026</t>
        </is>
      </c>
      <c r="D173" s="1" t="inlineStr">
        <is>
          <t>2027BUD_V1</t>
        </is>
      </c>
      <c r="E173" s="1" t="inlineStr">
        <is>
          <t>12</t>
        </is>
      </c>
      <c r="F173" t="n">
        <v>65638</v>
      </c>
    </row>
    <row r="174">
      <c r="A174" s="1" t="inlineStr">
        <is>
          <t>MBWAY_BOR</t>
        </is>
      </c>
      <c r="B174" s="1" t="inlineStr">
        <is>
          <t>604</t>
        </is>
      </c>
      <c r="C174" s="1" t="inlineStr">
        <is>
          <t>2026</t>
        </is>
      </c>
      <c r="D174" s="1" t="inlineStr">
        <is>
          <t>2027BUD_V1</t>
        </is>
      </c>
      <c r="E174" s="1" t="inlineStr">
        <is>
          <t>12</t>
        </is>
      </c>
      <c r="F174" t="n">
        <v>55591</v>
      </c>
    </row>
    <row r="175">
      <c r="A175" s="1" t="inlineStr">
        <is>
          <t>ISCOM_PAR</t>
        </is>
      </c>
      <c r="B175" s="1" t="inlineStr">
        <is>
          <t>604</t>
        </is>
      </c>
      <c r="C175" s="1" t="inlineStr">
        <is>
          <t>2026</t>
        </is>
      </c>
      <c r="D175" s="1" t="inlineStr">
        <is>
          <t>2027BUD_V1</t>
        </is>
      </c>
      <c r="E175" s="1" t="inlineStr">
        <is>
          <t>12</t>
        </is>
      </c>
      <c r="F175" t="n">
        <v>79033</v>
      </c>
    </row>
    <row r="176">
      <c r="A176" s="1" t="inlineStr">
        <is>
          <t>ISCOM_LIL</t>
        </is>
      </c>
      <c r="B176" s="1" t="inlineStr">
        <is>
          <t>604</t>
        </is>
      </c>
      <c r="C176" s="1" t="inlineStr">
        <is>
          <t>2026</t>
        </is>
      </c>
      <c r="D176" s="1" t="inlineStr">
        <is>
          <t>2027BUD_V1</t>
        </is>
      </c>
      <c r="E176" s="1" t="inlineStr">
        <is>
          <t>12</t>
        </is>
      </c>
      <c r="F176" t="n">
        <v>54475</v>
      </c>
    </row>
    <row r="177">
      <c r="A177" s="1" t="inlineStr">
        <is>
          <t>ISCOM_TLS</t>
        </is>
      </c>
      <c r="B177" s="1" t="inlineStr">
        <is>
          <t>604</t>
        </is>
      </c>
      <c r="C177" s="1" t="inlineStr">
        <is>
          <t>2026</t>
        </is>
      </c>
      <c r="D177" s="1" t="inlineStr">
        <is>
          <t>2027BUD_V1</t>
        </is>
      </c>
      <c r="E177" s="1" t="inlineStr">
        <is>
          <t>12</t>
        </is>
      </c>
      <c r="F177" t="n">
        <v>51572</v>
      </c>
    </row>
    <row r="178">
      <c r="A178" s="1" t="inlineStr">
        <is>
          <t>IPAC_NAN</t>
        </is>
      </c>
      <c r="B178" s="1" t="inlineStr">
        <is>
          <t>604</t>
        </is>
      </c>
      <c r="C178" s="1" t="inlineStr">
        <is>
          <t>2026</t>
        </is>
      </c>
      <c r="D178" s="1" t="inlineStr">
        <is>
          <t>2027BUD_V1</t>
        </is>
      </c>
      <c r="E178" s="1" t="inlineStr">
        <is>
          <t>12</t>
        </is>
      </c>
      <c r="F178" t="n">
        <v>32372</v>
      </c>
    </row>
    <row r="179">
      <c r="A179" s="1" t="inlineStr">
        <is>
          <t>IPAC_REN</t>
        </is>
      </c>
      <c r="B179" s="1" t="inlineStr">
        <is>
          <t>604</t>
        </is>
      </c>
      <c r="C179" s="1" t="inlineStr">
        <is>
          <t>2026</t>
        </is>
      </c>
      <c r="D179" s="1" t="inlineStr">
        <is>
          <t>2027BUD_V1</t>
        </is>
      </c>
      <c r="E179" s="1" t="inlineStr">
        <is>
          <t>12</t>
        </is>
      </c>
      <c r="F179" t="n">
        <v>26121</v>
      </c>
    </row>
    <row r="180">
      <c r="A180" s="1" t="inlineStr">
        <is>
          <t>IPAC_MTP</t>
        </is>
      </c>
      <c r="B180" s="1" t="inlineStr">
        <is>
          <t>604</t>
        </is>
      </c>
      <c r="C180" s="1" t="inlineStr">
        <is>
          <t>2026</t>
        </is>
      </c>
      <c r="D180" s="1" t="inlineStr">
        <is>
          <t>2027BUD_V1</t>
        </is>
      </c>
      <c r="E180" s="1" t="inlineStr">
        <is>
          <t>12</t>
        </is>
      </c>
      <c r="F180" t="n">
        <v>26121</v>
      </c>
    </row>
    <row r="181">
      <c r="A181" s="1" t="inlineStr">
        <is>
          <t>PIGIER_LYO</t>
        </is>
      </c>
      <c r="B181" s="1" t="inlineStr">
        <is>
          <t>604</t>
        </is>
      </c>
      <c r="C181" s="1" t="inlineStr">
        <is>
          <t>2026</t>
        </is>
      </c>
      <c r="D181" s="1" t="inlineStr">
        <is>
          <t>2027BUD_V1</t>
        </is>
      </c>
      <c r="E181" s="1" t="inlineStr">
        <is>
          <t>12</t>
        </is>
      </c>
      <c r="F181" t="n">
        <v>40633</v>
      </c>
    </row>
    <row r="182">
      <c r="A182" s="1" t="inlineStr">
        <is>
          <t>PIGIER_BOR</t>
        </is>
      </c>
      <c r="B182" s="1" t="inlineStr">
        <is>
          <t>604</t>
        </is>
      </c>
      <c r="C182" s="1" t="inlineStr">
        <is>
          <t>2026</t>
        </is>
      </c>
      <c r="D182" s="1" t="inlineStr">
        <is>
          <t>2027BUD_V1</t>
        </is>
      </c>
      <c r="E182" s="1" t="inlineStr">
        <is>
          <t>12</t>
        </is>
      </c>
      <c r="F182" t="n">
        <v>31703</v>
      </c>
    </row>
    <row r="183">
      <c r="A183" s="1" t="inlineStr">
        <is>
          <t>TUNON_PAR</t>
        </is>
      </c>
      <c r="B183" s="1" t="inlineStr">
        <is>
          <t>604</t>
        </is>
      </c>
      <c r="C183" s="1" t="inlineStr">
        <is>
          <t>2026</t>
        </is>
      </c>
      <c r="D183" s="1" t="inlineStr">
        <is>
          <t>2027BUD_V1</t>
        </is>
      </c>
      <c r="E183" s="1" t="inlineStr">
        <is>
          <t>12</t>
        </is>
      </c>
      <c r="F183" t="n">
        <v>30809</v>
      </c>
    </row>
    <row r="184">
      <c r="A184" s="1" t="inlineStr">
        <is>
          <t>TUNON_LYO</t>
        </is>
      </c>
      <c r="B184" s="1" t="inlineStr">
        <is>
          <t>604</t>
        </is>
      </c>
      <c r="C184" s="1" t="inlineStr">
        <is>
          <t>2026</t>
        </is>
      </c>
      <c r="D184" s="1" t="inlineStr">
        <is>
          <t>2027BUD_V1</t>
        </is>
      </c>
      <c r="E184" s="1" t="inlineStr">
        <is>
          <t>12</t>
        </is>
      </c>
      <c r="F184" t="n">
        <v>26121</v>
      </c>
    </row>
    <row r="185">
      <c r="A185" s="1" t="inlineStr">
        <is>
          <t>MBWAY_PAR</t>
        </is>
      </c>
      <c r="B185" s="1" t="inlineStr">
        <is>
          <t>6063</t>
        </is>
      </c>
      <c r="C185" s="1" t="inlineStr">
        <is>
          <t>2024</t>
        </is>
      </c>
      <c r="D185" s="1" t="inlineStr">
        <is>
          <t>2027BUD_V1</t>
        </is>
      </c>
      <c r="E185" s="1" t="inlineStr">
        <is>
          <t>12</t>
        </is>
      </c>
      <c r="F185" t="n">
        <v>51888</v>
      </c>
    </row>
    <row r="186">
      <c r="A186" s="1" t="inlineStr">
        <is>
          <t>MBWAY_LYO</t>
        </is>
      </c>
      <c r="B186" s="1" t="inlineStr">
        <is>
          <t>6063</t>
        </is>
      </c>
      <c r="C186" s="1" t="inlineStr">
        <is>
          <t>2024</t>
        </is>
      </c>
      <c r="D186" s="1" t="inlineStr">
        <is>
          <t>2027BUD_V1</t>
        </is>
      </c>
      <c r="E186" s="1" t="inlineStr">
        <is>
          <t>12</t>
        </is>
      </c>
      <c r="F186" t="n">
        <v>44010</v>
      </c>
    </row>
    <row r="187">
      <c r="A187" s="1" t="inlineStr">
        <is>
          <t>MBWAY_NAN</t>
        </is>
      </c>
      <c r="B187" s="1" t="inlineStr">
        <is>
          <t>6063</t>
        </is>
      </c>
      <c r="C187" s="1" t="inlineStr">
        <is>
          <t>2024</t>
        </is>
      </c>
      <c r="D187" s="1" t="inlineStr">
        <is>
          <t>2027BUD_V1</t>
        </is>
      </c>
      <c r="E187" s="1" t="inlineStr">
        <is>
          <t>12</t>
        </is>
      </c>
      <c r="F187" t="n">
        <v>39935</v>
      </c>
    </row>
    <row r="188">
      <c r="A188" s="1" t="inlineStr">
        <is>
          <t>MBWAY_BOR</t>
        </is>
      </c>
      <c r="B188" s="1" t="inlineStr">
        <is>
          <t>6063</t>
        </is>
      </c>
      <c r="C188" s="1" t="inlineStr">
        <is>
          <t>2024</t>
        </is>
      </c>
      <c r="D188" s="1" t="inlineStr">
        <is>
          <t>2027BUD_V1</t>
        </is>
      </c>
      <c r="E188" s="1" t="inlineStr">
        <is>
          <t>12</t>
        </is>
      </c>
      <c r="F188" t="n">
        <v>33822</v>
      </c>
    </row>
    <row r="189">
      <c r="A189" s="1" t="inlineStr">
        <is>
          <t>ISCOM_PAR</t>
        </is>
      </c>
      <c r="B189" s="1" t="inlineStr">
        <is>
          <t>6063</t>
        </is>
      </c>
      <c r="C189" s="1" t="inlineStr">
        <is>
          <t>2024</t>
        </is>
      </c>
      <c r="D189" s="1" t="inlineStr">
        <is>
          <t>2027BUD_V1</t>
        </is>
      </c>
      <c r="E189" s="1" t="inlineStr">
        <is>
          <t>12</t>
        </is>
      </c>
      <c r="F189" t="n">
        <v>48085</v>
      </c>
    </row>
    <row r="190">
      <c r="A190" s="1" t="inlineStr">
        <is>
          <t>ISCOM_LIL</t>
        </is>
      </c>
      <c r="B190" s="1" t="inlineStr">
        <is>
          <t>6063</t>
        </is>
      </c>
      <c r="C190" s="1" t="inlineStr">
        <is>
          <t>2024</t>
        </is>
      </c>
      <c r="D190" s="1" t="inlineStr">
        <is>
          <t>2027BUD_V1</t>
        </is>
      </c>
      <c r="E190" s="1" t="inlineStr">
        <is>
          <t>12</t>
        </is>
      </c>
      <c r="F190" t="n">
        <v>33143</v>
      </c>
    </row>
    <row r="191">
      <c r="A191" s="1" t="inlineStr">
        <is>
          <t>ISCOM_TLS</t>
        </is>
      </c>
      <c r="B191" s="1" t="inlineStr">
        <is>
          <t>6063</t>
        </is>
      </c>
      <c r="C191" s="1" t="inlineStr">
        <is>
          <t>2024</t>
        </is>
      </c>
      <c r="D191" s="1" t="inlineStr">
        <is>
          <t>2027BUD_V1</t>
        </is>
      </c>
      <c r="E191" s="1" t="inlineStr">
        <is>
          <t>12</t>
        </is>
      </c>
      <c r="F191" t="n">
        <v>31377</v>
      </c>
    </row>
    <row r="192">
      <c r="A192" s="1" t="inlineStr">
        <is>
          <t>IPAC_NAN</t>
        </is>
      </c>
      <c r="B192" s="1" t="inlineStr">
        <is>
          <t>6063</t>
        </is>
      </c>
      <c r="C192" s="1" t="inlineStr">
        <is>
          <t>2024</t>
        </is>
      </c>
      <c r="D192" s="1" t="inlineStr">
        <is>
          <t>2027BUD_V1</t>
        </is>
      </c>
      <c r="E192" s="1" t="inlineStr">
        <is>
          <t>12</t>
        </is>
      </c>
      <c r="F192" t="n">
        <v>19696</v>
      </c>
    </row>
    <row r="193">
      <c r="A193" s="1" t="inlineStr">
        <is>
          <t>IPAC_REN</t>
        </is>
      </c>
      <c r="B193" s="1" t="inlineStr">
        <is>
          <t>6063</t>
        </is>
      </c>
      <c r="C193" s="1" t="inlineStr">
        <is>
          <t>2024</t>
        </is>
      </c>
      <c r="D193" s="1" t="inlineStr">
        <is>
          <t>2027BUD_V1</t>
        </is>
      </c>
      <c r="E193" s="1" t="inlineStr">
        <is>
          <t>12</t>
        </is>
      </c>
      <c r="F193" t="n">
        <v>15892</v>
      </c>
    </row>
    <row r="194">
      <c r="A194" s="1" t="inlineStr">
        <is>
          <t>IPAC_MTP</t>
        </is>
      </c>
      <c r="B194" s="1" t="inlineStr">
        <is>
          <t>6063</t>
        </is>
      </c>
      <c r="C194" s="1" t="inlineStr">
        <is>
          <t>2024</t>
        </is>
      </c>
      <c r="D194" s="1" t="inlineStr">
        <is>
          <t>2027BUD_V1</t>
        </is>
      </c>
      <c r="E194" s="1" t="inlineStr">
        <is>
          <t>12</t>
        </is>
      </c>
      <c r="F194" t="n">
        <v>15892</v>
      </c>
    </row>
    <row r="195">
      <c r="A195" s="1" t="inlineStr">
        <is>
          <t>PIGIER_LYO</t>
        </is>
      </c>
      <c r="B195" s="1" t="inlineStr">
        <is>
          <t>6063</t>
        </is>
      </c>
      <c r="C195" s="1" t="inlineStr">
        <is>
          <t>2024</t>
        </is>
      </c>
      <c r="D195" s="1" t="inlineStr">
        <is>
          <t>2027BUD_V1</t>
        </is>
      </c>
      <c r="E195" s="1" t="inlineStr">
        <is>
          <t>12</t>
        </is>
      </c>
      <c r="F195" t="n">
        <v>24722</v>
      </c>
    </row>
    <row r="196">
      <c r="A196" s="1" t="inlineStr">
        <is>
          <t>PIGIER_BOR</t>
        </is>
      </c>
      <c r="B196" s="1" t="inlineStr">
        <is>
          <t>6063</t>
        </is>
      </c>
      <c r="C196" s="1" t="inlineStr">
        <is>
          <t>2024</t>
        </is>
      </c>
      <c r="D196" s="1" t="inlineStr">
        <is>
          <t>2027BUD_V1</t>
        </is>
      </c>
      <c r="E196" s="1" t="inlineStr">
        <is>
          <t>12</t>
        </is>
      </c>
      <c r="F196" t="n">
        <v>19288</v>
      </c>
    </row>
    <row r="197">
      <c r="A197" s="1" t="inlineStr">
        <is>
          <t>TUNON_PAR</t>
        </is>
      </c>
      <c r="B197" s="1" t="inlineStr">
        <is>
          <t>6063</t>
        </is>
      </c>
      <c r="C197" s="1" t="inlineStr">
        <is>
          <t>2024</t>
        </is>
      </c>
      <c r="D197" s="1" t="inlineStr">
        <is>
          <t>2027BUD_V1</t>
        </is>
      </c>
      <c r="E197" s="1" t="inlineStr">
        <is>
          <t>12</t>
        </is>
      </c>
      <c r="F197" t="n">
        <v>18745</v>
      </c>
    </row>
    <row r="198">
      <c r="A198" s="1" t="inlineStr">
        <is>
          <t>TUNON_LYO</t>
        </is>
      </c>
      <c r="B198" s="1" t="inlineStr">
        <is>
          <t>6063</t>
        </is>
      </c>
      <c r="C198" s="1" t="inlineStr">
        <is>
          <t>2024</t>
        </is>
      </c>
      <c r="D198" s="1" t="inlineStr">
        <is>
          <t>2027BUD_V1</t>
        </is>
      </c>
      <c r="E198" s="1" t="inlineStr">
        <is>
          <t>12</t>
        </is>
      </c>
      <c r="F198" t="n">
        <v>15892</v>
      </c>
    </row>
    <row r="199">
      <c r="A199" s="1" t="inlineStr">
        <is>
          <t>MBWAY_PAR</t>
        </is>
      </c>
      <c r="B199" s="1" t="inlineStr">
        <is>
          <t>6063</t>
        </is>
      </c>
      <c r="C199" s="1" t="inlineStr">
        <is>
          <t>2025</t>
        </is>
      </c>
      <c r="D199" s="1" t="inlineStr">
        <is>
          <t>2027BUD_V1</t>
        </is>
      </c>
      <c r="E199" s="1" t="inlineStr">
        <is>
          <t>12</t>
        </is>
      </c>
      <c r="F199" t="n">
        <v>54266</v>
      </c>
    </row>
    <row r="200">
      <c r="A200" s="1" t="inlineStr">
        <is>
          <t>MBWAY_LYO</t>
        </is>
      </c>
      <c r="B200" s="1" t="inlineStr">
        <is>
          <t>6063</t>
        </is>
      </c>
      <c r="C200" s="1" t="inlineStr">
        <is>
          <t>2025</t>
        </is>
      </c>
      <c r="D200" s="1" t="inlineStr">
        <is>
          <t>2027BUD_V1</t>
        </is>
      </c>
      <c r="E200" s="1" t="inlineStr">
        <is>
          <t>12</t>
        </is>
      </c>
      <c r="F200" t="n">
        <v>46027</v>
      </c>
    </row>
    <row r="201">
      <c r="A201" s="1" t="inlineStr">
        <is>
          <t>MBWAY_NAN</t>
        </is>
      </c>
      <c r="B201" s="1" t="inlineStr">
        <is>
          <t>6063</t>
        </is>
      </c>
      <c r="C201" s="1" t="inlineStr">
        <is>
          <t>2025</t>
        </is>
      </c>
      <c r="D201" s="1" t="inlineStr">
        <is>
          <t>2027BUD_V1</t>
        </is>
      </c>
      <c r="E201" s="1" t="inlineStr">
        <is>
          <t>12</t>
        </is>
      </c>
      <c r="F201" t="n">
        <v>41765</v>
      </c>
    </row>
    <row r="202">
      <c r="A202" s="1" t="inlineStr">
        <is>
          <t>MBWAY_BOR</t>
        </is>
      </c>
      <c r="B202" s="1" t="inlineStr">
        <is>
          <t>6063</t>
        </is>
      </c>
      <c r="C202" s="1" t="inlineStr">
        <is>
          <t>2025</t>
        </is>
      </c>
      <c r="D202" s="1" t="inlineStr">
        <is>
          <t>2027BUD_V1</t>
        </is>
      </c>
      <c r="E202" s="1" t="inlineStr">
        <is>
          <t>12</t>
        </is>
      </c>
      <c r="F202" t="n">
        <v>35372</v>
      </c>
    </row>
    <row r="203">
      <c r="A203" s="1" t="inlineStr">
        <is>
          <t>ISCOM_PAR</t>
        </is>
      </c>
      <c r="B203" s="1" t="inlineStr">
        <is>
          <t>6063</t>
        </is>
      </c>
      <c r="C203" s="1" t="inlineStr">
        <is>
          <t>2025</t>
        </is>
      </c>
      <c r="D203" s="1" t="inlineStr">
        <is>
          <t>2027BUD_V1</t>
        </is>
      </c>
      <c r="E203" s="1" t="inlineStr">
        <is>
          <t>12</t>
        </is>
      </c>
      <c r="F203" t="n">
        <v>50288</v>
      </c>
    </row>
    <row r="204">
      <c r="A204" s="1" t="inlineStr">
        <is>
          <t>ISCOM_LIL</t>
        </is>
      </c>
      <c r="B204" s="1" t="inlineStr">
        <is>
          <t>6063</t>
        </is>
      </c>
      <c r="C204" s="1" t="inlineStr">
        <is>
          <t>2025</t>
        </is>
      </c>
      <c r="D204" s="1" t="inlineStr">
        <is>
          <t>2027BUD_V1</t>
        </is>
      </c>
      <c r="E204" s="1" t="inlineStr">
        <is>
          <t>12</t>
        </is>
      </c>
      <c r="F204" t="n">
        <v>34662</v>
      </c>
    </row>
    <row r="205">
      <c r="A205" s="1" t="inlineStr">
        <is>
          <t>ISCOM_TLS</t>
        </is>
      </c>
      <c r="B205" s="1" t="inlineStr">
        <is>
          <t>6063</t>
        </is>
      </c>
      <c r="C205" s="1" t="inlineStr">
        <is>
          <t>2025</t>
        </is>
      </c>
      <c r="D205" s="1" t="inlineStr">
        <is>
          <t>2027BUD_V1</t>
        </is>
      </c>
      <c r="E205" s="1" t="inlineStr">
        <is>
          <t>12</t>
        </is>
      </c>
      <c r="F205" t="n">
        <v>32815</v>
      </c>
    </row>
    <row r="206">
      <c r="A206" s="1" t="inlineStr">
        <is>
          <t>IPAC_NAN</t>
        </is>
      </c>
      <c r="B206" s="1" t="inlineStr">
        <is>
          <t>6063</t>
        </is>
      </c>
      <c r="C206" s="1" t="inlineStr">
        <is>
          <t>2025</t>
        </is>
      </c>
      <c r="D206" s="1" t="inlineStr">
        <is>
          <t>2027BUD_V1</t>
        </is>
      </c>
      <c r="E206" s="1" t="inlineStr">
        <is>
          <t>12</t>
        </is>
      </c>
      <c r="F206" t="n">
        <v>20598</v>
      </c>
    </row>
    <row r="207">
      <c r="A207" s="1" t="inlineStr">
        <is>
          <t>IPAC_REN</t>
        </is>
      </c>
      <c r="B207" s="1" t="inlineStr">
        <is>
          <t>6063</t>
        </is>
      </c>
      <c r="C207" s="1" t="inlineStr">
        <is>
          <t>2025</t>
        </is>
      </c>
      <c r="D207" s="1" t="inlineStr">
        <is>
          <t>2027BUD_V1</t>
        </is>
      </c>
      <c r="E207" s="1" t="inlineStr">
        <is>
          <t>12</t>
        </is>
      </c>
      <c r="F207" t="n">
        <v>16621</v>
      </c>
    </row>
    <row r="208">
      <c r="A208" s="1" t="inlineStr">
        <is>
          <t>IPAC_MTP</t>
        </is>
      </c>
      <c r="B208" s="1" t="inlineStr">
        <is>
          <t>6063</t>
        </is>
      </c>
      <c r="C208" s="1" t="inlineStr">
        <is>
          <t>2025</t>
        </is>
      </c>
      <c r="D208" s="1" t="inlineStr">
        <is>
          <t>2027BUD_V1</t>
        </is>
      </c>
      <c r="E208" s="1" t="inlineStr">
        <is>
          <t>12</t>
        </is>
      </c>
      <c r="F208" t="n">
        <v>16621</v>
      </c>
    </row>
    <row r="209">
      <c r="A209" s="1" t="inlineStr">
        <is>
          <t>PIGIER_LYO</t>
        </is>
      </c>
      <c r="B209" s="1" t="inlineStr">
        <is>
          <t>6063</t>
        </is>
      </c>
      <c r="C209" s="1" t="inlineStr">
        <is>
          <t>2025</t>
        </is>
      </c>
      <c r="D209" s="1" t="inlineStr">
        <is>
          <t>2027BUD_V1</t>
        </is>
      </c>
      <c r="E209" s="1" t="inlineStr">
        <is>
          <t>12</t>
        </is>
      </c>
      <c r="F209" t="n">
        <v>25854</v>
      </c>
    </row>
    <row r="210">
      <c r="A210" s="1" t="inlineStr">
        <is>
          <t>PIGIER_BOR</t>
        </is>
      </c>
      <c r="B210" s="1" t="inlineStr">
        <is>
          <t>6063</t>
        </is>
      </c>
      <c r="C210" s="1" t="inlineStr">
        <is>
          <t>2025</t>
        </is>
      </c>
      <c r="D210" s="1" t="inlineStr">
        <is>
          <t>2027BUD_V1</t>
        </is>
      </c>
      <c r="E210" s="1" t="inlineStr">
        <is>
          <t>12</t>
        </is>
      </c>
      <c r="F210" t="n">
        <v>20172</v>
      </c>
    </row>
    <row r="211">
      <c r="A211" s="1" t="inlineStr">
        <is>
          <t>TUNON_PAR</t>
        </is>
      </c>
      <c r="B211" s="1" t="inlineStr">
        <is>
          <t>6063</t>
        </is>
      </c>
      <c r="C211" s="1" t="inlineStr">
        <is>
          <t>2025</t>
        </is>
      </c>
      <c r="D211" s="1" t="inlineStr">
        <is>
          <t>2027BUD_V1</t>
        </is>
      </c>
      <c r="E211" s="1" t="inlineStr">
        <is>
          <t>12</t>
        </is>
      </c>
      <c r="F211" t="n">
        <v>19604</v>
      </c>
    </row>
    <row r="212">
      <c r="A212" s="1" t="inlineStr">
        <is>
          <t>TUNON_LYO</t>
        </is>
      </c>
      <c r="B212" s="1" t="inlineStr">
        <is>
          <t>6063</t>
        </is>
      </c>
      <c r="C212" s="1" t="inlineStr">
        <is>
          <t>2025</t>
        </is>
      </c>
      <c r="D212" s="1" t="inlineStr">
        <is>
          <t>2027BUD_V1</t>
        </is>
      </c>
      <c r="E212" s="1" t="inlineStr">
        <is>
          <t>12</t>
        </is>
      </c>
      <c r="F212" t="n">
        <v>16621</v>
      </c>
    </row>
    <row r="213">
      <c r="A213" s="1" t="inlineStr">
        <is>
          <t>MBWAY_PAR</t>
        </is>
      </c>
      <c r="B213" s="1" t="inlineStr">
        <is>
          <t>6063</t>
        </is>
      </c>
      <c r="C213" s="1" t="inlineStr">
        <is>
          <t>2026</t>
        </is>
      </c>
      <c r="D213" s="1" t="inlineStr">
        <is>
          <t>2027BUD_V1</t>
        </is>
      </c>
      <c r="E213" s="1" t="inlineStr">
        <is>
          <t>12</t>
        </is>
      </c>
      <c r="F213" t="n">
        <v>56856</v>
      </c>
    </row>
    <row r="214">
      <c r="A214" s="1" t="inlineStr">
        <is>
          <t>MBWAY_LYO</t>
        </is>
      </c>
      <c r="B214" s="1" t="inlineStr">
        <is>
          <t>6063</t>
        </is>
      </c>
      <c r="C214" s="1" t="inlineStr">
        <is>
          <t>2026</t>
        </is>
      </c>
      <c r="D214" s="1" t="inlineStr">
        <is>
          <t>2027BUD_V1</t>
        </is>
      </c>
      <c r="E214" s="1" t="inlineStr">
        <is>
          <t>12</t>
        </is>
      </c>
      <c r="F214" t="n">
        <v>48224</v>
      </c>
    </row>
    <row r="215">
      <c r="A215" s="1" t="inlineStr">
        <is>
          <t>MBWAY_NAN</t>
        </is>
      </c>
      <c r="B215" s="1" t="inlineStr">
        <is>
          <t>6063</t>
        </is>
      </c>
      <c r="C215" s="1" t="inlineStr">
        <is>
          <t>2026</t>
        </is>
      </c>
      <c r="D215" s="1" t="inlineStr">
        <is>
          <t>2027BUD_V1</t>
        </is>
      </c>
      <c r="E215" s="1" t="inlineStr">
        <is>
          <t>12</t>
        </is>
      </c>
      <c r="F215" t="n">
        <v>43758</v>
      </c>
    </row>
    <row r="216">
      <c r="A216" s="1" t="inlineStr">
        <is>
          <t>MBWAY_BOR</t>
        </is>
      </c>
      <c r="B216" s="1" t="inlineStr">
        <is>
          <t>6063</t>
        </is>
      </c>
      <c r="C216" s="1" t="inlineStr">
        <is>
          <t>2026</t>
        </is>
      </c>
      <c r="D216" s="1" t="inlineStr">
        <is>
          <t>2027BUD_V1</t>
        </is>
      </c>
      <c r="E216" s="1" t="inlineStr">
        <is>
          <t>12</t>
        </is>
      </c>
      <c r="F216" t="n">
        <v>37061</v>
      </c>
    </row>
    <row r="217">
      <c r="A217" s="1" t="inlineStr">
        <is>
          <t>ISCOM_PAR</t>
        </is>
      </c>
      <c r="B217" s="1" t="inlineStr">
        <is>
          <t>6063</t>
        </is>
      </c>
      <c r="C217" s="1" t="inlineStr">
        <is>
          <t>2026</t>
        </is>
      </c>
      <c r="D217" s="1" t="inlineStr">
        <is>
          <t>2027BUD_V1</t>
        </is>
      </c>
      <c r="E217" s="1" t="inlineStr">
        <is>
          <t>12</t>
        </is>
      </c>
      <c r="F217" t="n">
        <v>52689</v>
      </c>
    </row>
    <row r="218">
      <c r="A218" s="1" t="inlineStr">
        <is>
          <t>ISCOM_LIL</t>
        </is>
      </c>
      <c r="B218" s="1" t="inlineStr">
        <is>
          <t>6063</t>
        </is>
      </c>
      <c r="C218" s="1" t="inlineStr">
        <is>
          <t>2026</t>
        </is>
      </c>
      <c r="D218" s="1" t="inlineStr">
        <is>
          <t>2027BUD_V1</t>
        </is>
      </c>
      <c r="E218" s="1" t="inlineStr">
        <is>
          <t>12</t>
        </is>
      </c>
      <c r="F218" t="n">
        <v>36316</v>
      </c>
    </row>
    <row r="219">
      <c r="A219" s="1" t="inlineStr">
        <is>
          <t>ISCOM_TLS</t>
        </is>
      </c>
      <c r="B219" s="1" t="inlineStr">
        <is>
          <t>6063</t>
        </is>
      </c>
      <c r="C219" s="1" t="inlineStr">
        <is>
          <t>2026</t>
        </is>
      </c>
      <c r="D219" s="1" t="inlineStr">
        <is>
          <t>2027BUD_V1</t>
        </is>
      </c>
      <c r="E219" s="1" t="inlineStr">
        <is>
          <t>12</t>
        </is>
      </c>
      <c r="F219" t="n">
        <v>34382</v>
      </c>
    </row>
    <row r="220">
      <c r="A220" s="1" t="inlineStr">
        <is>
          <t>IPAC_NAN</t>
        </is>
      </c>
      <c r="B220" s="1" t="inlineStr">
        <is>
          <t>6063</t>
        </is>
      </c>
      <c r="C220" s="1" t="inlineStr">
        <is>
          <t>2026</t>
        </is>
      </c>
      <c r="D220" s="1" t="inlineStr">
        <is>
          <t>2027BUD_V1</t>
        </is>
      </c>
      <c r="E220" s="1" t="inlineStr">
        <is>
          <t>12</t>
        </is>
      </c>
      <c r="F220" t="n">
        <v>21582</v>
      </c>
    </row>
    <row r="221">
      <c r="A221" s="1" t="inlineStr">
        <is>
          <t>IPAC_REN</t>
        </is>
      </c>
      <c r="B221" s="1" t="inlineStr">
        <is>
          <t>6063</t>
        </is>
      </c>
      <c r="C221" s="1" t="inlineStr">
        <is>
          <t>2026</t>
        </is>
      </c>
      <c r="D221" s="1" t="inlineStr">
        <is>
          <t>2027BUD_V1</t>
        </is>
      </c>
      <c r="E221" s="1" t="inlineStr">
        <is>
          <t>12</t>
        </is>
      </c>
      <c r="F221" t="n">
        <v>17414</v>
      </c>
    </row>
    <row r="222">
      <c r="A222" s="1" t="inlineStr">
        <is>
          <t>IPAC_MTP</t>
        </is>
      </c>
      <c r="B222" s="1" t="inlineStr">
        <is>
          <t>6063</t>
        </is>
      </c>
      <c r="C222" s="1" t="inlineStr">
        <is>
          <t>2026</t>
        </is>
      </c>
      <c r="D222" s="1" t="inlineStr">
        <is>
          <t>2027BUD_V1</t>
        </is>
      </c>
      <c r="E222" s="1" t="inlineStr">
        <is>
          <t>12</t>
        </is>
      </c>
      <c r="F222" t="n">
        <v>17414</v>
      </c>
    </row>
    <row r="223">
      <c r="A223" s="1" t="inlineStr">
        <is>
          <t>PIGIER_LYO</t>
        </is>
      </c>
      <c r="B223" s="1" t="inlineStr">
        <is>
          <t>6063</t>
        </is>
      </c>
      <c r="C223" s="1" t="inlineStr">
        <is>
          <t>2026</t>
        </is>
      </c>
      <c r="D223" s="1" t="inlineStr">
        <is>
          <t>2027BUD_V1</t>
        </is>
      </c>
      <c r="E223" s="1" t="inlineStr">
        <is>
          <t>12</t>
        </is>
      </c>
      <c r="F223" t="n">
        <v>27089</v>
      </c>
    </row>
    <row r="224">
      <c r="A224" s="1" t="inlineStr">
        <is>
          <t>PIGIER_BOR</t>
        </is>
      </c>
      <c r="B224" s="1" t="inlineStr">
        <is>
          <t>6063</t>
        </is>
      </c>
      <c r="C224" s="1" t="inlineStr">
        <is>
          <t>2026</t>
        </is>
      </c>
      <c r="D224" s="1" t="inlineStr">
        <is>
          <t>2027BUD_V1</t>
        </is>
      </c>
      <c r="E224" s="1" t="inlineStr">
        <is>
          <t>12</t>
        </is>
      </c>
      <c r="F224" t="n">
        <v>21135</v>
      </c>
    </row>
    <row r="225">
      <c r="A225" s="1" t="inlineStr">
        <is>
          <t>TUNON_PAR</t>
        </is>
      </c>
      <c r="B225" s="1" t="inlineStr">
        <is>
          <t>6063</t>
        </is>
      </c>
      <c r="C225" s="1" t="inlineStr">
        <is>
          <t>2026</t>
        </is>
      </c>
      <c r="D225" s="1" t="inlineStr">
        <is>
          <t>2027BUD_V1</t>
        </is>
      </c>
      <c r="E225" s="1" t="inlineStr">
        <is>
          <t>12</t>
        </is>
      </c>
      <c r="F225" t="n">
        <v>20540</v>
      </c>
    </row>
    <row r="226">
      <c r="A226" s="1" t="inlineStr">
        <is>
          <t>TUNON_LYO</t>
        </is>
      </c>
      <c r="B226" s="1" t="inlineStr">
        <is>
          <t>6063</t>
        </is>
      </c>
      <c r="C226" s="1" t="inlineStr">
        <is>
          <t>2026</t>
        </is>
      </c>
      <c r="D226" s="1" t="inlineStr">
        <is>
          <t>2027BUD_V1</t>
        </is>
      </c>
      <c r="E226" s="1" t="inlineStr">
        <is>
          <t>12</t>
        </is>
      </c>
      <c r="F226" t="n">
        <v>17414</v>
      </c>
    </row>
    <row r="227">
      <c r="A227" s="1" t="inlineStr">
        <is>
          <t>MBWAY_PAR</t>
        </is>
      </c>
      <c r="B227" s="1" t="inlineStr">
        <is>
          <t>6231</t>
        </is>
      </c>
      <c r="C227" s="1" t="inlineStr">
        <is>
          <t>2024</t>
        </is>
      </c>
      <c r="D227" s="1" t="inlineStr">
        <is>
          <t>2027BUD_V1</t>
        </is>
      </c>
      <c r="E227" s="1" t="inlineStr">
        <is>
          <t>12</t>
        </is>
      </c>
      <c r="F227" t="n">
        <v>56438</v>
      </c>
    </row>
    <row r="228">
      <c r="A228" s="1" t="inlineStr">
        <is>
          <t>MBWAY_LYO</t>
        </is>
      </c>
      <c r="B228" s="1" t="inlineStr">
        <is>
          <t>6231</t>
        </is>
      </c>
      <c r="C228" s="1" t="inlineStr">
        <is>
          <t>2024</t>
        </is>
      </c>
      <c r="D228" s="1" t="inlineStr">
        <is>
          <t>2027BUD_V1</t>
        </is>
      </c>
      <c r="E228" s="1" t="inlineStr">
        <is>
          <t>12</t>
        </is>
      </c>
      <c r="F228" t="n">
        <v>34532</v>
      </c>
    </row>
    <row r="229">
      <c r="A229" s="1" t="inlineStr">
        <is>
          <t>MBWAY_NAN</t>
        </is>
      </c>
      <c r="B229" s="1" t="inlineStr">
        <is>
          <t>6231</t>
        </is>
      </c>
      <c r="C229" s="1" t="inlineStr">
        <is>
          <t>2024</t>
        </is>
      </c>
      <c r="D229" s="1" t="inlineStr">
        <is>
          <t>2027BUD_V1</t>
        </is>
      </c>
      <c r="E229" s="1" t="inlineStr">
        <is>
          <t>12</t>
        </is>
      </c>
      <c r="F229" t="n">
        <v>26060</v>
      </c>
    </row>
    <row r="230">
      <c r="A230" s="1" t="inlineStr">
        <is>
          <t>MBWAY_BOR</t>
        </is>
      </c>
      <c r="B230" s="1" t="inlineStr">
        <is>
          <t>6231</t>
        </is>
      </c>
      <c r="C230" s="1" t="inlineStr">
        <is>
          <t>2024</t>
        </is>
      </c>
      <c r="D230" s="1" t="inlineStr">
        <is>
          <t>2027BUD_V1</t>
        </is>
      </c>
      <c r="E230" s="1" t="inlineStr">
        <is>
          <t>12</t>
        </is>
      </c>
      <c r="F230" t="n">
        <v>20597</v>
      </c>
    </row>
    <row r="231">
      <c r="A231" s="1" t="inlineStr">
        <is>
          <t>ISCOM_PAR</t>
        </is>
      </c>
      <c r="B231" s="1" t="inlineStr">
        <is>
          <t>6231</t>
        </is>
      </c>
      <c r="C231" s="1" t="inlineStr">
        <is>
          <t>2024</t>
        </is>
      </c>
      <c r="D231" s="1" t="inlineStr">
        <is>
          <t>2027BUD_V1</t>
        </is>
      </c>
      <c r="E231" s="1" t="inlineStr">
        <is>
          <t>12</t>
        </is>
      </c>
      <c r="F231" t="n">
        <v>50248</v>
      </c>
    </row>
    <row r="232">
      <c r="A232" s="1" t="inlineStr">
        <is>
          <t>ISCOM_LIL</t>
        </is>
      </c>
      <c r="B232" s="1" t="inlineStr">
        <is>
          <t>6231</t>
        </is>
      </c>
      <c r="C232" s="1" t="inlineStr">
        <is>
          <t>2024</t>
        </is>
      </c>
      <c r="D232" s="1" t="inlineStr">
        <is>
          <t>2027BUD_V1</t>
        </is>
      </c>
      <c r="E232" s="1" t="inlineStr">
        <is>
          <t>12</t>
        </is>
      </c>
      <c r="F232" t="n">
        <v>20843</v>
      </c>
    </row>
    <row r="233">
      <c r="A233" s="1" t="inlineStr">
        <is>
          <t>ISCOM_TLS</t>
        </is>
      </c>
      <c r="B233" s="1" t="inlineStr">
        <is>
          <t>6231</t>
        </is>
      </c>
      <c r="C233" s="1" t="inlineStr">
        <is>
          <t>2024</t>
        </is>
      </c>
      <c r="D233" s="1" t="inlineStr">
        <is>
          <t>2027BUD_V1</t>
        </is>
      </c>
      <c r="E233" s="1" t="inlineStr">
        <is>
          <t>12</t>
        </is>
      </c>
      <c r="F233" t="n">
        <v>18251</v>
      </c>
    </row>
    <row r="234">
      <c r="A234" s="1" t="inlineStr">
        <is>
          <t>IPAC_NAN</t>
        </is>
      </c>
      <c r="B234" s="1" t="inlineStr">
        <is>
          <t>6231</t>
        </is>
      </c>
      <c r="C234" s="1" t="inlineStr">
        <is>
          <t>2024</t>
        </is>
      </c>
      <c r="D234" s="1" t="inlineStr">
        <is>
          <t>2027BUD_V1</t>
        </is>
      </c>
      <c r="E234" s="1" t="inlineStr">
        <is>
          <t>12</t>
        </is>
      </c>
      <c r="F234" t="n">
        <v>17983</v>
      </c>
    </row>
    <row r="235">
      <c r="A235" s="1" t="inlineStr">
        <is>
          <t>IPAC_REN</t>
        </is>
      </c>
      <c r="B235" s="1" t="inlineStr">
        <is>
          <t>6231</t>
        </is>
      </c>
      <c r="C235" s="1" t="inlineStr">
        <is>
          <t>2024</t>
        </is>
      </c>
      <c r="D235" s="1" t="inlineStr">
        <is>
          <t>2027BUD_V1</t>
        </is>
      </c>
      <c r="E235" s="1" t="inlineStr">
        <is>
          <t>12</t>
        </is>
      </c>
      <c r="F235" t="n">
        <v>12341</v>
      </c>
    </row>
    <row r="236">
      <c r="A236" s="1" t="inlineStr">
        <is>
          <t>IPAC_MTP</t>
        </is>
      </c>
      <c r="B236" s="1" t="inlineStr">
        <is>
          <t>6231</t>
        </is>
      </c>
      <c r="C236" s="1" t="inlineStr">
        <is>
          <t>2024</t>
        </is>
      </c>
      <c r="D236" s="1" t="inlineStr">
        <is>
          <t>2027BUD_V1</t>
        </is>
      </c>
      <c r="E236" s="1" t="inlineStr">
        <is>
          <t>12</t>
        </is>
      </c>
      <c r="F236" t="n">
        <v>12543</v>
      </c>
    </row>
    <row r="237">
      <c r="A237" s="1" t="inlineStr">
        <is>
          <t>PIGIER_LYO</t>
        </is>
      </c>
      <c r="B237" s="1" t="inlineStr">
        <is>
          <t>6231</t>
        </is>
      </c>
      <c r="C237" s="1" t="inlineStr">
        <is>
          <t>2024</t>
        </is>
      </c>
      <c r="D237" s="1" t="inlineStr">
        <is>
          <t>2027BUD_V1</t>
        </is>
      </c>
      <c r="E237" s="1" t="inlineStr">
        <is>
          <t>12</t>
        </is>
      </c>
      <c r="F237" t="n">
        <v>30258</v>
      </c>
    </row>
    <row r="238">
      <c r="A238" s="1" t="inlineStr">
        <is>
          <t>PIGIER_BOR</t>
        </is>
      </c>
      <c r="B238" s="1" t="inlineStr">
        <is>
          <t>6231</t>
        </is>
      </c>
      <c r="C238" s="1" t="inlineStr">
        <is>
          <t>2024</t>
        </is>
      </c>
      <c r="D238" s="1" t="inlineStr">
        <is>
          <t>2027BUD_V1</t>
        </is>
      </c>
      <c r="E238" s="1" t="inlineStr">
        <is>
          <t>12</t>
        </is>
      </c>
      <c r="F238" t="n">
        <v>18155</v>
      </c>
    </row>
    <row r="239">
      <c r="A239" s="1" t="inlineStr">
        <is>
          <t>TUNON_PAR</t>
        </is>
      </c>
      <c r="B239" s="1" t="inlineStr">
        <is>
          <t>6231</t>
        </is>
      </c>
      <c r="C239" s="1" t="inlineStr">
        <is>
          <t>2024</t>
        </is>
      </c>
      <c r="D239" s="1" t="inlineStr">
        <is>
          <t>2027BUD_V1</t>
        </is>
      </c>
      <c r="E239" s="1" t="inlineStr">
        <is>
          <t>12</t>
        </is>
      </c>
      <c r="F239" t="n">
        <v>24992</v>
      </c>
    </row>
    <row r="240">
      <c r="A240" s="1" t="inlineStr">
        <is>
          <t>TUNON_LYO</t>
        </is>
      </c>
      <c r="B240" s="1" t="inlineStr">
        <is>
          <t>6231</t>
        </is>
      </c>
      <c r="C240" s="1" t="inlineStr">
        <is>
          <t>2024</t>
        </is>
      </c>
      <c r="D240" s="1" t="inlineStr">
        <is>
          <t>2027BUD_V1</t>
        </is>
      </c>
      <c r="E240" s="1" t="inlineStr">
        <is>
          <t>12</t>
        </is>
      </c>
      <c r="F240" t="n">
        <v>15578</v>
      </c>
    </row>
    <row r="241">
      <c r="A241" s="1" t="inlineStr">
        <is>
          <t>MBWAY_PAR</t>
        </is>
      </c>
      <c r="B241" s="1" t="inlineStr">
        <is>
          <t>6231</t>
        </is>
      </c>
      <c r="C241" s="1" t="inlineStr">
        <is>
          <t>2025</t>
        </is>
      </c>
      <c r="D241" s="1" t="inlineStr">
        <is>
          <t>2027BUD_V1</t>
        </is>
      </c>
      <c r="E241" s="1" t="inlineStr">
        <is>
          <t>12</t>
        </is>
      </c>
      <c r="F241" t="n">
        <v>62082</v>
      </c>
    </row>
    <row r="242">
      <c r="A242" s="1" t="inlineStr">
        <is>
          <t>MBWAY_LYO</t>
        </is>
      </c>
      <c r="B242" s="1" t="inlineStr">
        <is>
          <t>6231</t>
        </is>
      </c>
      <c r="C242" s="1" t="inlineStr">
        <is>
          <t>2025</t>
        </is>
      </c>
      <c r="D242" s="1" t="inlineStr">
        <is>
          <t>2027BUD_V1</t>
        </is>
      </c>
      <c r="E242" s="1" t="inlineStr">
        <is>
          <t>12</t>
        </is>
      </c>
      <c r="F242" t="n">
        <v>37985</v>
      </c>
    </row>
    <row r="243">
      <c r="A243" s="1" t="inlineStr">
        <is>
          <t>MBWAY_NAN</t>
        </is>
      </c>
      <c r="B243" s="1" t="inlineStr">
        <is>
          <t>6231</t>
        </is>
      </c>
      <c r="C243" s="1" t="inlineStr">
        <is>
          <t>2025</t>
        </is>
      </c>
      <c r="D243" s="1" t="inlineStr">
        <is>
          <t>2027BUD_V1</t>
        </is>
      </c>
      <c r="E243" s="1" t="inlineStr">
        <is>
          <t>12</t>
        </is>
      </c>
      <c r="F243" t="n">
        <v>28666</v>
      </c>
    </row>
    <row r="244">
      <c r="A244" s="1" t="inlineStr">
        <is>
          <t>MBWAY_BOR</t>
        </is>
      </c>
      <c r="B244" s="1" t="inlineStr">
        <is>
          <t>6231</t>
        </is>
      </c>
      <c r="C244" s="1" t="inlineStr">
        <is>
          <t>2025</t>
        </is>
      </c>
      <c r="D244" s="1" t="inlineStr">
        <is>
          <t>2027BUD_V1</t>
        </is>
      </c>
      <c r="E244" s="1" t="inlineStr">
        <is>
          <t>12</t>
        </is>
      </c>
      <c r="F244" t="n">
        <v>22657</v>
      </c>
    </row>
    <row r="245">
      <c r="A245" s="1" t="inlineStr">
        <is>
          <t>ISCOM_PAR</t>
        </is>
      </c>
      <c r="B245" s="1" t="inlineStr">
        <is>
          <t>6231</t>
        </is>
      </c>
      <c r="C245" s="1" t="inlineStr">
        <is>
          <t>2025</t>
        </is>
      </c>
      <c r="D245" s="1" t="inlineStr">
        <is>
          <t>2027BUD_V1</t>
        </is>
      </c>
      <c r="E245" s="1" t="inlineStr">
        <is>
          <t>12</t>
        </is>
      </c>
      <c r="F245" t="n">
        <v>55272</v>
      </c>
    </row>
    <row r="246">
      <c r="A246" s="1" t="inlineStr">
        <is>
          <t>ISCOM_LIL</t>
        </is>
      </c>
      <c r="B246" s="1" t="inlineStr">
        <is>
          <t>6231</t>
        </is>
      </c>
      <c r="C246" s="1" t="inlineStr">
        <is>
          <t>2025</t>
        </is>
      </c>
      <c r="D246" s="1" t="inlineStr">
        <is>
          <t>2027BUD_V1</t>
        </is>
      </c>
      <c r="E246" s="1" t="inlineStr">
        <is>
          <t>12</t>
        </is>
      </c>
      <c r="F246" t="n">
        <v>22927</v>
      </c>
    </row>
    <row r="247">
      <c r="A247" s="1" t="inlineStr">
        <is>
          <t>ISCOM_TLS</t>
        </is>
      </c>
      <c r="B247" s="1" t="inlineStr">
        <is>
          <t>6231</t>
        </is>
      </c>
      <c r="C247" s="1" t="inlineStr">
        <is>
          <t>2025</t>
        </is>
      </c>
      <c r="D247" s="1" t="inlineStr">
        <is>
          <t>2027BUD_V1</t>
        </is>
      </c>
      <c r="E247" s="1" t="inlineStr">
        <is>
          <t>12</t>
        </is>
      </c>
      <c r="F247" t="n">
        <v>20076</v>
      </c>
    </row>
    <row r="248">
      <c r="A248" s="1" t="inlineStr">
        <is>
          <t>IPAC_NAN</t>
        </is>
      </c>
      <c r="B248" s="1" t="inlineStr">
        <is>
          <t>6231</t>
        </is>
      </c>
      <c r="C248" s="1" t="inlineStr">
        <is>
          <t>2025</t>
        </is>
      </c>
      <c r="D248" s="1" t="inlineStr">
        <is>
          <t>2027BUD_V1</t>
        </is>
      </c>
      <c r="E248" s="1" t="inlineStr">
        <is>
          <t>12</t>
        </is>
      </c>
      <c r="F248" t="n">
        <v>19782</v>
      </c>
    </row>
    <row r="249">
      <c r="A249" s="1" t="inlineStr">
        <is>
          <t>IPAC_REN</t>
        </is>
      </c>
      <c r="B249" s="1" t="inlineStr">
        <is>
          <t>6231</t>
        </is>
      </c>
      <c r="C249" s="1" t="inlineStr">
        <is>
          <t>2025</t>
        </is>
      </c>
      <c r="D249" s="1" t="inlineStr">
        <is>
          <t>2027BUD_V1</t>
        </is>
      </c>
      <c r="E249" s="1" t="inlineStr">
        <is>
          <t>12</t>
        </is>
      </c>
      <c r="F249" t="n">
        <v>13575</v>
      </c>
    </row>
    <row r="250">
      <c r="A250" s="1" t="inlineStr">
        <is>
          <t>IPAC_MTP</t>
        </is>
      </c>
      <c r="B250" s="1" t="inlineStr">
        <is>
          <t>6231</t>
        </is>
      </c>
      <c r="C250" s="1" t="inlineStr">
        <is>
          <t>2025</t>
        </is>
      </c>
      <c r="D250" s="1" t="inlineStr">
        <is>
          <t>2027BUD_V1</t>
        </is>
      </c>
      <c r="E250" s="1" t="inlineStr">
        <is>
          <t>12</t>
        </is>
      </c>
      <c r="F250" t="n">
        <v>13798</v>
      </c>
    </row>
    <row r="251">
      <c r="A251" s="1" t="inlineStr">
        <is>
          <t>PIGIER_LYO</t>
        </is>
      </c>
      <c r="B251" s="1" t="inlineStr">
        <is>
          <t>6231</t>
        </is>
      </c>
      <c r="C251" s="1" t="inlineStr">
        <is>
          <t>2025</t>
        </is>
      </c>
      <c r="D251" s="1" t="inlineStr">
        <is>
          <t>2027BUD_V1</t>
        </is>
      </c>
      <c r="E251" s="1" t="inlineStr">
        <is>
          <t>12</t>
        </is>
      </c>
      <c r="F251" t="n">
        <v>33284</v>
      </c>
    </row>
    <row r="252">
      <c r="A252" s="1" t="inlineStr">
        <is>
          <t>PIGIER_BOR</t>
        </is>
      </c>
      <c r="B252" s="1" t="inlineStr">
        <is>
          <t>6231</t>
        </is>
      </c>
      <c r="C252" s="1" t="inlineStr">
        <is>
          <t>2025</t>
        </is>
      </c>
      <c r="D252" s="1" t="inlineStr">
        <is>
          <t>2027BUD_V1</t>
        </is>
      </c>
      <c r="E252" s="1" t="inlineStr">
        <is>
          <t>12</t>
        </is>
      </c>
      <c r="F252" t="n">
        <v>19971</v>
      </c>
    </row>
    <row r="253">
      <c r="A253" s="1" t="inlineStr">
        <is>
          <t>TUNON_PAR</t>
        </is>
      </c>
      <c r="B253" s="1" t="inlineStr">
        <is>
          <t>6231</t>
        </is>
      </c>
      <c r="C253" s="1" t="inlineStr">
        <is>
          <t>2025</t>
        </is>
      </c>
      <c r="D253" s="1" t="inlineStr">
        <is>
          <t>2027BUD_V1</t>
        </is>
      </c>
      <c r="E253" s="1" t="inlineStr">
        <is>
          <t>12</t>
        </is>
      </c>
      <c r="F253" t="n">
        <v>27491</v>
      </c>
    </row>
    <row r="254">
      <c r="A254" s="1" t="inlineStr">
        <is>
          <t>TUNON_LYO</t>
        </is>
      </c>
      <c r="B254" s="1" t="inlineStr">
        <is>
          <t>6231</t>
        </is>
      </c>
      <c r="C254" s="1" t="inlineStr">
        <is>
          <t>2025</t>
        </is>
      </c>
      <c r="D254" s="1" t="inlineStr">
        <is>
          <t>2027BUD_V1</t>
        </is>
      </c>
      <c r="E254" s="1" t="inlineStr">
        <is>
          <t>12</t>
        </is>
      </c>
      <c r="F254" t="n">
        <v>17136</v>
      </c>
    </row>
    <row r="255">
      <c r="A255" s="1" t="inlineStr">
        <is>
          <t>MBWAY_PAR</t>
        </is>
      </c>
      <c r="B255" s="1" t="inlineStr">
        <is>
          <t>6231</t>
        </is>
      </c>
      <c r="C255" s="1" t="inlineStr">
        <is>
          <t>2026</t>
        </is>
      </c>
      <c r="D255" s="1" t="inlineStr">
        <is>
          <t>2027BUD_V1</t>
        </is>
      </c>
      <c r="E255" s="1" t="inlineStr">
        <is>
          <t>12</t>
        </is>
      </c>
      <c r="F255" t="n">
        <v>68291</v>
      </c>
    </row>
    <row r="256">
      <c r="A256" s="1" t="inlineStr">
        <is>
          <t>MBWAY_LYO</t>
        </is>
      </c>
      <c r="B256" s="1" t="inlineStr">
        <is>
          <t>6231</t>
        </is>
      </c>
      <c r="C256" s="1" t="inlineStr">
        <is>
          <t>2026</t>
        </is>
      </c>
      <c r="D256" s="1" t="inlineStr">
        <is>
          <t>2027BUD_V1</t>
        </is>
      </c>
      <c r="E256" s="1" t="inlineStr">
        <is>
          <t>12</t>
        </is>
      </c>
      <c r="F256" t="n">
        <v>41783</v>
      </c>
    </row>
    <row r="257">
      <c r="A257" s="1" t="inlineStr">
        <is>
          <t>MBWAY_NAN</t>
        </is>
      </c>
      <c r="B257" s="1" t="inlineStr">
        <is>
          <t>6231</t>
        </is>
      </c>
      <c r="C257" s="1" t="inlineStr">
        <is>
          <t>2026</t>
        </is>
      </c>
      <c r="D257" s="1" t="inlineStr">
        <is>
          <t>2027BUD_V1</t>
        </is>
      </c>
      <c r="E257" s="1" t="inlineStr">
        <is>
          <t>12</t>
        </is>
      </c>
      <c r="F257" t="n">
        <v>31533</v>
      </c>
    </row>
    <row r="258">
      <c r="A258" s="1" t="inlineStr">
        <is>
          <t>MBWAY_BOR</t>
        </is>
      </c>
      <c r="B258" s="1" t="inlineStr">
        <is>
          <t>6231</t>
        </is>
      </c>
      <c r="C258" s="1" t="inlineStr">
        <is>
          <t>2026</t>
        </is>
      </c>
      <c r="D258" s="1" t="inlineStr">
        <is>
          <t>2027BUD_V1</t>
        </is>
      </c>
      <c r="E258" s="1" t="inlineStr">
        <is>
          <t>12</t>
        </is>
      </c>
      <c r="F258" t="n">
        <v>24923</v>
      </c>
    </row>
    <row r="259">
      <c r="A259" s="1" t="inlineStr">
        <is>
          <t>ISCOM_PAR</t>
        </is>
      </c>
      <c r="B259" s="1" t="inlineStr">
        <is>
          <t>6231</t>
        </is>
      </c>
      <c r="C259" s="1" t="inlineStr">
        <is>
          <t>2026</t>
        </is>
      </c>
      <c r="D259" s="1" t="inlineStr">
        <is>
          <t>2027BUD_V1</t>
        </is>
      </c>
      <c r="E259" s="1" t="inlineStr">
        <is>
          <t>12</t>
        </is>
      </c>
      <c r="F259" t="n">
        <v>60800</v>
      </c>
    </row>
    <row r="260">
      <c r="A260" s="1" t="inlineStr">
        <is>
          <t>ISCOM_LIL</t>
        </is>
      </c>
      <c r="B260" s="1" t="inlineStr">
        <is>
          <t>6231</t>
        </is>
      </c>
      <c r="C260" s="1" t="inlineStr">
        <is>
          <t>2026</t>
        </is>
      </c>
      <c r="D260" s="1" t="inlineStr">
        <is>
          <t>2027BUD_V1</t>
        </is>
      </c>
      <c r="E260" s="1" t="inlineStr">
        <is>
          <t>12</t>
        </is>
      </c>
      <c r="F260" t="n">
        <v>25220</v>
      </c>
    </row>
    <row r="261">
      <c r="A261" s="1" t="inlineStr">
        <is>
          <t>ISCOM_TLS</t>
        </is>
      </c>
      <c r="B261" s="1" t="inlineStr">
        <is>
          <t>6231</t>
        </is>
      </c>
      <c r="C261" s="1" t="inlineStr">
        <is>
          <t>2026</t>
        </is>
      </c>
      <c r="D261" s="1" t="inlineStr">
        <is>
          <t>2027BUD_V1</t>
        </is>
      </c>
      <c r="E261" s="1" t="inlineStr">
        <is>
          <t>12</t>
        </is>
      </c>
      <c r="F261" t="n">
        <v>22083</v>
      </c>
    </row>
    <row r="262">
      <c r="A262" s="1" t="inlineStr">
        <is>
          <t>IPAC_NAN</t>
        </is>
      </c>
      <c r="B262" s="1" t="inlineStr">
        <is>
          <t>6231</t>
        </is>
      </c>
      <c r="C262" s="1" t="inlineStr">
        <is>
          <t>2026</t>
        </is>
      </c>
      <c r="D262" s="1" t="inlineStr">
        <is>
          <t>2027BUD_V1</t>
        </is>
      </c>
      <c r="E262" s="1" t="inlineStr">
        <is>
          <t>12</t>
        </is>
      </c>
      <c r="F262" t="n">
        <v>21760</v>
      </c>
    </row>
    <row r="263">
      <c r="A263" s="1" t="inlineStr">
        <is>
          <t>IPAC_REN</t>
        </is>
      </c>
      <c r="B263" s="1" t="inlineStr">
        <is>
          <t>6231</t>
        </is>
      </c>
      <c r="C263" s="1" t="inlineStr">
        <is>
          <t>2026</t>
        </is>
      </c>
      <c r="D263" s="1" t="inlineStr">
        <is>
          <t>2027BUD_V1</t>
        </is>
      </c>
      <c r="E263" s="1" t="inlineStr">
        <is>
          <t>12</t>
        </is>
      </c>
      <c r="F263" t="n">
        <v>14933</v>
      </c>
    </row>
    <row r="264">
      <c r="A264" s="1" t="inlineStr">
        <is>
          <t>IPAC_MTP</t>
        </is>
      </c>
      <c r="B264" s="1" t="inlineStr">
        <is>
          <t>6231</t>
        </is>
      </c>
      <c r="C264" s="1" t="inlineStr">
        <is>
          <t>2026</t>
        </is>
      </c>
      <c r="D264" s="1" t="inlineStr">
        <is>
          <t>2027BUD_V1</t>
        </is>
      </c>
      <c r="E264" s="1" t="inlineStr">
        <is>
          <t>12</t>
        </is>
      </c>
      <c r="F264" t="n">
        <v>15178</v>
      </c>
    </row>
    <row r="265">
      <c r="A265" s="1" t="inlineStr">
        <is>
          <t>PIGIER_LYO</t>
        </is>
      </c>
      <c r="B265" s="1" t="inlineStr">
        <is>
          <t>6231</t>
        </is>
      </c>
      <c r="C265" s="1" t="inlineStr">
        <is>
          <t>2026</t>
        </is>
      </c>
      <c r="D265" s="1" t="inlineStr">
        <is>
          <t>2027BUD_V1</t>
        </is>
      </c>
      <c r="E265" s="1" t="inlineStr">
        <is>
          <t>12</t>
        </is>
      </c>
      <c r="F265" t="n">
        <v>36612</v>
      </c>
    </row>
    <row r="266">
      <c r="A266" s="1" t="inlineStr">
        <is>
          <t>PIGIER_BOR</t>
        </is>
      </c>
      <c r="B266" s="1" t="inlineStr">
        <is>
          <t>6231</t>
        </is>
      </c>
      <c r="C266" s="1" t="inlineStr">
        <is>
          <t>2026</t>
        </is>
      </c>
      <c r="D266" s="1" t="inlineStr">
        <is>
          <t>2027BUD_V1</t>
        </is>
      </c>
      <c r="E266" s="1" t="inlineStr">
        <is>
          <t>12</t>
        </is>
      </c>
      <c r="F266" t="n">
        <v>21968</v>
      </c>
    </row>
    <row r="267">
      <c r="A267" s="1" t="inlineStr">
        <is>
          <t>TUNON_PAR</t>
        </is>
      </c>
      <c r="B267" s="1" t="inlineStr">
        <is>
          <t>6231</t>
        </is>
      </c>
      <c r="C267" s="1" t="inlineStr">
        <is>
          <t>2026</t>
        </is>
      </c>
      <c r="D267" s="1" t="inlineStr">
        <is>
          <t>2027BUD_V1</t>
        </is>
      </c>
      <c r="E267" s="1" t="inlineStr">
        <is>
          <t>12</t>
        </is>
      </c>
      <c r="F267" t="n">
        <v>30240</v>
      </c>
    </row>
    <row r="268">
      <c r="A268" s="1" t="inlineStr">
        <is>
          <t>TUNON_LYO</t>
        </is>
      </c>
      <c r="B268" s="1" t="inlineStr">
        <is>
          <t>6231</t>
        </is>
      </c>
      <c r="C268" s="1" t="inlineStr">
        <is>
          <t>2026</t>
        </is>
      </c>
      <c r="D268" s="1" t="inlineStr">
        <is>
          <t>2027BUD_V1</t>
        </is>
      </c>
      <c r="E268" s="1" t="inlineStr">
        <is>
          <t>12</t>
        </is>
      </c>
      <c r="F268" t="n">
        <v>18850</v>
      </c>
    </row>
    <row r="269">
      <c r="A269" s="1" t="inlineStr">
        <is>
          <t>MBWAY_PAR</t>
        </is>
      </c>
      <c r="B269" s="1" t="inlineStr">
        <is>
          <t>6411</t>
        </is>
      </c>
      <c r="C269" s="1" t="inlineStr">
        <is>
          <t>2024</t>
        </is>
      </c>
      <c r="D269" s="1" t="inlineStr">
        <is>
          <t>2027BUD_V1</t>
        </is>
      </c>
      <c r="E269" s="1" t="inlineStr">
        <is>
          <t>12</t>
        </is>
      </c>
      <c r="F269" t="n">
        <v>552322</v>
      </c>
    </row>
    <row r="270">
      <c r="A270" s="1" t="inlineStr">
        <is>
          <t>MBWAY_LYO</t>
        </is>
      </c>
      <c r="B270" s="1" t="inlineStr">
        <is>
          <t>6411</t>
        </is>
      </c>
      <c r="C270" s="1" t="inlineStr">
        <is>
          <t>2024</t>
        </is>
      </c>
      <c r="D270" s="1" t="inlineStr">
        <is>
          <t>2027BUD_V1</t>
        </is>
      </c>
      <c r="E270" s="1" t="inlineStr">
        <is>
          <t>12</t>
        </is>
      </c>
      <c r="F270" t="n">
        <v>330938</v>
      </c>
    </row>
    <row r="271">
      <c r="A271" s="1" t="inlineStr">
        <is>
          <t>MBWAY_NAN</t>
        </is>
      </c>
      <c r="B271" s="1" t="inlineStr">
        <is>
          <t>6411</t>
        </is>
      </c>
      <c r="C271" s="1" t="inlineStr">
        <is>
          <t>2024</t>
        </is>
      </c>
      <c r="D271" s="1" t="inlineStr">
        <is>
          <t>2027BUD_V1</t>
        </is>
      </c>
      <c r="E271" s="1" t="inlineStr">
        <is>
          <t>12</t>
        </is>
      </c>
      <c r="F271" t="n">
        <v>272751</v>
      </c>
    </row>
    <row r="272">
      <c r="A272" s="1" t="inlineStr">
        <is>
          <t>MBWAY_BOR</t>
        </is>
      </c>
      <c r="B272" s="1" t="inlineStr">
        <is>
          <t>6411</t>
        </is>
      </c>
      <c r="C272" s="1" t="inlineStr">
        <is>
          <t>2024</t>
        </is>
      </c>
      <c r="D272" s="1" t="inlineStr">
        <is>
          <t>2027BUD_V1</t>
        </is>
      </c>
      <c r="E272" s="1" t="inlineStr">
        <is>
          <t>12</t>
        </is>
      </c>
      <c r="F272" t="n">
        <v>238657</v>
      </c>
    </row>
    <row r="273">
      <c r="A273" s="1" t="inlineStr">
        <is>
          <t>ISCOM_PAR</t>
        </is>
      </c>
      <c r="B273" s="1" t="inlineStr">
        <is>
          <t>6411</t>
        </is>
      </c>
      <c r="C273" s="1" t="inlineStr">
        <is>
          <t>2024</t>
        </is>
      </c>
      <c r="D273" s="1" t="inlineStr">
        <is>
          <t>2027BUD_V1</t>
        </is>
      </c>
      <c r="E273" s="1" t="inlineStr">
        <is>
          <t>12</t>
        </is>
      </c>
      <c r="F273" t="n">
        <v>552322</v>
      </c>
    </row>
    <row r="274">
      <c r="A274" s="1" t="inlineStr">
        <is>
          <t>ISCOM_LIL</t>
        </is>
      </c>
      <c r="B274" s="1" t="inlineStr">
        <is>
          <t>6411</t>
        </is>
      </c>
      <c r="C274" s="1" t="inlineStr">
        <is>
          <t>2024</t>
        </is>
      </c>
      <c r="D274" s="1" t="inlineStr">
        <is>
          <t>2027BUD_V1</t>
        </is>
      </c>
      <c r="E274" s="1" t="inlineStr">
        <is>
          <t>12</t>
        </is>
      </c>
      <c r="F274" t="n">
        <v>209109</v>
      </c>
    </row>
    <row r="275">
      <c r="A275" s="1" t="inlineStr">
        <is>
          <t>ISCOM_TLS</t>
        </is>
      </c>
      <c r="B275" s="1" t="inlineStr">
        <is>
          <t>6411</t>
        </is>
      </c>
      <c r="C275" s="1" t="inlineStr">
        <is>
          <t>2024</t>
        </is>
      </c>
      <c r="D275" s="1" t="inlineStr">
        <is>
          <t>2027BUD_V1</t>
        </is>
      </c>
      <c r="E275" s="1" t="inlineStr">
        <is>
          <t>12</t>
        </is>
      </c>
      <c r="F275" t="n">
        <v>204564</v>
      </c>
    </row>
    <row r="276">
      <c r="A276" s="1" t="inlineStr">
        <is>
          <t>IPAC_NAN</t>
        </is>
      </c>
      <c r="B276" s="1" t="inlineStr">
        <is>
          <t>6411</t>
        </is>
      </c>
      <c r="C276" s="1" t="inlineStr">
        <is>
          <t>2024</t>
        </is>
      </c>
      <c r="D276" s="1" t="inlineStr">
        <is>
          <t>2027BUD_V1</t>
        </is>
      </c>
      <c r="E276" s="1" t="inlineStr">
        <is>
          <t>12</t>
        </is>
      </c>
      <c r="F276" t="n">
        <v>136376</v>
      </c>
    </row>
    <row r="277">
      <c r="A277" s="1" t="inlineStr">
        <is>
          <t>IPAC_REN</t>
        </is>
      </c>
      <c r="B277" s="1" t="inlineStr">
        <is>
          <t>6411</t>
        </is>
      </c>
      <c r="C277" s="1" t="inlineStr">
        <is>
          <t>2024</t>
        </is>
      </c>
      <c r="D277" s="1" t="inlineStr">
        <is>
          <t>2027BUD_V1</t>
        </is>
      </c>
      <c r="E277" s="1" t="inlineStr">
        <is>
          <t>12</t>
        </is>
      </c>
      <c r="F277" t="n">
        <v>120011</v>
      </c>
    </row>
    <row r="278">
      <c r="A278" s="1" t="inlineStr">
        <is>
          <t>IPAC_MTP</t>
        </is>
      </c>
      <c r="B278" s="1" t="inlineStr">
        <is>
          <t>6411</t>
        </is>
      </c>
      <c r="C278" s="1" t="inlineStr">
        <is>
          <t>2024</t>
        </is>
      </c>
      <c r="D278" s="1" t="inlineStr">
        <is>
          <t>2027BUD_V1</t>
        </is>
      </c>
      <c r="E278" s="1" t="inlineStr">
        <is>
          <t>12</t>
        </is>
      </c>
      <c r="F278" t="n">
        <v>120011</v>
      </c>
    </row>
    <row r="279">
      <c r="A279" s="1" t="inlineStr">
        <is>
          <t>PIGIER_LYO</t>
        </is>
      </c>
      <c r="B279" s="1" t="inlineStr">
        <is>
          <t>6411</t>
        </is>
      </c>
      <c r="C279" s="1" t="inlineStr">
        <is>
          <t>2024</t>
        </is>
      </c>
      <c r="D279" s="1" t="inlineStr">
        <is>
          <t>2027BUD_V1</t>
        </is>
      </c>
      <c r="E279" s="1" t="inlineStr">
        <is>
          <t>12</t>
        </is>
      </c>
      <c r="F279" t="n">
        <v>203654</v>
      </c>
    </row>
    <row r="280">
      <c r="A280" s="1" t="inlineStr">
        <is>
          <t>PIGIER_BOR</t>
        </is>
      </c>
      <c r="B280" s="1" t="inlineStr">
        <is>
          <t>6411</t>
        </is>
      </c>
      <c r="C280" s="1" t="inlineStr">
        <is>
          <t>2024</t>
        </is>
      </c>
      <c r="D280" s="1" t="inlineStr">
        <is>
          <t>2027BUD_V1</t>
        </is>
      </c>
      <c r="E280" s="1" t="inlineStr">
        <is>
          <t>12</t>
        </is>
      </c>
      <c r="F280" t="n">
        <v>190926</v>
      </c>
    </row>
    <row r="281">
      <c r="A281" s="1" t="inlineStr">
        <is>
          <t>TUNON_PAR</t>
        </is>
      </c>
      <c r="B281" s="1" t="inlineStr">
        <is>
          <t>6411</t>
        </is>
      </c>
      <c r="C281" s="1" t="inlineStr">
        <is>
          <t>2024</t>
        </is>
      </c>
      <c r="D281" s="1" t="inlineStr">
        <is>
          <t>2027BUD_V1</t>
        </is>
      </c>
      <c r="E281" s="1" t="inlineStr">
        <is>
          <t>12</t>
        </is>
      </c>
      <c r="F281" t="n">
        <v>220929</v>
      </c>
    </row>
    <row r="282">
      <c r="A282" s="1" t="inlineStr">
        <is>
          <t>TUNON_LYO</t>
        </is>
      </c>
      <c r="B282" s="1" t="inlineStr">
        <is>
          <t>6411</t>
        </is>
      </c>
      <c r="C282" s="1" t="inlineStr">
        <is>
          <t>2024</t>
        </is>
      </c>
      <c r="D282" s="1" t="inlineStr">
        <is>
          <t>2027BUD_V1</t>
        </is>
      </c>
      <c r="E282" s="1" t="inlineStr">
        <is>
          <t>12</t>
        </is>
      </c>
      <c r="F282" t="n">
        <v>152741</v>
      </c>
    </row>
    <row r="283">
      <c r="A283" s="1" t="inlineStr">
        <is>
          <t>MBWAY_PAR</t>
        </is>
      </c>
      <c r="B283" s="1" t="inlineStr">
        <is>
          <t>6411</t>
        </is>
      </c>
      <c r="C283" s="1" t="inlineStr">
        <is>
          <t>2025</t>
        </is>
      </c>
      <c r="D283" s="1" t="inlineStr">
        <is>
          <t>2027BUD_V1</t>
        </is>
      </c>
      <c r="E283" s="1" t="inlineStr">
        <is>
          <t>12</t>
        </is>
      </c>
      <c r="F283" t="n">
        <v>577630</v>
      </c>
    </row>
    <row r="284">
      <c r="A284" s="1" t="inlineStr">
        <is>
          <t>MBWAY_LYO</t>
        </is>
      </c>
      <c r="B284" s="1" t="inlineStr">
        <is>
          <t>6411</t>
        </is>
      </c>
      <c r="C284" s="1" t="inlineStr">
        <is>
          <t>2025</t>
        </is>
      </c>
      <c r="D284" s="1" t="inlineStr">
        <is>
          <t>2027BUD_V1</t>
        </is>
      </c>
      <c r="E284" s="1" t="inlineStr">
        <is>
          <t>12</t>
        </is>
      </c>
      <c r="F284" t="n">
        <v>346103</v>
      </c>
    </row>
    <row r="285">
      <c r="A285" s="1" t="inlineStr">
        <is>
          <t>MBWAY_NAN</t>
        </is>
      </c>
      <c r="B285" s="1" t="inlineStr">
        <is>
          <t>6411</t>
        </is>
      </c>
      <c r="C285" s="1" t="inlineStr">
        <is>
          <t>2025</t>
        </is>
      </c>
      <c r="D285" s="1" t="inlineStr">
        <is>
          <t>2027BUD_V1</t>
        </is>
      </c>
      <c r="E285" s="1" t="inlineStr">
        <is>
          <t>12</t>
        </is>
      </c>
      <c r="F285" t="n">
        <v>285249</v>
      </c>
    </row>
    <row r="286">
      <c r="A286" s="1" t="inlineStr">
        <is>
          <t>MBWAY_BOR</t>
        </is>
      </c>
      <c r="B286" s="1" t="inlineStr">
        <is>
          <t>6411</t>
        </is>
      </c>
      <c r="C286" s="1" t="inlineStr">
        <is>
          <t>2025</t>
        </is>
      </c>
      <c r="D286" s="1" t="inlineStr">
        <is>
          <t>2027BUD_V1</t>
        </is>
      </c>
      <c r="E286" s="1" t="inlineStr">
        <is>
          <t>12</t>
        </is>
      </c>
      <c r="F286" t="n">
        <v>249593</v>
      </c>
    </row>
    <row r="287">
      <c r="A287" s="1" t="inlineStr">
        <is>
          <t>ISCOM_PAR</t>
        </is>
      </c>
      <c r="B287" s="1" t="inlineStr">
        <is>
          <t>6411</t>
        </is>
      </c>
      <c r="C287" s="1" t="inlineStr">
        <is>
          <t>2025</t>
        </is>
      </c>
      <c r="D287" s="1" t="inlineStr">
        <is>
          <t>2027BUD_V1</t>
        </is>
      </c>
      <c r="E287" s="1" t="inlineStr">
        <is>
          <t>12</t>
        </is>
      </c>
      <c r="F287" t="n">
        <v>577630</v>
      </c>
    </row>
    <row r="288">
      <c r="A288" s="1" t="inlineStr">
        <is>
          <t>ISCOM_LIL</t>
        </is>
      </c>
      <c r="B288" s="1" t="inlineStr">
        <is>
          <t>6411</t>
        </is>
      </c>
      <c r="C288" s="1" t="inlineStr">
        <is>
          <t>2025</t>
        </is>
      </c>
      <c r="D288" s="1" t="inlineStr">
        <is>
          <t>2027BUD_V1</t>
        </is>
      </c>
      <c r="E288" s="1" t="inlineStr">
        <is>
          <t>12</t>
        </is>
      </c>
      <c r="F288" t="n">
        <v>218691</v>
      </c>
    </row>
    <row r="289">
      <c r="A289" s="1" t="inlineStr">
        <is>
          <t>ISCOM_TLS</t>
        </is>
      </c>
      <c r="B289" s="1" t="inlineStr">
        <is>
          <t>6411</t>
        </is>
      </c>
      <c r="C289" s="1" t="inlineStr">
        <is>
          <t>2025</t>
        </is>
      </c>
      <c r="D289" s="1" t="inlineStr">
        <is>
          <t>2027BUD_V1</t>
        </is>
      </c>
      <c r="E289" s="1" t="inlineStr">
        <is>
          <t>12</t>
        </is>
      </c>
      <c r="F289" t="n">
        <v>213937</v>
      </c>
    </row>
    <row r="290">
      <c r="A290" s="1" t="inlineStr">
        <is>
          <t>IPAC_NAN</t>
        </is>
      </c>
      <c r="B290" s="1" t="inlineStr">
        <is>
          <t>6411</t>
        </is>
      </c>
      <c r="C290" s="1" t="inlineStr">
        <is>
          <t>2025</t>
        </is>
      </c>
      <c r="D290" s="1" t="inlineStr">
        <is>
          <t>2027BUD_V1</t>
        </is>
      </c>
      <c r="E290" s="1" t="inlineStr">
        <is>
          <t>12</t>
        </is>
      </c>
      <c r="F290" t="n">
        <v>142625</v>
      </c>
    </row>
    <row r="291">
      <c r="A291" s="1" t="inlineStr">
        <is>
          <t>IPAC_REN</t>
        </is>
      </c>
      <c r="B291" s="1" t="inlineStr">
        <is>
          <t>6411</t>
        </is>
      </c>
      <c r="C291" s="1" t="inlineStr">
        <is>
          <t>2025</t>
        </is>
      </c>
      <c r="D291" s="1" t="inlineStr">
        <is>
          <t>2027BUD_V1</t>
        </is>
      </c>
      <c r="E291" s="1" t="inlineStr">
        <is>
          <t>12</t>
        </is>
      </c>
      <c r="F291" t="n">
        <v>125510</v>
      </c>
    </row>
    <row r="292">
      <c r="A292" s="1" t="inlineStr">
        <is>
          <t>IPAC_MTP</t>
        </is>
      </c>
      <c r="B292" s="1" t="inlineStr">
        <is>
          <t>6411</t>
        </is>
      </c>
      <c r="C292" s="1" t="inlineStr">
        <is>
          <t>2025</t>
        </is>
      </c>
      <c r="D292" s="1" t="inlineStr">
        <is>
          <t>2027BUD_V1</t>
        </is>
      </c>
      <c r="E292" s="1" t="inlineStr">
        <is>
          <t>12</t>
        </is>
      </c>
      <c r="F292" t="n">
        <v>125510</v>
      </c>
    </row>
    <row r="293">
      <c r="A293" s="1" t="inlineStr">
        <is>
          <t>PIGIER_LYO</t>
        </is>
      </c>
      <c r="B293" s="1" t="inlineStr">
        <is>
          <t>6411</t>
        </is>
      </c>
      <c r="C293" s="1" t="inlineStr">
        <is>
          <t>2025</t>
        </is>
      </c>
      <c r="D293" s="1" t="inlineStr">
        <is>
          <t>2027BUD_V1</t>
        </is>
      </c>
      <c r="E293" s="1" t="inlineStr">
        <is>
          <t>12</t>
        </is>
      </c>
      <c r="F293" t="n">
        <v>212986</v>
      </c>
    </row>
    <row r="294">
      <c r="A294" s="1" t="inlineStr">
        <is>
          <t>PIGIER_BOR</t>
        </is>
      </c>
      <c r="B294" s="1" t="inlineStr">
        <is>
          <t>6411</t>
        </is>
      </c>
      <c r="C294" s="1" t="inlineStr">
        <is>
          <t>2025</t>
        </is>
      </c>
      <c r="D294" s="1" t="inlineStr">
        <is>
          <t>2027BUD_V1</t>
        </is>
      </c>
      <c r="E294" s="1" t="inlineStr">
        <is>
          <t>12</t>
        </is>
      </c>
      <c r="F294" t="n">
        <v>199675</v>
      </c>
    </row>
    <row r="295">
      <c r="A295" s="1" t="inlineStr">
        <is>
          <t>TUNON_PAR</t>
        </is>
      </c>
      <c r="B295" s="1" t="inlineStr">
        <is>
          <t>6411</t>
        </is>
      </c>
      <c r="C295" s="1" t="inlineStr">
        <is>
          <t>2025</t>
        </is>
      </c>
      <c r="D295" s="1" t="inlineStr">
        <is>
          <t>2027BUD_V1</t>
        </is>
      </c>
      <c r="E295" s="1" t="inlineStr">
        <is>
          <t>12</t>
        </is>
      </c>
      <c r="F295" t="n">
        <v>231052</v>
      </c>
    </row>
    <row r="296">
      <c r="A296" s="1" t="inlineStr">
        <is>
          <t>TUNON_LYO</t>
        </is>
      </c>
      <c r="B296" s="1" t="inlineStr">
        <is>
          <t>6411</t>
        </is>
      </c>
      <c r="C296" s="1" t="inlineStr">
        <is>
          <t>2025</t>
        </is>
      </c>
      <c r="D296" s="1" t="inlineStr">
        <is>
          <t>2027BUD_V1</t>
        </is>
      </c>
      <c r="E296" s="1" t="inlineStr">
        <is>
          <t>12</t>
        </is>
      </c>
      <c r="F296" t="n">
        <v>159740</v>
      </c>
    </row>
    <row r="297">
      <c r="A297" s="1" t="inlineStr">
        <is>
          <t>MBWAY_PAR</t>
        </is>
      </c>
      <c r="B297" s="1" t="inlineStr">
        <is>
          <t>6411</t>
        </is>
      </c>
      <c r="C297" s="1" t="inlineStr">
        <is>
          <t>2026</t>
        </is>
      </c>
      <c r="D297" s="1" t="inlineStr">
        <is>
          <t>2027BUD_V1</t>
        </is>
      </c>
      <c r="E297" s="1" t="inlineStr">
        <is>
          <t>12</t>
        </is>
      </c>
      <c r="F297" t="n">
        <v>605202</v>
      </c>
    </row>
    <row r="298">
      <c r="A298" s="1" t="inlineStr">
        <is>
          <t>MBWAY_LYO</t>
        </is>
      </c>
      <c r="B298" s="1" t="inlineStr">
        <is>
          <t>6411</t>
        </is>
      </c>
      <c r="C298" s="1" t="inlineStr">
        <is>
          <t>2026</t>
        </is>
      </c>
      <c r="D298" s="1" t="inlineStr">
        <is>
          <t>2027BUD_V1</t>
        </is>
      </c>
      <c r="E298" s="1" t="inlineStr">
        <is>
          <t>12</t>
        </is>
      </c>
      <c r="F298" t="n">
        <v>362623</v>
      </c>
    </row>
    <row r="299">
      <c r="A299" s="1" t="inlineStr">
        <is>
          <t>MBWAY_NAN</t>
        </is>
      </c>
      <c r="B299" s="1" t="inlineStr">
        <is>
          <t>6411</t>
        </is>
      </c>
      <c r="C299" s="1" t="inlineStr">
        <is>
          <t>2026</t>
        </is>
      </c>
      <c r="D299" s="1" t="inlineStr">
        <is>
          <t>2027BUD_V1</t>
        </is>
      </c>
      <c r="E299" s="1" t="inlineStr">
        <is>
          <t>12</t>
        </is>
      </c>
      <c r="F299" t="n">
        <v>298865</v>
      </c>
    </row>
    <row r="300">
      <c r="A300" s="1" t="inlineStr">
        <is>
          <t>MBWAY_BOR</t>
        </is>
      </c>
      <c r="B300" s="1" t="inlineStr">
        <is>
          <t>6411</t>
        </is>
      </c>
      <c r="C300" s="1" t="inlineStr">
        <is>
          <t>2026</t>
        </is>
      </c>
      <c r="D300" s="1" t="inlineStr">
        <is>
          <t>2027BUD_V1</t>
        </is>
      </c>
      <c r="E300" s="1" t="inlineStr">
        <is>
          <t>12</t>
        </is>
      </c>
      <c r="F300" t="n">
        <v>261507</v>
      </c>
    </row>
    <row r="301">
      <c r="A301" s="1" t="inlineStr">
        <is>
          <t>ISCOM_PAR</t>
        </is>
      </c>
      <c r="B301" s="1" t="inlineStr">
        <is>
          <t>6411</t>
        </is>
      </c>
      <c r="C301" s="1" t="inlineStr">
        <is>
          <t>2026</t>
        </is>
      </c>
      <c r="D301" s="1" t="inlineStr">
        <is>
          <t>2027BUD_V1</t>
        </is>
      </c>
      <c r="E301" s="1" t="inlineStr">
        <is>
          <t>12</t>
        </is>
      </c>
      <c r="F301" t="n">
        <v>605202</v>
      </c>
    </row>
    <row r="302">
      <c r="A302" s="1" t="inlineStr">
        <is>
          <t>ISCOM_LIL</t>
        </is>
      </c>
      <c r="B302" s="1" t="inlineStr">
        <is>
          <t>6411</t>
        </is>
      </c>
      <c r="C302" s="1" t="inlineStr">
        <is>
          <t>2026</t>
        </is>
      </c>
      <c r="D302" s="1" t="inlineStr">
        <is>
          <t>2027BUD_V1</t>
        </is>
      </c>
      <c r="E302" s="1" t="inlineStr">
        <is>
          <t>12</t>
        </is>
      </c>
      <c r="F302" t="n">
        <v>229130</v>
      </c>
    </row>
    <row r="303">
      <c r="A303" s="1" t="inlineStr">
        <is>
          <t>ISCOM_TLS</t>
        </is>
      </c>
      <c r="B303" s="1" t="inlineStr">
        <is>
          <t>6411</t>
        </is>
      </c>
      <c r="C303" s="1" t="inlineStr">
        <is>
          <t>2026</t>
        </is>
      </c>
      <c r="D303" s="1" t="inlineStr">
        <is>
          <t>2027BUD_V1</t>
        </is>
      </c>
      <c r="E303" s="1" t="inlineStr">
        <is>
          <t>12</t>
        </is>
      </c>
      <c r="F303" t="n">
        <v>224149</v>
      </c>
    </row>
    <row r="304">
      <c r="A304" s="1" t="inlineStr">
        <is>
          <t>IPAC_NAN</t>
        </is>
      </c>
      <c r="B304" s="1" t="inlineStr">
        <is>
          <t>6411</t>
        </is>
      </c>
      <c r="C304" s="1" t="inlineStr">
        <is>
          <t>2026</t>
        </is>
      </c>
      <c r="D304" s="1" t="inlineStr">
        <is>
          <t>2027BUD_V1</t>
        </is>
      </c>
      <c r="E304" s="1" t="inlineStr">
        <is>
          <t>12</t>
        </is>
      </c>
      <c r="F304" t="n">
        <v>149433</v>
      </c>
    </row>
    <row r="305">
      <c r="A305" s="1" t="inlineStr">
        <is>
          <t>IPAC_REN</t>
        </is>
      </c>
      <c r="B305" s="1" t="inlineStr">
        <is>
          <t>6411</t>
        </is>
      </c>
      <c r="C305" s="1" t="inlineStr">
        <is>
          <t>2026</t>
        </is>
      </c>
      <c r="D305" s="1" t="inlineStr">
        <is>
          <t>2027BUD_V1</t>
        </is>
      </c>
      <c r="E305" s="1" t="inlineStr">
        <is>
          <t>12</t>
        </is>
      </c>
      <c r="F305" t="n">
        <v>131501</v>
      </c>
    </row>
    <row r="306">
      <c r="A306" s="1" t="inlineStr">
        <is>
          <t>IPAC_MTP</t>
        </is>
      </c>
      <c r="B306" s="1" t="inlineStr">
        <is>
          <t>6411</t>
        </is>
      </c>
      <c r="C306" s="1" t="inlineStr">
        <is>
          <t>2026</t>
        </is>
      </c>
      <c r="D306" s="1" t="inlineStr">
        <is>
          <t>2027BUD_V1</t>
        </is>
      </c>
      <c r="E306" s="1" t="inlineStr">
        <is>
          <t>12</t>
        </is>
      </c>
      <c r="F306" t="n">
        <v>131501</v>
      </c>
    </row>
    <row r="307">
      <c r="A307" s="1" t="inlineStr">
        <is>
          <t>PIGIER_LYO</t>
        </is>
      </c>
      <c r="B307" s="1" t="inlineStr">
        <is>
          <t>6411</t>
        </is>
      </c>
      <c r="C307" s="1" t="inlineStr">
        <is>
          <t>2026</t>
        </is>
      </c>
      <c r="D307" s="1" t="inlineStr">
        <is>
          <t>2027BUD_V1</t>
        </is>
      </c>
      <c r="E307" s="1" t="inlineStr">
        <is>
          <t>12</t>
        </is>
      </c>
      <c r="F307" t="n">
        <v>223153</v>
      </c>
    </row>
    <row r="308">
      <c r="A308" s="1" t="inlineStr">
        <is>
          <t>PIGIER_BOR</t>
        </is>
      </c>
      <c r="B308" s="1" t="inlineStr">
        <is>
          <t>6411</t>
        </is>
      </c>
      <c r="C308" s="1" t="inlineStr">
        <is>
          <t>2026</t>
        </is>
      </c>
      <c r="D308" s="1" t="inlineStr">
        <is>
          <t>2027BUD_V1</t>
        </is>
      </c>
      <c r="E308" s="1" t="inlineStr">
        <is>
          <t>12</t>
        </is>
      </c>
      <c r="F308" t="n">
        <v>209206</v>
      </c>
    </row>
    <row r="309">
      <c r="A309" s="1" t="inlineStr">
        <is>
          <t>TUNON_PAR</t>
        </is>
      </c>
      <c r="B309" s="1" t="inlineStr">
        <is>
          <t>6411</t>
        </is>
      </c>
      <c r="C309" s="1" t="inlineStr">
        <is>
          <t>2026</t>
        </is>
      </c>
      <c r="D309" s="1" t="inlineStr">
        <is>
          <t>2027BUD_V1</t>
        </is>
      </c>
      <c r="E309" s="1" t="inlineStr">
        <is>
          <t>12</t>
        </is>
      </c>
      <c r="F309" t="n">
        <v>242081</v>
      </c>
    </row>
    <row r="310">
      <c r="A310" s="1" t="inlineStr">
        <is>
          <t>TUNON_LYO</t>
        </is>
      </c>
      <c r="B310" s="1" t="inlineStr">
        <is>
          <t>6411</t>
        </is>
      </c>
      <c r="C310" s="1" t="inlineStr">
        <is>
          <t>2026</t>
        </is>
      </c>
      <c r="D310" s="1" t="inlineStr">
        <is>
          <t>2027BUD_V1</t>
        </is>
      </c>
      <c r="E310" s="1" t="inlineStr">
        <is>
          <t>12</t>
        </is>
      </c>
      <c r="F310" t="n">
        <v>167364</v>
      </c>
    </row>
    <row r="311">
      <c r="A311" s="1" t="inlineStr">
        <is>
          <t>MBWAY_PAR</t>
        </is>
      </c>
      <c r="B311" s="1" t="inlineStr">
        <is>
          <t>6413</t>
        </is>
      </c>
      <c r="C311" s="1" t="inlineStr">
        <is>
          <t>2024</t>
        </is>
      </c>
      <c r="D311" s="1" t="inlineStr">
        <is>
          <t>2027BUD_V1</t>
        </is>
      </c>
      <c r="E311" s="1" t="inlineStr">
        <is>
          <t>12</t>
        </is>
      </c>
      <c r="F311" t="n">
        <v>318872</v>
      </c>
    </row>
    <row r="312">
      <c r="A312" s="1" t="inlineStr">
        <is>
          <t>MBWAY_LYO</t>
        </is>
      </c>
      <c r="B312" s="1" t="inlineStr">
        <is>
          <t>6413</t>
        </is>
      </c>
      <c r="C312" s="1" t="inlineStr">
        <is>
          <t>2024</t>
        </is>
      </c>
      <c r="D312" s="1" t="inlineStr">
        <is>
          <t>2027BUD_V1</t>
        </is>
      </c>
      <c r="E312" s="1" t="inlineStr">
        <is>
          <t>12</t>
        </is>
      </c>
      <c r="F312" t="n">
        <v>186982</v>
      </c>
    </row>
    <row r="313">
      <c r="A313" s="1" t="inlineStr">
        <is>
          <t>MBWAY_NAN</t>
        </is>
      </c>
      <c r="B313" s="1" t="inlineStr">
        <is>
          <t>6413</t>
        </is>
      </c>
      <c r="C313" s="1" t="inlineStr">
        <is>
          <t>2024</t>
        </is>
      </c>
      <c r="D313" s="1" t="inlineStr">
        <is>
          <t>2027BUD_V1</t>
        </is>
      </c>
      <c r="E313" s="1" t="inlineStr">
        <is>
          <t>12</t>
        </is>
      </c>
      <c r="F313" t="n">
        <v>151490</v>
      </c>
    </row>
    <row r="314">
      <c r="A314" s="1" t="inlineStr">
        <is>
          <t>MBWAY_BOR</t>
        </is>
      </c>
      <c r="B314" s="1" t="inlineStr">
        <is>
          <t>6413</t>
        </is>
      </c>
      <c r="C314" s="1" t="inlineStr">
        <is>
          <t>2024</t>
        </is>
      </c>
      <c r="D314" s="1" t="inlineStr">
        <is>
          <t>2027BUD_V1</t>
        </is>
      </c>
      <c r="E314" s="1" t="inlineStr">
        <is>
          <t>12</t>
        </is>
      </c>
      <c r="F314" t="n">
        <v>134718</v>
      </c>
    </row>
    <row r="315">
      <c r="A315" s="1" t="inlineStr">
        <is>
          <t>ISCOM_PAR</t>
        </is>
      </c>
      <c r="B315" s="1" t="inlineStr">
        <is>
          <t>6413</t>
        </is>
      </c>
      <c r="C315" s="1" t="inlineStr">
        <is>
          <t>2024</t>
        </is>
      </c>
      <c r="D315" s="1" t="inlineStr">
        <is>
          <t>2027BUD_V1</t>
        </is>
      </c>
      <c r="E315" s="1" t="inlineStr">
        <is>
          <t>12</t>
        </is>
      </c>
      <c r="F315" t="n">
        <v>295499</v>
      </c>
    </row>
    <row r="316">
      <c r="A316" s="1" t="inlineStr">
        <is>
          <t>ISCOM_LIL</t>
        </is>
      </c>
      <c r="B316" s="1" t="inlineStr">
        <is>
          <t>6413</t>
        </is>
      </c>
      <c r="C316" s="1" t="inlineStr">
        <is>
          <t>2024</t>
        </is>
      </c>
      <c r="D316" s="1" t="inlineStr">
        <is>
          <t>2027BUD_V1</t>
        </is>
      </c>
      <c r="E316" s="1" t="inlineStr">
        <is>
          <t>12</t>
        </is>
      </c>
      <c r="F316" t="n">
        <v>115669</v>
      </c>
    </row>
    <row r="317">
      <c r="A317" s="1" t="inlineStr">
        <is>
          <t>ISCOM_TLS</t>
        </is>
      </c>
      <c r="B317" s="1" t="inlineStr">
        <is>
          <t>6413</t>
        </is>
      </c>
      <c r="C317" s="1" t="inlineStr">
        <is>
          <t>2024</t>
        </is>
      </c>
      <c r="D317" s="1" t="inlineStr">
        <is>
          <t>2027BUD_V1</t>
        </is>
      </c>
      <c r="E317" s="1" t="inlineStr">
        <is>
          <t>12</t>
        </is>
      </c>
      <c r="F317" t="n">
        <v>107125</v>
      </c>
    </row>
    <row r="318">
      <c r="A318" s="1" t="inlineStr">
        <is>
          <t>IPAC_NAN</t>
        </is>
      </c>
      <c r="B318" s="1" t="inlineStr">
        <is>
          <t>6413</t>
        </is>
      </c>
      <c r="C318" s="1" t="inlineStr">
        <is>
          <t>2024</t>
        </is>
      </c>
      <c r="D318" s="1" t="inlineStr">
        <is>
          <t>2027BUD_V1</t>
        </is>
      </c>
      <c r="E318" s="1" t="inlineStr">
        <is>
          <t>12</t>
        </is>
      </c>
      <c r="F318" t="n">
        <v>74715</v>
      </c>
    </row>
    <row r="319">
      <c r="A319" s="1" t="inlineStr">
        <is>
          <t>IPAC_REN</t>
        </is>
      </c>
      <c r="B319" s="1" t="inlineStr">
        <is>
          <t>6413</t>
        </is>
      </c>
      <c r="C319" s="1" t="inlineStr">
        <is>
          <t>2024</t>
        </is>
      </c>
      <c r="D319" s="1" t="inlineStr">
        <is>
          <t>2027BUD_V1</t>
        </is>
      </c>
      <c r="E319" s="1" t="inlineStr">
        <is>
          <t>12</t>
        </is>
      </c>
      <c r="F319" t="n">
        <v>53053</v>
      </c>
    </row>
    <row r="320">
      <c r="A320" s="1" t="inlineStr">
        <is>
          <t>IPAC_MTP</t>
        </is>
      </c>
      <c r="B320" s="1" t="inlineStr">
        <is>
          <t>6413</t>
        </is>
      </c>
      <c r="C320" s="1" t="inlineStr">
        <is>
          <t>2024</t>
        </is>
      </c>
      <c r="D320" s="1" t="inlineStr">
        <is>
          <t>2027BUD_V1</t>
        </is>
      </c>
      <c r="E320" s="1" t="inlineStr">
        <is>
          <t>12</t>
        </is>
      </c>
      <c r="F320" t="n">
        <v>53053</v>
      </c>
    </row>
    <row r="321">
      <c r="A321" s="1" t="inlineStr">
        <is>
          <t>PIGIER_LYO</t>
        </is>
      </c>
      <c r="B321" s="1" t="inlineStr">
        <is>
          <t>6413</t>
        </is>
      </c>
      <c r="C321" s="1" t="inlineStr">
        <is>
          <t>2024</t>
        </is>
      </c>
      <c r="D321" s="1" t="inlineStr">
        <is>
          <t>2027BUD_V1</t>
        </is>
      </c>
      <c r="E321" s="1" t="inlineStr">
        <is>
          <t>12</t>
        </is>
      </c>
      <c r="F321" t="n">
        <v>105033</v>
      </c>
    </row>
    <row r="322">
      <c r="A322" s="1" t="inlineStr">
        <is>
          <t>PIGIER_BOR</t>
        </is>
      </c>
      <c r="B322" s="1" t="inlineStr">
        <is>
          <t>6413</t>
        </is>
      </c>
      <c r="C322" s="1" t="inlineStr">
        <is>
          <t>2024</t>
        </is>
      </c>
      <c r="D322" s="1" t="inlineStr">
        <is>
          <t>2027BUD_V1</t>
        </is>
      </c>
      <c r="E322" s="1" t="inlineStr">
        <is>
          <t>12</t>
        </is>
      </c>
      <c r="F322" t="n">
        <v>76827</v>
      </c>
    </row>
    <row r="323">
      <c r="A323" s="1" t="inlineStr">
        <is>
          <t>TUNON_PAR</t>
        </is>
      </c>
      <c r="B323" s="1" t="inlineStr">
        <is>
          <t>6413</t>
        </is>
      </c>
      <c r="C323" s="1" t="inlineStr">
        <is>
          <t>2024</t>
        </is>
      </c>
      <c r="D323" s="1" t="inlineStr">
        <is>
          <t>2027BUD_V1</t>
        </is>
      </c>
      <c r="E323" s="1" t="inlineStr">
        <is>
          <t>12</t>
        </is>
      </c>
      <c r="F323" t="n">
        <v>115195</v>
      </c>
    </row>
    <row r="324">
      <c r="A324" s="1" t="inlineStr">
        <is>
          <t>TUNON_LYO</t>
        </is>
      </c>
      <c r="B324" s="1" t="inlineStr">
        <is>
          <t>6413</t>
        </is>
      </c>
      <c r="C324" s="1" t="inlineStr">
        <is>
          <t>2024</t>
        </is>
      </c>
      <c r="D324" s="1" t="inlineStr">
        <is>
          <t>2027BUD_V1</t>
        </is>
      </c>
      <c r="E324" s="1" t="inlineStr">
        <is>
          <t>12</t>
        </is>
      </c>
      <c r="F324" t="n">
        <v>67521</v>
      </c>
    </row>
    <row r="325">
      <c r="A325" s="1" t="inlineStr">
        <is>
          <t>MBWAY_PAR</t>
        </is>
      </c>
      <c r="B325" s="1" t="inlineStr">
        <is>
          <t>6413</t>
        </is>
      </c>
      <c r="C325" s="1" t="inlineStr">
        <is>
          <t>2025</t>
        </is>
      </c>
      <c r="D325" s="1" t="inlineStr">
        <is>
          <t>2027BUD_V1</t>
        </is>
      </c>
      <c r="E325" s="1" t="inlineStr">
        <is>
          <t>12</t>
        </is>
      </c>
      <c r="F325" t="n">
        <v>333483</v>
      </c>
    </row>
    <row r="326">
      <c r="A326" s="1" t="inlineStr">
        <is>
          <t>MBWAY_LYO</t>
        </is>
      </c>
      <c r="B326" s="1" t="inlineStr">
        <is>
          <t>6413</t>
        </is>
      </c>
      <c r="C326" s="1" t="inlineStr">
        <is>
          <t>2025</t>
        </is>
      </c>
      <c r="D326" s="1" t="inlineStr">
        <is>
          <t>2027BUD_V1</t>
        </is>
      </c>
      <c r="E326" s="1" t="inlineStr">
        <is>
          <t>12</t>
        </is>
      </c>
      <c r="F326" t="n">
        <v>195550</v>
      </c>
    </row>
    <row r="327">
      <c r="A327" s="1" t="inlineStr">
        <is>
          <t>MBWAY_NAN</t>
        </is>
      </c>
      <c r="B327" s="1" t="inlineStr">
        <is>
          <t>6413</t>
        </is>
      </c>
      <c r="C327" s="1" t="inlineStr">
        <is>
          <t>2025</t>
        </is>
      </c>
      <c r="D327" s="1" t="inlineStr">
        <is>
          <t>2027BUD_V1</t>
        </is>
      </c>
      <c r="E327" s="1" t="inlineStr">
        <is>
          <t>12</t>
        </is>
      </c>
      <c r="F327" t="n">
        <v>158432</v>
      </c>
    </row>
    <row r="328">
      <c r="A328" s="1" t="inlineStr">
        <is>
          <t>MBWAY_BOR</t>
        </is>
      </c>
      <c r="B328" s="1" t="inlineStr">
        <is>
          <t>6413</t>
        </is>
      </c>
      <c r="C328" s="1" t="inlineStr">
        <is>
          <t>2025</t>
        </is>
      </c>
      <c r="D328" s="1" t="inlineStr">
        <is>
          <t>2027BUD_V1</t>
        </is>
      </c>
      <c r="E328" s="1" t="inlineStr">
        <is>
          <t>12</t>
        </is>
      </c>
      <c r="F328" t="n">
        <v>140891</v>
      </c>
    </row>
    <row r="329">
      <c r="A329" s="1" t="inlineStr">
        <is>
          <t>ISCOM_PAR</t>
        </is>
      </c>
      <c r="B329" s="1" t="inlineStr">
        <is>
          <t>6413</t>
        </is>
      </c>
      <c r="C329" s="1" t="inlineStr">
        <is>
          <t>2025</t>
        </is>
      </c>
      <c r="D329" s="1" t="inlineStr">
        <is>
          <t>2027BUD_V1</t>
        </is>
      </c>
      <c r="E329" s="1" t="inlineStr">
        <is>
          <t>12</t>
        </is>
      </c>
      <c r="F329" t="n">
        <v>309039</v>
      </c>
    </row>
    <row r="330">
      <c r="A330" s="1" t="inlineStr">
        <is>
          <t>ISCOM_LIL</t>
        </is>
      </c>
      <c r="B330" s="1" t="inlineStr">
        <is>
          <t>6413</t>
        </is>
      </c>
      <c r="C330" s="1" t="inlineStr">
        <is>
          <t>2025</t>
        </is>
      </c>
      <c r="D330" s="1" t="inlineStr">
        <is>
          <t>2027BUD_V1</t>
        </is>
      </c>
      <c r="E330" s="1" t="inlineStr">
        <is>
          <t>12</t>
        </is>
      </c>
      <c r="F330" t="n">
        <v>120969</v>
      </c>
    </row>
    <row r="331">
      <c r="A331" s="1" t="inlineStr">
        <is>
          <t>ISCOM_TLS</t>
        </is>
      </c>
      <c r="B331" s="1" t="inlineStr">
        <is>
          <t>6413</t>
        </is>
      </c>
      <c r="C331" s="1" t="inlineStr">
        <is>
          <t>2025</t>
        </is>
      </c>
      <c r="D331" s="1" t="inlineStr">
        <is>
          <t>2027BUD_V1</t>
        </is>
      </c>
      <c r="E331" s="1" t="inlineStr">
        <is>
          <t>12</t>
        </is>
      </c>
      <c r="F331" t="n">
        <v>112034</v>
      </c>
    </row>
    <row r="332">
      <c r="A332" s="1" t="inlineStr">
        <is>
          <t>IPAC_NAN</t>
        </is>
      </c>
      <c r="B332" s="1" t="inlineStr">
        <is>
          <t>6413</t>
        </is>
      </c>
      <c r="C332" s="1" t="inlineStr">
        <is>
          <t>2025</t>
        </is>
      </c>
      <c r="D332" s="1" t="inlineStr">
        <is>
          <t>2027BUD_V1</t>
        </is>
      </c>
      <c r="E332" s="1" t="inlineStr">
        <is>
          <t>12</t>
        </is>
      </c>
      <c r="F332" t="n">
        <v>78138</v>
      </c>
    </row>
    <row r="333">
      <c r="A333" s="1" t="inlineStr">
        <is>
          <t>IPAC_REN</t>
        </is>
      </c>
      <c r="B333" s="1" t="inlineStr">
        <is>
          <t>6413</t>
        </is>
      </c>
      <c r="C333" s="1" t="inlineStr">
        <is>
          <t>2025</t>
        </is>
      </c>
      <c r="D333" s="1" t="inlineStr">
        <is>
          <t>2027BUD_V1</t>
        </is>
      </c>
      <c r="E333" s="1" t="inlineStr">
        <is>
          <t>12</t>
        </is>
      </c>
      <c r="F333" t="n">
        <v>55484</v>
      </c>
    </row>
    <row r="334">
      <c r="A334" s="1" t="inlineStr">
        <is>
          <t>IPAC_MTP</t>
        </is>
      </c>
      <c r="B334" s="1" t="inlineStr">
        <is>
          <t>6413</t>
        </is>
      </c>
      <c r="C334" s="1" t="inlineStr">
        <is>
          <t>2025</t>
        </is>
      </c>
      <c r="D334" s="1" t="inlineStr">
        <is>
          <t>2027BUD_V1</t>
        </is>
      </c>
      <c r="E334" s="1" t="inlineStr">
        <is>
          <t>12</t>
        </is>
      </c>
      <c r="F334" t="n">
        <v>55484</v>
      </c>
    </row>
    <row r="335">
      <c r="A335" s="1" t="inlineStr">
        <is>
          <t>PIGIER_LYO</t>
        </is>
      </c>
      <c r="B335" s="1" t="inlineStr">
        <is>
          <t>6413</t>
        </is>
      </c>
      <c r="C335" s="1" t="inlineStr">
        <is>
          <t>2025</t>
        </is>
      </c>
      <c r="D335" s="1" t="inlineStr">
        <is>
          <t>2027BUD_V1</t>
        </is>
      </c>
      <c r="E335" s="1" t="inlineStr">
        <is>
          <t>12</t>
        </is>
      </c>
      <c r="F335" t="n">
        <v>109846</v>
      </c>
    </row>
    <row r="336">
      <c r="A336" s="1" t="inlineStr">
        <is>
          <t>PIGIER_BOR</t>
        </is>
      </c>
      <c r="B336" s="1" t="inlineStr">
        <is>
          <t>6413</t>
        </is>
      </c>
      <c r="C336" s="1" t="inlineStr">
        <is>
          <t>2025</t>
        </is>
      </c>
      <c r="D336" s="1" t="inlineStr">
        <is>
          <t>2027BUD_V1</t>
        </is>
      </c>
      <c r="E336" s="1" t="inlineStr">
        <is>
          <t>12</t>
        </is>
      </c>
      <c r="F336" t="n">
        <v>80348</v>
      </c>
    </row>
    <row r="337">
      <c r="A337" s="1" t="inlineStr">
        <is>
          <t>TUNON_PAR</t>
        </is>
      </c>
      <c r="B337" s="1" t="inlineStr">
        <is>
          <t>6413</t>
        </is>
      </c>
      <c r="C337" s="1" t="inlineStr">
        <is>
          <t>2025</t>
        </is>
      </c>
      <c r="D337" s="1" t="inlineStr">
        <is>
          <t>2027BUD_V1</t>
        </is>
      </c>
      <c r="E337" s="1" t="inlineStr">
        <is>
          <t>12</t>
        </is>
      </c>
      <c r="F337" t="n">
        <v>120473</v>
      </c>
    </row>
    <row r="338">
      <c r="A338" s="1" t="inlineStr">
        <is>
          <t>TUNON_LYO</t>
        </is>
      </c>
      <c r="B338" s="1" t="inlineStr">
        <is>
          <t>6413</t>
        </is>
      </c>
      <c r="C338" s="1" t="inlineStr">
        <is>
          <t>2025</t>
        </is>
      </c>
      <c r="D338" s="1" t="inlineStr">
        <is>
          <t>2027BUD_V1</t>
        </is>
      </c>
      <c r="E338" s="1" t="inlineStr">
        <is>
          <t>12</t>
        </is>
      </c>
      <c r="F338" t="n">
        <v>70615</v>
      </c>
    </row>
    <row r="339">
      <c r="A339" s="1" t="inlineStr">
        <is>
          <t>MBWAY_PAR</t>
        </is>
      </c>
      <c r="B339" s="1" t="inlineStr">
        <is>
          <t>6413</t>
        </is>
      </c>
      <c r="C339" s="1" t="inlineStr">
        <is>
          <t>2026</t>
        </is>
      </c>
      <c r="D339" s="1" t="inlineStr">
        <is>
          <t>2027BUD_V1</t>
        </is>
      </c>
      <c r="E339" s="1" t="inlineStr">
        <is>
          <t>12</t>
        </is>
      </c>
      <c r="F339" t="n">
        <v>349401</v>
      </c>
    </row>
    <row r="340">
      <c r="A340" s="1" t="inlineStr">
        <is>
          <t>MBWAY_LYO</t>
        </is>
      </c>
      <c r="B340" s="1" t="inlineStr">
        <is>
          <t>6413</t>
        </is>
      </c>
      <c r="C340" s="1" t="inlineStr">
        <is>
          <t>2026</t>
        </is>
      </c>
      <c r="D340" s="1" t="inlineStr">
        <is>
          <t>2027BUD_V1</t>
        </is>
      </c>
      <c r="E340" s="1" t="inlineStr">
        <is>
          <t>12</t>
        </is>
      </c>
      <c r="F340" t="n">
        <v>204885</v>
      </c>
    </row>
    <row r="341">
      <c r="A341" s="1" t="inlineStr">
        <is>
          <t>MBWAY_NAN</t>
        </is>
      </c>
      <c r="B341" s="1" t="inlineStr">
        <is>
          <t>6413</t>
        </is>
      </c>
      <c r="C341" s="1" t="inlineStr">
        <is>
          <t>2026</t>
        </is>
      </c>
      <c r="D341" s="1" t="inlineStr">
        <is>
          <t>2027BUD_V1</t>
        </is>
      </c>
      <c r="E341" s="1" t="inlineStr">
        <is>
          <t>12</t>
        </is>
      </c>
      <c r="F341" t="n">
        <v>165994</v>
      </c>
    </row>
    <row r="342">
      <c r="A342" s="1" t="inlineStr">
        <is>
          <t>MBWAY_BOR</t>
        </is>
      </c>
      <c r="B342" s="1" t="inlineStr">
        <is>
          <t>6413</t>
        </is>
      </c>
      <c r="C342" s="1" t="inlineStr">
        <is>
          <t>2026</t>
        </is>
      </c>
      <c r="D342" s="1" t="inlineStr">
        <is>
          <t>2027BUD_V1</t>
        </is>
      </c>
      <c r="E342" s="1" t="inlineStr">
        <is>
          <t>12</t>
        </is>
      </c>
      <c r="F342" t="n">
        <v>147616</v>
      </c>
    </row>
    <row r="343">
      <c r="A343" s="1" t="inlineStr">
        <is>
          <t>ISCOM_PAR</t>
        </is>
      </c>
      <c r="B343" s="1" t="inlineStr">
        <is>
          <t>6413</t>
        </is>
      </c>
      <c r="C343" s="1" t="inlineStr">
        <is>
          <t>2026</t>
        </is>
      </c>
      <c r="D343" s="1" t="inlineStr">
        <is>
          <t>2027BUD_V1</t>
        </is>
      </c>
      <c r="E343" s="1" t="inlineStr">
        <is>
          <t>12</t>
        </is>
      </c>
      <c r="F343" t="n">
        <v>323791</v>
      </c>
    </row>
    <row r="344">
      <c r="A344" s="1" t="inlineStr">
        <is>
          <t>ISCOM_LIL</t>
        </is>
      </c>
      <c r="B344" s="1" t="inlineStr">
        <is>
          <t>6413</t>
        </is>
      </c>
      <c r="C344" s="1" t="inlineStr">
        <is>
          <t>2026</t>
        </is>
      </c>
      <c r="D344" s="1" t="inlineStr">
        <is>
          <t>2027BUD_V1</t>
        </is>
      </c>
      <c r="E344" s="1" t="inlineStr">
        <is>
          <t>12</t>
        </is>
      </c>
      <c r="F344" t="n">
        <v>126743</v>
      </c>
    </row>
    <row r="345">
      <c r="A345" s="1" t="inlineStr">
        <is>
          <t>ISCOM_TLS</t>
        </is>
      </c>
      <c r="B345" s="1" t="inlineStr">
        <is>
          <t>6413</t>
        </is>
      </c>
      <c r="C345" s="1" t="inlineStr">
        <is>
          <t>2026</t>
        </is>
      </c>
      <c r="D345" s="1" t="inlineStr">
        <is>
          <t>2027BUD_V1</t>
        </is>
      </c>
      <c r="E345" s="1" t="inlineStr">
        <is>
          <t>12</t>
        </is>
      </c>
      <c r="F345" t="n">
        <v>117382</v>
      </c>
    </row>
    <row r="346">
      <c r="A346" s="1" t="inlineStr">
        <is>
          <t>IPAC_NAN</t>
        </is>
      </c>
      <c r="B346" s="1" t="inlineStr">
        <is>
          <t>6413</t>
        </is>
      </c>
      <c r="C346" s="1" t="inlineStr">
        <is>
          <t>2026</t>
        </is>
      </c>
      <c r="D346" s="1" t="inlineStr">
        <is>
          <t>2027BUD_V1</t>
        </is>
      </c>
      <c r="E346" s="1" t="inlineStr">
        <is>
          <t>12</t>
        </is>
      </c>
      <c r="F346" t="n">
        <v>81868</v>
      </c>
    </row>
    <row r="347">
      <c r="A347" s="1" t="inlineStr">
        <is>
          <t>IPAC_REN</t>
        </is>
      </c>
      <c r="B347" s="1" t="inlineStr">
        <is>
          <t>6413</t>
        </is>
      </c>
      <c r="C347" s="1" t="inlineStr">
        <is>
          <t>2026</t>
        </is>
      </c>
      <c r="D347" s="1" t="inlineStr">
        <is>
          <t>2027BUD_V1</t>
        </is>
      </c>
      <c r="E347" s="1" t="inlineStr">
        <is>
          <t>12</t>
        </is>
      </c>
      <c r="F347" t="n">
        <v>58132</v>
      </c>
    </row>
    <row r="348">
      <c r="A348" s="1" t="inlineStr">
        <is>
          <t>IPAC_MTP</t>
        </is>
      </c>
      <c r="B348" s="1" t="inlineStr">
        <is>
          <t>6413</t>
        </is>
      </c>
      <c r="C348" s="1" t="inlineStr">
        <is>
          <t>2026</t>
        </is>
      </c>
      <c r="D348" s="1" t="inlineStr">
        <is>
          <t>2027BUD_V1</t>
        </is>
      </c>
      <c r="E348" s="1" t="inlineStr">
        <is>
          <t>12</t>
        </is>
      </c>
      <c r="F348" t="n">
        <v>58132</v>
      </c>
    </row>
    <row r="349">
      <c r="A349" s="1" t="inlineStr">
        <is>
          <t>PIGIER_LYO</t>
        </is>
      </c>
      <c r="B349" s="1" t="inlineStr">
        <is>
          <t>6413</t>
        </is>
      </c>
      <c r="C349" s="1" t="inlineStr">
        <is>
          <t>2026</t>
        </is>
      </c>
      <c r="D349" s="1" t="inlineStr">
        <is>
          <t>2027BUD_V1</t>
        </is>
      </c>
      <c r="E349" s="1" t="inlineStr">
        <is>
          <t>12</t>
        </is>
      </c>
      <c r="F349" t="n">
        <v>115089</v>
      </c>
    </row>
    <row r="350">
      <c r="A350" s="1" t="inlineStr">
        <is>
          <t>PIGIER_BOR</t>
        </is>
      </c>
      <c r="B350" s="1" t="inlineStr">
        <is>
          <t>6413</t>
        </is>
      </c>
      <c r="C350" s="1" t="inlineStr">
        <is>
          <t>2026</t>
        </is>
      </c>
      <c r="D350" s="1" t="inlineStr">
        <is>
          <t>2027BUD_V1</t>
        </is>
      </c>
      <c r="E350" s="1" t="inlineStr">
        <is>
          <t>12</t>
        </is>
      </c>
      <c r="F350" t="n">
        <v>84183</v>
      </c>
    </row>
    <row r="351">
      <c r="A351" s="1" t="inlineStr">
        <is>
          <t>TUNON_PAR</t>
        </is>
      </c>
      <c r="B351" s="1" t="inlineStr">
        <is>
          <t>6413</t>
        </is>
      </c>
      <c r="C351" s="1" t="inlineStr">
        <is>
          <t>2026</t>
        </is>
      </c>
      <c r="D351" s="1" t="inlineStr">
        <is>
          <t>2027BUD_V1</t>
        </is>
      </c>
      <c r="E351" s="1" t="inlineStr">
        <is>
          <t>12</t>
        </is>
      </c>
      <c r="F351" t="n">
        <v>126224</v>
      </c>
    </row>
    <row r="352">
      <c r="A352" s="1" t="inlineStr">
        <is>
          <t>TUNON_LYO</t>
        </is>
      </c>
      <c r="B352" s="1" t="inlineStr">
        <is>
          <t>6413</t>
        </is>
      </c>
      <c r="C352" s="1" t="inlineStr">
        <is>
          <t>2026</t>
        </is>
      </c>
      <c r="D352" s="1" t="inlineStr">
        <is>
          <t>2027BUD_V1</t>
        </is>
      </c>
      <c r="E352" s="1" t="inlineStr">
        <is>
          <t>12</t>
        </is>
      </c>
      <c r="F352" t="n">
        <v>73986</v>
      </c>
    </row>
    <row r="353">
      <c r="A353" s="1" t="inlineStr">
        <is>
          <t>GRP</t>
        </is>
      </c>
      <c r="B353" s="1" t="inlineStr">
        <is>
          <t>6414</t>
        </is>
      </c>
      <c r="C353" s="1" t="inlineStr">
        <is>
          <t>2024</t>
        </is>
      </c>
      <c r="D353" s="1" t="inlineStr">
        <is>
          <t>2027BUD_V1</t>
        </is>
      </c>
      <c r="E353" s="1" t="inlineStr">
        <is>
          <t>12</t>
        </is>
      </c>
      <c r="F353" t="n">
        <v>1134071</v>
      </c>
    </row>
    <row r="354">
      <c r="A354" s="1" t="inlineStr">
        <is>
          <t>GRP</t>
        </is>
      </c>
      <c r="B354" s="1" t="inlineStr">
        <is>
          <t>6414</t>
        </is>
      </c>
      <c r="C354" s="1" t="inlineStr">
        <is>
          <t>2025</t>
        </is>
      </c>
      <c r="D354" s="1" t="inlineStr">
        <is>
          <t>2027BUD_V1</t>
        </is>
      </c>
      <c r="E354" s="1" t="inlineStr">
        <is>
          <t>12</t>
        </is>
      </c>
      <c r="F354" t="n">
        <v>1186037</v>
      </c>
    </row>
    <row r="355">
      <c r="A355" s="1" t="inlineStr">
        <is>
          <t>GRP</t>
        </is>
      </c>
      <c r="B355" s="1" t="inlineStr">
        <is>
          <t>6414</t>
        </is>
      </c>
      <c r="C355" s="1" t="inlineStr">
        <is>
          <t>2026</t>
        </is>
      </c>
      <c r="D355" s="1" t="inlineStr">
        <is>
          <t>2027BUD_V1</t>
        </is>
      </c>
      <c r="E355" s="1" t="inlineStr">
        <is>
          <t>12</t>
        </is>
      </c>
      <c r="F355" t="n">
        <v>1242649</v>
      </c>
    </row>
    <row r="356">
      <c r="A356" s="1" t="inlineStr">
        <is>
          <t>MBWAY_PAR</t>
        </is>
      </c>
      <c r="B356" s="1" t="inlineStr">
        <is>
          <t>645</t>
        </is>
      </c>
      <c r="C356" s="1" t="inlineStr">
        <is>
          <t>2024</t>
        </is>
      </c>
      <c r="D356" s="1" t="inlineStr">
        <is>
          <t>2027BUD_V1</t>
        </is>
      </c>
      <c r="E356" s="1" t="inlineStr">
        <is>
          <t>12</t>
        </is>
      </c>
      <c r="F356" t="n">
        <v>496023</v>
      </c>
    </row>
    <row r="357">
      <c r="A357" s="1" t="inlineStr">
        <is>
          <t>MBWAY_LYO</t>
        </is>
      </c>
      <c r="B357" s="1" t="inlineStr">
        <is>
          <t>645</t>
        </is>
      </c>
      <c r="C357" s="1" t="inlineStr">
        <is>
          <t>2024</t>
        </is>
      </c>
      <c r="D357" s="1" t="inlineStr">
        <is>
          <t>2027BUD_V1</t>
        </is>
      </c>
      <c r="E357" s="1" t="inlineStr">
        <is>
          <t>12</t>
        </is>
      </c>
      <c r="F357" t="n">
        <v>290862</v>
      </c>
    </row>
    <row r="358">
      <c r="A358" s="1" t="inlineStr">
        <is>
          <t>MBWAY_NAN</t>
        </is>
      </c>
      <c r="B358" s="1" t="inlineStr">
        <is>
          <t>645</t>
        </is>
      </c>
      <c r="C358" s="1" t="inlineStr">
        <is>
          <t>2024</t>
        </is>
      </c>
      <c r="D358" s="1" t="inlineStr">
        <is>
          <t>2027BUD_V1</t>
        </is>
      </c>
      <c r="E358" s="1" t="inlineStr">
        <is>
          <t>12</t>
        </is>
      </c>
      <c r="F358" t="n">
        <v>235652</v>
      </c>
    </row>
    <row r="359">
      <c r="A359" s="1" t="inlineStr">
        <is>
          <t>MBWAY_BOR</t>
        </is>
      </c>
      <c r="B359" s="1" t="inlineStr">
        <is>
          <t>645</t>
        </is>
      </c>
      <c r="C359" s="1" t="inlineStr">
        <is>
          <t>2024</t>
        </is>
      </c>
      <c r="D359" s="1" t="inlineStr">
        <is>
          <t>2027BUD_V1</t>
        </is>
      </c>
      <c r="E359" s="1" t="inlineStr">
        <is>
          <t>12</t>
        </is>
      </c>
      <c r="F359" t="n">
        <v>209562</v>
      </c>
    </row>
    <row r="360">
      <c r="A360" s="1" t="inlineStr">
        <is>
          <t>ISCOM_PAR</t>
        </is>
      </c>
      <c r="B360" s="1" t="inlineStr">
        <is>
          <t>645</t>
        </is>
      </c>
      <c r="C360" s="1" t="inlineStr">
        <is>
          <t>2024</t>
        </is>
      </c>
      <c r="D360" s="1" t="inlineStr">
        <is>
          <t>2027BUD_V1</t>
        </is>
      </c>
      <c r="E360" s="1" t="inlineStr">
        <is>
          <t>12</t>
        </is>
      </c>
      <c r="F360" t="n">
        <v>459665</v>
      </c>
    </row>
    <row r="361">
      <c r="A361" s="1" t="inlineStr">
        <is>
          <t>ISCOM_LIL</t>
        </is>
      </c>
      <c r="B361" s="1" t="inlineStr">
        <is>
          <t>645</t>
        </is>
      </c>
      <c r="C361" s="1" t="inlineStr">
        <is>
          <t>2024</t>
        </is>
      </c>
      <c r="D361" s="1" t="inlineStr">
        <is>
          <t>2027BUD_V1</t>
        </is>
      </c>
      <c r="E361" s="1" t="inlineStr">
        <is>
          <t>12</t>
        </is>
      </c>
      <c r="F361" t="n">
        <v>179929</v>
      </c>
    </row>
    <row r="362">
      <c r="A362" s="1" t="inlineStr">
        <is>
          <t>ISCOM_TLS</t>
        </is>
      </c>
      <c r="B362" s="1" t="inlineStr">
        <is>
          <t>645</t>
        </is>
      </c>
      <c r="C362" s="1" t="inlineStr">
        <is>
          <t>2024</t>
        </is>
      </c>
      <c r="D362" s="1" t="inlineStr">
        <is>
          <t>2027BUD_V1</t>
        </is>
      </c>
      <c r="E362" s="1" t="inlineStr">
        <is>
          <t>12</t>
        </is>
      </c>
      <c r="F362" t="n">
        <v>166639</v>
      </c>
    </row>
    <row r="363">
      <c r="A363" s="1" t="inlineStr">
        <is>
          <t>IPAC_NAN</t>
        </is>
      </c>
      <c r="B363" s="1" t="inlineStr">
        <is>
          <t>645</t>
        </is>
      </c>
      <c r="C363" s="1" t="inlineStr">
        <is>
          <t>2024</t>
        </is>
      </c>
      <c r="D363" s="1" t="inlineStr">
        <is>
          <t>2027BUD_V1</t>
        </is>
      </c>
      <c r="E363" s="1" t="inlineStr">
        <is>
          <t>12</t>
        </is>
      </c>
      <c r="F363" t="n">
        <v>116223</v>
      </c>
    </row>
    <row r="364">
      <c r="A364" s="1" t="inlineStr">
        <is>
          <t>IPAC_REN</t>
        </is>
      </c>
      <c r="B364" s="1" t="inlineStr">
        <is>
          <t>645</t>
        </is>
      </c>
      <c r="C364" s="1" t="inlineStr">
        <is>
          <t>2024</t>
        </is>
      </c>
      <c r="D364" s="1" t="inlineStr">
        <is>
          <t>2027BUD_V1</t>
        </is>
      </c>
      <c r="E364" s="1" t="inlineStr">
        <is>
          <t>12</t>
        </is>
      </c>
      <c r="F364" t="n">
        <v>82526</v>
      </c>
    </row>
    <row r="365">
      <c r="A365" s="1" t="inlineStr">
        <is>
          <t>IPAC_MTP</t>
        </is>
      </c>
      <c r="B365" s="1" t="inlineStr">
        <is>
          <t>645</t>
        </is>
      </c>
      <c r="C365" s="1" t="inlineStr">
        <is>
          <t>2024</t>
        </is>
      </c>
      <c r="D365" s="1" t="inlineStr">
        <is>
          <t>2027BUD_V1</t>
        </is>
      </c>
      <c r="E365" s="1" t="inlineStr">
        <is>
          <t>12</t>
        </is>
      </c>
      <c r="F365" t="n">
        <v>82526</v>
      </c>
    </row>
    <row r="366">
      <c r="A366" s="1" t="inlineStr">
        <is>
          <t>PIGIER_LYO</t>
        </is>
      </c>
      <c r="B366" s="1" t="inlineStr">
        <is>
          <t>645</t>
        </is>
      </c>
      <c r="C366" s="1" t="inlineStr">
        <is>
          <t>2024</t>
        </is>
      </c>
      <c r="D366" s="1" t="inlineStr">
        <is>
          <t>2027BUD_V1</t>
        </is>
      </c>
      <c r="E366" s="1" t="inlineStr">
        <is>
          <t>12</t>
        </is>
      </c>
      <c r="F366" t="n">
        <v>163385</v>
      </c>
    </row>
    <row r="367">
      <c r="A367" s="1" t="inlineStr">
        <is>
          <t>PIGIER_BOR</t>
        </is>
      </c>
      <c r="B367" s="1" t="inlineStr">
        <is>
          <t>645</t>
        </is>
      </c>
      <c r="C367" s="1" t="inlineStr">
        <is>
          <t>2024</t>
        </is>
      </c>
      <c r="D367" s="1" t="inlineStr">
        <is>
          <t>2027BUD_V1</t>
        </is>
      </c>
      <c r="E367" s="1" t="inlineStr">
        <is>
          <t>12</t>
        </is>
      </c>
      <c r="F367" t="n">
        <v>119509</v>
      </c>
    </row>
    <row r="368">
      <c r="A368" s="1" t="inlineStr">
        <is>
          <t>TUNON_PAR</t>
        </is>
      </c>
      <c r="B368" s="1" t="inlineStr">
        <is>
          <t>645</t>
        </is>
      </c>
      <c r="C368" s="1" t="inlineStr">
        <is>
          <t>2024</t>
        </is>
      </c>
      <c r="D368" s="1" t="inlineStr">
        <is>
          <t>2027BUD_V1</t>
        </is>
      </c>
      <c r="E368" s="1" t="inlineStr">
        <is>
          <t>12</t>
        </is>
      </c>
      <c r="F368" t="n">
        <v>179192</v>
      </c>
    </row>
    <row r="369">
      <c r="A369" s="1" t="inlineStr">
        <is>
          <t>TUNON_LYO</t>
        </is>
      </c>
      <c r="B369" s="1" t="inlineStr">
        <is>
          <t>645</t>
        </is>
      </c>
      <c r="C369" s="1" t="inlineStr">
        <is>
          <t>2024</t>
        </is>
      </c>
      <c r="D369" s="1" t="inlineStr">
        <is>
          <t>2027BUD_V1</t>
        </is>
      </c>
      <c r="E369" s="1" t="inlineStr">
        <is>
          <t>12</t>
        </is>
      </c>
      <c r="F369" t="n">
        <v>105033</v>
      </c>
    </row>
    <row r="370">
      <c r="A370" s="1" t="inlineStr">
        <is>
          <t>MBWAY_PAR</t>
        </is>
      </c>
      <c r="B370" s="1" t="inlineStr">
        <is>
          <t>645</t>
        </is>
      </c>
      <c r="C370" s="1" t="inlineStr">
        <is>
          <t>2025</t>
        </is>
      </c>
      <c r="D370" s="1" t="inlineStr">
        <is>
          <t>2027BUD_V1</t>
        </is>
      </c>
      <c r="E370" s="1" t="inlineStr">
        <is>
          <t>12</t>
        </is>
      </c>
      <c r="F370" t="n">
        <v>518752</v>
      </c>
    </row>
    <row r="371">
      <c r="A371" s="1" t="inlineStr">
        <is>
          <t>MBWAY_LYO</t>
        </is>
      </c>
      <c r="B371" s="1" t="inlineStr">
        <is>
          <t>645</t>
        </is>
      </c>
      <c r="C371" s="1" t="inlineStr">
        <is>
          <t>2025</t>
        </is>
      </c>
      <c r="D371" s="1" t="inlineStr">
        <is>
          <t>2027BUD_V1</t>
        </is>
      </c>
      <c r="E371" s="1" t="inlineStr">
        <is>
          <t>12</t>
        </is>
      </c>
      <c r="F371" t="n">
        <v>304190</v>
      </c>
    </row>
    <row r="372">
      <c r="A372" s="1" t="inlineStr">
        <is>
          <t>MBWAY_NAN</t>
        </is>
      </c>
      <c r="B372" s="1" t="inlineStr">
        <is>
          <t>645</t>
        </is>
      </c>
      <c r="C372" s="1" t="inlineStr">
        <is>
          <t>2025</t>
        </is>
      </c>
      <c r="D372" s="1" t="inlineStr">
        <is>
          <t>2027BUD_V1</t>
        </is>
      </c>
      <c r="E372" s="1" t="inlineStr">
        <is>
          <t>12</t>
        </is>
      </c>
      <c r="F372" t="n">
        <v>246450</v>
      </c>
    </row>
    <row r="373">
      <c r="A373" s="1" t="inlineStr">
        <is>
          <t>MBWAY_BOR</t>
        </is>
      </c>
      <c r="B373" s="1" t="inlineStr">
        <is>
          <t>645</t>
        </is>
      </c>
      <c r="C373" s="1" t="inlineStr">
        <is>
          <t>2025</t>
        </is>
      </c>
      <c r="D373" s="1" t="inlineStr">
        <is>
          <t>2027BUD_V1</t>
        </is>
      </c>
      <c r="E373" s="1" t="inlineStr">
        <is>
          <t>12</t>
        </is>
      </c>
      <c r="F373" t="n">
        <v>219164</v>
      </c>
    </row>
    <row r="374">
      <c r="A374" s="1" t="inlineStr">
        <is>
          <t>ISCOM_PAR</t>
        </is>
      </c>
      <c r="B374" s="1" t="inlineStr">
        <is>
          <t>645</t>
        </is>
      </c>
      <c r="C374" s="1" t="inlineStr">
        <is>
          <t>2025</t>
        </is>
      </c>
      <c r="D374" s="1" t="inlineStr">
        <is>
          <t>2027BUD_V1</t>
        </is>
      </c>
      <c r="E374" s="1" t="inlineStr">
        <is>
          <t>12</t>
        </is>
      </c>
      <c r="F374" t="n">
        <v>480728</v>
      </c>
    </row>
    <row r="375">
      <c r="A375" s="1" t="inlineStr">
        <is>
          <t>ISCOM_LIL</t>
        </is>
      </c>
      <c r="B375" s="1" t="inlineStr">
        <is>
          <t>645</t>
        </is>
      </c>
      <c r="C375" s="1" t="inlineStr">
        <is>
          <t>2025</t>
        </is>
      </c>
      <c r="D375" s="1" t="inlineStr">
        <is>
          <t>2027BUD_V1</t>
        </is>
      </c>
      <c r="E375" s="1" t="inlineStr">
        <is>
          <t>12</t>
        </is>
      </c>
      <c r="F375" t="n">
        <v>188174</v>
      </c>
    </row>
    <row r="376">
      <c r="A376" s="1" t="inlineStr">
        <is>
          <t>ISCOM_TLS</t>
        </is>
      </c>
      <c r="B376" s="1" t="inlineStr">
        <is>
          <t>645</t>
        </is>
      </c>
      <c r="C376" s="1" t="inlineStr">
        <is>
          <t>2025</t>
        </is>
      </c>
      <c r="D376" s="1" t="inlineStr">
        <is>
          <t>2027BUD_V1</t>
        </is>
      </c>
      <c r="E376" s="1" t="inlineStr">
        <is>
          <t>12</t>
        </is>
      </c>
      <c r="F376" t="n">
        <v>174275</v>
      </c>
    </row>
    <row r="377">
      <c r="A377" s="1" t="inlineStr">
        <is>
          <t>IPAC_NAN</t>
        </is>
      </c>
      <c r="B377" s="1" t="inlineStr">
        <is>
          <t>645</t>
        </is>
      </c>
      <c r="C377" s="1" t="inlineStr">
        <is>
          <t>2025</t>
        </is>
      </c>
      <c r="D377" s="1" t="inlineStr">
        <is>
          <t>2027BUD_V1</t>
        </is>
      </c>
      <c r="E377" s="1" t="inlineStr">
        <is>
          <t>12</t>
        </is>
      </c>
      <c r="F377" t="n">
        <v>121548</v>
      </c>
    </row>
    <row r="378">
      <c r="A378" s="1" t="inlineStr">
        <is>
          <t>IPAC_REN</t>
        </is>
      </c>
      <c r="B378" s="1" t="inlineStr">
        <is>
          <t>645</t>
        </is>
      </c>
      <c r="C378" s="1" t="inlineStr">
        <is>
          <t>2025</t>
        </is>
      </c>
      <c r="D378" s="1" t="inlineStr">
        <is>
          <t>2027BUD_V1</t>
        </is>
      </c>
      <c r="E378" s="1" t="inlineStr">
        <is>
          <t>12</t>
        </is>
      </c>
      <c r="F378" t="n">
        <v>86308</v>
      </c>
    </row>
    <row r="379">
      <c r="A379" s="1" t="inlineStr">
        <is>
          <t>IPAC_MTP</t>
        </is>
      </c>
      <c r="B379" s="1" t="inlineStr">
        <is>
          <t>645</t>
        </is>
      </c>
      <c r="C379" s="1" t="inlineStr">
        <is>
          <t>2025</t>
        </is>
      </c>
      <c r="D379" s="1" t="inlineStr">
        <is>
          <t>2027BUD_V1</t>
        </is>
      </c>
      <c r="E379" s="1" t="inlineStr">
        <is>
          <t>12</t>
        </is>
      </c>
      <c r="F379" t="n">
        <v>86308</v>
      </c>
    </row>
    <row r="380">
      <c r="A380" s="1" t="inlineStr">
        <is>
          <t>PIGIER_LYO</t>
        </is>
      </c>
      <c r="B380" s="1" t="inlineStr">
        <is>
          <t>645</t>
        </is>
      </c>
      <c r="C380" s="1" t="inlineStr">
        <is>
          <t>2025</t>
        </is>
      </c>
      <c r="D380" s="1" t="inlineStr">
        <is>
          <t>2027BUD_V1</t>
        </is>
      </c>
      <c r="E380" s="1" t="inlineStr">
        <is>
          <t>12</t>
        </is>
      </c>
      <c r="F380" t="n">
        <v>170872</v>
      </c>
    </row>
    <row r="381">
      <c r="A381" s="1" t="inlineStr">
        <is>
          <t>PIGIER_BOR</t>
        </is>
      </c>
      <c r="B381" s="1" t="inlineStr">
        <is>
          <t>645</t>
        </is>
      </c>
      <c r="C381" s="1" t="inlineStr">
        <is>
          <t>2025</t>
        </is>
      </c>
      <c r="D381" s="1" t="inlineStr">
        <is>
          <t>2027BUD_V1</t>
        </is>
      </c>
      <c r="E381" s="1" t="inlineStr">
        <is>
          <t>12</t>
        </is>
      </c>
      <c r="F381" t="n">
        <v>124985</v>
      </c>
    </row>
    <row r="382">
      <c r="A382" s="1" t="inlineStr">
        <is>
          <t>TUNON_PAR</t>
        </is>
      </c>
      <c r="B382" s="1" t="inlineStr">
        <is>
          <t>645</t>
        </is>
      </c>
      <c r="C382" s="1" t="inlineStr">
        <is>
          <t>2025</t>
        </is>
      </c>
      <c r="D382" s="1" t="inlineStr">
        <is>
          <t>2027BUD_V1</t>
        </is>
      </c>
      <c r="E382" s="1" t="inlineStr">
        <is>
          <t>12</t>
        </is>
      </c>
      <c r="F382" t="n">
        <v>187402</v>
      </c>
    </row>
    <row r="383">
      <c r="A383" s="1" t="inlineStr">
        <is>
          <t>TUNON_LYO</t>
        </is>
      </c>
      <c r="B383" s="1" t="inlineStr">
        <is>
          <t>645</t>
        </is>
      </c>
      <c r="C383" s="1" t="inlineStr">
        <is>
          <t>2025</t>
        </is>
      </c>
      <c r="D383" s="1" t="inlineStr">
        <is>
          <t>2027BUD_V1</t>
        </is>
      </c>
      <c r="E383" s="1" t="inlineStr">
        <is>
          <t>12</t>
        </is>
      </c>
      <c r="F383" t="n">
        <v>109846</v>
      </c>
    </row>
    <row r="384">
      <c r="A384" s="1" t="inlineStr">
        <is>
          <t>MBWAY_PAR</t>
        </is>
      </c>
      <c r="B384" s="1" t="inlineStr">
        <is>
          <t>645</t>
        </is>
      </c>
      <c r="C384" s="1" t="inlineStr">
        <is>
          <t>2026</t>
        </is>
      </c>
      <c r="D384" s="1" t="inlineStr">
        <is>
          <t>2027BUD_V1</t>
        </is>
      </c>
      <c r="E384" s="1" t="inlineStr">
        <is>
          <t>12</t>
        </is>
      </c>
      <c r="F384" t="n">
        <v>543513</v>
      </c>
    </row>
    <row r="385">
      <c r="A385" s="1" t="inlineStr">
        <is>
          <t>MBWAY_LYO</t>
        </is>
      </c>
      <c r="B385" s="1" t="inlineStr">
        <is>
          <t>645</t>
        </is>
      </c>
      <c r="C385" s="1" t="inlineStr">
        <is>
          <t>2026</t>
        </is>
      </c>
      <c r="D385" s="1" t="inlineStr">
        <is>
          <t>2027BUD_V1</t>
        </is>
      </c>
      <c r="E385" s="1" t="inlineStr">
        <is>
          <t>12</t>
        </is>
      </c>
      <c r="F385" t="n">
        <v>318709</v>
      </c>
    </row>
    <row r="386">
      <c r="A386" s="1" t="inlineStr">
        <is>
          <t>MBWAY_NAN</t>
        </is>
      </c>
      <c r="B386" s="1" t="inlineStr">
        <is>
          <t>645</t>
        </is>
      </c>
      <c r="C386" s="1" t="inlineStr">
        <is>
          <t>2026</t>
        </is>
      </c>
      <c r="D386" s="1" t="inlineStr">
        <is>
          <t>2027BUD_V1</t>
        </is>
      </c>
      <c r="E386" s="1" t="inlineStr">
        <is>
          <t>12</t>
        </is>
      </c>
      <c r="F386" t="n">
        <v>258214</v>
      </c>
    </row>
    <row r="387">
      <c r="A387" s="1" t="inlineStr">
        <is>
          <t>MBWAY_BOR</t>
        </is>
      </c>
      <c r="B387" s="1" t="inlineStr">
        <is>
          <t>645</t>
        </is>
      </c>
      <c r="C387" s="1" t="inlineStr">
        <is>
          <t>2026</t>
        </is>
      </c>
      <c r="D387" s="1" t="inlineStr">
        <is>
          <t>2027BUD_V1</t>
        </is>
      </c>
      <c r="E387" s="1" t="inlineStr">
        <is>
          <t>12</t>
        </is>
      </c>
      <c r="F387" t="n">
        <v>229626</v>
      </c>
    </row>
    <row r="388">
      <c r="A388" s="1" t="inlineStr">
        <is>
          <t>ISCOM_PAR</t>
        </is>
      </c>
      <c r="B388" s="1" t="inlineStr">
        <is>
          <t>645</t>
        </is>
      </c>
      <c r="C388" s="1" t="inlineStr">
        <is>
          <t>2026</t>
        </is>
      </c>
      <c r="D388" s="1" t="inlineStr">
        <is>
          <t>2027BUD_V1</t>
        </is>
      </c>
      <c r="E388" s="1" t="inlineStr">
        <is>
          <t>12</t>
        </is>
      </c>
      <c r="F388" t="n">
        <v>503674</v>
      </c>
    </row>
    <row r="389">
      <c r="A389" s="1" t="inlineStr">
        <is>
          <t>ISCOM_LIL</t>
        </is>
      </c>
      <c r="B389" s="1" t="inlineStr">
        <is>
          <t>645</t>
        </is>
      </c>
      <c r="C389" s="1" t="inlineStr">
        <is>
          <t>2026</t>
        </is>
      </c>
      <c r="D389" s="1" t="inlineStr">
        <is>
          <t>2027BUD_V1</t>
        </is>
      </c>
      <c r="E389" s="1" t="inlineStr">
        <is>
          <t>12</t>
        </is>
      </c>
      <c r="F389" t="n">
        <v>197156</v>
      </c>
    </row>
    <row r="390">
      <c r="A390" s="1" t="inlineStr">
        <is>
          <t>ISCOM_TLS</t>
        </is>
      </c>
      <c r="B390" s="1" t="inlineStr">
        <is>
          <t>645</t>
        </is>
      </c>
      <c r="C390" s="1" t="inlineStr">
        <is>
          <t>2026</t>
        </is>
      </c>
      <c r="D390" s="1" t="inlineStr">
        <is>
          <t>2027BUD_V1</t>
        </is>
      </c>
      <c r="E390" s="1" t="inlineStr">
        <is>
          <t>12</t>
        </is>
      </c>
      <c r="F390" t="n">
        <v>182594</v>
      </c>
    </row>
    <row r="391">
      <c r="A391" s="1" t="inlineStr">
        <is>
          <t>IPAC_NAN</t>
        </is>
      </c>
      <c r="B391" s="1" t="inlineStr">
        <is>
          <t>645</t>
        </is>
      </c>
      <c r="C391" s="1" t="inlineStr">
        <is>
          <t>2026</t>
        </is>
      </c>
      <c r="D391" s="1" t="inlineStr">
        <is>
          <t>2027BUD_V1</t>
        </is>
      </c>
      <c r="E391" s="1" t="inlineStr">
        <is>
          <t>12</t>
        </is>
      </c>
      <c r="F391" t="n">
        <v>127350</v>
      </c>
    </row>
    <row r="392">
      <c r="A392" s="1" t="inlineStr">
        <is>
          <t>IPAC_REN</t>
        </is>
      </c>
      <c r="B392" s="1" t="inlineStr">
        <is>
          <t>645</t>
        </is>
      </c>
      <c r="C392" s="1" t="inlineStr">
        <is>
          <t>2026</t>
        </is>
      </c>
      <c r="D392" s="1" t="inlineStr">
        <is>
          <t>2027BUD_V1</t>
        </is>
      </c>
      <c r="E392" s="1" t="inlineStr">
        <is>
          <t>12</t>
        </is>
      </c>
      <c r="F392" t="n">
        <v>90427</v>
      </c>
    </row>
    <row r="393">
      <c r="A393" s="1" t="inlineStr">
        <is>
          <t>IPAC_MTP</t>
        </is>
      </c>
      <c r="B393" s="1" t="inlineStr">
        <is>
          <t>645</t>
        </is>
      </c>
      <c r="C393" s="1" t="inlineStr">
        <is>
          <t>2026</t>
        </is>
      </c>
      <c r="D393" s="1" t="inlineStr">
        <is>
          <t>2027BUD_V1</t>
        </is>
      </c>
      <c r="E393" s="1" t="inlineStr">
        <is>
          <t>12</t>
        </is>
      </c>
      <c r="F393" t="n">
        <v>90427</v>
      </c>
    </row>
    <row r="394">
      <c r="A394" s="1" t="inlineStr">
        <is>
          <t>PIGIER_LYO</t>
        </is>
      </c>
      <c r="B394" s="1" t="inlineStr">
        <is>
          <t>645</t>
        </is>
      </c>
      <c r="C394" s="1" t="inlineStr">
        <is>
          <t>2026</t>
        </is>
      </c>
      <c r="D394" s="1" t="inlineStr">
        <is>
          <t>2027BUD_V1</t>
        </is>
      </c>
      <c r="E394" s="1" t="inlineStr">
        <is>
          <t>12</t>
        </is>
      </c>
      <c r="F394" t="n">
        <v>179028</v>
      </c>
    </row>
    <row r="395">
      <c r="A395" s="1" t="inlineStr">
        <is>
          <t>PIGIER_BOR</t>
        </is>
      </c>
      <c r="B395" s="1" t="inlineStr">
        <is>
          <t>645</t>
        </is>
      </c>
      <c r="C395" s="1" t="inlineStr">
        <is>
          <t>2026</t>
        </is>
      </c>
      <c r="D395" s="1" t="inlineStr">
        <is>
          <t>2027BUD_V1</t>
        </is>
      </c>
      <c r="E395" s="1" t="inlineStr">
        <is>
          <t>12</t>
        </is>
      </c>
      <c r="F395" t="n">
        <v>130951</v>
      </c>
    </row>
    <row r="396">
      <c r="A396" s="1" t="inlineStr">
        <is>
          <t>TUNON_PAR</t>
        </is>
      </c>
      <c r="B396" s="1" t="inlineStr">
        <is>
          <t>645</t>
        </is>
      </c>
      <c r="C396" s="1" t="inlineStr">
        <is>
          <t>2026</t>
        </is>
      </c>
      <c r="D396" s="1" t="inlineStr">
        <is>
          <t>2027BUD_V1</t>
        </is>
      </c>
      <c r="E396" s="1" t="inlineStr">
        <is>
          <t>12</t>
        </is>
      </c>
      <c r="F396" t="n">
        <v>196348</v>
      </c>
    </row>
    <row r="397">
      <c r="A397" s="1" t="inlineStr">
        <is>
          <t>TUNON_LYO</t>
        </is>
      </c>
      <c r="B397" s="1" t="inlineStr">
        <is>
          <t>645</t>
        </is>
      </c>
      <c r="C397" s="1" t="inlineStr">
        <is>
          <t>2026</t>
        </is>
      </c>
      <c r="D397" s="1" t="inlineStr">
        <is>
          <t>2027BUD_V1</t>
        </is>
      </c>
      <c r="E397" s="1" t="inlineStr">
        <is>
          <t>12</t>
        </is>
      </c>
      <c r="F397" t="n">
        <v>115089</v>
      </c>
    </row>
    <row r="398">
      <c r="A398" s="1" t="inlineStr">
        <is>
          <t>MBWAY_PAR</t>
        </is>
      </c>
      <c r="B398" s="1" t="inlineStr">
        <is>
          <t>613</t>
        </is>
      </c>
      <c r="C398" s="1" t="inlineStr">
        <is>
          <t>2024</t>
        </is>
      </c>
      <c r="D398" s="1" t="inlineStr">
        <is>
          <t>2027BUD_V1</t>
        </is>
      </c>
      <c r="E398" s="1" t="inlineStr">
        <is>
          <t>12</t>
        </is>
      </c>
      <c r="F398" t="n">
        <v>341140</v>
      </c>
    </row>
    <row r="399">
      <c r="A399" s="1" t="inlineStr">
        <is>
          <t>MBWAY_LYO</t>
        </is>
      </c>
      <c r="B399" s="1" t="inlineStr">
        <is>
          <t>613</t>
        </is>
      </c>
      <c r="C399" s="1" t="inlineStr">
        <is>
          <t>2024</t>
        </is>
      </c>
      <c r="D399" s="1" t="inlineStr">
        <is>
          <t>2027BUD_V1</t>
        </is>
      </c>
      <c r="E399" s="1" t="inlineStr">
        <is>
          <t>12</t>
        </is>
      </c>
      <c r="F399" t="n">
        <v>204403</v>
      </c>
    </row>
    <row r="400">
      <c r="A400" s="1" t="inlineStr">
        <is>
          <t>MBWAY_NAN</t>
        </is>
      </c>
      <c r="B400" s="1" t="inlineStr">
        <is>
          <t>613</t>
        </is>
      </c>
      <c r="C400" s="1" t="inlineStr">
        <is>
          <t>2024</t>
        </is>
      </c>
      <c r="D400" s="1" t="inlineStr">
        <is>
          <t>2027BUD_V1</t>
        </is>
      </c>
      <c r="E400" s="1" t="inlineStr">
        <is>
          <t>12</t>
        </is>
      </c>
      <c r="F400" t="n">
        <v>168464</v>
      </c>
    </row>
    <row r="401">
      <c r="A401" s="1" t="inlineStr">
        <is>
          <t>MBWAY_BOR</t>
        </is>
      </c>
      <c r="B401" s="1" t="inlineStr">
        <is>
          <t>613</t>
        </is>
      </c>
      <c r="C401" s="1" t="inlineStr">
        <is>
          <t>2024</t>
        </is>
      </c>
      <c r="D401" s="1" t="inlineStr">
        <is>
          <t>2027BUD_V1</t>
        </is>
      </c>
      <c r="E401" s="1" t="inlineStr">
        <is>
          <t>12</t>
        </is>
      </c>
      <c r="F401" t="n">
        <v>147406</v>
      </c>
    </row>
    <row r="402">
      <c r="A402" s="1" t="inlineStr">
        <is>
          <t>ISCOM_PAR</t>
        </is>
      </c>
      <c r="B402" s="1" t="inlineStr">
        <is>
          <t>613</t>
        </is>
      </c>
      <c r="C402" s="1" t="inlineStr">
        <is>
          <t>2024</t>
        </is>
      </c>
      <c r="D402" s="1" t="inlineStr">
        <is>
          <t>2027BUD_V1</t>
        </is>
      </c>
      <c r="E402" s="1" t="inlineStr">
        <is>
          <t>12</t>
        </is>
      </c>
      <c r="F402" t="n">
        <v>341140</v>
      </c>
    </row>
    <row r="403">
      <c r="A403" s="1" t="inlineStr">
        <is>
          <t>ISCOM_LIL</t>
        </is>
      </c>
      <c r="B403" s="1" t="inlineStr">
        <is>
          <t>613</t>
        </is>
      </c>
      <c r="C403" s="1" t="inlineStr">
        <is>
          <t>2024</t>
        </is>
      </c>
      <c r="D403" s="1" t="inlineStr">
        <is>
          <t>2027BUD_V1</t>
        </is>
      </c>
      <c r="E403" s="1" t="inlineStr">
        <is>
          <t>12</t>
        </is>
      </c>
      <c r="F403" t="n">
        <v>129156</v>
      </c>
    </row>
    <row r="404">
      <c r="A404" s="1" t="inlineStr">
        <is>
          <t>ISCOM_TLS</t>
        </is>
      </c>
      <c r="B404" s="1" t="inlineStr">
        <is>
          <t>613</t>
        </is>
      </c>
      <c r="C404" s="1" t="inlineStr">
        <is>
          <t>2024</t>
        </is>
      </c>
      <c r="D404" s="1" t="inlineStr">
        <is>
          <t>2027BUD_V1</t>
        </is>
      </c>
      <c r="E404" s="1" t="inlineStr">
        <is>
          <t>12</t>
        </is>
      </c>
      <c r="F404" t="n">
        <v>126348</v>
      </c>
    </row>
    <row r="405">
      <c r="A405" s="1" t="inlineStr">
        <is>
          <t>IPAC_NAN</t>
        </is>
      </c>
      <c r="B405" s="1" t="inlineStr">
        <is>
          <t>613</t>
        </is>
      </c>
      <c r="C405" s="1" t="inlineStr">
        <is>
          <t>2024</t>
        </is>
      </c>
      <c r="D405" s="1" t="inlineStr">
        <is>
          <t>2027BUD_V1</t>
        </is>
      </c>
      <c r="E405" s="1" t="inlineStr">
        <is>
          <t>12</t>
        </is>
      </c>
      <c r="F405" t="n">
        <v>84232</v>
      </c>
    </row>
    <row r="406">
      <c r="A406" s="1" t="inlineStr">
        <is>
          <t>IPAC_REN</t>
        </is>
      </c>
      <c r="B406" s="1" t="inlineStr">
        <is>
          <t>613</t>
        </is>
      </c>
      <c r="C406" s="1" t="inlineStr">
        <is>
          <t>2024</t>
        </is>
      </c>
      <c r="D406" s="1" t="inlineStr">
        <is>
          <t>2027BUD_V1</t>
        </is>
      </c>
      <c r="E406" s="1" t="inlineStr">
        <is>
          <t>12</t>
        </is>
      </c>
      <c r="F406" t="n">
        <v>74124</v>
      </c>
    </row>
    <row r="407">
      <c r="A407" s="1" t="inlineStr">
        <is>
          <t>IPAC_MTP</t>
        </is>
      </c>
      <c r="B407" s="1" t="inlineStr">
        <is>
          <t>613</t>
        </is>
      </c>
      <c r="C407" s="1" t="inlineStr">
        <is>
          <t>2024</t>
        </is>
      </c>
      <c r="D407" s="1" t="inlineStr">
        <is>
          <t>2027BUD_V1</t>
        </is>
      </c>
      <c r="E407" s="1" t="inlineStr">
        <is>
          <t>12</t>
        </is>
      </c>
      <c r="F407" t="n">
        <v>74124</v>
      </c>
    </row>
    <row r="408">
      <c r="A408" s="1" t="inlineStr">
        <is>
          <t>PIGIER_LYO</t>
        </is>
      </c>
      <c r="B408" s="1" t="inlineStr">
        <is>
          <t>613</t>
        </is>
      </c>
      <c r="C408" s="1" t="inlineStr">
        <is>
          <t>2024</t>
        </is>
      </c>
      <c r="D408" s="1" t="inlineStr">
        <is>
          <t>2027BUD_V1</t>
        </is>
      </c>
      <c r="E408" s="1" t="inlineStr">
        <is>
          <t>12</t>
        </is>
      </c>
      <c r="F408" t="n">
        <v>125787</v>
      </c>
    </row>
    <row r="409">
      <c r="A409" s="1" t="inlineStr">
        <is>
          <t>PIGIER_BOR</t>
        </is>
      </c>
      <c r="B409" s="1" t="inlineStr">
        <is>
          <t>613</t>
        </is>
      </c>
      <c r="C409" s="1" t="inlineStr">
        <is>
          <t>2024</t>
        </is>
      </c>
      <c r="D409" s="1" t="inlineStr">
        <is>
          <t>2027BUD_V1</t>
        </is>
      </c>
      <c r="E409" s="1" t="inlineStr">
        <is>
          <t>12</t>
        </is>
      </c>
      <c r="F409" t="n">
        <v>117925</v>
      </c>
    </row>
    <row r="410">
      <c r="A410" s="1" t="inlineStr">
        <is>
          <t>TUNON_PAR</t>
        </is>
      </c>
      <c r="B410" s="1" t="inlineStr">
        <is>
          <t>613</t>
        </is>
      </c>
      <c r="C410" s="1" t="inlineStr">
        <is>
          <t>2024</t>
        </is>
      </c>
      <c r="D410" s="1" t="inlineStr">
        <is>
          <t>2027BUD_V1</t>
        </is>
      </c>
      <c r="E410" s="1" t="inlineStr">
        <is>
          <t>12</t>
        </is>
      </c>
      <c r="F410" t="n">
        <v>136456</v>
      </c>
    </row>
    <row r="411">
      <c r="A411" s="1" t="inlineStr">
        <is>
          <t>TUNON_LYO</t>
        </is>
      </c>
      <c r="B411" s="1" t="inlineStr">
        <is>
          <t>613</t>
        </is>
      </c>
      <c r="C411" s="1" t="inlineStr">
        <is>
          <t>2024</t>
        </is>
      </c>
      <c r="D411" s="1" t="inlineStr">
        <is>
          <t>2027BUD_V1</t>
        </is>
      </c>
      <c r="E411" s="1" t="inlineStr">
        <is>
          <t>12</t>
        </is>
      </c>
      <c r="F411" t="n">
        <v>94340</v>
      </c>
    </row>
    <row r="412">
      <c r="A412" s="1" t="inlineStr">
        <is>
          <t>MBWAY_PAR</t>
        </is>
      </c>
      <c r="B412" s="1" t="inlineStr">
        <is>
          <t>613</t>
        </is>
      </c>
      <c r="C412" s="1" t="inlineStr">
        <is>
          <t>2025</t>
        </is>
      </c>
      <c r="D412" s="1" t="inlineStr">
        <is>
          <t>2027BUD_V1</t>
        </is>
      </c>
      <c r="E412" s="1" t="inlineStr">
        <is>
          <t>12</t>
        </is>
      </c>
      <c r="F412" t="n">
        <v>356772</v>
      </c>
    </row>
    <row r="413">
      <c r="A413" s="1" t="inlineStr">
        <is>
          <t>MBWAY_LYO</t>
        </is>
      </c>
      <c r="B413" s="1" t="inlineStr">
        <is>
          <t>613</t>
        </is>
      </c>
      <c r="C413" s="1" t="inlineStr">
        <is>
          <t>2025</t>
        </is>
      </c>
      <c r="D413" s="1" t="inlineStr">
        <is>
          <t>2027BUD_V1</t>
        </is>
      </c>
      <c r="E413" s="1" t="inlineStr">
        <is>
          <t>12</t>
        </is>
      </c>
      <c r="F413" t="n">
        <v>213769</v>
      </c>
    </row>
    <row r="414">
      <c r="A414" s="1" t="inlineStr">
        <is>
          <t>MBWAY_NAN</t>
        </is>
      </c>
      <c r="B414" s="1" t="inlineStr">
        <is>
          <t>613</t>
        </is>
      </c>
      <c r="C414" s="1" t="inlineStr">
        <is>
          <t>2025</t>
        </is>
      </c>
      <c r="D414" s="1" t="inlineStr">
        <is>
          <t>2027BUD_V1</t>
        </is>
      </c>
      <c r="E414" s="1" t="inlineStr">
        <is>
          <t>12</t>
        </is>
      </c>
      <c r="F414" t="n">
        <v>176184</v>
      </c>
    </row>
    <row r="415">
      <c r="A415" s="1" t="inlineStr">
        <is>
          <t>MBWAY_BOR</t>
        </is>
      </c>
      <c r="B415" s="1" t="inlineStr">
        <is>
          <t>613</t>
        </is>
      </c>
      <c r="C415" s="1" t="inlineStr">
        <is>
          <t>2025</t>
        </is>
      </c>
      <c r="D415" s="1" t="inlineStr">
        <is>
          <t>2027BUD_V1</t>
        </is>
      </c>
      <c r="E415" s="1" t="inlineStr">
        <is>
          <t>12</t>
        </is>
      </c>
      <c r="F415" t="n">
        <v>154161</v>
      </c>
    </row>
    <row r="416">
      <c r="A416" s="1" t="inlineStr">
        <is>
          <t>ISCOM_PAR</t>
        </is>
      </c>
      <c r="B416" s="1" t="inlineStr">
        <is>
          <t>613</t>
        </is>
      </c>
      <c r="C416" s="1" t="inlineStr">
        <is>
          <t>2025</t>
        </is>
      </c>
      <c r="D416" s="1" t="inlineStr">
        <is>
          <t>2027BUD_V1</t>
        </is>
      </c>
      <c r="E416" s="1" t="inlineStr">
        <is>
          <t>12</t>
        </is>
      </c>
      <c r="F416" t="n">
        <v>356772</v>
      </c>
    </row>
    <row r="417">
      <c r="A417" s="1" t="inlineStr">
        <is>
          <t>ISCOM_LIL</t>
        </is>
      </c>
      <c r="B417" s="1" t="inlineStr">
        <is>
          <t>613</t>
        </is>
      </c>
      <c r="C417" s="1" t="inlineStr">
        <is>
          <t>2025</t>
        </is>
      </c>
      <c r="D417" s="1" t="inlineStr">
        <is>
          <t>2027BUD_V1</t>
        </is>
      </c>
      <c r="E417" s="1" t="inlineStr">
        <is>
          <t>12</t>
        </is>
      </c>
      <c r="F417" t="n">
        <v>135074</v>
      </c>
    </row>
    <row r="418">
      <c r="A418" s="1" t="inlineStr">
        <is>
          <t>ISCOM_TLS</t>
        </is>
      </c>
      <c r="B418" s="1" t="inlineStr">
        <is>
          <t>613</t>
        </is>
      </c>
      <c r="C418" s="1" t="inlineStr">
        <is>
          <t>2025</t>
        </is>
      </c>
      <c r="D418" s="1" t="inlineStr">
        <is>
          <t>2027BUD_V1</t>
        </is>
      </c>
      <c r="E418" s="1" t="inlineStr">
        <is>
          <t>12</t>
        </is>
      </c>
      <c r="F418" t="n">
        <v>132138</v>
      </c>
    </row>
    <row r="419">
      <c r="A419" s="1" t="inlineStr">
        <is>
          <t>IPAC_NAN</t>
        </is>
      </c>
      <c r="B419" s="1" t="inlineStr">
        <is>
          <t>613</t>
        </is>
      </c>
      <c r="C419" s="1" t="inlineStr">
        <is>
          <t>2025</t>
        </is>
      </c>
      <c r="D419" s="1" t="inlineStr">
        <is>
          <t>2027BUD_V1</t>
        </is>
      </c>
      <c r="E419" s="1" t="inlineStr">
        <is>
          <t>12</t>
        </is>
      </c>
      <c r="F419" t="n">
        <v>88092</v>
      </c>
    </row>
    <row r="420">
      <c r="A420" s="1" t="inlineStr">
        <is>
          <t>IPAC_REN</t>
        </is>
      </c>
      <c r="B420" s="1" t="inlineStr">
        <is>
          <t>613</t>
        </is>
      </c>
      <c r="C420" s="1" t="inlineStr">
        <is>
          <t>2025</t>
        </is>
      </c>
      <c r="D420" s="1" t="inlineStr">
        <is>
          <t>2027BUD_V1</t>
        </is>
      </c>
      <c r="E420" s="1" t="inlineStr">
        <is>
          <t>12</t>
        </is>
      </c>
      <c r="F420" t="n">
        <v>77521</v>
      </c>
    </row>
    <row r="421">
      <c r="A421" s="1" t="inlineStr">
        <is>
          <t>IPAC_MTP</t>
        </is>
      </c>
      <c r="B421" s="1" t="inlineStr">
        <is>
          <t>613</t>
        </is>
      </c>
      <c r="C421" s="1" t="inlineStr">
        <is>
          <t>2025</t>
        </is>
      </c>
      <c r="D421" s="1" t="inlineStr">
        <is>
          <t>2027BUD_V1</t>
        </is>
      </c>
      <c r="E421" s="1" t="inlineStr">
        <is>
          <t>12</t>
        </is>
      </c>
      <c r="F421" t="n">
        <v>77521</v>
      </c>
    </row>
    <row r="422">
      <c r="A422" s="1" t="inlineStr">
        <is>
          <t>PIGIER_LYO</t>
        </is>
      </c>
      <c r="B422" s="1" t="inlineStr">
        <is>
          <t>613</t>
        </is>
      </c>
      <c r="C422" s="1" t="inlineStr">
        <is>
          <t>2025</t>
        </is>
      </c>
      <c r="D422" s="1" t="inlineStr">
        <is>
          <t>2027BUD_V1</t>
        </is>
      </c>
      <c r="E422" s="1" t="inlineStr">
        <is>
          <t>12</t>
        </is>
      </c>
      <c r="F422" t="n">
        <v>131550</v>
      </c>
    </row>
    <row r="423">
      <c r="A423" s="1" t="inlineStr">
        <is>
          <t>PIGIER_BOR</t>
        </is>
      </c>
      <c r="B423" s="1" t="inlineStr">
        <is>
          <t>613</t>
        </is>
      </c>
      <c r="C423" s="1" t="inlineStr">
        <is>
          <t>2025</t>
        </is>
      </c>
      <c r="D423" s="1" t="inlineStr">
        <is>
          <t>2027BUD_V1</t>
        </is>
      </c>
      <c r="E423" s="1" t="inlineStr">
        <is>
          <t>12</t>
        </is>
      </c>
      <c r="F423" t="n">
        <v>123328</v>
      </c>
    </row>
    <row r="424">
      <c r="A424" s="1" t="inlineStr">
        <is>
          <t>TUNON_PAR</t>
        </is>
      </c>
      <c r="B424" s="1" t="inlineStr">
        <is>
          <t>613</t>
        </is>
      </c>
      <c r="C424" s="1" t="inlineStr">
        <is>
          <t>2025</t>
        </is>
      </c>
      <c r="D424" s="1" t="inlineStr">
        <is>
          <t>2027BUD_V1</t>
        </is>
      </c>
      <c r="E424" s="1" t="inlineStr">
        <is>
          <t>12</t>
        </is>
      </c>
      <c r="F424" t="n">
        <v>142709</v>
      </c>
    </row>
    <row r="425">
      <c r="A425" s="1" t="inlineStr">
        <is>
          <t>TUNON_LYO</t>
        </is>
      </c>
      <c r="B425" s="1" t="inlineStr">
        <is>
          <t>613</t>
        </is>
      </c>
      <c r="C425" s="1" t="inlineStr">
        <is>
          <t>2025</t>
        </is>
      </c>
      <c r="D425" s="1" t="inlineStr">
        <is>
          <t>2027BUD_V1</t>
        </is>
      </c>
      <c r="E425" s="1" t="inlineStr">
        <is>
          <t>12</t>
        </is>
      </c>
      <c r="F425" t="n">
        <v>98663</v>
      </c>
    </row>
    <row r="426">
      <c r="A426" s="1" t="inlineStr">
        <is>
          <t>MBWAY_PAR</t>
        </is>
      </c>
      <c r="B426" s="1" t="inlineStr">
        <is>
          <t>613</t>
        </is>
      </c>
      <c r="C426" s="1" t="inlineStr">
        <is>
          <t>2026</t>
        </is>
      </c>
      <c r="D426" s="1" t="inlineStr">
        <is>
          <t>2027BUD_V1</t>
        </is>
      </c>
      <c r="E426" s="1" t="inlineStr">
        <is>
          <t>12</t>
        </is>
      </c>
      <c r="F426" t="n">
        <v>373801</v>
      </c>
    </row>
    <row r="427">
      <c r="A427" s="1" t="inlineStr">
        <is>
          <t>MBWAY_LYO</t>
        </is>
      </c>
      <c r="B427" s="1" t="inlineStr">
        <is>
          <t>613</t>
        </is>
      </c>
      <c r="C427" s="1" t="inlineStr">
        <is>
          <t>2026</t>
        </is>
      </c>
      <c r="D427" s="1" t="inlineStr">
        <is>
          <t>2027BUD_V1</t>
        </is>
      </c>
      <c r="E427" s="1" t="inlineStr">
        <is>
          <t>12</t>
        </is>
      </c>
      <c r="F427" t="n">
        <v>223973</v>
      </c>
    </row>
    <row r="428">
      <c r="A428" s="1" t="inlineStr">
        <is>
          <t>MBWAY_NAN</t>
        </is>
      </c>
      <c r="B428" s="1" t="inlineStr">
        <is>
          <t>613</t>
        </is>
      </c>
      <c r="C428" s="1" t="inlineStr">
        <is>
          <t>2026</t>
        </is>
      </c>
      <c r="D428" s="1" t="inlineStr">
        <is>
          <t>2027BUD_V1</t>
        </is>
      </c>
      <c r="E428" s="1" t="inlineStr">
        <is>
          <t>12</t>
        </is>
      </c>
      <c r="F428" t="n">
        <v>184593</v>
      </c>
    </row>
    <row r="429">
      <c r="A429" s="1" t="inlineStr">
        <is>
          <t>MBWAY_BOR</t>
        </is>
      </c>
      <c r="B429" s="1" t="inlineStr">
        <is>
          <t>613</t>
        </is>
      </c>
      <c r="C429" s="1" t="inlineStr">
        <is>
          <t>2026</t>
        </is>
      </c>
      <c r="D429" s="1" t="inlineStr">
        <is>
          <t>2027BUD_V1</t>
        </is>
      </c>
      <c r="E429" s="1" t="inlineStr">
        <is>
          <t>12</t>
        </is>
      </c>
      <c r="F429" t="n">
        <v>161519</v>
      </c>
    </row>
    <row r="430">
      <c r="A430" s="1" t="inlineStr">
        <is>
          <t>ISCOM_PAR</t>
        </is>
      </c>
      <c r="B430" s="1" t="inlineStr">
        <is>
          <t>613</t>
        </is>
      </c>
      <c r="C430" s="1" t="inlineStr">
        <is>
          <t>2026</t>
        </is>
      </c>
      <c r="D430" s="1" t="inlineStr">
        <is>
          <t>2027BUD_V1</t>
        </is>
      </c>
      <c r="E430" s="1" t="inlineStr">
        <is>
          <t>12</t>
        </is>
      </c>
      <c r="F430" t="n">
        <v>373801</v>
      </c>
    </row>
    <row r="431">
      <c r="A431" s="1" t="inlineStr">
        <is>
          <t>ISCOM_LIL</t>
        </is>
      </c>
      <c r="B431" s="1" t="inlineStr">
        <is>
          <t>613</t>
        </is>
      </c>
      <c r="C431" s="1" t="inlineStr">
        <is>
          <t>2026</t>
        </is>
      </c>
      <c r="D431" s="1" t="inlineStr">
        <is>
          <t>2027BUD_V1</t>
        </is>
      </c>
      <c r="E431" s="1" t="inlineStr">
        <is>
          <t>12</t>
        </is>
      </c>
      <c r="F431" t="n">
        <v>141521</v>
      </c>
    </row>
    <row r="432">
      <c r="A432" s="1" t="inlineStr">
        <is>
          <t>ISCOM_TLS</t>
        </is>
      </c>
      <c r="B432" s="1" t="inlineStr">
        <is>
          <t>613</t>
        </is>
      </c>
      <c r="C432" s="1" t="inlineStr">
        <is>
          <t>2026</t>
        </is>
      </c>
      <c r="D432" s="1" t="inlineStr">
        <is>
          <t>2027BUD_V1</t>
        </is>
      </c>
      <c r="E432" s="1" t="inlineStr">
        <is>
          <t>12</t>
        </is>
      </c>
      <c r="F432" t="n">
        <v>138445</v>
      </c>
    </row>
    <row r="433">
      <c r="A433" s="1" t="inlineStr">
        <is>
          <t>IPAC_NAN</t>
        </is>
      </c>
      <c r="B433" s="1" t="inlineStr">
        <is>
          <t>613</t>
        </is>
      </c>
      <c r="C433" s="1" t="inlineStr">
        <is>
          <t>2026</t>
        </is>
      </c>
      <c r="D433" s="1" t="inlineStr">
        <is>
          <t>2027BUD_V1</t>
        </is>
      </c>
      <c r="E433" s="1" t="inlineStr">
        <is>
          <t>12</t>
        </is>
      </c>
      <c r="F433" t="n">
        <v>92297</v>
      </c>
    </row>
    <row r="434">
      <c r="A434" s="1" t="inlineStr">
        <is>
          <t>IPAC_REN</t>
        </is>
      </c>
      <c r="B434" s="1" t="inlineStr">
        <is>
          <t>613</t>
        </is>
      </c>
      <c r="C434" s="1" t="inlineStr">
        <is>
          <t>2026</t>
        </is>
      </c>
      <c r="D434" s="1" t="inlineStr">
        <is>
          <t>2027BUD_V1</t>
        </is>
      </c>
      <c r="E434" s="1" t="inlineStr">
        <is>
          <t>12</t>
        </is>
      </c>
      <c r="F434" t="n">
        <v>81221</v>
      </c>
    </row>
    <row r="435">
      <c r="A435" s="1" t="inlineStr">
        <is>
          <t>IPAC_MTP</t>
        </is>
      </c>
      <c r="B435" s="1" t="inlineStr">
        <is>
          <t>613</t>
        </is>
      </c>
      <c r="C435" s="1" t="inlineStr">
        <is>
          <t>2026</t>
        </is>
      </c>
      <c r="D435" s="1" t="inlineStr">
        <is>
          <t>2027BUD_V1</t>
        </is>
      </c>
      <c r="E435" s="1" t="inlineStr">
        <is>
          <t>12</t>
        </is>
      </c>
      <c r="F435" t="n">
        <v>81221</v>
      </c>
    </row>
    <row r="436">
      <c r="A436" s="1" t="inlineStr">
        <is>
          <t>PIGIER_LYO</t>
        </is>
      </c>
      <c r="B436" s="1" t="inlineStr">
        <is>
          <t>613</t>
        </is>
      </c>
      <c r="C436" s="1" t="inlineStr">
        <is>
          <t>2026</t>
        </is>
      </c>
      <c r="D436" s="1" t="inlineStr">
        <is>
          <t>2027BUD_V1</t>
        </is>
      </c>
      <c r="E436" s="1" t="inlineStr">
        <is>
          <t>12</t>
        </is>
      </c>
      <c r="F436" t="n">
        <v>137830</v>
      </c>
    </row>
    <row r="437">
      <c r="A437" s="1" t="inlineStr">
        <is>
          <t>PIGIER_BOR</t>
        </is>
      </c>
      <c r="B437" s="1" t="inlineStr">
        <is>
          <t>613</t>
        </is>
      </c>
      <c r="C437" s="1" t="inlineStr">
        <is>
          <t>2026</t>
        </is>
      </c>
      <c r="D437" s="1" t="inlineStr">
        <is>
          <t>2027BUD_V1</t>
        </is>
      </c>
      <c r="E437" s="1" t="inlineStr">
        <is>
          <t>12</t>
        </is>
      </c>
      <c r="F437" t="n">
        <v>129215</v>
      </c>
    </row>
    <row r="438">
      <c r="A438" s="1" t="inlineStr">
        <is>
          <t>TUNON_PAR</t>
        </is>
      </c>
      <c r="B438" s="1" t="inlineStr">
        <is>
          <t>613</t>
        </is>
      </c>
      <c r="C438" s="1" t="inlineStr">
        <is>
          <t>2026</t>
        </is>
      </c>
      <c r="D438" s="1" t="inlineStr">
        <is>
          <t>2027BUD_V1</t>
        </is>
      </c>
      <c r="E438" s="1" t="inlineStr">
        <is>
          <t>12</t>
        </is>
      </c>
      <c r="F438" t="n">
        <v>149520</v>
      </c>
    </row>
    <row r="439">
      <c r="A439" s="1" t="inlineStr">
        <is>
          <t>TUNON_LYO</t>
        </is>
      </c>
      <c r="B439" s="1" t="inlineStr">
        <is>
          <t>613</t>
        </is>
      </c>
      <c r="C439" s="1" t="inlineStr">
        <is>
          <t>2026</t>
        </is>
      </c>
      <c r="D439" s="1" t="inlineStr">
        <is>
          <t>2027BUD_V1</t>
        </is>
      </c>
      <c r="E439" s="1" t="inlineStr">
        <is>
          <t>12</t>
        </is>
      </c>
      <c r="F439" t="n">
        <v>103372</v>
      </c>
    </row>
    <row r="440">
      <c r="A440" s="1" t="inlineStr">
        <is>
          <t>MBWAY_PAR</t>
        </is>
      </c>
      <c r="B440" s="1" t="inlineStr">
        <is>
          <t>615</t>
        </is>
      </c>
      <c r="C440" s="1" t="inlineStr">
        <is>
          <t>2024</t>
        </is>
      </c>
      <c r="D440" s="1" t="inlineStr">
        <is>
          <t>2027BUD_V1</t>
        </is>
      </c>
      <c r="E440" s="1" t="inlineStr">
        <is>
          <t>12</t>
        </is>
      </c>
      <c r="F440" t="n">
        <v>48734</v>
      </c>
    </row>
    <row r="441">
      <c r="A441" s="1" t="inlineStr">
        <is>
          <t>MBWAY_LYO</t>
        </is>
      </c>
      <c r="B441" s="1" t="inlineStr">
        <is>
          <t>615</t>
        </is>
      </c>
      <c r="C441" s="1" t="inlineStr">
        <is>
          <t>2024</t>
        </is>
      </c>
      <c r="D441" s="1" t="inlineStr">
        <is>
          <t>2027BUD_V1</t>
        </is>
      </c>
      <c r="E441" s="1" t="inlineStr">
        <is>
          <t>12</t>
        </is>
      </c>
      <c r="F441" t="n">
        <v>29200</v>
      </c>
    </row>
    <row r="442">
      <c r="A442" s="1" t="inlineStr">
        <is>
          <t>MBWAY_NAN</t>
        </is>
      </c>
      <c r="B442" s="1" t="inlineStr">
        <is>
          <t>615</t>
        </is>
      </c>
      <c r="C442" s="1" t="inlineStr">
        <is>
          <t>2024</t>
        </is>
      </c>
      <c r="D442" s="1" t="inlineStr">
        <is>
          <t>2027BUD_V1</t>
        </is>
      </c>
      <c r="E442" s="1" t="inlineStr">
        <is>
          <t>12</t>
        </is>
      </c>
      <c r="F442" t="n">
        <v>24066</v>
      </c>
    </row>
    <row r="443">
      <c r="A443" s="1" t="inlineStr">
        <is>
          <t>MBWAY_BOR</t>
        </is>
      </c>
      <c r="B443" s="1" t="inlineStr">
        <is>
          <t>615</t>
        </is>
      </c>
      <c r="C443" s="1" t="inlineStr">
        <is>
          <t>2024</t>
        </is>
      </c>
      <c r="D443" s="1" t="inlineStr">
        <is>
          <t>2027BUD_V1</t>
        </is>
      </c>
      <c r="E443" s="1" t="inlineStr">
        <is>
          <t>12</t>
        </is>
      </c>
      <c r="F443" t="n">
        <v>21058</v>
      </c>
    </row>
    <row r="444">
      <c r="A444" s="1" t="inlineStr">
        <is>
          <t>ISCOM_PAR</t>
        </is>
      </c>
      <c r="B444" s="1" t="inlineStr">
        <is>
          <t>615</t>
        </is>
      </c>
      <c r="C444" s="1" t="inlineStr">
        <is>
          <t>2024</t>
        </is>
      </c>
      <c r="D444" s="1" t="inlineStr">
        <is>
          <t>2027BUD_V1</t>
        </is>
      </c>
      <c r="E444" s="1" t="inlineStr">
        <is>
          <t>12</t>
        </is>
      </c>
      <c r="F444" t="n">
        <v>48734</v>
      </c>
    </row>
    <row r="445">
      <c r="A445" s="1" t="inlineStr">
        <is>
          <t>ISCOM_LIL</t>
        </is>
      </c>
      <c r="B445" s="1" t="inlineStr">
        <is>
          <t>615</t>
        </is>
      </c>
      <c r="C445" s="1" t="inlineStr">
        <is>
          <t>2024</t>
        </is>
      </c>
      <c r="D445" s="1" t="inlineStr">
        <is>
          <t>2027BUD_V1</t>
        </is>
      </c>
      <c r="E445" s="1" t="inlineStr">
        <is>
          <t>12</t>
        </is>
      </c>
      <c r="F445" t="n">
        <v>18451</v>
      </c>
    </row>
    <row r="446">
      <c r="A446" s="1" t="inlineStr">
        <is>
          <t>ISCOM_TLS</t>
        </is>
      </c>
      <c r="B446" s="1" t="inlineStr">
        <is>
          <t>615</t>
        </is>
      </c>
      <c r="C446" s="1" t="inlineStr">
        <is>
          <t>2024</t>
        </is>
      </c>
      <c r="D446" s="1" t="inlineStr">
        <is>
          <t>2027BUD_V1</t>
        </is>
      </c>
      <c r="E446" s="1" t="inlineStr">
        <is>
          <t>12</t>
        </is>
      </c>
      <c r="F446" t="n">
        <v>18050</v>
      </c>
    </row>
    <row r="447">
      <c r="A447" s="1" t="inlineStr">
        <is>
          <t>IPAC_NAN</t>
        </is>
      </c>
      <c r="B447" s="1" t="inlineStr">
        <is>
          <t>615</t>
        </is>
      </c>
      <c r="C447" s="1" t="inlineStr">
        <is>
          <t>2024</t>
        </is>
      </c>
      <c r="D447" s="1" t="inlineStr">
        <is>
          <t>2027BUD_V1</t>
        </is>
      </c>
      <c r="E447" s="1" t="inlineStr">
        <is>
          <t>12</t>
        </is>
      </c>
      <c r="F447" t="n">
        <v>12033</v>
      </c>
    </row>
    <row r="448">
      <c r="A448" s="1" t="inlineStr">
        <is>
          <t>IPAC_REN</t>
        </is>
      </c>
      <c r="B448" s="1" t="inlineStr">
        <is>
          <t>615</t>
        </is>
      </c>
      <c r="C448" s="1" t="inlineStr">
        <is>
          <t>2024</t>
        </is>
      </c>
      <c r="D448" s="1" t="inlineStr">
        <is>
          <t>2027BUD_V1</t>
        </is>
      </c>
      <c r="E448" s="1" t="inlineStr">
        <is>
          <t>12</t>
        </is>
      </c>
      <c r="F448" t="n">
        <v>10589</v>
      </c>
    </row>
    <row r="449">
      <c r="A449" s="1" t="inlineStr">
        <is>
          <t>IPAC_MTP</t>
        </is>
      </c>
      <c r="B449" s="1" t="inlineStr">
        <is>
          <t>615</t>
        </is>
      </c>
      <c r="C449" s="1" t="inlineStr">
        <is>
          <t>2024</t>
        </is>
      </c>
      <c r="D449" s="1" t="inlineStr">
        <is>
          <t>2027BUD_V1</t>
        </is>
      </c>
      <c r="E449" s="1" t="inlineStr">
        <is>
          <t>12</t>
        </is>
      </c>
      <c r="F449" t="n">
        <v>10589</v>
      </c>
    </row>
    <row r="450">
      <c r="A450" s="1" t="inlineStr">
        <is>
          <t>PIGIER_LYO</t>
        </is>
      </c>
      <c r="B450" s="1" t="inlineStr">
        <is>
          <t>615</t>
        </is>
      </c>
      <c r="C450" s="1" t="inlineStr">
        <is>
          <t>2024</t>
        </is>
      </c>
      <c r="D450" s="1" t="inlineStr">
        <is>
          <t>2027BUD_V1</t>
        </is>
      </c>
      <c r="E450" s="1" t="inlineStr">
        <is>
          <t>12</t>
        </is>
      </c>
      <c r="F450" t="n">
        <v>17970</v>
      </c>
    </row>
    <row r="451">
      <c r="A451" s="1" t="inlineStr">
        <is>
          <t>PIGIER_BOR</t>
        </is>
      </c>
      <c r="B451" s="1" t="inlineStr">
        <is>
          <t>615</t>
        </is>
      </c>
      <c r="C451" s="1" t="inlineStr">
        <is>
          <t>2024</t>
        </is>
      </c>
      <c r="D451" s="1" t="inlineStr">
        <is>
          <t>2027BUD_V1</t>
        </is>
      </c>
      <c r="E451" s="1" t="inlineStr">
        <is>
          <t>12</t>
        </is>
      </c>
      <c r="F451" t="n">
        <v>16846</v>
      </c>
    </row>
    <row r="452">
      <c r="A452" s="1" t="inlineStr">
        <is>
          <t>TUNON_PAR</t>
        </is>
      </c>
      <c r="B452" s="1" t="inlineStr">
        <is>
          <t>615</t>
        </is>
      </c>
      <c r="C452" s="1" t="inlineStr">
        <is>
          <t>2024</t>
        </is>
      </c>
      <c r="D452" s="1" t="inlineStr">
        <is>
          <t>2027BUD_V1</t>
        </is>
      </c>
      <c r="E452" s="1" t="inlineStr">
        <is>
          <t>12</t>
        </is>
      </c>
      <c r="F452" t="n">
        <v>19494</v>
      </c>
    </row>
    <row r="453">
      <c r="A453" s="1" t="inlineStr">
        <is>
          <t>TUNON_LYO</t>
        </is>
      </c>
      <c r="B453" s="1" t="inlineStr">
        <is>
          <t>615</t>
        </is>
      </c>
      <c r="C453" s="1" t="inlineStr">
        <is>
          <t>2024</t>
        </is>
      </c>
      <c r="D453" s="1" t="inlineStr">
        <is>
          <t>2027BUD_V1</t>
        </is>
      </c>
      <c r="E453" s="1" t="inlineStr">
        <is>
          <t>12</t>
        </is>
      </c>
      <c r="F453" t="n">
        <v>13477</v>
      </c>
    </row>
    <row r="454">
      <c r="A454" s="1" t="inlineStr">
        <is>
          <t>MBWAY_PAR</t>
        </is>
      </c>
      <c r="B454" s="1" t="inlineStr">
        <is>
          <t>615</t>
        </is>
      </c>
      <c r="C454" s="1" t="inlineStr">
        <is>
          <t>2025</t>
        </is>
      </c>
      <c r="D454" s="1" t="inlineStr">
        <is>
          <t>2027BUD_V1</t>
        </is>
      </c>
      <c r="E454" s="1" t="inlineStr">
        <is>
          <t>12</t>
        </is>
      </c>
      <c r="F454" t="n">
        <v>50967</v>
      </c>
    </row>
    <row r="455">
      <c r="A455" s="1" t="inlineStr">
        <is>
          <t>MBWAY_LYO</t>
        </is>
      </c>
      <c r="B455" s="1" t="inlineStr">
        <is>
          <t>615</t>
        </is>
      </c>
      <c r="C455" s="1" t="inlineStr">
        <is>
          <t>2025</t>
        </is>
      </c>
      <c r="D455" s="1" t="inlineStr">
        <is>
          <t>2027BUD_V1</t>
        </is>
      </c>
      <c r="E455" s="1" t="inlineStr">
        <is>
          <t>12</t>
        </is>
      </c>
      <c r="F455" t="n">
        <v>30538</v>
      </c>
    </row>
    <row r="456">
      <c r="A456" s="1" t="inlineStr">
        <is>
          <t>MBWAY_NAN</t>
        </is>
      </c>
      <c r="B456" s="1" t="inlineStr">
        <is>
          <t>615</t>
        </is>
      </c>
      <c r="C456" s="1" t="inlineStr">
        <is>
          <t>2025</t>
        </is>
      </c>
      <c r="D456" s="1" t="inlineStr">
        <is>
          <t>2027BUD_V1</t>
        </is>
      </c>
      <c r="E456" s="1" t="inlineStr">
        <is>
          <t>12</t>
        </is>
      </c>
      <c r="F456" t="n">
        <v>25169</v>
      </c>
    </row>
    <row r="457">
      <c r="A457" s="1" t="inlineStr">
        <is>
          <t>MBWAY_BOR</t>
        </is>
      </c>
      <c r="B457" s="1" t="inlineStr">
        <is>
          <t>615</t>
        </is>
      </c>
      <c r="C457" s="1" t="inlineStr">
        <is>
          <t>2025</t>
        </is>
      </c>
      <c r="D457" s="1" t="inlineStr">
        <is>
          <t>2027BUD_V1</t>
        </is>
      </c>
      <c r="E457" s="1" t="inlineStr">
        <is>
          <t>12</t>
        </is>
      </c>
      <c r="F457" t="n">
        <v>22023</v>
      </c>
    </row>
    <row r="458">
      <c r="A458" s="1" t="inlineStr">
        <is>
          <t>ISCOM_PAR</t>
        </is>
      </c>
      <c r="B458" s="1" t="inlineStr">
        <is>
          <t>615</t>
        </is>
      </c>
      <c r="C458" s="1" t="inlineStr">
        <is>
          <t>2025</t>
        </is>
      </c>
      <c r="D458" s="1" t="inlineStr">
        <is>
          <t>2027BUD_V1</t>
        </is>
      </c>
      <c r="E458" s="1" t="inlineStr">
        <is>
          <t>12</t>
        </is>
      </c>
      <c r="F458" t="n">
        <v>50967</v>
      </c>
    </row>
    <row r="459">
      <c r="A459" s="1" t="inlineStr">
        <is>
          <t>ISCOM_LIL</t>
        </is>
      </c>
      <c r="B459" s="1" t="inlineStr">
        <is>
          <t>615</t>
        </is>
      </c>
      <c r="C459" s="1" t="inlineStr">
        <is>
          <t>2025</t>
        </is>
      </c>
      <c r="D459" s="1" t="inlineStr">
        <is>
          <t>2027BUD_V1</t>
        </is>
      </c>
      <c r="E459" s="1" t="inlineStr">
        <is>
          <t>12</t>
        </is>
      </c>
      <c r="F459" t="n">
        <v>19296</v>
      </c>
    </row>
    <row r="460">
      <c r="A460" s="1" t="inlineStr">
        <is>
          <t>ISCOM_TLS</t>
        </is>
      </c>
      <c r="B460" s="1" t="inlineStr">
        <is>
          <t>615</t>
        </is>
      </c>
      <c r="C460" s="1" t="inlineStr">
        <is>
          <t>2025</t>
        </is>
      </c>
      <c r="D460" s="1" t="inlineStr">
        <is>
          <t>2027BUD_V1</t>
        </is>
      </c>
      <c r="E460" s="1" t="inlineStr">
        <is>
          <t>12</t>
        </is>
      </c>
      <c r="F460" t="n">
        <v>18877</v>
      </c>
    </row>
    <row r="461">
      <c r="A461" s="1" t="inlineStr">
        <is>
          <t>IPAC_NAN</t>
        </is>
      </c>
      <c r="B461" s="1" t="inlineStr">
        <is>
          <t>615</t>
        </is>
      </c>
      <c r="C461" s="1" t="inlineStr">
        <is>
          <t>2025</t>
        </is>
      </c>
      <c r="D461" s="1" t="inlineStr">
        <is>
          <t>2027BUD_V1</t>
        </is>
      </c>
      <c r="E461" s="1" t="inlineStr">
        <is>
          <t>12</t>
        </is>
      </c>
      <c r="F461" t="n">
        <v>12585</v>
      </c>
    </row>
    <row r="462">
      <c r="A462" s="1" t="inlineStr">
        <is>
          <t>IPAC_REN</t>
        </is>
      </c>
      <c r="B462" s="1" t="inlineStr">
        <is>
          <t>615</t>
        </is>
      </c>
      <c r="C462" s="1" t="inlineStr">
        <is>
          <t>2025</t>
        </is>
      </c>
      <c r="D462" s="1" t="inlineStr">
        <is>
          <t>2027BUD_V1</t>
        </is>
      </c>
      <c r="E462" s="1" t="inlineStr">
        <is>
          <t>12</t>
        </is>
      </c>
      <c r="F462" t="n">
        <v>11074</v>
      </c>
    </row>
    <row r="463">
      <c r="A463" s="1" t="inlineStr">
        <is>
          <t>IPAC_MTP</t>
        </is>
      </c>
      <c r="B463" s="1" t="inlineStr">
        <is>
          <t>615</t>
        </is>
      </c>
      <c r="C463" s="1" t="inlineStr">
        <is>
          <t>2025</t>
        </is>
      </c>
      <c r="D463" s="1" t="inlineStr">
        <is>
          <t>2027BUD_V1</t>
        </is>
      </c>
      <c r="E463" s="1" t="inlineStr">
        <is>
          <t>12</t>
        </is>
      </c>
      <c r="F463" t="n">
        <v>11074</v>
      </c>
    </row>
    <row r="464">
      <c r="A464" s="1" t="inlineStr">
        <is>
          <t>PIGIER_LYO</t>
        </is>
      </c>
      <c r="B464" s="1" t="inlineStr">
        <is>
          <t>615</t>
        </is>
      </c>
      <c r="C464" s="1" t="inlineStr">
        <is>
          <t>2025</t>
        </is>
      </c>
      <c r="D464" s="1" t="inlineStr">
        <is>
          <t>2027BUD_V1</t>
        </is>
      </c>
      <c r="E464" s="1" t="inlineStr">
        <is>
          <t>12</t>
        </is>
      </c>
      <c r="F464" t="n">
        <v>18793</v>
      </c>
    </row>
    <row r="465">
      <c r="A465" s="1" t="inlineStr">
        <is>
          <t>PIGIER_BOR</t>
        </is>
      </c>
      <c r="B465" s="1" t="inlineStr">
        <is>
          <t>615</t>
        </is>
      </c>
      <c r="C465" s="1" t="inlineStr">
        <is>
          <t>2025</t>
        </is>
      </c>
      <c r="D465" s="1" t="inlineStr">
        <is>
          <t>2027BUD_V1</t>
        </is>
      </c>
      <c r="E465" s="1" t="inlineStr">
        <is>
          <t>12</t>
        </is>
      </c>
      <c r="F465" t="n">
        <v>17618</v>
      </c>
    </row>
    <row r="466">
      <c r="A466" s="1" t="inlineStr">
        <is>
          <t>TUNON_PAR</t>
        </is>
      </c>
      <c r="B466" s="1" t="inlineStr">
        <is>
          <t>615</t>
        </is>
      </c>
      <c r="C466" s="1" t="inlineStr">
        <is>
          <t>2025</t>
        </is>
      </c>
      <c r="D466" s="1" t="inlineStr">
        <is>
          <t>2027BUD_V1</t>
        </is>
      </c>
      <c r="E466" s="1" t="inlineStr">
        <is>
          <t>12</t>
        </is>
      </c>
      <c r="F466" t="n">
        <v>20387</v>
      </c>
    </row>
    <row r="467">
      <c r="A467" s="1" t="inlineStr">
        <is>
          <t>TUNON_LYO</t>
        </is>
      </c>
      <c r="B467" s="1" t="inlineStr">
        <is>
          <t>615</t>
        </is>
      </c>
      <c r="C467" s="1" t="inlineStr">
        <is>
          <t>2025</t>
        </is>
      </c>
      <c r="D467" s="1" t="inlineStr">
        <is>
          <t>2027BUD_V1</t>
        </is>
      </c>
      <c r="E467" s="1" t="inlineStr">
        <is>
          <t>12</t>
        </is>
      </c>
      <c r="F467" t="n">
        <v>14095</v>
      </c>
    </row>
    <row r="468">
      <c r="A468" s="1" t="inlineStr">
        <is>
          <t>MBWAY_PAR</t>
        </is>
      </c>
      <c r="B468" s="1" t="inlineStr">
        <is>
          <t>615</t>
        </is>
      </c>
      <c r="C468" s="1" t="inlineStr">
        <is>
          <t>2026</t>
        </is>
      </c>
      <c r="D468" s="1" t="inlineStr">
        <is>
          <t>2027BUD_V1</t>
        </is>
      </c>
      <c r="E468" s="1" t="inlineStr">
        <is>
          <t>12</t>
        </is>
      </c>
      <c r="F468" t="n">
        <v>53400</v>
      </c>
    </row>
    <row r="469">
      <c r="A469" s="1" t="inlineStr">
        <is>
          <t>MBWAY_LYO</t>
        </is>
      </c>
      <c r="B469" s="1" t="inlineStr">
        <is>
          <t>615</t>
        </is>
      </c>
      <c r="C469" s="1" t="inlineStr">
        <is>
          <t>2026</t>
        </is>
      </c>
      <c r="D469" s="1" t="inlineStr">
        <is>
          <t>2027BUD_V1</t>
        </is>
      </c>
      <c r="E469" s="1" t="inlineStr">
        <is>
          <t>12</t>
        </is>
      </c>
      <c r="F469" t="n">
        <v>31996</v>
      </c>
    </row>
    <row r="470">
      <c r="A470" s="1" t="inlineStr">
        <is>
          <t>MBWAY_NAN</t>
        </is>
      </c>
      <c r="B470" s="1" t="inlineStr">
        <is>
          <t>615</t>
        </is>
      </c>
      <c r="C470" s="1" t="inlineStr">
        <is>
          <t>2026</t>
        </is>
      </c>
      <c r="D470" s="1" t="inlineStr">
        <is>
          <t>2027BUD_V1</t>
        </is>
      </c>
      <c r="E470" s="1" t="inlineStr">
        <is>
          <t>12</t>
        </is>
      </c>
      <c r="F470" t="n">
        <v>26370</v>
      </c>
    </row>
    <row r="471">
      <c r="A471" s="1" t="inlineStr">
        <is>
          <t>MBWAY_BOR</t>
        </is>
      </c>
      <c r="B471" s="1" t="inlineStr">
        <is>
          <t>615</t>
        </is>
      </c>
      <c r="C471" s="1" t="inlineStr">
        <is>
          <t>2026</t>
        </is>
      </c>
      <c r="D471" s="1" t="inlineStr">
        <is>
          <t>2027BUD_V1</t>
        </is>
      </c>
      <c r="E471" s="1" t="inlineStr">
        <is>
          <t>12</t>
        </is>
      </c>
      <c r="F471" t="n">
        <v>23074</v>
      </c>
    </row>
    <row r="472">
      <c r="A472" s="1" t="inlineStr">
        <is>
          <t>ISCOM_PAR</t>
        </is>
      </c>
      <c r="B472" s="1" t="inlineStr">
        <is>
          <t>615</t>
        </is>
      </c>
      <c r="C472" s="1" t="inlineStr">
        <is>
          <t>2026</t>
        </is>
      </c>
      <c r="D472" s="1" t="inlineStr">
        <is>
          <t>2027BUD_V1</t>
        </is>
      </c>
      <c r="E472" s="1" t="inlineStr">
        <is>
          <t>12</t>
        </is>
      </c>
      <c r="F472" t="n">
        <v>53400</v>
      </c>
    </row>
    <row r="473">
      <c r="A473" s="1" t="inlineStr">
        <is>
          <t>ISCOM_LIL</t>
        </is>
      </c>
      <c r="B473" s="1" t="inlineStr">
        <is>
          <t>615</t>
        </is>
      </c>
      <c r="C473" s="1" t="inlineStr">
        <is>
          <t>2026</t>
        </is>
      </c>
      <c r="D473" s="1" t="inlineStr">
        <is>
          <t>2027BUD_V1</t>
        </is>
      </c>
      <c r="E473" s="1" t="inlineStr">
        <is>
          <t>12</t>
        </is>
      </c>
      <c r="F473" t="n">
        <v>20217</v>
      </c>
    </row>
    <row r="474">
      <c r="A474" s="1" t="inlineStr">
        <is>
          <t>ISCOM_TLS</t>
        </is>
      </c>
      <c r="B474" s="1" t="inlineStr">
        <is>
          <t>615</t>
        </is>
      </c>
      <c r="C474" s="1" t="inlineStr">
        <is>
          <t>2026</t>
        </is>
      </c>
      <c r="D474" s="1" t="inlineStr">
        <is>
          <t>2027BUD_V1</t>
        </is>
      </c>
      <c r="E474" s="1" t="inlineStr">
        <is>
          <t>12</t>
        </is>
      </c>
      <c r="F474" t="n">
        <v>19778</v>
      </c>
    </row>
    <row r="475">
      <c r="A475" s="1" t="inlineStr">
        <is>
          <t>IPAC_NAN</t>
        </is>
      </c>
      <c r="B475" s="1" t="inlineStr">
        <is>
          <t>615</t>
        </is>
      </c>
      <c r="C475" s="1" t="inlineStr">
        <is>
          <t>2026</t>
        </is>
      </c>
      <c r="D475" s="1" t="inlineStr">
        <is>
          <t>2027BUD_V1</t>
        </is>
      </c>
      <c r="E475" s="1" t="inlineStr">
        <is>
          <t>12</t>
        </is>
      </c>
      <c r="F475" t="n">
        <v>13185</v>
      </c>
    </row>
    <row r="476">
      <c r="A476" s="1" t="inlineStr">
        <is>
          <t>IPAC_REN</t>
        </is>
      </c>
      <c r="B476" s="1" t="inlineStr">
        <is>
          <t>615</t>
        </is>
      </c>
      <c r="C476" s="1" t="inlineStr">
        <is>
          <t>2026</t>
        </is>
      </c>
      <c r="D476" s="1" t="inlineStr">
        <is>
          <t>2027BUD_V1</t>
        </is>
      </c>
      <c r="E476" s="1" t="inlineStr">
        <is>
          <t>12</t>
        </is>
      </c>
      <c r="F476" t="n">
        <v>11603</v>
      </c>
    </row>
    <row r="477">
      <c r="A477" s="1" t="inlineStr">
        <is>
          <t>IPAC_MTP</t>
        </is>
      </c>
      <c r="B477" s="1" t="inlineStr">
        <is>
          <t>615</t>
        </is>
      </c>
      <c r="C477" s="1" t="inlineStr">
        <is>
          <t>2026</t>
        </is>
      </c>
      <c r="D477" s="1" t="inlineStr">
        <is>
          <t>2027BUD_V1</t>
        </is>
      </c>
      <c r="E477" s="1" t="inlineStr">
        <is>
          <t>12</t>
        </is>
      </c>
      <c r="F477" t="n">
        <v>11603</v>
      </c>
    </row>
    <row r="478">
      <c r="A478" s="1" t="inlineStr">
        <is>
          <t>PIGIER_LYO</t>
        </is>
      </c>
      <c r="B478" s="1" t="inlineStr">
        <is>
          <t>615</t>
        </is>
      </c>
      <c r="C478" s="1" t="inlineStr">
        <is>
          <t>2026</t>
        </is>
      </c>
      <c r="D478" s="1" t="inlineStr">
        <is>
          <t>2027BUD_V1</t>
        </is>
      </c>
      <c r="E478" s="1" t="inlineStr">
        <is>
          <t>12</t>
        </is>
      </c>
      <c r="F478" t="n">
        <v>19690</v>
      </c>
    </row>
    <row r="479">
      <c r="A479" s="1" t="inlineStr">
        <is>
          <t>PIGIER_BOR</t>
        </is>
      </c>
      <c r="B479" s="1" t="inlineStr">
        <is>
          <t>615</t>
        </is>
      </c>
      <c r="C479" s="1" t="inlineStr">
        <is>
          <t>2026</t>
        </is>
      </c>
      <c r="D479" s="1" t="inlineStr">
        <is>
          <t>2027BUD_V1</t>
        </is>
      </c>
      <c r="E479" s="1" t="inlineStr">
        <is>
          <t>12</t>
        </is>
      </c>
      <c r="F479" t="n">
        <v>18459</v>
      </c>
    </row>
    <row r="480">
      <c r="A480" s="1" t="inlineStr">
        <is>
          <t>TUNON_PAR</t>
        </is>
      </c>
      <c r="B480" s="1" t="inlineStr">
        <is>
          <t>615</t>
        </is>
      </c>
      <c r="C480" s="1" t="inlineStr">
        <is>
          <t>2026</t>
        </is>
      </c>
      <c r="D480" s="1" t="inlineStr">
        <is>
          <t>2027BUD_V1</t>
        </is>
      </c>
      <c r="E480" s="1" t="inlineStr">
        <is>
          <t>12</t>
        </is>
      </c>
      <c r="F480" t="n">
        <v>21360</v>
      </c>
    </row>
    <row r="481">
      <c r="A481" s="1" t="inlineStr">
        <is>
          <t>TUNON_LYO</t>
        </is>
      </c>
      <c r="B481" s="1" t="inlineStr">
        <is>
          <t>615</t>
        </is>
      </c>
      <c r="C481" s="1" t="inlineStr">
        <is>
          <t>2026</t>
        </is>
      </c>
      <c r="D481" s="1" t="inlineStr">
        <is>
          <t>2027BUD_V1</t>
        </is>
      </c>
      <c r="E481" s="1" t="inlineStr">
        <is>
          <t>12</t>
        </is>
      </c>
      <c r="F481" t="n">
        <v>14767</v>
      </c>
    </row>
    <row r="482">
      <c r="A482" s="1" t="inlineStr">
        <is>
          <t>MBWAY_PAR</t>
        </is>
      </c>
      <c r="B482" s="1" t="inlineStr">
        <is>
          <t>616</t>
        </is>
      </c>
      <c r="C482" s="1" t="inlineStr">
        <is>
          <t>2024</t>
        </is>
      </c>
      <c r="D482" s="1" t="inlineStr">
        <is>
          <t>2027BUD_V1</t>
        </is>
      </c>
      <c r="E482" s="1" t="inlineStr">
        <is>
          <t>12</t>
        </is>
      </c>
      <c r="F482" t="n">
        <v>35430</v>
      </c>
    </row>
    <row r="483">
      <c r="A483" s="1" t="inlineStr">
        <is>
          <t>MBWAY_LYO</t>
        </is>
      </c>
      <c r="B483" s="1" t="inlineStr">
        <is>
          <t>616</t>
        </is>
      </c>
      <c r="C483" s="1" t="inlineStr">
        <is>
          <t>2024</t>
        </is>
      </c>
      <c r="D483" s="1" t="inlineStr">
        <is>
          <t>2027BUD_V1</t>
        </is>
      </c>
      <c r="E483" s="1" t="inlineStr">
        <is>
          <t>12</t>
        </is>
      </c>
      <c r="F483" t="n">
        <v>20776</v>
      </c>
    </row>
    <row r="484">
      <c r="A484" s="1" t="inlineStr">
        <is>
          <t>MBWAY_NAN</t>
        </is>
      </c>
      <c r="B484" s="1" t="inlineStr">
        <is>
          <t>616</t>
        </is>
      </c>
      <c r="C484" s="1" t="inlineStr">
        <is>
          <t>2024</t>
        </is>
      </c>
      <c r="D484" s="1" t="inlineStr">
        <is>
          <t>2027BUD_V1</t>
        </is>
      </c>
      <c r="E484" s="1" t="inlineStr">
        <is>
          <t>12</t>
        </is>
      </c>
      <c r="F484" t="n">
        <v>16832</v>
      </c>
    </row>
    <row r="485">
      <c r="A485" s="1" t="inlineStr">
        <is>
          <t>MBWAY_BOR</t>
        </is>
      </c>
      <c r="B485" s="1" t="inlineStr">
        <is>
          <t>616</t>
        </is>
      </c>
      <c r="C485" s="1" t="inlineStr">
        <is>
          <t>2024</t>
        </is>
      </c>
      <c r="D485" s="1" t="inlineStr">
        <is>
          <t>2027BUD_V1</t>
        </is>
      </c>
      <c r="E485" s="1" t="inlineStr">
        <is>
          <t>12</t>
        </is>
      </c>
      <c r="F485" t="n">
        <v>14969</v>
      </c>
    </row>
    <row r="486">
      <c r="A486" s="1" t="inlineStr">
        <is>
          <t>ISCOM_PAR</t>
        </is>
      </c>
      <c r="B486" s="1" t="inlineStr">
        <is>
          <t>616</t>
        </is>
      </c>
      <c r="C486" s="1" t="inlineStr">
        <is>
          <t>2024</t>
        </is>
      </c>
      <c r="D486" s="1" t="inlineStr">
        <is>
          <t>2027BUD_V1</t>
        </is>
      </c>
      <c r="E486" s="1" t="inlineStr">
        <is>
          <t>12</t>
        </is>
      </c>
      <c r="F486" t="n">
        <v>32833</v>
      </c>
    </row>
    <row r="487">
      <c r="A487" s="1" t="inlineStr">
        <is>
          <t>ISCOM_LIL</t>
        </is>
      </c>
      <c r="B487" s="1" t="inlineStr">
        <is>
          <t>616</t>
        </is>
      </c>
      <c r="C487" s="1" t="inlineStr">
        <is>
          <t>2024</t>
        </is>
      </c>
      <c r="D487" s="1" t="inlineStr">
        <is>
          <t>2027BUD_V1</t>
        </is>
      </c>
      <c r="E487" s="1" t="inlineStr">
        <is>
          <t>12</t>
        </is>
      </c>
      <c r="F487" t="n">
        <v>12852</v>
      </c>
    </row>
    <row r="488">
      <c r="A488" s="1" t="inlineStr">
        <is>
          <t>ISCOM_TLS</t>
        </is>
      </c>
      <c r="B488" s="1" t="inlineStr">
        <is>
          <t>616</t>
        </is>
      </c>
      <c r="C488" s="1" t="inlineStr">
        <is>
          <t>2024</t>
        </is>
      </c>
      <c r="D488" s="1" t="inlineStr">
        <is>
          <t>2027BUD_V1</t>
        </is>
      </c>
      <c r="E488" s="1" t="inlineStr">
        <is>
          <t>12</t>
        </is>
      </c>
      <c r="F488" t="n">
        <v>11903</v>
      </c>
    </row>
    <row r="489">
      <c r="A489" s="1" t="inlineStr">
        <is>
          <t>IPAC_NAN</t>
        </is>
      </c>
      <c r="B489" s="1" t="inlineStr">
        <is>
          <t>616</t>
        </is>
      </c>
      <c r="C489" s="1" t="inlineStr">
        <is>
          <t>2024</t>
        </is>
      </c>
      <c r="D489" s="1" t="inlineStr">
        <is>
          <t>2027BUD_V1</t>
        </is>
      </c>
      <c r="E489" s="1" t="inlineStr">
        <is>
          <t>12</t>
        </is>
      </c>
      <c r="F489" t="n">
        <v>8302</v>
      </c>
    </row>
    <row r="490">
      <c r="A490" s="1" t="inlineStr">
        <is>
          <t>IPAC_REN</t>
        </is>
      </c>
      <c r="B490" s="1" t="inlineStr">
        <is>
          <t>616</t>
        </is>
      </c>
      <c r="C490" s="1" t="inlineStr">
        <is>
          <t>2024</t>
        </is>
      </c>
      <c r="D490" s="1" t="inlineStr">
        <is>
          <t>2027BUD_V1</t>
        </is>
      </c>
      <c r="E490" s="1" t="inlineStr">
        <is>
          <t>12</t>
        </is>
      </c>
      <c r="F490" t="n">
        <v>5895</v>
      </c>
    </row>
    <row r="491">
      <c r="A491" s="1" t="inlineStr">
        <is>
          <t>IPAC_MTP</t>
        </is>
      </c>
      <c r="B491" s="1" t="inlineStr">
        <is>
          <t>616</t>
        </is>
      </c>
      <c r="C491" s="1" t="inlineStr">
        <is>
          <t>2024</t>
        </is>
      </c>
      <c r="D491" s="1" t="inlineStr">
        <is>
          <t>2027BUD_V1</t>
        </is>
      </c>
      <c r="E491" s="1" t="inlineStr">
        <is>
          <t>12</t>
        </is>
      </c>
      <c r="F491" t="n">
        <v>5895</v>
      </c>
    </row>
    <row r="492">
      <c r="A492" s="1" t="inlineStr">
        <is>
          <t>PIGIER_LYO</t>
        </is>
      </c>
      <c r="B492" s="1" t="inlineStr">
        <is>
          <t>616</t>
        </is>
      </c>
      <c r="C492" s="1" t="inlineStr">
        <is>
          <t>2024</t>
        </is>
      </c>
      <c r="D492" s="1" t="inlineStr">
        <is>
          <t>2027BUD_V1</t>
        </is>
      </c>
      <c r="E492" s="1" t="inlineStr">
        <is>
          <t>12</t>
        </is>
      </c>
      <c r="F492" t="n">
        <v>11670</v>
      </c>
    </row>
    <row r="493">
      <c r="A493" s="1" t="inlineStr">
        <is>
          <t>PIGIER_BOR</t>
        </is>
      </c>
      <c r="B493" s="1" t="inlineStr">
        <is>
          <t>616</t>
        </is>
      </c>
      <c r="C493" s="1" t="inlineStr">
        <is>
          <t>2024</t>
        </is>
      </c>
      <c r="D493" s="1" t="inlineStr">
        <is>
          <t>2027BUD_V1</t>
        </is>
      </c>
      <c r="E493" s="1" t="inlineStr">
        <is>
          <t>12</t>
        </is>
      </c>
      <c r="F493" t="n">
        <v>8536</v>
      </c>
    </row>
    <row r="494">
      <c r="A494" s="1" t="inlineStr">
        <is>
          <t>TUNON_PAR</t>
        </is>
      </c>
      <c r="B494" s="1" t="inlineStr">
        <is>
          <t>616</t>
        </is>
      </c>
      <c r="C494" s="1" t="inlineStr">
        <is>
          <t>2024</t>
        </is>
      </c>
      <c r="D494" s="1" t="inlineStr">
        <is>
          <t>2027BUD_V1</t>
        </is>
      </c>
      <c r="E494" s="1" t="inlineStr">
        <is>
          <t>12</t>
        </is>
      </c>
      <c r="F494" t="n">
        <v>12799</v>
      </c>
    </row>
    <row r="495">
      <c r="A495" s="1" t="inlineStr">
        <is>
          <t>TUNON_LYO</t>
        </is>
      </c>
      <c r="B495" s="1" t="inlineStr">
        <is>
          <t>616</t>
        </is>
      </c>
      <c r="C495" s="1" t="inlineStr">
        <is>
          <t>2024</t>
        </is>
      </c>
      <c r="D495" s="1" t="inlineStr">
        <is>
          <t>2027BUD_V1</t>
        </is>
      </c>
      <c r="E495" s="1" t="inlineStr">
        <is>
          <t>12</t>
        </is>
      </c>
      <c r="F495" t="n">
        <v>7502</v>
      </c>
    </row>
    <row r="496">
      <c r="A496" s="1" t="inlineStr">
        <is>
          <t>MBWAY_PAR</t>
        </is>
      </c>
      <c r="B496" s="1" t="inlineStr">
        <is>
          <t>616</t>
        </is>
      </c>
      <c r="C496" s="1" t="inlineStr">
        <is>
          <t>2025</t>
        </is>
      </c>
      <c r="D496" s="1" t="inlineStr">
        <is>
          <t>2027BUD_V1</t>
        </is>
      </c>
      <c r="E496" s="1" t="inlineStr">
        <is>
          <t>12</t>
        </is>
      </c>
      <c r="F496" t="n">
        <v>37054</v>
      </c>
    </row>
    <row r="497">
      <c r="A497" s="1" t="inlineStr">
        <is>
          <t>MBWAY_LYO</t>
        </is>
      </c>
      <c r="B497" s="1" t="inlineStr">
        <is>
          <t>616</t>
        </is>
      </c>
      <c r="C497" s="1" t="inlineStr">
        <is>
          <t>2025</t>
        </is>
      </c>
      <c r="D497" s="1" t="inlineStr">
        <is>
          <t>2027BUD_V1</t>
        </is>
      </c>
      <c r="E497" s="1" t="inlineStr">
        <is>
          <t>12</t>
        </is>
      </c>
      <c r="F497" t="n">
        <v>21728</v>
      </c>
    </row>
    <row r="498">
      <c r="A498" s="1" t="inlineStr">
        <is>
          <t>MBWAY_NAN</t>
        </is>
      </c>
      <c r="B498" s="1" t="inlineStr">
        <is>
          <t>616</t>
        </is>
      </c>
      <c r="C498" s="1" t="inlineStr">
        <is>
          <t>2025</t>
        </is>
      </c>
      <c r="D498" s="1" t="inlineStr">
        <is>
          <t>2027BUD_V1</t>
        </is>
      </c>
      <c r="E498" s="1" t="inlineStr">
        <is>
          <t>12</t>
        </is>
      </c>
      <c r="F498" t="n">
        <v>17604</v>
      </c>
    </row>
    <row r="499">
      <c r="A499" s="1" t="inlineStr">
        <is>
          <t>MBWAY_BOR</t>
        </is>
      </c>
      <c r="B499" s="1" t="inlineStr">
        <is>
          <t>616</t>
        </is>
      </c>
      <c r="C499" s="1" t="inlineStr">
        <is>
          <t>2025</t>
        </is>
      </c>
      <c r="D499" s="1" t="inlineStr">
        <is>
          <t>2027BUD_V1</t>
        </is>
      </c>
      <c r="E499" s="1" t="inlineStr">
        <is>
          <t>12</t>
        </is>
      </c>
      <c r="F499" t="n">
        <v>15655</v>
      </c>
    </row>
    <row r="500">
      <c r="A500" s="1" t="inlineStr">
        <is>
          <t>ISCOM_PAR</t>
        </is>
      </c>
      <c r="B500" s="1" t="inlineStr">
        <is>
          <t>616</t>
        </is>
      </c>
      <c r="C500" s="1" t="inlineStr">
        <is>
          <t>2025</t>
        </is>
      </c>
      <c r="D500" s="1" t="inlineStr">
        <is>
          <t>2027BUD_V1</t>
        </is>
      </c>
      <c r="E500" s="1" t="inlineStr">
        <is>
          <t>12</t>
        </is>
      </c>
      <c r="F500" t="n">
        <v>34338</v>
      </c>
    </row>
    <row r="501">
      <c r="A501" s="1" t="inlineStr">
        <is>
          <t>ISCOM_LIL</t>
        </is>
      </c>
      <c r="B501" s="1" t="inlineStr">
        <is>
          <t>616</t>
        </is>
      </c>
      <c r="C501" s="1" t="inlineStr">
        <is>
          <t>2025</t>
        </is>
      </c>
      <c r="D501" s="1" t="inlineStr">
        <is>
          <t>2027BUD_V1</t>
        </is>
      </c>
      <c r="E501" s="1" t="inlineStr">
        <is>
          <t>12</t>
        </is>
      </c>
      <c r="F501" t="n">
        <v>13441</v>
      </c>
    </row>
    <row r="502">
      <c r="A502" s="1" t="inlineStr">
        <is>
          <t>ISCOM_TLS</t>
        </is>
      </c>
      <c r="B502" s="1" t="inlineStr">
        <is>
          <t>616</t>
        </is>
      </c>
      <c r="C502" s="1" t="inlineStr">
        <is>
          <t>2025</t>
        </is>
      </c>
      <c r="D502" s="1" t="inlineStr">
        <is>
          <t>2027BUD_V1</t>
        </is>
      </c>
      <c r="E502" s="1" t="inlineStr">
        <is>
          <t>12</t>
        </is>
      </c>
      <c r="F502" t="n">
        <v>12448</v>
      </c>
    </row>
    <row r="503">
      <c r="A503" s="1" t="inlineStr">
        <is>
          <t>IPAC_NAN</t>
        </is>
      </c>
      <c r="B503" s="1" t="inlineStr">
        <is>
          <t>616</t>
        </is>
      </c>
      <c r="C503" s="1" t="inlineStr">
        <is>
          <t>2025</t>
        </is>
      </c>
      <c r="D503" s="1" t="inlineStr">
        <is>
          <t>2027BUD_V1</t>
        </is>
      </c>
      <c r="E503" s="1" t="inlineStr">
        <is>
          <t>12</t>
        </is>
      </c>
      <c r="F503" t="n">
        <v>8682</v>
      </c>
    </row>
    <row r="504">
      <c r="A504" s="1" t="inlineStr">
        <is>
          <t>IPAC_REN</t>
        </is>
      </c>
      <c r="B504" s="1" t="inlineStr">
        <is>
          <t>616</t>
        </is>
      </c>
      <c r="C504" s="1" t="inlineStr">
        <is>
          <t>2025</t>
        </is>
      </c>
      <c r="D504" s="1" t="inlineStr">
        <is>
          <t>2027BUD_V1</t>
        </is>
      </c>
      <c r="E504" s="1" t="inlineStr">
        <is>
          <t>12</t>
        </is>
      </c>
      <c r="F504" t="n">
        <v>6165</v>
      </c>
    </row>
    <row r="505">
      <c r="A505" s="1" t="inlineStr">
        <is>
          <t>IPAC_MTP</t>
        </is>
      </c>
      <c r="B505" s="1" t="inlineStr">
        <is>
          <t>616</t>
        </is>
      </c>
      <c r="C505" s="1" t="inlineStr">
        <is>
          <t>2025</t>
        </is>
      </c>
      <c r="D505" s="1" t="inlineStr">
        <is>
          <t>2027BUD_V1</t>
        </is>
      </c>
      <c r="E505" s="1" t="inlineStr">
        <is>
          <t>12</t>
        </is>
      </c>
      <c r="F505" t="n">
        <v>6165</v>
      </c>
    </row>
    <row r="506">
      <c r="A506" s="1" t="inlineStr">
        <is>
          <t>PIGIER_LYO</t>
        </is>
      </c>
      <c r="B506" s="1" t="inlineStr">
        <is>
          <t>616</t>
        </is>
      </c>
      <c r="C506" s="1" t="inlineStr">
        <is>
          <t>2025</t>
        </is>
      </c>
      <c r="D506" s="1" t="inlineStr">
        <is>
          <t>2027BUD_V1</t>
        </is>
      </c>
      <c r="E506" s="1" t="inlineStr">
        <is>
          <t>12</t>
        </is>
      </c>
      <c r="F506" t="n">
        <v>12205</v>
      </c>
    </row>
    <row r="507">
      <c r="A507" s="1" t="inlineStr">
        <is>
          <t>PIGIER_BOR</t>
        </is>
      </c>
      <c r="B507" s="1" t="inlineStr">
        <is>
          <t>616</t>
        </is>
      </c>
      <c r="C507" s="1" t="inlineStr">
        <is>
          <t>2025</t>
        </is>
      </c>
      <c r="D507" s="1" t="inlineStr">
        <is>
          <t>2027BUD_V1</t>
        </is>
      </c>
      <c r="E507" s="1" t="inlineStr">
        <is>
          <t>12</t>
        </is>
      </c>
      <c r="F507" t="n">
        <v>8928</v>
      </c>
    </row>
    <row r="508">
      <c r="A508" s="1" t="inlineStr">
        <is>
          <t>TUNON_PAR</t>
        </is>
      </c>
      <c r="B508" s="1" t="inlineStr">
        <is>
          <t>616</t>
        </is>
      </c>
      <c r="C508" s="1" t="inlineStr">
        <is>
          <t>2025</t>
        </is>
      </c>
      <c r="D508" s="1" t="inlineStr">
        <is>
          <t>2027BUD_V1</t>
        </is>
      </c>
      <c r="E508" s="1" t="inlineStr">
        <is>
          <t>12</t>
        </is>
      </c>
      <c r="F508" t="n">
        <v>13386</v>
      </c>
    </row>
    <row r="509">
      <c r="A509" s="1" t="inlineStr">
        <is>
          <t>TUNON_LYO</t>
        </is>
      </c>
      <c r="B509" s="1" t="inlineStr">
        <is>
          <t>616</t>
        </is>
      </c>
      <c r="C509" s="1" t="inlineStr">
        <is>
          <t>2025</t>
        </is>
      </c>
      <c r="D509" s="1" t="inlineStr">
        <is>
          <t>2027BUD_V1</t>
        </is>
      </c>
      <c r="E509" s="1" t="inlineStr">
        <is>
          <t>12</t>
        </is>
      </c>
      <c r="F509" t="n">
        <v>7846</v>
      </c>
    </row>
    <row r="510">
      <c r="A510" s="1" t="inlineStr">
        <is>
          <t>MBWAY_PAR</t>
        </is>
      </c>
      <c r="B510" s="1" t="inlineStr">
        <is>
          <t>616</t>
        </is>
      </c>
      <c r="C510" s="1" t="inlineStr">
        <is>
          <t>2026</t>
        </is>
      </c>
      <c r="D510" s="1" t="inlineStr">
        <is>
          <t>2027BUD_V1</t>
        </is>
      </c>
      <c r="E510" s="1" t="inlineStr">
        <is>
          <t>12</t>
        </is>
      </c>
      <c r="F510" t="n">
        <v>38822</v>
      </c>
    </row>
    <row r="511">
      <c r="A511" s="1" t="inlineStr">
        <is>
          <t>MBWAY_LYO</t>
        </is>
      </c>
      <c r="B511" s="1" t="inlineStr">
        <is>
          <t>616</t>
        </is>
      </c>
      <c r="C511" s="1" t="inlineStr">
        <is>
          <t>2026</t>
        </is>
      </c>
      <c r="D511" s="1" t="inlineStr">
        <is>
          <t>2027BUD_V1</t>
        </is>
      </c>
      <c r="E511" s="1" t="inlineStr">
        <is>
          <t>12</t>
        </is>
      </c>
      <c r="F511" t="n">
        <v>22765</v>
      </c>
    </row>
    <row r="512">
      <c r="A512" s="1" t="inlineStr">
        <is>
          <t>MBWAY_NAN</t>
        </is>
      </c>
      <c r="B512" s="1" t="inlineStr">
        <is>
          <t>616</t>
        </is>
      </c>
      <c r="C512" s="1" t="inlineStr">
        <is>
          <t>2026</t>
        </is>
      </c>
      <c r="D512" s="1" t="inlineStr">
        <is>
          <t>2027BUD_V1</t>
        </is>
      </c>
      <c r="E512" s="1" t="inlineStr">
        <is>
          <t>12</t>
        </is>
      </c>
      <c r="F512" t="n">
        <v>18444</v>
      </c>
    </row>
    <row r="513">
      <c r="A513" s="1" t="inlineStr">
        <is>
          <t>MBWAY_BOR</t>
        </is>
      </c>
      <c r="B513" s="1" t="inlineStr">
        <is>
          <t>616</t>
        </is>
      </c>
      <c r="C513" s="1" t="inlineStr">
        <is>
          <t>2026</t>
        </is>
      </c>
      <c r="D513" s="1" t="inlineStr">
        <is>
          <t>2027BUD_V1</t>
        </is>
      </c>
      <c r="E513" s="1" t="inlineStr">
        <is>
          <t>12</t>
        </is>
      </c>
      <c r="F513" t="n">
        <v>16402</v>
      </c>
    </row>
    <row r="514">
      <c r="A514" s="1" t="inlineStr">
        <is>
          <t>ISCOM_PAR</t>
        </is>
      </c>
      <c r="B514" s="1" t="inlineStr">
        <is>
          <t>616</t>
        </is>
      </c>
      <c r="C514" s="1" t="inlineStr">
        <is>
          <t>2026</t>
        </is>
      </c>
      <c r="D514" s="1" t="inlineStr">
        <is>
          <t>2027BUD_V1</t>
        </is>
      </c>
      <c r="E514" s="1" t="inlineStr">
        <is>
          <t>12</t>
        </is>
      </c>
      <c r="F514" t="n">
        <v>35977</v>
      </c>
    </row>
    <row r="515">
      <c r="A515" s="1" t="inlineStr">
        <is>
          <t>ISCOM_LIL</t>
        </is>
      </c>
      <c r="B515" s="1" t="inlineStr">
        <is>
          <t>616</t>
        </is>
      </c>
      <c r="C515" s="1" t="inlineStr">
        <is>
          <t>2026</t>
        </is>
      </c>
      <c r="D515" s="1" t="inlineStr">
        <is>
          <t>2027BUD_V1</t>
        </is>
      </c>
      <c r="E515" s="1" t="inlineStr">
        <is>
          <t>12</t>
        </is>
      </c>
      <c r="F515" t="n">
        <v>14083</v>
      </c>
    </row>
    <row r="516">
      <c r="A516" s="1" t="inlineStr">
        <is>
          <t>ISCOM_TLS</t>
        </is>
      </c>
      <c r="B516" s="1" t="inlineStr">
        <is>
          <t>616</t>
        </is>
      </c>
      <c r="C516" s="1" t="inlineStr">
        <is>
          <t>2026</t>
        </is>
      </c>
      <c r="D516" s="1" t="inlineStr">
        <is>
          <t>2027BUD_V1</t>
        </is>
      </c>
      <c r="E516" s="1" t="inlineStr">
        <is>
          <t>12</t>
        </is>
      </c>
      <c r="F516" t="n">
        <v>13042</v>
      </c>
    </row>
    <row r="517">
      <c r="A517" s="1" t="inlineStr">
        <is>
          <t>IPAC_NAN</t>
        </is>
      </c>
      <c r="B517" s="1" t="inlineStr">
        <is>
          <t>616</t>
        </is>
      </c>
      <c r="C517" s="1" t="inlineStr">
        <is>
          <t>2026</t>
        </is>
      </c>
      <c r="D517" s="1" t="inlineStr">
        <is>
          <t>2027BUD_V1</t>
        </is>
      </c>
      <c r="E517" s="1" t="inlineStr">
        <is>
          <t>12</t>
        </is>
      </c>
      <c r="F517" t="n">
        <v>9096</v>
      </c>
    </row>
    <row r="518">
      <c r="A518" s="1" t="inlineStr">
        <is>
          <t>IPAC_REN</t>
        </is>
      </c>
      <c r="B518" s="1" t="inlineStr">
        <is>
          <t>616</t>
        </is>
      </c>
      <c r="C518" s="1" t="inlineStr">
        <is>
          <t>2026</t>
        </is>
      </c>
      <c r="D518" s="1" t="inlineStr">
        <is>
          <t>2027BUD_V1</t>
        </is>
      </c>
      <c r="E518" s="1" t="inlineStr">
        <is>
          <t>12</t>
        </is>
      </c>
      <c r="F518" t="n">
        <v>6459</v>
      </c>
    </row>
    <row r="519">
      <c r="A519" s="1" t="inlineStr">
        <is>
          <t>IPAC_MTP</t>
        </is>
      </c>
      <c r="B519" s="1" t="inlineStr">
        <is>
          <t>616</t>
        </is>
      </c>
      <c r="C519" s="1" t="inlineStr">
        <is>
          <t>2026</t>
        </is>
      </c>
      <c r="D519" s="1" t="inlineStr">
        <is>
          <t>2027BUD_V1</t>
        </is>
      </c>
      <c r="E519" s="1" t="inlineStr">
        <is>
          <t>12</t>
        </is>
      </c>
      <c r="F519" t="n">
        <v>6459</v>
      </c>
    </row>
    <row r="520">
      <c r="A520" s="1" t="inlineStr">
        <is>
          <t>PIGIER_LYO</t>
        </is>
      </c>
      <c r="B520" s="1" t="inlineStr">
        <is>
          <t>616</t>
        </is>
      </c>
      <c r="C520" s="1" t="inlineStr">
        <is>
          <t>2026</t>
        </is>
      </c>
      <c r="D520" s="1" t="inlineStr">
        <is>
          <t>2027BUD_V1</t>
        </is>
      </c>
      <c r="E520" s="1" t="inlineStr">
        <is>
          <t>12</t>
        </is>
      </c>
      <c r="F520" t="n">
        <v>12788</v>
      </c>
    </row>
    <row r="521">
      <c r="A521" s="1" t="inlineStr">
        <is>
          <t>PIGIER_BOR</t>
        </is>
      </c>
      <c r="B521" s="1" t="inlineStr">
        <is>
          <t>616</t>
        </is>
      </c>
      <c r="C521" s="1" t="inlineStr">
        <is>
          <t>2026</t>
        </is>
      </c>
      <c r="D521" s="1" t="inlineStr">
        <is>
          <t>2027BUD_V1</t>
        </is>
      </c>
      <c r="E521" s="1" t="inlineStr">
        <is>
          <t>12</t>
        </is>
      </c>
      <c r="F521" t="n">
        <v>9354</v>
      </c>
    </row>
    <row r="522">
      <c r="A522" s="1" t="inlineStr">
        <is>
          <t>TUNON_PAR</t>
        </is>
      </c>
      <c r="B522" s="1" t="inlineStr">
        <is>
          <t>616</t>
        </is>
      </c>
      <c r="C522" s="1" t="inlineStr">
        <is>
          <t>2026</t>
        </is>
      </c>
      <c r="D522" s="1" t="inlineStr">
        <is>
          <t>2027BUD_V1</t>
        </is>
      </c>
      <c r="E522" s="1" t="inlineStr">
        <is>
          <t>12</t>
        </is>
      </c>
      <c r="F522" t="n">
        <v>14025</v>
      </c>
    </row>
    <row r="523">
      <c r="A523" s="1" t="inlineStr">
        <is>
          <t>TUNON_LYO</t>
        </is>
      </c>
      <c r="B523" s="1" t="inlineStr">
        <is>
          <t>616</t>
        </is>
      </c>
      <c r="C523" s="1" t="inlineStr">
        <is>
          <t>2026</t>
        </is>
      </c>
      <c r="D523" s="1" t="inlineStr">
        <is>
          <t>2027BUD_V1</t>
        </is>
      </c>
      <c r="E523" s="1" t="inlineStr">
        <is>
          <t>12</t>
        </is>
      </c>
      <c r="F523" t="n">
        <v>8221</v>
      </c>
    </row>
    <row r="524">
      <c r="A524" s="1" t="inlineStr">
        <is>
          <t>GRP</t>
        </is>
      </c>
      <c r="B524" s="1" t="inlineStr">
        <is>
          <t>6226</t>
        </is>
      </c>
      <c r="C524" s="1" t="inlineStr">
        <is>
          <t>2024</t>
        </is>
      </c>
      <c r="D524" s="1" t="inlineStr">
        <is>
          <t>2027BUD_V1</t>
        </is>
      </c>
      <c r="E524" s="1" t="inlineStr">
        <is>
          <t>12</t>
        </is>
      </c>
      <c r="F524" t="n">
        <v>515487</v>
      </c>
    </row>
    <row r="525">
      <c r="A525" s="1" t="inlineStr">
        <is>
          <t>GRP</t>
        </is>
      </c>
      <c r="B525" s="1" t="inlineStr">
        <is>
          <t>6226</t>
        </is>
      </c>
      <c r="C525" s="1" t="inlineStr">
        <is>
          <t>2025</t>
        </is>
      </c>
      <c r="D525" s="1" t="inlineStr">
        <is>
          <t>2027BUD_V1</t>
        </is>
      </c>
      <c r="E525" s="1" t="inlineStr">
        <is>
          <t>12</t>
        </is>
      </c>
      <c r="F525" t="n">
        <v>539108</v>
      </c>
    </row>
    <row r="526">
      <c r="A526" s="1" t="inlineStr">
        <is>
          <t>GRP</t>
        </is>
      </c>
      <c r="B526" s="1" t="inlineStr">
        <is>
          <t>6226</t>
        </is>
      </c>
      <c r="C526" s="1" t="inlineStr">
        <is>
          <t>2026</t>
        </is>
      </c>
      <c r="D526" s="1" t="inlineStr">
        <is>
          <t>2027BUD_V1</t>
        </is>
      </c>
      <c r="E526" s="1" t="inlineStr">
        <is>
          <t>12</t>
        </is>
      </c>
      <c r="F526" t="n">
        <v>564841</v>
      </c>
    </row>
    <row r="527">
      <c r="A527" s="1" t="inlineStr">
        <is>
          <t>GRP</t>
        </is>
      </c>
      <c r="B527" s="1" t="inlineStr">
        <is>
          <t>6236</t>
        </is>
      </c>
      <c r="C527" s="1" t="inlineStr">
        <is>
          <t>2024</t>
        </is>
      </c>
      <c r="D527" s="1" t="inlineStr">
        <is>
          <t>2027BUD_V1</t>
        </is>
      </c>
      <c r="E527" s="1" t="inlineStr">
        <is>
          <t>12</t>
        </is>
      </c>
      <c r="F527" t="n">
        <v>499926</v>
      </c>
    </row>
    <row r="528">
      <c r="A528" s="1" t="inlineStr">
        <is>
          <t>GRP</t>
        </is>
      </c>
      <c r="B528" s="1" t="inlineStr">
        <is>
          <t>6236</t>
        </is>
      </c>
      <c r="C528" s="1" t="inlineStr">
        <is>
          <t>2025</t>
        </is>
      </c>
      <c r="D528" s="1" t="inlineStr">
        <is>
          <t>2027BUD_V1</t>
        </is>
      </c>
      <c r="E528" s="1" t="inlineStr">
        <is>
          <t>12</t>
        </is>
      </c>
      <c r="F528" t="n">
        <v>580167</v>
      </c>
    </row>
    <row r="529">
      <c r="A529" s="1" t="inlineStr">
        <is>
          <t>GRP</t>
        </is>
      </c>
      <c r="B529" s="1" t="inlineStr">
        <is>
          <t>6236</t>
        </is>
      </c>
      <c r="C529" s="1" t="inlineStr">
        <is>
          <t>2026</t>
        </is>
      </c>
      <c r="D529" s="1" t="inlineStr">
        <is>
          <t>2027BUD_V1</t>
        </is>
      </c>
      <c r="E529" s="1" t="inlineStr">
        <is>
          <t>12</t>
        </is>
      </c>
      <c r="F529" t="n">
        <v>676344</v>
      </c>
    </row>
    <row r="530">
      <c r="A530" s="1" t="inlineStr">
        <is>
          <t>MBWAY_PAR</t>
        </is>
      </c>
      <c r="B530" s="1" t="inlineStr">
        <is>
          <t>625</t>
        </is>
      </c>
      <c r="C530" s="1" t="inlineStr">
        <is>
          <t>2024</t>
        </is>
      </c>
      <c r="D530" s="1" t="inlineStr">
        <is>
          <t>2027BUD_V1</t>
        </is>
      </c>
      <c r="E530" s="1" t="inlineStr">
        <is>
          <t>12</t>
        </is>
      </c>
      <c r="F530" t="n">
        <v>53145</v>
      </c>
    </row>
    <row r="531">
      <c r="A531" s="1" t="inlineStr">
        <is>
          <t>MBWAY_LYO</t>
        </is>
      </c>
      <c r="B531" s="1" t="inlineStr">
        <is>
          <t>625</t>
        </is>
      </c>
      <c r="C531" s="1" t="inlineStr">
        <is>
          <t>2024</t>
        </is>
      </c>
      <c r="D531" s="1" t="inlineStr">
        <is>
          <t>2027BUD_V1</t>
        </is>
      </c>
      <c r="E531" s="1" t="inlineStr">
        <is>
          <t>12</t>
        </is>
      </c>
      <c r="F531" t="n">
        <v>31164</v>
      </c>
    </row>
    <row r="532">
      <c r="A532" s="1" t="inlineStr">
        <is>
          <t>MBWAY_NAN</t>
        </is>
      </c>
      <c r="B532" s="1" t="inlineStr">
        <is>
          <t>625</t>
        </is>
      </c>
      <c r="C532" s="1" t="inlineStr">
        <is>
          <t>2024</t>
        </is>
      </c>
      <c r="D532" s="1" t="inlineStr">
        <is>
          <t>2027BUD_V1</t>
        </is>
      </c>
      <c r="E532" s="1" t="inlineStr">
        <is>
          <t>12</t>
        </is>
      </c>
      <c r="F532" t="n">
        <v>25248</v>
      </c>
    </row>
    <row r="533">
      <c r="A533" s="1" t="inlineStr">
        <is>
          <t>MBWAY_BOR</t>
        </is>
      </c>
      <c r="B533" s="1" t="inlineStr">
        <is>
          <t>625</t>
        </is>
      </c>
      <c r="C533" s="1" t="inlineStr">
        <is>
          <t>2024</t>
        </is>
      </c>
      <c r="D533" s="1" t="inlineStr">
        <is>
          <t>2027BUD_V1</t>
        </is>
      </c>
      <c r="E533" s="1" t="inlineStr">
        <is>
          <t>12</t>
        </is>
      </c>
      <c r="F533" t="n">
        <v>22453</v>
      </c>
    </row>
    <row r="534">
      <c r="A534" s="1" t="inlineStr">
        <is>
          <t>ISCOM_PAR</t>
        </is>
      </c>
      <c r="B534" s="1" t="inlineStr">
        <is>
          <t>625</t>
        </is>
      </c>
      <c r="C534" s="1" t="inlineStr">
        <is>
          <t>2024</t>
        </is>
      </c>
      <c r="D534" s="1" t="inlineStr">
        <is>
          <t>2027BUD_V1</t>
        </is>
      </c>
      <c r="E534" s="1" t="inlineStr">
        <is>
          <t>12</t>
        </is>
      </c>
      <c r="F534" t="n">
        <v>49250</v>
      </c>
    </row>
    <row r="535">
      <c r="A535" s="1" t="inlineStr">
        <is>
          <t>ISCOM_LIL</t>
        </is>
      </c>
      <c r="B535" s="1" t="inlineStr">
        <is>
          <t>625</t>
        </is>
      </c>
      <c r="C535" s="1" t="inlineStr">
        <is>
          <t>2024</t>
        </is>
      </c>
      <c r="D535" s="1" t="inlineStr">
        <is>
          <t>2027BUD_V1</t>
        </is>
      </c>
      <c r="E535" s="1" t="inlineStr">
        <is>
          <t>12</t>
        </is>
      </c>
      <c r="F535" t="n">
        <v>19278</v>
      </c>
    </row>
    <row r="536">
      <c r="A536" s="1" t="inlineStr">
        <is>
          <t>ISCOM_TLS</t>
        </is>
      </c>
      <c r="B536" s="1" t="inlineStr">
        <is>
          <t>625</t>
        </is>
      </c>
      <c r="C536" s="1" t="inlineStr">
        <is>
          <t>2024</t>
        </is>
      </c>
      <c r="D536" s="1" t="inlineStr">
        <is>
          <t>2027BUD_V1</t>
        </is>
      </c>
      <c r="E536" s="1" t="inlineStr">
        <is>
          <t>12</t>
        </is>
      </c>
      <c r="F536" t="n">
        <v>17854</v>
      </c>
    </row>
    <row r="537">
      <c r="A537" s="1" t="inlineStr">
        <is>
          <t>IPAC_NAN</t>
        </is>
      </c>
      <c r="B537" s="1" t="inlineStr">
        <is>
          <t>625</t>
        </is>
      </c>
      <c r="C537" s="1" t="inlineStr">
        <is>
          <t>2024</t>
        </is>
      </c>
      <c r="D537" s="1" t="inlineStr">
        <is>
          <t>2027BUD_V1</t>
        </is>
      </c>
      <c r="E537" s="1" t="inlineStr">
        <is>
          <t>12</t>
        </is>
      </c>
      <c r="F537" t="n">
        <v>12452</v>
      </c>
    </row>
    <row r="538">
      <c r="A538" s="1" t="inlineStr">
        <is>
          <t>IPAC_REN</t>
        </is>
      </c>
      <c r="B538" s="1" t="inlineStr">
        <is>
          <t>625</t>
        </is>
      </c>
      <c r="C538" s="1" t="inlineStr">
        <is>
          <t>2024</t>
        </is>
      </c>
      <c r="D538" s="1" t="inlineStr">
        <is>
          <t>2027BUD_V1</t>
        </is>
      </c>
      <c r="E538" s="1" t="inlineStr">
        <is>
          <t>12</t>
        </is>
      </c>
      <c r="F538" t="n">
        <v>8842</v>
      </c>
    </row>
    <row r="539">
      <c r="A539" s="1" t="inlineStr">
        <is>
          <t>IPAC_MTP</t>
        </is>
      </c>
      <c r="B539" s="1" t="inlineStr">
        <is>
          <t>625</t>
        </is>
      </c>
      <c r="C539" s="1" t="inlineStr">
        <is>
          <t>2024</t>
        </is>
      </c>
      <c r="D539" s="1" t="inlineStr">
        <is>
          <t>2027BUD_V1</t>
        </is>
      </c>
      <c r="E539" s="1" t="inlineStr">
        <is>
          <t>12</t>
        </is>
      </c>
      <c r="F539" t="n">
        <v>8842</v>
      </c>
    </row>
    <row r="540">
      <c r="A540" s="1" t="inlineStr">
        <is>
          <t>PIGIER_LYO</t>
        </is>
      </c>
      <c r="B540" s="1" t="inlineStr">
        <is>
          <t>625</t>
        </is>
      </c>
      <c r="C540" s="1" t="inlineStr">
        <is>
          <t>2024</t>
        </is>
      </c>
      <c r="D540" s="1" t="inlineStr">
        <is>
          <t>2027BUD_V1</t>
        </is>
      </c>
      <c r="E540" s="1" t="inlineStr">
        <is>
          <t>12</t>
        </is>
      </c>
      <c r="F540" t="n">
        <v>17506</v>
      </c>
    </row>
    <row r="541">
      <c r="A541" s="1" t="inlineStr">
        <is>
          <t>PIGIER_BOR</t>
        </is>
      </c>
      <c r="B541" s="1" t="inlineStr">
        <is>
          <t>625</t>
        </is>
      </c>
      <c r="C541" s="1" t="inlineStr">
        <is>
          <t>2024</t>
        </is>
      </c>
      <c r="D541" s="1" t="inlineStr">
        <is>
          <t>2027BUD_V1</t>
        </is>
      </c>
      <c r="E541" s="1" t="inlineStr">
        <is>
          <t>12</t>
        </is>
      </c>
      <c r="F541" t="n">
        <v>12805</v>
      </c>
    </row>
    <row r="542">
      <c r="A542" s="1" t="inlineStr">
        <is>
          <t>TUNON_PAR</t>
        </is>
      </c>
      <c r="B542" s="1" t="inlineStr">
        <is>
          <t>625</t>
        </is>
      </c>
      <c r="C542" s="1" t="inlineStr">
        <is>
          <t>2024</t>
        </is>
      </c>
      <c r="D542" s="1" t="inlineStr">
        <is>
          <t>2027BUD_V1</t>
        </is>
      </c>
      <c r="E542" s="1" t="inlineStr">
        <is>
          <t>12</t>
        </is>
      </c>
      <c r="F542" t="n">
        <v>19199</v>
      </c>
    </row>
    <row r="543">
      <c r="A543" s="1" t="inlineStr">
        <is>
          <t>TUNON_LYO</t>
        </is>
      </c>
      <c r="B543" s="1" t="inlineStr">
        <is>
          <t>625</t>
        </is>
      </c>
      <c r="C543" s="1" t="inlineStr">
        <is>
          <t>2024</t>
        </is>
      </c>
      <c r="D543" s="1" t="inlineStr">
        <is>
          <t>2027BUD_V1</t>
        </is>
      </c>
      <c r="E543" s="1" t="inlineStr">
        <is>
          <t>12</t>
        </is>
      </c>
      <c r="F543" t="n">
        <v>11254</v>
      </c>
    </row>
    <row r="544">
      <c r="A544" s="1" t="inlineStr">
        <is>
          <t>MBWAY_PAR</t>
        </is>
      </c>
      <c r="B544" s="1" t="inlineStr">
        <is>
          <t>625</t>
        </is>
      </c>
      <c r="C544" s="1" t="inlineStr">
        <is>
          <t>2025</t>
        </is>
      </c>
      <c r="D544" s="1" t="inlineStr">
        <is>
          <t>2027BUD_V1</t>
        </is>
      </c>
      <c r="E544" s="1" t="inlineStr">
        <is>
          <t>12</t>
        </is>
      </c>
      <c r="F544" t="n">
        <v>55581</v>
      </c>
    </row>
    <row r="545">
      <c r="A545" s="1" t="inlineStr">
        <is>
          <t>MBWAY_LYO</t>
        </is>
      </c>
      <c r="B545" s="1" t="inlineStr">
        <is>
          <t>625</t>
        </is>
      </c>
      <c r="C545" s="1" t="inlineStr">
        <is>
          <t>2025</t>
        </is>
      </c>
      <c r="D545" s="1" t="inlineStr">
        <is>
          <t>2027BUD_V1</t>
        </is>
      </c>
      <c r="E545" s="1" t="inlineStr">
        <is>
          <t>12</t>
        </is>
      </c>
      <c r="F545" t="n">
        <v>32592</v>
      </c>
    </row>
    <row r="546">
      <c r="A546" s="1" t="inlineStr">
        <is>
          <t>MBWAY_NAN</t>
        </is>
      </c>
      <c r="B546" s="1" t="inlineStr">
        <is>
          <t>625</t>
        </is>
      </c>
      <c r="C546" s="1" t="inlineStr">
        <is>
          <t>2025</t>
        </is>
      </c>
      <c r="D546" s="1" t="inlineStr">
        <is>
          <t>2027BUD_V1</t>
        </is>
      </c>
      <c r="E546" s="1" t="inlineStr">
        <is>
          <t>12</t>
        </is>
      </c>
      <c r="F546" t="n">
        <v>26405</v>
      </c>
    </row>
    <row r="547">
      <c r="A547" s="1" t="inlineStr">
        <is>
          <t>MBWAY_BOR</t>
        </is>
      </c>
      <c r="B547" s="1" t="inlineStr">
        <is>
          <t>625</t>
        </is>
      </c>
      <c r="C547" s="1" t="inlineStr">
        <is>
          <t>2025</t>
        </is>
      </c>
      <c r="D547" s="1" t="inlineStr">
        <is>
          <t>2027BUD_V1</t>
        </is>
      </c>
      <c r="E547" s="1" t="inlineStr">
        <is>
          <t>12</t>
        </is>
      </c>
      <c r="F547" t="n">
        <v>23482</v>
      </c>
    </row>
    <row r="548">
      <c r="A548" s="1" t="inlineStr">
        <is>
          <t>ISCOM_PAR</t>
        </is>
      </c>
      <c r="B548" s="1" t="inlineStr">
        <is>
          <t>625</t>
        </is>
      </c>
      <c r="C548" s="1" t="inlineStr">
        <is>
          <t>2025</t>
        </is>
      </c>
      <c r="D548" s="1" t="inlineStr">
        <is>
          <t>2027BUD_V1</t>
        </is>
      </c>
      <c r="E548" s="1" t="inlineStr">
        <is>
          <t>12</t>
        </is>
      </c>
      <c r="F548" t="n">
        <v>51507</v>
      </c>
    </row>
    <row r="549">
      <c r="A549" s="1" t="inlineStr">
        <is>
          <t>ISCOM_LIL</t>
        </is>
      </c>
      <c r="B549" s="1" t="inlineStr">
        <is>
          <t>625</t>
        </is>
      </c>
      <c r="C549" s="1" t="inlineStr">
        <is>
          <t>2025</t>
        </is>
      </c>
      <c r="D549" s="1" t="inlineStr">
        <is>
          <t>2027BUD_V1</t>
        </is>
      </c>
      <c r="E549" s="1" t="inlineStr">
        <is>
          <t>12</t>
        </is>
      </c>
      <c r="F549" t="n">
        <v>20161</v>
      </c>
    </row>
    <row r="550">
      <c r="A550" s="1" t="inlineStr">
        <is>
          <t>ISCOM_TLS</t>
        </is>
      </c>
      <c r="B550" s="1" t="inlineStr">
        <is>
          <t>625</t>
        </is>
      </c>
      <c r="C550" s="1" t="inlineStr">
        <is>
          <t>2025</t>
        </is>
      </c>
      <c r="D550" s="1" t="inlineStr">
        <is>
          <t>2027BUD_V1</t>
        </is>
      </c>
      <c r="E550" s="1" t="inlineStr">
        <is>
          <t>12</t>
        </is>
      </c>
      <c r="F550" t="n">
        <v>18672</v>
      </c>
    </row>
    <row r="551">
      <c r="A551" s="1" t="inlineStr">
        <is>
          <t>IPAC_NAN</t>
        </is>
      </c>
      <c r="B551" s="1" t="inlineStr">
        <is>
          <t>625</t>
        </is>
      </c>
      <c r="C551" s="1" t="inlineStr">
        <is>
          <t>2025</t>
        </is>
      </c>
      <c r="D551" s="1" t="inlineStr">
        <is>
          <t>2027BUD_V1</t>
        </is>
      </c>
      <c r="E551" s="1" t="inlineStr">
        <is>
          <t>12</t>
        </is>
      </c>
      <c r="F551" t="n">
        <v>13023</v>
      </c>
    </row>
    <row r="552">
      <c r="A552" s="1" t="inlineStr">
        <is>
          <t>IPAC_REN</t>
        </is>
      </c>
      <c r="B552" s="1" t="inlineStr">
        <is>
          <t>625</t>
        </is>
      </c>
      <c r="C552" s="1" t="inlineStr">
        <is>
          <t>2025</t>
        </is>
      </c>
      <c r="D552" s="1" t="inlineStr">
        <is>
          <t>2027BUD_V1</t>
        </is>
      </c>
      <c r="E552" s="1" t="inlineStr">
        <is>
          <t>12</t>
        </is>
      </c>
      <c r="F552" t="n">
        <v>9247</v>
      </c>
    </row>
    <row r="553">
      <c r="A553" s="1" t="inlineStr">
        <is>
          <t>IPAC_MTP</t>
        </is>
      </c>
      <c r="B553" s="1" t="inlineStr">
        <is>
          <t>625</t>
        </is>
      </c>
      <c r="C553" s="1" t="inlineStr">
        <is>
          <t>2025</t>
        </is>
      </c>
      <c r="D553" s="1" t="inlineStr">
        <is>
          <t>2027BUD_V1</t>
        </is>
      </c>
      <c r="E553" s="1" t="inlineStr">
        <is>
          <t>12</t>
        </is>
      </c>
      <c r="F553" t="n">
        <v>9247</v>
      </c>
    </row>
    <row r="554">
      <c r="A554" s="1" t="inlineStr">
        <is>
          <t>PIGIER_LYO</t>
        </is>
      </c>
      <c r="B554" s="1" t="inlineStr">
        <is>
          <t>625</t>
        </is>
      </c>
      <c r="C554" s="1" t="inlineStr">
        <is>
          <t>2025</t>
        </is>
      </c>
      <c r="D554" s="1" t="inlineStr">
        <is>
          <t>2027BUD_V1</t>
        </is>
      </c>
      <c r="E554" s="1" t="inlineStr">
        <is>
          <t>12</t>
        </is>
      </c>
      <c r="F554" t="n">
        <v>18308</v>
      </c>
    </row>
    <row r="555">
      <c r="A555" s="1" t="inlineStr">
        <is>
          <t>PIGIER_BOR</t>
        </is>
      </c>
      <c r="B555" s="1" t="inlineStr">
        <is>
          <t>625</t>
        </is>
      </c>
      <c r="C555" s="1" t="inlineStr">
        <is>
          <t>2025</t>
        </is>
      </c>
      <c r="D555" s="1" t="inlineStr">
        <is>
          <t>2027BUD_V1</t>
        </is>
      </c>
      <c r="E555" s="1" t="inlineStr">
        <is>
          <t>12</t>
        </is>
      </c>
      <c r="F555" t="n">
        <v>13391</v>
      </c>
    </row>
    <row r="556">
      <c r="A556" s="1" t="inlineStr">
        <is>
          <t>TUNON_PAR</t>
        </is>
      </c>
      <c r="B556" s="1" t="inlineStr">
        <is>
          <t>625</t>
        </is>
      </c>
      <c r="C556" s="1" t="inlineStr">
        <is>
          <t>2025</t>
        </is>
      </c>
      <c r="D556" s="1" t="inlineStr">
        <is>
          <t>2027BUD_V1</t>
        </is>
      </c>
      <c r="E556" s="1" t="inlineStr">
        <is>
          <t>12</t>
        </is>
      </c>
      <c r="F556" t="n">
        <v>20079</v>
      </c>
    </row>
    <row r="557">
      <c r="A557" s="1" t="inlineStr">
        <is>
          <t>TUNON_LYO</t>
        </is>
      </c>
      <c r="B557" s="1" t="inlineStr">
        <is>
          <t>625</t>
        </is>
      </c>
      <c r="C557" s="1" t="inlineStr">
        <is>
          <t>2025</t>
        </is>
      </c>
      <c r="D557" s="1" t="inlineStr">
        <is>
          <t>2027BUD_V1</t>
        </is>
      </c>
      <c r="E557" s="1" t="inlineStr">
        <is>
          <t>12</t>
        </is>
      </c>
      <c r="F557" t="n">
        <v>11769</v>
      </c>
    </row>
    <row r="558">
      <c r="A558" s="1" t="inlineStr">
        <is>
          <t>MBWAY_PAR</t>
        </is>
      </c>
      <c r="B558" s="1" t="inlineStr">
        <is>
          <t>625</t>
        </is>
      </c>
      <c r="C558" s="1" t="inlineStr">
        <is>
          <t>2026</t>
        </is>
      </c>
      <c r="D558" s="1" t="inlineStr">
        <is>
          <t>2027BUD_V1</t>
        </is>
      </c>
      <c r="E558" s="1" t="inlineStr">
        <is>
          <t>12</t>
        </is>
      </c>
      <c r="F558" t="n">
        <v>58234</v>
      </c>
    </row>
    <row r="559">
      <c r="A559" s="1" t="inlineStr">
        <is>
          <t>MBWAY_LYO</t>
        </is>
      </c>
      <c r="B559" s="1" t="inlineStr">
        <is>
          <t>625</t>
        </is>
      </c>
      <c r="C559" s="1" t="inlineStr">
        <is>
          <t>2026</t>
        </is>
      </c>
      <c r="D559" s="1" t="inlineStr">
        <is>
          <t>2027BUD_V1</t>
        </is>
      </c>
      <c r="E559" s="1" t="inlineStr">
        <is>
          <t>12</t>
        </is>
      </c>
      <c r="F559" t="n">
        <v>34147</v>
      </c>
    </row>
    <row r="560">
      <c r="A560" s="1" t="inlineStr">
        <is>
          <t>MBWAY_NAN</t>
        </is>
      </c>
      <c r="B560" s="1" t="inlineStr">
        <is>
          <t>625</t>
        </is>
      </c>
      <c r="C560" s="1" t="inlineStr">
        <is>
          <t>2026</t>
        </is>
      </c>
      <c r="D560" s="1" t="inlineStr">
        <is>
          <t>2027BUD_V1</t>
        </is>
      </c>
      <c r="E560" s="1" t="inlineStr">
        <is>
          <t>12</t>
        </is>
      </c>
      <c r="F560" t="n">
        <v>27666</v>
      </c>
    </row>
    <row r="561">
      <c r="A561" s="1" t="inlineStr">
        <is>
          <t>MBWAY_BOR</t>
        </is>
      </c>
      <c r="B561" s="1" t="inlineStr">
        <is>
          <t>625</t>
        </is>
      </c>
      <c r="C561" s="1" t="inlineStr">
        <is>
          <t>2026</t>
        </is>
      </c>
      <c r="D561" s="1" t="inlineStr">
        <is>
          <t>2027BUD_V1</t>
        </is>
      </c>
      <c r="E561" s="1" t="inlineStr">
        <is>
          <t>12</t>
        </is>
      </c>
      <c r="F561" t="n">
        <v>24603</v>
      </c>
    </row>
    <row r="562">
      <c r="A562" s="1" t="inlineStr">
        <is>
          <t>ISCOM_PAR</t>
        </is>
      </c>
      <c r="B562" s="1" t="inlineStr">
        <is>
          <t>625</t>
        </is>
      </c>
      <c r="C562" s="1" t="inlineStr">
        <is>
          <t>2026</t>
        </is>
      </c>
      <c r="D562" s="1" t="inlineStr">
        <is>
          <t>2027BUD_V1</t>
        </is>
      </c>
      <c r="E562" s="1" t="inlineStr">
        <is>
          <t>12</t>
        </is>
      </c>
      <c r="F562" t="n">
        <v>53965</v>
      </c>
    </row>
    <row r="563">
      <c r="A563" s="1" t="inlineStr">
        <is>
          <t>ISCOM_LIL</t>
        </is>
      </c>
      <c r="B563" s="1" t="inlineStr">
        <is>
          <t>625</t>
        </is>
      </c>
      <c r="C563" s="1" t="inlineStr">
        <is>
          <t>2026</t>
        </is>
      </c>
      <c r="D563" s="1" t="inlineStr">
        <is>
          <t>2027BUD_V1</t>
        </is>
      </c>
      <c r="E563" s="1" t="inlineStr">
        <is>
          <t>12</t>
        </is>
      </c>
      <c r="F563" t="n">
        <v>21124</v>
      </c>
    </row>
    <row r="564">
      <c r="A564" s="1" t="inlineStr">
        <is>
          <t>ISCOM_TLS</t>
        </is>
      </c>
      <c r="B564" s="1" t="inlineStr">
        <is>
          <t>625</t>
        </is>
      </c>
      <c r="C564" s="1" t="inlineStr">
        <is>
          <t>2026</t>
        </is>
      </c>
      <c r="D564" s="1" t="inlineStr">
        <is>
          <t>2027BUD_V1</t>
        </is>
      </c>
      <c r="E564" s="1" t="inlineStr">
        <is>
          <t>12</t>
        </is>
      </c>
      <c r="F564" t="n">
        <v>19564</v>
      </c>
    </row>
    <row r="565">
      <c r="A565" s="1" t="inlineStr">
        <is>
          <t>IPAC_NAN</t>
        </is>
      </c>
      <c r="B565" s="1" t="inlineStr">
        <is>
          <t>625</t>
        </is>
      </c>
      <c r="C565" s="1" t="inlineStr">
        <is>
          <t>2026</t>
        </is>
      </c>
      <c r="D565" s="1" t="inlineStr">
        <is>
          <t>2027BUD_V1</t>
        </is>
      </c>
      <c r="E565" s="1" t="inlineStr">
        <is>
          <t>12</t>
        </is>
      </c>
      <c r="F565" t="n">
        <v>13645</v>
      </c>
    </row>
    <row r="566">
      <c r="A566" s="1" t="inlineStr">
        <is>
          <t>IPAC_REN</t>
        </is>
      </c>
      <c r="B566" s="1" t="inlineStr">
        <is>
          <t>625</t>
        </is>
      </c>
      <c r="C566" s="1" t="inlineStr">
        <is>
          <t>2026</t>
        </is>
      </c>
      <c r="D566" s="1" t="inlineStr">
        <is>
          <t>2027BUD_V1</t>
        </is>
      </c>
      <c r="E566" s="1" t="inlineStr">
        <is>
          <t>12</t>
        </is>
      </c>
      <c r="F566" t="n">
        <v>9689</v>
      </c>
    </row>
    <row r="567">
      <c r="A567" s="1" t="inlineStr">
        <is>
          <t>IPAC_MTP</t>
        </is>
      </c>
      <c r="B567" s="1" t="inlineStr">
        <is>
          <t>625</t>
        </is>
      </c>
      <c r="C567" s="1" t="inlineStr">
        <is>
          <t>2026</t>
        </is>
      </c>
      <c r="D567" s="1" t="inlineStr">
        <is>
          <t>2027BUD_V1</t>
        </is>
      </c>
      <c r="E567" s="1" t="inlineStr">
        <is>
          <t>12</t>
        </is>
      </c>
      <c r="F567" t="n">
        <v>9689</v>
      </c>
    </row>
    <row r="568">
      <c r="A568" s="1" t="inlineStr">
        <is>
          <t>PIGIER_LYO</t>
        </is>
      </c>
      <c r="B568" s="1" t="inlineStr">
        <is>
          <t>625</t>
        </is>
      </c>
      <c r="C568" s="1" t="inlineStr">
        <is>
          <t>2026</t>
        </is>
      </c>
      <c r="D568" s="1" t="inlineStr">
        <is>
          <t>2027BUD_V1</t>
        </is>
      </c>
      <c r="E568" s="1" t="inlineStr">
        <is>
          <t>12</t>
        </is>
      </c>
      <c r="F568" t="n">
        <v>19182</v>
      </c>
    </row>
    <row r="569">
      <c r="A569" s="1" t="inlineStr">
        <is>
          <t>PIGIER_BOR</t>
        </is>
      </c>
      <c r="B569" s="1" t="inlineStr">
        <is>
          <t>625</t>
        </is>
      </c>
      <c r="C569" s="1" t="inlineStr">
        <is>
          <t>2026</t>
        </is>
      </c>
      <c r="D569" s="1" t="inlineStr">
        <is>
          <t>2027BUD_V1</t>
        </is>
      </c>
      <c r="E569" s="1" t="inlineStr">
        <is>
          <t>12</t>
        </is>
      </c>
      <c r="F569" t="n">
        <v>14030</v>
      </c>
    </row>
    <row r="570">
      <c r="A570" s="1" t="inlineStr">
        <is>
          <t>TUNON_PAR</t>
        </is>
      </c>
      <c r="B570" s="1" t="inlineStr">
        <is>
          <t>625</t>
        </is>
      </c>
      <c r="C570" s="1" t="inlineStr">
        <is>
          <t>2026</t>
        </is>
      </c>
      <c r="D570" s="1" t="inlineStr">
        <is>
          <t>2027BUD_V1</t>
        </is>
      </c>
      <c r="E570" s="1" t="inlineStr">
        <is>
          <t>12</t>
        </is>
      </c>
      <c r="F570" t="n">
        <v>21037</v>
      </c>
    </row>
    <row r="571">
      <c r="A571" s="1" t="inlineStr">
        <is>
          <t>TUNON_LYO</t>
        </is>
      </c>
      <c r="B571" s="1" t="inlineStr">
        <is>
          <t>625</t>
        </is>
      </c>
      <c r="C571" s="1" t="inlineStr">
        <is>
          <t>2026</t>
        </is>
      </c>
      <c r="D571" s="1" t="inlineStr">
        <is>
          <t>2027BUD_V1</t>
        </is>
      </c>
      <c r="E571" s="1" t="inlineStr">
        <is>
          <t>12</t>
        </is>
      </c>
      <c r="F571" t="n">
        <v>12331</v>
      </c>
    </row>
    <row r="572">
      <c r="A572" s="1" t="inlineStr">
        <is>
          <t>GRP</t>
        </is>
      </c>
      <c r="B572" s="1" t="inlineStr">
        <is>
          <t>626</t>
        </is>
      </c>
      <c r="C572" s="1" t="inlineStr">
        <is>
          <t>2024</t>
        </is>
      </c>
      <c r="D572" s="1" t="inlineStr">
        <is>
          <t>2027BUD_V1</t>
        </is>
      </c>
      <c r="E572" s="1" t="inlineStr">
        <is>
          <t>12</t>
        </is>
      </c>
      <c r="F572" t="n">
        <v>412389</v>
      </c>
    </row>
    <row r="573">
      <c r="A573" s="1" t="inlineStr">
        <is>
          <t>GRP</t>
        </is>
      </c>
      <c r="B573" s="1" t="inlineStr">
        <is>
          <t>626</t>
        </is>
      </c>
      <c r="C573" s="1" t="inlineStr">
        <is>
          <t>2025</t>
        </is>
      </c>
      <c r="D573" s="1" t="inlineStr">
        <is>
          <t>2027BUD_V1</t>
        </is>
      </c>
      <c r="E573" s="1" t="inlineStr">
        <is>
          <t>12</t>
        </is>
      </c>
      <c r="F573" t="n">
        <v>431286</v>
      </c>
    </row>
    <row r="574">
      <c r="A574" s="1" t="inlineStr">
        <is>
          <t>GRP</t>
        </is>
      </c>
      <c r="B574" s="1" t="inlineStr">
        <is>
          <t>626</t>
        </is>
      </c>
      <c r="C574" s="1" t="inlineStr">
        <is>
          <t>2026</t>
        </is>
      </c>
      <c r="D574" s="1" t="inlineStr">
        <is>
          <t>2027BUD_V1</t>
        </is>
      </c>
      <c r="E574" s="1" t="inlineStr">
        <is>
          <t>12</t>
        </is>
      </c>
      <c r="F574" t="n">
        <v>451872</v>
      </c>
    </row>
    <row r="575">
      <c r="A575" s="1" t="inlineStr">
        <is>
          <t>GRP</t>
        </is>
      </c>
      <c r="B575" s="1" t="inlineStr">
        <is>
          <t>6281</t>
        </is>
      </c>
      <c r="C575" s="1" t="inlineStr">
        <is>
          <t>2024</t>
        </is>
      </c>
      <c r="D575" s="1" t="inlineStr">
        <is>
          <t>2027BUD_V1</t>
        </is>
      </c>
      <c r="E575" s="1" t="inlineStr">
        <is>
          <t>12</t>
        </is>
      </c>
      <c r="F575" t="n">
        <v>164956</v>
      </c>
    </row>
    <row r="576">
      <c r="A576" s="1" t="inlineStr">
        <is>
          <t>GRP</t>
        </is>
      </c>
      <c r="B576" s="1" t="inlineStr">
        <is>
          <t>6281</t>
        </is>
      </c>
      <c r="C576" s="1" t="inlineStr">
        <is>
          <t>2025</t>
        </is>
      </c>
      <c r="D576" s="1" t="inlineStr">
        <is>
          <t>2027BUD_V1</t>
        </is>
      </c>
      <c r="E576" s="1" t="inlineStr">
        <is>
          <t>12</t>
        </is>
      </c>
      <c r="F576" t="n">
        <v>172514</v>
      </c>
    </row>
    <row r="577">
      <c r="A577" s="1" t="inlineStr">
        <is>
          <t>GRP</t>
        </is>
      </c>
      <c r="B577" s="1" t="inlineStr">
        <is>
          <t>6281</t>
        </is>
      </c>
      <c r="C577" s="1" t="inlineStr">
        <is>
          <t>2026</t>
        </is>
      </c>
      <c r="D577" s="1" t="inlineStr">
        <is>
          <t>2027BUD_V1</t>
        </is>
      </c>
      <c r="E577" s="1" t="inlineStr">
        <is>
          <t>12</t>
        </is>
      </c>
      <c r="F577" t="n">
        <v>180749</v>
      </c>
    </row>
    <row r="578">
      <c r="A578" s="1" t="inlineStr">
        <is>
          <t>GRP</t>
        </is>
      </c>
      <c r="B578" s="1" t="inlineStr">
        <is>
          <t>6331</t>
        </is>
      </c>
      <c r="C578" s="1" t="inlineStr">
        <is>
          <t>2024</t>
        </is>
      </c>
      <c r="D578" s="1" t="inlineStr">
        <is>
          <t>2027BUD_V1</t>
        </is>
      </c>
      <c r="E578" s="1" t="inlineStr">
        <is>
          <t>12</t>
        </is>
      </c>
      <c r="F578" t="n">
        <v>309292</v>
      </c>
    </row>
    <row r="579">
      <c r="A579" s="1" t="inlineStr">
        <is>
          <t>GRP</t>
        </is>
      </c>
      <c r="B579" s="1" t="inlineStr">
        <is>
          <t>6331</t>
        </is>
      </c>
      <c r="C579" s="1" t="inlineStr">
        <is>
          <t>2025</t>
        </is>
      </c>
      <c r="D579" s="1" t="inlineStr">
        <is>
          <t>2027BUD_V1</t>
        </is>
      </c>
      <c r="E579" s="1" t="inlineStr">
        <is>
          <t>12</t>
        </is>
      </c>
      <c r="F579" t="n">
        <v>323465</v>
      </c>
    </row>
    <row r="580">
      <c r="A580" s="1" t="inlineStr">
        <is>
          <t>GRP</t>
        </is>
      </c>
      <c r="B580" s="1" t="inlineStr">
        <is>
          <t>6331</t>
        </is>
      </c>
      <c r="C580" s="1" t="inlineStr">
        <is>
          <t>2026</t>
        </is>
      </c>
      <c r="D580" s="1" t="inlineStr">
        <is>
          <t>2027BUD_V1</t>
        </is>
      </c>
      <c r="E580" s="1" t="inlineStr">
        <is>
          <t>12</t>
        </is>
      </c>
      <c r="F580" t="n">
        <v>338904</v>
      </c>
    </row>
    <row r="581">
      <c r="A581" s="1" t="inlineStr">
        <is>
          <t>MBWAY_PAR</t>
        </is>
      </c>
      <c r="B581" s="1" t="inlineStr">
        <is>
          <t>63511</t>
        </is>
      </c>
      <c r="C581" s="1" t="inlineStr">
        <is>
          <t>2024</t>
        </is>
      </c>
      <c r="D581" s="1" t="inlineStr">
        <is>
          <t>2027BUD_V1</t>
        </is>
      </c>
      <c r="E581" s="1" t="inlineStr">
        <is>
          <t>12</t>
        </is>
      </c>
      <c r="F581" t="n">
        <v>32490</v>
      </c>
    </row>
    <row r="582">
      <c r="A582" s="1" t="inlineStr">
        <is>
          <t>MBWAY_LYO</t>
        </is>
      </c>
      <c r="B582" s="1" t="inlineStr">
        <is>
          <t>63511</t>
        </is>
      </c>
      <c r="C582" s="1" t="inlineStr">
        <is>
          <t>2024</t>
        </is>
      </c>
      <c r="D582" s="1" t="inlineStr">
        <is>
          <t>2027BUD_V1</t>
        </is>
      </c>
      <c r="E582" s="1" t="inlineStr">
        <is>
          <t>12</t>
        </is>
      </c>
      <c r="F582" t="n">
        <v>19467</v>
      </c>
    </row>
    <row r="583">
      <c r="A583" s="1" t="inlineStr">
        <is>
          <t>MBWAY_NAN</t>
        </is>
      </c>
      <c r="B583" s="1" t="inlineStr">
        <is>
          <t>63511</t>
        </is>
      </c>
      <c r="C583" s="1" t="inlineStr">
        <is>
          <t>2024</t>
        </is>
      </c>
      <c r="D583" s="1" t="inlineStr">
        <is>
          <t>2027BUD_V1</t>
        </is>
      </c>
      <c r="E583" s="1" t="inlineStr">
        <is>
          <t>12</t>
        </is>
      </c>
      <c r="F583" t="n">
        <v>16044</v>
      </c>
    </row>
    <row r="584">
      <c r="A584" s="1" t="inlineStr">
        <is>
          <t>MBWAY_BOR</t>
        </is>
      </c>
      <c r="B584" s="1" t="inlineStr">
        <is>
          <t>63511</t>
        </is>
      </c>
      <c r="C584" s="1" t="inlineStr">
        <is>
          <t>2024</t>
        </is>
      </c>
      <c r="D584" s="1" t="inlineStr">
        <is>
          <t>2027BUD_V1</t>
        </is>
      </c>
      <c r="E584" s="1" t="inlineStr">
        <is>
          <t>12</t>
        </is>
      </c>
      <c r="F584" t="n">
        <v>14039</v>
      </c>
    </row>
    <row r="585">
      <c r="A585" s="1" t="inlineStr">
        <is>
          <t>ISCOM_PAR</t>
        </is>
      </c>
      <c r="B585" s="1" t="inlineStr">
        <is>
          <t>63511</t>
        </is>
      </c>
      <c r="C585" s="1" t="inlineStr">
        <is>
          <t>2024</t>
        </is>
      </c>
      <c r="D585" s="1" t="inlineStr">
        <is>
          <t>2027BUD_V1</t>
        </is>
      </c>
      <c r="E585" s="1" t="inlineStr">
        <is>
          <t>12</t>
        </is>
      </c>
      <c r="F585" t="n">
        <v>32490</v>
      </c>
    </row>
    <row r="586">
      <c r="A586" s="1" t="inlineStr">
        <is>
          <t>ISCOM_LIL</t>
        </is>
      </c>
      <c r="B586" s="1" t="inlineStr">
        <is>
          <t>63511</t>
        </is>
      </c>
      <c r="C586" s="1" t="inlineStr">
        <is>
          <t>2024</t>
        </is>
      </c>
      <c r="D586" s="1" t="inlineStr">
        <is>
          <t>2027BUD_V1</t>
        </is>
      </c>
      <c r="E586" s="1" t="inlineStr">
        <is>
          <t>12</t>
        </is>
      </c>
      <c r="F586" t="n">
        <v>12301</v>
      </c>
    </row>
    <row r="587">
      <c r="A587" s="1" t="inlineStr">
        <is>
          <t>ISCOM_TLS</t>
        </is>
      </c>
      <c r="B587" s="1" t="inlineStr">
        <is>
          <t>63511</t>
        </is>
      </c>
      <c r="C587" s="1" t="inlineStr">
        <is>
          <t>2024</t>
        </is>
      </c>
      <c r="D587" s="1" t="inlineStr">
        <is>
          <t>2027BUD_V1</t>
        </is>
      </c>
      <c r="E587" s="1" t="inlineStr">
        <is>
          <t>12</t>
        </is>
      </c>
      <c r="F587" t="n">
        <v>12033</v>
      </c>
    </row>
    <row r="588">
      <c r="A588" s="1" t="inlineStr">
        <is>
          <t>IPAC_NAN</t>
        </is>
      </c>
      <c r="B588" s="1" t="inlineStr">
        <is>
          <t>63511</t>
        </is>
      </c>
      <c r="C588" s="1" t="inlineStr">
        <is>
          <t>2024</t>
        </is>
      </c>
      <c r="D588" s="1" t="inlineStr">
        <is>
          <t>2027BUD_V1</t>
        </is>
      </c>
      <c r="E588" s="1" t="inlineStr">
        <is>
          <t>12</t>
        </is>
      </c>
      <c r="F588" t="n">
        <v>8022</v>
      </c>
    </row>
    <row r="589">
      <c r="A589" s="1" t="inlineStr">
        <is>
          <t>IPAC_REN</t>
        </is>
      </c>
      <c r="B589" s="1" t="inlineStr">
        <is>
          <t>63511</t>
        </is>
      </c>
      <c r="C589" s="1" t="inlineStr">
        <is>
          <t>2024</t>
        </is>
      </c>
      <c r="D589" s="1" t="inlineStr">
        <is>
          <t>2027BUD_V1</t>
        </is>
      </c>
      <c r="E589" s="1" t="inlineStr">
        <is>
          <t>12</t>
        </is>
      </c>
      <c r="F589" t="n">
        <v>7059</v>
      </c>
    </row>
    <row r="590">
      <c r="A590" s="1" t="inlineStr">
        <is>
          <t>IPAC_MTP</t>
        </is>
      </c>
      <c r="B590" s="1" t="inlineStr">
        <is>
          <t>63511</t>
        </is>
      </c>
      <c r="C590" s="1" t="inlineStr">
        <is>
          <t>2024</t>
        </is>
      </c>
      <c r="D590" s="1" t="inlineStr">
        <is>
          <t>2027BUD_V1</t>
        </is>
      </c>
      <c r="E590" s="1" t="inlineStr">
        <is>
          <t>12</t>
        </is>
      </c>
      <c r="F590" t="n">
        <v>7059</v>
      </c>
    </row>
    <row r="591">
      <c r="A591" s="1" t="inlineStr">
        <is>
          <t>PIGIER_LYO</t>
        </is>
      </c>
      <c r="B591" s="1" t="inlineStr">
        <is>
          <t>63511</t>
        </is>
      </c>
      <c r="C591" s="1" t="inlineStr">
        <is>
          <t>2024</t>
        </is>
      </c>
      <c r="D591" s="1" t="inlineStr">
        <is>
          <t>2027BUD_V1</t>
        </is>
      </c>
      <c r="E591" s="1" t="inlineStr">
        <is>
          <t>12</t>
        </is>
      </c>
      <c r="F591" t="n">
        <v>11980</v>
      </c>
    </row>
    <row r="592">
      <c r="A592" s="1" t="inlineStr">
        <is>
          <t>PIGIER_BOR</t>
        </is>
      </c>
      <c r="B592" s="1" t="inlineStr">
        <is>
          <t>63511</t>
        </is>
      </c>
      <c r="C592" s="1" t="inlineStr">
        <is>
          <t>2024</t>
        </is>
      </c>
      <c r="D592" s="1" t="inlineStr">
        <is>
          <t>2027BUD_V1</t>
        </is>
      </c>
      <c r="E592" s="1" t="inlineStr">
        <is>
          <t>12</t>
        </is>
      </c>
      <c r="F592" t="n">
        <v>11231</v>
      </c>
    </row>
    <row r="593">
      <c r="A593" s="1" t="inlineStr">
        <is>
          <t>TUNON_PAR</t>
        </is>
      </c>
      <c r="B593" s="1" t="inlineStr">
        <is>
          <t>63511</t>
        </is>
      </c>
      <c r="C593" s="1" t="inlineStr">
        <is>
          <t>2024</t>
        </is>
      </c>
      <c r="D593" s="1" t="inlineStr">
        <is>
          <t>2027BUD_V1</t>
        </is>
      </c>
      <c r="E593" s="1" t="inlineStr">
        <is>
          <t>12</t>
        </is>
      </c>
      <c r="F593" t="n">
        <v>12996</v>
      </c>
    </row>
    <row r="594">
      <c r="A594" s="1" t="inlineStr">
        <is>
          <t>TUNON_LYO</t>
        </is>
      </c>
      <c r="B594" s="1" t="inlineStr">
        <is>
          <t>63511</t>
        </is>
      </c>
      <c r="C594" s="1" t="inlineStr">
        <is>
          <t>2024</t>
        </is>
      </c>
      <c r="D594" s="1" t="inlineStr">
        <is>
          <t>2027BUD_V1</t>
        </is>
      </c>
      <c r="E594" s="1" t="inlineStr">
        <is>
          <t>12</t>
        </is>
      </c>
      <c r="F594" t="n">
        <v>8985</v>
      </c>
    </row>
    <row r="595">
      <c r="A595" s="1" t="inlineStr">
        <is>
          <t>MBWAY_PAR</t>
        </is>
      </c>
      <c r="B595" s="1" t="inlineStr">
        <is>
          <t>63511</t>
        </is>
      </c>
      <c r="C595" s="1" t="inlineStr">
        <is>
          <t>2025</t>
        </is>
      </c>
      <c r="D595" s="1" t="inlineStr">
        <is>
          <t>2027BUD_V1</t>
        </is>
      </c>
      <c r="E595" s="1" t="inlineStr">
        <is>
          <t>12</t>
        </is>
      </c>
      <c r="F595" t="n">
        <v>33978</v>
      </c>
    </row>
    <row r="596">
      <c r="A596" s="1" t="inlineStr">
        <is>
          <t>MBWAY_LYO</t>
        </is>
      </c>
      <c r="B596" s="1" t="inlineStr">
        <is>
          <t>63511</t>
        </is>
      </c>
      <c r="C596" s="1" t="inlineStr">
        <is>
          <t>2025</t>
        </is>
      </c>
      <c r="D596" s="1" t="inlineStr">
        <is>
          <t>2027BUD_V1</t>
        </is>
      </c>
      <c r="E596" s="1" t="inlineStr">
        <is>
          <t>12</t>
        </is>
      </c>
      <c r="F596" t="n">
        <v>20359</v>
      </c>
    </row>
    <row r="597">
      <c r="A597" s="1" t="inlineStr">
        <is>
          <t>MBWAY_NAN</t>
        </is>
      </c>
      <c r="B597" s="1" t="inlineStr">
        <is>
          <t>63511</t>
        </is>
      </c>
      <c r="C597" s="1" t="inlineStr">
        <is>
          <t>2025</t>
        </is>
      </c>
      <c r="D597" s="1" t="inlineStr">
        <is>
          <t>2027BUD_V1</t>
        </is>
      </c>
      <c r="E597" s="1" t="inlineStr">
        <is>
          <t>12</t>
        </is>
      </c>
      <c r="F597" t="n">
        <v>16779</v>
      </c>
    </row>
    <row r="598">
      <c r="A598" s="1" t="inlineStr">
        <is>
          <t>MBWAY_BOR</t>
        </is>
      </c>
      <c r="B598" s="1" t="inlineStr">
        <is>
          <t>63511</t>
        </is>
      </c>
      <c r="C598" s="1" t="inlineStr">
        <is>
          <t>2025</t>
        </is>
      </c>
      <c r="D598" s="1" t="inlineStr">
        <is>
          <t>2027BUD_V1</t>
        </is>
      </c>
      <c r="E598" s="1" t="inlineStr">
        <is>
          <t>12</t>
        </is>
      </c>
      <c r="F598" t="n">
        <v>14682</v>
      </c>
    </row>
    <row r="599">
      <c r="A599" s="1" t="inlineStr">
        <is>
          <t>ISCOM_PAR</t>
        </is>
      </c>
      <c r="B599" s="1" t="inlineStr">
        <is>
          <t>63511</t>
        </is>
      </c>
      <c r="C599" s="1" t="inlineStr">
        <is>
          <t>2025</t>
        </is>
      </c>
      <c r="D599" s="1" t="inlineStr">
        <is>
          <t>2027BUD_V1</t>
        </is>
      </c>
      <c r="E599" s="1" t="inlineStr">
        <is>
          <t>12</t>
        </is>
      </c>
      <c r="F599" t="n">
        <v>33978</v>
      </c>
    </row>
    <row r="600">
      <c r="A600" s="1" t="inlineStr">
        <is>
          <t>ISCOM_LIL</t>
        </is>
      </c>
      <c r="B600" s="1" t="inlineStr">
        <is>
          <t>63511</t>
        </is>
      </c>
      <c r="C600" s="1" t="inlineStr">
        <is>
          <t>2025</t>
        </is>
      </c>
      <c r="D600" s="1" t="inlineStr">
        <is>
          <t>2027BUD_V1</t>
        </is>
      </c>
      <c r="E600" s="1" t="inlineStr">
        <is>
          <t>12</t>
        </is>
      </c>
      <c r="F600" t="n">
        <v>12864</v>
      </c>
    </row>
    <row r="601">
      <c r="A601" s="1" t="inlineStr">
        <is>
          <t>ISCOM_TLS</t>
        </is>
      </c>
      <c r="B601" s="1" t="inlineStr">
        <is>
          <t>63511</t>
        </is>
      </c>
      <c r="C601" s="1" t="inlineStr">
        <is>
          <t>2025</t>
        </is>
      </c>
      <c r="D601" s="1" t="inlineStr">
        <is>
          <t>2027BUD_V1</t>
        </is>
      </c>
      <c r="E601" s="1" t="inlineStr">
        <is>
          <t>12</t>
        </is>
      </c>
      <c r="F601" t="n">
        <v>12585</v>
      </c>
    </row>
    <row r="602">
      <c r="A602" s="1" t="inlineStr">
        <is>
          <t>IPAC_NAN</t>
        </is>
      </c>
      <c r="B602" s="1" t="inlineStr">
        <is>
          <t>63511</t>
        </is>
      </c>
      <c r="C602" s="1" t="inlineStr">
        <is>
          <t>2025</t>
        </is>
      </c>
      <c r="D602" s="1" t="inlineStr">
        <is>
          <t>2027BUD_V1</t>
        </is>
      </c>
      <c r="E602" s="1" t="inlineStr">
        <is>
          <t>12</t>
        </is>
      </c>
      <c r="F602" t="n">
        <v>8390</v>
      </c>
    </row>
    <row r="603">
      <c r="A603" s="1" t="inlineStr">
        <is>
          <t>IPAC_REN</t>
        </is>
      </c>
      <c r="B603" s="1" t="inlineStr">
        <is>
          <t>63511</t>
        </is>
      </c>
      <c r="C603" s="1" t="inlineStr">
        <is>
          <t>2025</t>
        </is>
      </c>
      <c r="D603" s="1" t="inlineStr">
        <is>
          <t>2027BUD_V1</t>
        </is>
      </c>
      <c r="E603" s="1" t="inlineStr">
        <is>
          <t>12</t>
        </is>
      </c>
      <c r="F603" t="n">
        <v>7383</v>
      </c>
    </row>
    <row r="604">
      <c r="A604" s="1" t="inlineStr">
        <is>
          <t>IPAC_MTP</t>
        </is>
      </c>
      <c r="B604" s="1" t="inlineStr">
        <is>
          <t>63511</t>
        </is>
      </c>
      <c r="C604" s="1" t="inlineStr">
        <is>
          <t>2025</t>
        </is>
      </c>
      <c r="D604" s="1" t="inlineStr">
        <is>
          <t>2027BUD_V1</t>
        </is>
      </c>
      <c r="E604" s="1" t="inlineStr">
        <is>
          <t>12</t>
        </is>
      </c>
      <c r="F604" t="n">
        <v>7383</v>
      </c>
    </row>
    <row r="605">
      <c r="A605" s="1" t="inlineStr">
        <is>
          <t>PIGIER_LYO</t>
        </is>
      </c>
      <c r="B605" s="1" t="inlineStr">
        <is>
          <t>63511</t>
        </is>
      </c>
      <c r="C605" s="1" t="inlineStr">
        <is>
          <t>2025</t>
        </is>
      </c>
      <c r="D605" s="1" t="inlineStr">
        <is>
          <t>2027BUD_V1</t>
        </is>
      </c>
      <c r="E605" s="1" t="inlineStr">
        <is>
          <t>12</t>
        </is>
      </c>
      <c r="F605" t="n">
        <v>12529</v>
      </c>
    </row>
    <row r="606">
      <c r="A606" s="1" t="inlineStr">
        <is>
          <t>PIGIER_BOR</t>
        </is>
      </c>
      <c r="B606" s="1" t="inlineStr">
        <is>
          <t>63511</t>
        </is>
      </c>
      <c r="C606" s="1" t="inlineStr">
        <is>
          <t>2025</t>
        </is>
      </c>
      <c r="D606" s="1" t="inlineStr">
        <is>
          <t>2027BUD_V1</t>
        </is>
      </c>
      <c r="E606" s="1" t="inlineStr">
        <is>
          <t>12</t>
        </is>
      </c>
      <c r="F606" t="n">
        <v>11746</v>
      </c>
    </row>
    <row r="607">
      <c r="A607" s="1" t="inlineStr">
        <is>
          <t>TUNON_PAR</t>
        </is>
      </c>
      <c r="B607" s="1" t="inlineStr">
        <is>
          <t>63511</t>
        </is>
      </c>
      <c r="C607" s="1" t="inlineStr">
        <is>
          <t>2025</t>
        </is>
      </c>
      <c r="D607" s="1" t="inlineStr">
        <is>
          <t>2027BUD_V1</t>
        </is>
      </c>
      <c r="E607" s="1" t="inlineStr">
        <is>
          <t>12</t>
        </is>
      </c>
      <c r="F607" t="n">
        <v>13591</v>
      </c>
    </row>
    <row r="608">
      <c r="A608" s="1" t="inlineStr">
        <is>
          <t>TUNON_LYO</t>
        </is>
      </c>
      <c r="B608" s="1" t="inlineStr">
        <is>
          <t>63511</t>
        </is>
      </c>
      <c r="C608" s="1" t="inlineStr">
        <is>
          <t>2025</t>
        </is>
      </c>
      <c r="D608" s="1" t="inlineStr">
        <is>
          <t>2027BUD_V1</t>
        </is>
      </c>
      <c r="E608" s="1" t="inlineStr">
        <is>
          <t>12</t>
        </is>
      </c>
      <c r="F608" t="n">
        <v>9396</v>
      </c>
    </row>
    <row r="609">
      <c r="A609" s="1" t="inlineStr">
        <is>
          <t>MBWAY_PAR</t>
        </is>
      </c>
      <c r="B609" s="1" t="inlineStr">
        <is>
          <t>63511</t>
        </is>
      </c>
      <c r="C609" s="1" t="inlineStr">
        <is>
          <t>2026</t>
        </is>
      </c>
      <c r="D609" s="1" t="inlineStr">
        <is>
          <t>2027BUD_V1</t>
        </is>
      </c>
      <c r="E609" s="1" t="inlineStr">
        <is>
          <t>12</t>
        </is>
      </c>
      <c r="F609" t="n">
        <v>35600</v>
      </c>
    </row>
    <row r="610">
      <c r="A610" s="1" t="inlineStr">
        <is>
          <t>MBWAY_LYO</t>
        </is>
      </c>
      <c r="B610" s="1" t="inlineStr">
        <is>
          <t>63511</t>
        </is>
      </c>
      <c r="C610" s="1" t="inlineStr">
        <is>
          <t>2026</t>
        </is>
      </c>
      <c r="D610" s="1" t="inlineStr">
        <is>
          <t>2027BUD_V1</t>
        </is>
      </c>
      <c r="E610" s="1" t="inlineStr">
        <is>
          <t>12</t>
        </is>
      </c>
      <c r="F610" t="n">
        <v>21331</v>
      </c>
    </row>
    <row r="611">
      <c r="A611" s="1" t="inlineStr">
        <is>
          <t>MBWAY_NAN</t>
        </is>
      </c>
      <c r="B611" s="1" t="inlineStr">
        <is>
          <t>63511</t>
        </is>
      </c>
      <c r="C611" s="1" t="inlineStr">
        <is>
          <t>2026</t>
        </is>
      </c>
      <c r="D611" s="1" t="inlineStr">
        <is>
          <t>2027BUD_V1</t>
        </is>
      </c>
      <c r="E611" s="1" t="inlineStr">
        <is>
          <t>12</t>
        </is>
      </c>
      <c r="F611" t="n">
        <v>17580</v>
      </c>
    </row>
    <row r="612">
      <c r="A612" s="1" t="inlineStr">
        <is>
          <t>MBWAY_BOR</t>
        </is>
      </c>
      <c r="B612" s="1" t="inlineStr">
        <is>
          <t>63511</t>
        </is>
      </c>
      <c r="C612" s="1" t="inlineStr">
        <is>
          <t>2026</t>
        </is>
      </c>
      <c r="D612" s="1" t="inlineStr">
        <is>
          <t>2027BUD_V1</t>
        </is>
      </c>
      <c r="E612" s="1" t="inlineStr">
        <is>
          <t>12</t>
        </is>
      </c>
      <c r="F612" t="n">
        <v>15383</v>
      </c>
    </row>
    <row r="613">
      <c r="A613" s="1" t="inlineStr">
        <is>
          <t>ISCOM_PAR</t>
        </is>
      </c>
      <c r="B613" s="1" t="inlineStr">
        <is>
          <t>63511</t>
        </is>
      </c>
      <c r="C613" s="1" t="inlineStr">
        <is>
          <t>2026</t>
        </is>
      </c>
      <c r="D613" s="1" t="inlineStr">
        <is>
          <t>2027BUD_V1</t>
        </is>
      </c>
      <c r="E613" s="1" t="inlineStr">
        <is>
          <t>12</t>
        </is>
      </c>
      <c r="F613" t="n">
        <v>35600</v>
      </c>
    </row>
    <row r="614">
      <c r="A614" s="1" t="inlineStr">
        <is>
          <t>ISCOM_LIL</t>
        </is>
      </c>
      <c r="B614" s="1" t="inlineStr">
        <is>
          <t>63511</t>
        </is>
      </c>
      <c r="C614" s="1" t="inlineStr">
        <is>
          <t>2026</t>
        </is>
      </c>
      <c r="D614" s="1" t="inlineStr">
        <is>
          <t>2027BUD_V1</t>
        </is>
      </c>
      <c r="E614" s="1" t="inlineStr">
        <is>
          <t>12</t>
        </is>
      </c>
      <c r="F614" t="n">
        <v>13478</v>
      </c>
    </row>
    <row r="615">
      <c r="A615" s="1" t="inlineStr">
        <is>
          <t>ISCOM_TLS</t>
        </is>
      </c>
      <c r="B615" s="1" t="inlineStr">
        <is>
          <t>63511</t>
        </is>
      </c>
      <c r="C615" s="1" t="inlineStr">
        <is>
          <t>2026</t>
        </is>
      </c>
      <c r="D615" s="1" t="inlineStr">
        <is>
          <t>2027BUD_V1</t>
        </is>
      </c>
      <c r="E615" s="1" t="inlineStr">
        <is>
          <t>12</t>
        </is>
      </c>
      <c r="F615" t="n">
        <v>13185</v>
      </c>
    </row>
    <row r="616">
      <c r="A616" s="1" t="inlineStr">
        <is>
          <t>IPAC_NAN</t>
        </is>
      </c>
      <c r="B616" s="1" t="inlineStr">
        <is>
          <t>63511</t>
        </is>
      </c>
      <c r="C616" s="1" t="inlineStr">
        <is>
          <t>2026</t>
        </is>
      </c>
      <c r="D616" s="1" t="inlineStr">
        <is>
          <t>2027BUD_V1</t>
        </is>
      </c>
      <c r="E616" s="1" t="inlineStr">
        <is>
          <t>12</t>
        </is>
      </c>
      <c r="F616" t="n">
        <v>8790</v>
      </c>
    </row>
    <row r="617">
      <c r="A617" s="1" t="inlineStr">
        <is>
          <t>IPAC_REN</t>
        </is>
      </c>
      <c r="B617" s="1" t="inlineStr">
        <is>
          <t>63511</t>
        </is>
      </c>
      <c r="C617" s="1" t="inlineStr">
        <is>
          <t>2026</t>
        </is>
      </c>
      <c r="D617" s="1" t="inlineStr">
        <is>
          <t>2027BUD_V1</t>
        </is>
      </c>
      <c r="E617" s="1" t="inlineStr">
        <is>
          <t>12</t>
        </is>
      </c>
      <c r="F617" t="n">
        <v>7735</v>
      </c>
    </row>
    <row r="618">
      <c r="A618" s="1" t="inlineStr">
        <is>
          <t>IPAC_MTP</t>
        </is>
      </c>
      <c r="B618" s="1" t="inlineStr">
        <is>
          <t>63511</t>
        </is>
      </c>
      <c r="C618" s="1" t="inlineStr">
        <is>
          <t>2026</t>
        </is>
      </c>
      <c r="D618" s="1" t="inlineStr">
        <is>
          <t>2027BUD_V1</t>
        </is>
      </c>
      <c r="E618" s="1" t="inlineStr">
        <is>
          <t>12</t>
        </is>
      </c>
      <c r="F618" t="n">
        <v>7735</v>
      </c>
    </row>
    <row r="619">
      <c r="A619" s="1" t="inlineStr">
        <is>
          <t>PIGIER_LYO</t>
        </is>
      </c>
      <c r="B619" s="1" t="inlineStr">
        <is>
          <t>63511</t>
        </is>
      </c>
      <c r="C619" s="1" t="inlineStr">
        <is>
          <t>2026</t>
        </is>
      </c>
      <c r="D619" s="1" t="inlineStr">
        <is>
          <t>2027BUD_V1</t>
        </is>
      </c>
      <c r="E619" s="1" t="inlineStr">
        <is>
          <t>12</t>
        </is>
      </c>
      <c r="F619" t="n">
        <v>13127</v>
      </c>
    </row>
    <row r="620">
      <c r="A620" s="1" t="inlineStr">
        <is>
          <t>PIGIER_BOR</t>
        </is>
      </c>
      <c r="B620" s="1" t="inlineStr">
        <is>
          <t>63511</t>
        </is>
      </c>
      <c r="C620" s="1" t="inlineStr">
        <is>
          <t>2026</t>
        </is>
      </c>
      <c r="D620" s="1" t="inlineStr">
        <is>
          <t>2027BUD_V1</t>
        </is>
      </c>
      <c r="E620" s="1" t="inlineStr">
        <is>
          <t>12</t>
        </is>
      </c>
      <c r="F620" t="n">
        <v>12306</v>
      </c>
    </row>
    <row r="621">
      <c r="A621" s="1" t="inlineStr">
        <is>
          <t>TUNON_PAR</t>
        </is>
      </c>
      <c r="B621" s="1" t="inlineStr">
        <is>
          <t>63511</t>
        </is>
      </c>
      <c r="C621" s="1" t="inlineStr">
        <is>
          <t>2026</t>
        </is>
      </c>
      <c r="D621" s="1" t="inlineStr">
        <is>
          <t>2027BUD_V1</t>
        </is>
      </c>
      <c r="E621" s="1" t="inlineStr">
        <is>
          <t>12</t>
        </is>
      </c>
      <c r="F621" t="n">
        <v>14240</v>
      </c>
    </row>
    <row r="622">
      <c r="A622" s="1" t="inlineStr">
        <is>
          <t>TUNON_LYO</t>
        </is>
      </c>
      <c r="B622" s="1" t="inlineStr">
        <is>
          <t>63511</t>
        </is>
      </c>
      <c r="C622" s="1" t="inlineStr">
        <is>
          <t>2026</t>
        </is>
      </c>
      <c r="D622" s="1" t="inlineStr">
        <is>
          <t>2027BUD_V1</t>
        </is>
      </c>
      <c r="E622" s="1" t="inlineStr">
        <is>
          <t>12</t>
        </is>
      </c>
      <c r="F622" t="n">
        <v>9845</v>
      </c>
    </row>
    <row r="623">
      <c r="A623" s="1" t="inlineStr">
        <is>
          <t>GRP</t>
        </is>
      </c>
      <c r="B623" s="1" t="inlineStr">
        <is>
          <t>6333</t>
        </is>
      </c>
      <c r="C623" s="1" t="inlineStr">
        <is>
          <t>2024</t>
        </is>
      </c>
      <c r="D623" s="1" t="inlineStr">
        <is>
          <t>2027BUD_V1</t>
        </is>
      </c>
      <c r="E623" s="1" t="inlineStr">
        <is>
          <t>12</t>
        </is>
      </c>
      <c r="F623" t="n">
        <v>103097</v>
      </c>
    </row>
    <row r="624">
      <c r="A624" s="1" t="inlineStr">
        <is>
          <t>GRP</t>
        </is>
      </c>
      <c r="B624" s="1" t="inlineStr">
        <is>
          <t>6333</t>
        </is>
      </c>
      <c r="C624" s="1" t="inlineStr">
        <is>
          <t>2025</t>
        </is>
      </c>
      <c r="D624" s="1" t="inlineStr">
        <is>
          <t>2027BUD_V1</t>
        </is>
      </c>
      <c r="E624" s="1" t="inlineStr">
        <is>
          <t>12</t>
        </is>
      </c>
      <c r="F624" t="n">
        <v>107822</v>
      </c>
    </row>
    <row r="625">
      <c r="A625" s="1" t="inlineStr">
        <is>
          <t>GRP</t>
        </is>
      </c>
      <c r="B625" s="1" t="inlineStr">
        <is>
          <t>6333</t>
        </is>
      </c>
      <c r="C625" s="1" t="inlineStr">
        <is>
          <t>2026</t>
        </is>
      </c>
      <c r="D625" s="1" t="inlineStr">
        <is>
          <t>2027BUD_V1</t>
        </is>
      </c>
      <c r="E625" s="1" t="inlineStr">
        <is>
          <t>12</t>
        </is>
      </c>
      <c r="F625" t="n">
        <v>112968</v>
      </c>
    </row>
    <row r="626">
      <c r="A626" s="1" t="inlineStr">
        <is>
          <t>MBWAY_PAR</t>
        </is>
      </c>
      <c r="B626" s="1" t="inlineStr">
        <is>
          <t>6811</t>
        </is>
      </c>
      <c r="C626" s="1" t="inlineStr">
        <is>
          <t>2024</t>
        </is>
      </c>
      <c r="D626" s="1" t="inlineStr">
        <is>
          <t>2027BUD_V1</t>
        </is>
      </c>
      <c r="E626" s="1" t="inlineStr">
        <is>
          <t>12</t>
        </is>
      </c>
      <c r="F626" t="n">
        <v>137849</v>
      </c>
    </row>
    <row r="627">
      <c r="A627" s="1" t="inlineStr">
        <is>
          <t>MBWAY_LYO</t>
        </is>
      </c>
      <c r="B627" s="1" t="inlineStr">
        <is>
          <t>6811</t>
        </is>
      </c>
      <c r="C627" s="1" t="inlineStr">
        <is>
          <t>2024</t>
        </is>
      </c>
      <c r="D627" s="1" t="inlineStr">
        <is>
          <t>2027BUD_V1</t>
        </is>
      </c>
      <c r="E627" s="1" t="inlineStr">
        <is>
          <t>12</t>
        </is>
      </c>
      <c r="F627" t="n">
        <v>119469</v>
      </c>
    </row>
    <row r="628">
      <c r="A628" s="1" t="inlineStr">
        <is>
          <t>MBWAY_NAN</t>
        </is>
      </c>
      <c r="B628" s="1" t="inlineStr">
        <is>
          <t>6811</t>
        </is>
      </c>
      <c r="C628" s="1" t="inlineStr">
        <is>
          <t>2024</t>
        </is>
      </c>
      <c r="D628" s="1" t="inlineStr">
        <is>
          <t>2027BUD_V1</t>
        </is>
      </c>
      <c r="E628" s="1" t="inlineStr">
        <is>
          <t>12</t>
        </is>
      </c>
      <c r="F628" t="n">
        <v>110279</v>
      </c>
    </row>
    <row r="629">
      <c r="A629" s="1" t="inlineStr">
        <is>
          <t>MBWAY_BOR</t>
        </is>
      </c>
      <c r="B629" s="1" t="inlineStr">
        <is>
          <t>6811</t>
        </is>
      </c>
      <c r="C629" s="1" t="inlineStr">
        <is>
          <t>2024</t>
        </is>
      </c>
      <c r="D629" s="1" t="inlineStr">
        <is>
          <t>2027BUD_V1</t>
        </is>
      </c>
      <c r="E629" s="1" t="inlineStr">
        <is>
          <t>12</t>
        </is>
      </c>
      <c r="F629" t="n">
        <v>91900</v>
      </c>
    </row>
    <row r="630">
      <c r="A630" s="1" t="inlineStr">
        <is>
          <t>ISCOM_PAR</t>
        </is>
      </c>
      <c r="B630" s="1" t="inlineStr">
        <is>
          <t>6811</t>
        </is>
      </c>
      <c r="C630" s="1" t="inlineStr">
        <is>
          <t>2024</t>
        </is>
      </c>
      <c r="D630" s="1" t="inlineStr">
        <is>
          <t>2027BUD_V1</t>
        </is>
      </c>
      <c r="E630" s="1" t="inlineStr">
        <is>
          <t>12</t>
        </is>
      </c>
      <c r="F630" t="n">
        <v>137849</v>
      </c>
    </row>
    <row r="631">
      <c r="A631" s="1" t="inlineStr">
        <is>
          <t>ISCOM_LIL</t>
        </is>
      </c>
      <c r="B631" s="1" t="inlineStr">
        <is>
          <t>6811</t>
        </is>
      </c>
      <c r="C631" s="1" t="inlineStr">
        <is>
          <t>2024</t>
        </is>
      </c>
      <c r="D631" s="1" t="inlineStr">
        <is>
          <t>2027BUD_V1</t>
        </is>
      </c>
      <c r="E631" s="1" t="inlineStr">
        <is>
          <t>12</t>
        </is>
      </c>
      <c r="F631" t="n">
        <v>91900</v>
      </c>
    </row>
    <row r="632">
      <c r="A632" s="1" t="inlineStr">
        <is>
          <t>ISCOM_TLS</t>
        </is>
      </c>
      <c r="B632" s="1" t="inlineStr">
        <is>
          <t>6811</t>
        </is>
      </c>
      <c r="C632" s="1" t="inlineStr">
        <is>
          <t>2024</t>
        </is>
      </c>
      <c r="D632" s="1" t="inlineStr">
        <is>
          <t>2027BUD_V1</t>
        </is>
      </c>
      <c r="E632" s="1" t="inlineStr">
        <is>
          <t>12</t>
        </is>
      </c>
      <c r="F632" t="n">
        <v>91900</v>
      </c>
    </row>
    <row r="633">
      <c r="A633" s="1" t="inlineStr">
        <is>
          <t>IPAC_NAN</t>
        </is>
      </c>
      <c r="B633" s="1" t="inlineStr">
        <is>
          <t>6811</t>
        </is>
      </c>
      <c r="C633" s="1" t="inlineStr">
        <is>
          <t>2024</t>
        </is>
      </c>
      <c r="D633" s="1" t="inlineStr">
        <is>
          <t>2027BUD_V1</t>
        </is>
      </c>
      <c r="E633" s="1" t="inlineStr">
        <is>
          <t>12</t>
        </is>
      </c>
      <c r="F633" t="n">
        <v>55140</v>
      </c>
    </row>
    <row r="634">
      <c r="A634" s="1" t="inlineStr">
        <is>
          <t>IPAC_REN</t>
        </is>
      </c>
      <c r="B634" s="1" t="inlineStr">
        <is>
          <t>6811</t>
        </is>
      </c>
      <c r="C634" s="1" t="inlineStr">
        <is>
          <t>2024</t>
        </is>
      </c>
      <c r="D634" s="1" t="inlineStr">
        <is>
          <t>2027BUD_V1</t>
        </is>
      </c>
      <c r="E634" s="1" t="inlineStr">
        <is>
          <t>12</t>
        </is>
      </c>
      <c r="F634" t="n">
        <v>55140</v>
      </c>
    </row>
    <row r="635">
      <c r="A635" s="1" t="inlineStr">
        <is>
          <t>IPAC_MTP</t>
        </is>
      </c>
      <c r="B635" s="1" t="inlineStr">
        <is>
          <t>6811</t>
        </is>
      </c>
      <c r="C635" s="1" t="inlineStr">
        <is>
          <t>2024</t>
        </is>
      </c>
      <c r="D635" s="1" t="inlineStr">
        <is>
          <t>2027BUD_V1</t>
        </is>
      </c>
      <c r="E635" s="1" t="inlineStr">
        <is>
          <t>12</t>
        </is>
      </c>
      <c r="F635" t="n">
        <v>55140</v>
      </c>
    </row>
    <row r="636">
      <c r="A636" s="1" t="inlineStr">
        <is>
          <t>PIGIER_LYO</t>
        </is>
      </c>
      <c r="B636" s="1" t="inlineStr">
        <is>
          <t>6811</t>
        </is>
      </c>
      <c r="C636" s="1" t="inlineStr">
        <is>
          <t>2024</t>
        </is>
      </c>
      <c r="D636" s="1" t="inlineStr">
        <is>
          <t>2027BUD_V1</t>
        </is>
      </c>
      <c r="E636" s="1" t="inlineStr">
        <is>
          <t>12</t>
        </is>
      </c>
      <c r="F636" t="n">
        <v>73520</v>
      </c>
    </row>
    <row r="637">
      <c r="A637" s="1" t="inlineStr">
        <is>
          <t>PIGIER_BOR</t>
        </is>
      </c>
      <c r="B637" s="1" t="inlineStr">
        <is>
          <t>6811</t>
        </is>
      </c>
      <c r="C637" s="1" t="inlineStr">
        <is>
          <t>2024</t>
        </is>
      </c>
      <c r="D637" s="1" t="inlineStr">
        <is>
          <t>2027BUD_V1</t>
        </is>
      </c>
      <c r="E637" s="1" t="inlineStr">
        <is>
          <t>12</t>
        </is>
      </c>
      <c r="F637" t="n">
        <v>73520</v>
      </c>
    </row>
    <row r="638">
      <c r="A638" s="1" t="inlineStr">
        <is>
          <t>TUNON_PAR</t>
        </is>
      </c>
      <c r="B638" s="1" t="inlineStr">
        <is>
          <t>6811</t>
        </is>
      </c>
      <c r="C638" s="1" t="inlineStr">
        <is>
          <t>2024</t>
        </is>
      </c>
      <c r="D638" s="1" t="inlineStr">
        <is>
          <t>2027BUD_V1</t>
        </is>
      </c>
      <c r="E638" s="1" t="inlineStr">
        <is>
          <t>12</t>
        </is>
      </c>
      <c r="F638" t="n">
        <v>55140</v>
      </c>
    </row>
    <row r="639">
      <c r="A639" s="1" t="inlineStr">
        <is>
          <t>TUNON_LYO</t>
        </is>
      </c>
      <c r="B639" s="1" t="inlineStr">
        <is>
          <t>6811</t>
        </is>
      </c>
      <c r="C639" s="1" t="inlineStr">
        <is>
          <t>2024</t>
        </is>
      </c>
      <c r="D639" s="1" t="inlineStr">
        <is>
          <t>2027BUD_V1</t>
        </is>
      </c>
      <c r="E639" s="1" t="inlineStr">
        <is>
          <t>12</t>
        </is>
      </c>
      <c r="F639" t="n">
        <v>55140</v>
      </c>
    </row>
    <row r="640">
      <c r="A640" s="1" t="inlineStr">
        <is>
          <t>MBWAY_PAR</t>
        </is>
      </c>
      <c r="B640" s="1" t="inlineStr">
        <is>
          <t>6811</t>
        </is>
      </c>
      <c r="C640" s="1" t="inlineStr">
        <is>
          <t>2025</t>
        </is>
      </c>
      <c r="D640" s="1" t="inlineStr">
        <is>
          <t>2027BUD_V1</t>
        </is>
      </c>
      <c r="E640" s="1" t="inlineStr">
        <is>
          <t>12</t>
        </is>
      </c>
      <c r="F640" t="n">
        <v>146120</v>
      </c>
    </row>
    <row r="641">
      <c r="A641" s="1" t="inlineStr">
        <is>
          <t>MBWAY_LYO</t>
        </is>
      </c>
      <c r="B641" s="1" t="inlineStr">
        <is>
          <t>6811</t>
        </is>
      </c>
      <c r="C641" s="1" t="inlineStr">
        <is>
          <t>2025</t>
        </is>
      </c>
      <c r="D641" s="1" t="inlineStr">
        <is>
          <t>2027BUD_V1</t>
        </is>
      </c>
      <c r="E641" s="1" t="inlineStr">
        <is>
          <t>12</t>
        </is>
      </c>
      <c r="F641" t="n">
        <v>126638</v>
      </c>
    </row>
    <row r="642">
      <c r="A642" s="1" t="inlineStr">
        <is>
          <t>MBWAY_NAN</t>
        </is>
      </c>
      <c r="B642" s="1" t="inlineStr">
        <is>
          <t>6811</t>
        </is>
      </c>
      <c r="C642" s="1" t="inlineStr">
        <is>
          <t>2025</t>
        </is>
      </c>
      <c r="D642" s="1" t="inlineStr">
        <is>
          <t>2027BUD_V1</t>
        </is>
      </c>
      <c r="E642" s="1" t="inlineStr">
        <is>
          <t>12</t>
        </is>
      </c>
      <c r="F642" t="n">
        <v>116896</v>
      </c>
    </row>
    <row r="643">
      <c r="A643" s="1" t="inlineStr">
        <is>
          <t>MBWAY_BOR</t>
        </is>
      </c>
      <c r="B643" s="1" t="inlineStr">
        <is>
          <t>6811</t>
        </is>
      </c>
      <c r="C643" s="1" t="inlineStr">
        <is>
          <t>2025</t>
        </is>
      </c>
      <c r="D643" s="1" t="inlineStr">
        <is>
          <t>2027BUD_V1</t>
        </is>
      </c>
      <c r="E643" s="1" t="inlineStr">
        <is>
          <t>12</t>
        </is>
      </c>
      <c r="F643" t="n">
        <v>97413</v>
      </c>
    </row>
    <row r="644">
      <c r="A644" s="1" t="inlineStr">
        <is>
          <t>ISCOM_PAR</t>
        </is>
      </c>
      <c r="B644" s="1" t="inlineStr">
        <is>
          <t>6811</t>
        </is>
      </c>
      <c r="C644" s="1" t="inlineStr">
        <is>
          <t>2025</t>
        </is>
      </c>
      <c r="D644" s="1" t="inlineStr">
        <is>
          <t>2027BUD_V1</t>
        </is>
      </c>
      <c r="E644" s="1" t="inlineStr">
        <is>
          <t>12</t>
        </is>
      </c>
      <c r="F644" t="n">
        <v>146120</v>
      </c>
    </row>
    <row r="645">
      <c r="A645" s="1" t="inlineStr">
        <is>
          <t>ISCOM_LIL</t>
        </is>
      </c>
      <c r="B645" s="1" t="inlineStr">
        <is>
          <t>6811</t>
        </is>
      </c>
      <c r="C645" s="1" t="inlineStr">
        <is>
          <t>2025</t>
        </is>
      </c>
      <c r="D645" s="1" t="inlineStr">
        <is>
          <t>2027BUD_V1</t>
        </is>
      </c>
      <c r="E645" s="1" t="inlineStr">
        <is>
          <t>12</t>
        </is>
      </c>
      <c r="F645" t="n">
        <v>97413</v>
      </c>
    </row>
    <row r="646">
      <c r="A646" s="1" t="inlineStr">
        <is>
          <t>ISCOM_TLS</t>
        </is>
      </c>
      <c r="B646" s="1" t="inlineStr">
        <is>
          <t>6811</t>
        </is>
      </c>
      <c r="C646" s="1" t="inlineStr">
        <is>
          <t>2025</t>
        </is>
      </c>
      <c r="D646" s="1" t="inlineStr">
        <is>
          <t>2027BUD_V1</t>
        </is>
      </c>
      <c r="E646" s="1" t="inlineStr">
        <is>
          <t>12</t>
        </is>
      </c>
      <c r="F646" t="n">
        <v>97413</v>
      </c>
    </row>
    <row r="647">
      <c r="A647" s="1" t="inlineStr">
        <is>
          <t>IPAC_NAN</t>
        </is>
      </c>
      <c r="B647" s="1" t="inlineStr">
        <is>
          <t>6811</t>
        </is>
      </c>
      <c r="C647" s="1" t="inlineStr">
        <is>
          <t>2025</t>
        </is>
      </c>
      <c r="D647" s="1" t="inlineStr">
        <is>
          <t>2027BUD_V1</t>
        </is>
      </c>
      <c r="E647" s="1" t="inlineStr">
        <is>
          <t>12</t>
        </is>
      </c>
      <c r="F647" t="n">
        <v>58448</v>
      </c>
    </row>
    <row r="648">
      <c r="A648" s="1" t="inlineStr">
        <is>
          <t>IPAC_REN</t>
        </is>
      </c>
      <c r="B648" s="1" t="inlineStr">
        <is>
          <t>6811</t>
        </is>
      </c>
      <c r="C648" s="1" t="inlineStr">
        <is>
          <t>2025</t>
        </is>
      </c>
      <c r="D648" s="1" t="inlineStr">
        <is>
          <t>2027BUD_V1</t>
        </is>
      </c>
      <c r="E648" s="1" t="inlineStr">
        <is>
          <t>12</t>
        </is>
      </c>
      <c r="F648" t="n">
        <v>58448</v>
      </c>
    </row>
    <row r="649">
      <c r="A649" s="1" t="inlineStr">
        <is>
          <t>IPAC_MTP</t>
        </is>
      </c>
      <c r="B649" s="1" t="inlineStr">
        <is>
          <t>6811</t>
        </is>
      </c>
      <c r="C649" s="1" t="inlineStr">
        <is>
          <t>2025</t>
        </is>
      </c>
      <c r="D649" s="1" t="inlineStr">
        <is>
          <t>2027BUD_V1</t>
        </is>
      </c>
      <c r="E649" s="1" t="inlineStr">
        <is>
          <t>12</t>
        </is>
      </c>
      <c r="F649" t="n">
        <v>58448</v>
      </c>
    </row>
    <row r="650">
      <c r="A650" s="1" t="inlineStr">
        <is>
          <t>PIGIER_LYO</t>
        </is>
      </c>
      <c r="B650" s="1" t="inlineStr">
        <is>
          <t>6811</t>
        </is>
      </c>
      <c r="C650" s="1" t="inlineStr">
        <is>
          <t>2025</t>
        </is>
      </c>
      <c r="D650" s="1" t="inlineStr">
        <is>
          <t>2027BUD_V1</t>
        </is>
      </c>
      <c r="E650" s="1" t="inlineStr">
        <is>
          <t>12</t>
        </is>
      </c>
      <c r="F650" t="n">
        <v>77931</v>
      </c>
    </row>
    <row r="651">
      <c r="A651" s="1" t="inlineStr">
        <is>
          <t>PIGIER_BOR</t>
        </is>
      </c>
      <c r="B651" s="1" t="inlineStr">
        <is>
          <t>6811</t>
        </is>
      </c>
      <c r="C651" s="1" t="inlineStr">
        <is>
          <t>2025</t>
        </is>
      </c>
      <c r="D651" s="1" t="inlineStr">
        <is>
          <t>2027BUD_V1</t>
        </is>
      </c>
      <c r="E651" s="1" t="inlineStr">
        <is>
          <t>12</t>
        </is>
      </c>
      <c r="F651" t="n">
        <v>77931</v>
      </c>
    </row>
    <row r="652">
      <c r="A652" s="1" t="inlineStr">
        <is>
          <t>TUNON_PAR</t>
        </is>
      </c>
      <c r="B652" s="1" t="inlineStr">
        <is>
          <t>6811</t>
        </is>
      </c>
      <c r="C652" s="1" t="inlineStr">
        <is>
          <t>2025</t>
        </is>
      </c>
      <c r="D652" s="1" t="inlineStr">
        <is>
          <t>2027BUD_V1</t>
        </is>
      </c>
      <c r="E652" s="1" t="inlineStr">
        <is>
          <t>12</t>
        </is>
      </c>
      <c r="F652" t="n">
        <v>58448</v>
      </c>
    </row>
    <row r="653">
      <c r="A653" s="1" t="inlineStr">
        <is>
          <t>TUNON_LYO</t>
        </is>
      </c>
      <c r="B653" s="1" t="inlineStr">
        <is>
          <t>6811</t>
        </is>
      </c>
      <c r="C653" s="1" t="inlineStr">
        <is>
          <t>2025</t>
        </is>
      </c>
      <c r="D653" s="1" t="inlineStr">
        <is>
          <t>2027BUD_V1</t>
        </is>
      </c>
      <c r="E653" s="1" t="inlineStr">
        <is>
          <t>12</t>
        </is>
      </c>
      <c r="F653" t="n">
        <v>58448</v>
      </c>
    </row>
    <row r="654">
      <c r="A654" s="1" t="inlineStr">
        <is>
          <t>MBWAY_PAR</t>
        </is>
      </c>
      <c r="B654" s="1" t="inlineStr">
        <is>
          <t>6811</t>
        </is>
      </c>
      <c r="C654" s="1" t="inlineStr">
        <is>
          <t>2026</t>
        </is>
      </c>
      <c r="D654" s="1" t="inlineStr">
        <is>
          <t>2027BUD_V1</t>
        </is>
      </c>
      <c r="E654" s="1" t="inlineStr">
        <is>
          <t>12</t>
        </is>
      </c>
      <c r="F654" t="n">
        <v>154887</v>
      </c>
    </row>
    <row r="655">
      <c r="A655" s="1" t="inlineStr">
        <is>
          <t>MBWAY_LYO</t>
        </is>
      </c>
      <c r="B655" s="1" t="inlineStr">
        <is>
          <t>6811</t>
        </is>
      </c>
      <c r="C655" s="1" t="inlineStr">
        <is>
          <t>2026</t>
        </is>
      </c>
      <c r="D655" s="1" t="inlineStr">
        <is>
          <t>2027BUD_V1</t>
        </is>
      </c>
      <c r="E655" s="1" t="inlineStr">
        <is>
          <t>12</t>
        </is>
      </c>
      <c r="F655" t="n">
        <v>134236</v>
      </c>
    </row>
    <row r="656">
      <c r="A656" s="1" t="inlineStr">
        <is>
          <t>MBWAY_NAN</t>
        </is>
      </c>
      <c r="B656" s="1" t="inlineStr">
        <is>
          <t>6811</t>
        </is>
      </c>
      <c r="C656" s="1" t="inlineStr">
        <is>
          <t>2026</t>
        </is>
      </c>
      <c r="D656" s="1" t="inlineStr">
        <is>
          <t>2027BUD_V1</t>
        </is>
      </c>
      <c r="E656" s="1" t="inlineStr">
        <is>
          <t>12</t>
        </is>
      </c>
      <c r="F656" t="n">
        <v>123910</v>
      </c>
    </row>
    <row r="657">
      <c r="A657" s="1" t="inlineStr">
        <is>
          <t>MBWAY_BOR</t>
        </is>
      </c>
      <c r="B657" s="1" t="inlineStr">
        <is>
          <t>6811</t>
        </is>
      </c>
      <c r="C657" s="1" t="inlineStr">
        <is>
          <t>2026</t>
        </is>
      </c>
      <c r="D657" s="1" t="inlineStr">
        <is>
          <t>2027BUD_V1</t>
        </is>
      </c>
      <c r="E657" s="1" t="inlineStr">
        <is>
          <t>12</t>
        </is>
      </c>
      <c r="F657" t="n">
        <v>103258</v>
      </c>
    </row>
    <row r="658">
      <c r="A658" s="1" t="inlineStr">
        <is>
          <t>ISCOM_PAR</t>
        </is>
      </c>
      <c r="B658" s="1" t="inlineStr">
        <is>
          <t>6811</t>
        </is>
      </c>
      <c r="C658" s="1" t="inlineStr">
        <is>
          <t>2026</t>
        </is>
      </c>
      <c r="D658" s="1" t="inlineStr">
        <is>
          <t>2027BUD_V1</t>
        </is>
      </c>
      <c r="E658" s="1" t="inlineStr">
        <is>
          <t>12</t>
        </is>
      </c>
      <c r="F658" t="n">
        <v>154887</v>
      </c>
    </row>
    <row r="659">
      <c r="A659" s="1" t="inlineStr">
        <is>
          <t>ISCOM_LIL</t>
        </is>
      </c>
      <c r="B659" s="1" t="inlineStr">
        <is>
          <t>6811</t>
        </is>
      </c>
      <c r="C659" s="1" t="inlineStr">
        <is>
          <t>2026</t>
        </is>
      </c>
      <c r="D659" s="1" t="inlineStr">
        <is>
          <t>2027BUD_V1</t>
        </is>
      </c>
      <c r="E659" s="1" t="inlineStr">
        <is>
          <t>12</t>
        </is>
      </c>
      <c r="F659" t="n">
        <v>103258</v>
      </c>
    </row>
    <row r="660">
      <c r="A660" s="1" t="inlineStr">
        <is>
          <t>ISCOM_TLS</t>
        </is>
      </c>
      <c r="B660" s="1" t="inlineStr">
        <is>
          <t>6811</t>
        </is>
      </c>
      <c r="C660" s="1" t="inlineStr">
        <is>
          <t>2026</t>
        </is>
      </c>
      <c r="D660" s="1" t="inlineStr">
        <is>
          <t>2027BUD_V1</t>
        </is>
      </c>
      <c r="E660" s="1" t="inlineStr">
        <is>
          <t>12</t>
        </is>
      </c>
      <c r="F660" t="n">
        <v>103258</v>
      </c>
    </row>
    <row r="661">
      <c r="A661" s="1" t="inlineStr">
        <is>
          <t>IPAC_NAN</t>
        </is>
      </c>
      <c r="B661" s="1" t="inlineStr">
        <is>
          <t>6811</t>
        </is>
      </c>
      <c r="C661" s="1" t="inlineStr">
        <is>
          <t>2026</t>
        </is>
      </c>
      <c r="D661" s="1" t="inlineStr">
        <is>
          <t>2027BUD_V1</t>
        </is>
      </c>
      <c r="E661" s="1" t="inlineStr">
        <is>
          <t>12</t>
        </is>
      </c>
      <c r="F661" t="n">
        <v>61955</v>
      </c>
    </row>
    <row r="662">
      <c r="A662" s="1" t="inlineStr">
        <is>
          <t>IPAC_REN</t>
        </is>
      </c>
      <c r="B662" s="1" t="inlineStr">
        <is>
          <t>6811</t>
        </is>
      </c>
      <c r="C662" s="1" t="inlineStr">
        <is>
          <t>2026</t>
        </is>
      </c>
      <c r="D662" s="1" t="inlineStr">
        <is>
          <t>2027BUD_V1</t>
        </is>
      </c>
      <c r="E662" s="1" t="inlineStr">
        <is>
          <t>12</t>
        </is>
      </c>
      <c r="F662" t="n">
        <v>61955</v>
      </c>
    </row>
    <row r="663">
      <c r="A663" s="1" t="inlineStr">
        <is>
          <t>IPAC_MTP</t>
        </is>
      </c>
      <c r="B663" s="1" t="inlineStr">
        <is>
          <t>6811</t>
        </is>
      </c>
      <c r="C663" s="1" t="inlineStr">
        <is>
          <t>2026</t>
        </is>
      </c>
      <c r="D663" s="1" t="inlineStr">
        <is>
          <t>2027BUD_V1</t>
        </is>
      </c>
      <c r="E663" s="1" t="inlineStr">
        <is>
          <t>12</t>
        </is>
      </c>
      <c r="F663" t="n">
        <v>61955</v>
      </c>
    </row>
    <row r="664">
      <c r="A664" s="1" t="inlineStr">
        <is>
          <t>PIGIER_LYO</t>
        </is>
      </c>
      <c r="B664" s="1" t="inlineStr">
        <is>
          <t>6811</t>
        </is>
      </c>
      <c r="C664" s="1" t="inlineStr">
        <is>
          <t>2026</t>
        </is>
      </c>
      <c r="D664" s="1" t="inlineStr">
        <is>
          <t>2027BUD_V1</t>
        </is>
      </c>
      <c r="E664" s="1" t="inlineStr">
        <is>
          <t>12</t>
        </is>
      </c>
      <c r="F664" t="n">
        <v>82607</v>
      </c>
    </row>
    <row r="665">
      <c r="A665" s="1" t="inlineStr">
        <is>
          <t>PIGIER_BOR</t>
        </is>
      </c>
      <c r="B665" s="1" t="inlineStr">
        <is>
          <t>6811</t>
        </is>
      </c>
      <c r="C665" s="1" t="inlineStr">
        <is>
          <t>2026</t>
        </is>
      </c>
      <c r="D665" s="1" t="inlineStr">
        <is>
          <t>2027BUD_V1</t>
        </is>
      </c>
      <c r="E665" s="1" t="inlineStr">
        <is>
          <t>12</t>
        </is>
      </c>
      <c r="F665" t="n">
        <v>82607</v>
      </c>
    </row>
    <row r="666">
      <c r="A666" s="1" t="inlineStr">
        <is>
          <t>TUNON_PAR</t>
        </is>
      </c>
      <c r="B666" s="1" t="inlineStr">
        <is>
          <t>6811</t>
        </is>
      </c>
      <c r="C666" s="1" t="inlineStr">
        <is>
          <t>2026</t>
        </is>
      </c>
      <c r="D666" s="1" t="inlineStr">
        <is>
          <t>2027BUD_V1</t>
        </is>
      </c>
      <c r="E666" s="1" t="inlineStr">
        <is>
          <t>12</t>
        </is>
      </c>
      <c r="F666" t="n">
        <v>61955</v>
      </c>
    </row>
    <row r="667">
      <c r="A667" s="1" t="inlineStr">
        <is>
          <t>TUNON_LYO</t>
        </is>
      </c>
      <c r="B667" s="1" t="inlineStr">
        <is>
          <t>6811</t>
        </is>
      </c>
      <c r="C667" s="1" t="inlineStr">
        <is>
          <t>2026</t>
        </is>
      </c>
      <c r="D667" s="1" t="inlineStr">
        <is>
          <t>2027BUD_V1</t>
        </is>
      </c>
      <c r="E667" s="1" t="inlineStr">
        <is>
          <t>12</t>
        </is>
      </c>
      <c r="F667" t="n">
        <v>61955</v>
      </c>
    </row>
    <row r="668">
      <c r="A668" s="1" t="inlineStr">
        <is>
          <t>GRP</t>
        </is>
      </c>
      <c r="B668" s="1" t="inlineStr">
        <is>
          <t>TEC_PL</t>
        </is>
      </c>
      <c r="C668" s="1" t="inlineStr">
        <is>
          <t>2027</t>
        </is>
      </c>
      <c r="D668" s="1" t="inlineStr">
        <is>
          <t>2027BUD_V1</t>
        </is>
      </c>
      <c r="E668" s="1" t="inlineStr">
        <is>
          <t>12</t>
        </is>
      </c>
      <c r="F668" t="n">
        <v>0.05</v>
      </c>
    </row>
    <row r="669">
      <c r="A669" s="1" t="inlineStr">
        <is>
          <t>GRP</t>
        </is>
      </c>
      <c r="B669" s="1" t="inlineStr">
        <is>
          <t>TEC_EBITDA</t>
        </is>
      </c>
      <c r="C669" s="1" t="inlineStr">
        <is>
          <t>2027</t>
        </is>
      </c>
      <c r="D669" s="1" t="inlineStr">
        <is>
          <t>2027BUD_V1</t>
        </is>
      </c>
      <c r="E669" s="1" t="inlineStr">
        <is>
          <t>12</t>
        </is>
      </c>
      <c r="F669" t="n">
        <v>0.15</v>
      </c>
    </row>
    <row r="670">
      <c r="A670" s="1" t="inlineStr">
        <is>
          <t>PIGIER_BOR</t>
        </is>
      </c>
      <c r="B670" s="1" t="inlineStr">
        <is>
          <t>7062</t>
        </is>
      </c>
      <c r="C670" s="1" t="inlineStr">
        <is>
          <t>2024</t>
        </is>
      </c>
      <c r="D670" s="1" t="inlineStr">
        <is>
          <t>2027BUD_V1</t>
        </is>
      </c>
      <c r="E670" s="1" t="inlineStr">
        <is>
          <t>12</t>
        </is>
      </c>
      <c r="F670" t="n">
        <v>998123</v>
      </c>
    </row>
    <row r="671">
      <c r="A671" s="1" t="inlineStr">
        <is>
          <t>PIGIER_BOR</t>
        </is>
      </c>
      <c r="B671" s="1" t="inlineStr">
        <is>
          <t>7062</t>
        </is>
      </c>
      <c r="C671" s="1" t="inlineStr">
        <is>
          <t>2025</t>
        </is>
      </c>
      <c r="D671" s="1" t="inlineStr">
        <is>
          <t>2027BUD_V1</t>
        </is>
      </c>
      <c r="E671" s="1" t="inlineStr">
        <is>
          <t>12</t>
        </is>
      </c>
      <c r="F671" t="n">
        <v>1062157</v>
      </c>
    </row>
    <row r="672">
      <c r="A672" s="1" t="inlineStr">
        <is>
          <t>PIGIER_BOR</t>
        </is>
      </c>
      <c r="B672" s="1" t="inlineStr">
        <is>
          <t>7062</t>
        </is>
      </c>
      <c r="C672" s="1" t="inlineStr">
        <is>
          <t>2026</t>
        </is>
      </c>
      <c r="D672" s="1" t="inlineStr">
        <is>
          <t>2027BUD_V1</t>
        </is>
      </c>
      <c r="E672" s="1" t="inlineStr">
        <is>
          <t>12</t>
        </is>
      </c>
      <c r="F672" t="n">
        <v>1126170</v>
      </c>
    </row>
    <row r="673">
      <c r="A673" s="1" t="inlineStr">
        <is>
          <t>PIGIER_LYO</t>
        </is>
      </c>
      <c r="B673" s="1" t="inlineStr">
        <is>
          <t>7062</t>
        </is>
      </c>
      <c r="C673" s="1" t="inlineStr">
        <is>
          <t>2024</t>
        </is>
      </c>
      <c r="D673" s="1" t="inlineStr">
        <is>
          <t>2027BUD_V1</t>
        </is>
      </c>
      <c r="E673" s="1" t="inlineStr">
        <is>
          <t>12</t>
        </is>
      </c>
      <c r="F673" t="n">
        <v>1392311</v>
      </c>
    </row>
    <row r="674">
      <c r="A674" s="1" t="inlineStr">
        <is>
          <t>PIGIER_LYO</t>
        </is>
      </c>
      <c r="B674" s="1" t="inlineStr">
        <is>
          <t>7062</t>
        </is>
      </c>
      <c r="C674" s="1" t="inlineStr">
        <is>
          <t>2025</t>
        </is>
      </c>
      <c r="D674" s="1" t="inlineStr">
        <is>
          <t>2027BUD_V1</t>
        </is>
      </c>
      <c r="E674" s="1" t="inlineStr">
        <is>
          <t>12</t>
        </is>
      </c>
      <c r="F674" t="n">
        <v>1461529</v>
      </c>
    </row>
    <row r="675">
      <c r="A675" s="1" t="inlineStr">
        <is>
          <t>PIGIER_LYO</t>
        </is>
      </c>
      <c r="B675" s="1" t="inlineStr">
        <is>
          <t>7062</t>
        </is>
      </c>
      <c r="C675" s="1" t="inlineStr">
        <is>
          <t>2026</t>
        </is>
      </c>
      <c r="D675" s="1" t="inlineStr">
        <is>
          <t>2027BUD_V1</t>
        </is>
      </c>
      <c r="E675" s="1" t="inlineStr">
        <is>
          <t>12</t>
        </is>
      </c>
      <c r="F675" t="n">
        <v>1565550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47"/>
  <sheetViews>
    <sheetView workbookViewId="0">
      <selection activeCell="I2" sqref="I2"/>
    </sheetView>
  </sheetViews>
  <sheetFormatPr baseColWidth="10" defaultRowHeight="14.25"/>
  <cols>
    <col width="15" customWidth="1" min="8" max="8"/>
    <col width="13" customWidth="1" min="9" max="9"/>
  </cols>
  <sheetData>
    <row r="1">
      <c r="A1" s="1" t="inlineStr">
        <is>
          <t>ENTITY</t>
        </is>
      </c>
      <c r="B1" s="1" t="inlineStr">
        <is>
          <t>ACCOUNT</t>
        </is>
      </c>
      <c r="C1" s="1" t="inlineStr">
        <is>
          <t>EXERCICE</t>
        </is>
      </c>
      <c r="D1" s="1" t="inlineStr">
        <is>
          <t>VERSION</t>
        </is>
      </c>
      <c r="E1" s="1" t="inlineStr">
        <is>
          <t>SCENARIO</t>
        </is>
      </c>
      <c r="F1" s="1" t="inlineStr">
        <is>
          <t>PERIOD</t>
        </is>
      </c>
      <c r="G1" s="1" t="inlineStr">
        <is>
          <t>AMOUNT</t>
        </is>
      </c>
      <c r="H1" t="inlineStr">
        <is>
          <t>🟢 AMOUNT (live)</t>
        </is>
      </c>
      <c r="I1" t="inlineStr">
        <is>
          <t>Δ vs Tagetik</t>
        </is>
      </c>
    </row>
    <row r="2">
      <c r="A2" s="1" t="inlineStr">
        <is>
          <t>MBWAY_PAR</t>
        </is>
      </c>
      <c r="B2" s="1" t="inlineStr">
        <is>
          <t>7062</t>
        </is>
      </c>
      <c r="C2" s="1" t="inlineStr">
        <is>
          <t>2024</t>
        </is>
      </c>
      <c r="D2" s="1" t="inlineStr">
        <is>
          <t>ACT</t>
        </is>
      </c>
      <c r="E2" s="1" t="inlineStr">
        <is>
          <t>2027BUD_V1</t>
        </is>
      </c>
      <c r="F2" s="1" t="inlineStr">
        <is>
          <t>12</t>
        </is>
      </c>
      <c r="G2" t="n">
        <v>2197935</v>
      </c>
      <c r="H2">
        <f>IF(PNL!A2="","",_CALC_PNL!P2)</f>
        <v/>
      </c>
      <c r="I2">
        <f>IF(PNL!A2="","",IF(_CALC_PNL!E2=1,H2-G2,""))</f>
        <v/>
      </c>
    </row>
    <row r="3">
      <c r="A3" s="1" t="inlineStr">
        <is>
          <t>MBWAY_LYO</t>
        </is>
      </c>
      <c r="B3" s="1" t="inlineStr">
        <is>
          <t>7062</t>
        </is>
      </c>
      <c r="C3" s="1" t="inlineStr">
        <is>
          <t>2024</t>
        </is>
      </c>
      <c r="D3" s="1" t="inlineStr">
        <is>
          <t>ACT</t>
        </is>
      </c>
      <c r="E3" s="1" t="inlineStr">
        <is>
          <t>2027BUD_V1</t>
        </is>
      </c>
      <c r="F3" s="1" t="inlineStr">
        <is>
          <t>12</t>
        </is>
      </c>
      <c r="G3" t="n">
        <v>1748910</v>
      </c>
      <c r="H3">
        <f>IF(PNL!A3="","",_CALC_PNL!P3)</f>
        <v/>
      </c>
      <c r="I3">
        <f>IF(PNL!A3="","",IF(_CALC_PNL!E3=1,H3-G3,""))</f>
        <v/>
      </c>
    </row>
    <row r="4">
      <c r="A4" s="1" t="inlineStr">
        <is>
          <t>MBWAY_NAN</t>
        </is>
      </c>
      <c r="B4" s="1" t="inlineStr">
        <is>
          <t>7062</t>
        </is>
      </c>
      <c r="C4" s="1" t="inlineStr">
        <is>
          <t>2024</t>
        </is>
      </c>
      <c r="D4" s="1" t="inlineStr">
        <is>
          <t>ACT</t>
        </is>
      </c>
      <c r="E4" s="1" t="inlineStr">
        <is>
          <t>2027BUD_V1</t>
        </is>
      </c>
      <c r="F4" s="1" t="inlineStr">
        <is>
          <t>12</t>
        </is>
      </c>
      <c r="G4" t="n">
        <v>1510769</v>
      </c>
      <c r="H4">
        <f>IF(PNL!A4="","",_CALC_PNL!P4)</f>
        <v/>
      </c>
      <c r="I4">
        <f>IF(PNL!A4="","",IF(_CALC_PNL!E4=1,H4-G4,""))</f>
        <v/>
      </c>
    </row>
    <row r="5">
      <c r="A5" s="1" t="inlineStr">
        <is>
          <t>MBWAY_BOR</t>
        </is>
      </c>
      <c r="B5" s="1" t="inlineStr">
        <is>
          <t>7062</t>
        </is>
      </c>
      <c r="C5" s="1" t="inlineStr">
        <is>
          <t>2024</t>
        </is>
      </c>
      <c r="D5" s="1" t="inlineStr">
        <is>
          <t>ACT</t>
        </is>
      </c>
      <c r="E5" s="1" t="inlineStr">
        <is>
          <t>2027BUD_V1</t>
        </is>
      </c>
      <c r="F5" s="1" t="inlineStr">
        <is>
          <t>12</t>
        </is>
      </c>
      <c r="G5" t="n">
        <v>1240125</v>
      </c>
      <c r="H5">
        <f>IF(PNL!A5="","",_CALC_PNL!P5)</f>
        <v/>
      </c>
      <c r="I5">
        <f>IF(PNL!A5="","",IF(_CALC_PNL!E5=1,H5-G5,""))</f>
        <v/>
      </c>
    </row>
    <row r="6">
      <c r="A6" s="1" t="inlineStr">
        <is>
          <t>ISCOM_PAR</t>
        </is>
      </c>
      <c r="B6" s="1" t="inlineStr">
        <is>
          <t>7062</t>
        </is>
      </c>
      <c r="C6" s="1" t="inlineStr">
        <is>
          <t>2024</t>
        </is>
      </c>
      <c r="D6" s="1" t="inlineStr">
        <is>
          <t>ACT</t>
        </is>
      </c>
      <c r="E6" s="1" t="inlineStr">
        <is>
          <t>2027BUD_V1</t>
        </is>
      </c>
      <c r="F6" s="1" t="inlineStr">
        <is>
          <t>12</t>
        </is>
      </c>
      <c r="G6" t="n">
        <v>2038946</v>
      </c>
      <c r="H6">
        <f>IF(PNL!A6="","",_CALC_PNL!P6)</f>
        <v/>
      </c>
      <c r="I6">
        <f>IF(PNL!A6="","",IF(_CALC_PNL!E6=1,H6-G6,""))</f>
        <v/>
      </c>
    </row>
    <row r="7">
      <c r="A7" s="1" t="inlineStr">
        <is>
          <t>ISCOM_LIL</t>
        </is>
      </c>
      <c r="B7" s="1" t="inlineStr">
        <is>
          <t>7062</t>
        </is>
      </c>
      <c r="C7" s="1" t="inlineStr">
        <is>
          <t>2024</t>
        </is>
      </c>
      <c r="D7" s="1" t="inlineStr">
        <is>
          <t>ACT</t>
        </is>
      </c>
      <c r="E7" s="1" t="inlineStr">
        <is>
          <t>2027BUD_V1</t>
        </is>
      </c>
      <c r="F7" s="1" t="inlineStr">
        <is>
          <t>12</t>
        </is>
      </c>
      <c r="G7" t="n">
        <v>1227617</v>
      </c>
      <c r="H7">
        <f>IF(PNL!A7="","",_CALC_PNL!P7)</f>
        <v/>
      </c>
      <c r="I7">
        <f>IF(PNL!A7="","",IF(_CALC_PNL!E7=1,H7-G7,""))</f>
        <v/>
      </c>
    </row>
    <row r="8">
      <c r="A8" s="1" t="inlineStr">
        <is>
          <t>ISCOM_TLS</t>
        </is>
      </c>
      <c r="B8" s="1" t="inlineStr">
        <is>
          <t>7062</t>
        </is>
      </c>
      <c r="C8" s="1" t="inlineStr">
        <is>
          <t>2024</t>
        </is>
      </c>
      <c r="D8" s="1" t="inlineStr">
        <is>
          <t>ACT</t>
        </is>
      </c>
      <c r="E8" s="1" t="inlineStr">
        <is>
          <t>2027BUD_V1</t>
        </is>
      </c>
      <c r="F8" s="1" t="inlineStr">
        <is>
          <t>12</t>
        </is>
      </c>
      <c r="G8" t="n">
        <v>1140192</v>
      </c>
      <c r="H8">
        <f>IF(PNL!A8="","",_CALC_PNL!P8)</f>
        <v/>
      </c>
      <c r="I8">
        <f>IF(PNL!A8="","",IF(_CALC_PNL!E8=1,H8-G8,""))</f>
        <v/>
      </c>
    </row>
    <row r="9">
      <c r="A9" s="1" t="inlineStr">
        <is>
          <t>IPAC_NAN</t>
        </is>
      </c>
      <c r="B9" s="1" t="inlineStr">
        <is>
          <t>7062</t>
        </is>
      </c>
      <c r="C9" s="1" t="inlineStr">
        <is>
          <t>2024</t>
        </is>
      </c>
      <c r="D9" s="1" t="inlineStr">
        <is>
          <t>ACT</t>
        </is>
      </c>
      <c r="E9" s="1" t="inlineStr">
        <is>
          <t>2027BUD_V1</t>
        </is>
      </c>
      <c r="F9" s="1" t="inlineStr">
        <is>
          <t>12</t>
        </is>
      </c>
      <c r="G9" t="n">
        <v>903346</v>
      </c>
      <c r="H9">
        <f>IF(PNL!A9="","",_CALC_PNL!P9)</f>
        <v/>
      </c>
      <c r="I9">
        <f>IF(PNL!A9="","",IF(_CALC_PNL!E9=1,H9-G9,""))</f>
        <v/>
      </c>
    </row>
    <row r="10">
      <c r="A10" s="1" t="inlineStr">
        <is>
          <t>IPAC_REN</t>
        </is>
      </c>
      <c r="B10" s="1" t="inlineStr">
        <is>
          <t>7062</t>
        </is>
      </c>
      <c r="C10" s="1" t="inlineStr">
        <is>
          <t>2024</t>
        </is>
      </c>
      <c r="D10" s="1" t="inlineStr">
        <is>
          <t>ACT</t>
        </is>
      </c>
      <c r="E10" s="1" t="inlineStr">
        <is>
          <t>2027BUD_V1</t>
        </is>
      </c>
      <c r="F10" s="1" t="inlineStr">
        <is>
          <t>12</t>
        </is>
      </c>
      <c r="G10" t="n">
        <v>692462</v>
      </c>
      <c r="H10">
        <f>IF(PNL!A10="","",_CALC_PNL!P10)</f>
        <v/>
      </c>
      <c r="I10">
        <f>IF(PNL!A10="","",IF(_CALC_PNL!E10=1,H10-G10,""))</f>
        <v/>
      </c>
    </row>
    <row r="11">
      <c r="A11" s="1" t="inlineStr">
        <is>
          <t>IPAC_MTP</t>
        </is>
      </c>
      <c r="B11" s="1" t="inlineStr">
        <is>
          <t>7062</t>
        </is>
      </c>
      <c r="C11" s="1" t="inlineStr">
        <is>
          <t>2024</t>
        </is>
      </c>
      <c r="D11" s="1" t="inlineStr">
        <is>
          <t>ACT</t>
        </is>
      </c>
      <c r="E11" s="1" t="inlineStr">
        <is>
          <t>2027BUD_V1</t>
        </is>
      </c>
      <c r="F11" s="1" t="inlineStr">
        <is>
          <t>12</t>
        </is>
      </c>
      <c r="G11" t="n">
        <v>692462</v>
      </c>
      <c r="H11">
        <f>IF(PNL!A11="","",_CALC_PNL!P11)</f>
        <v/>
      </c>
      <c r="I11">
        <f>IF(PNL!A11="","",IF(_CALC_PNL!E11=1,H11-G11,""))</f>
        <v/>
      </c>
    </row>
    <row r="12">
      <c r="A12" s="1" t="inlineStr">
        <is>
          <t>TUNON_PAR</t>
        </is>
      </c>
      <c r="B12" s="1" t="inlineStr">
        <is>
          <t>7062</t>
        </is>
      </c>
      <c r="C12" s="1" t="inlineStr">
        <is>
          <t>2024</t>
        </is>
      </c>
      <c r="D12" s="1" t="inlineStr">
        <is>
          <t>ACT</t>
        </is>
      </c>
      <c r="E12" s="1" t="inlineStr">
        <is>
          <t>2027BUD_V1</t>
        </is>
      </c>
      <c r="F12" s="1" t="inlineStr">
        <is>
          <t>12</t>
        </is>
      </c>
      <c r="G12" t="n">
        <v>962905</v>
      </c>
      <c r="H12">
        <f>IF(PNL!A12="","",_CALC_PNL!P12)</f>
        <v/>
      </c>
      <c r="I12">
        <f>IF(PNL!A12="","",IF(_CALC_PNL!E12=1,H12-G12,""))</f>
        <v/>
      </c>
    </row>
    <row r="13">
      <c r="A13" s="1" t="inlineStr">
        <is>
          <t>TUNON_LYO</t>
        </is>
      </c>
      <c r="B13" s="1" t="inlineStr">
        <is>
          <t>7062</t>
        </is>
      </c>
      <c r="C13" s="1" t="inlineStr">
        <is>
          <t>2024</t>
        </is>
      </c>
      <c r="D13" s="1" t="inlineStr">
        <is>
          <t>ACT</t>
        </is>
      </c>
      <c r="E13" s="1" t="inlineStr">
        <is>
          <t>2027BUD_V1</t>
        </is>
      </c>
      <c r="F13" s="1" t="inlineStr">
        <is>
          <t>12</t>
        </is>
      </c>
      <c r="G13" t="n">
        <v>765352</v>
      </c>
      <c r="H13">
        <f>IF(PNL!A13="","",_CALC_PNL!P13)</f>
        <v/>
      </c>
      <c r="I13">
        <f>IF(PNL!A13="","",IF(_CALC_PNL!E13=1,H13-G13,""))</f>
        <v/>
      </c>
    </row>
    <row r="14">
      <c r="A14" s="1" t="inlineStr">
        <is>
          <t>MBWAY_PAR</t>
        </is>
      </c>
      <c r="B14" s="1" t="inlineStr">
        <is>
          <t>7062</t>
        </is>
      </c>
      <c r="C14" s="1" t="inlineStr">
        <is>
          <t>2025</t>
        </is>
      </c>
      <c r="D14" s="1" t="inlineStr">
        <is>
          <t>ACT</t>
        </is>
      </c>
      <c r="E14" s="1" t="inlineStr">
        <is>
          <t>2027BUD_V1</t>
        </is>
      </c>
      <c r="F14" s="1" t="inlineStr">
        <is>
          <t>12</t>
        </is>
      </c>
      <c r="G14" t="n">
        <v>2329811</v>
      </c>
      <c r="H14">
        <f>IF(PNL!A14="","",_CALC_PNL!P14)</f>
        <v/>
      </c>
      <c r="I14">
        <f>IF(PNL!A14="","",IF(_CALC_PNL!E14=1,H14-G14,""))</f>
        <v/>
      </c>
    </row>
    <row r="15">
      <c r="A15" s="1" t="inlineStr">
        <is>
          <t>MBWAY_LYO</t>
        </is>
      </c>
      <c r="B15" s="1" t="inlineStr">
        <is>
          <t>7062</t>
        </is>
      </c>
      <c r="C15" s="1" t="inlineStr">
        <is>
          <t>2025</t>
        </is>
      </c>
      <c r="D15" s="1" t="inlineStr">
        <is>
          <t>ACT</t>
        </is>
      </c>
      <c r="E15" s="1" t="inlineStr">
        <is>
          <t>2027BUD_V1</t>
        </is>
      </c>
      <c r="F15" s="1" t="inlineStr">
        <is>
          <t>12</t>
        </is>
      </c>
      <c r="G15" t="n">
        <v>1853844</v>
      </c>
      <c r="H15">
        <f>IF(PNL!A15="","",_CALC_PNL!P15)</f>
        <v/>
      </c>
      <c r="I15">
        <f>IF(PNL!A15="","",IF(_CALC_PNL!E15=1,H15-G15,""))</f>
        <v/>
      </c>
    </row>
    <row r="16">
      <c r="A16" s="1" t="inlineStr">
        <is>
          <t>MBWAY_NAN</t>
        </is>
      </c>
      <c r="B16" s="1" t="inlineStr">
        <is>
          <t>7062</t>
        </is>
      </c>
      <c r="C16" s="1" t="inlineStr">
        <is>
          <t>2025</t>
        </is>
      </c>
      <c r="D16" s="1" t="inlineStr">
        <is>
          <t>ACT</t>
        </is>
      </c>
      <c r="E16" s="1" t="inlineStr">
        <is>
          <t>2027BUD_V1</t>
        </is>
      </c>
      <c r="F16" s="1" t="inlineStr">
        <is>
          <t>12</t>
        </is>
      </c>
      <c r="G16" t="n">
        <v>1601415</v>
      </c>
      <c r="H16">
        <f>IF(PNL!A16="","",_CALC_PNL!P16)</f>
        <v/>
      </c>
      <c r="I16">
        <f>IF(PNL!A16="","",IF(_CALC_PNL!E16=1,H16-G16,""))</f>
        <v/>
      </c>
    </row>
    <row r="17">
      <c r="A17" s="1" t="inlineStr">
        <is>
          <t>MBWAY_BOR</t>
        </is>
      </c>
      <c r="B17" s="1" t="inlineStr">
        <is>
          <t>7062</t>
        </is>
      </c>
      <c r="C17" s="1" t="inlineStr">
        <is>
          <t>2025</t>
        </is>
      </c>
      <c r="D17" s="1" t="inlineStr">
        <is>
          <t>ACT</t>
        </is>
      </c>
      <c r="E17" s="1" t="inlineStr">
        <is>
          <t>2027BUD_V1</t>
        </is>
      </c>
      <c r="F17" s="1" t="inlineStr">
        <is>
          <t>12</t>
        </is>
      </c>
      <c r="G17" t="n">
        <v>1314533</v>
      </c>
      <c r="H17">
        <f>IF(PNL!A17="","",_CALC_PNL!P17)</f>
        <v/>
      </c>
      <c r="I17">
        <f>IF(PNL!A17="","",IF(_CALC_PNL!E17=1,H17-G17,""))</f>
        <v/>
      </c>
    </row>
    <row r="18">
      <c r="A18" s="1" t="inlineStr">
        <is>
          <t>ISCOM_PAR</t>
        </is>
      </c>
      <c r="B18" s="1" t="inlineStr">
        <is>
          <t>7062</t>
        </is>
      </c>
      <c r="C18" s="1" t="inlineStr">
        <is>
          <t>2025</t>
        </is>
      </c>
      <c r="D18" s="1" t="inlineStr">
        <is>
          <t>ACT</t>
        </is>
      </c>
      <c r="E18" s="1" t="inlineStr">
        <is>
          <t>2027BUD_V1</t>
        </is>
      </c>
      <c r="F18" s="1" t="inlineStr">
        <is>
          <t>12</t>
        </is>
      </c>
      <c r="G18" t="n">
        <v>2161283</v>
      </c>
      <c r="H18">
        <f>IF(PNL!A18="","",_CALC_PNL!P18)</f>
        <v/>
      </c>
      <c r="I18">
        <f>IF(PNL!A18="","",IF(_CALC_PNL!E18=1,H18-G18,""))</f>
        <v/>
      </c>
    </row>
    <row r="19">
      <c r="A19" s="1" t="inlineStr">
        <is>
          <t>ISCOM_LIL</t>
        </is>
      </c>
      <c r="B19" s="1" t="inlineStr">
        <is>
          <t>7062</t>
        </is>
      </c>
      <c r="C19" s="1" t="inlineStr">
        <is>
          <t>2025</t>
        </is>
      </c>
      <c r="D19" s="1" t="inlineStr">
        <is>
          <t>ACT</t>
        </is>
      </c>
      <c r="E19" s="1" t="inlineStr">
        <is>
          <t>2027BUD_V1</t>
        </is>
      </c>
      <c r="F19" s="1" t="inlineStr">
        <is>
          <t>12</t>
        </is>
      </c>
      <c r="G19" t="n">
        <v>1301274</v>
      </c>
      <c r="H19">
        <f>IF(PNL!A19="","",_CALC_PNL!P19)</f>
        <v/>
      </c>
      <c r="I19">
        <f>IF(PNL!A19="","",IF(_CALC_PNL!E19=1,H19-G19,""))</f>
        <v/>
      </c>
    </row>
    <row r="20">
      <c r="A20" s="1" t="inlineStr">
        <is>
          <t>ISCOM_TLS</t>
        </is>
      </c>
      <c r="B20" s="1" t="inlineStr">
        <is>
          <t>7062</t>
        </is>
      </c>
      <c r="C20" s="1" t="inlineStr">
        <is>
          <t>2025</t>
        </is>
      </c>
      <c r="D20" s="1" t="inlineStr">
        <is>
          <t>ACT</t>
        </is>
      </c>
      <c r="E20" s="1" t="inlineStr">
        <is>
          <t>2027BUD_V1</t>
        </is>
      </c>
      <c r="F20" s="1" t="inlineStr">
        <is>
          <t>12</t>
        </is>
      </c>
      <c r="G20" t="n">
        <v>1208604</v>
      </c>
      <c r="H20">
        <f>IF(PNL!A20="","",_CALC_PNL!P20)</f>
        <v/>
      </c>
      <c r="I20">
        <f>IF(PNL!A20="","",IF(_CALC_PNL!E20=1,H20-G20,""))</f>
        <v/>
      </c>
    </row>
    <row r="21">
      <c r="A21" s="1" t="inlineStr">
        <is>
          <t>IPAC_NAN</t>
        </is>
      </c>
      <c r="B21" s="1" t="inlineStr">
        <is>
          <t>7062</t>
        </is>
      </c>
      <c r="C21" s="1" t="inlineStr">
        <is>
          <t>2025</t>
        </is>
      </c>
      <c r="D21" s="1" t="inlineStr">
        <is>
          <t>ACT</t>
        </is>
      </c>
      <c r="E21" s="1" t="inlineStr">
        <is>
          <t>2027BUD_V1</t>
        </is>
      </c>
      <c r="F21" s="1" t="inlineStr">
        <is>
          <t>12</t>
        </is>
      </c>
      <c r="G21" t="n">
        <v>957547</v>
      </c>
      <c r="H21">
        <f>IF(PNL!A21="","",_CALC_PNL!P21)</f>
        <v/>
      </c>
      <c r="I21">
        <f>IF(PNL!A21="","",IF(_CALC_PNL!E21=1,H21-G21,""))</f>
        <v/>
      </c>
    </row>
    <row r="22">
      <c r="A22" s="1" t="inlineStr">
        <is>
          <t>IPAC_REN</t>
        </is>
      </c>
      <c r="B22" s="1" t="inlineStr">
        <is>
          <t>7062</t>
        </is>
      </c>
      <c r="C22" s="1" t="inlineStr">
        <is>
          <t>2025</t>
        </is>
      </c>
      <c r="D22" s="1" t="inlineStr">
        <is>
          <t>ACT</t>
        </is>
      </c>
      <c r="E22" s="1" t="inlineStr">
        <is>
          <t>2027BUD_V1</t>
        </is>
      </c>
      <c r="F22" s="1" t="inlineStr">
        <is>
          <t>12</t>
        </is>
      </c>
      <c r="G22" t="n">
        <v>734009</v>
      </c>
      <c r="H22">
        <f>IF(PNL!A22="","",_CALC_PNL!P22)</f>
        <v/>
      </c>
      <c r="I22">
        <f>IF(PNL!A22="","",IF(_CALC_PNL!E22=1,H22-G22,""))</f>
        <v/>
      </c>
    </row>
    <row r="23">
      <c r="A23" s="1" t="inlineStr">
        <is>
          <t>IPAC_MTP</t>
        </is>
      </c>
      <c r="B23" s="1" t="inlineStr">
        <is>
          <t>7062</t>
        </is>
      </c>
      <c r="C23" s="1" t="inlineStr">
        <is>
          <t>2025</t>
        </is>
      </c>
      <c r="D23" s="1" t="inlineStr">
        <is>
          <t>ACT</t>
        </is>
      </c>
      <c r="E23" s="1" t="inlineStr">
        <is>
          <t>2027BUD_V1</t>
        </is>
      </c>
      <c r="F23" s="1" t="inlineStr">
        <is>
          <t>12</t>
        </is>
      </c>
      <c r="G23" t="n">
        <v>734009</v>
      </c>
      <c r="H23">
        <f>IF(PNL!A23="","",_CALC_PNL!P23)</f>
        <v/>
      </c>
      <c r="I23">
        <f>IF(PNL!A23="","",IF(_CALC_PNL!E23=1,H23-G23,""))</f>
        <v/>
      </c>
    </row>
    <row r="24">
      <c r="A24" s="1" t="inlineStr">
        <is>
          <t>TUNON_PAR</t>
        </is>
      </c>
      <c r="B24" s="1" t="inlineStr">
        <is>
          <t>7062</t>
        </is>
      </c>
      <c r="C24" s="1" t="inlineStr">
        <is>
          <t>2025</t>
        </is>
      </c>
      <c r="D24" s="1" t="inlineStr">
        <is>
          <t>ACT</t>
        </is>
      </c>
      <c r="E24" s="1" t="inlineStr">
        <is>
          <t>2027BUD_V1</t>
        </is>
      </c>
      <c r="F24" s="1" t="inlineStr">
        <is>
          <t>12</t>
        </is>
      </c>
      <c r="G24" t="n">
        <v>1020679</v>
      </c>
      <c r="H24">
        <f>IF(PNL!A24="","",_CALC_PNL!P24)</f>
        <v/>
      </c>
      <c r="I24">
        <f>IF(PNL!A24="","",IF(_CALC_PNL!E24=1,H24-G24,""))</f>
        <v/>
      </c>
    </row>
    <row r="25">
      <c r="A25" s="1" t="inlineStr">
        <is>
          <t>TUNON_LYO</t>
        </is>
      </c>
      <c r="B25" s="1" t="inlineStr">
        <is>
          <t>7062</t>
        </is>
      </c>
      <c r="C25" s="1" t="inlineStr">
        <is>
          <t>2025</t>
        </is>
      </c>
      <c r="D25" s="1" t="inlineStr">
        <is>
          <t>ACT</t>
        </is>
      </c>
      <c r="E25" s="1" t="inlineStr">
        <is>
          <t>2027BUD_V1</t>
        </is>
      </c>
      <c r="F25" s="1" t="inlineStr">
        <is>
          <t>12</t>
        </is>
      </c>
      <c r="G25" t="n">
        <v>811274</v>
      </c>
      <c r="H25">
        <f>IF(PNL!A25="","",_CALC_PNL!P25)</f>
        <v/>
      </c>
      <c r="I25">
        <f>IF(PNL!A25="","",IF(_CALC_PNL!E25=1,H25-G25,""))</f>
        <v/>
      </c>
    </row>
    <row r="26">
      <c r="A26" s="1" t="inlineStr">
        <is>
          <t>MBWAY_PAR</t>
        </is>
      </c>
      <c r="B26" s="1" t="inlineStr">
        <is>
          <t>7062</t>
        </is>
      </c>
      <c r="C26" s="1" t="inlineStr">
        <is>
          <t>2026</t>
        </is>
      </c>
      <c r="D26" s="1" t="inlineStr">
        <is>
          <t>ACT</t>
        </is>
      </c>
      <c r="E26" s="1" t="inlineStr">
        <is>
          <t>2027BUD_V1</t>
        </is>
      </c>
      <c r="F26" s="1" t="inlineStr">
        <is>
          <t>12</t>
        </is>
      </c>
      <c r="G26" t="n">
        <v>2469600</v>
      </c>
      <c r="H26">
        <f>IF(PNL!A26="","",_CALC_PNL!P26)</f>
        <v/>
      </c>
      <c r="I26">
        <f>IF(PNL!A26="","",IF(_CALC_PNL!E26=1,H26-G26,""))</f>
        <v/>
      </c>
    </row>
    <row r="27">
      <c r="A27" s="1" t="inlineStr">
        <is>
          <t>MBWAY_LYO</t>
        </is>
      </c>
      <c r="B27" s="1" t="inlineStr">
        <is>
          <t>7062</t>
        </is>
      </c>
      <c r="C27" s="1" t="inlineStr">
        <is>
          <t>2026</t>
        </is>
      </c>
      <c r="D27" s="1" t="inlineStr">
        <is>
          <t>ACT</t>
        </is>
      </c>
      <c r="E27" s="1" t="inlineStr">
        <is>
          <t>2027BUD_V1</t>
        </is>
      </c>
      <c r="F27" s="1" t="inlineStr">
        <is>
          <t>12</t>
        </is>
      </c>
      <c r="G27" t="n">
        <v>1965075</v>
      </c>
      <c r="H27">
        <f>IF(PNL!A27="","",_CALC_PNL!P27)</f>
        <v/>
      </c>
      <c r="I27">
        <f>IF(PNL!A27="","",IF(_CALC_PNL!E27=1,H27-G27,""))</f>
        <v/>
      </c>
    </row>
    <row r="28">
      <c r="A28" s="1" t="inlineStr">
        <is>
          <t>MBWAY_NAN</t>
        </is>
      </c>
      <c r="B28" s="1" t="inlineStr">
        <is>
          <t>7062</t>
        </is>
      </c>
      <c r="C28" s="1" t="inlineStr">
        <is>
          <t>2026</t>
        </is>
      </c>
      <c r="D28" s="1" t="inlineStr">
        <is>
          <t>ACT</t>
        </is>
      </c>
      <c r="E28" s="1" t="inlineStr">
        <is>
          <t>2027BUD_V1</t>
        </is>
      </c>
      <c r="F28" s="1" t="inlineStr">
        <is>
          <t>12</t>
        </is>
      </c>
      <c r="G28" t="n">
        <v>1697500</v>
      </c>
      <c r="H28">
        <f>IF(PNL!A28="","",_CALC_PNL!P28)</f>
        <v/>
      </c>
      <c r="I28">
        <f>IF(PNL!A28="","",IF(_CALC_PNL!E28=1,H28-G28,""))</f>
        <v/>
      </c>
    </row>
    <row r="29">
      <c r="A29" s="1" t="inlineStr">
        <is>
          <t>MBWAY_BOR</t>
        </is>
      </c>
      <c r="B29" s="1" t="inlineStr">
        <is>
          <t>7062</t>
        </is>
      </c>
      <c r="C29" s="1" t="inlineStr">
        <is>
          <t>2026</t>
        </is>
      </c>
      <c r="D29" s="1" t="inlineStr">
        <is>
          <t>ACT</t>
        </is>
      </c>
      <c r="E29" s="1" t="inlineStr">
        <is>
          <t>2027BUD_V1</t>
        </is>
      </c>
      <c r="F29" s="1" t="inlineStr">
        <is>
          <t>12</t>
        </is>
      </c>
      <c r="G29" t="n">
        <v>1393405</v>
      </c>
      <c r="H29">
        <f>IF(PNL!A29="","",_CALC_PNL!P29)</f>
        <v/>
      </c>
      <c r="I29">
        <f>IF(PNL!A29="","",IF(_CALC_PNL!E29=1,H29-G29,""))</f>
        <v/>
      </c>
    </row>
    <row r="30">
      <c r="A30" s="1" t="inlineStr">
        <is>
          <t>ISCOM_PAR</t>
        </is>
      </c>
      <c r="B30" s="1" t="inlineStr">
        <is>
          <t>7062</t>
        </is>
      </c>
      <c r="C30" s="1" t="inlineStr">
        <is>
          <t>2026</t>
        </is>
      </c>
      <c r="D30" s="1" t="inlineStr">
        <is>
          <t>ACT</t>
        </is>
      </c>
      <c r="E30" s="1" t="inlineStr">
        <is>
          <t>2027BUD_V1</t>
        </is>
      </c>
      <c r="F30" s="1" t="inlineStr">
        <is>
          <t>12</t>
        </is>
      </c>
      <c r="G30" t="n">
        <v>2290960</v>
      </c>
      <c r="H30">
        <f>IF(PNL!A30="","",_CALC_PNL!P30)</f>
        <v/>
      </c>
      <c r="I30">
        <f>IF(PNL!A30="","",IF(_CALC_PNL!E30=1,H30-G30,""))</f>
        <v/>
      </c>
    </row>
    <row r="31">
      <c r="A31" s="1" t="inlineStr">
        <is>
          <t>ISCOM_LIL</t>
        </is>
      </c>
      <c r="B31" s="1" t="inlineStr">
        <is>
          <t>7062</t>
        </is>
      </c>
      <c r="C31" s="1" t="inlineStr">
        <is>
          <t>2026</t>
        </is>
      </c>
      <c r="D31" s="1" t="inlineStr">
        <is>
          <t>ACT</t>
        </is>
      </c>
      <c r="E31" s="1" t="inlineStr">
        <is>
          <t>2027BUD_V1</t>
        </is>
      </c>
      <c r="F31" s="1" t="inlineStr">
        <is>
          <t>12</t>
        </is>
      </c>
      <c r="G31" t="n">
        <v>1379350</v>
      </c>
      <c r="H31">
        <f>IF(PNL!A31="","",_CALC_PNL!P31)</f>
        <v/>
      </c>
      <c r="I31">
        <f>IF(PNL!A31="","",IF(_CALC_PNL!E31=1,H31-G31,""))</f>
        <v/>
      </c>
    </row>
    <row r="32">
      <c r="A32" s="1" t="inlineStr">
        <is>
          <t>ISCOM_TLS</t>
        </is>
      </c>
      <c r="B32" s="1" t="inlineStr">
        <is>
          <t>7062</t>
        </is>
      </c>
      <c r="C32" s="1" t="inlineStr">
        <is>
          <t>2026</t>
        </is>
      </c>
      <c r="D32" s="1" t="inlineStr">
        <is>
          <t>ACT</t>
        </is>
      </c>
      <c r="E32" s="1" t="inlineStr">
        <is>
          <t>2027BUD_V1</t>
        </is>
      </c>
      <c r="F32" s="1" t="inlineStr">
        <is>
          <t>12</t>
        </is>
      </c>
      <c r="G32" t="n">
        <v>1281120</v>
      </c>
      <c r="H32">
        <f>IF(PNL!A32="","",_CALC_PNL!P32)</f>
        <v/>
      </c>
      <c r="I32">
        <f>IF(PNL!A32="","",IF(_CALC_PNL!E32=1,H32-G32,""))</f>
        <v/>
      </c>
    </row>
    <row r="33">
      <c r="A33" s="1" t="inlineStr">
        <is>
          <t>IPAC_NAN</t>
        </is>
      </c>
      <c r="B33" s="1" t="inlineStr">
        <is>
          <t>7062</t>
        </is>
      </c>
      <c r="C33" s="1" t="inlineStr">
        <is>
          <t>2026</t>
        </is>
      </c>
      <c r="D33" s="1" t="inlineStr">
        <is>
          <t>ACT</t>
        </is>
      </c>
      <c r="E33" s="1" t="inlineStr">
        <is>
          <t>2027BUD_V1</t>
        </is>
      </c>
      <c r="F33" s="1" t="inlineStr">
        <is>
          <t>12</t>
        </is>
      </c>
      <c r="G33" t="n">
        <v>1015000</v>
      </c>
      <c r="H33">
        <f>IF(PNL!A33="","",_CALC_PNL!P33)</f>
        <v/>
      </c>
      <c r="I33">
        <f>IF(PNL!A33="","",IF(_CALC_PNL!E33=1,H33-G33,""))</f>
        <v/>
      </c>
    </row>
    <row r="34">
      <c r="A34" s="1" t="inlineStr">
        <is>
          <t>IPAC_REN</t>
        </is>
      </c>
      <c r="B34" s="1" t="inlineStr">
        <is>
          <t>7062</t>
        </is>
      </c>
      <c r="C34" s="1" t="inlineStr">
        <is>
          <t>2026</t>
        </is>
      </c>
      <c r="D34" s="1" t="inlineStr">
        <is>
          <t>ACT</t>
        </is>
      </c>
      <c r="E34" s="1" t="inlineStr">
        <is>
          <t>2027BUD_V1</t>
        </is>
      </c>
      <c r="F34" s="1" t="inlineStr">
        <is>
          <t>12</t>
        </is>
      </c>
      <c r="G34" t="n">
        <v>778050</v>
      </c>
      <c r="H34">
        <f>IF(PNL!A34="","",_CALC_PNL!P34)</f>
        <v/>
      </c>
      <c r="I34">
        <f>IF(PNL!A34="","",IF(_CALC_PNL!E34=1,H34-G34,""))</f>
        <v/>
      </c>
    </row>
    <row r="35">
      <c r="A35" s="1" t="inlineStr">
        <is>
          <t>IPAC_MTP</t>
        </is>
      </c>
      <c r="B35" s="1" t="inlineStr">
        <is>
          <t>7062</t>
        </is>
      </c>
      <c r="C35" s="1" t="inlineStr">
        <is>
          <t>2026</t>
        </is>
      </c>
      <c r="D35" s="1" t="inlineStr">
        <is>
          <t>ACT</t>
        </is>
      </c>
      <c r="E35" s="1" t="inlineStr">
        <is>
          <t>2027BUD_V1</t>
        </is>
      </c>
      <c r="F35" s="1" t="inlineStr">
        <is>
          <t>12</t>
        </is>
      </c>
      <c r="G35" t="n">
        <v>778050</v>
      </c>
      <c r="H35">
        <f>IF(PNL!A35="","",_CALC_PNL!P35)</f>
        <v/>
      </c>
      <c r="I35">
        <f>IF(PNL!A35="","",IF(_CALC_PNL!E35=1,H35-G35,""))</f>
        <v/>
      </c>
    </row>
    <row r="36">
      <c r="A36" s="1" t="inlineStr">
        <is>
          <t>TUNON_PAR</t>
        </is>
      </c>
      <c r="B36" s="1" t="inlineStr">
        <is>
          <t>7062</t>
        </is>
      </c>
      <c r="C36" s="1" t="inlineStr">
        <is>
          <t>2026</t>
        </is>
      </c>
      <c r="D36" s="1" t="inlineStr">
        <is>
          <t>ACT</t>
        </is>
      </c>
      <c r="E36" s="1" t="inlineStr">
        <is>
          <t>2027BUD_V1</t>
        </is>
      </c>
      <c r="F36" s="1" t="inlineStr">
        <is>
          <t>12</t>
        </is>
      </c>
      <c r="G36" t="n">
        <v>1081920</v>
      </c>
      <c r="H36">
        <f>IF(PNL!A36="","",_CALC_PNL!P36)</f>
        <v/>
      </c>
      <c r="I36">
        <f>IF(PNL!A36="","",IF(_CALC_PNL!E36=1,H36-G36,""))</f>
        <v/>
      </c>
    </row>
    <row r="37">
      <c r="A37" s="1" t="inlineStr">
        <is>
          <t>TUNON_LYO</t>
        </is>
      </c>
      <c r="B37" s="1" t="inlineStr">
        <is>
          <t>7062</t>
        </is>
      </c>
      <c r="C37" s="1" t="inlineStr">
        <is>
          <t>2026</t>
        </is>
      </c>
      <c r="D37" s="1" t="inlineStr">
        <is>
          <t>ACT</t>
        </is>
      </c>
      <c r="E37" s="1" t="inlineStr">
        <is>
          <t>2027BUD_V1</t>
        </is>
      </c>
      <c r="F37" s="1" t="inlineStr">
        <is>
          <t>12</t>
        </is>
      </c>
      <c r="G37" t="n">
        <v>859950</v>
      </c>
      <c r="H37">
        <f>IF(PNL!A37="","",_CALC_PNL!P37)</f>
        <v/>
      </c>
      <c r="I37">
        <f>IF(PNL!A37="","",IF(_CALC_PNL!E37=1,H37-G37,""))</f>
        <v/>
      </c>
    </row>
    <row r="38">
      <c r="A38" s="1" t="inlineStr">
        <is>
          <t>MBWAY_PAR</t>
        </is>
      </c>
      <c r="B38" s="1" t="inlineStr">
        <is>
          <t>706</t>
        </is>
      </c>
      <c r="C38" s="1" t="inlineStr">
        <is>
          <t>2024</t>
        </is>
      </c>
      <c r="D38" s="1" t="inlineStr">
        <is>
          <t>ACT</t>
        </is>
      </c>
      <c r="E38" s="1" t="inlineStr">
        <is>
          <t>2027BUD_V1</t>
        </is>
      </c>
      <c r="F38" s="1" t="inlineStr">
        <is>
          <t>12</t>
        </is>
      </c>
      <c r="G38" t="n">
        <v>583126</v>
      </c>
      <c r="H38">
        <f>IF(PNL!A38="","",_CALC_PNL!P38)</f>
        <v/>
      </c>
      <c r="I38">
        <f>IF(PNL!A38="","",IF(_CALC_PNL!E38=1,H38-G38,""))</f>
        <v/>
      </c>
    </row>
    <row r="39">
      <c r="A39" s="1" t="inlineStr">
        <is>
          <t>MBWAY_LYO</t>
        </is>
      </c>
      <c r="B39" s="1" t="inlineStr">
        <is>
          <t>706</t>
        </is>
      </c>
      <c r="C39" s="1" t="inlineStr">
        <is>
          <t>2024</t>
        </is>
      </c>
      <c r="D39" s="1" t="inlineStr">
        <is>
          <t>ACT</t>
        </is>
      </c>
      <c r="E39" s="1" t="inlineStr">
        <is>
          <t>2027BUD_V1</t>
        </is>
      </c>
      <c r="F39" s="1" t="inlineStr">
        <is>
          <t>12</t>
        </is>
      </c>
      <c r="G39" t="n">
        <v>462576</v>
      </c>
      <c r="H39">
        <f>IF(PNL!A39="","",_CALC_PNL!P39)</f>
        <v/>
      </c>
      <c r="I39">
        <f>IF(PNL!A39="","",IF(_CALC_PNL!E39=1,H39-G39,""))</f>
        <v/>
      </c>
    </row>
    <row r="40">
      <c r="A40" s="1" t="inlineStr">
        <is>
          <t>MBWAY_NAN</t>
        </is>
      </c>
      <c r="B40" s="1" t="inlineStr">
        <is>
          <t>706</t>
        </is>
      </c>
      <c r="C40" s="1" t="inlineStr">
        <is>
          <t>2024</t>
        </is>
      </c>
      <c r="D40" s="1" t="inlineStr">
        <is>
          <t>ACT</t>
        </is>
      </c>
      <c r="E40" s="1" t="inlineStr">
        <is>
          <t>2027BUD_V1</t>
        </is>
      </c>
      <c r="F40" s="1" t="inlineStr">
        <is>
          <t>12</t>
        </is>
      </c>
      <c r="G40" t="n">
        <v>400498</v>
      </c>
      <c r="H40">
        <f>IF(PNL!A40="","",_CALC_PNL!P40)</f>
        <v/>
      </c>
      <c r="I40">
        <f>IF(PNL!A40="","",IF(_CALC_PNL!E40=1,H40-G40,""))</f>
        <v/>
      </c>
    </row>
    <row r="41">
      <c r="A41" s="1" t="inlineStr">
        <is>
          <t>MBWAY_BOR</t>
        </is>
      </c>
      <c r="B41" s="1" t="inlineStr">
        <is>
          <t>706</t>
        </is>
      </c>
      <c r="C41" s="1" t="inlineStr">
        <is>
          <t>2024</t>
        </is>
      </c>
      <c r="D41" s="1" t="inlineStr">
        <is>
          <t>ACT</t>
        </is>
      </c>
      <c r="E41" s="1" t="inlineStr">
        <is>
          <t>2027BUD_V1</t>
        </is>
      </c>
      <c r="F41" s="1" t="inlineStr">
        <is>
          <t>12</t>
        </is>
      </c>
      <c r="G41" t="n">
        <v>330211</v>
      </c>
      <c r="H41">
        <f>IF(PNL!A41="","",_CALC_PNL!P41)</f>
        <v/>
      </c>
      <c r="I41">
        <f>IF(PNL!A41="","",IF(_CALC_PNL!E41=1,H41-G41,""))</f>
        <v/>
      </c>
    </row>
    <row r="42">
      <c r="A42" s="1" t="inlineStr">
        <is>
          <t>ISCOM_PAR</t>
        </is>
      </c>
      <c r="B42" s="1" t="inlineStr">
        <is>
          <t>706</t>
        </is>
      </c>
      <c r="C42" s="1" t="inlineStr">
        <is>
          <t>2024</t>
        </is>
      </c>
      <c r="D42" s="1" t="inlineStr">
        <is>
          <t>ACT</t>
        </is>
      </c>
      <c r="E42" s="1" t="inlineStr">
        <is>
          <t>2027BUD_V1</t>
        </is>
      </c>
      <c r="F42" s="1" t="inlineStr">
        <is>
          <t>12</t>
        </is>
      </c>
      <c r="G42" t="n">
        <v>538270</v>
      </c>
      <c r="H42">
        <f>IF(PNL!A42="","",_CALC_PNL!P42)</f>
        <v/>
      </c>
      <c r="I42">
        <f>IF(PNL!A42="","",IF(_CALC_PNL!E42=1,H42-G42,""))</f>
        <v/>
      </c>
    </row>
    <row r="43">
      <c r="A43" s="1" t="inlineStr">
        <is>
          <t>ISCOM_LIL</t>
        </is>
      </c>
      <c r="B43" s="1" t="inlineStr">
        <is>
          <t>706</t>
        </is>
      </c>
      <c r="C43" s="1" t="inlineStr">
        <is>
          <t>2024</t>
        </is>
      </c>
      <c r="D43" s="1" t="inlineStr">
        <is>
          <t>ACT</t>
        </is>
      </c>
      <c r="E43" s="1" t="inlineStr">
        <is>
          <t>2027BUD_V1</t>
        </is>
      </c>
      <c r="F43" s="1" t="inlineStr">
        <is>
          <t>12</t>
        </is>
      </c>
      <c r="G43" t="n">
        <v>327074</v>
      </c>
      <c r="H43">
        <f>IF(PNL!A43="","",_CALC_PNL!P43)</f>
        <v/>
      </c>
      <c r="I43">
        <f>IF(PNL!A43="","",IF(_CALC_PNL!E43=1,H43-G43,""))</f>
        <v/>
      </c>
    </row>
    <row r="44">
      <c r="A44" s="1" t="inlineStr">
        <is>
          <t>ISCOM_TLS</t>
        </is>
      </c>
      <c r="B44" s="1" t="inlineStr">
        <is>
          <t>706</t>
        </is>
      </c>
      <c r="C44" s="1" t="inlineStr">
        <is>
          <t>2024</t>
        </is>
      </c>
      <c r="D44" s="1" t="inlineStr">
        <is>
          <t>ACT</t>
        </is>
      </c>
      <c r="E44" s="1" t="inlineStr">
        <is>
          <t>2027BUD_V1</t>
        </is>
      </c>
      <c r="F44" s="1" t="inlineStr">
        <is>
          <t>12</t>
        </is>
      </c>
      <c r="G44" t="n">
        <v>301175</v>
      </c>
      <c r="H44">
        <f>IF(PNL!A44="","",_CALC_PNL!P44)</f>
        <v/>
      </c>
      <c r="I44">
        <f>IF(PNL!A44="","",IF(_CALC_PNL!E44=1,H44-G44,""))</f>
        <v/>
      </c>
    </row>
    <row r="45">
      <c r="A45" s="1" t="inlineStr">
        <is>
          <t>MBWAY_PAR</t>
        </is>
      </c>
      <c r="B45" s="1" t="inlineStr">
        <is>
          <t>706</t>
        </is>
      </c>
      <c r="C45" s="1" t="inlineStr">
        <is>
          <t>2025</t>
        </is>
      </c>
      <c r="D45" s="1" t="inlineStr">
        <is>
          <t>ACT</t>
        </is>
      </c>
      <c r="E45" s="1" t="inlineStr">
        <is>
          <t>2027BUD_V1</t>
        </is>
      </c>
      <c r="F45" s="1" t="inlineStr">
        <is>
          <t>12</t>
        </is>
      </c>
      <c r="G45" t="n">
        <v>618113</v>
      </c>
      <c r="H45">
        <f>IF(PNL!A45="","",_CALC_PNL!P45)</f>
        <v/>
      </c>
      <c r="I45">
        <f>IF(PNL!A45="","",IF(_CALC_PNL!E45=1,H45-G45,""))</f>
        <v/>
      </c>
    </row>
    <row r="46">
      <c r="A46" s="1" t="inlineStr">
        <is>
          <t>MBWAY_LYO</t>
        </is>
      </c>
      <c r="B46" s="1" t="inlineStr">
        <is>
          <t>706</t>
        </is>
      </c>
      <c r="C46" s="1" t="inlineStr">
        <is>
          <t>2025</t>
        </is>
      </c>
      <c r="D46" s="1" t="inlineStr">
        <is>
          <t>ACT</t>
        </is>
      </c>
      <c r="E46" s="1" t="inlineStr">
        <is>
          <t>2027BUD_V1</t>
        </is>
      </c>
      <c r="F46" s="1" t="inlineStr">
        <is>
          <t>12</t>
        </is>
      </c>
      <c r="G46" t="n">
        <v>490330</v>
      </c>
      <c r="H46">
        <f>IF(PNL!A46="","",_CALC_PNL!P46)</f>
        <v/>
      </c>
      <c r="I46">
        <f>IF(PNL!A46="","",IF(_CALC_PNL!E46=1,H46-G46,""))</f>
        <v/>
      </c>
    </row>
    <row r="47">
      <c r="A47" s="1" t="inlineStr">
        <is>
          <t>MBWAY_NAN</t>
        </is>
      </c>
      <c r="B47" s="1" t="inlineStr">
        <is>
          <t>706</t>
        </is>
      </c>
      <c r="C47" s="1" t="inlineStr">
        <is>
          <t>2025</t>
        </is>
      </c>
      <c r="D47" s="1" t="inlineStr">
        <is>
          <t>ACT</t>
        </is>
      </c>
      <c r="E47" s="1" t="inlineStr">
        <is>
          <t>2027BUD_V1</t>
        </is>
      </c>
      <c r="F47" s="1" t="inlineStr">
        <is>
          <t>12</t>
        </is>
      </c>
      <c r="G47" t="n">
        <v>424528</v>
      </c>
      <c r="H47">
        <f>IF(PNL!A47="","",_CALC_PNL!P47)</f>
        <v/>
      </c>
      <c r="I47">
        <f>IF(PNL!A47="","",IF(_CALC_PNL!E47=1,H47-G47,""))</f>
        <v/>
      </c>
    </row>
    <row r="48">
      <c r="A48" s="1" t="inlineStr">
        <is>
          <t>MBWAY_BOR</t>
        </is>
      </c>
      <c r="B48" s="1" t="inlineStr">
        <is>
          <t>706</t>
        </is>
      </c>
      <c r="C48" s="1" t="inlineStr">
        <is>
          <t>2025</t>
        </is>
      </c>
      <c r="D48" s="1" t="inlineStr">
        <is>
          <t>ACT</t>
        </is>
      </c>
      <c r="E48" s="1" t="inlineStr">
        <is>
          <t>2027BUD_V1</t>
        </is>
      </c>
      <c r="F48" s="1" t="inlineStr">
        <is>
          <t>12</t>
        </is>
      </c>
      <c r="G48" t="n">
        <v>350024</v>
      </c>
      <c r="H48">
        <f>IF(PNL!A48="","",_CALC_PNL!P48)</f>
        <v/>
      </c>
      <c r="I48">
        <f>IF(PNL!A48="","",IF(_CALC_PNL!E48=1,H48-G48,""))</f>
        <v/>
      </c>
    </row>
    <row r="49">
      <c r="A49" s="1" t="inlineStr">
        <is>
          <t>ISCOM_PAR</t>
        </is>
      </c>
      <c r="B49" s="1" t="inlineStr">
        <is>
          <t>706</t>
        </is>
      </c>
      <c r="C49" s="1" t="inlineStr">
        <is>
          <t>2025</t>
        </is>
      </c>
      <c r="D49" s="1" t="inlineStr">
        <is>
          <t>ACT</t>
        </is>
      </c>
      <c r="E49" s="1" t="inlineStr">
        <is>
          <t>2027BUD_V1</t>
        </is>
      </c>
      <c r="F49" s="1" t="inlineStr">
        <is>
          <t>12</t>
        </is>
      </c>
      <c r="G49" t="n">
        <v>570566</v>
      </c>
      <c r="H49">
        <f>IF(PNL!A49="","",_CALC_PNL!P49)</f>
        <v/>
      </c>
      <c r="I49">
        <f>IF(PNL!A49="","",IF(_CALC_PNL!E49=1,H49-G49,""))</f>
        <v/>
      </c>
    </row>
    <row r="50">
      <c r="A50" s="1" t="inlineStr">
        <is>
          <t>ISCOM_LIL</t>
        </is>
      </c>
      <c r="B50" s="1" t="inlineStr">
        <is>
          <t>706</t>
        </is>
      </c>
      <c r="C50" s="1" t="inlineStr">
        <is>
          <t>2025</t>
        </is>
      </c>
      <c r="D50" s="1" t="inlineStr">
        <is>
          <t>ACT</t>
        </is>
      </c>
      <c r="E50" s="1" t="inlineStr">
        <is>
          <t>2027BUD_V1</t>
        </is>
      </c>
      <c r="F50" s="1" t="inlineStr">
        <is>
          <t>12</t>
        </is>
      </c>
      <c r="G50" t="n">
        <v>346698</v>
      </c>
      <c r="H50">
        <f>IF(PNL!A50="","",_CALC_PNL!P50)</f>
        <v/>
      </c>
      <c r="I50">
        <f>IF(PNL!A50="","",IF(_CALC_PNL!E50=1,H50-G50,""))</f>
        <v/>
      </c>
    </row>
    <row r="51">
      <c r="A51" s="1" t="inlineStr">
        <is>
          <t>ISCOM_TLS</t>
        </is>
      </c>
      <c r="B51" s="1" t="inlineStr">
        <is>
          <t>706</t>
        </is>
      </c>
      <c r="C51" s="1" t="inlineStr">
        <is>
          <t>2025</t>
        </is>
      </c>
      <c r="D51" s="1" t="inlineStr">
        <is>
          <t>ACT</t>
        </is>
      </c>
      <c r="E51" s="1" t="inlineStr">
        <is>
          <t>2027BUD_V1</t>
        </is>
      </c>
      <c r="F51" s="1" t="inlineStr">
        <is>
          <t>12</t>
        </is>
      </c>
      <c r="G51" t="n">
        <v>319245</v>
      </c>
      <c r="H51">
        <f>IF(PNL!A51="","",_CALC_PNL!P51)</f>
        <v/>
      </c>
      <c r="I51">
        <f>IF(PNL!A51="","",IF(_CALC_PNL!E51=1,H51-G51,""))</f>
        <v/>
      </c>
    </row>
    <row r="52">
      <c r="A52" s="1" t="inlineStr">
        <is>
          <t>MBWAY_PAR</t>
        </is>
      </c>
      <c r="B52" s="1" t="inlineStr">
        <is>
          <t>706</t>
        </is>
      </c>
      <c r="C52" s="1" t="inlineStr">
        <is>
          <t>2026</t>
        </is>
      </c>
      <c r="D52" s="1" t="inlineStr">
        <is>
          <t>ACT</t>
        </is>
      </c>
      <c r="E52" s="1" t="inlineStr">
        <is>
          <t>2027BUD_V1</t>
        </is>
      </c>
      <c r="F52" s="1" t="inlineStr">
        <is>
          <t>12</t>
        </is>
      </c>
      <c r="G52" t="n">
        <v>655200</v>
      </c>
      <c r="H52">
        <f>IF(PNL!A52="","",_CALC_PNL!P52)</f>
        <v/>
      </c>
      <c r="I52">
        <f>IF(PNL!A52="","",IF(_CALC_PNL!E52=1,H52-G52,""))</f>
        <v/>
      </c>
    </row>
    <row r="53">
      <c r="A53" s="1" t="inlineStr">
        <is>
          <t>MBWAY_LYO</t>
        </is>
      </c>
      <c r="B53" s="1" t="inlineStr">
        <is>
          <t>706</t>
        </is>
      </c>
      <c r="C53" s="1" t="inlineStr">
        <is>
          <t>2026</t>
        </is>
      </c>
      <c r="D53" s="1" t="inlineStr">
        <is>
          <t>ACT</t>
        </is>
      </c>
      <c r="E53" s="1" t="inlineStr">
        <is>
          <t>2027BUD_V1</t>
        </is>
      </c>
      <c r="F53" s="1" t="inlineStr">
        <is>
          <t>12</t>
        </is>
      </c>
      <c r="G53" t="n">
        <v>519750</v>
      </c>
      <c r="H53">
        <f>IF(PNL!A53="","",_CALC_PNL!P53)</f>
        <v/>
      </c>
      <c r="I53">
        <f>IF(PNL!A53="","",IF(_CALC_PNL!E53=1,H53-G53,""))</f>
        <v/>
      </c>
    </row>
    <row r="54">
      <c r="A54" s="1" t="inlineStr">
        <is>
          <t>MBWAY_NAN</t>
        </is>
      </c>
      <c r="B54" s="1" t="inlineStr">
        <is>
          <t>706</t>
        </is>
      </c>
      <c r="C54" s="1" t="inlineStr">
        <is>
          <t>2026</t>
        </is>
      </c>
      <c r="D54" s="1" t="inlineStr">
        <is>
          <t>ACT</t>
        </is>
      </c>
      <c r="E54" s="1" t="inlineStr">
        <is>
          <t>2027BUD_V1</t>
        </is>
      </c>
      <c r="F54" s="1" t="inlineStr">
        <is>
          <t>12</t>
        </is>
      </c>
      <c r="G54" t="n">
        <v>450000</v>
      </c>
      <c r="H54">
        <f>IF(PNL!A54="","",_CALC_PNL!P54)</f>
        <v/>
      </c>
      <c r="I54">
        <f>IF(PNL!A54="","",IF(_CALC_PNL!E54=1,H54-G54,""))</f>
        <v/>
      </c>
    </row>
    <row r="55">
      <c r="A55" s="1" t="inlineStr">
        <is>
          <t>MBWAY_BOR</t>
        </is>
      </c>
      <c r="B55" s="1" t="inlineStr">
        <is>
          <t>706</t>
        </is>
      </c>
      <c r="C55" s="1" t="inlineStr">
        <is>
          <t>2026</t>
        </is>
      </c>
      <c r="D55" s="1" t="inlineStr">
        <is>
          <t>ACT</t>
        </is>
      </c>
      <c r="E55" s="1" t="inlineStr">
        <is>
          <t>2027BUD_V1</t>
        </is>
      </c>
      <c r="F55" s="1" t="inlineStr">
        <is>
          <t>12</t>
        </is>
      </c>
      <c r="G55" t="n">
        <v>371025</v>
      </c>
      <c r="H55">
        <f>IF(PNL!A55="","",_CALC_PNL!P55)</f>
        <v/>
      </c>
      <c r="I55">
        <f>IF(PNL!A55="","",IF(_CALC_PNL!E55=1,H55-G55,""))</f>
        <v/>
      </c>
    </row>
    <row r="56">
      <c r="A56" s="1" t="inlineStr">
        <is>
          <t>ISCOM_PAR</t>
        </is>
      </c>
      <c r="B56" s="1" t="inlineStr">
        <is>
          <t>706</t>
        </is>
      </c>
      <c r="C56" s="1" t="inlineStr">
        <is>
          <t>2026</t>
        </is>
      </c>
      <c r="D56" s="1" t="inlineStr">
        <is>
          <t>ACT</t>
        </is>
      </c>
      <c r="E56" s="1" t="inlineStr">
        <is>
          <t>2027BUD_V1</t>
        </is>
      </c>
      <c r="F56" s="1" t="inlineStr">
        <is>
          <t>12</t>
        </is>
      </c>
      <c r="G56" t="n">
        <v>604800</v>
      </c>
      <c r="H56">
        <f>IF(PNL!A56="","",_CALC_PNL!P56)</f>
        <v/>
      </c>
      <c r="I56">
        <f>IF(PNL!A56="","",IF(_CALC_PNL!E56=1,H56-G56,""))</f>
        <v/>
      </c>
    </row>
    <row r="57">
      <c r="A57" s="1" t="inlineStr">
        <is>
          <t>ISCOM_LIL</t>
        </is>
      </c>
      <c r="B57" s="1" t="inlineStr">
        <is>
          <t>706</t>
        </is>
      </c>
      <c r="C57" s="1" t="inlineStr">
        <is>
          <t>2026</t>
        </is>
      </c>
      <c r="D57" s="1" t="inlineStr">
        <is>
          <t>ACT</t>
        </is>
      </c>
      <c r="E57" s="1" t="inlineStr">
        <is>
          <t>2027BUD_V1</t>
        </is>
      </c>
      <c r="F57" s="1" t="inlineStr">
        <is>
          <t>12</t>
        </is>
      </c>
      <c r="G57" t="n">
        <v>367500</v>
      </c>
      <c r="H57">
        <f>IF(PNL!A57="","",_CALC_PNL!P57)</f>
        <v/>
      </c>
      <c r="I57">
        <f>IF(PNL!A57="","",IF(_CALC_PNL!E57=1,H57-G57,""))</f>
        <v/>
      </c>
    </row>
    <row r="58">
      <c r="A58" s="1" t="inlineStr">
        <is>
          <t>ISCOM_TLS</t>
        </is>
      </c>
      <c r="B58" s="1" t="inlineStr">
        <is>
          <t>706</t>
        </is>
      </c>
      <c r="C58" s="1" t="inlineStr">
        <is>
          <t>2026</t>
        </is>
      </c>
      <c r="D58" s="1" t="inlineStr">
        <is>
          <t>ACT</t>
        </is>
      </c>
      <c r="E58" s="1" t="inlineStr">
        <is>
          <t>2027BUD_V1</t>
        </is>
      </c>
      <c r="F58" s="1" t="inlineStr">
        <is>
          <t>12</t>
        </is>
      </c>
      <c r="G58" t="n">
        <v>338400</v>
      </c>
      <c r="H58">
        <f>IF(PNL!A58="","",_CALC_PNL!P58)</f>
        <v/>
      </c>
      <c r="I58">
        <f>IF(PNL!A58="","",IF(_CALC_PNL!E58=1,H58-G58,""))</f>
        <v/>
      </c>
    </row>
    <row r="59">
      <c r="A59" s="1" t="inlineStr">
        <is>
          <t>MBWAY_PAR</t>
        </is>
      </c>
      <c r="B59" s="1" t="inlineStr">
        <is>
          <t>708</t>
        </is>
      </c>
      <c r="C59" s="1" t="inlineStr">
        <is>
          <t>2024</t>
        </is>
      </c>
      <c r="D59" s="1" t="inlineStr">
        <is>
          <t>ACT</t>
        </is>
      </c>
      <c r="E59" s="1" t="inlineStr">
        <is>
          <t>2027BUD_V1</t>
        </is>
      </c>
      <c r="F59" s="1" t="inlineStr">
        <is>
          <t>12</t>
        </is>
      </c>
      <c r="G59" t="n">
        <v>12496</v>
      </c>
      <c r="H59">
        <f>IF(PNL!A59="","",_CALC_PNL!P59)</f>
        <v/>
      </c>
      <c r="I59">
        <f>IF(PNL!A59="","",IF(_CALC_PNL!E59=1,H59-G59,""))</f>
        <v/>
      </c>
    </row>
    <row r="60">
      <c r="A60" s="1" t="inlineStr">
        <is>
          <t>MBWAY_LYO</t>
        </is>
      </c>
      <c r="B60" s="1" t="inlineStr">
        <is>
          <t>708</t>
        </is>
      </c>
      <c r="C60" s="1" t="inlineStr">
        <is>
          <t>2024</t>
        </is>
      </c>
      <c r="D60" s="1" t="inlineStr">
        <is>
          <t>ACT</t>
        </is>
      </c>
      <c r="E60" s="1" t="inlineStr">
        <is>
          <t>2027BUD_V1</t>
        </is>
      </c>
      <c r="F60" s="1" t="inlineStr">
        <is>
          <t>12</t>
        </is>
      </c>
      <c r="G60" t="n">
        <v>10573</v>
      </c>
      <c r="H60">
        <f>IF(PNL!A60="","",_CALC_PNL!P60)</f>
        <v/>
      </c>
      <c r="I60">
        <f>IF(PNL!A60="","",IF(_CALC_PNL!E60=1,H60-G60,""))</f>
        <v/>
      </c>
    </row>
    <row r="61">
      <c r="A61" s="1" t="inlineStr">
        <is>
          <t>MBWAY_NAN</t>
        </is>
      </c>
      <c r="B61" s="1" t="inlineStr">
        <is>
          <t>708</t>
        </is>
      </c>
      <c r="C61" s="1" t="inlineStr">
        <is>
          <t>2024</t>
        </is>
      </c>
      <c r="D61" s="1" t="inlineStr">
        <is>
          <t>ACT</t>
        </is>
      </c>
      <c r="E61" s="1" t="inlineStr">
        <is>
          <t>2027BUD_V1</t>
        </is>
      </c>
      <c r="F61" s="1" t="inlineStr">
        <is>
          <t>12</t>
        </is>
      </c>
      <c r="G61" t="n">
        <v>9612</v>
      </c>
      <c r="H61">
        <f>IF(PNL!A61="","",_CALC_PNL!P61)</f>
        <v/>
      </c>
      <c r="I61">
        <f>IF(PNL!A61="","",IF(_CALC_PNL!E61=1,H61-G61,""))</f>
        <v/>
      </c>
    </row>
    <row r="62">
      <c r="A62" s="1" t="inlineStr">
        <is>
          <t>MBWAY_BOR</t>
        </is>
      </c>
      <c r="B62" s="1" t="inlineStr">
        <is>
          <t>708</t>
        </is>
      </c>
      <c r="C62" s="1" t="inlineStr">
        <is>
          <t>2024</t>
        </is>
      </c>
      <c r="D62" s="1" t="inlineStr">
        <is>
          <t>ACT</t>
        </is>
      </c>
      <c r="E62" s="1" t="inlineStr">
        <is>
          <t>2027BUD_V1</t>
        </is>
      </c>
      <c r="F62" s="1" t="inlineStr">
        <is>
          <t>12</t>
        </is>
      </c>
      <c r="G62" t="n">
        <v>8170</v>
      </c>
      <c r="H62">
        <f>IF(PNL!A62="","",_CALC_PNL!P62)</f>
        <v/>
      </c>
      <c r="I62">
        <f>IF(PNL!A62="","",IF(_CALC_PNL!E62=1,H62-G62,""))</f>
        <v/>
      </c>
    </row>
    <row r="63">
      <c r="A63" s="1" t="inlineStr">
        <is>
          <t>ISCOM_PAR</t>
        </is>
      </c>
      <c r="B63" s="1" t="inlineStr">
        <is>
          <t>708</t>
        </is>
      </c>
      <c r="C63" s="1" t="inlineStr">
        <is>
          <t>2024</t>
        </is>
      </c>
      <c r="D63" s="1" t="inlineStr">
        <is>
          <t>ACT</t>
        </is>
      </c>
      <c r="E63" s="1" t="inlineStr">
        <is>
          <t>2027BUD_V1</t>
        </is>
      </c>
      <c r="F63" s="1" t="inlineStr">
        <is>
          <t>12</t>
        </is>
      </c>
      <c r="G63" t="n">
        <v>11534</v>
      </c>
      <c r="H63">
        <f>IF(PNL!A63="","",_CALC_PNL!P63)</f>
        <v/>
      </c>
      <c r="I63">
        <f>IF(PNL!A63="","",IF(_CALC_PNL!E63=1,H63-G63,""))</f>
        <v/>
      </c>
    </row>
    <row r="64">
      <c r="A64" s="1" t="inlineStr">
        <is>
          <t>ISCOM_LIL</t>
        </is>
      </c>
      <c r="B64" s="1" t="inlineStr">
        <is>
          <t>708</t>
        </is>
      </c>
      <c r="C64" s="1" t="inlineStr">
        <is>
          <t>2024</t>
        </is>
      </c>
      <c r="D64" s="1" t="inlineStr">
        <is>
          <t>ACT</t>
        </is>
      </c>
      <c r="E64" s="1" t="inlineStr">
        <is>
          <t>2027BUD_V1</t>
        </is>
      </c>
      <c r="F64" s="1" t="inlineStr">
        <is>
          <t>12</t>
        </is>
      </c>
      <c r="G64" t="n">
        <v>8010</v>
      </c>
      <c r="H64">
        <f>IF(PNL!A64="","",_CALC_PNL!P64)</f>
        <v/>
      </c>
      <c r="I64">
        <f>IF(PNL!A64="","",IF(_CALC_PNL!E64=1,H64-G64,""))</f>
        <v/>
      </c>
    </row>
    <row r="65">
      <c r="A65" s="1" t="inlineStr">
        <is>
          <t>ISCOM_TLS</t>
        </is>
      </c>
      <c r="B65" s="1" t="inlineStr">
        <is>
          <t>708</t>
        </is>
      </c>
      <c r="C65" s="1" t="inlineStr">
        <is>
          <t>2024</t>
        </is>
      </c>
      <c r="D65" s="1" t="inlineStr">
        <is>
          <t>ACT</t>
        </is>
      </c>
      <c r="E65" s="1" t="inlineStr">
        <is>
          <t>2027BUD_V1</t>
        </is>
      </c>
      <c r="F65" s="1" t="inlineStr">
        <is>
          <t>12</t>
        </is>
      </c>
      <c r="G65" t="n">
        <v>7529</v>
      </c>
      <c r="H65">
        <f>IF(PNL!A65="","",_CALC_PNL!P65)</f>
        <v/>
      </c>
      <c r="I65">
        <f>IF(PNL!A65="","",IF(_CALC_PNL!E65=1,H65-G65,""))</f>
        <v/>
      </c>
    </row>
    <row r="66">
      <c r="A66" s="1" t="inlineStr">
        <is>
          <t>IPAC_NAN</t>
        </is>
      </c>
      <c r="B66" s="1" t="inlineStr">
        <is>
          <t>708</t>
        </is>
      </c>
      <c r="C66" s="1" t="inlineStr">
        <is>
          <t>2024</t>
        </is>
      </c>
      <c r="D66" s="1" t="inlineStr">
        <is>
          <t>ACT</t>
        </is>
      </c>
      <c r="E66" s="1" t="inlineStr">
        <is>
          <t>2027BUD_V1</t>
        </is>
      </c>
      <c r="F66" s="1" t="inlineStr">
        <is>
          <t>12</t>
        </is>
      </c>
      <c r="G66" t="n">
        <v>4005</v>
      </c>
      <c r="H66">
        <f>IF(PNL!A66="","",_CALC_PNL!P66)</f>
        <v/>
      </c>
      <c r="I66">
        <f>IF(PNL!A66="","",IF(_CALC_PNL!E66=1,H66-G66,""))</f>
        <v/>
      </c>
    </row>
    <row r="67">
      <c r="A67" s="1" t="inlineStr">
        <is>
          <t>IPAC_REN</t>
        </is>
      </c>
      <c r="B67" s="1" t="inlineStr">
        <is>
          <t>708</t>
        </is>
      </c>
      <c r="C67" s="1" t="inlineStr">
        <is>
          <t>2024</t>
        </is>
      </c>
      <c r="D67" s="1" t="inlineStr">
        <is>
          <t>ACT</t>
        </is>
      </c>
      <c r="E67" s="1" t="inlineStr">
        <is>
          <t>2027BUD_V1</t>
        </is>
      </c>
      <c r="F67" s="1" t="inlineStr">
        <is>
          <t>12</t>
        </is>
      </c>
      <c r="G67" t="n">
        <v>3204</v>
      </c>
      <c r="H67">
        <f>IF(PNL!A67="","",_CALC_PNL!P67)</f>
        <v/>
      </c>
      <c r="I67">
        <f>IF(PNL!A67="","",IF(_CALC_PNL!E67=1,H67-G67,""))</f>
        <v/>
      </c>
    </row>
    <row r="68">
      <c r="A68" s="1" t="inlineStr">
        <is>
          <t>IPAC_MTP</t>
        </is>
      </c>
      <c r="B68" s="1" t="inlineStr">
        <is>
          <t>708</t>
        </is>
      </c>
      <c r="C68" s="1" t="inlineStr">
        <is>
          <t>2024</t>
        </is>
      </c>
      <c r="D68" s="1" t="inlineStr">
        <is>
          <t>ACT</t>
        </is>
      </c>
      <c r="E68" s="1" t="inlineStr">
        <is>
          <t>2027BUD_V1</t>
        </is>
      </c>
      <c r="F68" s="1" t="inlineStr">
        <is>
          <t>12</t>
        </is>
      </c>
      <c r="G68" t="n">
        <v>3204</v>
      </c>
      <c r="H68">
        <f>IF(PNL!A68="","",_CALC_PNL!P68)</f>
        <v/>
      </c>
      <c r="I68">
        <f>IF(PNL!A68="","",IF(_CALC_PNL!E68=1,H68-G68,""))</f>
        <v/>
      </c>
    </row>
    <row r="69">
      <c r="A69" s="1" t="inlineStr">
        <is>
          <t>PIGIER_LYO</t>
        </is>
      </c>
      <c r="B69" s="1" t="inlineStr">
        <is>
          <t>708</t>
        </is>
      </c>
      <c r="C69" s="1" t="inlineStr">
        <is>
          <t>2024</t>
        </is>
      </c>
      <c r="D69" s="1" t="inlineStr">
        <is>
          <t>ACT</t>
        </is>
      </c>
      <c r="E69" s="1" t="inlineStr">
        <is>
          <t>2027BUD_V1</t>
        </is>
      </c>
      <c r="F69" s="1" t="inlineStr">
        <is>
          <t>12</t>
        </is>
      </c>
      <c r="G69" t="n">
        <v>7369</v>
      </c>
      <c r="H69">
        <f>IF(PNL!A69="","",_CALC_PNL!P69)</f>
        <v/>
      </c>
      <c r="I69">
        <f>IF(PNL!A69="","",IF(_CALC_PNL!E69=1,H69-G69,""))</f>
        <v/>
      </c>
    </row>
    <row r="70">
      <c r="A70" s="1" t="inlineStr">
        <is>
          <t>PIGIER_BOR</t>
        </is>
      </c>
      <c r="B70" s="1" t="inlineStr">
        <is>
          <t>708</t>
        </is>
      </c>
      <c r="C70" s="1" t="inlineStr">
        <is>
          <t>2024</t>
        </is>
      </c>
      <c r="D70" s="1" t="inlineStr">
        <is>
          <t>ACT</t>
        </is>
      </c>
      <c r="E70" s="1" t="inlineStr">
        <is>
          <t>2027BUD_V1</t>
        </is>
      </c>
      <c r="F70" s="1" t="inlineStr">
        <is>
          <t>12</t>
        </is>
      </c>
      <c r="G70" t="n">
        <v>5767</v>
      </c>
      <c r="H70">
        <f>IF(PNL!A70="","",_CALC_PNL!P70)</f>
        <v/>
      </c>
      <c r="I70">
        <f>IF(PNL!A70="","",IF(_CALC_PNL!E70=1,H70-G70,""))</f>
        <v/>
      </c>
    </row>
    <row r="71">
      <c r="A71" s="1" t="inlineStr">
        <is>
          <t>TUNON_PAR</t>
        </is>
      </c>
      <c r="B71" s="1" t="inlineStr">
        <is>
          <t>708</t>
        </is>
      </c>
      <c r="C71" s="1" t="inlineStr">
        <is>
          <t>2024</t>
        </is>
      </c>
      <c r="D71" s="1" t="inlineStr">
        <is>
          <t>ACT</t>
        </is>
      </c>
      <c r="E71" s="1" t="inlineStr">
        <is>
          <t>2027BUD_V1</t>
        </is>
      </c>
      <c r="F71" s="1" t="inlineStr">
        <is>
          <t>12</t>
        </is>
      </c>
      <c r="G71" t="n">
        <v>3765</v>
      </c>
      <c r="H71">
        <f>IF(PNL!A71="","",_CALC_PNL!P71)</f>
        <v/>
      </c>
      <c r="I71">
        <f>IF(PNL!A71="","",IF(_CALC_PNL!E71=1,H71-G71,""))</f>
        <v/>
      </c>
    </row>
    <row r="72">
      <c r="A72" s="1" t="inlineStr">
        <is>
          <t>TUNON_LYO</t>
        </is>
      </c>
      <c r="B72" s="1" t="inlineStr">
        <is>
          <t>708</t>
        </is>
      </c>
      <c r="C72" s="1" t="inlineStr">
        <is>
          <t>2024</t>
        </is>
      </c>
      <c r="D72" s="1" t="inlineStr">
        <is>
          <t>ACT</t>
        </is>
      </c>
      <c r="E72" s="1" t="inlineStr">
        <is>
          <t>2027BUD_V1</t>
        </is>
      </c>
      <c r="F72" s="1" t="inlineStr">
        <is>
          <t>12</t>
        </is>
      </c>
      <c r="G72" t="n">
        <v>3204</v>
      </c>
      <c r="H72">
        <f>IF(PNL!A72="","",_CALC_PNL!P72)</f>
        <v/>
      </c>
      <c r="I72">
        <f>IF(PNL!A72="","",IF(_CALC_PNL!E72=1,H72-G72,""))</f>
        <v/>
      </c>
    </row>
    <row r="73">
      <c r="A73" s="1" t="inlineStr">
        <is>
          <t>MBWAY_PAR</t>
        </is>
      </c>
      <c r="B73" s="1" t="inlineStr">
        <is>
          <t>708</t>
        </is>
      </c>
      <c r="C73" s="1" t="inlineStr">
        <is>
          <t>2025</t>
        </is>
      </c>
      <c r="D73" s="1" t="inlineStr">
        <is>
          <t>ACT</t>
        </is>
      </c>
      <c r="E73" s="1" t="inlineStr">
        <is>
          <t>2027BUD_V1</t>
        </is>
      </c>
      <c r="F73" s="1" t="inlineStr">
        <is>
          <t>12</t>
        </is>
      </c>
      <c r="G73" t="n">
        <v>13245</v>
      </c>
      <c r="H73">
        <f>IF(PNL!A73="","",_CALC_PNL!P73)</f>
        <v/>
      </c>
      <c r="I73">
        <f>IF(PNL!A73="","",IF(_CALC_PNL!E73=1,H73-G73,""))</f>
        <v/>
      </c>
    </row>
    <row r="74">
      <c r="A74" s="1" t="inlineStr">
        <is>
          <t>MBWAY_LYO</t>
        </is>
      </c>
      <c r="B74" s="1" t="inlineStr">
        <is>
          <t>708</t>
        </is>
      </c>
      <c r="C74" s="1" t="inlineStr">
        <is>
          <t>2025</t>
        </is>
      </c>
      <c r="D74" s="1" t="inlineStr">
        <is>
          <t>ACT</t>
        </is>
      </c>
      <c r="E74" s="1" t="inlineStr">
        <is>
          <t>2027BUD_V1</t>
        </is>
      </c>
      <c r="F74" s="1" t="inlineStr">
        <is>
          <t>12</t>
        </is>
      </c>
      <c r="G74" t="n">
        <v>11208</v>
      </c>
      <c r="H74">
        <f>IF(PNL!A74="","",_CALC_PNL!P74)</f>
        <v/>
      </c>
      <c r="I74">
        <f>IF(PNL!A74="","",IF(_CALC_PNL!E74=1,H74-G74,""))</f>
        <v/>
      </c>
    </row>
    <row r="75">
      <c r="A75" s="1" t="inlineStr">
        <is>
          <t>MBWAY_NAN</t>
        </is>
      </c>
      <c r="B75" s="1" t="inlineStr">
        <is>
          <t>708</t>
        </is>
      </c>
      <c r="C75" s="1" t="inlineStr">
        <is>
          <t>2025</t>
        </is>
      </c>
      <c r="D75" s="1" t="inlineStr">
        <is>
          <t>ACT</t>
        </is>
      </c>
      <c r="E75" s="1" t="inlineStr">
        <is>
          <t>2027BUD_V1</t>
        </is>
      </c>
      <c r="F75" s="1" t="inlineStr">
        <is>
          <t>12</t>
        </is>
      </c>
      <c r="G75" t="n">
        <v>10189</v>
      </c>
      <c r="H75">
        <f>IF(PNL!A75="","",_CALC_PNL!P75)</f>
        <v/>
      </c>
      <c r="I75">
        <f>IF(PNL!A75="","",IF(_CALC_PNL!E75=1,H75-G75,""))</f>
        <v/>
      </c>
    </row>
    <row r="76">
      <c r="A76" s="1" t="inlineStr">
        <is>
          <t>MBWAY_BOR</t>
        </is>
      </c>
      <c r="B76" s="1" t="inlineStr">
        <is>
          <t>708</t>
        </is>
      </c>
      <c r="C76" s="1" t="inlineStr">
        <is>
          <t>2025</t>
        </is>
      </c>
      <c r="D76" s="1" t="inlineStr">
        <is>
          <t>ACT</t>
        </is>
      </c>
      <c r="E76" s="1" t="inlineStr">
        <is>
          <t>2027BUD_V1</t>
        </is>
      </c>
      <c r="F76" s="1" t="inlineStr">
        <is>
          <t>12</t>
        </is>
      </c>
      <c r="G76" t="n">
        <v>8660</v>
      </c>
      <c r="H76">
        <f>IF(PNL!A76="","",_CALC_PNL!P76)</f>
        <v/>
      </c>
      <c r="I76">
        <f>IF(PNL!A76="","",IF(_CALC_PNL!E76=1,H76-G76,""))</f>
        <v/>
      </c>
    </row>
    <row r="77">
      <c r="A77" s="1" t="inlineStr">
        <is>
          <t>ISCOM_PAR</t>
        </is>
      </c>
      <c r="B77" s="1" t="inlineStr">
        <is>
          <t>708</t>
        </is>
      </c>
      <c r="C77" s="1" t="inlineStr">
        <is>
          <t>2025</t>
        </is>
      </c>
      <c r="D77" s="1" t="inlineStr">
        <is>
          <t>ACT</t>
        </is>
      </c>
      <c r="E77" s="1" t="inlineStr">
        <is>
          <t>2027BUD_V1</t>
        </is>
      </c>
      <c r="F77" s="1" t="inlineStr">
        <is>
          <t>12</t>
        </is>
      </c>
      <c r="G77" t="n">
        <v>12226</v>
      </c>
      <c r="H77">
        <f>IF(PNL!A77="","",_CALC_PNL!P77)</f>
        <v/>
      </c>
      <c r="I77">
        <f>IF(PNL!A77="","",IF(_CALC_PNL!E77=1,H77-G77,""))</f>
        <v/>
      </c>
    </row>
    <row r="78">
      <c r="A78" s="1" t="inlineStr">
        <is>
          <t>ISCOM_LIL</t>
        </is>
      </c>
      <c r="B78" s="1" t="inlineStr">
        <is>
          <t>708</t>
        </is>
      </c>
      <c r="C78" s="1" t="inlineStr">
        <is>
          <t>2025</t>
        </is>
      </c>
      <c r="D78" s="1" t="inlineStr">
        <is>
          <t>ACT</t>
        </is>
      </c>
      <c r="E78" s="1" t="inlineStr">
        <is>
          <t>2027BUD_V1</t>
        </is>
      </c>
      <c r="F78" s="1" t="inlineStr">
        <is>
          <t>12</t>
        </is>
      </c>
      <c r="G78" t="n">
        <v>8491</v>
      </c>
      <c r="H78">
        <f>IF(PNL!A78="","",_CALC_PNL!P78)</f>
        <v/>
      </c>
      <c r="I78">
        <f>IF(PNL!A78="","",IF(_CALC_PNL!E78=1,H78-G78,""))</f>
        <v/>
      </c>
    </row>
    <row r="79">
      <c r="A79" s="1" t="inlineStr">
        <is>
          <t>ISCOM_TLS</t>
        </is>
      </c>
      <c r="B79" s="1" t="inlineStr">
        <is>
          <t>708</t>
        </is>
      </c>
      <c r="C79" s="1" t="inlineStr">
        <is>
          <t>2025</t>
        </is>
      </c>
      <c r="D79" s="1" t="inlineStr">
        <is>
          <t>ACT</t>
        </is>
      </c>
      <c r="E79" s="1" t="inlineStr">
        <is>
          <t>2027BUD_V1</t>
        </is>
      </c>
      <c r="F79" s="1" t="inlineStr">
        <is>
          <t>12</t>
        </is>
      </c>
      <c r="G79" t="n">
        <v>7981</v>
      </c>
      <c r="H79">
        <f>IF(PNL!A79="","",_CALC_PNL!P79)</f>
        <v/>
      </c>
      <c r="I79">
        <f>IF(PNL!A79="","",IF(_CALC_PNL!E79=1,H79-G79,""))</f>
        <v/>
      </c>
    </row>
    <row r="80">
      <c r="A80" s="1" t="inlineStr">
        <is>
          <t>IPAC_NAN</t>
        </is>
      </c>
      <c r="B80" s="1" t="inlineStr">
        <is>
          <t>708</t>
        </is>
      </c>
      <c r="C80" s="1" t="inlineStr">
        <is>
          <t>2025</t>
        </is>
      </c>
      <c r="D80" s="1" t="inlineStr">
        <is>
          <t>ACT</t>
        </is>
      </c>
      <c r="E80" s="1" t="inlineStr">
        <is>
          <t>2027BUD_V1</t>
        </is>
      </c>
      <c r="F80" s="1" t="inlineStr">
        <is>
          <t>12</t>
        </is>
      </c>
      <c r="G80" t="n">
        <v>4245</v>
      </c>
      <c r="H80">
        <f>IF(PNL!A80="","",_CALC_PNL!P80)</f>
        <v/>
      </c>
      <c r="I80">
        <f>IF(PNL!A80="","",IF(_CALC_PNL!E80=1,H80-G80,""))</f>
        <v/>
      </c>
    </row>
    <row r="81">
      <c r="A81" s="1" t="inlineStr">
        <is>
          <t>IPAC_REN</t>
        </is>
      </c>
      <c r="B81" s="1" t="inlineStr">
        <is>
          <t>708</t>
        </is>
      </c>
      <c r="C81" s="1" t="inlineStr">
        <is>
          <t>2025</t>
        </is>
      </c>
      <c r="D81" s="1" t="inlineStr">
        <is>
          <t>ACT</t>
        </is>
      </c>
      <c r="E81" s="1" t="inlineStr">
        <is>
          <t>2027BUD_V1</t>
        </is>
      </c>
      <c r="F81" s="1" t="inlineStr">
        <is>
          <t>12</t>
        </is>
      </c>
      <c r="G81" t="n">
        <v>3396</v>
      </c>
      <c r="H81">
        <f>IF(PNL!A81="","",_CALC_PNL!P81)</f>
        <v/>
      </c>
      <c r="I81">
        <f>IF(PNL!A81="","",IF(_CALC_PNL!E81=1,H81-G81,""))</f>
        <v/>
      </c>
    </row>
    <row r="82">
      <c r="A82" s="1" t="inlineStr">
        <is>
          <t>IPAC_MTP</t>
        </is>
      </c>
      <c r="B82" s="1" t="inlineStr">
        <is>
          <t>708</t>
        </is>
      </c>
      <c r="C82" s="1" t="inlineStr">
        <is>
          <t>2025</t>
        </is>
      </c>
      <c r="D82" s="1" t="inlineStr">
        <is>
          <t>ACT</t>
        </is>
      </c>
      <c r="E82" s="1" t="inlineStr">
        <is>
          <t>2027BUD_V1</t>
        </is>
      </c>
      <c r="F82" s="1" t="inlineStr">
        <is>
          <t>12</t>
        </is>
      </c>
      <c r="G82" t="n">
        <v>3396</v>
      </c>
      <c r="H82">
        <f>IF(PNL!A82="","",_CALC_PNL!P82)</f>
        <v/>
      </c>
      <c r="I82">
        <f>IF(PNL!A82="","",IF(_CALC_PNL!E82=1,H82-G82,""))</f>
        <v/>
      </c>
    </row>
    <row r="83">
      <c r="A83" s="1" t="inlineStr">
        <is>
          <t>PIGIER_LYO</t>
        </is>
      </c>
      <c r="B83" s="1" t="inlineStr">
        <is>
          <t>708</t>
        </is>
      </c>
      <c r="C83" s="1" t="inlineStr">
        <is>
          <t>2025</t>
        </is>
      </c>
      <c r="D83" s="1" t="inlineStr">
        <is>
          <t>ACT</t>
        </is>
      </c>
      <c r="E83" s="1" t="inlineStr">
        <is>
          <t>2027BUD_V1</t>
        </is>
      </c>
      <c r="F83" s="1" t="inlineStr">
        <is>
          <t>12</t>
        </is>
      </c>
      <c r="G83" t="n">
        <v>7811</v>
      </c>
      <c r="H83">
        <f>IF(PNL!A83="","",_CALC_PNL!P83)</f>
        <v/>
      </c>
      <c r="I83">
        <f>IF(PNL!A83="","",IF(_CALC_PNL!E83=1,H83-G83,""))</f>
        <v/>
      </c>
    </row>
    <row r="84">
      <c r="A84" s="1" t="inlineStr">
        <is>
          <t>PIGIER_BOR</t>
        </is>
      </c>
      <c r="B84" s="1" t="inlineStr">
        <is>
          <t>708</t>
        </is>
      </c>
      <c r="C84" s="1" t="inlineStr">
        <is>
          <t>2025</t>
        </is>
      </c>
      <c r="D84" s="1" t="inlineStr">
        <is>
          <t>ACT</t>
        </is>
      </c>
      <c r="E84" s="1" t="inlineStr">
        <is>
          <t>2027BUD_V1</t>
        </is>
      </c>
      <c r="F84" s="1" t="inlineStr">
        <is>
          <t>12</t>
        </is>
      </c>
      <c r="G84" t="n">
        <v>6113</v>
      </c>
      <c r="H84">
        <f>IF(PNL!A84="","",_CALC_PNL!P84)</f>
        <v/>
      </c>
      <c r="I84">
        <f>IF(PNL!A84="","",IF(_CALC_PNL!E84=1,H84-G84,""))</f>
        <v/>
      </c>
    </row>
    <row r="85">
      <c r="A85" s="1" t="inlineStr">
        <is>
          <t>TUNON_PAR</t>
        </is>
      </c>
      <c r="B85" s="1" t="inlineStr">
        <is>
          <t>708</t>
        </is>
      </c>
      <c r="C85" s="1" t="inlineStr">
        <is>
          <t>2025</t>
        </is>
      </c>
      <c r="D85" s="1" t="inlineStr">
        <is>
          <t>ACT</t>
        </is>
      </c>
      <c r="E85" s="1" t="inlineStr">
        <is>
          <t>2027BUD_V1</t>
        </is>
      </c>
      <c r="F85" s="1" t="inlineStr">
        <is>
          <t>12</t>
        </is>
      </c>
      <c r="G85" t="n">
        <v>3991</v>
      </c>
      <c r="H85">
        <f>IF(PNL!A85="","",_CALC_PNL!P85)</f>
        <v/>
      </c>
      <c r="I85">
        <f>IF(PNL!A85="","",IF(_CALC_PNL!E85=1,H85-G85,""))</f>
        <v/>
      </c>
    </row>
    <row r="86">
      <c r="A86" s="1" t="inlineStr">
        <is>
          <t>TUNON_LYO</t>
        </is>
      </c>
      <c r="B86" s="1" t="inlineStr">
        <is>
          <t>708</t>
        </is>
      </c>
      <c r="C86" s="1" t="inlineStr">
        <is>
          <t>2025</t>
        </is>
      </c>
      <c r="D86" s="1" t="inlineStr">
        <is>
          <t>ACT</t>
        </is>
      </c>
      <c r="E86" s="1" t="inlineStr">
        <is>
          <t>2027BUD_V1</t>
        </is>
      </c>
      <c r="F86" s="1" t="inlineStr">
        <is>
          <t>12</t>
        </is>
      </c>
      <c r="G86" t="n">
        <v>3396</v>
      </c>
      <c r="H86">
        <f>IF(PNL!A86="","",_CALC_PNL!P86)</f>
        <v/>
      </c>
      <c r="I86">
        <f>IF(PNL!A86="","",IF(_CALC_PNL!E86=1,H86-G86,""))</f>
        <v/>
      </c>
    </row>
    <row r="87">
      <c r="A87" s="1" t="inlineStr">
        <is>
          <t>MBWAY_PAR</t>
        </is>
      </c>
      <c r="B87" s="1" t="inlineStr">
        <is>
          <t>708</t>
        </is>
      </c>
      <c r="C87" s="1" t="inlineStr">
        <is>
          <t>2026</t>
        </is>
      </c>
      <c r="D87" s="1" t="inlineStr">
        <is>
          <t>ACT</t>
        </is>
      </c>
      <c r="E87" s="1" t="inlineStr">
        <is>
          <t>2027BUD_V1</t>
        </is>
      </c>
      <c r="F87" s="1" t="inlineStr">
        <is>
          <t>12</t>
        </is>
      </c>
      <c r="G87" t="n">
        <v>14040</v>
      </c>
      <c r="H87">
        <f>IF(PNL!A87="","",_CALC_PNL!P87)</f>
        <v/>
      </c>
      <c r="I87">
        <f>IF(PNL!A87="","",IF(_CALC_PNL!E87=1,H87-G87,""))</f>
        <v/>
      </c>
    </row>
    <row r="88">
      <c r="A88" s="1" t="inlineStr">
        <is>
          <t>MBWAY_LYO</t>
        </is>
      </c>
      <c r="B88" s="1" t="inlineStr">
        <is>
          <t>708</t>
        </is>
      </c>
      <c r="C88" s="1" t="inlineStr">
        <is>
          <t>2026</t>
        </is>
      </c>
      <c r="D88" s="1" t="inlineStr">
        <is>
          <t>ACT</t>
        </is>
      </c>
      <c r="E88" s="1" t="inlineStr">
        <is>
          <t>2027BUD_V1</t>
        </is>
      </c>
      <c r="F88" s="1" t="inlineStr">
        <is>
          <t>12</t>
        </is>
      </c>
      <c r="G88" t="n">
        <v>11880</v>
      </c>
      <c r="H88">
        <f>IF(PNL!A88="","",_CALC_PNL!P88)</f>
        <v/>
      </c>
      <c r="I88">
        <f>IF(PNL!A88="","",IF(_CALC_PNL!E88=1,H88-G88,""))</f>
        <v/>
      </c>
    </row>
    <row r="89">
      <c r="A89" s="1" t="inlineStr">
        <is>
          <t>MBWAY_NAN</t>
        </is>
      </c>
      <c r="B89" s="1" t="inlineStr">
        <is>
          <t>708</t>
        </is>
      </c>
      <c r="C89" s="1" t="inlineStr">
        <is>
          <t>2026</t>
        </is>
      </c>
      <c r="D89" s="1" t="inlineStr">
        <is>
          <t>ACT</t>
        </is>
      </c>
      <c r="E89" s="1" t="inlineStr">
        <is>
          <t>2027BUD_V1</t>
        </is>
      </c>
      <c r="F89" s="1" t="inlineStr">
        <is>
          <t>12</t>
        </is>
      </c>
      <c r="G89" t="n">
        <v>10800</v>
      </c>
      <c r="H89">
        <f>IF(PNL!A89="","",_CALC_PNL!P89)</f>
        <v/>
      </c>
      <c r="I89">
        <f>IF(PNL!A89="","",IF(_CALC_PNL!E89=1,H89-G89,""))</f>
        <v/>
      </c>
    </row>
    <row r="90">
      <c r="A90" s="1" t="inlineStr">
        <is>
          <t>MBWAY_BOR</t>
        </is>
      </c>
      <c r="B90" s="1" t="inlineStr">
        <is>
          <t>708</t>
        </is>
      </c>
      <c r="C90" s="1" t="inlineStr">
        <is>
          <t>2026</t>
        </is>
      </c>
      <c r="D90" s="1" t="inlineStr">
        <is>
          <t>ACT</t>
        </is>
      </c>
      <c r="E90" s="1" t="inlineStr">
        <is>
          <t>2027BUD_V1</t>
        </is>
      </c>
      <c r="F90" s="1" t="inlineStr">
        <is>
          <t>12</t>
        </is>
      </c>
      <c r="G90" t="n">
        <v>9180</v>
      </c>
      <c r="H90">
        <f>IF(PNL!A90="","",_CALC_PNL!P90)</f>
        <v/>
      </c>
      <c r="I90">
        <f>IF(PNL!A90="","",IF(_CALC_PNL!E90=1,H90-G90,""))</f>
        <v/>
      </c>
    </row>
    <row r="91">
      <c r="A91" s="1" t="inlineStr">
        <is>
          <t>ISCOM_PAR</t>
        </is>
      </c>
      <c r="B91" s="1" t="inlineStr">
        <is>
          <t>708</t>
        </is>
      </c>
      <c r="C91" s="1" t="inlineStr">
        <is>
          <t>2026</t>
        </is>
      </c>
      <c r="D91" s="1" t="inlineStr">
        <is>
          <t>ACT</t>
        </is>
      </c>
      <c r="E91" s="1" t="inlineStr">
        <is>
          <t>2027BUD_V1</t>
        </is>
      </c>
      <c r="F91" s="1" t="inlineStr">
        <is>
          <t>12</t>
        </is>
      </c>
      <c r="G91" t="n">
        <v>12960</v>
      </c>
      <c r="H91">
        <f>IF(PNL!A91="","",_CALC_PNL!P91)</f>
        <v/>
      </c>
      <c r="I91">
        <f>IF(PNL!A91="","",IF(_CALC_PNL!E91=1,H91-G91,""))</f>
        <v/>
      </c>
    </row>
    <row r="92">
      <c r="A92" s="1" t="inlineStr">
        <is>
          <t>ISCOM_LIL</t>
        </is>
      </c>
      <c r="B92" s="1" t="inlineStr">
        <is>
          <t>708</t>
        </is>
      </c>
      <c r="C92" s="1" t="inlineStr">
        <is>
          <t>2026</t>
        </is>
      </c>
      <c r="D92" s="1" t="inlineStr">
        <is>
          <t>ACT</t>
        </is>
      </c>
      <c r="E92" s="1" t="inlineStr">
        <is>
          <t>2027BUD_V1</t>
        </is>
      </c>
      <c r="F92" s="1" t="inlineStr">
        <is>
          <t>12</t>
        </is>
      </c>
      <c r="G92" t="n">
        <v>9000</v>
      </c>
      <c r="H92">
        <f>IF(PNL!A92="","",_CALC_PNL!P92)</f>
        <v/>
      </c>
      <c r="I92">
        <f>IF(PNL!A92="","",IF(_CALC_PNL!E92=1,H92-G92,""))</f>
        <v/>
      </c>
    </row>
    <row r="93">
      <c r="A93" s="1" t="inlineStr">
        <is>
          <t>ISCOM_TLS</t>
        </is>
      </c>
      <c r="B93" s="1" t="inlineStr">
        <is>
          <t>708</t>
        </is>
      </c>
      <c r="C93" s="1" t="inlineStr">
        <is>
          <t>2026</t>
        </is>
      </c>
      <c r="D93" s="1" t="inlineStr">
        <is>
          <t>ACT</t>
        </is>
      </c>
      <c r="E93" s="1" t="inlineStr">
        <is>
          <t>2027BUD_V1</t>
        </is>
      </c>
      <c r="F93" s="1" t="inlineStr">
        <is>
          <t>12</t>
        </is>
      </c>
      <c r="G93" t="n">
        <v>8460</v>
      </c>
      <c r="H93">
        <f>IF(PNL!A93="","",_CALC_PNL!P93)</f>
        <v/>
      </c>
      <c r="I93">
        <f>IF(PNL!A93="","",IF(_CALC_PNL!E93=1,H93-G93,""))</f>
        <v/>
      </c>
    </row>
    <row r="94">
      <c r="A94" s="1" t="inlineStr">
        <is>
          <t>IPAC_NAN</t>
        </is>
      </c>
      <c r="B94" s="1" t="inlineStr">
        <is>
          <t>708</t>
        </is>
      </c>
      <c r="C94" s="1" t="inlineStr">
        <is>
          <t>2026</t>
        </is>
      </c>
      <c r="D94" s="1" t="inlineStr">
        <is>
          <t>ACT</t>
        </is>
      </c>
      <c r="E94" s="1" t="inlineStr">
        <is>
          <t>2027BUD_V1</t>
        </is>
      </c>
      <c r="F94" s="1" t="inlineStr">
        <is>
          <t>12</t>
        </is>
      </c>
      <c r="G94" t="n">
        <v>4500</v>
      </c>
      <c r="H94">
        <f>IF(PNL!A94="","",_CALC_PNL!P94)</f>
        <v/>
      </c>
      <c r="I94">
        <f>IF(PNL!A94="","",IF(_CALC_PNL!E94=1,H94-G94,""))</f>
        <v/>
      </c>
    </row>
    <row r="95">
      <c r="A95" s="1" t="inlineStr">
        <is>
          <t>IPAC_REN</t>
        </is>
      </c>
      <c r="B95" s="1" t="inlineStr">
        <is>
          <t>708</t>
        </is>
      </c>
      <c r="C95" s="1" t="inlineStr">
        <is>
          <t>2026</t>
        </is>
      </c>
      <c r="D95" s="1" t="inlineStr">
        <is>
          <t>ACT</t>
        </is>
      </c>
      <c r="E95" s="1" t="inlineStr">
        <is>
          <t>2027BUD_V1</t>
        </is>
      </c>
      <c r="F95" s="1" t="inlineStr">
        <is>
          <t>12</t>
        </is>
      </c>
      <c r="G95" t="n">
        <v>3600</v>
      </c>
      <c r="H95">
        <f>IF(PNL!A95="","",_CALC_PNL!P95)</f>
        <v/>
      </c>
      <c r="I95">
        <f>IF(PNL!A95="","",IF(_CALC_PNL!E95=1,H95-G95,""))</f>
        <v/>
      </c>
    </row>
    <row r="96">
      <c r="A96" s="1" t="inlineStr">
        <is>
          <t>IPAC_MTP</t>
        </is>
      </c>
      <c r="B96" s="1" t="inlineStr">
        <is>
          <t>708</t>
        </is>
      </c>
      <c r="C96" s="1" t="inlineStr">
        <is>
          <t>2026</t>
        </is>
      </c>
      <c r="D96" s="1" t="inlineStr">
        <is>
          <t>ACT</t>
        </is>
      </c>
      <c r="E96" s="1" t="inlineStr">
        <is>
          <t>2027BUD_V1</t>
        </is>
      </c>
      <c r="F96" s="1" t="inlineStr">
        <is>
          <t>12</t>
        </is>
      </c>
      <c r="G96" t="n">
        <v>3600</v>
      </c>
      <c r="H96">
        <f>IF(PNL!A96="","",_CALC_PNL!P96)</f>
        <v/>
      </c>
      <c r="I96">
        <f>IF(PNL!A96="","",IF(_CALC_PNL!E96=1,H96-G96,""))</f>
        <v/>
      </c>
    </row>
    <row r="97">
      <c r="A97" s="1" t="inlineStr">
        <is>
          <t>PIGIER_LYO</t>
        </is>
      </c>
      <c r="B97" s="1" t="inlineStr">
        <is>
          <t>708</t>
        </is>
      </c>
      <c r="C97" s="1" t="inlineStr">
        <is>
          <t>2026</t>
        </is>
      </c>
      <c r="D97" s="1" t="inlineStr">
        <is>
          <t>ACT</t>
        </is>
      </c>
      <c r="E97" s="1" t="inlineStr">
        <is>
          <t>2027BUD_V1</t>
        </is>
      </c>
      <c r="F97" s="1" t="inlineStr">
        <is>
          <t>12</t>
        </is>
      </c>
      <c r="G97" t="n">
        <v>8280</v>
      </c>
      <c r="H97">
        <f>IF(PNL!A97="","",_CALC_PNL!P97)</f>
        <v/>
      </c>
      <c r="I97">
        <f>IF(PNL!A97="","",IF(_CALC_PNL!E97=1,H97-G97,""))</f>
        <v/>
      </c>
    </row>
    <row r="98">
      <c r="A98" s="1" t="inlineStr">
        <is>
          <t>PIGIER_BOR</t>
        </is>
      </c>
      <c r="B98" s="1" t="inlineStr">
        <is>
          <t>708</t>
        </is>
      </c>
      <c r="C98" s="1" t="inlineStr">
        <is>
          <t>2026</t>
        </is>
      </c>
      <c r="D98" s="1" t="inlineStr">
        <is>
          <t>ACT</t>
        </is>
      </c>
      <c r="E98" s="1" t="inlineStr">
        <is>
          <t>2027BUD_V1</t>
        </is>
      </c>
      <c r="F98" s="1" t="inlineStr">
        <is>
          <t>12</t>
        </is>
      </c>
      <c r="G98" t="n">
        <v>6480</v>
      </c>
      <c r="H98">
        <f>IF(PNL!A98="","",_CALC_PNL!P98)</f>
        <v/>
      </c>
      <c r="I98">
        <f>IF(PNL!A98="","",IF(_CALC_PNL!E98=1,H98-G98,""))</f>
        <v/>
      </c>
    </row>
    <row r="99">
      <c r="A99" s="1" t="inlineStr">
        <is>
          <t>TUNON_PAR</t>
        </is>
      </c>
      <c r="B99" s="1" t="inlineStr">
        <is>
          <t>708</t>
        </is>
      </c>
      <c r="C99" s="1" t="inlineStr">
        <is>
          <t>2026</t>
        </is>
      </c>
      <c r="D99" s="1" t="inlineStr">
        <is>
          <t>ACT</t>
        </is>
      </c>
      <c r="E99" s="1" t="inlineStr">
        <is>
          <t>2027BUD_V1</t>
        </is>
      </c>
      <c r="F99" s="1" t="inlineStr">
        <is>
          <t>12</t>
        </is>
      </c>
      <c r="G99" t="n">
        <v>4230</v>
      </c>
      <c r="H99">
        <f>IF(PNL!A99="","",_CALC_PNL!P99)</f>
        <v/>
      </c>
      <c r="I99">
        <f>IF(PNL!A99="","",IF(_CALC_PNL!E99=1,H99-G99,""))</f>
        <v/>
      </c>
    </row>
    <row r="100">
      <c r="A100" s="1" t="inlineStr">
        <is>
          <t>TUNON_LYO</t>
        </is>
      </c>
      <c r="B100" s="1" t="inlineStr">
        <is>
          <t>708</t>
        </is>
      </c>
      <c r="C100" s="1" t="inlineStr">
        <is>
          <t>2026</t>
        </is>
      </c>
      <c r="D100" s="1" t="inlineStr">
        <is>
          <t>ACT</t>
        </is>
      </c>
      <c r="E100" s="1" t="inlineStr">
        <is>
          <t>2027BUD_V1</t>
        </is>
      </c>
      <c r="F100" s="1" t="inlineStr">
        <is>
          <t>12</t>
        </is>
      </c>
      <c r="G100" t="n">
        <v>3600</v>
      </c>
      <c r="H100">
        <f>IF(PNL!A100="","",_CALC_PNL!P100)</f>
        <v/>
      </c>
      <c r="I100">
        <f>IF(PNL!A100="","",IF(_CALC_PNL!E100=1,H100-G100,""))</f>
        <v/>
      </c>
    </row>
    <row r="101">
      <c r="A101" s="1" t="inlineStr">
        <is>
          <t>MBWAY_PAR</t>
        </is>
      </c>
      <c r="B101" s="1" t="inlineStr">
        <is>
          <t>621</t>
        </is>
      </c>
      <c r="C101" s="1" t="inlineStr">
        <is>
          <t>2024</t>
        </is>
      </c>
      <c r="D101" s="1" t="inlineStr">
        <is>
          <t>ACT</t>
        </is>
      </c>
      <c r="E101" s="1" t="inlineStr">
        <is>
          <t>2027BUD_V1</t>
        </is>
      </c>
      <c r="F101" s="1" t="inlineStr">
        <is>
          <t>12</t>
        </is>
      </c>
      <c r="G101" t="n">
        <v>165271</v>
      </c>
      <c r="H101">
        <f>IF(PNL!A101="","",_CALC_PNL!P101)</f>
        <v/>
      </c>
      <c r="I101">
        <f>IF(PNL!A101="","",IF(_CALC_PNL!E101=1,H101-G101,""))</f>
        <v/>
      </c>
    </row>
    <row r="102">
      <c r="A102" s="1" t="inlineStr">
        <is>
          <t>MBWAY_LYO</t>
        </is>
      </c>
      <c r="B102" s="1" t="inlineStr">
        <is>
          <t>621</t>
        </is>
      </c>
      <c r="C102" s="1" t="inlineStr">
        <is>
          <t>2024</t>
        </is>
      </c>
      <c r="D102" s="1" t="inlineStr">
        <is>
          <t>ACT</t>
        </is>
      </c>
      <c r="E102" s="1" t="inlineStr">
        <is>
          <t>2027BUD_V1</t>
        </is>
      </c>
      <c r="F102" s="1" t="inlineStr">
        <is>
          <t>12</t>
        </is>
      </c>
      <c r="G102" t="n">
        <v>143235</v>
      </c>
      <c r="H102">
        <f>IF(PNL!A102="","",_CALC_PNL!P102)</f>
        <v/>
      </c>
      <c r="I102">
        <f>IF(PNL!A102="","",IF(_CALC_PNL!E102=1,H102-G102,""))</f>
        <v/>
      </c>
    </row>
    <row r="103">
      <c r="A103" s="1" t="inlineStr">
        <is>
          <t>MBWAY_NAN</t>
        </is>
      </c>
      <c r="B103" s="1" t="inlineStr">
        <is>
          <t>621</t>
        </is>
      </c>
      <c r="C103" s="1" t="inlineStr">
        <is>
          <t>2024</t>
        </is>
      </c>
      <c r="D103" s="1" t="inlineStr">
        <is>
          <t>ACT</t>
        </is>
      </c>
      <c r="E103" s="1" t="inlineStr">
        <is>
          <t>2027BUD_V1</t>
        </is>
      </c>
      <c r="F103" s="1" t="inlineStr">
        <is>
          <t>12</t>
        </is>
      </c>
      <c r="G103" t="n">
        <v>132216</v>
      </c>
      <c r="H103">
        <f>IF(PNL!A103="","",_CALC_PNL!P103)</f>
        <v/>
      </c>
      <c r="I103">
        <f>IF(PNL!A103="","",IF(_CALC_PNL!E103=1,H103-G103,""))</f>
        <v/>
      </c>
    </row>
    <row r="104">
      <c r="A104" s="1" t="inlineStr">
        <is>
          <t>MBWAY_BOR</t>
        </is>
      </c>
      <c r="B104" s="1" t="inlineStr">
        <is>
          <t>621</t>
        </is>
      </c>
      <c r="C104" s="1" t="inlineStr">
        <is>
          <t>2024</t>
        </is>
      </c>
      <c r="D104" s="1" t="inlineStr">
        <is>
          <t>ACT</t>
        </is>
      </c>
      <c r="E104" s="1" t="inlineStr">
        <is>
          <t>2027BUD_V1</t>
        </is>
      </c>
      <c r="F104" s="1" t="inlineStr">
        <is>
          <t>12</t>
        </is>
      </c>
      <c r="G104" t="n">
        <v>110180</v>
      </c>
      <c r="H104">
        <f>IF(PNL!A104="","",_CALC_PNL!P104)</f>
        <v/>
      </c>
      <c r="I104">
        <f>IF(PNL!A104="","",IF(_CALC_PNL!E104=1,H104-G104,""))</f>
        <v/>
      </c>
    </row>
    <row r="105">
      <c r="A105" s="1" t="inlineStr">
        <is>
          <t>ISCOM_PAR</t>
        </is>
      </c>
      <c r="B105" s="1" t="inlineStr">
        <is>
          <t>621</t>
        </is>
      </c>
      <c r="C105" s="1" t="inlineStr">
        <is>
          <t>2024</t>
        </is>
      </c>
      <c r="D105" s="1" t="inlineStr">
        <is>
          <t>ACT</t>
        </is>
      </c>
      <c r="E105" s="1" t="inlineStr">
        <is>
          <t>2027BUD_V1</t>
        </is>
      </c>
      <c r="F105" s="1" t="inlineStr">
        <is>
          <t>12</t>
        </is>
      </c>
      <c r="G105" t="n">
        <v>165271</v>
      </c>
      <c r="H105">
        <f>IF(PNL!A105="","",_CALC_PNL!P105)</f>
        <v/>
      </c>
      <c r="I105">
        <f>IF(PNL!A105="","",IF(_CALC_PNL!E105=1,H105-G105,""))</f>
        <v/>
      </c>
    </row>
    <row r="106">
      <c r="A106" s="1" t="inlineStr">
        <is>
          <t>ISCOM_LIL</t>
        </is>
      </c>
      <c r="B106" s="1" t="inlineStr">
        <is>
          <t>621</t>
        </is>
      </c>
      <c r="C106" s="1" t="inlineStr">
        <is>
          <t>2024</t>
        </is>
      </c>
      <c r="D106" s="1" t="inlineStr">
        <is>
          <t>ACT</t>
        </is>
      </c>
      <c r="E106" s="1" t="inlineStr">
        <is>
          <t>2027BUD_V1</t>
        </is>
      </c>
      <c r="F106" s="1" t="inlineStr">
        <is>
          <t>12</t>
        </is>
      </c>
      <c r="G106" t="n">
        <v>110180</v>
      </c>
      <c r="H106">
        <f>IF(PNL!A106="","",_CALC_PNL!P106)</f>
        <v/>
      </c>
      <c r="I106">
        <f>IF(PNL!A106="","",IF(_CALC_PNL!E106=1,H106-G106,""))</f>
        <v/>
      </c>
    </row>
    <row r="107">
      <c r="A107" s="1" t="inlineStr">
        <is>
          <t>ISCOM_TLS</t>
        </is>
      </c>
      <c r="B107" s="1" t="inlineStr">
        <is>
          <t>621</t>
        </is>
      </c>
      <c r="C107" s="1" t="inlineStr">
        <is>
          <t>2024</t>
        </is>
      </c>
      <c r="D107" s="1" t="inlineStr">
        <is>
          <t>ACT</t>
        </is>
      </c>
      <c r="E107" s="1" t="inlineStr">
        <is>
          <t>2027BUD_V1</t>
        </is>
      </c>
      <c r="F107" s="1" t="inlineStr">
        <is>
          <t>12</t>
        </is>
      </c>
      <c r="G107" t="n">
        <v>110180</v>
      </c>
      <c r="H107">
        <f>IF(PNL!A107="","",_CALC_PNL!P107)</f>
        <v/>
      </c>
      <c r="I107">
        <f>IF(PNL!A107="","",IF(_CALC_PNL!E107=1,H107-G107,""))</f>
        <v/>
      </c>
    </row>
    <row r="108">
      <c r="A108" s="1" t="inlineStr">
        <is>
          <t>IPAC_NAN</t>
        </is>
      </c>
      <c r="B108" s="1" t="inlineStr">
        <is>
          <t>621</t>
        </is>
      </c>
      <c r="C108" s="1" t="inlineStr">
        <is>
          <t>2024</t>
        </is>
      </c>
      <c r="D108" s="1" t="inlineStr">
        <is>
          <t>ACT</t>
        </is>
      </c>
      <c r="E108" s="1" t="inlineStr">
        <is>
          <t>2027BUD_V1</t>
        </is>
      </c>
      <c r="F108" s="1" t="inlineStr">
        <is>
          <t>12</t>
        </is>
      </c>
      <c r="G108" t="n">
        <v>66108</v>
      </c>
      <c r="H108">
        <f>IF(PNL!A108="","",_CALC_PNL!P108)</f>
        <v/>
      </c>
      <c r="I108">
        <f>IF(PNL!A108="","",IF(_CALC_PNL!E108=1,H108-G108,""))</f>
        <v/>
      </c>
    </row>
    <row r="109">
      <c r="A109" s="1" t="inlineStr">
        <is>
          <t>IPAC_REN</t>
        </is>
      </c>
      <c r="B109" s="1" t="inlineStr">
        <is>
          <t>621</t>
        </is>
      </c>
      <c r="C109" s="1" t="inlineStr">
        <is>
          <t>2024</t>
        </is>
      </c>
      <c r="D109" s="1" t="inlineStr">
        <is>
          <t>ACT</t>
        </is>
      </c>
      <c r="E109" s="1" t="inlineStr">
        <is>
          <t>2027BUD_V1</t>
        </is>
      </c>
      <c r="F109" s="1" t="inlineStr">
        <is>
          <t>12</t>
        </is>
      </c>
      <c r="G109" t="n">
        <v>66108</v>
      </c>
      <c r="H109">
        <f>IF(PNL!A109="","",_CALC_PNL!P109)</f>
        <v/>
      </c>
      <c r="I109">
        <f>IF(PNL!A109="","",IF(_CALC_PNL!E109=1,H109-G109,""))</f>
        <v/>
      </c>
    </row>
    <row r="110">
      <c r="A110" s="1" t="inlineStr">
        <is>
          <t>IPAC_MTP</t>
        </is>
      </c>
      <c r="B110" s="1" t="inlineStr">
        <is>
          <t>621</t>
        </is>
      </c>
      <c r="C110" s="1" t="inlineStr">
        <is>
          <t>2024</t>
        </is>
      </c>
      <c r="D110" s="1" t="inlineStr">
        <is>
          <t>ACT</t>
        </is>
      </c>
      <c r="E110" s="1" t="inlineStr">
        <is>
          <t>2027BUD_V1</t>
        </is>
      </c>
      <c r="F110" s="1" t="inlineStr">
        <is>
          <t>12</t>
        </is>
      </c>
      <c r="G110" t="n">
        <v>66108</v>
      </c>
      <c r="H110">
        <f>IF(PNL!A110="","",_CALC_PNL!P110)</f>
        <v/>
      </c>
      <c r="I110">
        <f>IF(PNL!A110="","",IF(_CALC_PNL!E110=1,H110-G110,""))</f>
        <v/>
      </c>
    </row>
    <row r="111">
      <c r="A111" s="1" t="inlineStr">
        <is>
          <t>PIGIER_LYO</t>
        </is>
      </c>
      <c r="B111" s="1" t="inlineStr">
        <is>
          <t>621</t>
        </is>
      </c>
      <c r="C111" s="1" t="inlineStr">
        <is>
          <t>2024</t>
        </is>
      </c>
      <c r="D111" s="1" t="inlineStr">
        <is>
          <t>ACT</t>
        </is>
      </c>
      <c r="E111" s="1" t="inlineStr">
        <is>
          <t>2027BUD_V1</t>
        </is>
      </c>
      <c r="F111" s="1" t="inlineStr">
        <is>
          <t>12</t>
        </is>
      </c>
      <c r="G111" t="n">
        <v>88144</v>
      </c>
      <c r="H111">
        <f>IF(PNL!A111="","",_CALC_PNL!P111)</f>
        <v/>
      </c>
      <c r="I111">
        <f>IF(PNL!A111="","",IF(_CALC_PNL!E111=1,H111-G111,""))</f>
        <v/>
      </c>
    </row>
    <row r="112">
      <c r="A112" s="1" t="inlineStr">
        <is>
          <t>PIGIER_BOR</t>
        </is>
      </c>
      <c r="B112" s="1" t="inlineStr">
        <is>
          <t>621</t>
        </is>
      </c>
      <c r="C112" s="1" t="inlineStr">
        <is>
          <t>2024</t>
        </is>
      </c>
      <c r="D112" s="1" t="inlineStr">
        <is>
          <t>ACT</t>
        </is>
      </c>
      <c r="E112" s="1" t="inlineStr">
        <is>
          <t>2027BUD_V1</t>
        </is>
      </c>
      <c r="F112" s="1" t="inlineStr">
        <is>
          <t>12</t>
        </is>
      </c>
      <c r="G112" t="n">
        <v>88144</v>
      </c>
      <c r="H112">
        <f>IF(PNL!A112="","",_CALC_PNL!P112)</f>
        <v/>
      </c>
      <c r="I112">
        <f>IF(PNL!A112="","",IF(_CALC_PNL!E112=1,H112-G112,""))</f>
        <v/>
      </c>
    </row>
    <row r="113">
      <c r="A113" s="1" t="inlineStr">
        <is>
          <t>TUNON_PAR</t>
        </is>
      </c>
      <c r="B113" s="1" t="inlineStr">
        <is>
          <t>621</t>
        </is>
      </c>
      <c r="C113" s="1" t="inlineStr">
        <is>
          <t>2024</t>
        </is>
      </c>
      <c r="D113" s="1" t="inlineStr">
        <is>
          <t>ACT</t>
        </is>
      </c>
      <c r="E113" s="1" t="inlineStr">
        <is>
          <t>2027BUD_V1</t>
        </is>
      </c>
      <c r="F113" s="1" t="inlineStr">
        <is>
          <t>12</t>
        </is>
      </c>
      <c r="G113" t="n">
        <v>66108</v>
      </c>
      <c r="H113">
        <f>IF(PNL!A113="","",_CALC_PNL!P113)</f>
        <v/>
      </c>
      <c r="I113">
        <f>IF(PNL!A113="","",IF(_CALC_PNL!E113=1,H113-G113,""))</f>
        <v/>
      </c>
    </row>
    <row r="114">
      <c r="A114" s="1" t="inlineStr">
        <is>
          <t>TUNON_LYO</t>
        </is>
      </c>
      <c r="B114" s="1" t="inlineStr">
        <is>
          <t>621</t>
        </is>
      </c>
      <c r="C114" s="1" t="inlineStr">
        <is>
          <t>2024</t>
        </is>
      </c>
      <c r="D114" s="1" t="inlineStr">
        <is>
          <t>ACT</t>
        </is>
      </c>
      <c r="E114" s="1" t="inlineStr">
        <is>
          <t>2027BUD_V1</t>
        </is>
      </c>
      <c r="F114" s="1" t="inlineStr">
        <is>
          <t>12</t>
        </is>
      </c>
      <c r="G114" t="n">
        <v>66108</v>
      </c>
      <c r="H114">
        <f>IF(PNL!A114="","",_CALC_PNL!P114)</f>
        <v/>
      </c>
      <c r="I114">
        <f>IF(PNL!A114="","",IF(_CALC_PNL!E114=1,H114-G114,""))</f>
        <v/>
      </c>
    </row>
    <row r="115">
      <c r="A115" s="1" t="inlineStr">
        <is>
          <t>MBWAY_PAR</t>
        </is>
      </c>
      <c r="B115" s="1" t="inlineStr">
        <is>
          <t>621</t>
        </is>
      </c>
      <c r="C115" s="1" t="inlineStr">
        <is>
          <t>2025</t>
        </is>
      </c>
      <c r="D115" s="1" t="inlineStr">
        <is>
          <t>ACT</t>
        </is>
      </c>
      <c r="E115" s="1" t="inlineStr">
        <is>
          <t>2027BUD_V1</t>
        </is>
      </c>
      <c r="F115" s="1" t="inlineStr">
        <is>
          <t>12</t>
        </is>
      </c>
      <c r="G115" t="n">
        <v>172844</v>
      </c>
      <c r="H115">
        <f>IF(PNL!A115="","",_CALC_PNL!P115)</f>
        <v/>
      </c>
      <c r="I115">
        <f>IF(PNL!A115="","",IF(_CALC_PNL!E115=1,H115-G115,""))</f>
        <v/>
      </c>
    </row>
    <row r="116">
      <c r="A116" s="1" t="inlineStr">
        <is>
          <t>MBWAY_LYO</t>
        </is>
      </c>
      <c r="B116" s="1" t="inlineStr">
        <is>
          <t>621</t>
        </is>
      </c>
      <c r="C116" s="1" t="inlineStr">
        <is>
          <t>2025</t>
        </is>
      </c>
      <c r="D116" s="1" t="inlineStr">
        <is>
          <t>ACT</t>
        </is>
      </c>
      <c r="E116" s="1" t="inlineStr">
        <is>
          <t>2027BUD_V1</t>
        </is>
      </c>
      <c r="F116" s="1" t="inlineStr">
        <is>
          <t>12</t>
        </is>
      </c>
      <c r="G116" t="n">
        <v>149798</v>
      </c>
      <c r="H116">
        <f>IF(PNL!A116="","",_CALC_PNL!P116)</f>
        <v/>
      </c>
      <c r="I116">
        <f>IF(PNL!A116="","",IF(_CALC_PNL!E116=1,H116-G116,""))</f>
        <v/>
      </c>
    </row>
    <row r="117">
      <c r="A117" s="1" t="inlineStr">
        <is>
          <t>MBWAY_NAN</t>
        </is>
      </c>
      <c r="B117" s="1" t="inlineStr">
        <is>
          <t>621</t>
        </is>
      </c>
      <c r="C117" s="1" t="inlineStr">
        <is>
          <t>2025</t>
        </is>
      </c>
      <c r="D117" s="1" t="inlineStr">
        <is>
          <t>ACT</t>
        </is>
      </c>
      <c r="E117" s="1" t="inlineStr">
        <is>
          <t>2027BUD_V1</t>
        </is>
      </c>
      <c r="F117" s="1" t="inlineStr">
        <is>
          <t>12</t>
        </is>
      </c>
      <c r="G117" t="n">
        <v>138275</v>
      </c>
      <c r="H117">
        <f>IF(PNL!A117="","",_CALC_PNL!P117)</f>
        <v/>
      </c>
      <c r="I117">
        <f>IF(PNL!A117="","",IF(_CALC_PNL!E117=1,H117-G117,""))</f>
        <v/>
      </c>
    </row>
    <row r="118">
      <c r="A118" s="1" t="inlineStr">
        <is>
          <t>MBWAY_BOR</t>
        </is>
      </c>
      <c r="B118" s="1" t="inlineStr">
        <is>
          <t>621</t>
        </is>
      </c>
      <c r="C118" s="1" t="inlineStr">
        <is>
          <t>2025</t>
        </is>
      </c>
      <c r="D118" s="1" t="inlineStr">
        <is>
          <t>ACT</t>
        </is>
      </c>
      <c r="E118" s="1" t="inlineStr">
        <is>
          <t>2027BUD_V1</t>
        </is>
      </c>
      <c r="F118" s="1" t="inlineStr">
        <is>
          <t>12</t>
        </is>
      </c>
      <c r="G118" t="n">
        <v>115229</v>
      </c>
      <c r="H118">
        <f>IF(PNL!A118="","",_CALC_PNL!P118)</f>
        <v/>
      </c>
      <c r="I118">
        <f>IF(PNL!A118="","",IF(_CALC_PNL!E118=1,H118-G118,""))</f>
        <v/>
      </c>
    </row>
    <row r="119">
      <c r="A119" s="1" t="inlineStr">
        <is>
          <t>ISCOM_PAR</t>
        </is>
      </c>
      <c r="B119" s="1" t="inlineStr">
        <is>
          <t>621</t>
        </is>
      </c>
      <c r="C119" s="1" t="inlineStr">
        <is>
          <t>2025</t>
        </is>
      </c>
      <c r="D119" s="1" t="inlineStr">
        <is>
          <t>ACT</t>
        </is>
      </c>
      <c r="E119" s="1" t="inlineStr">
        <is>
          <t>2027BUD_V1</t>
        </is>
      </c>
      <c r="F119" s="1" t="inlineStr">
        <is>
          <t>12</t>
        </is>
      </c>
      <c r="G119" t="n">
        <v>172844</v>
      </c>
      <c r="H119">
        <f>IF(PNL!A119="","",_CALC_PNL!P119)</f>
        <v/>
      </c>
      <c r="I119">
        <f>IF(PNL!A119="","",IF(_CALC_PNL!E119=1,H119-G119,""))</f>
        <v/>
      </c>
    </row>
    <row r="120">
      <c r="A120" s="1" t="inlineStr">
        <is>
          <t>ISCOM_LIL</t>
        </is>
      </c>
      <c r="B120" s="1" t="inlineStr">
        <is>
          <t>621</t>
        </is>
      </c>
      <c r="C120" s="1" t="inlineStr">
        <is>
          <t>2025</t>
        </is>
      </c>
      <c r="D120" s="1" t="inlineStr">
        <is>
          <t>ACT</t>
        </is>
      </c>
      <c r="E120" s="1" t="inlineStr">
        <is>
          <t>2027BUD_V1</t>
        </is>
      </c>
      <c r="F120" s="1" t="inlineStr">
        <is>
          <t>12</t>
        </is>
      </c>
      <c r="G120" t="n">
        <v>115229</v>
      </c>
      <c r="H120">
        <f>IF(PNL!A120="","",_CALC_PNL!P120)</f>
        <v/>
      </c>
      <c r="I120">
        <f>IF(PNL!A120="","",IF(_CALC_PNL!E120=1,H120-G120,""))</f>
        <v/>
      </c>
    </row>
    <row r="121">
      <c r="A121" s="1" t="inlineStr">
        <is>
          <t>ISCOM_TLS</t>
        </is>
      </c>
      <c r="B121" s="1" t="inlineStr">
        <is>
          <t>621</t>
        </is>
      </c>
      <c r="C121" s="1" t="inlineStr">
        <is>
          <t>2025</t>
        </is>
      </c>
      <c r="D121" s="1" t="inlineStr">
        <is>
          <t>ACT</t>
        </is>
      </c>
      <c r="E121" s="1" t="inlineStr">
        <is>
          <t>2027BUD_V1</t>
        </is>
      </c>
      <c r="F121" s="1" t="inlineStr">
        <is>
          <t>12</t>
        </is>
      </c>
      <c r="G121" t="n">
        <v>115229</v>
      </c>
      <c r="H121">
        <f>IF(PNL!A121="","",_CALC_PNL!P121)</f>
        <v/>
      </c>
      <c r="I121">
        <f>IF(PNL!A121="","",IF(_CALC_PNL!E121=1,H121-G121,""))</f>
        <v/>
      </c>
    </row>
    <row r="122">
      <c r="A122" s="1" t="inlineStr">
        <is>
          <t>IPAC_NAN</t>
        </is>
      </c>
      <c r="B122" s="1" t="inlineStr">
        <is>
          <t>621</t>
        </is>
      </c>
      <c r="C122" s="1" t="inlineStr">
        <is>
          <t>2025</t>
        </is>
      </c>
      <c r="D122" s="1" t="inlineStr">
        <is>
          <t>ACT</t>
        </is>
      </c>
      <c r="E122" s="1" t="inlineStr">
        <is>
          <t>2027BUD_V1</t>
        </is>
      </c>
      <c r="F122" s="1" t="inlineStr">
        <is>
          <t>12</t>
        </is>
      </c>
      <c r="G122" t="n">
        <v>69137</v>
      </c>
      <c r="H122">
        <f>IF(PNL!A122="","",_CALC_PNL!P122)</f>
        <v/>
      </c>
      <c r="I122">
        <f>IF(PNL!A122="","",IF(_CALC_PNL!E122=1,H122-G122,""))</f>
        <v/>
      </c>
    </row>
    <row r="123">
      <c r="A123" s="1" t="inlineStr">
        <is>
          <t>IPAC_REN</t>
        </is>
      </c>
      <c r="B123" s="1" t="inlineStr">
        <is>
          <t>621</t>
        </is>
      </c>
      <c r="C123" s="1" t="inlineStr">
        <is>
          <t>2025</t>
        </is>
      </c>
      <c r="D123" s="1" t="inlineStr">
        <is>
          <t>ACT</t>
        </is>
      </c>
      <c r="E123" s="1" t="inlineStr">
        <is>
          <t>2027BUD_V1</t>
        </is>
      </c>
      <c r="F123" s="1" t="inlineStr">
        <is>
          <t>12</t>
        </is>
      </c>
      <c r="G123" t="n">
        <v>69137</v>
      </c>
      <c r="H123">
        <f>IF(PNL!A123="","",_CALC_PNL!P123)</f>
        <v/>
      </c>
      <c r="I123">
        <f>IF(PNL!A123="","",IF(_CALC_PNL!E123=1,H123-G123,""))</f>
        <v/>
      </c>
    </row>
    <row r="124">
      <c r="A124" s="1" t="inlineStr">
        <is>
          <t>IPAC_MTP</t>
        </is>
      </c>
      <c r="B124" s="1" t="inlineStr">
        <is>
          <t>621</t>
        </is>
      </c>
      <c r="C124" s="1" t="inlineStr">
        <is>
          <t>2025</t>
        </is>
      </c>
      <c r="D124" s="1" t="inlineStr">
        <is>
          <t>ACT</t>
        </is>
      </c>
      <c r="E124" s="1" t="inlineStr">
        <is>
          <t>2027BUD_V1</t>
        </is>
      </c>
      <c r="F124" s="1" t="inlineStr">
        <is>
          <t>12</t>
        </is>
      </c>
      <c r="G124" t="n">
        <v>69137</v>
      </c>
      <c r="H124">
        <f>IF(PNL!A124="","",_CALC_PNL!P124)</f>
        <v/>
      </c>
      <c r="I124">
        <f>IF(PNL!A124="","",IF(_CALC_PNL!E124=1,H124-G124,""))</f>
        <v/>
      </c>
    </row>
    <row r="125">
      <c r="A125" s="1" t="inlineStr">
        <is>
          <t>PIGIER_LYO</t>
        </is>
      </c>
      <c r="B125" s="1" t="inlineStr">
        <is>
          <t>621</t>
        </is>
      </c>
      <c r="C125" s="1" t="inlineStr">
        <is>
          <t>2025</t>
        </is>
      </c>
      <c r="D125" s="1" t="inlineStr">
        <is>
          <t>ACT</t>
        </is>
      </c>
      <c r="E125" s="1" t="inlineStr">
        <is>
          <t>2027BUD_V1</t>
        </is>
      </c>
      <c r="F125" s="1" t="inlineStr">
        <is>
          <t>12</t>
        </is>
      </c>
      <c r="G125" t="n">
        <v>92183</v>
      </c>
      <c r="H125">
        <f>IF(PNL!A125="","",_CALC_PNL!P125)</f>
        <v/>
      </c>
      <c r="I125">
        <f>IF(PNL!A125="","",IF(_CALC_PNL!E125=1,H125-G125,""))</f>
        <v/>
      </c>
    </row>
    <row r="126">
      <c r="A126" s="1" t="inlineStr">
        <is>
          <t>PIGIER_BOR</t>
        </is>
      </c>
      <c r="B126" s="1" t="inlineStr">
        <is>
          <t>621</t>
        </is>
      </c>
      <c r="C126" s="1" t="inlineStr">
        <is>
          <t>2025</t>
        </is>
      </c>
      <c r="D126" s="1" t="inlineStr">
        <is>
          <t>ACT</t>
        </is>
      </c>
      <c r="E126" s="1" t="inlineStr">
        <is>
          <t>2027BUD_V1</t>
        </is>
      </c>
      <c r="F126" s="1" t="inlineStr">
        <is>
          <t>12</t>
        </is>
      </c>
      <c r="G126" t="n">
        <v>92183</v>
      </c>
      <c r="H126">
        <f>IF(PNL!A126="","",_CALC_PNL!P126)</f>
        <v/>
      </c>
      <c r="I126">
        <f>IF(PNL!A126="","",IF(_CALC_PNL!E126=1,H126-G126,""))</f>
        <v/>
      </c>
    </row>
    <row r="127">
      <c r="A127" s="1" t="inlineStr">
        <is>
          <t>TUNON_PAR</t>
        </is>
      </c>
      <c r="B127" s="1" t="inlineStr">
        <is>
          <t>621</t>
        </is>
      </c>
      <c r="C127" s="1" t="inlineStr">
        <is>
          <t>2025</t>
        </is>
      </c>
      <c r="D127" s="1" t="inlineStr">
        <is>
          <t>ACT</t>
        </is>
      </c>
      <c r="E127" s="1" t="inlineStr">
        <is>
          <t>2027BUD_V1</t>
        </is>
      </c>
      <c r="F127" s="1" t="inlineStr">
        <is>
          <t>12</t>
        </is>
      </c>
      <c r="G127" t="n">
        <v>69137</v>
      </c>
      <c r="H127">
        <f>IF(PNL!A127="","",_CALC_PNL!P127)</f>
        <v/>
      </c>
      <c r="I127">
        <f>IF(PNL!A127="","",IF(_CALC_PNL!E127=1,H127-G127,""))</f>
        <v/>
      </c>
    </row>
    <row r="128">
      <c r="A128" s="1" t="inlineStr">
        <is>
          <t>TUNON_LYO</t>
        </is>
      </c>
      <c r="B128" s="1" t="inlineStr">
        <is>
          <t>621</t>
        </is>
      </c>
      <c r="C128" s="1" t="inlineStr">
        <is>
          <t>2025</t>
        </is>
      </c>
      <c r="D128" s="1" t="inlineStr">
        <is>
          <t>ACT</t>
        </is>
      </c>
      <c r="E128" s="1" t="inlineStr">
        <is>
          <t>2027BUD_V1</t>
        </is>
      </c>
      <c r="F128" s="1" t="inlineStr">
        <is>
          <t>12</t>
        </is>
      </c>
      <c r="G128" t="n">
        <v>69137</v>
      </c>
      <c r="H128">
        <f>IF(PNL!A128="","",_CALC_PNL!P128)</f>
        <v/>
      </c>
      <c r="I128">
        <f>IF(PNL!A128="","",IF(_CALC_PNL!E128=1,H128-G128,""))</f>
        <v/>
      </c>
    </row>
    <row r="129">
      <c r="A129" s="1" t="inlineStr">
        <is>
          <t>MBWAY_PAR</t>
        </is>
      </c>
      <c r="B129" s="1" t="inlineStr">
        <is>
          <t>621</t>
        </is>
      </c>
      <c r="C129" s="1" t="inlineStr">
        <is>
          <t>2026</t>
        </is>
      </c>
      <c r="D129" s="1" t="inlineStr">
        <is>
          <t>ACT</t>
        </is>
      </c>
      <c r="E129" s="1" t="inlineStr">
        <is>
          <t>2027BUD_V1</t>
        </is>
      </c>
      <c r="F129" s="1" t="inlineStr">
        <is>
          <t>12</t>
        </is>
      </c>
      <c r="G129" t="n">
        <v>181094</v>
      </c>
      <c r="H129">
        <f>IF(PNL!A129="","",_CALC_PNL!P129)</f>
        <v/>
      </c>
      <c r="I129">
        <f>IF(PNL!A129="","",IF(_CALC_PNL!E129=1,H129-G129,""))</f>
        <v/>
      </c>
    </row>
    <row r="130">
      <c r="A130" s="1" t="inlineStr">
        <is>
          <t>MBWAY_LYO</t>
        </is>
      </c>
      <c r="B130" s="1" t="inlineStr">
        <is>
          <t>621</t>
        </is>
      </c>
      <c r="C130" s="1" t="inlineStr">
        <is>
          <t>2026</t>
        </is>
      </c>
      <c r="D130" s="1" t="inlineStr">
        <is>
          <t>ACT</t>
        </is>
      </c>
      <c r="E130" s="1" t="inlineStr">
        <is>
          <t>2027BUD_V1</t>
        </is>
      </c>
      <c r="F130" s="1" t="inlineStr">
        <is>
          <t>12</t>
        </is>
      </c>
      <c r="G130" t="n">
        <v>156948</v>
      </c>
      <c r="H130">
        <f>IF(PNL!A130="","",_CALC_PNL!P130)</f>
        <v/>
      </c>
      <c r="I130">
        <f>IF(PNL!A130="","",IF(_CALC_PNL!E130=1,H130-G130,""))</f>
        <v/>
      </c>
    </row>
    <row r="131">
      <c r="A131" s="1" t="inlineStr">
        <is>
          <t>MBWAY_NAN</t>
        </is>
      </c>
      <c r="B131" s="1" t="inlineStr">
        <is>
          <t>621</t>
        </is>
      </c>
      <c r="C131" s="1" t="inlineStr">
        <is>
          <t>2026</t>
        </is>
      </c>
      <c r="D131" s="1" t="inlineStr">
        <is>
          <t>ACT</t>
        </is>
      </c>
      <c r="E131" s="1" t="inlineStr">
        <is>
          <t>2027BUD_V1</t>
        </is>
      </c>
      <c r="F131" s="1" t="inlineStr">
        <is>
          <t>12</t>
        </is>
      </c>
      <c r="G131" t="n">
        <v>144875</v>
      </c>
      <c r="H131">
        <f>IF(PNL!A131="","",_CALC_PNL!P131)</f>
        <v/>
      </c>
      <c r="I131">
        <f>IF(PNL!A131="","",IF(_CALC_PNL!E131=1,H131-G131,""))</f>
        <v/>
      </c>
    </row>
    <row r="132">
      <c r="A132" s="1" t="inlineStr">
        <is>
          <t>MBWAY_BOR</t>
        </is>
      </c>
      <c r="B132" s="1" t="inlineStr">
        <is>
          <t>621</t>
        </is>
      </c>
      <c r="C132" s="1" t="inlineStr">
        <is>
          <t>2026</t>
        </is>
      </c>
      <c r="D132" s="1" t="inlineStr">
        <is>
          <t>ACT</t>
        </is>
      </c>
      <c r="E132" s="1" t="inlineStr">
        <is>
          <t>2027BUD_V1</t>
        </is>
      </c>
      <c r="F132" s="1" t="inlineStr">
        <is>
          <t>12</t>
        </is>
      </c>
      <c r="G132" t="n">
        <v>120729</v>
      </c>
      <c r="H132">
        <f>IF(PNL!A132="","",_CALC_PNL!P132)</f>
        <v/>
      </c>
      <c r="I132">
        <f>IF(PNL!A132="","",IF(_CALC_PNL!E132=1,H132-G132,""))</f>
        <v/>
      </c>
    </row>
    <row r="133">
      <c r="A133" s="1" t="inlineStr">
        <is>
          <t>ISCOM_PAR</t>
        </is>
      </c>
      <c r="B133" s="1" t="inlineStr">
        <is>
          <t>621</t>
        </is>
      </c>
      <c r="C133" s="1" t="inlineStr">
        <is>
          <t>2026</t>
        </is>
      </c>
      <c r="D133" s="1" t="inlineStr">
        <is>
          <t>ACT</t>
        </is>
      </c>
      <c r="E133" s="1" t="inlineStr">
        <is>
          <t>2027BUD_V1</t>
        </is>
      </c>
      <c r="F133" s="1" t="inlineStr">
        <is>
          <t>12</t>
        </is>
      </c>
      <c r="G133" t="n">
        <v>181094</v>
      </c>
      <c r="H133">
        <f>IF(PNL!A133="","",_CALC_PNL!P133)</f>
        <v/>
      </c>
      <c r="I133">
        <f>IF(PNL!A133="","",IF(_CALC_PNL!E133=1,H133-G133,""))</f>
        <v/>
      </c>
    </row>
    <row r="134">
      <c r="A134" s="1" t="inlineStr">
        <is>
          <t>ISCOM_LIL</t>
        </is>
      </c>
      <c r="B134" s="1" t="inlineStr">
        <is>
          <t>621</t>
        </is>
      </c>
      <c r="C134" s="1" t="inlineStr">
        <is>
          <t>2026</t>
        </is>
      </c>
      <c r="D134" s="1" t="inlineStr">
        <is>
          <t>ACT</t>
        </is>
      </c>
      <c r="E134" s="1" t="inlineStr">
        <is>
          <t>2027BUD_V1</t>
        </is>
      </c>
      <c r="F134" s="1" t="inlineStr">
        <is>
          <t>12</t>
        </is>
      </c>
      <c r="G134" t="n">
        <v>120729</v>
      </c>
      <c r="H134">
        <f>IF(PNL!A134="","",_CALC_PNL!P134)</f>
        <v/>
      </c>
      <c r="I134">
        <f>IF(PNL!A134="","",IF(_CALC_PNL!E134=1,H134-G134,""))</f>
        <v/>
      </c>
    </row>
    <row r="135">
      <c r="A135" s="1" t="inlineStr">
        <is>
          <t>ISCOM_TLS</t>
        </is>
      </c>
      <c r="B135" s="1" t="inlineStr">
        <is>
          <t>621</t>
        </is>
      </c>
      <c r="C135" s="1" t="inlineStr">
        <is>
          <t>2026</t>
        </is>
      </c>
      <c r="D135" s="1" t="inlineStr">
        <is>
          <t>ACT</t>
        </is>
      </c>
      <c r="E135" s="1" t="inlineStr">
        <is>
          <t>2027BUD_V1</t>
        </is>
      </c>
      <c r="F135" s="1" t="inlineStr">
        <is>
          <t>12</t>
        </is>
      </c>
      <c r="G135" t="n">
        <v>120729</v>
      </c>
      <c r="H135">
        <f>IF(PNL!A135="","",_CALC_PNL!P135)</f>
        <v/>
      </c>
      <c r="I135">
        <f>IF(PNL!A135="","",IF(_CALC_PNL!E135=1,H135-G135,""))</f>
        <v/>
      </c>
    </row>
    <row r="136">
      <c r="A136" s="1" t="inlineStr">
        <is>
          <t>IPAC_NAN</t>
        </is>
      </c>
      <c r="B136" s="1" t="inlineStr">
        <is>
          <t>621</t>
        </is>
      </c>
      <c r="C136" s="1" t="inlineStr">
        <is>
          <t>2026</t>
        </is>
      </c>
      <c r="D136" s="1" t="inlineStr">
        <is>
          <t>ACT</t>
        </is>
      </c>
      <c r="E136" s="1" t="inlineStr">
        <is>
          <t>2027BUD_V1</t>
        </is>
      </c>
      <c r="F136" s="1" t="inlineStr">
        <is>
          <t>12</t>
        </is>
      </c>
      <c r="G136" t="n">
        <v>72438</v>
      </c>
      <c r="H136">
        <f>IF(PNL!A136="","",_CALC_PNL!P136)</f>
        <v/>
      </c>
      <c r="I136">
        <f>IF(PNL!A136="","",IF(_CALC_PNL!E136=1,H136-G136,""))</f>
        <v/>
      </c>
    </row>
    <row r="137">
      <c r="A137" s="1" t="inlineStr">
        <is>
          <t>IPAC_REN</t>
        </is>
      </c>
      <c r="B137" s="1" t="inlineStr">
        <is>
          <t>621</t>
        </is>
      </c>
      <c r="C137" s="1" t="inlineStr">
        <is>
          <t>2026</t>
        </is>
      </c>
      <c r="D137" s="1" t="inlineStr">
        <is>
          <t>ACT</t>
        </is>
      </c>
      <c r="E137" s="1" t="inlineStr">
        <is>
          <t>2027BUD_V1</t>
        </is>
      </c>
      <c r="F137" s="1" t="inlineStr">
        <is>
          <t>12</t>
        </is>
      </c>
      <c r="G137" t="n">
        <v>72438</v>
      </c>
      <c r="H137">
        <f>IF(PNL!A137="","",_CALC_PNL!P137)</f>
        <v/>
      </c>
      <c r="I137">
        <f>IF(PNL!A137="","",IF(_CALC_PNL!E137=1,H137-G137,""))</f>
        <v/>
      </c>
    </row>
    <row r="138">
      <c r="A138" s="1" t="inlineStr">
        <is>
          <t>IPAC_MTP</t>
        </is>
      </c>
      <c r="B138" s="1" t="inlineStr">
        <is>
          <t>621</t>
        </is>
      </c>
      <c r="C138" s="1" t="inlineStr">
        <is>
          <t>2026</t>
        </is>
      </c>
      <c r="D138" s="1" t="inlineStr">
        <is>
          <t>ACT</t>
        </is>
      </c>
      <c r="E138" s="1" t="inlineStr">
        <is>
          <t>2027BUD_V1</t>
        </is>
      </c>
      <c r="F138" s="1" t="inlineStr">
        <is>
          <t>12</t>
        </is>
      </c>
      <c r="G138" t="n">
        <v>72438</v>
      </c>
      <c r="H138">
        <f>IF(PNL!A138="","",_CALC_PNL!P138)</f>
        <v/>
      </c>
      <c r="I138">
        <f>IF(PNL!A138="","",IF(_CALC_PNL!E138=1,H138-G138,""))</f>
        <v/>
      </c>
    </row>
    <row r="139">
      <c r="A139" s="1" t="inlineStr">
        <is>
          <t>PIGIER_LYO</t>
        </is>
      </c>
      <c r="B139" s="1" t="inlineStr">
        <is>
          <t>621</t>
        </is>
      </c>
      <c r="C139" s="1" t="inlineStr">
        <is>
          <t>2026</t>
        </is>
      </c>
      <c r="D139" s="1" t="inlineStr">
        <is>
          <t>ACT</t>
        </is>
      </c>
      <c r="E139" s="1" t="inlineStr">
        <is>
          <t>2027BUD_V1</t>
        </is>
      </c>
      <c r="F139" s="1" t="inlineStr">
        <is>
          <t>12</t>
        </is>
      </c>
      <c r="G139" t="n">
        <v>96583</v>
      </c>
      <c r="H139">
        <f>IF(PNL!A139="","",_CALC_PNL!P139)</f>
        <v/>
      </c>
      <c r="I139">
        <f>IF(PNL!A139="","",IF(_CALC_PNL!E139=1,H139-G139,""))</f>
        <v/>
      </c>
    </row>
    <row r="140">
      <c r="A140" s="1" t="inlineStr">
        <is>
          <t>PIGIER_BOR</t>
        </is>
      </c>
      <c r="B140" s="1" t="inlineStr">
        <is>
          <t>621</t>
        </is>
      </c>
      <c r="C140" s="1" t="inlineStr">
        <is>
          <t>2026</t>
        </is>
      </c>
      <c r="D140" s="1" t="inlineStr">
        <is>
          <t>ACT</t>
        </is>
      </c>
      <c r="E140" s="1" t="inlineStr">
        <is>
          <t>2027BUD_V1</t>
        </is>
      </c>
      <c r="F140" s="1" t="inlineStr">
        <is>
          <t>12</t>
        </is>
      </c>
      <c r="G140" t="n">
        <v>96583</v>
      </c>
      <c r="H140">
        <f>IF(PNL!A140="","",_CALC_PNL!P140)</f>
        <v/>
      </c>
      <c r="I140">
        <f>IF(PNL!A140="","",IF(_CALC_PNL!E140=1,H140-G140,""))</f>
        <v/>
      </c>
    </row>
    <row r="141">
      <c r="A141" s="1" t="inlineStr">
        <is>
          <t>TUNON_PAR</t>
        </is>
      </c>
      <c r="B141" s="1" t="inlineStr">
        <is>
          <t>621</t>
        </is>
      </c>
      <c r="C141" s="1" t="inlineStr">
        <is>
          <t>2026</t>
        </is>
      </c>
      <c r="D141" s="1" t="inlineStr">
        <is>
          <t>ACT</t>
        </is>
      </c>
      <c r="E141" s="1" t="inlineStr">
        <is>
          <t>2027BUD_V1</t>
        </is>
      </c>
      <c r="F141" s="1" t="inlineStr">
        <is>
          <t>12</t>
        </is>
      </c>
      <c r="G141" t="n">
        <v>72438</v>
      </c>
      <c r="H141">
        <f>IF(PNL!A141="","",_CALC_PNL!P141)</f>
        <v/>
      </c>
      <c r="I141">
        <f>IF(PNL!A141="","",IF(_CALC_PNL!E141=1,H141-G141,""))</f>
        <v/>
      </c>
    </row>
    <row r="142">
      <c r="A142" s="1" t="inlineStr">
        <is>
          <t>TUNON_LYO</t>
        </is>
      </c>
      <c r="B142" s="1" t="inlineStr">
        <is>
          <t>621</t>
        </is>
      </c>
      <c r="C142" s="1" t="inlineStr">
        <is>
          <t>2026</t>
        </is>
      </c>
      <c r="D142" s="1" t="inlineStr">
        <is>
          <t>ACT</t>
        </is>
      </c>
      <c r="E142" s="1" t="inlineStr">
        <is>
          <t>2027BUD_V1</t>
        </is>
      </c>
      <c r="F142" s="1" t="inlineStr">
        <is>
          <t>12</t>
        </is>
      </c>
      <c r="G142" t="n">
        <v>72438</v>
      </c>
      <c r="H142">
        <f>IF(PNL!A142="","",_CALC_PNL!P142)</f>
        <v/>
      </c>
      <c r="I142">
        <f>IF(PNL!A142="","",IF(_CALC_PNL!E142=1,H142-G142,""))</f>
        <v/>
      </c>
    </row>
    <row r="143">
      <c r="A143" s="1" t="inlineStr">
        <is>
          <t>MBWAY_PAR</t>
        </is>
      </c>
      <c r="B143" s="1" t="inlineStr">
        <is>
          <t>604</t>
        </is>
      </c>
      <c r="C143" s="1" t="inlineStr">
        <is>
          <t>2024</t>
        </is>
      </c>
      <c r="D143" s="1" t="inlineStr">
        <is>
          <t>ACT</t>
        </is>
      </c>
      <c r="E143" s="1" t="inlineStr">
        <is>
          <t>2027BUD_V1</t>
        </is>
      </c>
      <c r="F143" s="1" t="inlineStr">
        <is>
          <t>12</t>
        </is>
      </c>
      <c r="G143" t="n">
        <v>77832</v>
      </c>
      <c r="H143">
        <f>IF(PNL!A143="","",_CALC_PNL!P143)</f>
        <v/>
      </c>
      <c r="I143">
        <f>IF(PNL!A143="","",IF(_CALC_PNL!E143=1,H143-G143,""))</f>
        <v/>
      </c>
    </row>
    <row r="144">
      <c r="A144" s="1" t="inlineStr">
        <is>
          <t>MBWAY_LYO</t>
        </is>
      </c>
      <c r="B144" s="1" t="inlineStr">
        <is>
          <t>604</t>
        </is>
      </c>
      <c r="C144" s="1" t="inlineStr">
        <is>
          <t>2024</t>
        </is>
      </c>
      <c r="D144" s="1" t="inlineStr">
        <is>
          <t>ACT</t>
        </is>
      </c>
      <c r="E144" s="1" t="inlineStr">
        <is>
          <t>2027BUD_V1</t>
        </is>
      </c>
      <c r="F144" s="1" t="inlineStr">
        <is>
          <t>12</t>
        </is>
      </c>
      <c r="G144" t="n">
        <v>66015</v>
      </c>
      <c r="H144">
        <f>IF(PNL!A144="","",_CALC_PNL!P144)</f>
        <v/>
      </c>
      <c r="I144">
        <f>IF(PNL!A144="","",IF(_CALC_PNL!E144=1,H144-G144,""))</f>
        <v/>
      </c>
    </row>
    <row r="145">
      <c r="A145" s="1" t="inlineStr">
        <is>
          <t>MBWAY_NAN</t>
        </is>
      </c>
      <c r="B145" s="1" t="inlineStr">
        <is>
          <t>604</t>
        </is>
      </c>
      <c r="C145" s="1" t="inlineStr">
        <is>
          <t>2024</t>
        </is>
      </c>
      <c r="D145" s="1" t="inlineStr">
        <is>
          <t>ACT</t>
        </is>
      </c>
      <c r="E145" s="1" t="inlineStr">
        <is>
          <t>2027BUD_V1</t>
        </is>
      </c>
      <c r="F145" s="1" t="inlineStr">
        <is>
          <t>12</t>
        </is>
      </c>
      <c r="G145" t="n">
        <v>59902</v>
      </c>
      <c r="H145">
        <f>IF(PNL!A145="","",_CALC_PNL!P145)</f>
        <v/>
      </c>
      <c r="I145">
        <f>IF(PNL!A145="","",IF(_CALC_PNL!E145=1,H145-G145,""))</f>
        <v/>
      </c>
    </row>
    <row r="146">
      <c r="A146" s="1" t="inlineStr">
        <is>
          <t>MBWAY_BOR</t>
        </is>
      </c>
      <c r="B146" s="1" t="inlineStr">
        <is>
          <t>604</t>
        </is>
      </c>
      <c r="C146" s="1" t="inlineStr">
        <is>
          <t>2024</t>
        </is>
      </c>
      <c r="D146" s="1" t="inlineStr">
        <is>
          <t>ACT</t>
        </is>
      </c>
      <c r="E146" s="1" t="inlineStr">
        <is>
          <t>2027BUD_V1</t>
        </is>
      </c>
      <c r="F146" s="1" t="inlineStr">
        <is>
          <t>12</t>
        </is>
      </c>
      <c r="G146" t="n">
        <v>50734</v>
      </c>
      <c r="H146">
        <f>IF(PNL!A146="","",_CALC_PNL!P146)</f>
        <v/>
      </c>
      <c r="I146">
        <f>IF(PNL!A146="","",IF(_CALC_PNL!E146=1,H146-G146,""))</f>
        <v/>
      </c>
    </row>
    <row r="147">
      <c r="A147" s="1" t="inlineStr">
        <is>
          <t>ISCOM_PAR</t>
        </is>
      </c>
      <c r="B147" s="1" t="inlineStr">
        <is>
          <t>604</t>
        </is>
      </c>
      <c r="C147" s="1" t="inlineStr">
        <is>
          <t>2024</t>
        </is>
      </c>
      <c r="D147" s="1" t="inlineStr">
        <is>
          <t>ACT</t>
        </is>
      </c>
      <c r="E147" s="1" t="inlineStr">
        <is>
          <t>2027BUD_V1</t>
        </is>
      </c>
      <c r="F147" s="1" t="inlineStr">
        <is>
          <t>12</t>
        </is>
      </c>
      <c r="G147" t="n">
        <v>72127</v>
      </c>
      <c r="H147">
        <f>IF(PNL!A147="","",_CALC_PNL!P147)</f>
        <v/>
      </c>
      <c r="I147">
        <f>IF(PNL!A147="","",IF(_CALC_PNL!E147=1,H147-G147,""))</f>
        <v/>
      </c>
    </row>
    <row r="148">
      <c r="A148" s="1" t="inlineStr">
        <is>
          <t>ISCOM_LIL</t>
        </is>
      </c>
      <c r="B148" s="1" t="inlineStr">
        <is>
          <t>604</t>
        </is>
      </c>
      <c r="C148" s="1" t="inlineStr">
        <is>
          <t>2024</t>
        </is>
      </c>
      <c r="D148" s="1" t="inlineStr">
        <is>
          <t>ACT</t>
        </is>
      </c>
      <c r="E148" s="1" t="inlineStr">
        <is>
          <t>2027BUD_V1</t>
        </is>
      </c>
      <c r="F148" s="1" t="inlineStr">
        <is>
          <t>12</t>
        </is>
      </c>
      <c r="G148" t="n">
        <v>49715</v>
      </c>
      <c r="H148">
        <f>IF(PNL!A148="","",_CALC_PNL!P148)</f>
        <v/>
      </c>
      <c r="I148">
        <f>IF(PNL!A148="","",IF(_CALC_PNL!E148=1,H148-G148,""))</f>
        <v/>
      </c>
    </row>
    <row r="149">
      <c r="A149" s="1" t="inlineStr">
        <is>
          <t>ISCOM_TLS</t>
        </is>
      </c>
      <c r="B149" s="1" t="inlineStr">
        <is>
          <t>604</t>
        </is>
      </c>
      <c r="C149" s="1" t="inlineStr">
        <is>
          <t>2024</t>
        </is>
      </c>
      <c r="D149" s="1" t="inlineStr">
        <is>
          <t>ACT</t>
        </is>
      </c>
      <c r="E149" s="1" t="inlineStr">
        <is>
          <t>2027BUD_V1</t>
        </is>
      </c>
      <c r="F149" s="1" t="inlineStr">
        <is>
          <t>12</t>
        </is>
      </c>
      <c r="G149" t="n">
        <v>47066</v>
      </c>
      <c r="H149">
        <f>IF(PNL!A149="","",_CALC_PNL!P149)</f>
        <v/>
      </c>
      <c r="I149">
        <f>IF(PNL!A149="","",IF(_CALC_PNL!E149=1,H149-G149,""))</f>
        <v/>
      </c>
    </row>
    <row r="150">
      <c r="A150" s="1" t="inlineStr">
        <is>
          <t>IPAC_NAN</t>
        </is>
      </c>
      <c r="B150" s="1" t="inlineStr">
        <is>
          <t>604</t>
        </is>
      </c>
      <c r="C150" s="1" t="inlineStr">
        <is>
          <t>2024</t>
        </is>
      </c>
      <c r="D150" s="1" t="inlineStr">
        <is>
          <t>ACT</t>
        </is>
      </c>
      <c r="E150" s="1" t="inlineStr">
        <is>
          <t>2027BUD_V1</t>
        </is>
      </c>
      <c r="F150" s="1" t="inlineStr">
        <is>
          <t>12</t>
        </is>
      </c>
      <c r="G150" t="n">
        <v>29544</v>
      </c>
      <c r="H150">
        <f>IF(PNL!A150="","",_CALC_PNL!P150)</f>
        <v/>
      </c>
      <c r="I150">
        <f>IF(PNL!A150="","",IF(_CALC_PNL!E150=1,H150-G150,""))</f>
        <v/>
      </c>
    </row>
    <row r="151">
      <c r="A151" s="1" t="inlineStr">
        <is>
          <t>IPAC_REN</t>
        </is>
      </c>
      <c r="B151" s="1" t="inlineStr">
        <is>
          <t>604</t>
        </is>
      </c>
      <c r="C151" s="1" t="inlineStr">
        <is>
          <t>2024</t>
        </is>
      </c>
      <c r="D151" s="1" t="inlineStr">
        <is>
          <t>ACT</t>
        </is>
      </c>
      <c r="E151" s="1" t="inlineStr">
        <is>
          <t>2027BUD_V1</t>
        </is>
      </c>
      <c r="F151" s="1" t="inlineStr">
        <is>
          <t>12</t>
        </is>
      </c>
      <c r="G151" t="n">
        <v>23839</v>
      </c>
      <c r="H151">
        <f>IF(PNL!A151="","",_CALC_PNL!P151)</f>
        <v/>
      </c>
      <c r="I151">
        <f>IF(PNL!A151="","",IF(_CALC_PNL!E151=1,H151-G151,""))</f>
        <v/>
      </c>
    </row>
    <row r="152">
      <c r="A152" s="1" t="inlineStr">
        <is>
          <t>IPAC_MTP</t>
        </is>
      </c>
      <c r="B152" s="1" t="inlineStr">
        <is>
          <t>604</t>
        </is>
      </c>
      <c r="C152" s="1" t="inlineStr">
        <is>
          <t>2024</t>
        </is>
      </c>
      <c r="D152" s="1" t="inlineStr">
        <is>
          <t>ACT</t>
        </is>
      </c>
      <c r="E152" s="1" t="inlineStr">
        <is>
          <t>2027BUD_V1</t>
        </is>
      </c>
      <c r="F152" s="1" t="inlineStr">
        <is>
          <t>12</t>
        </is>
      </c>
      <c r="G152" t="n">
        <v>23839</v>
      </c>
      <c r="H152">
        <f>IF(PNL!A152="","",_CALC_PNL!P152)</f>
        <v/>
      </c>
      <c r="I152">
        <f>IF(PNL!A152="","",IF(_CALC_PNL!E152=1,H152-G152,""))</f>
        <v/>
      </c>
    </row>
    <row r="153">
      <c r="A153" s="1" t="inlineStr">
        <is>
          <t>PIGIER_LYO</t>
        </is>
      </c>
      <c r="B153" s="1" t="inlineStr">
        <is>
          <t>604</t>
        </is>
      </c>
      <c r="C153" s="1" t="inlineStr">
        <is>
          <t>2024</t>
        </is>
      </c>
      <c r="D153" s="1" t="inlineStr">
        <is>
          <t>ACT</t>
        </is>
      </c>
      <c r="E153" s="1" t="inlineStr">
        <is>
          <t>2027BUD_V1</t>
        </is>
      </c>
      <c r="F153" s="1" t="inlineStr">
        <is>
          <t>12</t>
        </is>
      </c>
      <c r="G153" t="n">
        <v>37082</v>
      </c>
      <c r="H153">
        <f>IF(PNL!A153="","",_CALC_PNL!P153)</f>
        <v/>
      </c>
      <c r="I153">
        <f>IF(PNL!A153="","",IF(_CALC_PNL!E153=1,H153-G153,""))</f>
        <v/>
      </c>
    </row>
    <row r="154">
      <c r="A154" s="1" t="inlineStr">
        <is>
          <t>PIGIER_BOR</t>
        </is>
      </c>
      <c r="B154" s="1" t="inlineStr">
        <is>
          <t>604</t>
        </is>
      </c>
      <c r="C154" s="1" t="inlineStr">
        <is>
          <t>2024</t>
        </is>
      </c>
      <c r="D154" s="1" t="inlineStr">
        <is>
          <t>ACT</t>
        </is>
      </c>
      <c r="E154" s="1" t="inlineStr">
        <is>
          <t>2027BUD_V1</t>
        </is>
      </c>
      <c r="F154" s="1" t="inlineStr">
        <is>
          <t>12</t>
        </is>
      </c>
      <c r="G154" t="n">
        <v>28932</v>
      </c>
      <c r="H154">
        <f>IF(PNL!A154="","",_CALC_PNL!P154)</f>
        <v/>
      </c>
      <c r="I154">
        <f>IF(PNL!A154="","",IF(_CALC_PNL!E154=1,H154-G154,""))</f>
        <v/>
      </c>
    </row>
    <row r="155">
      <c r="A155" s="1" t="inlineStr">
        <is>
          <t>TUNON_PAR</t>
        </is>
      </c>
      <c r="B155" s="1" t="inlineStr">
        <is>
          <t>604</t>
        </is>
      </c>
      <c r="C155" s="1" t="inlineStr">
        <is>
          <t>2024</t>
        </is>
      </c>
      <c r="D155" s="1" t="inlineStr">
        <is>
          <t>ACT</t>
        </is>
      </c>
      <c r="E155" s="1" t="inlineStr">
        <is>
          <t>2027BUD_V1</t>
        </is>
      </c>
      <c r="F155" s="1" t="inlineStr">
        <is>
          <t>12</t>
        </is>
      </c>
      <c r="G155" t="n">
        <v>28117</v>
      </c>
      <c r="H155">
        <f>IF(PNL!A155="","",_CALC_PNL!P155)</f>
        <v/>
      </c>
      <c r="I155">
        <f>IF(PNL!A155="","",IF(_CALC_PNL!E155=1,H155-G155,""))</f>
        <v/>
      </c>
    </row>
    <row r="156">
      <c r="A156" s="1" t="inlineStr">
        <is>
          <t>TUNON_LYO</t>
        </is>
      </c>
      <c r="B156" s="1" t="inlineStr">
        <is>
          <t>604</t>
        </is>
      </c>
      <c r="C156" s="1" t="inlineStr">
        <is>
          <t>2024</t>
        </is>
      </c>
      <c r="D156" s="1" t="inlineStr">
        <is>
          <t>ACT</t>
        </is>
      </c>
      <c r="E156" s="1" t="inlineStr">
        <is>
          <t>2027BUD_V1</t>
        </is>
      </c>
      <c r="F156" s="1" t="inlineStr">
        <is>
          <t>12</t>
        </is>
      </c>
      <c r="G156" t="n">
        <v>23839</v>
      </c>
      <c r="H156">
        <f>IF(PNL!A156="","",_CALC_PNL!P156)</f>
        <v/>
      </c>
      <c r="I156">
        <f>IF(PNL!A156="","",IF(_CALC_PNL!E156=1,H156-G156,""))</f>
        <v/>
      </c>
    </row>
    <row r="157">
      <c r="A157" s="1" t="inlineStr">
        <is>
          <t>MBWAY_PAR</t>
        </is>
      </c>
      <c r="B157" s="1" t="inlineStr">
        <is>
          <t>604</t>
        </is>
      </c>
      <c r="C157" s="1" t="inlineStr">
        <is>
          <t>2025</t>
        </is>
      </c>
      <c r="D157" s="1" t="inlineStr">
        <is>
          <t>ACT</t>
        </is>
      </c>
      <c r="E157" s="1" t="inlineStr">
        <is>
          <t>2027BUD_V1</t>
        </is>
      </c>
      <c r="F157" s="1" t="inlineStr">
        <is>
          <t>12</t>
        </is>
      </c>
      <c r="G157" t="n">
        <v>81399</v>
      </c>
      <c r="H157">
        <f>IF(PNL!A157="","",_CALC_PNL!P157)</f>
        <v/>
      </c>
      <c r="I157">
        <f>IF(PNL!A157="","",IF(_CALC_PNL!E157=1,H157-G157,""))</f>
        <v/>
      </c>
    </row>
    <row r="158">
      <c r="A158" s="1" t="inlineStr">
        <is>
          <t>MBWAY_LYO</t>
        </is>
      </c>
      <c r="B158" s="1" t="inlineStr">
        <is>
          <t>604</t>
        </is>
      </c>
      <c r="C158" s="1" t="inlineStr">
        <is>
          <t>2025</t>
        </is>
      </c>
      <c r="D158" s="1" t="inlineStr">
        <is>
          <t>ACT</t>
        </is>
      </c>
      <c r="E158" s="1" t="inlineStr">
        <is>
          <t>2027BUD_V1</t>
        </is>
      </c>
      <c r="F158" s="1" t="inlineStr">
        <is>
          <t>12</t>
        </is>
      </c>
      <c r="G158" t="n">
        <v>69040</v>
      </c>
      <c r="H158">
        <f>IF(PNL!A158="","",_CALC_PNL!P158)</f>
        <v/>
      </c>
      <c r="I158">
        <f>IF(PNL!A158="","",IF(_CALC_PNL!E158=1,H158-G158,""))</f>
        <v/>
      </c>
    </row>
    <row r="159">
      <c r="A159" s="1" t="inlineStr">
        <is>
          <t>MBWAY_NAN</t>
        </is>
      </c>
      <c r="B159" s="1" t="inlineStr">
        <is>
          <t>604</t>
        </is>
      </c>
      <c r="C159" s="1" t="inlineStr">
        <is>
          <t>2025</t>
        </is>
      </c>
      <c r="D159" s="1" t="inlineStr">
        <is>
          <t>ACT</t>
        </is>
      </c>
      <c r="E159" s="1" t="inlineStr">
        <is>
          <t>2027BUD_V1</t>
        </is>
      </c>
      <c r="F159" s="1" t="inlineStr">
        <is>
          <t>12</t>
        </is>
      </c>
      <c r="G159" t="n">
        <v>62647</v>
      </c>
      <c r="H159">
        <f>IF(PNL!A159="","",_CALC_PNL!P159)</f>
        <v/>
      </c>
      <c r="I159">
        <f>IF(PNL!A159="","",IF(_CALC_PNL!E159=1,H159-G159,""))</f>
        <v/>
      </c>
    </row>
    <row r="160">
      <c r="A160" s="1" t="inlineStr">
        <is>
          <t>MBWAY_BOR</t>
        </is>
      </c>
      <c r="B160" s="1" t="inlineStr">
        <is>
          <t>604</t>
        </is>
      </c>
      <c r="C160" s="1" t="inlineStr">
        <is>
          <t>2025</t>
        </is>
      </c>
      <c r="D160" s="1" t="inlineStr">
        <is>
          <t>ACT</t>
        </is>
      </c>
      <c r="E160" s="1" t="inlineStr">
        <is>
          <t>2027BUD_V1</t>
        </is>
      </c>
      <c r="F160" s="1" t="inlineStr">
        <is>
          <t>12</t>
        </is>
      </c>
      <c r="G160" t="n">
        <v>53058</v>
      </c>
      <c r="H160">
        <f>IF(PNL!A160="","",_CALC_PNL!P160)</f>
        <v/>
      </c>
      <c r="I160">
        <f>IF(PNL!A160="","",IF(_CALC_PNL!E160=1,H160-G160,""))</f>
        <v/>
      </c>
    </row>
    <row r="161">
      <c r="A161" s="1" t="inlineStr">
        <is>
          <t>ISCOM_PAR</t>
        </is>
      </c>
      <c r="B161" s="1" t="inlineStr">
        <is>
          <t>604</t>
        </is>
      </c>
      <c r="C161" s="1" t="inlineStr">
        <is>
          <t>2025</t>
        </is>
      </c>
      <c r="D161" s="1" t="inlineStr">
        <is>
          <t>ACT</t>
        </is>
      </c>
      <c r="E161" s="1" t="inlineStr">
        <is>
          <t>2027BUD_V1</t>
        </is>
      </c>
      <c r="F161" s="1" t="inlineStr">
        <is>
          <t>12</t>
        </is>
      </c>
      <c r="G161" t="n">
        <v>75432</v>
      </c>
      <c r="H161">
        <f>IF(PNL!A161="","",_CALC_PNL!P161)</f>
        <v/>
      </c>
      <c r="I161">
        <f>IF(PNL!A161="","",IF(_CALC_PNL!E161=1,H161-G161,""))</f>
        <v/>
      </c>
    </row>
    <row r="162">
      <c r="A162" s="1" t="inlineStr">
        <is>
          <t>ISCOM_LIL</t>
        </is>
      </c>
      <c r="B162" s="1" t="inlineStr">
        <is>
          <t>604</t>
        </is>
      </c>
      <c r="C162" s="1" t="inlineStr">
        <is>
          <t>2025</t>
        </is>
      </c>
      <c r="D162" s="1" t="inlineStr">
        <is>
          <t>ACT</t>
        </is>
      </c>
      <c r="E162" s="1" t="inlineStr">
        <is>
          <t>2027BUD_V1</t>
        </is>
      </c>
      <c r="F162" s="1" t="inlineStr">
        <is>
          <t>12</t>
        </is>
      </c>
      <c r="G162" t="n">
        <v>51993</v>
      </c>
      <c r="H162">
        <f>IF(PNL!A162="","",_CALC_PNL!P162)</f>
        <v/>
      </c>
      <c r="I162">
        <f>IF(PNL!A162="","",IF(_CALC_PNL!E162=1,H162-G162,""))</f>
        <v/>
      </c>
    </row>
    <row r="163">
      <c r="A163" s="1" t="inlineStr">
        <is>
          <t>ISCOM_TLS</t>
        </is>
      </c>
      <c r="B163" s="1" t="inlineStr">
        <is>
          <t>604</t>
        </is>
      </c>
      <c r="C163" s="1" t="inlineStr">
        <is>
          <t>2025</t>
        </is>
      </c>
      <c r="D163" s="1" t="inlineStr">
        <is>
          <t>ACT</t>
        </is>
      </c>
      <c r="E163" s="1" t="inlineStr">
        <is>
          <t>2027BUD_V1</t>
        </is>
      </c>
      <c r="F163" s="1" t="inlineStr">
        <is>
          <t>12</t>
        </is>
      </c>
      <c r="G163" t="n">
        <v>49223</v>
      </c>
      <c r="H163">
        <f>IF(PNL!A163="","",_CALC_PNL!P163)</f>
        <v/>
      </c>
      <c r="I163">
        <f>IF(PNL!A163="","",IF(_CALC_PNL!E163=1,H163-G163,""))</f>
        <v/>
      </c>
    </row>
    <row r="164">
      <c r="A164" s="1" t="inlineStr">
        <is>
          <t>IPAC_NAN</t>
        </is>
      </c>
      <c r="B164" s="1" t="inlineStr">
        <is>
          <t>604</t>
        </is>
      </c>
      <c r="C164" s="1" t="inlineStr">
        <is>
          <t>2025</t>
        </is>
      </c>
      <c r="D164" s="1" t="inlineStr">
        <is>
          <t>ACT</t>
        </is>
      </c>
      <c r="E164" s="1" t="inlineStr">
        <is>
          <t>2027BUD_V1</t>
        </is>
      </c>
      <c r="F164" s="1" t="inlineStr">
        <is>
          <t>12</t>
        </is>
      </c>
      <c r="G164" t="n">
        <v>30897</v>
      </c>
      <c r="H164">
        <f>IF(PNL!A164="","",_CALC_PNL!P164)</f>
        <v/>
      </c>
      <c r="I164">
        <f>IF(PNL!A164="","",IF(_CALC_PNL!E164=1,H164-G164,""))</f>
        <v/>
      </c>
    </row>
    <row r="165">
      <c r="A165" s="1" t="inlineStr">
        <is>
          <t>IPAC_REN</t>
        </is>
      </c>
      <c r="B165" s="1" t="inlineStr">
        <is>
          <t>604</t>
        </is>
      </c>
      <c r="C165" s="1" t="inlineStr">
        <is>
          <t>2025</t>
        </is>
      </c>
      <c r="D165" s="1" t="inlineStr">
        <is>
          <t>ACT</t>
        </is>
      </c>
      <c r="E165" s="1" t="inlineStr">
        <is>
          <t>2027BUD_V1</t>
        </is>
      </c>
      <c r="F165" s="1" t="inlineStr">
        <is>
          <t>12</t>
        </is>
      </c>
      <c r="G165" t="n">
        <v>24931</v>
      </c>
      <c r="H165">
        <f>IF(PNL!A165="","",_CALC_PNL!P165)</f>
        <v/>
      </c>
      <c r="I165">
        <f>IF(PNL!A165="","",IF(_CALC_PNL!E165=1,H165-G165,""))</f>
        <v/>
      </c>
    </row>
    <row r="166">
      <c r="A166" s="1" t="inlineStr">
        <is>
          <t>IPAC_MTP</t>
        </is>
      </c>
      <c r="B166" s="1" t="inlineStr">
        <is>
          <t>604</t>
        </is>
      </c>
      <c r="C166" s="1" t="inlineStr">
        <is>
          <t>2025</t>
        </is>
      </c>
      <c r="D166" s="1" t="inlineStr">
        <is>
          <t>ACT</t>
        </is>
      </c>
      <c r="E166" s="1" t="inlineStr">
        <is>
          <t>2027BUD_V1</t>
        </is>
      </c>
      <c r="F166" s="1" t="inlineStr">
        <is>
          <t>12</t>
        </is>
      </c>
      <c r="G166" t="n">
        <v>24931</v>
      </c>
      <c r="H166">
        <f>IF(PNL!A166="","",_CALC_PNL!P166)</f>
        <v/>
      </c>
      <c r="I166">
        <f>IF(PNL!A166="","",IF(_CALC_PNL!E166=1,H166-G166,""))</f>
        <v/>
      </c>
    </row>
    <row r="167">
      <c r="A167" s="1" t="inlineStr">
        <is>
          <t>PIGIER_LYO</t>
        </is>
      </c>
      <c r="B167" s="1" t="inlineStr">
        <is>
          <t>604</t>
        </is>
      </c>
      <c r="C167" s="1" t="inlineStr">
        <is>
          <t>2025</t>
        </is>
      </c>
      <c r="D167" s="1" t="inlineStr">
        <is>
          <t>ACT</t>
        </is>
      </c>
      <c r="E167" s="1" t="inlineStr">
        <is>
          <t>2027BUD_V1</t>
        </is>
      </c>
      <c r="F167" s="1" t="inlineStr">
        <is>
          <t>12</t>
        </is>
      </c>
      <c r="G167" t="n">
        <v>38782</v>
      </c>
      <c r="H167">
        <f>IF(PNL!A167="","",_CALC_PNL!P167)</f>
        <v/>
      </c>
      <c r="I167">
        <f>IF(PNL!A167="","",IF(_CALC_PNL!E167=1,H167-G167,""))</f>
        <v/>
      </c>
    </row>
    <row r="168">
      <c r="A168" s="1" t="inlineStr">
        <is>
          <t>PIGIER_BOR</t>
        </is>
      </c>
      <c r="B168" s="1" t="inlineStr">
        <is>
          <t>604</t>
        </is>
      </c>
      <c r="C168" s="1" t="inlineStr">
        <is>
          <t>2025</t>
        </is>
      </c>
      <c r="D168" s="1" t="inlineStr">
        <is>
          <t>ACT</t>
        </is>
      </c>
      <c r="E168" s="1" t="inlineStr">
        <is>
          <t>2027BUD_V1</t>
        </is>
      </c>
      <c r="F168" s="1" t="inlineStr">
        <is>
          <t>12</t>
        </is>
      </c>
      <c r="G168" t="n">
        <v>30258</v>
      </c>
      <c r="H168">
        <f>IF(PNL!A168="","",_CALC_PNL!P168)</f>
        <v/>
      </c>
      <c r="I168">
        <f>IF(PNL!A168="","",IF(_CALC_PNL!E168=1,H168-G168,""))</f>
        <v/>
      </c>
    </row>
    <row r="169">
      <c r="A169" s="1" t="inlineStr">
        <is>
          <t>TUNON_PAR</t>
        </is>
      </c>
      <c r="B169" s="1" t="inlineStr">
        <is>
          <t>604</t>
        </is>
      </c>
      <c r="C169" s="1" t="inlineStr">
        <is>
          <t>2025</t>
        </is>
      </c>
      <c r="D169" s="1" t="inlineStr">
        <is>
          <t>ACT</t>
        </is>
      </c>
      <c r="E169" s="1" t="inlineStr">
        <is>
          <t>2027BUD_V1</t>
        </is>
      </c>
      <c r="F169" s="1" t="inlineStr">
        <is>
          <t>12</t>
        </is>
      </c>
      <c r="G169" t="n">
        <v>29406</v>
      </c>
      <c r="H169">
        <f>IF(PNL!A169="","",_CALC_PNL!P169)</f>
        <v/>
      </c>
      <c r="I169">
        <f>IF(PNL!A169="","",IF(_CALC_PNL!E169=1,H169-G169,""))</f>
        <v/>
      </c>
    </row>
    <row r="170">
      <c r="A170" s="1" t="inlineStr">
        <is>
          <t>TUNON_LYO</t>
        </is>
      </c>
      <c r="B170" s="1" t="inlineStr">
        <is>
          <t>604</t>
        </is>
      </c>
      <c r="C170" s="1" t="inlineStr">
        <is>
          <t>2025</t>
        </is>
      </c>
      <c r="D170" s="1" t="inlineStr">
        <is>
          <t>ACT</t>
        </is>
      </c>
      <c r="E170" s="1" t="inlineStr">
        <is>
          <t>2027BUD_V1</t>
        </is>
      </c>
      <c r="F170" s="1" t="inlineStr">
        <is>
          <t>12</t>
        </is>
      </c>
      <c r="G170" t="n">
        <v>24931</v>
      </c>
      <c r="H170">
        <f>IF(PNL!A170="","",_CALC_PNL!P170)</f>
        <v/>
      </c>
      <c r="I170">
        <f>IF(PNL!A170="","",IF(_CALC_PNL!E170=1,H170-G170,""))</f>
        <v/>
      </c>
    </row>
    <row r="171">
      <c r="A171" s="1" t="inlineStr">
        <is>
          <t>MBWAY_PAR</t>
        </is>
      </c>
      <c r="B171" s="1" t="inlineStr">
        <is>
          <t>604</t>
        </is>
      </c>
      <c r="C171" s="1" t="inlineStr">
        <is>
          <t>2026</t>
        </is>
      </c>
      <c r="D171" s="1" t="inlineStr">
        <is>
          <t>ACT</t>
        </is>
      </c>
      <c r="E171" s="1" t="inlineStr">
        <is>
          <t>2027BUD_V1</t>
        </is>
      </c>
      <c r="F171" s="1" t="inlineStr">
        <is>
          <t>12</t>
        </is>
      </c>
      <c r="G171" t="n">
        <v>85284</v>
      </c>
      <c r="H171">
        <f>IF(PNL!A171="","",_CALC_PNL!P171)</f>
        <v/>
      </c>
      <c r="I171">
        <f>IF(PNL!A171="","",IF(_CALC_PNL!E171=1,H171-G171,""))</f>
        <v/>
      </c>
    </row>
    <row r="172">
      <c r="A172" s="1" t="inlineStr">
        <is>
          <t>MBWAY_LYO</t>
        </is>
      </c>
      <c r="B172" s="1" t="inlineStr">
        <is>
          <t>604</t>
        </is>
      </c>
      <c r="C172" s="1" t="inlineStr">
        <is>
          <t>2026</t>
        </is>
      </c>
      <c r="D172" s="1" t="inlineStr">
        <is>
          <t>ACT</t>
        </is>
      </c>
      <c r="E172" s="1" t="inlineStr">
        <is>
          <t>2027BUD_V1</t>
        </is>
      </c>
      <c r="F172" s="1" t="inlineStr">
        <is>
          <t>12</t>
        </is>
      </c>
      <c r="G172" t="n">
        <v>72335</v>
      </c>
      <c r="H172">
        <f>IF(PNL!A172="","",_CALC_PNL!P172)</f>
        <v/>
      </c>
      <c r="I172">
        <f>IF(PNL!A172="","",IF(_CALC_PNL!E172=1,H172-G172,""))</f>
        <v/>
      </c>
    </row>
    <row r="173">
      <c r="A173" s="1" t="inlineStr">
        <is>
          <t>MBWAY_NAN</t>
        </is>
      </c>
      <c r="B173" s="1" t="inlineStr">
        <is>
          <t>604</t>
        </is>
      </c>
      <c r="C173" s="1" t="inlineStr">
        <is>
          <t>2026</t>
        </is>
      </c>
      <c r="D173" s="1" t="inlineStr">
        <is>
          <t>ACT</t>
        </is>
      </c>
      <c r="E173" s="1" t="inlineStr">
        <is>
          <t>2027BUD_V1</t>
        </is>
      </c>
      <c r="F173" s="1" t="inlineStr">
        <is>
          <t>12</t>
        </is>
      </c>
      <c r="G173" t="n">
        <v>65638</v>
      </c>
      <c r="H173">
        <f>IF(PNL!A173="","",_CALC_PNL!P173)</f>
        <v/>
      </c>
      <c r="I173">
        <f>IF(PNL!A173="","",IF(_CALC_PNL!E173=1,H173-G173,""))</f>
        <v/>
      </c>
    </row>
    <row r="174">
      <c r="A174" s="1" t="inlineStr">
        <is>
          <t>MBWAY_BOR</t>
        </is>
      </c>
      <c r="B174" s="1" t="inlineStr">
        <is>
          <t>604</t>
        </is>
      </c>
      <c r="C174" s="1" t="inlineStr">
        <is>
          <t>2026</t>
        </is>
      </c>
      <c r="D174" s="1" t="inlineStr">
        <is>
          <t>ACT</t>
        </is>
      </c>
      <c r="E174" s="1" t="inlineStr">
        <is>
          <t>2027BUD_V1</t>
        </is>
      </c>
      <c r="F174" s="1" t="inlineStr">
        <is>
          <t>12</t>
        </is>
      </c>
      <c r="G174" t="n">
        <v>55591</v>
      </c>
      <c r="H174">
        <f>IF(PNL!A174="","",_CALC_PNL!P174)</f>
        <v/>
      </c>
      <c r="I174">
        <f>IF(PNL!A174="","",IF(_CALC_PNL!E174=1,H174-G174,""))</f>
        <v/>
      </c>
    </row>
    <row r="175">
      <c r="A175" s="1" t="inlineStr">
        <is>
          <t>ISCOM_PAR</t>
        </is>
      </c>
      <c r="B175" s="1" t="inlineStr">
        <is>
          <t>604</t>
        </is>
      </c>
      <c r="C175" s="1" t="inlineStr">
        <is>
          <t>2026</t>
        </is>
      </c>
      <c r="D175" s="1" t="inlineStr">
        <is>
          <t>ACT</t>
        </is>
      </c>
      <c r="E175" s="1" t="inlineStr">
        <is>
          <t>2027BUD_V1</t>
        </is>
      </c>
      <c r="F175" s="1" t="inlineStr">
        <is>
          <t>12</t>
        </is>
      </c>
      <c r="G175" t="n">
        <v>79033</v>
      </c>
      <c r="H175">
        <f>IF(PNL!A175="","",_CALC_PNL!P175)</f>
        <v/>
      </c>
      <c r="I175">
        <f>IF(PNL!A175="","",IF(_CALC_PNL!E175=1,H175-G175,""))</f>
        <v/>
      </c>
    </row>
    <row r="176">
      <c r="A176" s="1" t="inlineStr">
        <is>
          <t>ISCOM_LIL</t>
        </is>
      </c>
      <c r="B176" s="1" t="inlineStr">
        <is>
          <t>604</t>
        </is>
      </c>
      <c r="C176" s="1" t="inlineStr">
        <is>
          <t>2026</t>
        </is>
      </c>
      <c r="D176" s="1" t="inlineStr">
        <is>
          <t>ACT</t>
        </is>
      </c>
      <c r="E176" s="1" t="inlineStr">
        <is>
          <t>2027BUD_V1</t>
        </is>
      </c>
      <c r="F176" s="1" t="inlineStr">
        <is>
          <t>12</t>
        </is>
      </c>
      <c r="G176" t="n">
        <v>54475</v>
      </c>
      <c r="H176">
        <f>IF(PNL!A176="","",_CALC_PNL!P176)</f>
        <v/>
      </c>
      <c r="I176">
        <f>IF(PNL!A176="","",IF(_CALC_PNL!E176=1,H176-G176,""))</f>
        <v/>
      </c>
    </row>
    <row r="177">
      <c r="A177" s="1" t="inlineStr">
        <is>
          <t>ISCOM_TLS</t>
        </is>
      </c>
      <c r="B177" s="1" t="inlineStr">
        <is>
          <t>604</t>
        </is>
      </c>
      <c r="C177" s="1" t="inlineStr">
        <is>
          <t>2026</t>
        </is>
      </c>
      <c r="D177" s="1" t="inlineStr">
        <is>
          <t>ACT</t>
        </is>
      </c>
      <c r="E177" s="1" t="inlineStr">
        <is>
          <t>2027BUD_V1</t>
        </is>
      </c>
      <c r="F177" s="1" t="inlineStr">
        <is>
          <t>12</t>
        </is>
      </c>
      <c r="G177" t="n">
        <v>51572</v>
      </c>
      <c r="H177">
        <f>IF(PNL!A177="","",_CALC_PNL!P177)</f>
        <v/>
      </c>
      <c r="I177">
        <f>IF(PNL!A177="","",IF(_CALC_PNL!E177=1,H177-G177,""))</f>
        <v/>
      </c>
    </row>
    <row r="178">
      <c r="A178" s="1" t="inlineStr">
        <is>
          <t>IPAC_NAN</t>
        </is>
      </c>
      <c r="B178" s="1" t="inlineStr">
        <is>
          <t>604</t>
        </is>
      </c>
      <c r="C178" s="1" t="inlineStr">
        <is>
          <t>2026</t>
        </is>
      </c>
      <c r="D178" s="1" t="inlineStr">
        <is>
          <t>ACT</t>
        </is>
      </c>
      <c r="E178" s="1" t="inlineStr">
        <is>
          <t>2027BUD_V1</t>
        </is>
      </c>
      <c r="F178" s="1" t="inlineStr">
        <is>
          <t>12</t>
        </is>
      </c>
      <c r="G178" t="n">
        <v>32372</v>
      </c>
      <c r="H178">
        <f>IF(PNL!A178="","",_CALC_PNL!P178)</f>
        <v/>
      </c>
      <c r="I178">
        <f>IF(PNL!A178="","",IF(_CALC_PNL!E178=1,H178-G178,""))</f>
        <v/>
      </c>
    </row>
    <row r="179">
      <c r="A179" s="1" t="inlineStr">
        <is>
          <t>IPAC_REN</t>
        </is>
      </c>
      <c r="B179" s="1" t="inlineStr">
        <is>
          <t>604</t>
        </is>
      </c>
      <c r="C179" s="1" t="inlineStr">
        <is>
          <t>2026</t>
        </is>
      </c>
      <c r="D179" s="1" t="inlineStr">
        <is>
          <t>ACT</t>
        </is>
      </c>
      <c r="E179" s="1" t="inlineStr">
        <is>
          <t>2027BUD_V1</t>
        </is>
      </c>
      <c r="F179" s="1" t="inlineStr">
        <is>
          <t>12</t>
        </is>
      </c>
      <c r="G179" t="n">
        <v>26121</v>
      </c>
      <c r="H179">
        <f>IF(PNL!A179="","",_CALC_PNL!P179)</f>
        <v/>
      </c>
      <c r="I179">
        <f>IF(PNL!A179="","",IF(_CALC_PNL!E179=1,H179-G179,""))</f>
        <v/>
      </c>
    </row>
    <row r="180">
      <c r="A180" s="1" t="inlineStr">
        <is>
          <t>IPAC_MTP</t>
        </is>
      </c>
      <c r="B180" s="1" t="inlineStr">
        <is>
          <t>604</t>
        </is>
      </c>
      <c r="C180" s="1" t="inlineStr">
        <is>
          <t>2026</t>
        </is>
      </c>
      <c r="D180" s="1" t="inlineStr">
        <is>
          <t>ACT</t>
        </is>
      </c>
      <c r="E180" s="1" t="inlineStr">
        <is>
          <t>2027BUD_V1</t>
        </is>
      </c>
      <c r="F180" s="1" t="inlineStr">
        <is>
          <t>12</t>
        </is>
      </c>
      <c r="G180" t="n">
        <v>26121</v>
      </c>
      <c r="H180">
        <f>IF(PNL!A180="","",_CALC_PNL!P180)</f>
        <v/>
      </c>
      <c r="I180">
        <f>IF(PNL!A180="","",IF(_CALC_PNL!E180=1,H180-G180,""))</f>
        <v/>
      </c>
    </row>
    <row r="181">
      <c r="A181" s="1" t="inlineStr">
        <is>
          <t>PIGIER_LYO</t>
        </is>
      </c>
      <c r="B181" s="1" t="inlineStr">
        <is>
          <t>604</t>
        </is>
      </c>
      <c r="C181" s="1" t="inlineStr">
        <is>
          <t>2026</t>
        </is>
      </c>
      <c r="D181" s="1" t="inlineStr">
        <is>
          <t>ACT</t>
        </is>
      </c>
      <c r="E181" s="1" t="inlineStr">
        <is>
          <t>2027BUD_V1</t>
        </is>
      </c>
      <c r="F181" s="1" t="inlineStr">
        <is>
          <t>12</t>
        </is>
      </c>
      <c r="G181" t="n">
        <v>40633</v>
      </c>
      <c r="H181">
        <f>IF(PNL!A181="","",_CALC_PNL!P181)</f>
        <v/>
      </c>
      <c r="I181">
        <f>IF(PNL!A181="","",IF(_CALC_PNL!E181=1,H181-G181,""))</f>
        <v/>
      </c>
    </row>
    <row r="182">
      <c r="A182" s="1" t="inlineStr">
        <is>
          <t>PIGIER_BOR</t>
        </is>
      </c>
      <c r="B182" s="1" t="inlineStr">
        <is>
          <t>604</t>
        </is>
      </c>
      <c r="C182" s="1" t="inlineStr">
        <is>
          <t>2026</t>
        </is>
      </c>
      <c r="D182" s="1" t="inlineStr">
        <is>
          <t>ACT</t>
        </is>
      </c>
      <c r="E182" s="1" t="inlineStr">
        <is>
          <t>2027BUD_V1</t>
        </is>
      </c>
      <c r="F182" s="1" t="inlineStr">
        <is>
          <t>12</t>
        </is>
      </c>
      <c r="G182" t="n">
        <v>31703</v>
      </c>
      <c r="H182">
        <f>IF(PNL!A182="","",_CALC_PNL!P182)</f>
        <v/>
      </c>
      <c r="I182">
        <f>IF(PNL!A182="","",IF(_CALC_PNL!E182=1,H182-G182,""))</f>
        <v/>
      </c>
    </row>
    <row r="183">
      <c r="A183" s="1" t="inlineStr">
        <is>
          <t>TUNON_PAR</t>
        </is>
      </c>
      <c r="B183" s="1" t="inlineStr">
        <is>
          <t>604</t>
        </is>
      </c>
      <c r="C183" s="1" t="inlineStr">
        <is>
          <t>2026</t>
        </is>
      </c>
      <c r="D183" s="1" t="inlineStr">
        <is>
          <t>ACT</t>
        </is>
      </c>
      <c r="E183" s="1" t="inlineStr">
        <is>
          <t>2027BUD_V1</t>
        </is>
      </c>
      <c r="F183" s="1" t="inlineStr">
        <is>
          <t>12</t>
        </is>
      </c>
      <c r="G183" t="n">
        <v>30809</v>
      </c>
      <c r="H183">
        <f>IF(PNL!A183="","",_CALC_PNL!P183)</f>
        <v/>
      </c>
      <c r="I183">
        <f>IF(PNL!A183="","",IF(_CALC_PNL!E183=1,H183-G183,""))</f>
        <v/>
      </c>
    </row>
    <row r="184">
      <c r="A184" s="1" t="inlineStr">
        <is>
          <t>TUNON_LYO</t>
        </is>
      </c>
      <c r="B184" s="1" t="inlineStr">
        <is>
          <t>604</t>
        </is>
      </c>
      <c r="C184" s="1" t="inlineStr">
        <is>
          <t>2026</t>
        </is>
      </c>
      <c r="D184" s="1" t="inlineStr">
        <is>
          <t>ACT</t>
        </is>
      </c>
      <c r="E184" s="1" t="inlineStr">
        <is>
          <t>2027BUD_V1</t>
        </is>
      </c>
      <c r="F184" s="1" t="inlineStr">
        <is>
          <t>12</t>
        </is>
      </c>
      <c r="G184" t="n">
        <v>26121</v>
      </c>
      <c r="H184">
        <f>IF(PNL!A184="","",_CALC_PNL!P184)</f>
        <v/>
      </c>
      <c r="I184">
        <f>IF(PNL!A184="","",IF(_CALC_PNL!E184=1,H184-G184,""))</f>
        <v/>
      </c>
    </row>
    <row r="185">
      <c r="A185" s="1" t="inlineStr">
        <is>
          <t>MBWAY_PAR</t>
        </is>
      </c>
      <c r="B185" s="1" t="inlineStr">
        <is>
          <t>6063</t>
        </is>
      </c>
      <c r="C185" s="1" t="inlineStr">
        <is>
          <t>2024</t>
        </is>
      </c>
      <c r="D185" s="1" t="inlineStr">
        <is>
          <t>ACT</t>
        </is>
      </c>
      <c r="E185" s="1" t="inlineStr">
        <is>
          <t>2027BUD_V1</t>
        </is>
      </c>
      <c r="F185" s="1" t="inlineStr">
        <is>
          <t>12</t>
        </is>
      </c>
      <c r="G185" t="n">
        <v>51888</v>
      </c>
      <c r="H185">
        <f>IF(PNL!A185="","",_CALC_PNL!P185)</f>
        <v/>
      </c>
      <c r="I185">
        <f>IF(PNL!A185="","",IF(_CALC_PNL!E185=1,H185-G185,""))</f>
        <v/>
      </c>
    </row>
    <row r="186">
      <c r="A186" s="1" t="inlineStr">
        <is>
          <t>MBWAY_LYO</t>
        </is>
      </c>
      <c r="B186" s="1" t="inlineStr">
        <is>
          <t>6063</t>
        </is>
      </c>
      <c r="C186" s="1" t="inlineStr">
        <is>
          <t>2024</t>
        </is>
      </c>
      <c r="D186" s="1" t="inlineStr">
        <is>
          <t>ACT</t>
        </is>
      </c>
      <c r="E186" s="1" t="inlineStr">
        <is>
          <t>2027BUD_V1</t>
        </is>
      </c>
      <c r="F186" s="1" t="inlineStr">
        <is>
          <t>12</t>
        </is>
      </c>
      <c r="G186" t="n">
        <v>44010</v>
      </c>
      <c r="H186">
        <f>IF(PNL!A186="","",_CALC_PNL!P186)</f>
        <v/>
      </c>
      <c r="I186">
        <f>IF(PNL!A186="","",IF(_CALC_PNL!E186=1,H186-G186,""))</f>
        <v/>
      </c>
    </row>
    <row r="187">
      <c r="A187" s="1" t="inlineStr">
        <is>
          <t>MBWAY_NAN</t>
        </is>
      </c>
      <c r="B187" s="1" t="inlineStr">
        <is>
          <t>6063</t>
        </is>
      </c>
      <c r="C187" s="1" t="inlineStr">
        <is>
          <t>2024</t>
        </is>
      </c>
      <c r="D187" s="1" t="inlineStr">
        <is>
          <t>ACT</t>
        </is>
      </c>
      <c r="E187" s="1" t="inlineStr">
        <is>
          <t>2027BUD_V1</t>
        </is>
      </c>
      <c r="F187" s="1" t="inlineStr">
        <is>
          <t>12</t>
        </is>
      </c>
      <c r="G187" t="n">
        <v>39935</v>
      </c>
      <c r="H187">
        <f>IF(PNL!A187="","",_CALC_PNL!P187)</f>
        <v/>
      </c>
      <c r="I187">
        <f>IF(PNL!A187="","",IF(_CALC_PNL!E187=1,H187-G187,""))</f>
        <v/>
      </c>
    </row>
    <row r="188">
      <c r="A188" s="1" t="inlineStr">
        <is>
          <t>MBWAY_BOR</t>
        </is>
      </c>
      <c r="B188" s="1" t="inlineStr">
        <is>
          <t>6063</t>
        </is>
      </c>
      <c r="C188" s="1" t="inlineStr">
        <is>
          <t>2024</t>
        </is>
      </c>
      <c r="D188" s="1" t="inlineStr">
        <is>
          <t>ACT</t>
        </is>
      </c>
      <c r="E188" s="1" t="inlineStr">
        <is>
          <t>2027BUD_V1</t>
        </is>
      </c>
      <c r="F188" s="1" t="inlineStr">
        <is>
          <t>12</t>
        </is>
      </c>
      <c r="G188" t="n">
        <v>33822</v>
      </c>
      <c r="H188">
        <f>IF(PNL!A188="","",_CALC_PNL!P188)</f>
        <v/>
      </c>
      <c r="I188">
        <f>IF(PNL!A188="","",IF(_CALC_PNL!E188=1,H188-G188,""))</f>
        <v/>
      </c>
    </row>
    <row r="189">
      <c r="A189" s="1" t="inlineStr">
        <is>
          <t>ISCOM_PAR</t>
        </is>
      </c>
      <c r="B189" s="1" t="inlineStr">
        <is>
          <t>6063</t>
        </is>
      </c>
      <c r="C189" s="1" t="inlineStr">
        <is>
          <t>2024</t>
        </is>
      </c>
      <c r="D189" s="1" t="inlineStr">
        <is>
          <t>ACT</t>
        </is>
      </c>
      <c r="E189" s="1" t="inlineStr">
        <is>
          <t>2027BUD_V1</t>
        </is>
      </c>
      <c r="F189" s="1" t="inlineStr">
        <is>
          <t>12</t>
        </is>
      </c>
      <c r="G189" t="n">
        <v>48085</v>
      </c>
      <c r="H189">
        <f>IF(PNL!A189="","",_CALC_PNL!P189)</f>
        <v/>
      </c>
      <c r="I189">
        <f>IF(PNL!A189="","",IF(_CALC_PNL!E189=1,H189-G189,""))</f>
        <v/>
      </c>
    </row>
    <row r="190">
      <c r="A190" s="1" t="inlineStr">
        <is>
          <t>ISCOM_LIL</t>
        </is>
      </c>
      <c r="B190" s="1" t="inlineStr">
        <is>
          <t>6063</t>
        </is>
      </c>
      <c r="C190" s="1" t="inlineStr">
        <is>
          <t>2024</t>
        </is>
      </c>
      <c r="D190" s="1" t="inlineStr">
        <is>
          <t>ACT</t>
        </is>
      </c>
      <c r="E190" s="1" t="inlineStr">
        <is>
          <t>2027BUD_V1</t>
        </is>
      </c>
      <c r="F190" s="1" t="inlineStr">
        <is>
          <t>12</t>
        </is>
      </c>
      <c r="G190" t="n">
        <v>33143</v>
      </c>
      <c r="H190">
        <f>IF(PNL!A190="","",_CALC_PNL!P190)</f>
        <v/>
      </c>
      <c r="I190">
        <f>IF(PNL!A190="","",IF(_CALC_PNL!E190=1,H190-G190,""))</f>
        <v/>
      </c>
    </row>
    <row r="191">
      <c r="A191" s="1" t="inlineStr">
        <is>
          <t>ISCOM_TLS</t>
        </is>
      </c>
      <c r="B191" s="1" t="inlineStr">
        <is>
          <t>6063</t>
        </is>
      </c>
      <c r="C191" s="1" t="inlineStr">
        <is>
          <t>2024</t>
        </is>
      </c>
      <c r="D191" s="1" t="inlineStr">
        <is>
          <t>ACT</t>
        </is>
      </c>
      <c r="E191" s="1" t="inlineStr">
        <is>
          <t>2027BUD_V1</t>
        </is>
      </c>
      <c r="F191" s="1" t="inlineStr">
        <is>
          <t>12</t>
        </is>
      </c>
      <c r="G191" t="n">
        <v>31377</v>
      </c>
      <c r="H191">
        <f>IF(PNL!A191="","",_CALC_PNL!P191)</f>
        <v/>
      </c>
      <c r="I191">
        <f>IF(PNL!A191="","",IF(_CALC_PNL!E191=1,H191-G191,""))</f>
        <v/>
      </c>
    </row>
    <row r="192">
      <c r="A192" s="1" t="inlineStr">
        <is>
          <t>IPAC_NAN</t>
        </is>
      </c>
      <c r="B192" s="1" t="inlineStr">
        <is>
          <t>6063</t>
        </is>
      </c>
      <c r="C192" s="1" t="inlineStr">
        <is>
          <t>2024</t>
        </is>
      </c>
      <c r="D192" s="1" t="inlineStr">
        <is>
          <t>ACT</t>
        </is>
      </c>
      <c r="E192" s="1" t="inlineStr">
        <is>
          <t>2027BUD_V1</t>
        </is>
      </c>
      <c r="F192" s="1" t="inlineStr">
        <is>
          <t>12</t>
        </is>
      </c>
      <c r="G192" t="n">
        <v>19696</v>
      </c>
      <c r="H192">
        <f>IF(PNL!A192="","",_CALC_PNL!P192)</f>
        <v/>
      </c>
      <c r="I192">
        <f>IF(PNL!A192="","",IF(_CALC_PNL!E192=1,H192-G192,""))</f>
        <v/>
      </c>
    </row>
    <row r="193">
      <c r="A193" s="1" t="inlineStr">
        <is>
          <t>IPAC_REN</t>
        </is>
      </c>
      <c r="B193" s="1" t="inlineStr">
        <is>
          <t>6063</t>
        </is>
      </c>
      <c r="C193" s="1" t="inlineStr">
        <is>
          <t>2024</t>
        </is>
      </c>
      <c r="D193" s="1" t="inlineStr">
        <is>
          <t>ACT</t>
        </is>
      </c>
      <c r="E193" s="1" t="inlineStr">
        <is>
          <t>2027BUD_V1</t>
        </is>
      </c>
      <c r="F193" s="1" t="inlineStr">
        <is>
          <t>12</t>
        </is>
      </c>
      <c r="G193" t="n">
        <v>15892</v>
      </c>
      <c r="H193">
        <f>IF(PNL!A193="","",_CALC_PNL!P193)</f>
        <v/>
      </c>
      <c r="I193">
        <f>IF(PNL!A193="","",IF(_CALC_PNL!E193=1,H193-G193,""))</f>
        <v/>
      </c>
    </row>
    <row r="194">
      <c r="A194" s="1" t="inlineStr">
        <is>
          <t>IPAC_MTP</t>
        </is>
      </c>
      <c r="B194" s="1" t="inlineStr">
        <is>
          <t>6063</t>
        </is>
      </c>
      <c r="C194" s="1" t="inlineStr">
        <is>
          <t>2024</t>
        </is>
      </c>
      <c r="D194" s="1" t="inlineStr">
        <is>
          <t>ACT</t>
        </is>
      </c>
      <c r="E194" s="1" t="inlineStr">
        <is>
          <t>2027BUD_V1</t>
        </is>
      </c>
      <c r="F194" s="1" t="inlineStr">
        <is>
          <t>12</t>
        </is>
      </c>
      <c r="G194" t="n">
        <v>15892</v>
      </c>
      <c r="H194">
        <f>IF(PNL!A194="","",_CALC_PNL!P194)</f>
        <v/>
      </c>
      <c r="I194">
        <f>IF(PNL!A194="","",IF(_CALC_PNL!E194=1,H194-G194,""))</f>
        <v/>
      </c>
    </row>
    <row r="195">
      <c r="A195" s="1" t="inlineStr">
        <is>
          <t>PIGIER_LYO</t>
        </is>
      </c>
      <c r="B195" s="1" t="inlineStr">
        <is>
          <t>6063</t>
        </is>
      </c>
      <c r="C195" s="1" t="inlineStr">
        <is>
          <t>2024</t>
        </is>
      </c>
      <c r="D195" s="1" t="inlineStr">
        <is>
          <t>ACT</t>
        </is>
      </c>
      <c r="E195" s="1" t="inlineStr">
        <is>
          <t>2027BUD_V1</t>
        </is>
      </c>
      <c r="F195" s="1" t="inlineStr">
        <is>
          <t>12</t>
        </is>
      </c>
      <c r="G195" t="n">
        <v>24722</v>
      </c>
      <c r="H195">
        <f>IF(PNL!A195="","",_CALC_PNL!P195)</f>
        <v/>
      </c>
      <c r="I195">
        <f>IF(PNL!A195="","",IF(_CALC_PNL!E195=1,H195-G195,""))</f>
        <v/>
      </c>
    </row>
    <row r="196">
      <c r="A196" s="1" t="inlineStr">
        <is>
          <t>PIGIER_BOR</t>
        </is>
      </c>
      <c r="B196" s="1" t="inlineStr">
        <is>
          <t>6063</t>
        </is>
      </c>
      <c r="C196" s="1" t="inlineStr">
        <is>
          <t>2024</t>
        </is>
      </c>
      <c r="D196" s="1" t="inlineStr">
        <is>
          <t>ACT</t>
        </is>
      </c>
      <c r="E196" s="1" t="inlineStr">
        <is>
          <t>2027BUD_V1</t>
        </is>
      </c>
      <c r="F196" s="1" t="inlineStr">
        <is>
          <t>12</t>
        </is>
      </c>
      <c r="G196" t="n">
        <v>19288</v>
      </c>
      <c r="H196">
        <f>IF(PNL!A196="","",_CALC_PNL!P196)</f>
        <v/>
      </c>
      <c r="I196">
        <f>IF(PNL!A196="","",IF(_CALC_PNL!E196=1,H196-G196,""))</f>
        <v/>
      </c>
    </row>
    <row r="197">
      <c r="A197" s="1" t="inlineStr">
        <is>
          <t>TUNON_PAR</t>
        </is>
      </c>
      <c r="B197" s="1" t="inlineStr">
        <is>
          <t>6063</t>
        </is>
      </c>
      <c r="C197" s="1" t="inlineStr">
        <is>
          <t>2024</t>
        </is>
      </c>
      <c r="D197" s="1" t="inlineStr">
        <is>
          <t>ACT</t>
        </is>
      </c>
      <c r="E197" s="1" t="inlineStr">
        <is>
          <t>2027BUD_V1</t>
        </is>
      </c>
      <c r="F197" s="1" t="inlineStr">
        <is>
          <t>12</t>
        </is>
      </c>
      <c r="G197" t="n">
        <v>18745</v>
      </c>
      <c r="H197">
        <f>IF(PNL!A197="","",_CALC_PNL!P197)</f>
        <v/>
      </c>
      <c r="I197">
        <f>IF(PNL!A197="","",IF(_CALC_PNL!E197=1,H197-G197,""))</f>
        <v/>
      </c>
    </row>
    <row r="198">
      <c r="A198" s="1" t="inlineStr">
        <is>
          <t>TUNON_LYO</t>
        </is>
      </c>
      <c r="B198" s="1" t="inlineStr">
        <is>
          <t>6063</t>
        </is>
      </c>
      <c r="C198" s="1" t="inlineStr">
        <is>
          <t>2024</t>
        </is>
      </c>
      <c r="D198" s="1" t="inlineStr">
        <is>
          <t>ACT</t>
        </is>
      </c>
      <c r="E198" s="1" t="inlineStr">
        <is>
          <t>2027BUD_V1</t>
        </is>
      </c>
      <c r="F198" s="1" t="inlineStr">
        <is>
          <t>12</t>
        </is>
      </c>
      <c r="G198" t="n">
        <v>15892</v>
      </c>
      <c r="H198">
        <f>IF(PNL!A198="","",_CALC_PNL!P198)</f>
        <v/>
      </c>
      <c r="I198">
        <f>IF(PNL!A198="","",IF(_CALC_PNL!E198=1,H198-G198,""))</f>
        <v/>
      </c>
    </row>
    <row r="199">
      <c r="A199" s="1" t="inlineStr">
        <is>
          <t>MBWAY_PAR</t>
        </is>
      </c>
      <c r="B199" s="1" t="inlineStr">
        <is>
          <t>6063</t>
        </is>
      </c>
      <c r="C199" s="1" t="inlineStr">
        <is>
          <t>2025</t>
        </is>
      </c>
      <c r="D199" s="1" t="inlineStr">
        <is>
          <t>ACT</t>
        </is>
      </c>
      <c r="E199" s="1" t="inlineStr">
        <is>
          <t>2027BUD_V1</t>
        </is>
      </c>
      <c r="F199" s="1" t="inlineStr">
        <is>
          <t>12</t>
        </is>
      </c>
      <c r="G199" t="n">
        <v>54266</v>
      </c>
      <c r="H199">
        <f>IF(PNL!A199="","",_CALC_PNL!P199)</f>
        <v/>
      </c>
      <c r="I199">
        <f>IF(PNL!A199="","",IF(_CALC_PNL!E199=1,H199-G199,""))</f>
        <v/>
      </c>
    </row>
    <row r="200">
      <c r="A200" s="1" t="inlineStr">
        <is>
          <t>MBWAY_LYO</t>
        </is>
      </c>
      <c r="B200" s="1" t="inlineStr">
        <is>
          <t>6063</t>
        </is>
      </c>
      <c r="C200" s="1" t="inlineStr">
        <is>
          <t>2025</t>
        </is>
      </c>
      <c r="D200" s="1" t="inlineStr">
        <is>
          <t>ACT</t>
        </is>
      </c>
      <c r="E200" s="1" t="inlineStr">
        <is>
          <t>2027BUD_V1</t>
        </is>
      </c>
      <c r="F200" s="1" t="inlineStr">
        <is>
          <t>12</t>
        </is>
      </c>
      <c r="G200" t="n">
        <v>46027</v>
      </c>
      <c r="H200">
        <f>IF(PNL!A200="","",_CALC_PNL!P200)</f>
        <v/>
      </c>
      <c r="I200">
        <f>IF(PNL!A200="","",IF(_CALC_PNL!E200=1,H200-G200,""))</f>
        <v/>
      </c>
    </row>
    <row r="201">
      <c r="A201" s="1" t="inlineStr">
        <is>
          <t>MBWAY_NAN</t>
        </is>
      </c>
      <c r="B201" s="1" t="inlineStr">
        <is>
          <t>6063</t>
        </is>
      </c>
      <c r="C201" s="1" t="inlineStr">
        <is>
          <t>2025</t>
        </is>
      </c>
      <c r="D201" s="1" t="inlineStr">
        <is>
          <t>ACT</t>
        </is>
      </c>
      <c r="E201" s="1" t="inlineStr">
        <is>
          <t>2027BUD_V1</t>
        </is>
      </c>
      <c r="F201" s="1" t="inlineStr">
        <is>
          <t>12</t>
        </is>
      </c>
      <c r="G201" t="n">
        <v>41765</v>
      </c>
      <c r="H201">
        <f>IF(PNL!A201="","",_CALC_PNL!P201)</f>
        <v/>
      </c>
      <c r="I201">
        <f>IF(PNL!A201="","",IF(_CALC_PNL!E201=1,H201-G201,""))</f>
        <v/>
      </c>
    </row>
    <row r="202">
      <c r="A202" s="1" t="inlineStr">
        <is>
          <t>MBWAY_BOR</t>
        </is>
      </c>
      <c r="B202" s="1" t="inlineStr">
        <is>
          <t>6063</t>
        </is>
      </c>
      <c r="C202" s="1" t="inlineStr">
        <is>
          <t>2025</t>
        </is>
      </c>
      <c r="D202" s="1" t="inlineStr">
        <is>
          <t>ACT</t>
        </is>
      </c>
      <c r="E202" s="1" t="inlineStr">
        <is>
          <t>2027BUD_V1</t>
        </is>
      </c>
      <c r="F202" s="1" t="inlineStr">
        <is>
          <t>12</t>
        </is>
      </c>
      <c r="G202" t="n">
        <v>35372</v>
      </c>
      <c r="H202">
        <f>IF(PNL!A202="","",_CALC_PNL!P202)</f>
        <v/>
      </c>
      <c r="I202">
        <f>IF(PNL!A202="","",IF(_CALC_PNL!E202=1,H202-G202,""))</f>
        <v/>
      </c>
    </row>
    <row r="203">
      <c r="A203" s="1" t="inlineStr">
        <is>
          <t>ISCOM_PAR</t>
        </is>
      </c>
      <c r="B203" s="1" t="inlineStr">
        <is>
          <t>6063</t>
        </is>
      </c>
      <c r="C203" s="1" t="inlineStr">
        <is>
          <t>2025</t>
        </is>
      </c>
      <c r="D203" s="1" t="inlineStr">
        <is>
          <t>ACT</t>
        </is>
      </c>
      <c r="E203" s="1" t="inlineStr">
        <is>
          <t>2027BUD_V1</t>
        </is>
      </c>
      <c r="F203" s="1" t="inlineStr">
        <is>
          <t>12</t>
        </is>
      </c>
      <c r="G203" t="n">
        <v>50288</v>
      </c>
      <c r="H203">
        <f>IF(PNL!A203="","",_CALC_PNL!P203)</f>
        <v/>
      </c>
      <c r="I203">
        <f>IF(PNL!A203="","",IF(_CALC_PNL!E203=1,H203-G203,""))</f>
        <v/>
      </c>
    </row>
    <row r="204">
      <c r="A204" s="1" t="inlineStr">
        <is>
          <t>ISCOM_LIL</t>
        </is>
      </c>
      <c r="B204" s="1" t="inlineStr">
        <is>
          <t>6063</t>
        </is>
      </c>
      <c r="C204" s="1" t="inlineStr">
        <is>
          <t>2025</t>
        </is>
      </c>
      <c r="D204" s="1" t="inlineStr">
        <is>
          <t>ACT</t>
        </is>
      </c>
      <c r="E204" s="1" t="inlineStr">
        <is>
          <t>2027BUD_V1</t>
        </is>
      </c>
      <c r="F204" s="1" t="inlineStr">
        <is>
          <t>12</t>
        </is>
      </c>
      <c r="G204" t="n">
        <v>34662</v>
      </c>
      <c r="H204">
        <f>IF(PNL!A204="","",_CALC_PNL!P204)</f>
        <v/>
      </c>
      <c r="I204">
        <f>IF(PNL!A204="","",IF(_CALC_PNL!E204=1,H204-G204,""))</f>
        <v/>
      </c>
    </row>
    <row r="205">
      <c r="A205" s="1" t="inlineStr">
        <is>
          <t>ISCOM_TLS</t>
        </is>
      </c>
      <c r="B205" s="1" t="inlineStr">
        <is>
          <t>6063</t>
        </is>
      </c>
      <c r="C205" s="1" t="inlineStr">
        <is>
          <t>2025</t>
        </is>
      </c>
      <c r="D205" s="1" t="inlineStr">
        <is>
          <t>ACT</t>
        </is>
      </c>
      <c r="E205" s="1" t="inlineStr">
        <is>
          <t>2027BUD_V1</t>
        </is>
      </c>
      <c r="F205" s="1" t="inlineStr">
        <is>
          <t>12</t>
        </is>
      </c>
      <c r="G205" t="n">
        <v>32815</v>
      </c>
      <c r="H205">
        <f>IF(PNL!A205="","",_CALC_PNL!P205)</f>
        <v/>
      </c>
      <c r="I205">
        <f>IF(PNL!A205="","",IF(_CALC_PNL!E205=1,H205-G205,""))</f>
        <v/>
      </c>
    </row>
    <row r="206">
      <c r="A206" s="1" t="inlineStr">
        <is>
          <t>IPAC_NAN</t>
        </is>
      </c>
      <c r="B206" s="1" t="inlineStr">
        <is>
          <t>6063</t>
        </is>
      </c>
      <c r="C206" s="1" t="inlineStr">
        <is>
          <t>2025</t>
        </is>
      </c>
      <c r="D206" s="1" t="inlineStr">
        <is>
          <t>ACT</t>
        </is>
      </c>
      <c r="E206" s="1" t="inlineStr">
        <is>
          <t>2027BUD_V1</t>
        </is>
      </c>
      <c r="F206" s="1" t="inlineStr">
        <is>
          <t>12</t>
        </is>
      </c>
      <c r="G206" t="n">
        <v>20598</v>
      </c>
      <c r="H206">
        <f>IF(PNL!A206="","",_CALC_PNL!P206)</f>
        <v/>
      </c>
      <c r="I206">
        <f>IF(PNL!A206="","",IF(_CALC_PNL!E206=1,H206-G206,""))</f>
        <v/>
      </c>
    </row>
    <row r="207">
      <c r="A207" s="1" t="inlineStr">
        <is>
          <t>IPAC_REN</t>
        </is>
      </c>
      <c r="B207" s="1" t="inlineStr">
        <is>
          <t>6063</t>
        </is>
      </c>
      <c r="C207" s="1" t="inlineStr">
        <is>
          <t>2025</t>
        </is>
      </c>
      <c r="D207" s="1" t="inlineStr">
        <is>
          <t>ACT</t>
        </is>
      </c>
      <c r="E207" s="1" t="inlineStr">
        <is>
          <t>2027BUD_V1</t>
        </is>
      </c>
      <c r="F207" s="1" t="inlineStr">
        <is>
          <t>12</t>
        </is>
      </c>
      <c r="G207" t="n">
        <v>16621</v>
      </c>
      <c r="H207">
        <f>IF(PNL!A207="","",_CALC_PNL!P207)</f>
        <v/>
      </c>
      <c r="I207">
        <f>IF(PNL!A207="","",IF(_CALC_PNL!E207=1,H207-G207,""))</f>
        <v/>
      </c>
    </row>
    <row r="208">
      <c r="A208" s="1" t="inlineStr">
        <is>
          <t>IPAC_MTP</t>
        </is>
      </c>
      <c r="B208" s="1" t="inlineStr">
        <is>
          <t>6063</t>
        </is>
      </c>
      <c r="C208" s="1" t="inlineStr">
        <is>
          <t>2025</t>
        </is>
      </c>
      <c r="D208" s="1" t="inlineStr">
        <is>
          <t>ACT</t>
        </is>
      </c>
      <c r="E208" s="1" t="inlineStr">
        <is>
          <t>2027BUD_V1</t>
        </is>
      </c>
      <c r="F208" s="1" t="inlineStr">
        <is>
          <t>12</t>
        </is>
      </c>
      <c r="G208" t="n">
        <v>16621</v>
      </c>
      <c r="H208">
        <f>IF(PNL!A208="","",_CALC_PNL!P208)</f>
        <v/>
      </c>
      <c r="I208">
        <f>IF(PNL!A208="","",IF(_CALC_PNL!E208=1,H208-G208,""))</f>
        <v/>
      </c>
    </row>
    <row r="209">
      <c r="A209" s="1" t="inlineStr">
        <is>
          <t>PIGIER_LYO</t>
        </is>
      </c>
      <c r="B209" s="1" t="inlineStr">
        <is>
          <t>6063</t>
        </is>
      </c>
      <c r="C209" s="1" t="inlineStr">
        <is>
          <t>2025</t>
        </is>
      </c>
      <c r="D209" s="1" t="inlineStr">
        <is>
          <t>ACT</t>
        </is>
      </c>
      <c r="E209" s="1" t="inlineStr">
        <is>
          <t>2027BUD_V1</t>
        </is>
      </c>
      <c r="F209" s="1" t="inlineStr">
        <is>
          <t>12</t>
        </is>
      </c>
      <c r="G209" t="n">
        <v>25854</v>
      </c>
      <c r="H209">
        <f>IF(PNL!A209="","",_CALC_PNL!P209)</f>
        <v/>
      </c>
      <c r="I209">
        <f>IF(PNL!A209="","",IF(_CALC_PNL!E209=1,H209-G209,""))</f>
        <v/>
      </c>
    </row>
    <row r="210">
      <c r="A210" s="1" t="inlineStr">
        <is>
          <t>PIGIER_BOR</t>
        </is>
      </c>
      <c r="B210" s="1" t="inlineStr">
        <is>
          <t>6063</t>
        </is>
      </c>
      <c r="C210" s="1" t="inlineStr">
        <is>
          <t>2025</t>
        </is>
      </c>
      <c r="D210" s="1" t="inlineStr">
        <is>
          <t>ACT</t>
        </is>
      </c>
      <c r="E210" s="1" t="inlineStr">
        <is>
          <t>2027BUD_V1</t>
        </is>
      </c>
      <c r="F210" s="1" t="inlineStr">
        <is>
          <t>12</t>
        </is>
      </c>
      <c r="G210" t="n">
        <v>20172</v>
      </c>
      <c r="H210">
        <f>IF(PNL!A210="","",_CALC_PNL!P210)</f>
        <v/>
      </c>
      <c r="I210">
        <f>IF(PNL!A210="","",IF(_CALC_PNL!E210=1,H210-G210,""))</f>
        <v/>
      </c>
    </row>
    <row r="211">
      <c r="A211" s="1" t="inlineStr">
        <is>
          <t>TUNON_PAR</t>
        </is>
      </c>
      <c r="B211" s="1" t="inlineStr">
        <is>
          <t>6063</t>
        </is>
      </c>
      <c r="C211" s="1" t="inlineStr">
        <is>
          <t>2025</t>
        </is>
      </c>
      <c r="D211" s="1" t="inlineStr">
        <is>
          <t>ACT</t>
        </is>
      </c>
      <c r="E211" s="1" t="inlineStr">
        <is>
          <t>2027BUD_V1</t>
        </is>
      </c>
      <c r="F211" s="1" t="inlineStr">
        <is>
          <t>12</t>
        </is>
      </c>
      <c r="G211" t="n">
        <v>19604</v>
      </c>
      <c r="H211">
        <f>IF(PNL!A211="","",_CALC_PNL!P211)</f>
        <v/>
      </c>
      <c r="I211">
        <f>IF(PNL!A211="","",IF(_CALC_PNL!E211=1,H211-G211,""))</f>
        <v/>
      </c>
    </row>
    <row r="212">
      <c r="A212" s="1" t="inlineStr">
        <is>
          <t>TUNON_LYO</t>
        </is>
      </c>
      <c r="B212" s="1" t="inlineStr">
        <is>
          <t>6063</t>
        </is>
      </c>
      <c r="C212" s="1" t="inlineStr">
        <is>
          <t>2025</t>
        </is>
      </c>
      <c r="D212" s="1" t="inlineStr">
        <is>
          <t>ACT</t>
        </is>
      </c>
      <c r="E212" s="1" t="inlineStr">
        <is>
          <t>2027BUD_V1</t>
        </is>
      </c>
      <c r="F212" s="1" t="inlineStr">
        <is>
          <t>12</t>
        </is>
      </c>
      <c r="G212" t="n">
        <v>16621</v>
      </c>
      <c r="H212">
        <f>IF(PNL!A212="","",_CALC_PNL!P212)</f>
        <v/>
      </c>
      <c r="I212">
        <f>IF(PNL!A212="","",IF(_CALC_PNL!E212=1,H212-G212,""))</f>
        <v/>
      </c>
    </row>
    <row r="213">
      <c r="A213" s="1" t="inlineStr">
        <is>
          <t>MBWAY_PAR</t>
        </is>
      </c>
      <c r="B213" s="1" t="inlineStr">
        <is>
          <t>6063</t>
        </is>
      </c>
      <c r="C213" s="1" t="inlineStr">
        <is>
          <t>2026</t>
        </is>
      </c>
      <c r="D213" s="1" t="inlineStr">
        <is>
          <t>ACT</t>
        </is>
      </c>
      <c r="E213" s="1" t="inlineStr">
        <is>
          <t>2027BUD_V1</t>
        </is>
      </c>
      <c r="F213" s="1" t="inlineStr">
        <is>
          <t>12</t>
        </is>
      </c>
      <c r="G213" t="n">
        <v>56856</v>
      </c>
      <c r="H213">
        <f>IF(PNL!A213="","",_CALC_PNL!P213)</f>
        <v/>
      </c>
      <c r="I213">
        <f>IF(PNL!A213="","",IF(_CALC_PNL!E213=1,H213-G213,""))</f>
        <v/>
      </c>
    </row>
    <row r="214">
      <c r="A214" s="1" t="inlineStr">
        <is>
          <t>MBWAY_LYO</t>
        </is>
      </c>
      <c r="B214" s="1" t="inlineStr">
        <is>
          <t>6063</t>
        </is>
      </c>
      <c r="C214" s="1" t="inlineStr">
        <is>
          <t>2026</t>
        </is>
      </c>
      <c r="D214" s="1" t="inlineStr">
        <is>
          <t>ACT</t>
        </is>
      </c>
      <c r="E214" s="1" t="inlineStr">
        <is>
          <t>2027BUD_V1</t>
        </is>
      </c>
      <c r="F214" s="1" t="inlineStr">
        <is>
          <t>12</t>
        </is>
      </c>
      <c r="G214" t="n">
        <v>48224</v>
      </c>
      <c r="H214">
        <f>IF(PNL!A214="","",_CALC_PNL!P214)</f>
        <v/>
      </c>
      <c r="I214">
        <f>IF(PNL!A214="","",IF(_CALC_PNL!E214=1,H214-G214,""))</f>
        <v/>
      </c>
    </row>
    <row r="215">
      <c r="A215" s="1" t="inlineStr">
        <is>
          <t>MBWAY_NAN</t>
        </is>
      </c>
      <c r="B215" s="1" t="inlineStr">
        <is>
          <t>6063</t>
        </is>
      </c>
      <c r="C215" s="1" t="inlineStr">
        <is>
          <t>2026</t>
        </is>
      </c>
      <c r="D215" s="1" t="inlineStr">
        <is>
          <t>ACT</t>
        </is>
      </c>
      <c r="E215" s="1" t="inlineStr">
        <is>
          <t>2027BUD_V1</t>
        </is>
      </c>
      <c r="F215" s="1" t="inlineStr">
        <is>
          <t>12</t>
        </is>
      </c>
      <c r="G215" t="n">
        <v>43758</v>
      </c>
      <c r="H215">
        <f>IF(PNL!A215="","",_CALC_PNL!P215)</f>
        <v/>
      </c>
      <c r="I215">
        <f>IF(PNL!A215="","",IF(_CALC_PNL!E215=1,H215-G215,""))</f>
        <v/>
      </c>
    </row>
    <row r="216">
      <c r="A216" s="1" t="inlineStr">
        <is>
          <t>MBWAY_BOR</t>
        </is>
      </c>
      <c r="B216" s="1" t="inlineStr">
        <is>
          <t>6063</t>
        </is>
      </c>
      <c r="C216" s="1" t="inlineStr">
        <is>
          <t>2026</t>
        </is>
      </c>
      <c r="D216" s="1" t="inlineStr">
        <is>
          <t>ACT</t>
        </is>
      </c>
      <c r="E216" s="1" t="inlineStr">
        <is>
          <t>2027BUD_V1</t>
        </is>
      </c>
      <c r="F216" s="1" t="inlineStr">
        <is>
          <t>12</t>
        </is>
      </c>
      <c r="G216" t="n">
        <v>37061</v>
      </c>
      <c r="H216">
        <f>IF(PNL!A216="","",_CALC_PNL!P216)</f>
        <v/>
      </c>
      <c r="I216">
        <f>IF(PNL!A216="","",IF(_CALC_PNL!E216=1,H216-G216,""))</f>
        <v/>
      </c>
    </row>
    <row r="217">
      <c r="A217" s="1" t="inlineStr">
        <is>
          <t>ISCOM_PAR</t>
        </is>
      </c>
      <c r="B217" s="1" t="inlineStr">
        <is>
          <t>6063</t>
        </is>
      </c>
      <c r="C217" s="1" t="inlineStr">
        <is>
          <t>2026</t>
        </is>
      </c>
      <c r="D217" s="1" t="inlineStr">
        <is>
          <t>ACT</t>
        </is>
      </c>
      <c r="E217" s="1" t="inlineStr">
        <is>
          <t>2027BUD_V1</t>
        </is>
      </c>
      <c r="F217" s="1" t="inlineStr">
        <is>
          <t>12</t>
        </is>
      </c>
      <c r="G217" t="n">
        <v>52689</v>
      </c>
      <c r="H217">
        <f>IF(PNL!A217="","",_CALC_PNL!P217)</f>
        <v/>
      </c>
      <c r="I217">
        <f>IF(PNL!A217="","",IF(_CALC_PNL!E217=1,H217-G217,""))</f>
        <v/>
      </c>
    </row>
    <row r="218">
      <c r="A218" s="1" t="inlineStr">
        <is>
          <t>ISCOM_LIL</t>
        </is>
      </c>
      <c r="B218" s="1" t="inlineStr">
        <is>
          <t>6063</t>
        </is>
      </c>
      <c r="C218" s="1" t="inlineStr">
        <is>
          <t>2026</t>
        </is>
      </c>
      <c r="D218" s="1" t="inlineStr">
        <is>
          <t>ACT</t>
        </is>
      </c>
      <c r="E218" s="1" t="inlineStr">
        <is>
          <t>2027BUD_V1</t>
        </is>
      </c>
      <c r="F218" s="1" t="inlineStr">
        <is>
          <t>12</t>
        </is>
      </c>
      <c r="G218" t="n">
        <v>36316</v>
      </c>
      <c r="H218">
        <f>IF(PNL!A218="","",_CALC_PNL!P218)</f>
        <v/>
      </c>
      <c r="I218">
        <f>IF(PNL!A218="","",IF(_CALC_PNL!E218=1,H218-G218,""))</f>
        <v/>
      </c>
    </row>
    <row r="219">
      <c r="A219" s="1" t="inlineStr">
        <is>
          <t>ISCOM_TLS</t>
        </is>
      </c>
      <c r="B219" s="1" t="inlineStr">
        <is>
          <t>6063</t>
        </is>
      </c>
      <c r="C219" s="1" t="inlineStr">
        <is>
          <t>2026</t>
        </is>
      </c>
      <c r="D219" s="1" t="inlineStr">
        <is>
          <t>ACT</t>
        </is>
      </c>
      <c r="E219" s="1" t="inlineStr">
        <is>
          <t>2027BUD_V1</t>
        </is>
      </c>
      <c r="F219" s="1" t="inlineStr">
        <is>
          <t>12</t>
        </is>
      </c>
      <c r="G219" t="n">
        <v>34382</v>
      </c>
      <c r="H219">
        <f>IF(PNL!A219="","",_CALC_PNL!P219)</f>
        <v/>
      </c>
      <c r="I219">
        <f>IF(PNL!A219="","",IF(_CALC_PNL!E219=1,H219-G219,""))</f>
        <v/>
      </c>
    </row>
    <row r="220">
      <c r="A220" s="1" t="inlineStr">
        <is>
          <t>IPAC_NAN</t>
        </is>
      </c>
      <c r="B220" s="1" t="inlineStr">
        <is>
          <t>6063</t>
        </is>
      </c>
      <c r="C220" s="1" t="inlineStr">
        <is>
          <t>2026</t>
        </is>
      </c>
      <c r="D220" s="1" t="inlineStr">
        <is>
          <t>ACT</t>
        </is>
      </c>
      <c r="E220" s="1" t="inlineStr">
        <is>
          <t>2027BUD_V1</t>
        </is>
      </c>
      <c r="F220" s="1" t="inlineStr">
        <is>
          <t>12</t>
        </is>
      </c>
      <c r="G220" t="n">
        <v>21582</v>
      </c>
      <c r="H220">
        <f>IF(PNL!A220="","",_CALC_PNL!P220)</f>
        <v/>
      </c>
      <c r="I220">
        <f>IF(PNL!A220="","",IF(_CALC_PNL!E220=1,H220-G220,""))</f>
        <v/>
      </c>
    </row>
    <row r="221">
      <c r="A221" s="1" t="inlineStr">
        <is>
          <t>IPAC_REN</t>
        </is>
      </c>
      <c r="B221" s="1" t="inlineStr">
        <is>
          <t>6063</t>
        </is>
      </c>
      <c r="C221" s="1" t="inlineStr">
        <is>
          <t>2026</t>
        </is>
      </c>
      <c r="D221" s="1" t="inlineStr">
        <is>
          <t>ACT</t>
        </is>
      </c>
      <c r="E221" s="1" t="inlineStr">
        <is>
          <t>2027BUD_V1</t>
        </is>
      </c>
      <c r="F221" s="1" t="inlineStr">
        <is>
          <t>12</t>
        </is>
      </c>
      <c r="G221" t="n">
        <v>17414</v>
      </c>
      <c r="H221">
        <f>IF(PNL!A221="","",_CALC_PNL!P221)</f>
        <v/>
      </c>
      <c r="I221">
        <f>IF(PNL!A221="","",IF(_CALC_PNL!E221=1,H221-G221,""))</f>
        <v/>
      </c>
    </row>
    <row r="222">
      <c r="A222" s="1" t="inlineStr">
        <is>
          <t>IPAC_MTP</t>
        </is>
      </c>
      <c r="B222" s="1" t="inlineStr">
        <is>
          <t>6063</t>
        </is>
      </c>
      <c r="C222" s="1" t="inlineStr">
        <is>
          <t>2026</t>
        </is>
      </c>
      <c r="D222" s="1" t="inlineStr">
        <is>
          <t>ACT</t>
        </is>
      </c>
      <c r="E222" s="1" t="inlineStr">
        <is>
          <t>2027BUD_V1</t>
        </is>
      </c>
      <c r="F222" s="1" t="inlineStr">
        <is>
          <t>12</t>
        </is>
      </c>
      <c r="G222" t="n">
        <v>17414</v>
      </c>
      <c r="H222">
        <f>IF(PNL!A222="","",_CALC_PNL!P222)</f>
        <v/>
      </c>
      <c r="I222">
        <f>IF(PNL!A222="","",IF(_CALC_PNL!E222=1,H222-G222,""))</f>
        <v/>
      </c>
    </row>
    <row r="223">
      <c r="A223" s="1" t="inlineStr">
        <is>
          <t>PIGIER_LYO</t>
        </is>
      </c>
      <c r="B223" s="1" t="inlineStr">
        <is>
          <t>6063</t>
        </is>
      </c>
      <c r="C223" s="1" t="inlineStr">
        <is>
          <t>2026</t>
        </is>
      </c>
      <c r="D223" s="1" t="inlineStr">
        <is>
          <t>ACT</t>
        </is>
      </c>
      <c r="E223" s="1" t="inlineStr">
        <is>
          <t>2027BUD_V1</t>
        </is>
      </c>
      <c r="F223" s="1" t="inlineStr">
        <is>
          <t>12</t>
        </is>
      </c>
      <c r="G223" t="n">
        <v>27089</v>
      </c>
      <c r="H223">
        <f>IF(PNL!A223="","",_CALC_PNL!P223)</f>
        <v/>
      </c>
      <c r="I223">
        <f>IF(PNL!A223="","",IF(_CALC_PNL!E223=1,H223-G223,""))</f>
        <v/>
      </c>
    </row>
    <row r="224">
      <c r="A224" s="1" t="inlineStr">
        <is>
          <t>PIGIER_BOR</t>
        </is>
      </c>
      <c r="B224" s="1" t="inlineStr">
        <is>
          <t>6063</t>
        </is>
      </c>
      <c r="C224" s="1" t="inlineStr">
        <is>
          <t>2026</t>
        </is>
      </c>
      <c r="D224" s="1" t="inlineStr">
        <is>
          <t>ACT</t>
        </is>
      </c>
      <c r="E224" s="1" t="inlineStr">
        <is>
          <t>2027BUD_V1</t>
        </is>
      </c>
      <c r="F224" s="1" t="inlineStr">
        <is>
          <t>12</t>
        </is>
      </c>
      <c r="G224" t="n">
        <v>21135</v>
      </c>
      <c r="H224">
        <f>IF(PNL!A224="","",_CALC_PNL!P224)</f>
        <v/>
      </c>
      <c r="I224">
        <f>IF(PNL!A224="","",IF(_CALC_PNL!E224=1,H224-G224,""))</f>
        <v/>
      </c>
    </row>
    <row r="225">
      <c r="A225" s="1" t="inlineStr">
        <is>
          <t>TUNON_PAR</t>
        </is>
      </c>
      <c r="B225" s="1" t="inlineStr">
        <is>
          <t>6063</t>
        </is>
      </c>
      <c r="C225" s="1" t="inlineStr">
        <is>
          <t>2026</t>
        </is>
      </c>
      <c r="D225" s="1" t="inlineStr">
        <is>
          <t>ACT</t>
        </is>
      </c>
      <c r="E225" s="1" t="inlineStr">
        <is>
          <t>2027BUD_V1</t>
        </is>
      </c>
      <c r="F225" s="1" t="inlineStr">
        <is>
          <t>12</t>
        </is>
      </c>
      <c r="G225" t="n">
        <v>20540</v>
      </c>
      <c r="H225">
        <f>IF(PNL!A225="","",_CALC_PNL!P225)</f>
        <v/>
      </c>
      <c r="I225">
        <f>IF(PNL!A225="","",IF(_CALC_PNL!E225=1,H225-G225,""))</f>
        <v/>
      </c>
    </row>
    <row r="226">
      <c r="A226" s="1" t="inlineStr">
        <is>
          <t>TUNON_LYO</t>
        </is>
      </c>
      <c r="B226" s="1" t="inlineStr">
        <is>
          <t>6063</t>
        </is>
      </c>
      <c r="C226" s="1" t="inlineStr">
        <is>
          <t>2026</t>
        </is>
      </c>
      <c r="D226" s="1" t="inlineStr">
        <is>
          <t>ACT</t>
        </is>
      </c>
      <c r="E226" s="1" t="inlineStr">
        <is>
          <t>2027BUD_V1</t>
        </is>
      </c>
      <c r="F226" s="1" t="inlineStr">
        <is>
          <t>12</t>
        </is>
      </c>
      <c r="G226" t="n">
        <v>17414</v>
      </c>
      <c r="H226">
        <f>IF(PNL!A226="","",_CALC_PNL!P226)</f>
        <v/>
      </c>
      <c r="I226">
        <f>IF(PNL!A226="","",IF(_CALC_PNL!E226=1,H226-G226,""))</f>
        <v/>
      </c>
    </row>
    <row r="227">
      <c r="A227" s="1" t="inlineStr">
        <is>
          <t>MBWAY_PAR</t>
        </is>
      </c>
      <c r="B227" s="1" t="inlineStr">
        <is>
          <t>6231</t>
        </is>
      </c>
      <c r="C227" s="1" t="inlineStr">
        <is>
          <t>2024</t>
        </is>
      </c>
      <c r="D227" s="1" t="inlineStr">
        <is>
          <t>ACT</t>
        </is>
      </c>
      <c r="E227" s="1" t="inlineStr">
        <is>
          <t>2027BUD_V1</t>
        </is>
      </c>
      <c r="F227" s="1" t="inlineStr">
        <is>
          <t>12</t>
        </is>
      </c>
      <c r="G227" t="n">
        <v>56438</v>
      </c>
      <c r="H227">
        <f>IF(PNL!A227="","",_CALC_PNL!P227)</f>
        <v/>
      </c>
      <c r="I227">
        <f>IF(PNL!A227="","",IF(_CALC_PNL!E227=1,H227-G227,""))</f>
        <v/>
      </c>
    </row>
    <row r="228">
      <c r="A228" s="1" t="inlineStr">
        <is>
          <t>MBWAY_LYO</t>
        </is>
      </c>
      <c r="B228" s="1" t="inlineStr">
        <is>
          <t>6231</t>
        </is>
      </c>
      <c r="C228" s="1" t="inlineStr">
        <is>
          <t>2024</t>
        </is>
      </c>
      <c r="D228" s="1" t="inlineStr">
        <is>
          <t>ACT</t>
        </is>
      </c>
      <c r="E228" s="1" t="inlineStr">
        <is>
          <t>2027BUD_V1</t>
        </is>
      </c>
      <c r="F228" s="1" t="inlineStr">
        <is>
          <t>12</t>
        </is>
      </c>
      <c r="G228" t="n">
        <v>34532</v>
      </c>
      <c r="H228">
        <f>IF(PNL!A228="","",_CALC_PNL!P228)</f>
        <v/>
      </c>
      <c r="I228">
        <f>IF(PNL!A228="","",IF(_CALC_PNL!E228=1,H228-G228,""))</f>
        <v/>
      </c>
    </row>
    <row r="229">
      <c r="A229" s="1" t="inlineStr">
        <is>
          <t>MBWAY_NAN</t>
        </is>
      </c>
      <c r="B229" s="1" t="inlineStr">
        <is>
          <t>6231</t>
        </is>
      </c>
      <c r="C229" s="1" t="inlineStr">
        <is>
          <t>2024</t>
        </is>
      </c>
      <c r="D229" s="1" t="inlineStr">
        <is>
          <t>ACT</t>
        </is>
      </c>
      <c r="E229" s="1" t="inlineStr">
        <is>
          <t>2027BUD_V1</t>
        </is>
      </c>
      <c r="F229" s="1" t="inlineStr">
        <is>
          <t>12</t>
        </is>
      </c>
      <c r="G229" t="n">
        <v>26060</v>
      </c>
      <c r="H229">
        <f>IF(PNL!A229="","",_CALC_PNL!P229)</f>
        <v/>
      </c>
      <c r="I229">
        <f>IF(PNL!A229="","",IF(_CALC_PNL!E229=1,H229-G229,""))</f>
        <v/>
      </c>
    </row>
    <row r="230">
      <c r="A230" s="1" t="inlineStr">
        <is>
          <t>MBWAY_BOR</t>
        </is>
      </c>
      <c r="B230" s="1" t="inlineStr">
        <is>
          <t>6231</t>
        </is>
      </c>
      <c r="C230" s="1" t="inlineStr">
        <is>
          <t>2024</t>
        </is>
      </c>
      <c r="D230" s="1" t="inlineStr">
        <is>
          <t>ACT</t>
        </is>
      </c>
      <c r="E230" s="1" t="inlineStr">
        <is>
          <t>2027BUD_V1</t>
        </is>
      </c>
      <c r="F230" s="1" t="inlineStr">
        <is>
          <t>12</t>
        </is>
      </c>
      <c r="G230" t="n">
        <v>20597</v>
      </c>
      <c r="H230">
        <f>IF(PNL!A230="","",_CALC_PNL!P230)</f>
        <v/>
      </c>
      <c r="I230">
        <f>IF(PNL!A230="","",IF(_CALC_PNL!E230=1,H230-G230,""))</f>
        <v/>
      </c>
    </row>
    <row r="231">
      <c r="A231" s="1" t="inlineStr">
        <is>
          <t>ISCOM_PAR</t>
        </is>
      </c>
      <c r="B231" s="1" t="inlineStr">
        <is>
          <t>6231</t>
        </is>
      </c>
      <c r="C231" s="1" t="inlineStr">
        <is>
          <t>2024</t>
        </is>
      </c>
      <c r="D231" s="1" t="inlineStr">
        <is>
          <t>ACT</t>
        </is>
      </c>
      <c r="E231" s="1" t="inlineStr">
        <is>
          <t>2027BUD_V1</t>
        </is>
      </c>
      <c r="F231" s="1" t="inlineStr">
        <is>
          <t>12</t>
        </is>
      </c>
      <c r="G231" t="n">
        <v>50248</v>
      </c>
      <c r="H231">
        <f>IF(PNL!A231="","",_CALC_PNL!P231)</f>
        <v/>
      </c>
      <c r="I231">
        <f>IF(PNL!A231="","",IF(_CALC_PNL!E231=1,H231-G231,""))</f>
        <v/>
      </c>
    </row>
    <row r="232">
      <c r="A232" s="1" t="inlineStr">
        <is>
          <t>ISCOM_LIL</t>
        </is>
      </c>
      <c r="B232" s="1" t="inlineStr">
        <is>
          <t>6231</t>
        </is>
      </c>
      <c r="C232" s="1" t="inlineStr">
        <is>
          <t>2024</t>
        </is>
      </c>
      <c r="D232" s="1" t="inlineStr">
        <is>
          <t>ACT</t>
        </is>
      </c>
      <c r="E232" s="1" t="inlineStr">
        <is>
          <t>2027BUD_V1</t>
        </is>
      </c>
      <c r="F232" s="1" t="inlineStr">
        <is>
          <t>12</t>
        </is>
      </c>
      <c r="G232" t="n">
        <v>20843</v>
      </c>
      <c r="H232">
        <f>IF(PNL!A232="","",_CALC_PNL!P232)</f>
        <v/>
      </c>
      <c r="I232">
        <f>IF(PNL!A232="","",IF(_CALC_PNL!E232=1,H232-G232,""))</f>
        <v/>
      </c>
    </row>
    <row r="233">
      <c r="A233" s="1" t="inlineStr">
        <is>
          <t>ISCOM_TLS</t>
        </is>
      </c>
      <c r="B233" s="1" t="inlineStr">
        <is>
          <t>6231</t>
        </is>
      </c>
      <c r="C233" s="1" t="inlineStr">
        <is>
          <t>2024</t>
        </is>
      </c>
      <c r="D233" s="1" t="inlineStr">
        <is>
          <t>ACT</t>
        </is>
      </c>
      <c r="E233" s="1" t="inlineStr">
        <is>
          <t>2027BUD_V1</t>
        </is>
      </c>
      <c r="F233" s="1" t="inlineStr">
        <is>
          <t>12</t>
        </is>
      </c>
      <c r="G233" t="n">
        <v>18251</v>
      </c>
      <c r="H233">
        <f>IF(PNL!A233="","",_CALC_PNL!P233)</f>
        <v/>
      </c>
      <c r="I233">
        <f>IF(PNL!A233="","",IF(_CALC_PNL!E233=1,H233-G233,""))</f>
        <v/>
      </c>
    </row>
    <row r="234">
      <c r="A234" s="1" t="inlineStr">
        <is>
          <t>IPAC_NAN</t>
        </is>
      </c>
      <c r="B234" s="1" t="inlineStr">
        <is>
          <t>6231</t>
        </is>
      </c>
      <c r="C234" s="1" t="inlineStr">
        <is>
          <t>2024</t>
        </is>
      </c>
      <c r="D234" s="1" t="inlineStr">
        <is>
          <t>ACT</t>
        </is>
      </c>
      <c r="E234" s="1" t="inlineStr">
        <is>
          <t>2027BUD_V1</t>
        </is>
      </c>
      <c r="F234" s="1" t="inlineStr">
        <is>
          <t>12</t>
        </is>
      </c>
      <c r="G234" t="n">
        <v>17983</v>
      </c>
      <c r="H234">
        <f>IF(PNL!A234="","",_CALC_PNL!P234)</f>
        <v/>
      </c>
      <c r="I234">
        <f>IF(PNL!A234="","",IF(_CALC_PNL!E234=1,H234-G234,""))</f>
        <v/>
      </c>
    </row>
    <row r="235">
      <c r="A235" s="1" t="inlineStr">
        <is>
          <t>IPAC_REN</t>
        </is>
      </c>
      <c r="B235" s="1" t="inlineStr">
        <is>
          <t>6231</t>
        </is>
      </c>
      <c r="C235" s="1" t="inlineStr">
        <is>
          <t>2024</t>
        </is>
      </c>
      <c r="D235" s="1" t="inlineStr">
        <is>
          <t>ACT</t>
        </is>
      </c>
      <c r="E235" s="1" t="inlineStr">
        <is>
          <t>2027BUD_V1</t>
        </is>
      </c>
      <c r="F235" s="1" t="inlineStr">
        <is>
          <t>12</t>
        </is>
      </c>
      <c r="G235" t="n">
        <v>12341</v>
      </c>
      <c r="H235">
        <f>IF(PNL!A235="","",_CALC_PNL!P235)</f>
        <v/>
      </c>
      <c r="I235">
        <f>IF(PNL!A235="","",IF(_CALC_PNL!E235=1,H235-G235,""))</f>
        <v/>
      </c>
    </row>
    <row r="236">
      <c r="A236" s="1" t="inlineStr">
        <is>
          <t>IPAC_MTP</t>
        </is>
      </c>
      <c r="B236" s="1" t="inlineStr">
        <is>
          <t>6231</t>
        </is>
      </c>
      <c r="C236" s="1" t="inlineStr">
        <is>
          <t>2024</t>
        </is>
      </c>
      <c r="D236" s="1" t="inlineStr">
        <is>
          <t>ACT</t>
        </is>
      </c>
      <c r="E236" s="1" t="inlineStr">
        <is>
          <t>2027BUD_V1</t>
        </is>
      </c>
      <c r="F236" s="1" t="inlineStr">
        <is>
          <t>12</t>
        </is>
      </c>
      <c r="G236" t="n">
        <v>12543</v>
      </c>
      <c r="H236">
        <f>IF(PNL!A236="","",_CALC_PNL!P236)</f>
        <v/>
      </c>
      <c r="I236">
        <f>IF(PNL!A236="","",IF(_CALC_PNL!E236=1,H236-G236,""))</f>
        <v/>
      </c>
    </row>
    <row r="237">
      <c r="A237" s="1" t="inlineStr">
        <is>
          <t>PIGIER_LYO</t>
        </is>
      </c>
      <c r="B237" s="1" t="inlineStr">
        <is>
          <t>6231</t>
        </is>
      </c>
      <c r="C237" s="1" t="inlineStr">
        <is>
          <t>2024</t>
        </is>
      </c>
      <c r="D237" s="1" t="inlineStr">
        <is>
          <t>ACT</t>
        </is>
      </c>
      <c r="E237" s="1" t="inlineStr">
        <is>
          <t>2027BUD_V1</t>
        </is>
      </c>
      <c r="F237" s="1" t="inlineStr">
        <is>
          <t>12</t>
        </is>
      </c>
      <c r="G237" t="n">
        <v>30258</v>
      </c>
      <c r="H237">
        <f>IF(PNL!A237="","",_CALC_PNL!P237)</f>
        <v/>
      </c>
      <c r="I237">
        <f>IF(PNL!A237="","",IF(_CALC_PNL!E237=1,H237-G237,""))</f>
        <v/>
      </c>
    </row>
    <row r="238">
      <c r="A238" s="1" t="inlineStr">
        <is>
          <t>PIGIER_BOR</t>
        </is>
      </c>
      <c r="B238" s="1" t="inlineStr">
        <is>
          <t>6231</t>
        </is>
      </c>
      <c r="C238" s="1" t="inlineStr">
        <is>
          <t>2024</t>
        </is>
      </c>
      <c r="D238" s="1" t="inlineStr">
        <is>
          <t>ACT</t>
        </is>
      </c>
      <c r="E238" s="1" t="inlineStr">
        <is>
          <t>2027BUD_V1</t>
        </is>
      </c>
      <c r="F238" s="1" t="inlineStr">
        <is>
          <t>12</t>
        </is>
      </c>
      <c r="G238" t="n">
        <v>18155</v>
      </c>
      <c r="H238">
        <f>IF(PNL!A238="","",_CALC_PNL!P238)</f>
        <v/>
      </c>
      <c r="I238">
        <f>IF(PNL!A238="","",IF(_CALC_PNL!E238=1,H238-G238,""))</f>
        <v/>
      </c>
    </row>
    <row r="239">
      <c r="A239" s="1" t="inlineStr">
        <is>
          <t>TUNON_PAR</t>
        </is>
      </c>
      <c r="B239" s="1" t="inlineStr">
        <is>
          <t>6231</t>
        </is>
      </c>
      <c r="C239" s="1" t="inlineStr">
        <is>
          <t>2024</t>
        </is>
      </c>
      <c r="D239" s="1" t="inlineStr">
        <is>
          <t>ACT</t>
        </is>
      </c>
      <c r="E239" s="1" t="inlineStr">
        <is>
          <t>2027BUD_V1</t>
        </is>
      </c>
      <c r="F239" s="1" t="inlineStr">
        <is>
          <t>12</t>
        </is>
      </c>
      <c r="G239" t="n">
        <v>24992</v>
      </c>
      <c r="H239">
        <f>IF(PNL!A239="","",_CALC_PNL!P239)</f>
        <v/>
      </c>
      <c r="I239">
        <f>IF(PNL!A239="","",IF(_CALC_PNL!E239=1,H239-G239,""))</f>
        <v/>
      </c>
    </row>
    <row r="240">
      <c r="A240" s="1" t="inlineStr">
        <is>
          <t>TUNON_LYO</t>
        </is>
      </c>
      <c r="B240" s="1" t="inlineStr">
        <is>
          <t>6231</t>
        </is>
      </c>
      <c r="C240" s="1" t="inlineStr">
        <is>
          <t>2024</t>
        </is>
      </c>
      <c r="D240" s="1" t="inlineStr">
        <is>
          <t>ACT</t>
        </is>
      </c>
      <c r="E240" s="1" t="inlineStr">
        <is>
          <t>2027BUD_V1</t>
        </is>
      </c>
      <c r="F240" s="1" t="inlineStr">
        <is>
          <t>12</t>
        </is>
      </c>
      <c r="G240" t="n">
        <v>15578</v>
      </c>
      <c r="H240">
        <f>IF(PNL!A240="","",_CALC_PNL!P240)</f>
        <v/>
      </c>
      <c r="I240">
        <f>IF(PNL!A240="","",IF(_CALC_PNL!E240=1,H240-G240,""))</f>
        <v/>
      </c>
    </row>
    <row r="241">
      <c r="A241" s="1" t="inlineStr">
        <is>
          <t>MBWAY_PAR</t>
        </is>
      </c>
      <c r="B241" s="1" t="inlineStr">
        <is>
          <t>6231</t>
        </is>
      </c>
      <c r="C241" s="1" t="inlineStr">
        <is>
          <t>2025</t>
        </is>
      </c>
      <c r="D241" s="1" t="inlineStr">
        <is>
          <t>ACT</t>
        </is>
      </c>
      <c r="E241" s="1" t="inlineStr">
        <is>
          <t>2027BUD_V1</t>
        </is>
      </c>
      <c r="F241" s="1" t="inlineStr">
        <is>
          <t>12</t>
        </is>
      </c>
      <c r="G241" t="n">
        <v>62082</v>
      </c>
      <c r="H241">
        <f>IF(PNL!A241="","",_CALC_PNL!P241)</f>
        <v/>
      </c>
      <c r="I241">
        <f>IF(PNL!A241="","",IF(_CALC_PNL!E241=1,H241-G241,""))</f>
        <v/>
      </c>
    </row>
    <row r="242">
      <c r="A242" s="1" t="inlineStr">
        <is>
          <t>MBWAY_LYO</t>
        </is>
      </c>
      <c r="B242" s="1" t="inlineStr">
        <is>
          <t>6231</t>
        </is>
      </c>
      <c r="C242" s="1" t="inlineStr">
        <is>
          <t>2025</t>
        </is>
      </c>
      <c r="D242" s="1" t="inlineStr">
        <is>
          <t>ACT</t>
        </is>
      </c>
      <c r="E242" s="1" t="inlineStr">
        <is>
          <t>2027BUD_V1</t>
        </is>
      </c>
      <c r="F242" s="1" t="inlineStr">
        <is>
          <t>12</t>
        </is>
      </c>
      <c r="G242" t="n">
        <v>37985</v>
      </c>
      <c r="H242">
        <f>IF(PNL!A242="","",_CALC_PNL!P242)</f>
        <v/>
      </c>
      <c r="I242">
        <f>IF(PNL!A242="","",IF(_CALC_PNL!E242=1,H242-G242,""))</f>
        <v/>
      </c>
    </row>
    <row r="243">
      <c r="A243" s="1" t="inlineStr">
        <is>
          <t>MBWAY_NAN</t>
        </is>
      </c>
      <c r="B243" s="1" t="inlineStr">
        <is>
          <t>6231</t>
        </is>
      </c>
      <c r="C243" s="1" t="inlineStr">
        <is>
          <t>2025</t>
        </is>
      </c>
      <c r="D243" s="1" t="inlineStr">
        <is>
          <t>ACT</t>
        </is>
      </c>
      <c r="E243" s="1" t="inlineStr">
        <is>
          <t>2027BUD_V1</t>
        </is>
      </c>
      <c r="F243" s="1" t="inlineStr">
        <is>
          <t>12</t>
        </is>
      </c>
      <c r="G243" t="n">
        <v>28666</v>
      </c>
      <c r="H243">
        <f>IF(PNL!A243="","",_CALC_PNL!P243)</f>
        <v/>
      </c>
      <c r="I243">
        <f>IF(PNL!A243="","",IF(_CALC_PNL!E243=1,H243-G243,""))</f>
        <v/>
      </c>
    </row>
    <row r="244">
      <c r="A244" s="1" t="inlineStr">
        <is>
          <t>MBWAY_BOR</t>
        </is>
      </c>
      <c r="B244" s="1" t="inlineStr">
        <is>
          <t>6231</t>
        </is>
      </c>
      <c r="C244" s="1" t="inlineStr">
        <is>
          <t>2025</t>
        </is>
      </c>
      <c r="D244" s="1" t="inlineStr">
        <is>
          <t>ACT</t>
        </is>
      </c>
      <c r="E244" s="1" t="inlineStr">
        <is>
          <t>2027BUD_V1</t>
        </is>
      </c>
      <c r="F244" s="1" t="inlineStr">
        <is>
          <t>12</t>
        </is>
      </c>
      <c r="G244" t="n">
        <v>22657</v>
      </c>
      <c r="H244">
        <f>IF(PNL!A244="","",_CALC_PNL!P244)</f>
        <v/>
      </c>
      <c r="I244">
        <f>IF(PNL!A244="","",IF(_CALC_PNL!E244=1,H244-G244,""))</f>
        <v/>
      </c>
    </row>
    <row r="245">
      <c r="A245" s="1" t="inlineStr">
        <is>
          <t>ISCOM_PAR</t>
        </is>
      </c>
      <c r="B245" s="1" t="inlineStr">
        <is>
          <t>6231</t>
        </is>
      </c>
      <c r="C245" s="1" t="inlineStr">
        <is>
          <t>2025</t>
        </is>
      </c>
      <c r="D245" s="1" t="inlineStr">
        <is>
          <t>ACT</t>
        </is>
      </c>
      <c r="E245" s="1" t="inlineStr">
        <is>
          <t>2027BUD_V1</t>
        </is>
      </c>
      <c r="F245" s="1" t="inlineStr">
        <is>
          <t>12</t>
        </is>
      </c>
      <c r="G245" t="n">
        <v>55272</v>
      </c>
      <c r="H245">
        <f>IF(PNL!A245="","",_CALC_PNL!P245)</f>
        <v/>
      </c>
      <c r="I245">
        <f>IF(PNL!A245="","",IF(_CALC_PNL!E245=1,H245-G245,""))</f>
        <v/>
      </c>
    </row>
    <row r="246">
      <c r="A246" s="1" t="inlineStr">
        <is>
          <t>ISCOM_LIL</t>
        </is>
      </c>
      <c r="B246" s="1" t="inlineStr">
        <is>
          <t>6231</t>
        </is>
      </c>
      <c r="C246" s="1" t="inlineStr">
        <is>
          <t>2025</t>
        </is>
      </c>
      <c r="D246" s="1" t="inlineStr">
        <is>
          <t>ACT</t>
        </is>
      </c>
      <c r="E246" s="1" t="inlineStr">
        <is>
          <t>2027BUD_V1</t>
        </is>
      </c>
      <c r="F246" s="1" t="inlineStr">
        <is>
          <t>12</t>
        </is>
      </c>
      <c r="G246" t="n">
        <v>22927</v>
      </c>
      <c r="H246">
        <f>IF(PNL!A246="","",_CALC_PNL!P246)</f>
        <v/>
      </c>
      <c r="I246">
        <f>IF(PNL!A246="","",IF(_CALC_PNL!E246=1,H246-G246,""))</f>
        <v/>
      </c>
    </row>
    <row r="247">
      <c r="A247" s="1" t="inlineStr">
        <is>
          <t>ISCOM_TLS</t>
        </is>
      </c>
      <c r="B247" s="1" t="inlineStr">
        <is>
          <t>6231</t>
        </is>
      </c>
      <c r="C247" s="1" t="inlineStr">
        <is>
          <t>2025</t>
        </is>
      </c>
      <c r="D247" s="1" t="inlineStr">
        <is>
          <t>ACT</t>
        </is>
      </c>
      <c r="E247" s="1" t="inlineStr">
        <is>
          <t>2027BUD_V1</t>
        </is>
      </c>
      <c r="F247" s="1" t="inlineStr">
        <is>
          <t>12</t>
        </is>
      </c>
      <c r="G247" t="n">
        <v>20076</v>
      </c>
      <c r="H247">
        <f>IF(PNL!A247="","",_CALC_PNL!P247)</f>
        <v/>
      </c>
      <c r="I247">
        <f>IF(PNL!A247="","",IF(_CALC_PNL!E247=1,H247-G247,""))</f>
        <v/>
      </c>
    </row>
    <row r="248">
      <c r="A248" s="1" t="inlineStr">
        <is>
          <t>IPAC_NAN</t>
        </is>
      </c>
      <c r="B248" s="1" t="inlineStr">
        <is>
          <t>6231</t>
        </is>
      </c>
      <c r="C248" s="1" t="inlineStr">
        <is>
          <t>2025</t>
        </is>
      </c>
      <c r="D248" s="1" t="inlineStr">
        <is>
          <t>ACT</t>
        </is>
      </c>
      <c r="E248" s="1" t="inlineStr">
        <is>
          <t>2027BUD_V1</t>
        </is>
      </c>
      <c r="F248" s="1" t="inlineStr">
        <is>
          <t>12</t>
        </is>
      </c>
      <c r="G248" t="n">
        <v>19782</v>
      </c>
      <c r="H248">
        <f>IF(PNL!A248="","",_CALC_PNL!P248)</f>
        <v/>
      </c>
      <c r="I248">
        <f>IF(PNL!A248="","",IF(_CALC_PNL!E248=1,H248-G248,""))</f>
        <v/>
      </c>
    </row>
    <row r="249">
      <c r="A249" s="1" t="inlineStr">
        <is>
          <t>IPAC_REN</t>
        </is>
      </c>
      <c r="B249" s="1" t="inlineStr">
        <is>
          <t>6231</t>
        </is>
      </c>
      <c r="C249" s="1" t="inlineStr">
        <is>
          <t>2025</t>
        </is>
      </c>
      <c r="D249" s="1" t="inlineStr">
        <is>
          <t>ACT</t>
        </is>
      </c>
      <c r="E249" s="1" t="inlineStr">
        <is>
          <t>2027BUD_V1</t>
        </is>
      </c>
      <c r="F249" s="1" t="inlineStr">
        <is>
          <t>12</t>
        </is>
      </c>
      <c r="G249" t="n">
        <v>13575</v>
      </c>
      <c r="H249">
        <f>IF(PNL!A249="","",_CALC_PNL!P249)</f>
        <v/>
      </c>
      <c r="I249">
        <f>IF(PNL!A249="","",IF(_CALC_PNL!E249=1,H249-G249,""))</f>
        <v/>
      </c>
    </row>
    <row r="250">
      <c r="A250" s="1" t="inlineStr">
        <is>
          <t>IPAC_MTP</t>
        </is>
      </c>
      <c r="B250" s="1" t="inlineStr">
        <is>
          <t>6231</t>
        </is>
      </c>
      <c r="C250" s="1" t="inlineStr">
        <is>
          <t>2025</t>
        </is>
      </c>
      <c r="D250" s="1" t="inlineStr">
        <is>
          <t>ACT</t>
        </is>
      </c>
      <c r="E250" s="1" t="inlineStr">
        <is>
          <t>2027BUD_V1</t>
        </is>
      </c>
      <c r="F250" s="1" t="inlineStr">
        <is>
          <t>12</t>
        </is>
      </c>
      <c r="G250" t="n">
        <v>13798</v>
      </c>
      <c r="H250">
        <f>IF(PNL!A250="","",_CALC_PNL!P250)</f>
        <v/>
      </c>
      <c r="I250">
        <f>IF(PNL!A250="","",IF(_CALC_PNL!E250=1,H250-G250,""))</f>
        <v/>
      </c>
    </row>
    <row r="251">
      <c r="A251" s="1" t="inlineStr">
        <is>
          <t>PIGIER_LYO</t>
        </is>
      </c>
      <c r="B251" s="1" t="inlineStr">
        <is>
          <t>6231</t>
        </is>
      </c>
      <c r="C251" s="1" t="inlineStr">
        <is>
          <t>2025</t>
        </is>
      </c>
      <c r="D251" s="1" t="inlineStr">
        <is>
          <t>ACT</t>
        </is>
      </c>
      <c r="E251" s="1" t="inlineStr">
        <is>
          <t>2027BUD_V1</t>
        </is>
      </c>
      <c r="F251" s="1" t="inlineStr">
        <is>
          <t>12</t>
        </is>
      </c>
      <c r="G251" t="n">
        <v>33284</v>
      </c>
      <c r="H251">
        <f>IF(PNL!A251="","",_CALC_PNL!P251)</f>
        <v/>
      </c>
      <c r="I251">
        <f>IF(PNL!A251="","",IF(_CALC_PNL!E251=1,H251-G251,""))</f>
        <v/>
      </c>
    </row>
    <row r="252">
      <c r="A252" s="1" t="inlineStr">
        <is>
          <t>PIGIER_BOR</t>
        </is>
      </c>
      <c r="B252" s="1" t="inlineStr">
        <is>
          <t>6231</t>
        </is>
      </c>
      <c r="C252" s="1" t="inlineStr">
        <is>
          <t>2025</t>
        </is>
      </c>
      <c r="D252" s="1" t="inlineStr">
        <is>
          <t>ACT</t>
        </is>
      </c>
      <c r="E252" s="1" t="inlineStr">
        <is>
          <t>2027BUD_V1</t>
        </is>
      </c>
      <c r="F252" s="1" t="inlineStr">
        <is>
          <t>12</t>
        </is>
      </c>
      <c r="G252" t="n">
        <v>19971</v>
      </c>
      <c r="H252">
        <f>IF(PNL!A252="","",_CALC_PNL!P252)</f>
        <v/>
      </c>
      <c r="I252">
        <f>IF(PNL!A252="","",IF(_CALC_PNL!E252=1,H252-G252,""))</f>
        <v/>
      </c>
    </row>
    <row r="253">
      <c r="A253" s="1" t="inlineStr">
        <is>
          <t>TUNON_PAR</t>
        </is>
      </c>
      <c r="B253" s="1" t="inlineStr">
        <is>
          <t>6231</t>
        </is>
      </c>
      <c r="C253" s="1" t="inlineStr">
        <is>
          <t>2025</t>
        </is>
      </c>
      <c r="D253" s="1" t="inlineStr">
        <is>
          <t>ACT</t>
        </is>
      </c>
      <c r="E253" s="1" t="inlineStr">
        <is>
          <t>2027BUD_V1</t>
        </is>
      </c>
      <c r="F253" s="1" t="inlineStr">
        <is>
          <t>12</t>
        </is>
      </c>
      <c r="G253" t="n">
        <v>27491</v>
      </c>
      <c r="H253">
        <f>IF(PNL!A253="","",_CALC_PNL!P253)</f>
        <v/>
      </c>
      <c r="I253">
        <f>IF(PNL!A253="","",IF(_CALC_PNL!E253=1,H253-G253,""))</f>
        <v/>
      </c>
    </row>
    <row r="254">
      <c r="A254" s="1" t="inlineStr">
        <is>
          <t>TUNON_LYO</t>
        </is>
      </c>
      <c r="B254" s="1" t="inlineStr">
        <is>
          <t>6231</t>
        </is>
      </c>
      <c r="C254" s="1" t="inlineStr">
        <is>
          <t>2025</t>
        </is>
      </c>
      <c r="D254" s="1" t="inlineStr">
        <is>
          <t>ACT</t>
        </is>
      </c>
      <c r="E254" s="1" t="inlineStr">
        <is>
          <t>2027BUD_V1</t>
        </is>
      </c>
      <c r="F254" s="1" t="inlineStr">
        <is>
          <t>12</t>
        </is>
      </c>
      <c r="G254" t="n">
        <v>17136</v>
      </c>
      <c r="H254">
        <f>IF(PNL!A254="","",_CALC_PNL!P254)</f>
        <v/>
      </c>
      <c r="I254">
        <f>IF(PNL!A254="","",IF(_CALC_PNL!E254=1,H254-G254,""))</f>
        <v/>
      </c>
    </row>
    <row r="255">
      <c r="A255" s="1" t="inlineStr">
        <is>
          <t>MBWAY_PAR</t>
        </is>
      </c>
      <c r="B255" s="1" t="inlineStr">
        <is>
          <t>6231</t>
        </is>
      </c>
      <c r="C255" s="1" t="inlineStr">
        <is>
          <t>2026</t>
        </is>
      </c>
      <c r="D255" s="1" t="inlineStr">
        <is>
          <t>ACT</t>
        </is>
      </c>
      <c r="E255" s="1" t="inlineStr">
        <is>
          <t>2027BUD_V1</t>
        </is>
      </c>
      <c r="F255" s="1" t="inlineStr">
        <is>
          <t>12</t>
        </is>
      </c>
      <c r="G255" t="n">
        <v>68291</v>
      </c>
      <c r="H255">
        <f>IF(PNL!A255="","",_CALC_PNL!P255)</f>
        <v/>
      </c>
      <c r="I255">
        <f>IF(PNL!A255="","",IF(_CALC_PNL!E255=1,H255-G255,""))</f>
        <v/>
      </c>
    </row>
    <row r="256">
      <c r="A256" s="1" t="inlineStr">
        <is>
          <t>MBWAY_LYO</t>
        </is>
      </c>
      <c r="B256" s="1" t="inlineStr">
        <is>
          <t>6231</t>
        </is>
      </c>
      <c r="C256" s="1" t="inlineStr">
        <is>
          <t>2026</t>
        </is>
      </c>
      <c r="D256" s="1" t="inlineStr">
        <is>
          <t>ACT</t>
        </is>
      </c>
      <c r="E256" s="1" t="inlineStr">
        <is>
          <t>2027BUD_V1</t>
        </is>
      </c>
      <c r="F256" s="1" t="inlineStr">
        <is>
          <t>12</t>
        </is>
      </c>
      <c r="G256" t="n">
        <v>41783</v>
      </c>
      <c r="H256">
        <f>IF(PNL!A256="","",_CALC_PNL!P256)</f>
        <v/>
      </c>
      <c r="I256">
        <f>IF(PNL!A256="","",IF(_CALC_PNL!E256=1,H256-G256,""))</f>
        <v/>
      </c>
    </row>
    <row r="257">
      <c r="A257" s="1" t="inlineStr">
        <is>
          <t>MBWAY_NAN</t>
        </is>
      </c>
      <c r="B257" s="1" t="inlineStr">
        <is>
          <t>6231</t>
        </is>
      </c>
      <c r="C257" s="1" t="inlineStr">
        <is>
          <t>2026</t>
        </is>
      </c>
      <c r="D257" s="1" t="inlineStr">
        <is>
          <t>ACT</t>
        </is>
      </c>
      <c r="E257" s="1" t="inlineStr">
        <is>
          <t>2027BUD_V1</t>
        </is>
      </c>
      <c r="F257" s="1" t="inlineStr">
        <is>
          <t>12</t>
        </is>
      </c>
      <c r="G257" t="n">
        <v>31533</v>
      </c>
      <c r="H257">
        <f>IF(PNL!A257="","",_CALC_PNL!P257)</f>
        <v/>
      </c>
      <c r="I257">
        <f>IF(PNL!A257="","",IF(_CALC_PNL!E257=1,H257-G257,""))</f>
        <v/>
      </c>
    </row>
    <row r="258">
      <c r="A258" s="1" t="inlineStr">
        <is>
          <t>MBWAY_BOR</t>
        </is>
      </c>
      <c r="B258" s="1" t="inlineStr">
        <is>
          <t>6231</t>
        </is>
      </c>
      <c r="C258" s="1" t="inlineStr">
        <is>
          <t>2026</t>
        </is>
      </c>
      <c r="D258" s="1" t="inlineStr">
        <is>
          <t>ACT</t>
        </is>
      </c>
      <c r="E258" s="1" t="inlineStr">
        <is>
          <t>2027BUD_V1</t>
        </is>
      </c>
      <c r="F258" s="1" t="inlineStr">
        <is>
          <t>12</t>
        </is>
      </c>
      <c r="G258" t="n">
        <v>24923</v>
      </c>
      <c r="H258">
        <f>IF(PNL!A258="","",_CALC_PNL!P258)</f>
        <v/>
      </c>
      <c r="I258">
        <f>IF(PNL!A258="","",IF(_CALC_PNL!E258=1,H258-G258,""))</f>
        <v/>
      </c>
    </row>
    <row r="259">
      <c r="A259" s="1" t="inlineStr">
        <is>
          <t>ISCOM_PAR</t>
        </is>
      </c>
      <c r="B259" s="1" t="inlineStr">
        <is>
          <t>6231</t>
        </is>
      </c>
      <c r="C259" s="1" t="inlineStr">
        <is>
          <t>2026</t>
        </is>
      </c>
      <c r="D259" s="1" t="inlineStr">
        <is>
          <t>ACT</t>
        </is>
      </c>
      <c r="E259" s="1" t="inlineStr">
        <is>
          <t>2027BUD_V1</t>
        </is>
      </c>
      <c r="F259" s="1" t="inlineStr">
        <is>
          <t>12</t>
        </is>
      </c>
      <c r="G259" t="n">
        <v>60800</v>
      </c>
      <c r="H259">
        <f>IF(PNL!A259="","",_CALC_PNL!P259)</f>
        <v/>
      </c>
      <c r="I259">
        <f>IF(PNL!A259="","",IF(_CALC_PNL!E259=1,H259-G259,""))</f>
        <v/>
      </c>
    </row>
    <row r="260">
      <c r="A260" s="1" t="inlineStr">
        <is>
          <t>ISCOM_LIL</t>
        </is>
      </c>
      <c r="B260" s="1" t="inlineStr">
        <is>
          <t>6231</t>
        </is>
      </c>
      <c r="C260" s="1" t="inlineStr">
        <is>
          <t>2026</t>
        </is>
      </c>
      <c r="D260" s="1" t="inlineStr">
        <is>
          <t>ACT</t>
        </is>
      </c>
      <c r="E260" s="1" t="inlineStr">
        <is>
          <t>2027BUD_V1</t>
        </is>
      </c>
      <c r="F260" s="1" t="inlineStr">
        <is>
          <t>12</t>
        </is>
      </c>
      <c r="G260" t="n">
        <v>25220</v>
      </c>
      <c r="H260">
        <f>IF(PNL!A260="","",_CALC_PNL!P260)</f>
        <v/>
      </c>
      <c r="I260">
        <f>IF(PNL!A260="","",IF(_CALC_PNL!E260=1,H260-G260,""))</f>
        <v/>
      </c>
    </row>
    <row r="261">
      <c r="A261" s="1" t="inlineStr">
        <is>
          <t>ISCOM_TLS</t>
        </is>
      </c>
      <c r="B261" s="1" t="inlineStr">
        <is>
          <t>6231</t>
        </is>
      </c>
      <c r="C261" s="1" t="inlineStr">
        <is>
          <t>2026</t>
        </is>
      </c>
      <c r="D261" s="1" t="inlineStr">
        <is>
          <t>ACT</t>
        </is>
      </c>
      <c r="E261" s="1" t="inlineStr">
        <is>
          <t>2027BUD_V1</t>
        </is>
      </c>
      <c r="F261" s="1" t="inlineStr">
        <is>
          <t>12</t>
        </is>
      </c>
      <c r="G261" t="n">
        <v>22083</v>
      </c>
      <c r="H261">
        <f>IF(PNL!A261="","",_CALC_PNL!P261)</f>
        <v/>
      </c>
      <c r="I261">
        <f>IF(PNL!A261="","",IF(_CALC_PNL!E261=1,H261-G261,""))</f>
        <v/>
      </c>
    </row>
    <row r="262">
      <c r="A262" s="1" t="inlineStr">
        <is>
          <t>IPAC_NAN</t>
        </is>
      </c>
      <c r="B262" s="1" t="inlineStr">
        <is>
          <t>6231</t>
        </is>
      </c>
      <c r="C262" s="1" t="inlineStr">
        <is>
          <t>2026</t>
        </is>
      </c>
      <c r="D262" s="1" t="inlineStr">
        <is>
          <t>ACT</t>
        </is>
      </c>
      <c r="E262" s="1" t="inlineStr">
        <is>
          <t>2027BUD_V1</t>
        </is>
      </c>
      <c r="F262" s="1" t="inlineStr">
        <is>
          <t>12</t>
        </is>
      </c>
      <c r="G262" t="n">
        <v>21760</v>
      </c>
      <c r="H262">
        <f>IF(PNL!A262="","",_CALC_PNL!P262)</f>
        <v/>
      </c>
      <c r="I262">
        <f>IF(PNL!A262="","",IF(_CALC_PNL!E262=1,H262-G262,""))</f>
        <v/>
      </c>
    </row>
    <row r="263">
      <c r="A263" s="1" t="inlineStr">
        <is>
          <t>IPAC_REN</t>
        </is>
      </c>
      <c r="B263" s="1" t="inlineStr">
        <is>
          <t>6231</t>
        </is>
      </c>
      <c r="C263" s="1" t="inlineStr">
        <is>
          <t>2026</t>
        </is>
      </c>
      <c r="D263" s="1" t="inlineStr">
        <is>
          <t>ACT</t>
        </is>
      </c>
      <c r="E263" s="1" t="inlineStr">
        <is>
          <t>2027BUD_V1</t>
        </is>
      </c>
      <c r="F263" s="1" t="inlineStr">
        <is>
          <t>12</t>
        </is>
      </c>
      <c r="G263" t="n">
        <v>14933</v>
      </c>
      <c r="H263">
        <f>IF(PNL!A263="","",_CALC_PNL!P263)</f>
        <v/>
      </c>
      <c r="I263">
        <f>IF(PNL!A263="","",IF(_CALC_PNL!E263=1,H263-G263,""))</f>
        <v/>
      </c>
    </row>
    <row r="264">
      <c r="A264" s="1" t="inlineStr">
        <is>
          <t>IPAC_MTP</t>
        </is>
      </c>
      <c r="B264" s="1" t="inlineStr">
        <is>
          <t>6231</t>
        </is>
      </c>
      <c r="C264" s="1" t="inlineStr">
        <is>
          <t>2026</t>
        </is>
      </c>
      <c r="D264" s="1" t="inlineStr">
        <is>
          <t>ACT</t>
        </is>
      </c>
      <c r="E264" s="1" t="inlineStr">
        <is>
          <t>2027BUD_V1</t>
        </is>
      </c>
      <c r="F264" s="1" t="inlineStr">
        <is>
          <t>12</t>
        </is>
      </c>
      <c r="G264" t="n">
        <v>15178</v>
      </c>
      <c r="H264">
        <f>IF(PNL!A264="","",_CALC_PNL!P264)</f>
        <v/>
      </c>
      <c r="I264">
        <f>IF(PNL!A264="","",IF(_CALC_PNL!E264=1,H264-G264,""))</f>
        <v/>
      </c>
    </row>
    <row r="265">
      <c r="A265" s="1" t="inlineStr">
        <is>
          <t>PIGIER_LYO</t>
        </is>
      </c>
      <c r="B265" s="1" t="inlineStr">
        <is>
          <t>6231</t>
        </is>
      </c>
      <c r="C265" s="1" t="inlineStr">
        <is>
          <t>2026</t>
        </is>
      </c>
      <c r="D265" s="1" t="inlineStr">
        <is>
          <t>ACT</t>
        </is>
      </c>
      <c r="E265" s="1" t="inlineStr">
        <is>
          <t>2027BUD_V1</t>
        </is>
      </c>
      <c r="F265" s="1" t="inlineStr">
        <is>
          <t>12</t>
        </is>
      </c>
      <c r="G265" t="n">
        <v>36612</v>
      </c>
      <c r="H265">
        <f>IF(PNL!A265="","",_CALC_PNL!P265)</f>
        <v/>
      </c>
      <c r="I265">
        <f>IF(PNL!A265="","",IF(_CALC_PNL!E265=1,H265-G265,""))</f>
        <v/>
      </c>
    </row>
    <row r="266">
      <c r="A266" s="1" t="inlineStr">
        <is>
          <t>PIGIER_BOR</t>
        </is>
      </c>
      <c r="B266" s="1" t="inlineStr">
        <is>
          <t>6231</t>
        </is>
      </c>
      <c r="C266" s="1" t="inlineStr">
        <is>
          <t>2026</t>
        </is>
      </c>
      <c r="D266" s="1" t="inlineStr">
        <is>
          <t>ACT</t>
        </is>
      </c>
      <c r="E266" s="1" t="inlineStr">
        <is>
          <t>2027BUD_V1</t>
        </is>
      </c>
      <c r="F266" s="1" t="inlineStr">
        <is>
          <t>12</t>
        </is>
      </c>
      <c r="G266" t="n">
        <v>21968</v>
      </c>
      <c r="H266">
        <f>IF(PNL!A266="","",_CALC_PNL!P266)</f>
        <v/>
      </c>
      <c r="I266">
        <f>IF(PNL!A266="","",IF(_CALC_PNL!E266=1,H266-G266,""))</f>
        <v/>
      </c>
    </row>
    <row r="267">
      <c r="A267" s="1" t="inlineStr">
        <is>
          <t>TUNON_PAR</t>
        </is>
      </c>
      <c r="B267" s="1" t="inlineStr">
        <is>
          <t>6231</t>
        </is>
      </c>
      <c r="C267" s="1" t="inlineStr">
        <is>
          <t>2026</t>
        </is>
      </c>
      <c r="D267" s="1" t="inlineStr">
        <is>
          <t>ACT</t>
        </is>
      </c>
      <c r="E267" s="1" t="inlineStr">
        <is>
          <t>2027BUD_V1</t>
        </is>
      </c>
      <c r="F267" s="1" t="inlineStr">
        <is>
          <t>12</t>
        </is>
      </c>
      <c r="G267" t="n">
        <v>30240</v>
      </c>
      <c r="H267">
        <f>IF(PNL!A267="","",_CALC_PNL!P267)</f>
        <v/>
      </c>
      <c r="I267">
        <f>IF(PNL!A267="","",IF(_CALC_PNL!E267=1,H267-G267,""))</f>
        <v/>
      </c>
    </row>
    <row r="268">
      <c r="A268" s="1" t="inlineStr">
        <is>
          <t>TUNON_LYO</t>
        </is>
      </c>
      <c r="B268" s="1" t="inlineStr">
        <is>
          <t>6231</t>
        </is>
      </c>
      <c r="C268" s="1" t="inlineStr">
        <is>
          <t>2026</t>
        </is>
      </c>
      <c r="D268" s="1" t="inlineStr">
        <is>
          <t>ACT</t>
        </is>
      </c>
      <c r="E268" s="1" t="inlineStr">
        <is>
          <t>2027BUD_V1</t>
        </is>
      </c>
      <c r="F268" s="1" t="inlineStr">
        <is>
          <t>12</t>
        </is>
      </c>
      <c r="G268" t="n">
        <v>18850</v>
      </c>
      <c r="H268">
        <f>IF(PNL!A268="","",_CALC_PNL!P268)</f>
        <v/>
      </c>
      <c r="I268">
        <f>IF(PNL!A268="","",IF(_CALC_PNL!E268=1,H268-G268,""))</f>
        <v/>
      </c>
    </row>
    <row r="269">
      <c r="A269" s="1" t="inlineStr">
        <is>
          <t>MBWAY_PAR</t>
        </is>
      </c>
      <c r="B269" s="1" t="inlineStr">
        <is>
          <t>6411</t>
        </is>
      </c>
      <c r="C269" s="1" t="inlineStr">
        <is>
          <t>2024</t>
        </is>
      </c>
      <c r="D269" s="1" t="inlineStr">
        <is>
          <t>ACT</t>
        </is>
      </c>
      <c r="E269" s="1" t="inlineStr">
        <is>
          <t>2027BUD_V1</t>
        </is>
      </c>
      <c r="F269" s="1" t="inlineStr">
        <is>
          <t>12</t>
        </is>
      </c>
      <c r="G269" t="n">
        <v>552322</v>
      </c>
      <c r="H269">
        <f>IF(PNL!A269="","",_CALC_PNL!P269)</f>
        <v/>
      </c>
      <c r="I269">
        <f>IF(PNL!A269="","",IF(_CALC_PNL!E269=1,H269-G269,""))</f>
        <v/>
      </c>
    </row>
    <row r="270">
      <c r="A270" s="1" t="inlineStr">
        <is>
          <t>MBWAY_LYO</t>
        </is>
      </c>
      <c r="B270" s="1" t="inlineStr">
        <is>
          <t>6411</t>
        </is>
      </c>
      <c r="C270" s="1" t="inlineStr">
        <is>
          <t>2024</t>
        </is>
      </c>
      <c r="D270" s="1" t="inlineStr">
        <is>
          <t>ACT</t>
        </is>
      </c>
      <c r="E270" s="1" t="inlineStr">
        <is>
          <t>2027BUD_V1</t>
        </is>
      </c>
      <c r="F270" s="1" t="inlineStr">
        <is>
          <t>12</t>
        </is>
      </c>
      <c r="G270" t="n">
        <v>330938</v>
      </c>
      <c r="H270">
        <f>IF(PNL!A270="","",_CALC_PNL!P270)</f>
        <v/>
      </c>
      <c r="I270">
        <f>IF(PNL!A270="","",IF(_CALC_PNL!E270=1,H270-G270,""))</f>
        <v/>
      </c>
    </row>
    <row r="271">
      <c r="A271" s="1" t="inlineStr">
        <is>
          <t>MBWAY_NAN</t>
        </is>
      </c>
      <c r="B271" s="1" t="inlineStr">
        <is>
          <t>6411</t>
        </is>
      </c>
      <c r="C271" s="1" t="inlineStr">
        <is>
          <t>2024</t>
        </is>
      </c>
      <c r="D271" s="1" t="inlineStr">
        <is>
          <t>ACT</t>
        </is>
      </c>
      <c r="E271" s="1" t="inlineStr">
        <is>
          <t>2027BUD_V1</t>
        </is>
      </c>
      <c r="F271" s="1" t="inlineStr">
        <is>
          <t>12</t>
        </is>
      </c>
      <c r="G271" t="n">
        <v>272751</v>
      </c>
      <c r="H271">
        <f>IF(PNL!A271="","",_CALC_PNL!P271)</f>
        <v/>
      </c>
      <c r="I271">
        <f>IF(PNL!A271="","",IF(_CALC_PNL!E271=1,H271-G271,""))</f>
        <v/>
      </c>
    </row>
    <row r="272">
      <c r="A272" s="1" t="inlineStr">
        <is>
          <t>MBWAY_BOR</t>
        </is>
      </c>
      <c r="B272" s="1" t="inlineStr">
        <is>
          <t>6411</t>
        </is>
      </c>
      <c r="C272" s="1" t="inlineStr">
        <is>
          <t>2024</t>
        </is>
      </c>
      <c r="D272" s="1" t="inlineStr">
        <is>
          <t>ACT</t>
        </is>
      </c>
      <c r="E272" s="1" t="inlineStr">
        <is>
          <t>2027BUD_V1</t>
        </is>
      </c>
      <c r="F272" s="1" t="inlineStr">
        <is>
          <t>12</t>
        </is>
      </c>
      <c r="G272" t="n">
        <v>238657</v>
      </c>
      <c r="H272">
        <f>IF(PNL!A272="","",_CALC_PNL!P272)</f>
        <v/>
      </c>
      <c r="I272">
        <f>IF(PNL!A272="","",IF(_CALC_PNL!E272=1,H272-G272,""))</f>
        <v/>
      </c>
    </row>
    <row r="273">
      <c r="A273" s="1" t="inlineStr">
        <is>
          <t>ISCOM_PAR</t>
        </is>
      </c>
      <c r="B273" s="1" t="inlineStr">
        <is>
          <t>6411</t>
        </is>
      </c>
      <c r="C273" s="1" t="inlineStr">
        <is>
          <t>2024</t>
        </is>
      </c>
      <c r="D273" s="1" t="inlineStr">
        <is>
          <t>ACT</t>
        </is>
      </c>
      <c r="E273" s="1" t="inlineStr">
        <is>
          <t>2027BUD_V1</t>
        </is>
      </c>
      <c r="F273" s="1" t="inlineStr">
        <is>
          <t>12</t>
        </is>
      </c>
      <c r="G273" t="n">
        <v>552322</v>
      </c>
      <c r="H273">
        <f>IF(PNL!A273="","",_CALC_PNL!P273)</f>
        <v/>
      </c>
      <c r="I273">
        <f>IF(PNL!A273="","",IF(_CALC_PNL!E273=1,H273-G273,""))</f>
        <v/>
      </c>
    </row>
    <row r="274">
      <c r="A274" s="1" t="inlineStr">
        <is>
          <t>ISCOM_LIL</t>
        </is>
      </c>
      <c r="B274" s="1" t="inlineStr">
        <is>
          <t>6411</t>
        </is>
      </c>
      <c r="C274" s="1" t="inlineStr">
        <is>
          <t>2024</t>
        </is>
      </c>
      <c r="D274" s="1" t="inlineStr">
        <is>
          <t>ACT</t>
        </is>
      </c>
      <c r="E274" s="1" t="inlineStr">
        <is>
          <t>2027BUD_V1</t>
        </is>
      </c>
      <c r="F274" s="1" t="inlineStr">
        <is>
          <t>12</t>
        </is>
      </c>
      <c r="G274" t="n">
        <v>209109</v>
      </c>
      <c r="H274">
        <f>IF(PNL!A274="","",_CALC_PNL!P274)</f>
        <v/>
      </c>
      <c r="I274">
        <f>IF(PNL!A274="","",IF(_CALC_PNL!E274=1,H274-G274,""))</f>
        <v/>
      </c>
    </row>
    <row r="275">
      <c r="A275" s="1" t="inlineStr">
        <is>
          <t>ISCOM_TLS</t>
        </is>
      </c>
      <c r="B275" s="1" t="inlineStr">
        <is>
          <t>6411</t>
        </is>
      </c>
      <c r="C275" s="1" t="inlineStr">
        <is>
          <t>2024</t>
        </is>
      </c>
      <c r="D275" s="1" t="inlineStr">
        <is>
          <t>ACT</t>
        </is>
      </c>
      <c r="E275" s="1" t="inlineStr">
        <is>
          <t>2027BUD_V1</t>
        </is>
      </c>
      <c r="F275" s="1" t="inlineStr">
        <is>
          <t>12</t>
        </is>
      </c>
      <c r="G275" t="n">
        <v>204564</v>
      </c>
      <c r="H275">
        <f>IF(PNL!A275="","",_CALC_PNL!P275)</f>
        <v/>
      </c>
      <c r="I275">
        <f>IF(PNL!A275="","",IF(_CALC_PNL!E275=1,H275-G275,""))</f>
        <v/>
      </c>
    </row>
    <row r="276">
      <c r="A276" s="1" t="inlineStr">
        <is>
          <t>IPAC_NAN</t>
        </is>
      </c>
      <c r="B276" s="1" t="inlineStr">
        <is>
          <t>6411</t>
        </is>
      </c>
      <c r="C276" s="1" t="inlineStr">
        <is>
          <t>2024</t>
        </is>
      </c>
      <c r="D276" s="1" t="inlineStr">
        <is>
          <t>ACT</t>
        </is>
      </c>
      <c r="E276" s="1" t="inlineStr">
        <is>
          <t>2027BUD_V1</t>
        </is>
      </c>
      <c r="F276" s="1" t="inlineStr">
        <is>
          <t>12</t>
        </is>
      </c>
      <c r="G276" t="n">
        <v>136376</v>
      </c>
      <c r="H276">
        <f>IF(PNL!A276="","",_CALC_PNL!P276)</f>
        <v/>
      </c>
      <c r="I276">
        <f>IF(PNL!A276="","",IF(_CALC_PNL!E276=1,H276-G276,""))</f>
        <v/>
      </c>
    </row>
    <row r="277">
      <c r="A277" s="1" t="inlineStr">
        <is>
          <t>IPAC_REN</t>
        </is>
      </c>
      <c r="B277" s="1" t="inlineStr">
        <is>
          <t>6411</t>
        </is>
      </c>
      <c r="C277" s="1" t="inlineStr">
        <is>
          <t>2024</t>
        </is>
      </c>
      <c r="D277" s="1" t="inlineStr">
        <is>
          <t>ACT</t>
        </is>
      </c>
      <c r="E277" s="1" t="inlineStr">
        <is>
          <t>2027BUD_V1</t>
        </is>
      </c>
      <c r="F277" s="1" t="inlineStr">
        <is>
          <t>12</t>
        </is>
      </c>
      <c r="G277" t="n">
        <v>120011</v>
      </c>
      <c r="H277">
        <f>IF(PNL!A277="","",_CALC_PNL!P277)</f>
        <v/>
      </c>
      <c r="I277">
        <f>IF(PNL!A277="","",IF(_CALC_PNL!E277=1,H277-G277,""))</f>
        <v/>
      </c>
    </row>
    <row r="278">
      <c r="A278" s="1" t="inlineStr">
        <is>
          <t>IPAC_MTP</t>
        </is>
      </c>
      <c r="B278" s="1" t="inlineStr">
        <is>
          <t>6411</t>
        </is>
      </c>
      <c r="C278" s="1" t="inlineStr">
        <is>
          <t>2024</t>
        </is>
      </c>
      <c r="D278" s="1" t="inlineStr">
        <is>
          <t>ACT</t>
        </is>
      </c>
      <c r="E278" s="1" t="inlineStr">
        <is>
          <t>2027BUD_V1</t>
        </is>
      </c>
      <c r="F278" s="1" t="inlineStr">
        <is>
          <t>12</t>
        </is>
      </c>
      <c r="G278" t="n">
        <v>120011</v>
      </c>
      <c r="H278">
        <f>IF(PNL!A278="","",_CALC_PNL!P278)</f>
        <v/>
      </c>
      <c r="I278">
        <f>IF(PNL!A278="","",IF(_CALC_PNL!E278=1,H278-G278,""))</f>
        <v/>
      </c>
    </row>
    <row r="279">
      <c r="A279" s="1" t="inlineStr">
        <is>
          <t>PIGIER_LYO</t>
        </is>
      </c>
      <c r="B279" s="1" t="inlineStr">
        <is>
          <t>6411</t>
        </is>
      </c>
      <c r="C279" s="1" t="inlineStr">
        <is>
          <t>2024</t>
        </is>
      </c>
      <c r="D279" s="1" t="inlineStr">
        <is>
          <t>ACT</t>
        </is>
      </c>
      <c r="E279" s="1" t="inlineStr">
        <is>
          <t>2027BUD_V1</t>
        </is>
      </c>
      <c r="F279" s="1" t="inlineStr">
        <is>
          <t>12</t>
        </is>
      </c>
      <c r="G279" t="n">
        <v>203654</v>
      </c>
      <c r="H279">
        <f>IF(PNL!A279="","",_CALC_PNL!P279)</f>
        <v/>
      </c>
      <c r="I279">
        <f>IF(PNL!A279="","",IF(_CALC_PNL!E279=1,H279-G279,""))</f>
        <v/>
      </c>
    </row>
    <row r="280">
      <c r="A280" s="1" t="inlineStr">
        <is>
          <t>PIGIER_BOR</t>
        </is>
      </c>
      <c r="B280" s="1" t="inlineStr">
        <is>
          <t>6411</t>
        </is>
      </c>
      <c r="C280" s="1" t="inlineStr">
        <is>
          <t>2024</t>
        </is>
      </c>
      <c r="D280" s="1" t="inlineStr">
        <is>
          <t>ACT</t>
        </is>
      </c>
      <c r="E280" s="1" t="inlineStr">
        <is>
          <t>2027BUD_V1</t>
        </is>
      </c>
      <c r="F280" s="1" t="inlineStr">
        <is>
          <t>12</t>
        </is>
      </c>
      <c r="G280" t="n">
        <v>190926</v>
      </c>
      <c r="H280">
        <f>IF(PNL!A280="","",_CALC_PNL!P280)</f>
        <v/>
      </c>
      <c r="I280">
        <f>IF(PNL!A280="","",IF(_CALC_PNL!E280=1,H280-G280,""))</f>
        <v/>
      </c>
    </row>
    <row r="281">
      <c r="A281" s="1" t="inlineStr">
        <is>
          <t>TUNON_PAR</t>
        </is>
      </c>
      <c r="B281" s="1" t="inlineStr">
        <is>
          <t>6411</t>
        </is>
      </c>
      <c r="C281" s="1" t="inlineStr">
        <is>
          <t>2024</t>
        </is>
      </c>
      <c r="D281" s="1" t="inlineStr">
        <is>
          <t>ACT</t>
        </is>
      </c>
      <c r="E281" s="1" t="inlineStr">
        <is>
          <t>2027BUD_V1</t>
        </is>
      </c>
      <c r="F281" s="1" t="inlineStr">
        <is>
          <t>12</t>
        </is>
      </c>
      <c r="G281" t="n">
        <v>220929</v>
      </c>
      <c r="H281">
        <f>IF(PNL!A281="","",_CALC_PNL!P281)</f>
        <v/>
      </c>
      <c r="I281">
        <f>IF(PNL!A281="","",IF(_CALC_PNL!E281=1,H281-G281,""))</f>
        <v/>
      </c>
    </row>
    <row r="282">
      <c r="A282" s="1" t="inlineStr">
        <is>
          <t>TUNON_LYO</t>
        </is>
      </c>
      <c r="B282" s="1" t="inlineStr">
        <is>
          <t>6411</t>
        </is>
      </c>
      <c r="C282" s="1" t="inlineStr">
        <is>
          <t>2024</t>
        </is>
      </c>
      <c r="D282" s="1" t="inlineStr">
        <is>
          <t>ACT</t>
        </is>
      </c>
      <c r="E282" s="1" t="inlineStr">
        <is>
          <t>2027BUD_V1</t>
        </is>
      </c>
      <c r="F282" s="1" t="inlineStr">
        <is>
          <t>12</t>
        </is>
      </c>
      <c r="G282" t="n">
        <v>152741</v>
      </c>
      <c r="H282">
        <f>IF(PNL!A282="","",_CALC_PNL!P282)</f>
        <v/>
      </c>
      <c r="I282">
        <f>IF(PNL!A282="","",IF(_CALC_PNL!E282=1,H282-G282,""))</f>
        <v/>
      </c>
    </row>
    <row r="283">
      <c r="A283" s="1" t="inlineStr">
        <is>
          <t>MBWAY_PAR</t>
        </is>
      </c>
      <c r="B283" s="1" t="inlineStr">
        <is>
          <t>6411</t>
        </is>
      </c>
      <c r="C283" s="1" t="inlineStr">
        <is>
          <t>2025</t>
        </is>
      </c>
      <c r="D283" s="1" t="inlineStr">
        <is>
          <t>ACT</t>
        </is>
      </c>
      <c r="E283" s="1" t="inlineStr">
        <is>
          <t>2027BUD_V1</t>
        </is>
      </c>
      <c r="F283" s="1" t="inlineStr">
        <is>
          <t>12</t>
        </is>
      </c>
      <c r="G283" t="n">
        <v>577630</v>
      </c>
      <c r="H283">
        <f>IF(PNL!A283="","",_CALC_PNL!P283)</f>
        <v/>
      </c>
      <c r="I283">
        <f>IF(PNL!A283="","",IF(_CALC_PNL!E283=1,H283-G283,""))</f>
        <v/>
      </c>
    </row>
    <row r="284">
      <c r="A284" s="1" t="inlineStr">
        <is>
          <t>MBWAY_LYO</t>
        </is>
      </c>
      <c r="B284" s="1" t="inlineStr">
        <is>
          <t>6411</t>
        </is>
      </c>
      <c r="C284" s="1" t="inlineStr">
        <is>
          <t>2025</t>
        </is>
      </c>
      <c r="D284" s="1" t="inlineStr">
        <is>
          <t>ACT</t>
        </is>
      </c>
      <c r="E284" s="1" t="inlineStr">
        <is>
          <t>2027BUD_V1</t>
        </is>
      </c>
      <c r="F284" s="1" t="inlineStr">
        <is>
          <t>12</t>
        </is>
      </c>
      <c r="G284" t="n">
        <v>346103</v>
      </c>
      <c r="H284">
        <f>IF(PNL!A284="","",_CALC_PNL!P284)</f>
        <v/>
      </c>
      <c r="I284">
        <f>IF(PNL!A284="","",IF(_CALC_PNL!E284=1,H284-G284,""))</f>
        <v/>
      </c>
    </row>
    <row r="285">
      <c r="A285" s="1" t="inlineStr">
        <is>
          <t>MBWAY_NAN</t>
        </is>
      </c>
      <c r="B285" s="1" t="inlineStr">
        <is>
          <t>6411</t>
        </is>
      </c>
      <c r="C285" s="1" t="inlineStr">
        <is>
          <t>2025</t>
        </is>
      </c>
      <c r="D285" s="1" t="inlineStr">
        <is>
          <t>ACT</t>
        </is>
      </c>
      <c r="E285" s="1" t="inlineStr">
        <is>
          <t>2027BUD_V1</t>
        </is>
      </c>
      <c r="F285" s="1" t="inlineStr">
        <is>
          <t>12</t>
        </is>
      </c>
      <c r="G285" t="n">
        <v>285249</v>
      </c>
      <c r="H285">
        <f>IF(PNL!A285="","",_CALC_PNL!P285)</f>
        <v/>
      </c>
      <c r="I285">
        <f>IF(PNL!A285="","",IF(_CALC_PNL!E285=1,H285-G285,""))</f>
        <v/>
      </c>
    </row>
    <row r="286">
      <c r="A286" s="1" t="inlineStr">
        <is>
          <t>MBWAY_BOR</t>
        </is>
      </c>
      <c r="B286" s="1" t="inlineStr">
        <is>
          <t>6411</t>
        </is>
      </c>
      <c r="C286" s="1" t="inlineStr">
        <is>
          <t>2025</t>
        </is>
      </c>
      <c r="D286" s="1" t="inlineStr">
        <is>
          <t>ACT</t>
        </is>
      </c>
      <c r="E286" s="1" t="inlineStr">
        <is>
          <t>2027BUD_V1</t>
        </is>
      </c>
      <c r="F286" s="1" t="inlineStr">
        <is>
          <t>12</t>
        </is>
      </c>
      <c r="G286" t="n">
        <v>249593</v>
      </c>
      <c r="H286">
        <f>IF(PNL!A286="","",_CALC_PNL!P286)</f>
        <v/>
      </c>
      <c r="I286">
        <f>IF(PNL!A286="","",IF(_CALC_PNL!E286=1,H286-G286,""))</f>
        <v/>
      </c>
    </row>
    <row r="287">
      <c r="A287" s="1" t="inlineStr">
        <is>
          <t>ISCOM_PAR</t>
        </is>
      </c>
      <c r="B287" s="1" t="inlineStr">
        <is>
          <t>6411</t>
        </is>
      </c>
      <c r="C287" s="1" t="inlineStr">
        <is>
          <t>2025</t>
        </is>
      </c>
      <c r="D287" s="1" t="inlineStr">
        <is>
          <t>ACT</t>
        </is>
      </c>
      <c r="E287" s="1" t="inlineStr">
        <is>
          <t>2027BUD_V1</t>
        </is>
      </c>
      <c r="F287" s="1" t="inlineStr">
        <is>
          <t>12</t>
        </is>
      </c>
      <c r="G287" t="n">
        <v>577630</v>
      </c>
      <c r="H287">
        <f>IF(PNL!A287="","",_CALC_PNL!P287)</f>
        <v/>
      </c>
      <c r="I287">
        <f>IF(PNL!A287="","",IF(_CALC_PNL!E287=1,H287-G287,""))</f>
        <v/>
      </c>
    </row>
    <row r="288">
      <c r="A288" s="1" t="inlineStr">
        <is>
          <t>ISCOM_LIL</t>
        </is>
      </c>
      <c r="B288" s="1" t="inlineStr">
        <is>
          <t>6411</t>
        </is>
      </c>
      <c r="C288" s="1" t="inlineStr">
        <is>
          <t>2025</t>
        </is>
      </c>
      <c r="D288" s="1" t="inlineStr">
        <is>
          <t>ACT</t>
        </is>
      </c>
      <c r="E288" s="1" t="inlineStr">
        <is>
          <t>2027BUD_V1</t>
        </is>
      </c>
      <c r="F288" s="1" t="inlineStr">
        <is>
          <t>12</t>
        </is>
      </c>
      <c r="G288" t="n">
        <v>218691</v>
      </c>
      <c r="H288">
        <f>IF(PNL!A288="","",_CALC_PNL!P288)</f>
        <v/>
      </c>
      <c r="I288">
        <f>IF(PNL!A288="","",IF(_CALC_PNL!E288=1,H288-G288,""))</f>
        <v/>
      </c>
    </row>
    <row r="289">
      <c r="A289" s="1" t="inlineStr">
        <is>
          <t>ISCOM_TLS</t>
        </is>
      </c>
      <c r="B289" s="1" t="inlineStr">
        <is>
          <t>6411</t>
        </is>
      </c>
      <c r="C289" s="1" t="inlineStr">
        <is>
          <t>2025</t>
        </is>
      </c>
      <c r="D289" s="1" t="inlineStr">
        <is>
          <t>ACT</t>
        </is>
      </c>
      <c r="E289" s="1" t="inlineStr">
        <is>
          <t>2027BUD_V1</t>
        </is>
      </c>
      <c r="F289" s="1" t="inlineStr">
        <is>
          <t>12</t>
        </is>
      </c>
      <c r="G289" t="n">
        <v>213937</v>
      </c>
      <c r="H289">
        <f>IF(PNL!A289="","",_CALC_PNL!P289)</f>
        <v/>
      </c>
      <c r="I289">
        <f>IF(PNL!A289="","",IF(_CALC_PNL!E289=1,H289-G289,""))</f>
        <v/>
      </c>
    </row>
    <row r="290">
      <c r="A290" s="1" t="inlineStr">
        <is>
          <t>IPAC_NAN</t>
        </is>
      </c>
      <c r="B290" s="1" t="inlineStr">
        <is>
          <t>6411</t>
        </is>
      </c>
      <c r="C290" s="1" t="inlineStr">
        <is>
          <t>2025</t>
        </is>
      </c>
      <c r="D290" s="1" t="inlineStr">
        <is>
          <t>ACT</t>
        </is>
      </c>
      <c r="E290" s="1" t="inlineStr">
        <is>
          <t>2027BUD_V1</t>
        </is>
      </c>
      <c r="F290" s="1" t="inlineStr">
        <is>
          <t>12</t>
        </is>
      </c>
      <c r="G290" t="n">
        <v>142625</v>
      </c>
      <c r="H290">
        <f>IF(PNL!A290="","",_CALC_PNL!P290)</f>
        <v/>
      </c>
      <c r="I290">
        <f>IF(PNL!A290="","",IF(_CALC_PNL!E290=1,H290-G290,""))</f>
        <v/>
      </c>
    </row>
    <row r="291">
      <c r="A291" s="1" t="inlineStr">
        <is>
          <t>IPAC_REN</t>
        </is>
      </c>
      <c r="B291" s="1" t="inlineStr">
        <is>
          <t>6411</t>
        </is>
      </c>
      <c r="C291" s="1" t="inlineStr">
        <is>
          <t>2025</t>
        </is>
      </c>
      <c r="D291" s="1" t="inlineStr">
        <is>
          <t>ACT</t>
        </is>
      </c>
      <c r="E291" s="1" t="inlineStr">
        <is>
          <t>2027BUD_V1</t>
        </is>
      </c>
      <c r="F291" s="1" t="inlineStr">
        <is>
          <t>12</t>
        </is>
      </c>
      <c r="G291" t="n">
        <v>125510</v>
      </c>
      <c r="H291">
        <f>IF(PNL!A291="","",_CALC_PNL!P291)</f>
        <v/>
      </c>
      <c r="I291">
        <f>IF(PNL!A291="","",IF(_CALC_PNL!E291=1,H291-G291,""))</f>
        <v/>
      </c>
    </row>
    <row r="292">
      <c r="A292" s="1" t="inlineStr">
        <is>
          <t>IPAC_MTP</t>
        </is>
      </c>
      <c r="B292" s="1" t="inlineStr">
        <is>
          <t>6411</t>
        </is>
      </c>
      <c r="C292" s="1" t="inlineStr">
        <is>
          <t>2025</t>
        </is>
      </c>
      <c r="D292" s="1" t="inlineStr">
        <is>
          <t>ACT</t>
        </is>
      </c>
      <c r="E292" s="1" t="inlineStr">
        <is>
          <t>2027BUD_V1</t>
        </is>
      </c>
      <c r="F292" s="1" t="inlineStr">
        <is>
          <t>12</t>
        </is>
      </c>
      <c r="G292" t="n">
        <v>125510</v>
      </c>
      <c r="H292">
        <f>IF(PNL!A292="","",_CALC_PNL!P292)</f>
        <v/>
      </c>
      <c r="I292">
        <f>IF(PNL!A292="","",IF(_CALC_PNL!E292=1,H292-G292,""))</f>
        <v/>
      </c>
    </row>
    <row r="293">
      <c r="A293" s="1" t="inlineStr">
        <is>
          <t>PIGIER_LYO</t>
        </is>
      </c>
      <c r="B293" s="1" t="inlineStr">
        <is>
          <t>6411</t>
        </is>
      </c>
      <c r="C293" s="1" t="inlineStr">
        <is>
          <t>2025</t>
        </is>
      </c>
      <c r="D293" s="1" t="inlineStr">
        <is>
          <t>ACT</t>
        </is>
      </c>
      <c r="E293" s="1" t="inlineStr">
        <is>
          <t>2027BUD_V1</t>
        </is>
      </c>
      <c r="F293" s="1" t="inlineStr">
        <is>
          <t>12</t>
        </is>
      </c>
      <c r="G293" t="n">
        <v>212986</v>
      </c>
      <c r="H293">
        <f>IF(PNL!A293="","",_CALC_PNL!P293)</f>
        <v/>
      </c>
      <c r="I293">
        <f>IF(PNL!A293="","",IF(_CALC_PNL!E293=1,H293-G293,""))</f>
        <v/>
      </c>
    </row>
    <row r="294">
      <c r="A294" s="1" t="inlineStr">
        <is>
          <t>PIGIER_BOR</t>
        </is>
      </c>
      <c r="B294" s="1" t="inlineStr">
        <is>
          <t>6411</t>
        </is>
      </c>
      <c r="C294" s="1" t="inlineStr">
        <is>
          <t>2025</t>
        </is>
      </c>
      <c r="D294" s="1" t="inlineStr">
        <is>
          <t>ACT</t>
        </is>
      </c>
      <c r="E294" s="1" t="inlineStr">
        <is>
          <t>2027BUD_V1</t>
        </is>
      </c>
      <c r="F294" s="1" t="inlineStr">
        <is>
          <t>12</t>
        </is>
      </c>
      <c r="G294" t="n">
        <v>199675</v>
      </c>
      <c r="H294">
        <f>IF(PNL!A294="","",_CALC_PNL!P294)</f>
        <v/>
      </c>
      <c r="I294">
        <f>IF(PNL!A294="","",IF(_CALC_PNL!E294=1,H294-G294,""))</f>
        <v/>
      </c>
    </row>
    <row r="295">
      <c r="A295" s="1" t="inlineStr">
        <is>
          <t>TUNON_PAR</t>
        </is>
      </c>
      <c r="B295" s="1" t="inlineStr">
        <is>
          <t>6411</t>
        </is>
      </c>
      <c r="C295" s="1" t="inlineStr">
        <is>
          <t>2025</t>
        </is>
      </c>
      <c r="D295" s="1" t="inlineStr">
        <is>
          <t>ACT</t>
        </is>
      </c>
      <c r="E295" s="1" t="inlineStr">
        <is>
          <t>2027BUD_V1</t>
        </is>
      </c>
      <c r="F295" s="1" t="inlineStr">
        <is>
          <t>12</t>
        </is>
      </c>
      <c r="G295" t="n">
        <v>231052</v>
      </c>
      <c r="H295">
        <f>IF(PNL!A295="","",_CALC_PNL!P295)</f>
        <v/>
      </c>
      <c r="I295">
        <f>IF(PNL!A295="","",IF(_CALC_PNL!E295=1,H295-G295,""))</f>
        <v/>
      </c>
    </row>
    <row r="296">
      <c r="A296" s="1" t="inlineStr">
        <is>
          <t>TUNON_LYO</t>
        </is>
      </c>
      <c r="B296" s="1" t="inlineStr">
        <is>
          <t>6411</t>
        </is>
      </c>
      <c r="C296" s="1" t="inlineStr">
        <is>
          <t>2025</t>
        </is>
      </c>
      <c r="D296" s="1" t="inlineStr">
        <is>
          <t>ACT</t>
        </is>
      </c>
      <c r="E296" s="1" t="inlineStr">
        <is>
          <t>2027BUD_V1</t>
        </is>
      </c>
      <c r="F296" s="1" t="inlineStr">
        <is>
          <t>12</t>
        </is>
      </c>
      <c r="G296" t="n">
        <v>159740</v>
      </c>
      <c r="H296">
        <f>IF(PNL!A296="","",_CALC_PNL!P296)</f>
        <v/>
      </c>
      <c r="I296">
        <f>IF(PNL!A296="","",IF(_CALC_PNL!E296=1,H296-G296,""))</f>
        <v/>
      </c>
    </row>
    <row r="297">
      <c r="A297" s="1" t="inlineStr">
        <is>
          <t>MBWAY_PAR</t>
        </is>
      </c>
      <c r="B297" s="1" t="inlineStr">
        <is>
          <t>6411</t>
        </is>
      </c>
      <c r="C297" s="1" t="inlineStr">
        <is>
          <t>2026</t>
        </is>
      </c>
      <c r="D297" s="1" t="inlineStr">
        <is>
          <t>ACT</t>
        </is>
      </c>
      <c r="E297" s="1" t="inlineStr">
        <is>
          <t>2027BUD_V1</t>
        </is>
      </c>
      <c r="F297" s="1" t="inlineStr">
        <is>
          <t>12</t>
        </is>
      </c>
      <c r="G297" t="n">
        <v>605202</v>
      </c>
      <c r="H297">
        <f>IF(PNL!A297="","",_CALC_PNL!P297)</f>
        <v/>
      </c>
      <c r="I297">
        <f>IF(PNL!A297="","",IF(_CALC_PNL!E297=1,H297-G297,""))</f>
        <v/>
      </c>
    </row>
    <row r="298">
      <c r="A298" s="1" t="inlineStr">
        <is>
          <t>MBWAY_LYO</t>
        </is>
      </c>
      <c r="B298" s="1" t="inlineStr">
        <is>
          <t>6411</t>
        </is>
      </c>
      <c r="C298" s="1" t="inlineStr">
        <is>
          <t>2026</t>
        </is>
      </c>
      <c r="D298" s="1" t="inlineStr">
        <is>
          <t>ACT</t>
        </is>
      </c>
      <c r="E298" s="1" t="inlineStr">
        <is>
          <t>2027BUD_V1</t>
        </is>
      </c>
      <c r="F298" s="1" t="inlineStr">
        <is>
          <t>12</t>
        </is>
      </c>
      <c r="G298" t="n">
        <v>362623</v>
      </c>
      <c r="H298">
        <f>IF(PNL!A298="","",_CALC_PNL!P298)</f>
        <v/>
      </c>
      <c r="I298">
        <f>IF(PNL!A298="","",IF(_CALC_PNL!E298=1,H298-G298,""))</f>
        <v/>
      </c>
    </row>
    <row r="299">
      <c r="A299" s="1" t="inlineStr">
        <is>
          <t>MBWAY_NAN</t>
        </is>
      </c>
      <c r="B299" s="1" t="inlineStr">
        <is>
          <t>6411</t>
        </is>
      </c>
      <c r="C299" s="1" t="inlineStr">
        <is>
          <t>2026</t>
        </is>
      </c>
      <c r="D299" s="1" t="inlineStr">
        <is>
          <t>ACT</t>
        </is>
      </c>
      <c r="E299" s="1" t="inlineStr">
        <is>
          <t>2027BUD_V1</t>
        </is>
      </c>
      <c r="F299" s="1" t="inlineStr">
        <is>
          <t>12</t>
        </is>
      </c>
      <c r="G299" t="n">
        <v>298865</v>
      </c>
      <c r="H299">
        <f>IF(PNL!A299="","",_CALC_PNL!P299)</f>
        <v/>
      </c>
      <c r="I299">
        <f>IF(PNL!A299="","",IF(_CALC_PNL!E299=1,H299-G299,""))</f>
        <v/>
      </c>
    </row>
    <row r="300">
      <c r="A300" s="1" t="inlineStr">
        <is>
          <t>MBWAY_BOR</t>
        </is>
      </c>
      <c r="B300" s="1" t="inlineStr">
        <is>
          <t>6411</t>
        </is>
      </c>
      <c r="C300" s="1" t="inlineStr">
        <is>
          <t>2026</t>
        </is>
      </c>
      <c r="D300" s="1" t="inlineStr">
        <is>
          <t>ACT</t>
        </is>
      </c>
      <c r="E300" s="1" t="inlineStr">
        <is>
          <t>2027BUD_V1</t>
        </is>
      </c>
      <c r="F300" s="1" t="inlineStr">
        <is>
          <t>12</t>
        </is>
      </c>
      <c r="G300" t="n">
        <v>261507</v>
      </c>
      <c r="H300">
        <f>IF(PNL!A300="","",_CALC_PNL!P300)</f>
        <v/>
      </c>
      <c r="I300">
        <f>IF(PNL!A300="","",IF(_CALC_PNL!E300=1,H300-G300,""))</f>
        <v/>
      </c>
    </row>
    <row r="301">
      <c r="A301" s="1" t="inlineStr">
        <is>
          <t>ISCOM_PAR</t>
        </is>
      </c>
      <c r="B301" s="1" t="inlineStr">
        <is>
          <t>6411</t>
        </is>
      </c>
      <c r="C301" s="1" t="inlineStr">
        <is>
          <t>2026</t>
        </is>
      </c>
      <c r="D301" s="1" t="inlineStr">
        <is>
          <t>ACT</t>
        </is>
      </c>
      <c r="E301" s="1" t="inlineStr">
        <is>
          <t>2027BUD_V1</t>
        </is>
      </c>
      <c r="F301" s="1" t="inlineStr">
        <is>
          <t>12</t>
        </is>
      </c>
      <c r="G301" t="n">
        <v>605202</v>
      </c>
      <c r="H301">
        <f>IF(PNL!A301="","",_CALC_PNL!P301)</f>
        <v/>
      </c>
      <c r="I301">
        <f>IF(PNL!A301="","",IF(_CALC_PNL!E301=1,H301-G301,""))</f>
        <v/>
      </c>
    </row>
    <row r="302">
      <c r="A302" s="1" t="inlineStr">
        <is>
          <t>ISCOM_LIL</t>
        </is>
      </c>
      <c r="B302" s="1" t="inlineStr">
        <is>
          <t>6411</t>
        </is>
      </c>
      <c r="C302" s="1" t="inlineStr">
        <is>
          <t>2026</t>
        </is>
      </c>
      <c r="D302" s="1" t="inlineStr">
        <is>
          <t>ACT</t>
        </is>
      </c>
      <c r="E302" s="1" t="inlineStr">
        <is>
          <t>2027BUD_V1</t>
        </is>
      </c>
      <c r="F302" s="1" t="inlineStr">
        <is>
          <t>12</t>
        </is>
      </c>
      <c r="G302" t="n">
        <v>229130</v>
      </c>
      <c r="H302">
        <f>IF(PNL!A302="","",_CALC_PNL!P302)</f>
        <v/>
      </c>
      <c r="I302">
        <f>IF(PNL!A302="","",IF(_CALC_PNL!E302=1,H302-G302,""))</f>
        <v/>
      </c>
    </row>
    <row r="303">
      <c r="A303" s="1" t="inlineStr">
        <is>
          <t>ISCOM_TLS</t>
        </is>
      </c>
      <c r="B303" s="1" t="inlineStr">
        <is>
          <t>6411</t>
        </is>
      </c>
      <c r="C303" s="1" t="inlineStr">
        <is>
          <t>2026</t>
        </is>
      </c>
      <c r="D303" s="1" t="inlineStr">
        <is>
          <t>ACT</t>
        </is>
      </c>
      <c r="E303" s="1" t="inlineStr">
        <is>
          <t>2027BUD_V1</t>
        </is>
      </c>
      <c r="F303" s="1" t="inlineStr">
        <is>
          <t>12</t>
        </is>
      </c>
      <c r="G303" t="n">
        <v>224149</v>
      </c>
      <c r="H303">
        <f>IF(PNL!A303="","",_CALC_PNL!P303)</f>
        <v/>
      </c>
      <c r="I303">
        <f>IF(PNL!A303="","",IF(_CALC_PNL!E303=1,H303-G303,""))</f>
        <v/>
      </c>
    </row>
    <row r="304">
      <c r="A304" s="1" t="inlineStr">
        <is>
          <t>IPAC_NAN</t>
        </is>
      </c>
      <c r="B304" s="1" t="inlineStr">
        <is>
          <t>6411</t>
        </is>
      </c>
      <c r="C304" s="1" t="inlineStr">
        <is>
          <t>2026</t>
        </is>
      </c>
      <c r="D304" s="1" t="inlineStr">
        <is>
          <t>ACT</t>
        </is>
      </c>
      <c r="E304" s="1" t="inlineStr">
        <is>
          <t>2027BUD_V1</t>
        </is>
      </c>
      <c r="F304" s="1" t="inlineStr">
        <is>
          <t>12</t>
        </is>
      </c>
      <c r="G304" t="n">
        <v>149433</v>
      </c>
      <c r="H304">
        <f>IF(PNL!A304="","",_CALC_PNL!P304)</f>
        <v/>
      </c>
      <c r="I304">
        <f>IF(PNL!A304="","",IF(_CALC_PNL!E304=1,H304-G304,""))</f>
        <v/>
      </c>
    </row>
    <row r="305">
      <c r="A305" s="1" t="inlineStr">
        <is>
          <t>IPAC_REN</t>
        </is>
      </c>
      <c r="B305" s="1" t="inlineStr">
        <is>
          <t>6411</t>
        </is>
      </c>
      <c r="C305" s="1" t="inlineStr">
        <is>
          <t>2026</t>
        </is>
      </c>
      <c r="D305" s="1" t="inlineStr">
        <is>
          <t>ACT</t>
        </is>
      </c>
      <c r="E305" s="1" t="inlineStr">
        <is>
          <t>2027BUD_V1</t>
        </is>
      </c>
      <c r="F305" s="1" t="inlineStr">
        <is>
          <t>12</t>
        </is>
      </c>
      <c r="G305" t="n">
        <v>131501</v>
      </c>
      <c r="H305">
        <f>IF(PNL!A305="","",_CALC_PNL!P305)</f>
        <v/>
      </c>
      <c r="I305">
        <f>IF(PNL!A305="","",IF(_CALC_PNL!E305=1,H305-G305,""))</f>
        <v/>
      </c>
    </row>
    <row r="306">
      <c r="A306" s="1" t="inlineStr">
        <is>
          <t>IPAC_MTP</t>
        </is>
      </c>
      <c r="B306" s="1" t="inlineStr">
        <is>
          <t>6411</t>
        </is>
      </c>
      <c r="C306" s="1" t="inlineStr">
        <is>
          <t>2026</t>
        </is>
      </c>
      <c r="D306" s="1" t="inlineStr">
        <is>
          <t>ACT</t>
        </is>
      </c>
      <c r="E306" s="1" t="inlineStr">
        <is>
          <t>2027BUD_V1</t>
        </is>
      </c>
      <c r="F306" s="1" t="inlineStr">
        <is>
          <t>12</t>
        </is>
      </c>
      <c r="G306" t="n">
        <v>131501</v>
      </c>
      <c r="H306">
        <f>IF(PNL!A306="","",_CALC_PNL!P306)</f>
        <v/>
      </c>
      <c r="I306">
        <f>IF(PNL!A306="","",IF(_CALC_PNL!E306=1,H306-G306,""))</f>
        <v/>
      </c>
    </row>
    <row r="307">
      <c r="A307" s="1" t="inlineStr">
        <is>
          <t>PIGIER_LYO</t>
        </is>
      </c>
      <c r="B307" s="1" t="inlineStr">
        <is>
          <t>6411</t>
        </is>
      </c>
      <c r="C307" s="1" t="inlineStr">
        <is>
          <t>2026</t>
        </is>
      </c>
      <c r="D307" s="1" t="inlineStr">
        <is>
          <t>ACT</t>
        </is>
      </c>
      <c r="E307" s="1" t="inlineStr">
        <is>
          <t>2027BUD_V1</t>
        </is>
      </c>
      <c r="F307" s="1" t="inlineStr">
        <is>
          <t>12</t>
        </is>
      </c>
      <c r="G307" t="n">
        <v>223153</v>
      </c>
      <c r="H307">
        <f>IF(PNL!A307="","",_CALC_PNL!P307)</f>
        <v/>
      </c>
      <c r="I307">
        <f>IF(PNL!A307="","",IF(_CALC_PNL!E307=1,H307-G307,""))</f>
        <v/>
      </c>
    </row>
    <row r="308">
      <c r="A308" s="1" t="inlineStr">
        <is>
          <t>PIGIER_BOR</t>
        </is>
      </c>
      <c r="B308" s="1" t="inlineStr">
        <is>
          <t>6411</t>
        </is>
      </c>
      <c r="C308" s="1" t="inlineStr">
        <is>
          <t>2026</t>
        </is>
      </c>
      <c r="D308" s="1" t="inlineStr">
        <is>
          <t>ACT</t>
        </is>
      </c>
      <c r="E308" s="1" t="inlineStr">
        <is>
          <t>2027BUD_V1</t>
        </is>
      </c>
      <c r="F308" s="1" t="inlineStr">
        <is>
          <t>12</t>
        </is>
      </c>
      <c r="G308" t="n">
        <v>209206</v>
      </c>
      <c r="H308">
        <f>IF(PNL!A308="","",_CALC_PNL!P308)</f>
        <v/>
      </c>
      <c r="I308">
        <f>IF(PNL!A308="","",IF(_CALC_PNL!E308=1,H308-G308,""))</f>
        <v/>
      </c>
    </row>
    <row r="309">
      <c r="A309" s="1" t="inlineStr">
        <is>
          <t>TUNON_PAR</t>
        </is>
      </c>
      <c r="B309" s="1" t="inlineStr">
        <is>
          <t>6411</t>
        </is>
      </c>
      <c r="C309" s="1" t="inlineStr">
        <is>
          <t>2026</t>
        </is>
      </c>
      <c r="D309" s="1" t="inlineStr">
        <is>
          <t>ACT</t>
        </is>
      </c>
      <c r="E309" s="1" t="inlineStr">
        <is>
          <t>2027BUD_V1</t>
        </is>
      </c>
      <c r="F309" s="1" t="inlineStr">
        <is>
          <t>12</t>
        </is>
      </c>
      <c r="G309" t="n">
        <v>242081</v>
      </c>
      <c r="H309">
        <f>IF(PNL!A309="","",_CALC_PNL!P309)</f>
        <v/>
      </c>
      <c r="I309">
        <f>IF(PNL!A309="","",IF(_CALC_PNL!E309=1,H309-G309,""))</f>
        <v/>
      </c>
    </row>
    <row r="310">
      <c r="A310" s="1" t="inlineStr">
        <is>
          <t>TUNON_LYO</t>
        </is>
      </c>
      <c r="B310" s="1" t="inlineStr">
        <is>
          <t>6411</t>
        </is>
      </c>
      <c r="C310" s="1" t="inlineStr">
        <is>
          <t>2026</t>
        </is>
      </c>
      <c r="D310" s="1" t="inlineStr">
        <is>
          <t>ACT</t>
        </is>
      </c>
      <c r="E310" s="1" t="inlineStr">
        <is>
          <t>2027BUD_V1</t>
        </is>
      </c>
      <c r="F310" s="1" t="inlineStr">
        <is>
          <t>12</t>
        </is>
      </c>
      <c r="G310" t="n">
        <v>167364</v>
      </c>
      <c r="H310">
        <f>IF(PNL!A310="","",_CALC_PNL!P310)</f>
        <v/>
      </c>
      <c r="I310">
        <f>IF(PNL!A310="","",IF(_CALC_PNL!E310=1,H310-G310,""))</f>
        <v/>
      </c>
    </row>
    <row r="311">
      <c r="A311" s="1" t="inlineStr">
        <is>
          <t>MBWAY_PAR</t>
        </is>
      </c>
      <c r="B311" s="1" t="inlineStr">
        <is>
          <t>6413</t>
        </is>
      </c>
      <c r="C311" s="1" t="inlineStr">
        <is>
          <t>2024</t>
        </is>
      </c>
      <c r="D311" s="1" t="inlineStr">
        <is>
          <t>ACT</t>
        </is>
      </c>
      <c r="E311" s="1" t="inlineStr">
        <is>
          <t>2027BUD_V1</t>
        </is>
      </c>
      <c r="F311" s="1" t="inlineStr">
        <is>
          <t>12</t>
        </is>
      </c>
      <c r="G311" t="n">
        <v>318872</v>
      </c>
      <c r="H311">
        <f>IF(PNL!A311="","",_CALC_PNL!P311)</f>
        <v/>
      </c>
      <c r="I311">
        <f>IF(PNL!A311="","",IF(_CALC_PNL!E311=1,H311-G311,""))</f>
        <v/>
      </c>
    </row>
    <row r="312">
      <c r="A312" s="1" t="inlineStr">
        <is>
          <t>MBWAY_LYO</t>
        </is>
      </c>
      <c r="B312" s="1" t="inlineStr">
        <is>
          <t>6413</t>
        </is>
      </c>
      <c r="C312" s="1" t="inlineStr">
        <is>
          <t>2024</t>
        </is>
      </c>
      <c r="D312" s="1" t="inlineStr">
        <is>
          <t>ACT</t>
        </is>
      </c>
      <c r="E312" s="1" t="inlineStr">
        <is>
          <t>2027BUD_V1</t>
        </is>
      </c>
      <c r="F312" s="1" t="inlineStr">
        <is>
          <t>12</t>
        </is>
      </c>
      <c r="G312" t="n">
        <v>186982</v>
      </c>
      <c r="H312">
        <f>IF(PNL!A312="","",_CALC_PNL!P312)</f>
        <v/>
      </c>
      <c r="I312">
        <f>IF(PNL!A312="","",IF(_CALC_PNL!E312=1,H312-G312,""))</f>
        <v/>
      </c>
    </row>
    <row r="313">
      <c r="A313" s="1" t="inlineStr">
        <is>
          <t>MBWAY_NAN</t>
        </is>
      </c>
      <c r="B313" s="1" t="inlineStr">
        <is>
          <t>6413</t>
        </is>
      </c>
      <c r="C313" s="1" t="inlineStr">
        <is>
          <t>2024</t>
        </is>
      </c>
      <c r="D313" s="1" t="inlineStr">
        <is>
          <t>ACT</t>
        </is>
      </c>
      <c r="E313" s="1" t="inlineStr">
        <is>
          <t>2027BUD_V1</t>
        </is>
      </c>
      <c r="F313" s="1" t="inlineStr">
        <is>
          <t>12</t>
        </is>
      </c>
      <c r="G313" t="n">
        <v>151490</v>
      </c>
      <c r="H313">
        <f>IF(PNL!A313="","",_CALC_PNL!P313)</f>
        <v/>
      </c>
      <c r="I313">
        <f>IF(PNL!A313="","",IF(_CALC_PNL!E313=1,H313-G313,""))</f>
        <v/>
      </c>
    </row>
    <row r="314">
      <c r="A314" s="1" t="inlineStr">
        <is>
          <t>MBWAY_BOR</t>
        </is>
      </c>
      <c r="B314" s="1" t="inlineStr">
        <is>
          <t>6413</t>
        </is>
      </c>
      <c r="C314" s="1" t="inlineStr">
        <is>
          <t>2024</t>
        </is>
      </c>
      <c r="D314" s="1" t="inlineStr">
        <is>
          <t>ACT</t>
        </is>
      </c>
      <c r="E314" s="1" t="inlineStr">
        <is>
          <t>2027BUD_V1</t>
        </is>
      </c>
      <c r="F314" s="1" t="inlineStr">
        <is>
          <t>12</t>
        </is>
      </c>
      <c r="G314" t="n">
        <v>134718</v>
      </c>
      <c r="H314">
        <f>IF(PNL!A314="","",_CALC_PNL!P314)</f>
        <v/>
      </c>
      <c r="I314">
        <f>IF(PNL!A314="","",IF(_CALC_PNL!E314=1,H314-G314,""))</f>
        <v/>
      </c>
    </row>
    <row r="315">
      <c r="A315" s="1" t="inlineStr">
        <is>
          <t>ISCOM_PAR</t>
        </is>
      </c>
      <c r="B315" s="1" t="inlineStr">
        <is>
          <t>6413</t>
        </is>
      </c>
      <c r="C315" s="1" t="inlineStr">
        <is>
          <t>2024</t>
        </is>
      </c>
      <c r="D315" s="1" t="inlineStr">
        <is>
          <t>ACT</t>
        </is>
      </c>
      <c r="E315" s="1" t="inlineStr">
        <is>
          <t>2027BUD_V1</t>
        </is>
      </c>
      <c r="F315" s="1" t="inlineStr">
        <is>
          <t>12</t>
        </is>
      </c>
      <c r="G315" t="n">
        <v>295499</v>
      </c>
      <c r="H315">
        <f>IF(PNL!A315="","",_CALC_PNL!P315)</f>
        <v/>
      </c>
      <c r="I315">
        <f>IF(PNL!A315="","",IF(_CALC_PNL!E315=1,H315-G315,""))</f>
        <v/>
      </c>
    </row>
    <row r="316">
      <c r="A316" s="1" t="inlineStr">
        <is>
          <t>ISCOM_LIL</t>
        </is>
      </c>
      <c r="B316" s="1" t="inlineStr">
        <is>
          <t>6413</t>
        </is>
      </c>
      <c r="C316" s="1" t="inlineStr">
        <is>
          <t>2024</t>
        </is>
      </c>
      <c r="D316" s="1" t="inlineStr">
        <is>
          <t>ACT</t>
        </is>
      </c>
      <c r="E316" s="1" t="inlineStr">
        <is>
          <t>2027BUD_V1</t>
        </is>
      </c>
      <c r="F316" s="1" t="inlineStr">
        <is>
          <t>12</t>
        </is>
      </c>
      <c r="G316" t="n">
        <v>115669</v>
      </c>
      <c r="H316">
        <f>IF(PNL!A316="","",_CALC_PNL!P316)</f>
        <v/>
      </c>
      <c r="I316">
        <f>IF(PNL!A316="","",IF(_CALC_PNL!E316=1,H316-G316,""))</f>
        <v/>
      </c>
    </row>
    <row r="317">
      <c r="A317" s="1" t="inlineStr">
        <is>
          <t>ISCOM_TLS</t>
        </is>
      </c>
      <c r="B317" s="1" t="inlineStr">
        <is>
          <t>6413</t>
        </is>
      </c>
      <c r="C317" s="1" t="inlineStr">
        <is>
          <t>2024</t>
        </is>
      </c>
      <c r="D317" s="1" t="inlineStr">
        <is>
          <t>ACT</t>
        </is>
      </c>
      <c r="E317" s="1" t="inlineStr">
        <is>
          <t>2027BUD_V1</t>
        </is>
      </c>
      <c r="F317" s="1" t="inlineStr">
        <is>
          <t>12</t>
        </is>
      </c>
      <c r="G317" t="n">
        <v>107125</v>
      </c>
      <c r="H317">
        <f>IF(PNL!A317="","",_CALC_PNL!P317)</f>
        <v/>
      </c>
      <c r="I317">
        <f>IF(PNL!A317="","",IF(_CALC_PNL!E317=1,H317-G317,""))</f>
        <v/>
      </c>
    </row>
    <row r="318">
      <c r="A318" s="1" t="inlineStr">
        <is>
          <t>IPAC_NAN</t>
        </is>
      </c>
      <c r="B318" s="1" t="inlineStr">
        <is>
          <t>6413</t>
        </is>
      </c>
      <c r="C318" s="1" t="inlineStr">
        <is>
          <t>2024</t>
        </is>
      </c>
      <c r="D318" s="1" t="inlineStr">
        <is>
          <t>ACT</t>
        </is>
      </c>
      <c r="E318" s="1" t="inlineStr">
        <is>
          <t>2027BUD_V1</t>
        </is>
      </c>
      <c r="F318" s="1" t="inlineStr">
        <is>
          <t>12</t>
        </is>
      </c>
      <c r="G318" t="n">
        <v>74715</v>
      </c>
      <c r="H318">
        <f>IF(PNL!A318="","",_CALC_PNL!P318)</f>
        <v/>
      </c>
      <c r="I318">
        <f>IF(PNL!A318="","",IF(_CALC_PNL!E318=1,H318-G318,""))</f>
        <v/>
      </c>
    </row>
    <row r="319">
      <c r="A319" s="1" t="inlineStr">
        <is>
          <t>IPAC_REN</t>
        </is>
      </c>
      <c r="B319" s="1" t="inlineStr">
        <is>
          <t>6413</t>
        </is>
      </c>
      <c r="C319" s="1" t="inlineStr">
        <is>
          <t>2024</t>
        </is>
      </c>
      <c r="D319" s="1" t="inlineStr">
        <is>
          <t>ACT</t>
        </is>
      </c>
      <c r="E319" s="1" t="inlineStr">
        <is>
          <t>2027BUD_V1</t>
        </is>
      </c>
      <c r="F319" s="1" t="inlineStr">
        <is>
          <t>12</t>
        </is>
      </c>
      <c r="G319" t="n">
        <v>53053</v>
      </c>
      <c r="H319">
        <f>IF(PNL!A319="","",_CALC_PNL!P319)</f>
        <v/>
      </c>
      <c r="I319">
        <f>IF(PNL!A319="","",IF(_CALC_PNL!E319=1,H319-G319,""))</f>
        <v/>
      </c>
    </row>
    <row r="320">
      <c r="A320" s="1" t="inlineStr">
        <is>
          <t>IPAC_MTP</t>
        </is>
      </c>
      <c r="B320" s="1" t="inlineStr">
        <is>
          <t>6413</t>
        </is>
      </c>
      <c r="C320" s="1" t="inlineStr">
        <is>
          <t>2024</t>
        </is>
      </c>
      <c r="D320" s="1" t="inlineStr">
        <is>
          <t>ACT</t>
        </is>
      </c>
      <c r="E320" s="1" t="inlineStr">
        <is>
          <t>2027BUD_V1</t>
        </is>
      </c>
      <c r="F320" s="1" t="inlineStr">
        <is>
          <t>12</t>
        </is>
      </c>
      <c r="G320" t="n">
        <v>53053</v>
      </c>
      <c r="H320">
        <f>IF(PNL!A320="","",_CALC_PNL!P320)</f>
        <v/>
      </c>
      <c r="I320">
        <f>IF(PNL!A320="","",IF(_CALC_PNL!E320=1,H320-G320,""))</f>
        <v/>
      </c>
    </row>
    <row r="321">
      <c r="A321" s="1" t="inlineStr">
        <is>
          <t>PIGIER_LYO</t>
        </is>
      </c>
      <c r="B321" s="1" t="inlineStr">
        <is>
          <t>6413</t>
        </is>
      </c>
      <c r="C321" s="1" t="inlineStr">
        <is>
          <t>2024</t>
        </is>
      </c>
      <c r="D321" s="1" t="inlineStr">
        <is>
          <t>ACT</t>
        </is>
      </c>
      <c r="E321" s="1" t="inlineStr">
        <is>
          <t>2027BUD_V1</t>
        </is>
      </c>
      <c r="F321" s="1" t="inlineStr">
        <is>
          <t>12</t>
        </is>
      </c>
      <c r="G321" t="n">
        <v>105033</v>
      </c>
      <c r="H321">
        <f>IF(PNL!A321="","",_CALC_PNL!P321)</f>
        <v/>
      </c>
      <c r="I321">
        <f>IF(PNL!A321="","",IF(_CALC_PNL!E321=1,H321-G321,""))</f>
        <v/>
      </c>
    </row>
    <row r="322">
      <c r="A322" s="1" t="inlineStr">
        <is>
          <t>PIGIER_BOR</t>
        </is>
      </c>
      <c r="B322" s="1" t="inlineStr">
        <is>
          <t>6413</t>
        </is>
      </c>
      <c r="C322" s="1" t="inlineStr">
        <is>
          <t>2024</t>
        </is>
      </c>
      <c r="D322" s="1" t="inlineStr">
        <is>
          <t>ACT</t>
        </is>
      </c>
      <c r="E322" s="1" t="inlineStr">
        <is>
          <t>2027BUD_V1</t>
        </is>
      </c>
      <c r="F322" s="1" t="inlineStr">
        <is>
          <t>12</t>
        </is>
      </c>
      <c r="G322" t="n">
        <v>76827</v>
      </c>
      <c r="H322">
        <f>IF(PNL!A322="","",_CALC_PNL!P322)</f>
        <v/>
      </c>
      <c r="I322">
        <f>IF(PNL!A322="","",IF(_CALC_PNL!E322=1,H322-G322,""))</f>
        <v/>
      </c>
    </row>
    <row r="323">
      <c r="A323" s="1" t="inlineStr">
        <is>
          <t>TUNON_PAR</t>
        </is>
      </c>
      <c r="B323" s="1" t="inlineStr">
        <is>
          <t>6413</t>
        </is>
      </c>
      <c r="C323" s="1" t="inlineStr">
        <is>
          <t>2024</t>
        </is>
      </c>
      <c r="D323" s="1" t="inlineStr">
        <is>
          <t>ACT</t>
        </is>
      </c>
      <c r="E323" s="1" t="inlineStr">
        <is>
          <t>2027BUD_V1</t>
        </is>
      </c>
      <c r="F323" s="1" t="inlineStr">
        <is>
          <t>12</t>
        </is>
      </c>
      <c r="G323" t="n">
        <v>115195</v>
      </c>
      <c r="H323">
        <f>IF(PNL!A323="","",_CALC_PNL!P323)</f>
        <v/>
      </c>
      <c r="I323">
        <f>IF(PNL!A323="","",IF(_CALC_PNL!E323=1,H323-G323,""))</f>
        <v/>
      </c>
    </row>
    <row r="324">
      <c r="A324" s="1" t="inlineStr">
        <is>
          <t>TUNON_LYO</t>
        </is>
      </c>
      <c r="B324" s="1" t="inlineStr">
        <is>
          <t>6413</t>
        </is>
      </c>
      <c r="C324" s="1" t="inlineStr">
        <is>
          <t>2024</t>
        </is>
      </c>
      <c r="D324" s="1" t="inlineStr">
        <is>
          <t>ACT</t>
        </is>
      </c>
      <c r="E324" s="1" t="inlineStr">
        <is>
          <t>2027BUD_V1</t>
        </is>
      </c>
      <c r="F324" s="1" t="inlineStr">
        <is>
          <t>12</t>
        </is>
      </c>
      <c r="G324" t="n">
        <v>67521</v>
      </c>
      <c r="H324">
        <f>IF(PNL!A324="","",_CALC_PNL!P324)</f>
        <v/>
      </c>
      <c r="I324">
        <f>IF(PNL!A324="","",IF(_CALC_PNL!E324=1,H324-G324,""))</f>
        <v/>
      </c>
    </row>
    <row r="325">
      <c r="A325" s="1" t="inlineStr">
        <is>
          <t>MBWAY_PAR</t>
        </is>
      </c>
      <c r="B325" s="1" t="inlineStr">
        <is>
          <t>6413</t>
        </is>
      </c>
      <c r="C325" s="1" t="inlineStr">
        <is>
          <t>2025</t>
        </is>
      </c>
      <c r="D325" s="1" t="inlineStr">
        <is>
          <t>ACT</t>
        </is>
      </c>
      <c r="E325" s="1" t="inlineStr">
        <is>
          <t>2027BUD_V1</t>
        </is>
      </c>
      <c r="F325" s="1" t="inlineStr">
        <is>
          <t>12</t>
        </is>
      </c>
      <c r="G325" t="n">
        <v>333483</v>
      </c>
      <c r="H325">
        <f>IF(PNL!A325="","",_CALC_PNL!P325)</f>
        <v/>
      </c>
      <c r="I325">
        <f>IF(PNL!A325="","",IF(_CALC_PNL!E325=1,H325-G325,""))</f>
        <v/>
      </c>
    </row>
    <row r="326">
      <c r="A326" s="1" t="inlineStr">
        <is>
          <t>MBWAY_LYO</t>
        </is>
      </c>
      <c r="B326" s="1" t="inlineStr">
        <is>
          <t>6413</t>
        </is>
      </c>
      <c r="C326" s="1" t="inlineStr">
        <is>
          <t>2025</t>
        </is>
      </c>
      <c r="D326" s="1" t="inlineStr">
        <is>
          <t>ACT</t>
        </is>
      </c>
      <c r="E326" s="1" t="inlineStr">
        <is>
          <t>2027BUD_V1</t>
        </is>
      </c>
      <c r="F326" s="1" t="inlineStr">
        <is>
          <t>12</t>
        </is>
      </c>
      <c r="G326" t="n">
        <v>195550</v>
      </c>
      <c r="H326">
        <f>IF(PNL!A326="","",_CALC_PNL!P326)</f>
        <v/>
      </c>
      <c r="I326">
        <f>IF(PNL!A326="","",IF(_CALC_PNL!E326=1,H326-G326,""))</f>
        <v/>
      </c>
    </row>
    <row r="327">
      <c r="A327" s="1" t="inlineStr">
        <is>
          <t>MBWAY_NAN</t>
        </is>
      </c>
      <c r="B327" s="1" t="inlineStr">
        <is>
          <t>6413</t>
        </is>
      </c>
      <c r="C327" s="1" t="inlineStr">
        <is>
          <t>2025</t>
        </is>
      </c>
      <c r="D327" s="1" t="inlineStr">
        <is>
          <t>ACT</t>
        </is>
      </c>
      <c r="E327" s="1" t="inlineStr">
        <is>
          <t>2027BUD_V1</t>
        </is>
      </c>
      <c r="F327" s="1" t="inlineStr">
        <is>
          <t>12</t>
        </is>
      </c>
      <c r="G327" t="n">
        <v>158432</v>
      </c>
      <c r="H327">
        <f>IF(PNL!A327="","",_CALC_PNL!P327)</f>
        <v/>
      </c>
      <c r="I327">
        <f>IF(PNL!A327="","",IF(_CALC_PNL!E327=1,H327-G327,""))</f>
        <v/>
      </c>
    </row>
    <row r="328">
      <c r="A328" s="1" t="inlineStr">
        <is>
          <t>MBWAY_BOR</t>
        </is>
      </c>
      <c r="B328" s="1" t="inlineStr">
        <is>
          <t>6413</t>
        </is>
      </c>
      <c r="C328" s="1" t="inlineStr">
        <is>
          <t>2025</t>
        </is>
      </c>
      <c r="D328" s="1" t="inlineStr">
        <is>
          <t>ACT</t>
        </is>
      </c>
      <c r="E328" s="1" t="inlineStr">
        <is>
          <t>2027BUD_V1</t>
        </is>
      </c>
      <c r="F328" s="1" t="inlineStr">
        <is>
          <t>12</t>
        </is>
      </c>
      <c r="G328" t="n">
        <v>140891</v>
      </c>
      <c r="H328">
        <f>IF(PNL!A328="","",_CALC_PNL!P328)</f>
        <v/>
      </c>
      <c r="I328">
        <f>IF(PNL!A328="","",IF(_CALC_PNL!E328=1,H328-G328,""))</f>
        <v/>
      </c>
    </row>
    <row r="329">
      <c r="A329" s="1" t="inlineStr">
        <is>
          <t>ISCOM_PAR</t>
        </is>
      </c>
      <c r="B329" s="1" t="inlineStr">
        <is>
          <t>6413</t>
        </is>
      </c>
      <c r="C329" s="1" t="inlineStr">
        <is>
          <t>2025</t>
        </is>
      </c>
      <c r="D329" s="1" t="inlineStr">
        <is>
          <t>ACT</t>
        </is>
      </c>
      <c r="E329" s="1" t="inlineStr">
        <is>
          <t>2027BUD_V1</t>
        </is>
      </c>
      <c r="F329" s="1" t="inlineStr">
        <is>
          <t>12</t>
        </is>
      </c>
      <c r="G329" t="n">
        <v>309039</v>
      </c>
      <c r="H329">
        <f>IF(PNL!A329="","",_CALC_PNL!P329)</f>
        <v/>
      </c>
      <c r="I329">
        <f>IF(PNL!A329="","",IF(_CALC_PNL!E329=1,H329-G329,""))</f>
        <v/>
      </c>
    </row>
    <row r="330">
      <c r="A330" s="1" t="inlineStr">
        <is>
          <t>ISCOM_LIL</t>
        </is>
      </c>
      <c r="B330" s="1" t="inlineStr">
        <is>
          <t>6413</t>
        </is>
      </c>
      <c r="C330" s="1" t="inlineStr">
        <is>
          <t>2025</t>
        </is>
      </c>
      <c r="D330" s="1" t="inlineStr">
        <is>
          <t>ACT</t>
        </is>
      </c>
      <c r="E330" s="1" t="inlineStr">
        <is>
          <t>2027BUD_V1</t>
        </is>
      </c>
      <c r="F330" s="1" t="inlineStr">
        <is>
          <t>12</t>
        </is>
      </c>
      <c r="G330" t="n">
        <v>120969</v>
      </c>
      <c r="H330">
        <f>IF(PNL!A330="","",_CALC_PNL!P330)</f>
        <v/>
      </c>
      <c r="I330">
        <f>IF(PNL!A330="","",IF(_CALC_PNL!E330=1,H330-G330,""))</f>
        <v/>
      </c>
    </row>
    <row r="331">
      <c r="A331" s="1" t="inlineStr">
        <is>
          <t>ISCOM_TLS</t>
        </is>
      </c>
      <c r="B331" s="1" t="inlineStr">
        <is>
          <t>6413</t>
        </is>
      </c>
      <c r="C331" s="1" t="inlineStr">
        <is>
          <t>2025</t>
        </is>
      </c>
      <c r="D331" s="1" t="inlineStr">
        <is>
          <t>ACT</t>
        </is>
      </c>
      <c r="E331" s="1" t="inlineStr">
        <is>
          <t>2027BUD_V1</t>
        </is>
      </c>
      <c r="F331" s="1" t="inlineStr">
        <is>
          <t>12</t>
        </is>
      </c>
      <c r="G331" t="n">
        <v>112034</v>
      </c>
      <c r="H331">
        <f>IF(PNL!A331="","",_CALC_PNL!P331)</f>
        <v/>
      </c>
      <c r="I331">
        <f>IF(PNL!A331="","",IF(_CALC_PNL!E331=1,H331-G331,""))</f>
        <v/>
      </c>
    </row>
    <row r="332">
      <c r="A332" s="1" t="inlineStr">
        <is>
          <t>IPAC_NAN</t>
        </is>
      </c>
      <c r="B332" s="1" t="inlineStr">
        <is>
          <t>6413</t>
        </is>
      </c>
      <c r="C332" s="1" t="inlineStr">
        <is>
          <t>2025</t>
        </is>
      </c>
      <c r="D332" s="1" t="inlineStr">
        <is>
          <t>ACT</t>
        </is>
      </c>
      <c r="E332" s="1" t="inlineStr">
        <is>
          <t>2027BUD_V1</t>
        </is>
      </c>
      <c r="F332" s="1" t="inlineStr">
        <is>
          <t>12</t>
        </is>
      </c>
      <c r="G332" t="n">
        <v>78138</v>
      </c>
      <c r="H332">
        <f>IF(PNL!A332="","",_CALC_PNL!P332)</f>
        <v/>
      </c>
      <c r="I332">
        <f>IF(PNL!A332="","",IF(_CALC_PNL!E332=1,H332-G332,""))</f>
        <v/>
      </c>
    </row>
    <row r="333">
      <c r="A333" s="1" t="inlineStr">
        <is>
          <t>IPAC_REN</t>
        </is>
      </c>
      <c r="B333" s="1" t="inlineStr">
        <is>
          <t>6413</t>
        </is>
      </c>
      <c r="C333" s="1" t="inlineStr">
        <is>
          <t>2025</t>
        </is>
      </c>
      <c r="D333" s="1" t="inlineStr">
        <is>
          <t>ACT</t>
        </is>
      </c>
      <c r="E333" s="1" t="inlineStr">
        <is>
          <t>2027BUD_V1</t>
        </is>
      </c>
      <c r="F333" s="1" t="inlineStr">
        <is>
          <t>12</t>
        </is>
      </c>
      <c r="G333" t="n">
        <v>55484</v>
      </c>
      <c r="H333">
        <f>IF(PNL!A333="","",_CALC_PNL!P333)</f>
        <v/>
      </c>
      <c r="I333">
        <f>IF(PNL!A333="","",IF(_CALC_PNL!E333=1,H333-G333,""))</f>
        <v/>
      </c>
    </row>
    <row r="334">
      <c r="A334" s="1" t="inlineStr">
        <is>
          <t>IPAC_MTP</t>
        </is>
      </c>
      <c r="B334" s="1" t="inlineStr">
        <is>
          <t>6413</t>
        </is>
      </c>
      <c r="C334" s="1" t="inlineStr">
        <is>
          <t>2025</t>
        </is>
      </c>
      <c r="D334" s="1" t="inlineStr">
        <is>
          <t>ACT</t>
        </is>
      </c>
      <c r="E334" s="1" t="inlineStr">
        <is>
          <t>2027BUD_V1</t>
        </is>
      </c>
      <c r="F334" s="1" t="inlineStr">
        <is>
          <t>12</t>
        </is>
      </c>
      <c r="G334" t="n">
        <v>55484</v>
      </c>
      <c r="H334">
        <f>IF(PNL!A334="","",_CALC_PNL!P334)</f>
        <v/>
      </c>
      <c r="I334">
        <f>IF(PNL!A334="","",IF(_CALC_PNL!E334=1,H334-G334,""))</f>
        <v/>
      </c>
    </row>
    <row r="335">
      <c r="A335" s="1" t="inlineStr">
        <is>
          <t>PIGIER_LYO</t>
        </is>
      </c>
      <c r="B335" s="1" t="inlineStr">
        <is>
          <t>6413</t>
        </is>
      </c>
      <c r="C335" s="1" t="inlineStr">
        <is>
          <t>2025</t>
        </is>
      </c>
      <c r="D335" s="1" t="inlineStr">
        <is>
          <t>ACT</t>
        </is>
      </c>
      <c r="E335" s="1" t="inlineStr">
        <is>
          <t>2027BUD_V1</t>
        </is>
      </c>
      <c r="F335" s="1" t="inlineStr">
        <is>
          <t>12</t>
        </is>
      </c>
      <c r="G335" t="n">
        <v>109846</v>
      </c>
      <c r="H335">
        <f>IF(PNL!A335="","",_CALC_PNL!P335)</f>
        <v/>
      </c>
      <c r="I335">
        <f>IF(PNL!A335="","",IF(_CALC_PNL!E335=1,H335-G335,""))</f>
        <v/>
      </c>
    </row>
    <row r="336">
      <c r="A336" s="1" t="inlineStr">
        <is>
          <t>PIGIER_BOR</t>
        </is>
      </c>
      <c r="B336" s="1" t="inlineStr">
        <is>
          <t>6413</t>
        </is>
      </c>
      <c r="C336" s="1" t="inlineStr">
        <is>
          <t>2025</t>
        </is>
      </c>
      <c r="D336" s="1" t="inlineStr">
        <is>
          <t>ACT</t>
        </is>
      </c>
      <c r="E336" s="1" t="inlineStr">
        <is>
          <t>2027BUD_V1</t>
        </is>
      </c>
      <c r="F336" s="1" t="inlineStr">
        <is>
          <t>12</t>
        </is>
      </c>
      <c r="G336" t="n">
        <v>80348</v>
      </c>
      <c r="H336">
        <f>IF(PNL!A336="","",_CALC_PNL!P336)</f>
        <v/>
      </c>
      <c r="I336">
        <f>IF(PNL!A336="","",IF(_CALC_PNL!E336=1,H336-G336,""))</f>
        <v/>
      </c>
    </row>
    <row r="337">
      <c r="A337" s="1" t="inlineStr">
        <is>
          <t>TUNON_PAR</t>
        </is>
      </c>
      <c r="B337" s="1" t="inlineStr">
        <is>
          <t>6413</t>
        </is>
      </c>
      <c r="C337" s="1" t="inlineStr">
        <is>
          <t>2025</t>
        </is>
      </c>
      <c r="D337" s="1" t="inlineStr">
        <is>
          <t>ACT</t>
        </is>
      </c>
      <c r="E337" s="1" t="inlineStr">
        <is>
          <t>2027BUD_V1</t>
        </is>
      </c>
      <c r="F337" s="1" t="inlineStr">
        <is>
          <t>12</t>
        </is>
      </c>
      <c r="G337" t="n">
        <v>120473</v>
      </c>
      <c r="H337">
        <f>IF(PNL!A337="","",_CALC_PNL!P337)</f>
        <v/>
      </c>
      <c r="I337">
        <f>IF(PNL!A337="","",IF(_CALC_PNL!E337=1,H337-G337,""))</f>
        <v/>
      </c>
    </row>
    <row r="338">
      <c r="A338" s="1" t="inlineStr">
        <is>
          <t>TUNON_LYO</t>
        </is>
      </c>
      <c r="B338" s="1" t="inlineStr">
        <is>
          <t>6413</t>
        </is>
      </c>
      <c r="C338" s="1" t="inlineStr">
        <is>
          <t>2025</t>
        </is>
      </c>
      <c r="D338" s="1" t="inlineStr">
        <is>
          <t>ACT</t>
        </is>
      </c>
      <c r="E338" s="1" t="inlineStr">
        <is>
          <t>2027BUD_V1</t>
        </is>
      </c>
      <c r="F338" s="1" t="inlineStr">
        <is>
          <t>12</t>
        </is>
      </c>
      <c r="G338" t="n">
        <v>70615</v>
      </c>
      <c r="H338">
        <f>IF(PNL!A338="","",_CALC_PNL!P338)</f>
        <v/>
      </c>
      <c r="I338">
        <f>IF(PNL!A338="","",IF(_CALC_PNL!E338=1,H338-G338,""))</f>
        <v/>
      </c>
    </row>
    <row r="339">
      <c r="A339" s="1" t="inlineStr">
        <is>
          <t>MBWAY_PAR</t>
        </is>
      </c>
      <c r="B339" s="1" t="inlineStr">
        <is>
          <t>6413</t>
        </is>
      </c>
      <c r="C339" s="1" t="inlineStr">
        <is>
          <t>2026</t>
        </is>
      </c>
      <c r="D339" s="1" t="inlineStr">
        <is>
          <t>ACT</t>
        </is>
      </c>
      <c r="E339" s="1" t="inlineStr">
        <is>
          <t>2027BUD_V1</t>
        </is>
      </c>
      <c r="F339" s="1" t="inlineStr">
        <is>
          <t>12</t>
        </is>
      </c>
      <c r="G339" t="n">
        <v>349401</v>
      </c>
      <c r="H339">
        <f>IF(PNL!A339="","",_CALC_PNL!P339)</f>
        <v/>
      </c>
      <c r="I339">
        <f>IF(PNL!A339="","",IF(_CALC_PNL!E339=1,H339-G339,""))</f>
        <v/>
      </c>
    </row>
    <row r="340">
      <c r="A340" s="1" t="inlineStr">
        <is>
          <t>MBWAY_LYO</t>
        </is>
      </c>
      <c r="B340" s="1" t="inlineStr">
        <is>
          <t>6413</t>
        </is>
      </c>
      <c r="C340" s="1" t="inlineStr">
        <is>
          <t>2026</t>
        </is>
      </c>
      <c r="D340" s="1" t="inlineStr">
        <is>
          <t>ACT</t>
        </is>
      </c>
      <c r="E340" s="1" t="inlineStr">
        <is>
          <t>2027BUD_V1</t>
        </is>
      </c>
      <c r="F340" s="1" t="inlineStr">
        <is>
          <t>12</t>
        </is>
      </c>
      <c r="G340" t="n">
        <v>204885</v>
      </c>
      <c r="H340">
        <f>IF(PNL!A340="","",_CALC_PNL!P340)</f>
        <v/>
      </c>
      <c r="I340">
        <f>IF(PNL!A340="","",IF(_CALC_PNL!E340=1,H340-G340,""))</f>
        <v/>
      </c>
    </row>
    <row r="341">
      <c r="A341" s="1" t="inlineStr">
        <is>
          <t>MBWAY_NAN</t>
        </is>
      </c>
      <c r="B341" s="1" t="inlineStr">
        <is>
          <t>6413</t>
        </is>
      </c>
      <c r="C341" s="1" t="inlineStr">
        <is>
          <t>2026</t>
        </is>
      </c>
      <c r="D341" s="1" t="inlineStr">
        <is>
          <t>ACT</t>
        </is>
      </c>
      <c r="E341" s="1" t="inlineStr">
        <is>
          <t>2027BUD_V1</t>
        </is>
      </c>
      <c r="F341" s="1" t="inlineStr">
        <is>
          <t>12</t>
        </is>
      </c>
      <c r="G341" t="n">
        <v>165994</v>
      </c>
      <c r="H341">
        <f>IF(PNL!A341="","",_CALC_PNL!P341)</f>
        <v/>
      </c>
      <c r="I341">
        <f>IF(PNL!A341="","",IF(_CALC_PNL!E341=1,H341-G341,""))</f>
        <v/>
      </c>
    </row>
    <row r="342">
      <c r="A342" s="1" t="inlineStr">
        <is>
          <t>MBWAY_BOR</t>
        </is>
      </c>
      <c r="B342" s="1" t="inlineStr">
        <is>
          <t>6413</t>
        </is>
      </c>
      <c r="C342" s="1" t="inlineStr">
        <is>
          <t>2026</t>
        </is>
      </c>
      <c r="D342" s="1" t="inlineStr">
        <is>
          <t>ACT</t>
        </is>
      </c>
      <c r="E342" s="1" t="inlineStr">
        <is>
          <t>2027BUD_V1</t>
        </is>
      </c>
      <c r="F342" s="1" t="inlineStr">
        <is>
          <t>12</t>
        </is>
      </c>
      <c r="G342" t="n">
        <v>147616</v>
      </c>
      <c r="H342">
        <f>IF(PNL!A342="","",_CALC_PNL!P342)</f>
        <v/>
      </c>
      <c r="I342">
        <f>IF(PNL!A342="","",IF(_CALC_PNL!E342=1,H342-G342,""))</f>
        <v/>
      </c>
    </row>
    <row r="343">
      <c r="A343" s="1" t="inlineStr">
        <is>
          <t>ISCOM_PAR</t>
        </is>
      </c>
      <c r="B343" s="1" t="inlineStr">
        <is>
          <t>6413</t>
        </is>
      </c>
      <c r="C343" s="1" t="inlineStr">
        <is>
          <t>2026</t>
        </is>
      </c>
      <c r="D343" s="1" t="inlineStr">
        <is>
          <t>ACT</t>
        </is>
      </c>
      <c r="E343" s="1" t="inlineStr">
        <is>
          <t>2027BUD_V1</t>
        </is>
      </c>
      <c r="F343" s="1" t="inlineStr">
        <is>
          <t>12</t>
        </is>
      </c>
      <c r="G343" t="n">
        <v>323791</v>
      </c>
      <c r="H343">
        <f>IF(PNL!A343="","",_CALC_PNL!P343)</f>
        <v/>
      </c>
      <c r="I343">
        <f>IF(PNL!A343="","",IF(_CALC_PNL!E343=1,H343-G343,""))</f>
        <v/>
      </c>
    </row>
    <row r="344">
      <c r="A344" s="1" t="inlineStr">
        <is>
          <t>ISCOM_LIL</t>
        </is>
      </c>
      <c r="B344" s="1" t="inlineStr">
        <is>
          <t>6413</t>
        </is>
      </c>
      <c r="C344" s="1" t="inlineStr">
        <is>
          <t>2026</t>
        </is>
      </c>
      <c r="D344" s="1" t="inlineStr">
        <is>
          <t>ACT</t>
        </is>
      </c>
      <c r="E344" s="1" t="inlineStr">
        <is>
          <t>2027BUD_V1</t>
        </is>
      </c>
      <c r="F344" s="1" t="inlineStr">
        <is>
          <t>12</t>
        </is>
      </c>
      <c r="G344" t="n">
        <v>126743</v>
      </c>
      <c r="H344">
        <f>IF(PNL!A344="","",_CALC_PNL!P344)</f>
        <v/>
      </c>
      <c r="I344">
        <f>IF(PNL!A344="","",IF(_CALC_PNL!E344=1,H344-G344,""))</f>
        <v/>
      </c>
    </row>
    <row r="345">
      <c r="A345" s="1" t="inlineStr">
        <is>
          <t>ISCOM_TLS</t>
        </is>
      </c>
      <c r="B345" s="1" t="inlineStr">
        <is>
          <t>6413</t>
        </is>
      </c>
      <c r="C345" s="1" t="inlineStr">
        <is>
          <t>2026</t>
        </is>
      </c>
      <c r="D345" s="1" t="inlineStr">
        <is>
          <t>ACT</t>
        </is>
      </c>
      <c r="E345" s="1" t="inlineStr">
        <is>
          <t>2027BUD_V1</t>
        </is>
      </c>
      <c r="F345" s="1" t="inlineStr">
        <is>
          <t>12</t>
        </is>
      </c>
      <c r="G345" t="n">
        <v>117382</v>
      </c>
      <c r="H345">
        <f>IF(PNL!A345="","",_CALC_PNL!P345)</f>
        <v/>
      </c>
      <c r="I345">
        <f>IF(PNL!A345="","",IF(_CALC_PNL!E345=1,H345-G345,""))</f>
        <v/>
      </c>
    </row>
    <row r="346">
      <c r="A346" s="1" t="inlineStr">
        <is>
          <t>IPAC_NAN</t>
        </is>
      </c>
      <c r="B346" s="1" t="inlineStr">
        <is>
          <t>6413</t>
        </is>
      </c>
      <c r="C346" s="1" t="inlineStr">
        <is>
          <t>2026</t>
        </is>
      </c>
      <c r="D346" s="1" t="inlineStr">
        <is>
          <t>ACT</t>
        </is>
      </c>
      <c r="E346" s="1" t="inlineStr">
        <is>
          <t>2027BUD_V1</t>
        </is>
      </c>
      <c r="F346" s="1" t="inlineStr">
        <is>
          <t>12</t>
        </is>
      </c>
      <c r="G346" t="n">
        <v>81868</v>
      </c>
      <c r="H346">
        <f>IF(PNL!A346="","",_CALC_PNL!P346)</f>
        <v/>
      </c>
      <c r="I346">
        <f>IF(PNL!A346="","",IF(_CALC_PNL!E346=1,H346-G346,""))</f>
        <v/>
      </c>
    </row>
    <row r="347">
      <c r="A347" s="1" t="inlineStr">
        <is>
          <t>IPAC_REN</t>
        </is>
      </c>
      <c r="B347" s="1" t="inlineStr">
        <is>
          <t>6413</t>
        </is>
      </c>
      <c r="C347" s="1" t="inlineStr">
        <is>
          <t>2026</t>
        </is>
      </c>
      <c r="D347" s="1" t="inlineStr">
        <is>
          <t>ACT</t>
        </is>
      </c>
      <c r="E347" s="1" t="inlineStr">
        <is>
          <t>2027BUD_V1</t>
        </is>
      </c>
      <c r="F347" s="1" t="inlineStr">
        <is>
          <t>12</t>
        </is>
      </c>
      <c r="G347" t="n">
        <v>58132</v>
      </c>
      <c r="H347">
        <f>IF(PNL!A347="","",_CALC_PNL!P347)</f>
        <v/>
      </c>
      <c r="I347">
        <f>IF(PNL!A347="","",IF(_CALC_PNL!E347=1,H347-G347,""))</f>
        <v/>
      </c>
    </row>
    <row r="348">
      <c r="A348" s="1" t="inlineStr">
        <is>
          <t>IPAC_MTP</t>
        </is>
      </c>
      <c r="B348" s="1" t="inlineStr">
        <is>
          <t>6413</t>
        </is>
      </c>
      <c r="C348" s="1" t="inlineStr">
        <is>
          <t>2026</t>
        </is>
      </c>
      <c r="D348" s="1" t="inlineStr">
        <is>
          <t>ACT</t>
        </is>
      </c>
      <c r="E348" s="1" t="inlineStr">
        <is>
          <t>2027BUD_V1</t>
        </is>
      </c>
      <c r="F348" s="1" t="inlineStr">
        <is>
          <t>12</t>
        </is>
      </c>
      <c r="G348" t="n">
        <v>58132</v>
      </c>
      <c r="H348">
        <f>IF(PNL!A348="","",_CALC_PNL!P348)</f>
        <v/>
      </c>
      <c r="I348">
        <f>IF(PNL!A348="","",IF(_CALC_PNL!E348=1,H348-G348,""))</f>
        <v/>
      </c>
    </row>
    <row r="349">
      <c r="A349" s="1" t="inlineStr">
        <is>
          <t>PIGIER_LYO</t>
        </is>
      </c>
      <c r="B349" s="1" t="inlineStr">
        <is>
          <t>6413</t>
        </is>
      </c>
      <c r="C349" s="1" t="inlineStr">
        <is>
          <t>2026</t>
        </is>
      </c>
      <c r="D349" s="1" t="inlineStr">
        <is>
          <t>ACT</t>
        </is>
      </c>
      <c r="E349" s="1" t="inlineStr">
        <is>
          <t>2027BUD_V1</t>
        </is>
      </c>
      <c r="F349" s="1" t="inlineStr">
        <is>
          <t>12</t>
        </is>
      </c>
      <c r="G349" t="n">
        <v>115089</v>
      </c>
      <c r="H349">
        <f>IF(PNL!A349="","",_CALC_PNL!P349)</f>
        <v/>
      </c>
      <c r="I349">
        <f>IF(PNL!A349="","",IF(_CALC_PNL!E349=1,H349-G349,""))</f>
        <v/>
      </c>
    </row>
    <row r="350">
      <c r="A350" s="1" t="inlineStr">
        <is>
          <t>PIGIER_BOR</t>
        </is>
      </c>
      <c r="B350" s="1" t="inlineStr">
        <is>
          <t>6413</t>
        </is>
      </c>
      <c r="C350" s="1" t="inlineStr">
        <is>
          <t>2026</t>
        </is>
      </c>
      <c r="D350" s="1" t="inlineStr">
        <is>
          <t>ACT</t>
        </is>
      </c>
      <c r="E350" s="1" t="inlineStr">
        <is>
          <t>2027BUD_V1</t>
        </is>
      </c>
      <c r="F350" s="1" t="inlineStr">
        <is>
          <t>12</t>
        </is>
      </c>
      <c r="G350" t="n">
        <v>84183</v>
      </c>
      <c r="H350">
        <f>IF(PNL!A350="","",_CALC_PNL!P350)</f>
        <v/>
      </c>
      <c r="I350">
        <f>IF(PNL!A350="","",IF(_CALC_PNL!E350=1,H350-G350,""))</f>
        <v/>
      </c>
    </row>
    <row r="351">
      <c r="A351" s="1" t="inlineStr">
        <is>
          <t>TUNON_PAR</t>
        </is>
      </c>
      <c r="B351" s="1" t="inlineStr">
        <is>
          <t>6413</t>
        </is>
      </c>
      <c r="C351" s="1" t="inlineStr">
        <is>
          <t>2026</t>
        </is>
      </c>
      <c r="D351" s="1" t="inlineStr">
        <is>
          <t>ACT</t>
        </is>
      </c>
      <c r="E351" s="1" t="inlineStr">
        <is>
          <t>2027BUD_V1</t>
        </is>
      </c>
      <c r="F351" s="1" t="inlineStr">
        <is>
          <t>12</t>
        </is>
      </c>
      <c r="G351" t="n">
        <v>126224</v>
      </c>
      <c r="H351">
        <f>IF(PNL!A351="","",_CALC_PNL!P351)</f>
        <v/>
      </c>
      <c r="I351">
        <f>IF(PNL!A351="","",IF(_CALC_PNL!E351=1,H351-G351,""))</f>
        <v/>
      </c>
    </row>
    <row r="352">
      <c r="A352" s="1" t="inlineStr">
        <is>
          <t>TUNON_LYO</t>
        </is>
      </c>
      <c r="B352" s="1" t="inlineStr">
        <is>
          <t>6413</t>
        </is>
      </c>
      <c r="C352" s="1" t="inlineStr">
        <is>
          <t>2026</t>
        </is>
      </c>
      <c r="D352" s="1" t="inlineStr">
        <is>
          <t>ACT</t>
        </is>
      </c>
      <c r="E352" s="1" t="inlineStr">
        <is>
          <t>2027BUD_V1</t>
        </is>
      </c>
      <c r="F352" s="1" t="inlineStr">
        <is>
          <t>12</t>
        </is>
      </c>
      <c r="G352" t="n">
        <v>73986</v>
      </c>
      <c r="H352">
        <f>IF(PNL!A352="","",_CALC_PNL!P352)</f>
        <v/>
      </c>
      <c r="I352">
        <f>IF(PNL!A352="","",IF(_CALC_PNL!E352=1,H352-G352,""))</f>
        <v/>
      </c>
    </row>
    <row r="353">
      <c r="A353" s="1" t="inlineStr">
        <is>
          <t>GRP</t>
        </is>
      </c>
      <c r="B353" s="1" t="inlineStr">
        <is>
          <t>6414</t>
        </is>
      </c>
      <c r="C353" s="1" t="inlineStr">
        <is>
          <t>2024</t>
        </is>
      </c>
      <c r="D353" s="1" t="inlineStr">
        <is>
          <t>ACT</t>
        </is>
      </c>
      <c r="E353" s="1" t="inlineStr">
        <is>
          <t>2027BUD_V1</t>
        </is>
      </c>
      <c r="F353" s="1" t="inlineStr">
        <is>
          <t>12</t>
        </is>
      </c>
      <c r="G353" t="n">
        <v>1134071</v>
      </c>
      <c r="H353">
        <f>IF(PNL!A353="","",_CALC_PNL!P353)</f>
        <v/>
      </c>
      <c r="I353">
        <f>IF(PNL!A353="","",IF(_CALC_PNL!E353=1,H353-G353,""))</f>
        <v/>
      </c>
    </row>
    <row r="354">
      <c r="A354" s="1" t="inlineStr">
        <is>
          <t>GRP</t>
        </is>
      </c>
      <c r="B354" s="1" t="inlineStr">
        <is>
          <t>6414</t>
        </is>
      </c>
      <c r="C354" s="1" t="inlineStr">
        <is>
          <t>2025</t>
        </is>
      </c>
      <c r="D354" s="1" t="inlineStr">
        <is>
          <t>ACT</t>
        </is>
      </c>
      <c r="E354" s="1" t="inlineStr">
        <is>
          <t>2027BUD_V1</t>
        </is>
      </c>
      <c r="F354" s="1" t="inlineStr">
        <is>
          <t>12</t>
        </is>
      </c>
      <c r="G354" t="n">
        <v>1186037</v>
      </c>
      <c r="H354">
        <f>IF(PNL!A354="","",_CALC_PNL!P354)</f>
        <v/>
      </c>
      <c r="I354">
        <f>IF(PNL!A354="","",IF(_CALC_PNL!E354=1,H354-G354,""))</f>
        <v/>
      </c>
    </row>
    <row r="355">
      <c r="A355" s="1" t="inlineStr">
        <is>
          <t>GRP</t>
        </is>
      </c>
      <c r="B355" s="1" t="inlineStr">
        <is>
          <t>6414</t>
        </is>
      </c>
      <c r="C355" s="1" t="inlineStr">
        <is>
          <t>2026</t>
        </is>
      </c>
      <c r="D355" s="1" t="inlineStr">
        <is>
          <t>ACT</t>
        </is>
      </c>
      <c r="E355" s="1" t="inlineStr">
        <is>
          <t>2027BUD_V1</t>
        </is>
      </c>
      <c r="F355" s="1" t="inlineStr">
        <is>
          <t>12</t>
        </is>
      </c>
      <c r="G355" t="n">
        <v>1242649</v>
      </c>
      <c r="H355">
        <f>IF(PNL!A355="","",_CALC_PNL!P355)</f>
        <v/>
      </c>
      <c r="I355">
        <f>IF(PNL!A355="","",IF(_CALC_PNL!E355=1,H355-G355,""))</f>
        <v/>
      </c>
    </row>
    <row r="356">
      <c r="A356" s="1" t="inlineStr">
        <is>
          <t>MBWAY_PAR</t>
        </is>
      </c>
      <c r="B356" s="1" t="inlineStr">
        <is>
          <t>645</t>
        </is>
      </c>
      <c r="C356" s="1" t="inlineStr">
        <is>
          <t>2024</t>
        </is>
      </c>
      <c r="D356" s="1" t="inlineStr">
        <is>
          <t>ACT</t>
        </is>
      </c>
      <c r="E356" s="1" t="inlineStr">
        <is>
          <t>2027BUD_V1</t>
        </is>
      </c>
      <c r="F356" s="1" t="inlineStr">
        <is>
          <t>12</t>
        </is>
      </c>
      <c r="G356" t="n">
        <v>496023</v>
      </c>
      <c r="H356">
        <f>IF(PNL!A356="","",_CALC_PNL!P356)</f>
        <v/>
      </c>
      <c r="I356">
        <f>IF(PNL!A356="","",IF(_CALC_PNL!E356=1,H356-G356,""))</f>
        <v/>
      </c>
    </row>
    <row r="357">
      <c r="A357" s="1" t="inlineStr">
        <is>
          <t>MBWAY_LYO</t>
        </is>
      </c>
      <c r="B357" s="1" t="inlineStr">
        <is>
          <t>645</t>
        </is>
      </c>
      <c r="C357" s="1" t="inlineStr">
        <is>
          <t>2024</t>
        </is>
      </c>
      <c r="D357" s="1" t="inlineStr">
        <is>
          <t>ACT</t>
        </is>
      </c>
      <c r="E357" s="1" t="inlineStr">
        <is>
          <t>2027BUD_V1</t>
        </is>
      </c>
      <c r="F357" s="1" t="inlineStr">
        <is>
          <t>12</t>
        </is>
      </c>
      <c r="G357" t="n">
        <v>290862</v>
      </c>
      <c r="H357">
        <f>IF(PNL!A357="","",_CALC_PNL!P357)</f>
        <v/>
      </c>
      <c r="I357">
        <f>IF(PNL!A357="","",IF(_CALC_PNL!E357=1,H357-G357,""))</f>
        <v/>
      </c>
    </row>
    <row r="358">
      <c r="A358" s="1" t="inlineStr">
        <is>
          <t>MBWAY_NAN</t>
        </is>
      </c>
      <c r="B358" s="1" t="inlineStr">
        <is>
          <t>645</t>
        </is>
      </c>
      <c r="C358" s="1" t="inlineStr">
        <is>
          <t>2024</t>
        </is>
      </c>
      <c r="D358" s="1" t="inlineStr">
        <is>
          <t>ACT</t>
        </is>
      </c>
      <c r="E358" s="1" t="inlineStr">
        <is>
          <t>2027BUD_V1</t>
        </is>
      </c>
      <c r="F358" s="1" t="inlineStr">
        <is>
          <t>12</t>
        </is>
      </c>
      <c r="G358" t="n">
        <v>235652</v>
      </c>
      <c r="H358">
        <f>IF(PNL!A358="","",_CALC_PNL!P358)</f>
        <v/>
      </c>
      <c r="I358">
        <f>IF(PNL!A358="","",IF(_CALC_PNL!E358=1,H358-G358,""))</f>
        <v/>
      </c>
    </row>
    <row r="359">
      <c r="A359" s="1" t="inlineStr">
        <is>
          <t>MBWAY_BOR</t>
        </is>
      </c>
      <c r="B359" s="1" t="inlineStr">
        <is>
          <t>645</t>
        </is>
      </c>
      <c r="C359" s="1" t="inlineStr">
        <is>
          <t>2024</t>
        </is>
      </c>
      <c r="D359" s="1" t="inlineStr">
        <is>
          <t>ACT</t>
        </is>
      </c>
      <c r="E359" s="1" t="inlineStr">
        <is>
          <t>2027BUD_V1</t>
        </is>
      </c>
      <c r="F359" s="1" t="inlineStr">
        <is>
          <t>12</t>
        </is>
      </c>
      <c r="G359" t="n">
        <v>209562</v>
      </c>
      <c r="H359">
        <f>IF(PNL!A359="","",_CALC_PNL!P359)</f>
        <v/>
      </c>
      <c r="I359">
        <f>IF(PNL!A359="","",IF(_CALC_PNL!E359=1,H359-G359,""))</f>
        <v/>
      </c>
    </row>
    <row r="360">
      <c r="A360" s="1" t="inlineStr">
        <is>
          <t>ISCOM_PAR</t>
        </is>
      </c>
      <c r="B360" s="1" t="inlineStr">
        <is>
          <t>645</t>
        </is>
      </c>
      <c r="C360" s="1" t="inlineStr">
        <is>
          <t>2024</t>
        </is>
      </c>
      <c r="D360" s="1" t="inlineStr">
        <is>
          <t>ACT</t>
        </is>
      </c>
      <c r="E360" s="1" t="inlineStr">
        <is>
          <t>2027BUD_V1</t>
        </is>
      </c>
      <c r="F360" s="1" t="inlineStr">
        <is>
          <t>12</t>
        </is>
      </c>
      <c r="G360" t="n">
        <v>459665</v>
      </c>
      <c r="H360">
        <f>IF(PNL!A360="","",_CALC_PNL!P360)</f>
        <v/>
      </c>
      <c r="I360">
        <f>IF(PNL!A360="","",IF(_CALC_PNL!E360=1,H360-G360,""))</f>
        <v/>
      </c>
    </row>
    <row r="361">
      <c r="A361" s="1" t="inlineStr">
        <is>
          <t>ISCOM_LIL</t>
        </is>
      </c>
      <c r="B361" s="1" t="inlineStr">
        <is>
          <t>645</t>
        </is>
      </c>
      <c r="C361" s="1" t="inlineStr">
        <is>
          <t>2024</t>
        </is>
      </c>
      <c r="D361" s="1" t="inlineStr">
        <is>
          <t>ACT</t>
        </is>
      </c>
      <c r="E361" s="1" t="inlineStr">
        <is>
          <t>2027BUD_V1</t>
        </is>
      </c>
      <c r="F361" s="1" t="inlineStr">
        <is>
          <t>12</t>
        </is>
      </c>
      <c r="G361" t="n">
        <v>179929</v>
      </c>
      <c r="H361">
        <f>IF(PNL!A361="","",_CALC_PNL!P361)</f>
        <v/>
      </c>
      <c r="I361">
        <f>IF(PNL!A361="","",IF(_CALC_PNL!E361=1,H361-G361,""))</f>
        <v/>
      </c>
    </row>
    <row r="362">
      <c r="A362" s="1" t="inlineStr">
        <is>
          <t>ISCOM_TLS</t>
        </is>
      </c>
      <c r="B362" s="1" t="inlineStr">
        <is>
          <t>645</t>
        </is>
      </c>
      <c r="C362" s="1" t="inlineStr">
        <is>
          <t>2024</t>
        </is>
      </c>
      <c r="D362" s="1" t="inlineStr">
        <is>
          <t>ACT</t>
        </is>
      </c>
      <c r="E362" s="1" t="inlineStr">
        <is>
          <t>2027BUD_V1</t>
        </is>
      </c>
      <c r="F362" s="1" t="inlineStr">
        <is>
          <t>12</t>
        </is>
      </c>
      <c r="G362" t="n">
        <v>166639</v>
      </c>
      <c r="H362">
        <f>IF(PNL!A362="","",_CALC_PNL!P362)</f>
        <v/>
      </c>
      <c r="I362">
        <f>IF(PNL!A362="","",IF(_CALC_PNL!E362=1,H362-G362,""))</f>
        <v/>
      </c>
    </row>
    <row r="363">
      <c r="A363" s="1" t="inlineStr">
        <is>
          <t>IPAC_NAN</t>
        </is>
      </c>
      <c r="B363" s="1" t="inlineStr">
        <is>
          <t>645</t>
        </is>
      </c>
      <c r="C363" s="1" t="inlineStr">
        <is>
          <t>2024</t>
        </is>
      </c>
      <c r="D363" s="1" t="inlineStr">
        <is>
          <t>ACT</t>
        </is>
      </c>
      <c r="E363" s="1" t="inlineStr">
        <is>
          <t>2027BUD_V1</t>
        </is>
      </c>
      <c r="F363" s="1" t="inlineStr">
        <is>
          <t>12</t>
        </is>
      </c>
      <c r="G363" t="n">
        <v>116223</v>
      </c>
      <c r="H363">
        <f>IF(PNL!A363="","",_CALC_PNL!P363)</f>
        <v/>
      </c>
      <c r="I363">
        <f>IF(PNL!A363="","",IF(_CALC_PNL!E363=1,H363-G363,""))</f>
        <v/>
      </c>
    </row>
    <row r="364">
      <c r="A364" s="1" t="inlineStr">
        <is>
          <t>IPAC_REN</t>
        </is>
      </c>
      <c r="B364" s="1" t="inlineStr">
        <is>
          <t>645</t>
        </is>
      </c>
      <c r="C364" s="1" t="inlineStr">
        <is>
          <t>2024</t>
        </is>
      </c>
      <c r="D364" s="1" t="inlineStr">
        <is>
          <t>ACT</t>
        </is>
      </c>
      <c r="E364" s="1" t="inlineStr">
        <is>
          <t>2027BUD_V1</t>
        </is>
      </c>
      <c r="F364" s="1" t="inlineStr">
        <is>
          <t>12</t>
        </is>
      </c>
      <c r="G364" t="n">
        <v>82526</v>
      </c>
      <c r="H364">
        <f>IF(PNL!A364="","",_CALC_PNL!P364)</f>
        <v/>
      </c>
      <c r="I364">
        <f>IF(PNL!A364="","",IF(_CALC_PNL!E364=1,H364-G364,""))</f>
        <v/>
      </c>
    </row>
    <row r="365">
      <c r="A365" s="1" t="inlineStr">
        <is>
          <t>IPAC_MTP</t>
        </is>
      </c>
      <c r="B365" s="1" t="inlineStr">
        <is>
          <t>645</t>
        </is>
      </c>
      <c r="C365" s="1" t="inlineStr">
        <is>
          <t>2024</t>
        </is>
      </c>
      <c r="D365" s="1" t="inlineStr">
        <is>
          <t>ACT</t>
        </is>
      </c>
      <c r="E365" s="1" t="inlineStr">
        <is>
          <t>2027BUD_V1</t>
        </is>
      </c>
      <c r="F365" s="1" t="inlineStr">
        <is>
          <t>12</t>
        </is>
      </c>
      <c r="G365" t="n">
        <v>82526</v>
      </c>
      <c r="H365">
        <f>IF(PNL!A365="","",_CALC_PNL!P365)</f>
        <v/>
      </c>
      <c r="I365">
        <f>IF(PNL!A365="","",IF(_CALC_PNL!E365=1,H365-G365,""))</f>
        <v/>
      </c>
    </row>
    <row r="366">
      <c r="A366" s="1" t="inlineStr">
        <is>
          <t>PIGIER_LYO</t>
        </is>
      </c>
      <c r="B366" s="1" t="inlineStr">
        <is>
          <t>645</t>
        </is>
      </c>
      <c r="C366" s="1" t="inlineStr">
        <is>
          <t>2024</t>
        </is>
      </c>
      <c r="D366" s="1" t="inlineStr">
        <is>
          <t>ACT</t>
        </is>
      </c>
      <c r="E366" s="1" t="inlineStr">
        <is>
          <t>2027BUD_V1</t>
        </is>
      </c>
      <c r="F366" s="1" t="inlineStr">
        <is>
          <t>12</t>
        </is>
      </c>
      <c r="G366" t="n">
        <v>163385</v>
      </c>
      <c r="H366">
        <f>IF(PNL!A366="","",_CALC_PNL!P366)</f>
        <v/>
      </c>
      <c r="I366">
        <f>IF(PNL!A366="","",IF(_CALC_PNL!E366=1,H366-G366,""))</f>
        <v/>
      </c>
    </row>
    <row r="367">
      <c r="A367" s="1" t="inlineStr">
        <is>
          <t>PIGIER_BOR</t>
        </is>
      </c>
      <c r="B367" s="1" t="inlineStr">
        <is>
          <t>645</t>
        </is>
      </c>
      <c r="C367" s="1" t="inlineStr">
        <is>
          <t>2024</t>
        </is>
      </c>
      <c r="D367" s="1" t="inlineStr">
        <is>
          <t>ACT</t>
        </is>
      </c>
      <c r="E367" s="1" t="inlineStr">
        <is>
          <t>2027BUD_V1</t>
        </is>
      </c>
      <c r="F367" s="1" t="inlineStr">
        <is>
          <t>12</t>
        </is>
      </c>
      <c r="G367" t="n">
        <v>119509</v>
      </c>
      <c r="H367">
        <f>IF(PNL!A367="","",_CALC_PNL!P367)</f>
        <v/>
      </c>
      <c r="I367">
        <f>IF(PNL!A367="","",IF(_CALC_PNL!E367=1,H367-G367,""))</f>
        <v/>
      </c>
    </row>
    <row r="368">
      <c r="A368" s="1" t="inlineStr">
        <is>
          <t>TUNON_PAR</t>
        </is>
      </c>
      <c r="B368" s="1" t="inlineStr">
        <is>
          <t>645</t>
        </is>
      </c>
      <c r="C368" s="1" t="inlineStr">
        <is>
          <t>2024</t>
        </is>
      </c>
      <c r="D368" s="1" t="inlineStr">
        <is>
          <t>ACT</t>
        </is>
      </c>
      <c r="E368" s="1" t="inlineStr">
        <is>
          <t>2027BUD_V1</t>
        </is>
      </c>
      <c r="F368" s="1" t="inlineStr">
        <is>
          <t>12</t>
        </is>
      </c>
      <c r="G368" t="n">
        <v>179192</v>
      </c>
      <c r="H368">
        <f>IF(PNL!A368="","",_CALC_PNL!P368)</f>
        <v/>
      </c>
      <c r="I368">
        <f>IF(PNL!A368="","",IF(_CALC_PNL!E368=1,H368-G368,""))</f>
        <v/>
      </c>
    </row>
    <row r="369">
      <c r="A369" s="1" t="inlineStr">
        <is>
          <t>TUNON_LYO</t>
        </is>
      </c>
      <c r="B369" s="1" t="inlineStr">
        <is>
          <t>645</t>
        </is>
      </c>
      <c r="C369" s="1" t="inlineStr">
        <is>
          <t>2024</t>
        </is>
      </c>
      <c r="D369" s="1" t="inlineStr">
        <is>
          <t>ACT</t>
        </is>
      </c>
      <c r="E369" s="1" t="inlineStr">
        <is>
          <t>2027BUD_V1</t>
        </is>
      </c>
      <c r="F369" s="1" t="inlineStr">
        <is>
          <t>12</t>
        </is>
      </c>
      <c r="G369" t="n">
        <v>105033</v>
      </c>
      <c r="H369">
        <f>IF(PNL!A369="","",_CALC_PNL!P369)</f>
        <v/>
      </c>
      <c r="I369">
        <f>IF(PNL!A369="","",IF(_CALC_PNL!E369=1,H369-G369,""))</f>
        <v/>
      </c>
    </row>
    <row r="370">
      <c r="A370" s="1" t="inlineStr">
        <is>
          <t>MBWAY_PAR</t>
        </is>
      </c>
      <c r="B370" s="1" t="inlineStr">
        <is>
          <t>645</t>
        </is>
      </c>
      <c r="C370" s="1" t="inlineStr">
        <is>
          <t>2025</t>
        </is>
      </c>
      <c r="D370" s="1" t="inlineStr">
        <is>
          <t>ACT</t>
        </is>
      </c>
      <c r="E370" s="1" t="inlineStr">
        <is>
          <t>2027BUD_V1</t>
        </is>
      </c>
      <c r="F370" s="1" t="inlineStr">
        <is>
          <t>12</t>
        </is>
      </c>
      <c r="G370" t="n">
        <v>518752</v>
      </c>
      <c r="H370">
        <f>IF(PNL!A370="","",_CALC_PNL!P370)</f>
        <v/>
      </c>
      <c r="I370">
        <f>IF(PNL!A370="","",IF(_CALC_PNL!E370=1,H370-G370,""))</f>
        <v/>
      </c>
    </row>
    <row r="371">
      <c r="A371" s="1" t="inlineStr">
        <is>
          <t>MBWAY_LYO</t>
        </is>
      </c>
      <c r="B371" s="1" t="inlineStr">
        <is>
          <t>645</t>
        </is>
      </c>
      <c r="C371" s="1" t="inlineStr">
        <is>
          <t>2025</t>
        </is>
      </c>
      <c r="D371" s="1" t="inlineStr">
        <is>
          <t>ACT</t>
        </is>
      </c>
      <c r="E371" s="1" t="inlineStr">
        <is>
          <t>2027BUD_V1</t>
        </is>
      </c>
      <c r="F371" s="1" t="inlineStr">
        <is>
          <t>12</t>
        </is>
      </c>
      <c r="G371" t="n">
        <v>304190</v>
      </c>
      <c r="H371">
        <f>IF(PNL!A371="","",_CALC_PNL!P371)</f>
        <v/>
      </c>
      <c r="I371">
        <f>IF(PNL!A371="","",IF(_CALC_PNL!E371=1,H371-G371,""))</f>
        <v/>
      </c>
    </row>
    <row r="372">
      <c r="A372" s="1" t="inlineStr">
        <is>
          <t>MBWAY_NAN</t>
        </is>
      </c>
      <c r="B372" s="1" t="inlineStr">
        <is>
          <t>645</t>
        </is>
      </c>
      <c r="C372" s="1" t="inlineStr">
        <is>
          <t>2025</t>
        </is>
      </c>
      <c r="D372" s="1" t="inlineStr">
        <is>
          <t>ACT</t>
        </is>
      </c>
      <c r="E372" s="1" t="inlineStr">
        <is>
          <t>2027BUD_V1</t>
        </is>
      </c>
      <c r="F372" s="1" t="inlineStr">
        <is>
          <t>12</t>
        </is>
      </c>
      <c r="G372" t="n">
        <v>246450</v>
      </c>
      <c r="H372">
        <f>IF(PNL!A372="","",_CALC_PNL!P372)</f>
        <v/>
      </c>
      <c r="I372">
        <f>IF(PNL!A372="","",IF(_CALC_PNL!E372=1,H372-G372,""))</f>
        <v/>
      </c>
    </row>
    <row r="373">
      <c r="A373" s="1" t="inlineStr">
        <is>
          <t>MBWAY_BOR</t>
        </is>
      </c>
      <c r="B373" s="1" t="inlineStr">
        <is>
          <t>645</t>
        </is>
      </c>
      <c r="C373" s="1" t="inlineStr">
        <is>
          <t>2025</t>
        </is>
      </c>
      <c r="D373" s="1" t="inlineStr">
        <is>
          <t>ACT</t>
        </is>
      </c>
      <c r="E373" s="1" t="inlineStr">
        <is>
          <t>2027BUD_V1</t>
        </is>
      </c>
      <c r="F373" s="1" t="inlineStr">
        <is>
          <t>12</t>
        </is>
      </c>
      <c r="G373" t="n">
        <v>219164</v>
      </c>
      <c r="H373">
        <f>IF(PNL!A373="","",_CALC_PNL!P373)</f>
        <v/>
      </c>
      <c r="I373">
        <f>IF(PNL!A373="","",IF(_CALC_PNL!E373=1,H373-G373,""))</f>
        <v/>
      </c>
    </row>
    <row r="374">
      <c r="A374" s="1" t="inlineStr">
        <is>
          <t>ISCOM_PAR</t>
        </is>
      </c>
      <c r="B374" s="1" t="inlineStr">
        <is>
          <t>645</t>
        </is>
      </c>
      <c r="C374" s="1" t="inlineStr">
        <is>
          <t>2025</t>
        </is>
      </c>
      <c r="D374" s="1" t="inlineStr">
        <is>
          <t>ACT</t>
        </is>
      </c>
      <c r="E374" s="1" t="inlineStr">
        <is>
          <t>2027BUD_V1</t>
        </is>
      </c>
      <c r="F374" s="1" t="inlineStr">
        <is>
          <t>12</t>
        </is>
      </c>
      <c r="G374" t="n">
        <v>480728</v>
      </c>
      <c r="H374">
        <f>IF(PNL!A374="","",_CALC_PNL!P374)</f>
        <v/>
      </c>
      <c r="I374">
        <f>IF(PNL!A374="","",IF(_CALC_PNL!E374=1,H374-G374,""))</f>
        <v/>
      </c>
    </row>
    <row r="375">
      <c r="A375" s="1" t="inlineStr">
        <is>
          <t>ISCOM_LIL</t>
        </is>
      </c>
      <c r="B375" s="1" t="inlineStr">
        <is>
          <t>645</t>
        </is>
      </c>
      <c r="C375" s="1" t="inlineStr">
        <is>
          <t>2025</t>
        </is>
      </c>
      <c r="D375" s="1" t="inlineStr">
        <is>
          <t>ACT</t>
        </is>
      </c>
      <c r="E375" s="1" t="inlineStr">
        <is>
          <t>2027BUD_V1</t>
        </is>
      </c>
      <c r="F375" s="1" t="inlineStr">
        <is>
          <t>12</t>
        </is>
      </c>
      <c r="G375" t="n">
        <v>188174</v>
      </c>
      <c r="H375">
        <f>IF(PNL!A375="","",_CALC_PNL!P375)</f>
        <v/>
      </c>
      <c r="I375">
        <f>IF(PNL!A375="","",IF(_CALC_PNL!E375=1,H375-G375,""))</f>
        <v/>
      </c>
    </row>
    <row r="376">
      <c r="A376" s="1" t="inlineStr">
        <is>
          <t>ISCOM_TLS</t>
        </is>
      </c>
      <c r="B376" s="1" t="inlineStr">
        <is>
          <t>645</t>
        </is>
      </c>
      <c r="C376" s="1" t="inlineStr">
        <is>
          <t>2025</t>
        </is>
      </c>
      <c r="D376" s="1" t="inlineStr">
        <is>
          <t>ACT</t>
        </is>
      </c>
      <c r="E376" s="1" t="inlineStr">
        <is>
          <t>2027BUD_V1</t>
        </is>
      </c>
      <c r="F376" s="1" t="inlineStr">
        <is>
          <t>12</t>
        </is>
      </c>
      <c r="G376" t="n">
        <v>174275</v>
      </c>
      <c r="H376">
        <f>IF(PNL!A376="","",_CALC_PNL!P376)</f>
        <v/>
      </c>
      <c r="I376">
        <f>IF(PNL!A376="","",IF(_CALC_PNL!E376=1,H376-G376,""))</f>
        <v/>
      </c>
    </row>
    <row r="377">
      <c r="A377" s="1" t="inlineStr">
        <is>
          <t>IPAC_NAN</t>
        </is>
      </c>
      <c r="B377" s="1" t="inlineStr">
        <is>
          <t>645</t>
        </is>
      </c>
      <c r="C377" s="1" t="inlineStr">
        <is>
          <t>2025</t>
        </is>
      </c>
      <c r="D377" s="1" t="inlineStr">
        <is>
          <t>ACT</t>
        </is>
      </c>
      <c r="E377" s="1" t="inlineStr">
        <is>
          <t>2027BUD_V1</t>
        </is>
      </c>
      <c r="F377" s="1" t="inlineStr">
        <is>
          <t>12</t>
        </is>
      </c>
      <c r="G377" t="n">
        <v>121548</v>
      </c>
      <c r="H377">
        <f>IF(PNL!A377="","",_CALC_PNL!P377)</f>
        <v/>
      </c>
      <c r="I377">
        <f>IF(PNL!A377="","",IF(_CALC_PNL!E377=1,H377-G377,""))</f>
        <v/>
      </c>
    </row>
    <row r="378">
      <c r="A378" s="1" t="inlineStr">
        <is>
          <t>IPAC_REN</t>
        </is>
      </c>
      <c r="B378" s="1" t="inlineStr">
        <is>
          <t>645</t>
        </is>
      </c>
      <c r="C378" s="1" t="inlineStr">
        <is>
          <t>2025</t>
        </is>
      </c>
      <c r="D378" s="1" t="inlineStr">
        <is>
          <t>ACT</t>
        </is>
      </c>
      <c r="E378" s="1" t="inlineStr">
        <is>
          <t>2027BUD_V1</t>
        </is>
      </c>
      <c r="F378" s="1" t="inlineStr">
        <is>
          <t>12</t>
        </is>
      </c>
      <c r="G378" t="n">
        <v>86308</v>
      </c>
      <c r="H378">
        <f>IF(PNL!A378="","",_CALC_PNL!P378)</f>
        <v/>
      </c>
      <c r="I378">
        <f>IF(PNL!A378="","",IF(_CALC_PNL!E378=1,H378-G378,""))</f>
        <v/>
      </c>
    </row>
    <row r="379">
      <c r="A379" s="1" t="inlineStr">
        <is>
          <t>IPAC_MTP</t>
        </is>
      </c>
      <c r="B379" s="1" t="inlineStr">
        <is>
          <t>645</t>
        </is>
      </c>
      <c r="C379" s="1" t="inlineStr">
        <is>
          <t>2025</t>
        </is>
      </c>
      <c r="D379" s="1" t="inlineStr">
        <is>
          <t>ACT</t>
        </is>
      </c>
      <c r="E379" s="1" t="inlineStr">
        <is>
          <t>2027BUD_V1</t>
        </is>
      </c>
      <c r="F379" s="1" t="inlineStr">
        <is>
          <t>12</t>
        </is>
      </c>
      <c r="G379" t="n">
        <v>86308</v>
      </c>
      <c r="H379">
        <f>IF(PNL!A379="","",_CALC_PNL!P379)</f>
        <v/>
      </c>
      <c r="I379">
        <f>IF(PNL!A379="","",IF(_CALC_PNL!E379=1,H379-G379,""))</f>
        <v/>
      </c>
    </row>
    <row r="380">
      <c r="A380" s="1" t="inlineStr">
        <is>
          <t>PIGIER_LYO</t>
        </is>
      </c>
      <c r="B380" s="1" t="inlineStr">
        <is>
          <t>645</t>
        </is>
      </c>
      <c r="C380" s="1" t="inlineStr">
        <is>
          <t>2025</t>
        </is>
      </c>
      <c r="D380" s="1" t="inlineStr">
        <is>
          <t>ACT</t>
        </is>
      </c>
      <c r="E380" s="1" t="inlineStr">
        <is>
          <t>2027BUD_V1</t>
        </is>
      </c>
      <c r="F380" s="1" t="inlineStr">
        <is>
          <t>12</t>
        </is>
      </c>
      <c r="G380" t="n">
        <v>170872</v>
      </c>
      <c r="H380">
        <f>IF(PNL!A380="","",_CALC_PNL!P380)</f>
        <v/>
      </c>
      <c r="I380">
        <f>IF(PNL!A380="","",IF(_CALC_PNL!E380=1,H380-G380,""))</f>
        <v/>
      </c>
    </row>
    <row r="381">
      <c r="A381" s="1" t="inlineStr">
        <is>
          <t>PIGIER_BOR</t>
        </is>
      </c>
      <c r="B381" s="1" t="inlineStr">
        <is>
          <t>645</t>
        </is>
      </c>
      <c r="C381" s="1" t="inlineStr">
        <is>
          <t>2025</t>
        </is>
      </c>
      <c r="D381" s="1" t="inlineStr">
        <is>
          <t>ACT</t>
        </is>
      </c>
      <c r="E381" s="1" t="inlineStr">
        <is>
          <t>2027BUD_V1</t>
        </is>
      </c>
      <c r="F381" s="1" t="inlineStr">
        <is>
          <t>12</t>
        </is>
      </c>
      <c r="G381" t="n">
        <v>124985</v>
      </c>
      <c r="H381">
        <f>IF(PNL!A381="","",_CALC_PNL!P381)</f>
        <v/>
      </c>
      <c r="I381">
        <f>IF(PNL!A381="","",IF(_CALC_PNL!E381=1,H381-G381,""))</f>
        <v/>
      </c>
    </row>
    <row r="382">
      <c r="A382" s="1" t="inlineStr">
        <is>
          <t>TUNON_PAR</t>
        </is>
      </c>
      <c r="B382" s="1" t="inlineStr">
        <is>
          <t>645</t>
        </is>
      </c>
      <c r="C382" s="1" t="inlineStr">
        <is>
          <t>2025</t>
        </is>
      </c>
      <c r="D382" s="1" t="inlineStr">
        <is>
          <t>ACT</t>
        </is>
      </c>
      <c r="E382" s="1" t="inlineStr">
        <is>
          <t>2027BUD_V1</t>
        </is>
      </c>
      <c r="F382" s="1" t="inlineStr">
        <is>
          <t>12</t>
        </is>
      </c>
      <c r="G382" t="n">
        <v>187402</v>
      </c>
      <c r="H382">
        <f>IF(PNL!A382="","",_CALC_PNL!P382)</f>
        <v/>
      </c>
      <c r="I382">
        <f>IF(PNL!A382="","",IF(_CALC_PNL!E382=1,H382-G382,""))</f>
        <v/>
      </c>
    </row>
    <row r="383">
      <c r="A383" s="1" t="inlineStr">
        <is>
          <t>TUNON_LYO</t>
        </is>
      </c>
      <c r="B383" s="1" t="inlineStr">
        <is>
          <t>645</t>
        </is>
      </c>
      <c r="C383" s="1" t="inlineStr">
        <is>
          <t>2025</t>
        </is>
      </c>
      <c r="D383" s="1" t="inlineStr">
        <is>
          <t>ACT</t>
        </is>
      </c>
      <c r="E383" s="1" t="inlineStr">
        <is>
          <t>2027BUD_V1</t>
        </is>
      </c>
      <c r="F383" s="1" t="inlineStr">
        <is>
          <t>12</t>
        </is>
      </c>
      <c r="G383" t="n">
        <v>109846</v>
      </c>
      <c r="H383">
        <f>IF(PNL!A383="","",_CALC_PNL!P383)</f>
        <v/>
      </c>
      <c r="I383">
        <f>IF(PNL!A383="","",IF(_CALC_PNL!E383=1,H383-G383,""))</f>
        <v/>
      </c>
    </row>
    <row r="384">
      <c r="A384" s="1" t="inlineStr">
        <is>
          <t>MBWAY_PAR</t>
        </is>
      </c>
      <c r="B384" s="1" t="inlineStr">
        <is>
          <t>645</t>
        </is>
      </c>
      <c r="C384" s="1" t="inlineStr">
        <is>
          <t>2026</t>
        </is>
      </c>
      <c r="D384" s="1" t="inlineStr">
        <is>
          <t>ACT</t>
        </is>
      </c>
      <c r="E384" s="1" t="inlineStr">
        <is>
          <t>2027BUD_V1</t>
        </is>
      </c>
      <c r="F384" s="1" t="inlineStr">
        <is>
          <t>12</t>
        </is>
      </c>
      <c r="G384" t="n">
        <v>543513</v>
      </c>
      <c r="H384">
        <f>IF(PNL!A384="","",_CALC_PNL!P384)</f>
        <v/>
      </c>
      <c r="I384">
        <f>IF(PNL!A384="","",IF(_CALC_PNL!E384=1,H384-G384,""))</f>
        <v/>
      </c>
    </row>
    <row r="385">
      <c r="A385" s="1" t="inlineStr">
        <is>
          <t>MBWAY_LYO</t>
        </is>
      </c>
      <c r="B385" s="1" t="inlineStr">
        <is>
          <t>645</t>
        </is>
      </c>
      <c r="C385" s="1" t="inlineStr">
        <is>
          <t>2026</t>
        </is>
      </c>
      <c r="D385" s="1" t="inlineStr">
        <is>
          <t>ACT</t>
        </is>
      </c>
      <c r="E385" s="1" t="inlineStr">
        <is>
          <t>2027BUD_V1</t>
        </is>
      </c>
      <c r="F385" s="1" t="inlineStr">
        <is>
          <t>12</t>
        </is>
      </c>
      <c r="G385" t="n">
        <v>318709</v>
      </c>
      <c r="H385">
        <f>IF(PNL!A385="","",_CALC_PNL!P385)</f>
        <v/>
      </c>
      <c r="I385">
        <f>IF(PNL!A385="","",IF(_CALC_PNL!E385=1,H385-G385,""))</f>
        <v/>
      </c>
    </row>
    <row r="386">
      <c r="A386" s="1" t="inlineStr">
        <is>
          <t>MBWAY_NAN</t>
        </is>
      </c>
      <c r="B386" s="1" t="inlineStr">
        <is>
          <t>645</t>
        </is>
      </c>
      <c r="C386" s="1" t="inlineStr">
        <is>
          <t>2026</t>
        </is>
      </c>
      <c r="D386" s="1" t="inlineStr">
        <is>
          <t>ACT</t>
        </is>
      </c>
      <c r="E386" s="1" t="inlineStr">
        <is>
          <t>2027BUD_V1</t>
        </is>
      </c>
      <c r="F386" s="1" t="inlineStr">
        <is>
          <t>12</t>
        </is>
      </c>
      <c r="G386" t="n">
        <v>258214</v>
      </c>
      <c r="H386">
        <f>IF(PNL!A386="","",_CALC_PNL!P386)</f>
        <v/>
      </c>
      <c r="I386">
        <f>IF(PNL!A386="","",IF(_CALC_PNL!E386=1,H386-G386,""))</f>
        <v/>
      </c>
    </row>
    <row r="387">
      <c r="A387" s="1" t="inlineStr">
        <is>
          <t>MBWAY_BOR</t>
        </is>
      </c>
      <c r="B387" s="1" t="inlineStr">
        <is>
          <t>645</t>
        </is>
      </c>
      <c r="C387" s="1" t="inlineStr">
        <is>
          <t>2026</t>
        </is>
      </c>
      <c r="D387" s="1" t="inlineStr">
        <is>
          <t>ACT</t>
        </is>
      </c>
      <c r="E387" s="1" t="inlineStr">
        <is>
          <t>2027BUD_V1</t>
        </is>
      </c>
      <c r="F387" s="1" t="inlineStr">
        <is>
          <t>12</t>
        </is>
      </c>
      <c r="G387" t="n">
        <v>229626</v>
      </c>
      <c r="H387">
        <f>IF(PNL!A387="","",_CALC_PNL!P387)</f>
        <v/>
      </c>
      <c r="I387">
        <f>IF(PNL!A387="","",IF(_CALC_PNL!E387=1,H387-G387,""))</f>
        <v/>
      </c>
    </row>
    <row r="388">
      <c r="A388" s="1" t="inlineStr">
        <is>
          <t>ISCOM_PAR</t>
        </is>
      </c>
      <c r="B388" s="1" t="inlineStr">
        <is>
          <t>645</t>
        </is>
      </c>
      <c r="C388" s="1" t="inlineStr">
        <is>
          <t>2026</t>
        </is>
      </c>
      <c r="D388" s="1" t="inlineStr">
        <is>
          <t>ACT</t>
        </is>
      </c>
      <c r="E388" s="1" t="inlineStr">
        <is>
          <t>2027BUD_V1</t>
        </is>
      </c>
      <c r="F388" s="1" t="inlineStr">
        <is>
          <t>12</t>
        </is>
      </c>
      <c r="G388" t="n">
        <v>503674</v>
      </c>
      <c r="H388">
        <f>IF(PNL!A388="","",_CALC_PNL!P388)</f>
        <v/>
      </c>
      <c r="I388">
        <f>IF(PNL!A388="","",IF(_CALC_PNL!E388=1,H388-G388,""))</f>
        <v/>
      </c>
    </row>
    <row r="389">
      <c r="A389" s="1" t="inlineStr">
        <is>
          <t>ISCOM_LIL</t>
        </is>
      </c>
      <c r="B389" s="1" t="inlineStr">
        <is>
          <t>645</t>
        </is>
      </c>
      <c r="C389" s="1" t="inlineStr">
        <is>
          <t>2026</t>
        </is>
      </c>
      <c r="D389" s="1" t="inlineStr">
        <is>
          <t>ACT</t>
        </is>
      </c>
      <c r="E389" s="1" t="inlineStr">
        <is>
          <t>2027BUD_V1</t>
        </is>
      </c>
      <c r="F389" s="1" t="inlineStr">
        <is>
          <t>12</t>
        </is>
      </c>
      <c r="G389" t="n">
        <v>197156</v>
      </c>
      <c r="H389">
        <f>IF(PNL!A389="","",_CALC_PNL!P389)</f>
        <v/>
      </c>
      <c r="I389">
        <f>IF(PNL!A389="","",IF(_CALC_PNL!E389=1,H389-G389,""))</f>
        <v/>
      </c>
    </row>
    <row r="390">
      <c r="A390" s="1" t="inlineStr">
        <is>
          <t>ISCOM_TLS</t>
        </is>
      </c>
      <c r="B390" s="1" t="inlineStr">
        <is>
          <t>645</t>
        </is>
      </c>
      <c r="C390" s="1" t="inlineStr">
        <is>
          <t>2026</t>
        </is>
      </c>
      <c r="D390" s="1" t="inlineStr">
        <is>
          <t>ACT</t>
        </is>
      </c>
      <c r="E390" s="1" t="inlineStr">
        <is>
          <t>2027BUD_V1</t>
        </is>
      </c>
      <c r="F390" s="1" t="inlineStr">
        <is>
          <t>12</t>
        </is>
      </c>
      <c r="G390" t="n">
        <v>182594</v>
      </c>
      <c r="H390">
        <f>IF(PNL!A390="","",_CALC_PNL!P390)</f>
        <v/>
      </c>
      <c r="I390">
        <f>IF(PNL!A390="","",IF(_CALC_PNL!E390=1,H390-G390,""))</f>
        <v/>
      </c>
    </row>
    <row r="391">
      <c r="A391" s="1" t="inlineStr">
        <is>
          <t>IPAC_NAN</t>
        </is>
      </c>
      <c r="B391" s="1" t="inlineStr">
        <is>
          <t>645</t>
        </is>
      </c>
      <c r="C391" s="1" t="inlineStr">
        <is>
          <t>2026</t>
        </is>
      </c>
      <c r="D391" s="1" t="inlineStr">
        <is>
          <t>ACT</t>
        </is>
      </c>
      <c r="E391" s="1" t="inlineStr">
        <is>
          <t>2027BUD_V1</t>
        </is>
      </c>
      <c r="F391" s="1" t="inlineStr">
        <is>
          <t>12</t>
        </is>
      </c>
      <c r="G391" t="n">
        <v>127350</v>
      </c>
      <c r="H391">
        <f>IF(PNL!A391="","",_CALC_PNL!P391)</f>
        <v/>
      </c>
      <c r="I391">
        <f>IF(PNL!A391="","",IF(_CALC_PNL!E391=1,H391-G391,""))</f>
        <v/>
      </c>
    </row>
    <row r="392">
      <c r="A392" s="1" t="inlineStr">
        <is>
          <t>IPAC_REN</t>
        </is>
      </c>
      <c r="B392" s="1" t="inlineStr">
        <is>
          <t>645</t>
        </is>
      </c>
      <c r="C392" s="1" t="inlineStr">
        <is>
          <t>2026</t>
        </is>
      </c>
      <c r="D392" s="1" t="inlineStr">
        <is>
          <t>ACT</t>
        </is>
      </c>
      <c r="E392" s="1" t="inlineStr">
        <is>
          <t>2027BUD_V1</t>
        </is>
      </c>
      <c r="F392" s="1" t="inlineStr">
        <is>
          <t>12</t>
        </is>
      </c>
      <c r="G392" t="n">
        <v>90427</v>
      </c>
      <c r="H392">
        <f>IF(PNL!A392="","",_CALC_PNL!P392)</f>
        <v/>
      </c>
      <c r="I392">
        <f>IF(PNL!A392="","",IF(_CALC_PNL!E392=1,H392-G392,""))</f>
        <v/>
      </c>
    </row>
    <row r="393">
      <c r="A393" s="1" t="inlineStr">
        <is>
          <t>IPAC_MTP</t>
        </is>
      </c>
      <c r="B393" s="1" t="inlineStr">
        <is>
          <t>645</t>
        </is>
      </c>
      <c r="C393" s="1" t="inlineStr">
        <is>
          <t>2026</t>
        </is>
      </c>
      <c r="D393" s="1" t="inlineStr">
        <is>
          <t>ACT</t>
        </is>
      </c>
      <c r="E393" s="1" t="inlineStr">
        <is>
          <t>2027BUD_V1</t>
        </is>
      </c>
      <c r="F393" s="1" t="inlineStr">
        <is>
          <t>12</t>
        </is>
      </c>
      <c r="G393" t="n">
        <v>90427</v>
      </c>
      <c r="H393">
        <f>IF(PNL!A393="","",_CALC_PNL!P393)</f>
        <v/>
      </c>
      <c r="I393">
        <f>IF(PNL!A393="","",IF(_CALC_PNL!E393=1,H393-G393,""))</f>
        <v/>
      </c>
    </row>
    <row r="394">
      <c r="A394" s="1" t="inlineStr">
        <is>
          <t>PIGIER_LYO</t>
        </is>
      </c>
      <c r="B394" s="1" t="inlineStr">
        <is>
          <t>645</t>
        </is>
      </c>
      <c r="C394" s="1" t="inlineStr">
        <is>
          <t>2026</t>
        </is>
      </c>
      <c r="D394" s="1" t="inlineStr">
        <is>
          <t>ACT</t>
        </is>
      </c>
      <c r="E394" s="1" t="inlineStr">
        <is>
          <t>2027BUD_V1</t>
        </is>
      </c>
      <c r="F394" s="1" t="inlineStr">
        <is>
          <t>12</t>
        </is>
      </c>
      <c r="G394" t="n">
        <v>179028</v>
      </c>
      <c r="H394">
        <f>IF(PNL!A394="","",_CALC_PNL!P394)</f>
        <v/>
      </c>
      <c r="I394">
        <f>IF(PNL!A394="","",IF(_CALC_PNL!E394=1,H394-G394,""))</f>
        <v/>
      </c>
    </row>
    <row r="395">
      <c r="A395" s="1" t="inlineStr">
        <is>
          <t>PIGIER_BOR</t>
        </is>
      </c>
      <c r="B395" s="1" t="inlineStr">
        <is>
          <t>645</t>
        </is>
      </c>
      <c r="C395" s="1" t="inlineStr">
        <is>
          <t>2026</t>
        </is>
      </c>
      <c r="D395" s="1" t="inlineStr">
        <is>
          <t>ACT</t>
        </is>
      </c>
      <c r="E395" s="1" t="inlineStr">
        <is>
          <t>2027BUD_V1</t>
        </is>
      </c>
      <c r="F395" s="1" t="inlineStr">
        <is>
          <t>12</t>
        </is>
      </c>
      <c r="G395" t="n">
        <v>130951</v>
      </c>
      <c r="H395">
        <f>IF(PNL!A395="","",_CALC_PNL!P395)</f>
        <v/>
      </c>
      <c r="I395">
        <f>IF(PNL!A395="","",IF(_CALC_PNL!E395=1,H395-G395,""))</f>
        <v/>
      </c>
    </row>
    <row r="396">
      <c r="A396" s="1" t="inlineStr">
        <is>
          <t>TUNON_PAR</t>
        </is>
      </c>
      <c r="B396" s="1" t="inlineStr">
        <is>
          <t>645</t>
        </is>
      </c>
      <c r="C396" s="1" t="inlineStr">
        <is>
          <t>2026</t>
        </is>
      </c>
      <c r="D396" s="1" t="inlineStr">
        <is>
          <t>ACT</t>
        </is>
      </c>
      <c r="E396" s="1" t="inlineStr">
        <is>
          <t>2027BUD_V1</t>
        </is>
      </c>
      <c r="F396" s="1" t="inlineStr">
        <is>
          <t>12</t>
        </is>
      </c>
      <c r="G396" t="n">
        <v>196348</v>
      </c>
      <c r="H396">
        <f>IF(PNL!A396="","",_CALC_PNL!P396)</f>
        <v/>
      </c>
      <c r="I396">
        <f>IF(PNL!A396="","",IF(_CALC_PNL!E396=1,H396-G396,""))</f>
        <v/>
      </c>
    </row>
    <row r="397">
      <c r="A397" s="1" t="inlineStr">
        <is>
          <t>TUNON_LYO</t>
        </is>
      </c>
      <c r="B397" s="1" t="inlineStr">
        <is>
          <t>645</t>
        </is>
      </c>
      <c r="C397" s="1" t="inlineStr">
        <is>
          <t>2026</t>
        </is>
      </c>
      <c r="D397" s="1" t="inlineStr">
        <is>
          <t>ACT</t>
        </is>
      </c>
      <c r="E397" s="1" t="inlineStr">
        <is>
          <t>2027BUD_V1</t>
        </is>
      </c>
      <c r="F397" s="1" t="inlineStr">
        <is>
          <t>12</t>
        </is>
      </c>
      <c r="G397" t="n">
        <v>115089</v>
      </c>
      <c r="H397">
        <f>IF(PNL!A397="","",_CALC_PNL!P397)</f>
        <v/>
      </c>
      <c r="I397">
        <f>IF(PNL!A397="","",IF(_CALC_PNL!E397=1,H397-G397,""))</f>
        <v/>
      </c>
    </row>
    <row r="398">
      <c r="A398" s="1" t="inlineStr">
        <is>
          <t>MBWAY_PAR</t>
        </is>
      </c>
      <c r="B398" s="1" t="inlineStr">
        <is>
          <t>613</t>
        </is>
      </c>
      <c r="C398" s="1" t="inlineStr">
        <is>
          <t>2024</t>
        </is>
      </c>
      <c r="D398" s="1" t="inlineStr">
        <is>
          <t>ACT</t>
        </is>
      </c>
      <c r="E398" s="1" t="inlineStr">
        <is>
          <t>2027BUD_V1</t>
        </is>
      </c>
      <c r="F398" s="1" t="inlineStr">
        <is>
          <t>12</t>
        </is>
      </c>
      <c r="G398" t="n">
        <v>341140</v>
      </c>
      <c r="H398">
        <f>IF(PNL!A398="","",_CALC_PNL!P398)</f>
        <v/>
      </c>
      <c r="I398">
        <f>IF(PNL!A398="","",IF(_CALC_PNL!E398=1,H398-G398,""))</f>
        <v/>
      </c>
    </row>
    <row r="399">
      <c r="A399" s="1" t="inlineStr">
        <is>
          <t>MBWAY_LYO</t>
        </is>
      </c>
      <c r="B399" s="1" t="inlineStr">
        <is>
          <t>613</t>
        </is>
      </c>
      <c r="C399" s="1" t="inlineStr">
        <is>
          <t>2024</t>
        </is>
      </c>
      <c r="D399" s="1" t="inlineStr">
        <is>
          <t>ACT</t>
        </is>
      </c>
      <c r="E399" s="1" t="inlineStr">
        <is>
          <t>2027BUD_V1</t>
        </is>
      </c>
      <c r="F399" s="1" t="inlineStr">
        <is>
          <t>12</t>
        </is>
      </c>
      <c r="G399" t="n">
        <v>204403</v>
      </c>
      <c r="H399">
        <f>IF(PNL!A399="","",_CALC_PNL!P399)</f>
        <v/>
      </c>
      <c r="I399">
        <f>IF(PNL!A399="","",IF(_CALC_PNL!E399=1,H399-G399,""))</f>
        <v/>
      </c>
    </row>
    <row r="400">
      <c r="A400" s="1" t="inlineStr">
        <is>
          <t>MBWAY_NAN</t>
        </is>
      </c>
      <c r="B400" s="1" t="inlineStr">
        <is>
          <t>613</t>
        </is>
      </c>
      <c r="C400" s="1" t="inlineStr">
        <is>
          <t>2024</t>
        </is>
      </c>
      <c r="D400" s="1" t="inlineStr">
        <is>
          <t>ACT</t>
        </is>
      </c>
      <c r="E400" s="1" t="inlineStr">
        <is>
          <t>2027BUD_V1</t>
        </is>
      </c>
      <c r="F400" s="1" t="inlineStr">
        <is>
          <t>12</t>
        </is>
      </c>
      <c r="G400" t="n">
        <v>168464</v>
      </c>
      <c r="H400">
        <f>IF(PNL!A400="","",_CALC_PNL!P400)</f>
        <v/>
      </c>
      <c r="I400">
        <f>IF(PNL!A400="","",IF(_CALC_PNL!E400=1,H400-G400,""))</f>
        <v/>
      </c>
    </row>
    <row r="401">
      <c r="A401" s="1" t="inlineStr">
        <is>
          <t>MBWAY_BOR</t>
        </is>
      </c>
      <c r="B401" s="1" t="inlineStr">
        <is>
          <t>613</t>
        </is>
      </c>
      <c r="C401" s="1" t="inlineStr">
        <is>
          <t>2024</t>
        </is>
      </c>
      <c r="D401" s="1" t="inlineStr">
        <is>
          <t>ACT</t>
        </is>
      </c>
      <c r="E401" s="1" t="inlineStr">
        <is>
          <t>2027BUD_V1</t>
        </is>
      </c>
      <c r="F401" s="1" t="inlineStr">
        <is>
          <t>12</t>
        </is>
      </c>
      <c r="G401" t="n">
        <v>147406</v>
      </c>
      <c r="H401">
        <f>IF(PNL!A401="","",_CALC_PNL!P401)</f>
        <v/>
      </c>
      <c r="I401">
        <f>IF(PNL!A401="","",IF(_CALC_PNL!E401=1,H401-G401,""))</f>
        <v/>
      </c>
    </row>
    <row r="402">
      <c r="A402" s="1" t="inlineStr">
        <is>
          <t>ISCOM_PAR</t>
        </is>
      </c>
      <c r="B402" s="1" t="inlineStr">
        <is>
          <t>613</t>
        </is>
      </c>
      <c r="C402" s="1" t="inlineStr">
        <is>
          <t>2024</t>
        </is>
      </c>
      <c r="D402" s="1" t="inlineStr">
        <is>
          <t>ACT</t>
        </is>
      </c>
      <c r="E402" s="1" t="inlineStr">
        <is>
          <t>2027BUD_V1</t>
        </is>
      </c>
      <c r="F402" s="1" t="inlineStr">
        <is>
          <t>12</t>
        </is>
      </c>
      <c r="G402" t="n">
        <v>341140</v>
      </c>
      <c r="H402">
        <f>IF(PNL!A402="","",_CALC_PNL!P402)</f>
        <v/>
      </c>
      <c r="I402">
        <f>IF(PNL!A402="","",IF(_CALC_PNL!E402=1,H402-G402,""))</f>
        <v/>
      </c>
    </row>
    <row r="403">
      <c r="A403" s="1" t="inlineStr">
        <is>
          <t>ISCOM_LIL</t>
        </is>
      </c>
      <c r="B403" s="1" t="inlineStr">
        <is>
          <t>613</t>
        </is>
      </c>
      <c r="C403" s="1" t="inlineStr">
        <is>
          <t>2024</t>
        </is>
      </c>
      <c r="D403" s="1" t="inlineStr">
        <is>
          <t>ACT</t>
        </is>
      </c>
      <c r="E403" s="1" t="inlineStr">
        <is>
          <t>2027BUD_V1</t>
        </is>
      </c>
      <c r="F403" s="1" t="inlineStr">
        <is>
          <t>12</t>
        </is>
      </c>
      <c r="G403" t="n">
        <v>129156</v>
      </c>
      <c r="H403">
        <f>IF(PNL!A403="","",_CALC_PNL!P403)</f>
        <v/>
      </c>
      <c r="I403">
        <f>IF(PNL!A403="","",IF(_CALC_PNL!E403=1,H403-G403,""))</f>
        <v/>
      </c>
    </row>
    <row r="404">
      <c r="A404" s="1" t="inlineStr">
        <is>
          <t>ISCOM_TLS</t>
        </is>
      </c>
      <c r="B404" s="1" t="inlineStr">
        <is>
          <t>613</t>
        </is>
      </c>
      <c r="C404" s="1" t="inlineStr">
        <is>
          <t>2024</t>
        </is>
      </c>
      <c r="D404" s="1" t="inlineStr">
        <is>
          <t>ACT</t>
        </is>
      </c>
      <c r="E404" s="1" t="inlineStr">
        <is>
          <t>2027BUD_V1</t>
        </is>
      </c>
      <c r="F404" s="1" t="inlineStr">
        <is>
          <t>12</t>
        </is>
      </c>
      <c r="G404" t="n">
        <v>126348</v>
      </c>
      <c r="H404">
        <f>IF(PNL!A404="","",_CALC_PNL!P404)</f>
        <v/>
      </c>
      <c r="I404">
        <f>IF(PNL!A404="","",IF(_CALC_PNL!E404=1,H404-G404,""))</f>
        <v/>
      </c>
    </row>
    <row r="405">
      <c r="A405" s="1" t="inlineStr">
        <is>
          <t>IPAC_NAN</t>
        </is>
      </c>
      <c r="B405" s="1" t="inlineStr">
        <is>
          <t>613</t>
        </is>
      </c>
      <c r="C405" s="1" t="inlineStr">
        <is>
          <t>2024</t>
        </is>
      </c>
      <c r="D405" s="1" t="inlineStr">
        <is>
          <t>ACT</t>
        </is>
      </c>
      <c r="E405" s="1" t="inlineStr">
        <is>
          <t>2027BUD_V1</t>
        </is>
      </c>
      <c r="F405" s="1" t="inlineStr">
        <is>
          <t>12</t>
        </is>
      </c>
      <c r="G405" t="n">
        <v>84232</v>
      </c>
      <c r="H405">
        <f>IF(PNL!A405="","",_CALC_PNL!P405)</f>
        <v/>
      </c>
      <c r="I405">
        <f>IF(PNL!A405="","",IF(_CALC_PNL!E405=1,H405-G405,""))</f>
        <v/>
      </c>
    </row>
    <row r="406">
      <c r="A406" s="1" t="inlineStr">
        <is>
          <t>IPAC_REN</t>
        </is>
      </c>
      <c r="B406" s="1" t="inlineStr">
        <is>
          <t>613</t>
        </is>
      </c>
      <c r="C406" s="1" t="inlineStr">
        <is>
          <t>2024</t>
        </is>
      </c>
      <c r="D406" s="1" t="inlineStr">
        <is>
          <t>ACT</t>
        </is>
      </c>
      <c r="E406" s="1" t="inlineStr">
        <is>
          <t>2027BUD_V1</t>
        </is>
      </c>
      <c r="F406" s="1" t="inlineStr">
        <is>
          <t>12</t>
        </is>
      </c>
      <c r="G406" t="n">
        <v>74124</v>
      </c>
      <c r="H406">
        <f>IF(PNL!A406="","",_CALC_PNL!P406)</f>
        <v/>
      </c>
      <c r="I406">
        <f>IF(PNL!A406="","",IF(_CALC_PNL!E406=1,H406-G406,""))</f>
        <v/>
      </c>
    </row>
    <row r="407">
      <c r="A407" s="1" t="inlineStr">
        <is>
          <t>IPAC_MTP</t>
        </is>
      </c>
      <c r="B407" s="1" t="inlineStr">
        <is>
          <t>613</t>
        </is>
      </c>
      <c r="C407" s="1" t="inlineStr">
        <is>
          <t>2024</t>
        </is>
      </c>
      <c r="D407" s="1" t="inlineStr">
        <is>
          <t>ACT</t>
        </is>
      </c>
      <c r="E407" s="1" t="inlineStr">
        <is>
          <t>2027BUD_V1</t>
        </is>
      </c>
      <c r="F407" s="1" t="inlineStr">
        <is>
          <t>12</t>
        </is>
      </c>
      <c r="G407" t="n">
        <v>74124</v>
      </c>
      <c r="H407">
        <f>IF(PNL!A407="","",_CALC_PNL!P407)</f>
        <v/>
      </c>
      <c r="I407">
        <f>IF(PNL!A407="","",IF(_CALC_PNL!E407=1,H407-G407,""))</f>
        <v/>
      </c>
    </row>
    <row r="408">
      <c r="A408" s="1" t="inlineStr">
        <is>
          <t>PIGIER_LYO</t>
        </is>
      </c>
      <c r="B408" s="1" t="inlineStr">
        <is>
          <t>613</t>
        </is>
      </c>
      <c r="C408" s="1" t="inlineStr">
        <is>
          <t>2024</t>
        </is>
      </c>
      <c r="D408" s="1" t="inlineStr">
        <is>
          <t>ACT</t>
        </is>
      </c>
      <c r="E408" s="1" t="inlineStr">
        <is>
          <t>2027BUD_V1</t>
        </is>
      </c>
      <c r="F408" s="1" t="inlineStr">
        <is>
          <t>12</t>
        </is>
      </c>
      <c r="G408" t="n">
        <v>125787</v>
      </c>
      <c r="H408">
        <f>IF(PNL!A408="","",_CALC_PNL!P408)</f>
        <v/>
      </c>
      <c r="I408">
        <f>IF(PNL!A408="","",IF(_CALC_PNL!E408=1,H408-G408,""))</f>
        <v/>
      </c>
    </row>
    <row r="409">
      <c r="A409" s="1" t="inlineStr">
        <is>
          <t>PIGIER_BOR</t>
        </is>
      </c>
      <c r="B409" s="1" t="inlineStr">
        <is>
          <t>613</t>
        </is>
      </c>
      <c r="C409" s="1" t="inlineStr">
        <is>
          <t>2024</t>
        </is>
      </c>
      <c r="D409" s="1" t="inlineStr">
        <is>
          <t>ACT</t>
        </is>
      </c>
      <c r="E409" s="1" t="inlineStr">
        <is>
          <t>2027BUD_V1</t>
        </is>
      </c>
      <c r="F409" s="1" t="inlineStr">
        <is>
          <t>12</t>
        </is>
      </c>
      <c r="G409" t="n">
        <v>117925</v>
      </c>
      <c r="H409">
        <f>IF(PNL!A409="","",_CALC_PNL!P409)</f>
        <v/>
      </c>
      <c r="I409">
        <f>IF(PNL!A409="","",IF(_CALC_PNL!E409=1,H409-G409,""))</f>
        <v/>
      </c>
    </row>
    <row r="410">
      <c r="A410" s="1" t="inlineStr">
        <is>
          <t>TUNON_PAR</t>
        </is>
      </c>
      <c r="B410" s="1" t="inlineStr">
        <is>
          <t>613</t>
        </is>
      </c>
      <c r="C410" s="1" t="inlineStr">
        <is>
          <t>2024</t>
        </is>
      </c>
      <c r="D410" s="1" t="inlineStr">
        <is>
          <t>ACT</t>
        </is>
      </c>
      <c r="E410" s="1" t="inlineStr">
        <is>
          <t>2027BUD_V1</t>
        </is>
      </c>
      <c r="F410" s="1" t="inlineStr">
        <is>
          <t>12</t>
        </is>
      </c>
      <c r="G410" t="n">
        <v>136456</v>
      </c>
      <c r="H410">
        <f>IF(PNL!A410="","",_CALC_PNL!P410)</f>
        <v/>
      </c>
      <c r="I410">
        <f>IF(PNL!A410="","",IF(_CALC_PNL!E410=1,H410-G410,""))</f>
        <v/>
      </c>
    </row>
    <row r="411">
      <c r="A411" s="1" t="inlineStr">
        <is>
          <t>TUNON_LYO</t>
        </is>
      </c>
      <c r="B411" s="1" t="inlineStr">
        <is>
          <t>613</t>
        </is>
      </c>
      <c r="C411" s="1" t="inlineStr">
        <is>
          <t>2024</t>
        </is>
      </c>
      <c r="D411" s="1" t="inlineStr">
        <is>
          <t>ACT</t>
        </is>
      </c>
      <c r="E411" s="1" t="inlineStr">
        <is>
          <t>2027BUD_V1</t>
        </is>
      </c>
      <c r="F411" s="1" t="inlineStr">
        <is>
          <t>12</t>
        </is>
      </c>
      <c r="G411" t="n">
        <v>94340</v>
      </c>
      <c r="H411">
        <f>IF(PNL!A411="","",_CALC_PNL!P411)</f>
        <v/>
      </c>
      <c r="I411">
        <f>IF(PNL!A411="","",IF(_CALC_PNL!E411=1,H411-G411,""))</f>
        <v/>
      </c>
    </row>
    <row r="412">
      <c r="A412" s="1" t="inlineStr">
        <is>
          <t>MBWAY_PAR</t>
        </is>
      </c>
      <c r="B412" s="1" t="inlineStr">
        <is>
          <t>613</t>
        </is>
      </c>
      <c r="C412" s="1" t="inlineStr">
        <is>
          <t>2025</t>
        </is>
      </c>
      <c r="D412" s="1" t="inlineStr">
        <is>
          <t>ACT</t>
        </is>
      </c>
      <c r="E412" s="1" t="inlineStr">
        <is>
          <t>2027BUD_V1</t>
        </is>
      </c>
      <c r="F412" s="1" t="inlineStr">
        <is>
          <t>12</t>
        </is>
      </c>
      <c r="G412" t="n">
        <v>356772</v>
      </c>
      <c r="H412">
        <f>IF(PNL!A412="","",_CALC_PNL!P412)</f>
        <v/>
      </c>
      <c r="I412">
        <f>IF(PNL!A412="","",IF(_CALC_PNL!E412=1,H412-G412,""))</f>
        <v/>
      </c>
    </row>
    <row r="413">
      <c r="A413" s="1" t="inlineStr">
        <is>
          <t>MBWAY_LYO</t>
        </is>
      </c>
      <c r="B413" s="1" t="inlineStr">
        <is>
          <t>613</t>
        </is>
      </c>
      <c r="C413" s="1" t="inlineStr">
        <is>
          <t>2025</t>
        </is>
      </c>
      <c r="D413" s="1" t="inlineStr">
        <is>
          <t>ACT</t>
        </is>
      </c>
      <c r="E413" s="1" t="inlineStr">
        <is>
          <t>2027BUD_V1</t>
        </is>
      </c>
      <c r="F413" s="1" t="inlineStr">
        <is>
          <t>12</t>
        </is>
      </c>
      <c r="G413" t="n">
        <v>213769</v>
      </c>
      <c r="H413">
        <f>IF(PNL!A413="","",_CALC_PNL!P413)</f>
        <v/>
      </c>
      <c r="I413">
        <f>IF(PNL!A413="","",IF(_CALC_PNL!E413=1,H413-G413,""))</f>
        <v/>
      </c>
    </row>
    <row r="414">
      <c r="A414" s="1" t="inlineStr">
        <is>
          <t>MBWAY_NAN</t>
        </is>
      </c>
      <c r="B414" s="1" t="inlineStr">
        <is>
          <t>613</t>
        </is>
      </c>
      <c r="C414" s="1" t="inlineStr">
        <is>
          <t>2025</t>
        </is>
      </c>
      <c r="D414" s="1" t="inlineStr">
        <is>
          <t>ACT</t>
        </is>
      </c>
      <c r="E414" s="1" t="inlineStr">
        <is>
          <t>2027BUD_V1</t>
        </is>
      </c>
      <c r="F414" s="1" t="inlineStr">
        <is>
          <t>12</t>
        </is>
      </c>
      <c r="G414" t="n">
        <v>176184</v>
      </c>
      <c r="H414">
        <f>IF(PNL!A414="","",_CALC_PNL!P414)</f>
        <v/>
      </c>
      <c r="I414">
        <f>IF(PNL!A414="","",IF(_CALC_PNL!E414=1,H414-G414,""))</f>
        <v/>
      </c>
    </row>
    <row r="415">
      <c r="A415" s="1" t="inlineStr">
        <is>
          <t>MBWAY_BOR</t>
        </is>
      </c>
      <c r="B415" s="1" t="inlineStr">
        <is>
          <t>613</t>
        </is>
      </c>
      <c r="C415" s="1" t="inlineStr">
        <is>
          <t>2025</t>
        </is>
      </c>
      <c r="D415" s="1" t="inlineStr">
        <is>
          <t>ACT</t>
        </is>
      </c>
      <c r="E415" s="1" t="inlineStr">
        <is>
          <t>2027BUD_V1</t>
        </is>
      </c>
      <c r="F415" s="1" t="inlineStr">
        <is>
          <t>12</t>
        </is>
      </c>
      <c r="G415" t="n">
        <v>154161</v>
      </c>
      <c r="H415">
        <f>IF(PNL!A415="","",_CALC_PNL!P415)</f>
        <v/>
      </c>
      <c r="I415">
        <f>IF(PNL!A415="","",IF(_CALC_PNL!E415=1,H415-G415,""))</f>
        <v/>
      </c>
    </row>
    <row r="416">
      <c r="A416" s="1" t="inlineStr">
        <is>
          <t>ISCOM_PAR</t>
        </is>
      </c>
      <c r="B416" s="1" t="inlineStr">
        <is>
          <t>613</t>
        </is>
      </c>
      <c r="C416" s="1" t="inlineStr">
        <is>
          <t>2025</t>
        </is>
      </c>
      <c r="D416" s="1" t="inlineStr">
        <is>
          <t>ACT</t>
        </is>
      </c>
      <c r="E416" s="1" t="inlineStr">
        <is>
          <t>2027BUD_V1</t>
        </is>
      </c>
      <c r="F416" s="1" t="inlineStr">
        <is>
          <t>12</t>
        </is>
      </c>
      <c r="G416" t="n">
        <v>356772</v>
      </c>
      <c r="H416">
        <f>IF(PNL!A416="","",_CALC_PNL!P416)</f>
        <v/>
      </c>
      <c r="I416">
        <f>IF(PNL!A416="","",IF(_CALC_PNL!E416=1,H416-G416,""))</f>
        <v/>
      </c>
    </row>
    <row r="417">
      <c r="A417" s="1" t="inlineStr">
        <is>
          <t>ISCOM_LIL</t>
        </is>
      </c>
      <c r="B417" s="1" t="inlineStr">
        <is>
          <t>613</t>
        </is>
      </c>
      <c r="C417" s="1" t="inlineStr">
        <is>
          <t>2025</t>
        </is>
      </c>
      <c r="D417" s="1" t="inlineStr">
        <is>
          <t>ACT</t>
        </is>
      </c>
      <c r="E417" s="1" t="inlineStr">
        <is>
          <t>2027BUD_V1</t>
        </is>
      </c>
      <c r="F417" s="1" t="inlineStr">
        <is>
          <t>12</t>
        </is>
      </c>
      <c r="G417" t="n">
        <v>135074</v>
      </c>
      <c r="H417">
        <f>IF(PNL!A417="","",_CALC_PNL!P417)</f>
        <v/>
      </c>
      <c r="I417">
        <f>IF(PNL!A417="","",IF(_CALC_PNL!E417=1,H417-G417,""))</f>
        <v/>
      </c>
    </row>
    <row r="418">
      <c r="A418" s="1" t="inlineStr">
        <is>
          <t>ISCOM_TLS</t>
        </is>
      </c>
      <c r="B418" s="1" t="inlineStr">
        <is>
          <t>613</t>
        </is>
      </c>
      <c r="C418" s="1" t="inlineStr">
        <is>
          <t>2025</t>
        </is>
      </c>
      <c r="D418" s="1" t="inlineStr">
        <is>
          <t>ACT</t>
        </is>
      </c>
      <c r="E418" s="1" t="inlineStr">
        <is>
          <t>2027BUD_V1</t>
        </is>
      </c>
      <c r="F418" s="1" t="inlineStr">
        <is>
          <t>12</t>
        </is>
      </c>
      <c r="G418" t="n">
        <v>132138</v>
      </c>
      <c r="H418">
        <f>IF(PNL!A418="","",_CALC_PNL!P418)</f>
        <v/>
      </c>
      <c r="I418">
        <f>IF(PNL!A418="","",IF(_CALC_PNL!E418=1,H418-G418,""))</f>
        <v/>
      </c>
    </row>
    <row r="419">
      <c r="A419" s="1" t="inlineStr">
        <is>
          <t>IPAC_NAN</t>
        </is>
      </c>
      <c r="B419" s="1" t="inlineStr">
        <is>
          <t>613</t>
        </is>
      </c>
      <c r="C419" s="1" t="inlineStr">
        <is>
          <t>2025</t>
        </is>
      </c>
      <c r="D419" s="1" t="inlineStr">
        <is>
          <t>ACT</t>
        </is>
      </c>
      <c r="E419" s="1" t="inlineStr">
        <is>
          <t>2027BUD_V1</t>
        </is>
      </c>
      <c r="F419" s="1" t="inlineStr">
        <is>
          <t>12</t>
        </is>
      </c>
      <c r="G419" t="n">
        <v>88092</v>
      </c>
      <c r="H419">
        <f>IF(PNL!A419="","",_CALC_PNL!P419)</f>
        <v/>
      </c>
      <c r="I419">
        <f>IF(PNL!A419="","",IF(_CALC_PNL!E419=1,H419-G419,""))</f>
        <v/>
      </c>
    </row>
    <row r="420">
      <c r="A420" s="1" t="inlineStr">
        <is>
          <t>IPAC_REN</t>
        </is>
      </c>
      <c r="B420" s="1" t="inlineStr">
        <is>
          <t>613</t>
        </is>
      </c>
      <c r="C420" s="1" t="inlineStr">
        <is>
          <t>2025</t>
        </is>
      </c>
      <c r="D420" s="1" t="inlineStr">
        <is>
          <t>ACT</t>
        </is>
      </c>
      <c r="E420" s="1" t="inlineStr">
        <is>
          <t>2027BUD_V1</t>
        </is>
      </c>
      <c r="F420" s="1" t="inlineStr">
        <is>
          <t>12</t>
        </is>
      </c>
      <c r="G420" t="n">
        <v>77521</v>
      </c>
      <c r="H420">
        <f>IF(PNL!A420="","",_CALC_PNL!P420)</f>
        <v/>
      </c>
      <c r="I420">
        <f>IF(PNL!A420="","",IF(_CALC_PNL!E420=1,H420-G420,""))</f>
        <v/>
      </c>
    </row>
    <row r="421">
      <c r="A421" s="1" t="inlineStr">
        <is>
          <t>IPAC_MTP</t>
        </is>
      </c>
      <c r="B421" s="1" t="inlineStr">
        <is>
          <t>613</t>
        </is>
      </c>
      <c r="C421" s="1" t="inlineStr">
        <is>
          <t>2025</t>
        </is>
      </c>
      <c r="D421" s="1" t="inlineStr">
        <is>
          <t>ACT</t>
        </is>
      </c>
      <c r="E421" s="1" t="inlineStr">
        <is>
          <t>2027BUD_V1</t>
        </is>
      </c>
      <c r="F421" s="1" t="inlineStr">
        <is>
          <t>12</t>
        </is>
      </c>
      <c r="G421" t="n">
        <v>77521</v>
      </c>
      <c r="H421">
        <f>IF(PNL!A421="","",_CALC_PNL!P421)</f>
        <v/>
      </c>
      <c r="I421">
        <f>IF(PNL!A421="","",IF(_CALC_PNL!E421=1,H421-G421,""))</f>
        <v/>
      </c>
    </row>
    <row r="422">
      <c r="A422" s="1" t="inlineStr">
        <is>
          <t>PIGIER_LYO</t>
        </is>
      </c>
      <c r="B422" s="1" t="inlineStr">
        <is>
          <t>613</t>
        </is>
      </c>
      <c r="C422" s="1" t="inlineStr">
        <is>
          <t>2025</t>
        </is>
      </c>
      <c r="D422" s="1" t="inlineStr">
        <is>
          <t>ACT</t>
        </is>
      </c>
      <c r="E422" s="1" t="inlineStr">
        <is>
          <t>2027BUD_V1</t>
        </is>
      </c>
      <c r="F422" s="1" t="inlineStr">
        <is>
          <t>12</t>
        </is>
      </c>
      <c r="G422" t="n">
        <v>131550</v>
      </c>
      <c r="H422">
        <f>IF(PNL!A422="","",_CALC_PNL!P422)</f>
        <v/>
      </c>
      <c r="I422">
        <f>IF(PNL!A422="","",IF(_CALC_PNL!E422=1,H422-G422,""))</f>
        <v/>
      </c>
    </row>
    <row r="423">
      <c r="A423" s="1" t="inlineStr">
        <is>
          <t>PIGIER_BOR</t>
        </is>
      </c>
      <c r="B423" s="1" t="inlineStr">
        <is>
          <t>613</t>
        </is>
      </c>
      <c r="C423" s="1" t="inlineStr">
        <is>
          <t>2025</t>
        </is>
      </c>
      <c r="D423" s="1" t="inlineStr">
        <is>
          <t>ACT</t>
        </is>
      </c>
      <c r="E423" s="1" t="inlineStr">
        <is>
          <t>2027BUD_V1</t>
        </is>
      </c>
      <c r="F423" s="1" t="inlineStr">
        <is>
          <t>12</t>
        </is>
      </c>
      <c r="G423" t="n">
        <v>123328</v>
      </c>
      <c r="H423">
        <f>IF(PNL!A423="","",_CALC_PNL!P423)</f>
        <v/>
      </c>
      <c r="I423">
        <f>IF(PNL!A423="","",IF(_CALC_PNL!E423=1,H423-G423,""))</f>
        <v/>
      </c>
    </row>
    <row r="424">
      <c r="A424" s="1" t="inlineStr">
        <is>
          <t>TUNON_PAR</t>
        </is>
      </c>
      <c r="B424" s="1" t="inlineStr">
        <is>
          <t>613</t>
        </is>
      </c>
      <c r="C424" s="1" t="inlineStr">
        <is>
          <t>2025</t>
        </is>
      </c>
      <c r="D424" s="1" t="inlineStr">
        <is>
          <t>ACT</t>
        </is>
      </c>
      <c r="E424" s="1" t="inlineStr">
        <is>
          <t>2027BUD_V1</t>
        </is>
      </c>
      <c r="F424" s="1" t="inlineStr">
        <is>
          <t>12</t>
        </is>
      </c>
      <c r="G424" t="n">
        <v>142709</v>
      </c>
      <c r="H424">
        <f>IF(PNL!A424="","",_CALC_PNL!P424)</f>
        <v/>
      </c>
      <c r="I424">
        <f>IF(PNL!A424="","",IF(_CALC_PNL!E424=1,H424-G424,""))</f>
        <v/>
      </c>
    </row>
    <row r="425">
      <c r="A425" s="1" t="inlineStr">
        <is>
          <t>TUNON_LYO</t>
        </is>
      </c>
      <c r="B425" s="1" t="inlineStr">
        <is>
          <t>613</t>
        </is>
      </c>
      <c r="C425" s="1" t="inlineStr">
        <is>
          <t>2025</t>
        </is>
      </c>
      <c r="D425" s="1" t="inlineStr">
        <is>
          <t>ACT</t>
        </is>
      </c>
      <c r="E425" s="1" t="inlineStr">
        <is>
          <t>2027BUD_V1</t>
        </is>
      </c>
      <c r="F425" s="1" t="inlineStr">
        <is>
          <t>12</t>
        </is>
      </c>
      <c r="G425" t="n">
        <v>98663</v>
      </c>
      <c r="H425">
        <f>IF(PNL!A425="","",_CALC_PNL!P425)</f>
        <v/>
      </c>
      <c r="I425">
        <f>IF(PNL!A425="","",IF(_CALC_PNL!E425=1,H425-G425,""))</f>
        <v/>
      </c>
    </row>
    <row r="426">
      <c r="A426" s="1" t="inlineStr">
        <is>
          <t>MBWAY_PAR</t>
        </is>
      </c>
      <c r="B426" s="1" t="inlineStr">
        <is>
          <t>613</t>
        </is>
      </c>
      <c r="C426" s="1" t="inlineStr">
        <is>
          <t>2026</t>
        </is>
      </c>
      <c r="D426" s="1" t="inlineStr">
        <is>
          <t>ACT</t>
        </is>
      </c>
      <c r="E426" s="1" t="inlineStr">
        <is>
          <t>2027BUD_V1</t>
        </is>
      </c>
      <c r="F426" s="1" t="inlineStr">
        <is>
          <t>12</t>
        </is>
      </c>
      <c r="G426" t="n">
        <v>373801</v>
      </c>
      <c r="H426">
        <f>IF(PNL!A426="","",_CALC_PNL!P426)</f>
        <v/>
      </c>
      <c r="I426">
        <f>IF(PNL!A426="","",IF(_CALC_PNL!E426=1,H426-G426,""))</f>
        <v/>
      </c>
    </row>
    <row r="427">
      <c r="A427" s="1" t="inlineStr">
        <is>
          <t>MBWAY_LYO</t>
        </is>
      </c>
      <c r="B427" s="1" t="inlineStr">
        <is>
          <t>613</t>
        </is>
      </c>
      <c r="C427" s="1" t="inlineStr">
        <is>
          <t>2026</t>
        </is>
      </c>
      <c r="D427" s="1" t="inlineStr">
        <is>
          <t>ACT</t>
        </is>
      </c>
      <c r="E427" s="1" t="inlineStr">
        <is>
          <t>2027BUD_V1</t>
        </is>
      </c>
      <c r="F427" s="1" t="inlineStr">
        <is>
          <t>12</t>
        </is>
      </c>
      <c r="G427" t="n">
        <v>223973</v>
      </c>
      <c r="H427">
        <f>IF(PNL!A427="","",_CALC_PNL!P427)</f>
        <v/>
      </c>
      <c r="I427">
        <f>IF(PNL!A427="","",IF(_CALC_PNL!E427=1,H427-G427,""))</f>
        <v/>
      </c>
    </row>
    <row r="428">
      <c r="A428" s="1" t="inlineStr">
        <is>
          <t>MBWAY_NAN</t>
        </is>
      </c>
      <c r="B428" s="1" t="inlineStr">
        <is>
          <t>613</t>
        </is>
      </c>
      <c r="C428" s="1" t="inlineStr">
        <is>
          <t>2026</t>
        </is>
      </c>
      <c r="D428" s="1" t="inlineStr">
        <is>
          <t>ACT</t>
        </is>
      </c>
      <c r="E428" s="1" t="inlineStr">
        <is>
          <t>2027BUD_V1</t>
        </is>
      </c>
      <c r="F428" s="1" t="inlineStr">
        <is>
          <t>12</t>
        </is>
      </c>
      <c r="G428" t="n">
        <v>184593</v>
      </c>
      <c r="H428">
        <f>IF(PNL!A428="","",_CALC_PNL!P428)</f>
        <v/>
      </c>
      <c r="I428">
        <f>IF(PNL!A428="","",IF(_CALC_PNL!E428=1,H428-G428,""))</f>
        <v/>
      </c>
    </row>
    <row r="429">
      <c r="A429" s="1" t="inlineStr">
        <is>
          <t>MBWAY_BOR</t>
        </is>
      </c>
      <c r="B429" s="1" t="inlineStr">
        <is>
          <t>613</t>
        </is>
      </c>
      <c r="C429" s="1" t="inlineStr">
        <is>
          <t>2026</t>
        </is>
      </c>
      <c r="D429" s="1" t="inlineStr">
        <is>
          <t>ACT</t>
        </is>
      </c>
      <c r="E429" s="1" t="inlineStr">
        <is>
          <t>2027BUD_V1</t>
        </is>
      </c>
      <c r="F429" s="1" t="inlineStr">
        <is>
          <t>12</t>
        </is>
      </c>
      <c r="G429" t="n">
        <v>161519</v>
      </c>
      <c r="H429">
        <f>IF(PNL!A429="","",_CALC_PNL!P429)</f>
        <v/>
      </c>
      <c r="I429">
        <f>IF(PNL!A429="","",IF(_CALC_PNL!E429=1,H429-G429,""))</f>
        <v/>
      </c>
    </row>
    <row r="430">
      <c r="A430" s="1" t="inlineStr">
        <is>
          <t>ISCOM_PAR</t>
        </is>
      </c>
      <c r="B430" s="1" t="inlineStr">
        <is>
          <t>613</t>
        </is>
      </c>
      <c r="C430" s="1" t="inlineStr">
        <is>
          <t>2026</t>
        </is>
      </c>
      <c r="D430" s="1" t="inlineStr">
        <is>
          <t>ACT</t>
        </is>
      </c>
      <c r="E430" s="1" t="inlineStr">
        <is>
          <t>2027BUD_V1</t>
        </is>
      </c>
      <c r="F430" s="1" t="inlineStr">
        <is>
          <t>12</t>
        </is>
      </c>
      <c r="G430" t="n">
        <v>373801</v>
      </c>
      <c r="H430">
        <f>IF(PNL!A430="","",_CALC_PNL!P430)</f>
        <v/>
      </c>
      <c r="I430">
        <f>IF(PNL!A430="","",IF(_CALC_PNL!E430=1,H430-G430,""))</f>
        <v/>
      </c>
    </row>
    <row r="431">
      <c r="A431" s="1" t="inlineStr">
        <is>
          <t>ISCOM_LIL</t>
        </is>
      </c>
      <c r="B431" s="1" t="inlineStr">
        <is>
          <t>613</t>
        </is>
      </c>
      <c r="C431" s="1" t="inlineStr">
        <is>
          <t>2026</t>
        </is>
      </c>
      <c r="D431" s="1" t="inlineStr">
        <is>
          <t>ACT</t>
        </is>
      </c>
      <c r="E431" s="1" t="inlineStr">
        <is>
          <t>2027BUD_V1</t>
        </is>
      </c>
      <c r="F431" s="1" t="inlineStr">
        <is>
          <t>12</t>
        </is>
      </c>
      <c r="G431" t="n">
        <v>141521</v>
      </c>
      <c r="H431">
        <f>IF(PNL!A431="","",_CALC_PNL!P431)</f>
        <v/>
      </c>
      <c r="I431">
        <f>IF(PNL!A431="","",IF(_CALC_PNL!E431=1,H431-G431,""))</f>
        <v/>
      </c>
    </row>
    <row r="432">
      <c r="A432" s="1" t="inlineStr">
        <is>
          <t>ISCOM_TLS</t>
        </is>
      </c>
      <c r="B432" s="1" t="inlineStr">
        <is>
          <t>613</t>
        </is>
      </c>
      <c r="C432" s="1" t="inlineStr">
        <is>
          <t>2026</t>
        </is>
      </c>
      <c r="D432" s="1" t="inlineStr">
        <is>
          <t>ACT</t>
        </is>
      </c>
      <c r="E432" s="1" t="inlineStr">
        <is>
          <t>2027BUD_V1</t>
        </is>
      </c>
      <c r="F432" s="1" t="inlineStr">
        <is>
          <t>12</t>
        </is>
      </c>
      <c r="G432" t="n">
        <v>138445</v>
      </c>
      <c r="H432">
        <f>IF(PNL!A432="","",_CALC_PNL!P432)</f>
        <v/>
      </c>
      <c r="I432">
        <f>IF(PNL!A432="","",IF(_CALC_PNL!E432=1,H432-G432,""))</f>
        <v/>
      </c>
    </row>
    <row r="433">
      <c r="A433" s="1" t="inlineStr">
        <is>
          <t>IPAC_NAN</t>
        </is>
      </c>
      <c r="B433" s="1" t="inlineStr">
        <is>
          <t>613</t>
        </is>
      </c>
      <c r="C433" s="1" t="inlineStr">
        <is>
          <t>2026</t>
        </is>
      </c>
      <c r="D433" s="1" t="inlineStr">
        <is>
          <t>ACT</t>
        </is>
      </c>
      <c r="E433" s="1" t="inlineStr">
        <is>
          <t>2027BUD_V1</t>
        </is>
      </c>
      <c r="F433" s="1" t="inlineStr">
        <is>
          <t>12</t>
        </is>
      </c>
      <c r="G433" t="n">
        <v>92297</v>
      </c>
      <c r="H433">
        <f>IF(PNL!A433="","",_CALC_PNL!P433)</f>
        <v/>
      </c>
      <c r="I433">
        <f>IF(PNL!A433="","",IF(_CALC_PNL!E433=1,H433-G433,""))</f>
        <v/>
      </c>
    </row>
    <row r="434">
      <c r="A434" s="1" t="inlineStr">
        <is>
          <t>IPAC_REN</t>
        </is>
      </c>
      <c r="B434" s="1" t="inlineStr">
        <is>
          <t>613</t>
        </is>
      </c>
      <c r="C434" s="1" t="inlineStr">
        <is>
          <t>2026</t>
        </is>
      </c>
      <c r="D434" s="1" t="inlineStr">
        <is>
          <t>ACT</t>
        </is>
      </c>
      <c r="E434" s="1" t="inlineStr">
        <is>
          <t>2027BUD_V1</t>
        </is>
      </c>
      <c r="F434" s="1" t="inlineStr">
        <is>
          <t>12</t>
        </is>
      </c>
      <c r="G434" t="n">
        <v>81221</v>
      </c>
      <c r="H434">
        <f>IF(PNL!A434="","",_CALC_PNL!P434)</f>
        <v/>
      </c>
      <c r="I434">
        <f>IF(PNL!A434="","",IF(_CALC_PNL!E434=1,H434-G434,""))</f>
        <v/>
      </c>
    </row>
    <row r="435">
      <c r="A435" s="1" t="inlineStr">
        <is>
          <t>IPAC_MTP</t>
        </is>
      </c>
      <c r="B435" s="1" t="inlineStr">
        <is>
          <t>613</t>
        </is>
      </c>
      <c r="C435" s="1" t="inlineStr">
        <is>
          <t>2026</t>
        </is>
      </c>
      <c r="D435" s="1" t="inlineStr">
        <is>
          <t>ACT</t>
        </is>
      </c>
      <c r="E435" s="1" t="inlineStr">
        <is>
          <t>2027BUD_V1</t>
        </is>
      </c>
      <c r="F435" s="1" t="inlineStr">
        <is>
          <t>12</t>
        </is>
      </c>
      <c r="G435" t="n">
        <v>81221</v>
      </c>
      <c r="H435">
        <f>IF(PNL!A435="","",_CALC_PNL!P435)</f>
        <v/>
      </c>
      <c r="I435">
        <f>IF(PNL!A435="","",IF(_CALC_PNL!E435=1,H435-G435,""))</f>
        <v/>
      </c>
    </row>
    <row r="436">
      <c r="A436" s="1" t="inlineStr">
        <is>
          <t>PIGIER_LYO</t>
        </is>
      </c>
      <c r="B436" s="1" t="inlineStr">
        <is>
          <t>613</t>
        </is>
      </c>
      <c r="C436" s="1" t="inlineStr">
        <is>
          <t>2026</t>
        </is>
      </c>
      <c r="D436" s="1" t="inlineStr">
        <is>
          <t>ACT</t>
        </is>
      </c>
      <c r="E436" s="1" t="inlineStr">
        <is>
          <t>2027BUD_V1</t>
        </is>
      </c>
      <c r="F436" s="1" t="inlineStr">
        <is>
          <t>12</t>
        </is>
      </c>
      <c r="G436" t="n">
        <v>137830</v>
      </c>
      <c r="H436">
        <f>IF(PNL!A436="","",_CALC_PNL!P436)</f>
        <v/>
      </c>
      <c r="I436">
        <f>IF(PNL!A436="","",IF(_CALC_PNL!E436=1,H436-G436,""))</f>
        <v/>
      </c>
    </row>
    <row r="437">
      <c r="A437" s="1" t="inlineStr">
        <is>
          <t>PIGIER_BOR</t>
        </is>
      </c>
      <c r="B437" s="1" t="inlineStr">
        <is>
          <t>613</t>
        </is>
      </c>
      <c r="C437" s="1" t="inlineStr">
        <is>
          <t>2026</t>
        </is>
      </c>
      <c r="D437" s="1" t="inlineStr">
        <is>
          <t>ACT</t>
        </is>
      </c>
      <c r="E437" s="1" t="inlineStr">
        <is>
          <t>2027BUD_V1</t>
        </is>
      </c>
      <c r="F437" s="1" t="inlineStr">
        <is>
          <t>12</t>
        </is>
      </c>
      <c r="G437" t="n">
        <v>129215</v>
      </c>
      <c r="H437">
        <f>IF(PNL!A437="","",_CALC_PNL!P437)</f>
        <v/>
      </c>
      <c r="I437">
        <f>IF(PNL!A437="","",IF(_CALC_PNL!E437=1,H437-G437,""))</f>
        <v/>
      </c>
    </row>
    <row r="438">
      <c r="A438" s="1" t="inlineStr">
        <is>
          <t>TUNON_PAR</t>
        </is>
      </c>
      <c r="B438" s="1" t="inlineStr">
        <is>
          <t>613</t>
        </is>
      </c>
      <c r="C438" s="1" t="inlineStr">
        <is>
          <t>2026</t>
        </is>
      </c>
      <c r="D438" s="1" t="inlineStr">
        <is>
          <t>ACT</t>
        </is>
      </c>
      <c r="E438" s="1" t="inlineStr">
        <is>
          <t>2027BUD_V1</t>
        </is>
      </c>
      <c r="F438" s="1" t="inlineStr">
        <is>
          <t>12</t>
        </is>
      </c>
      <c r="G438" t="n">
        <v>149520</v>
      </c>
      <c r="H438">
        <f>IF(PNL!A438="","",_CALC_PNL!P438)</f>
        <v/>
      </c>
      <c r="I438">
        <f>IF(PNL!A438="","",IF(_CALC_PNL!E438=1,H438-G438,""))</f>
        <v/>
      </c>
    </row>
    <row r="439">
      <c r="A439" s="1" t="inlineStr">
        <is>
          <t>TUNON_LYO</t>
        </is>
      </c>
      <c r="B439" s="1" t="inlineStr">
        <is>
          <t>613</t>
        </is>
      </c>
      <c r="C439" s="1" t="inlineStr">
        <is>
          <t>2026</t>
        </is>
      </c>
      <c r="D439" s="1" t="inlineStr">
        <is>
          <t>ACT</t>
        </is>
      </c>
      <c r="E439" s="1" t="inlineStr">
        <is>
          <t>2027BUD_V1</t>
        </is>
      </c>
      <c r="F439" s="1" t="inlineStr">
        <is>
          <t>12</t>
        </is>
      </c>
      <c r="G439" t="n">
        <v>103372</v>
      </c>
      <c r="H439">
        <f>IF(PNL!A439="","",_CALC_PNL!P439)</f>
        <v/>
      </c>
      <c r="I439">
        <f>IF(PNL!A439="","",IF(_CALC_PNL!E439=1,H439-G439,""))</f>
        <v/>
      </c>
    </row>
    <row r="440">
      <c r="A440" s="1" t="inlineStr">
        <is>
          <t>MBWAY_PAR</t>
        </is>
      </c>
      <c r="B440" s="1" t="inlineStr">
        <is>
          <t>615</t>
        </is>
      </c>
      <c r="C440" s="1" t="inlineStr">
        <is>
          <t>2024</t>
        </is>
      </c>
      <c r="D440" s="1" t="inlineStr">
        <is>
          <t>ACT</t>
        </is>
      </c>
      <c r="E440" s="1" t="inlineStr">
        <is>
          <t>2027BUD_V1</t>
        </is>
      </c>
      <c r="F440" s="1" t="inlineStr">
        <is>
          <t>12</t>
        </is>
      </c>
      <c r="G440" t="n">
        <v>48734</v>
      </c>
      <c r="H440">
        <f>IF(PNL!A440="","",_CALC_PNL!P440)</f>
        <v/>
      </c>
      <c r="I440">
        <f>IF(PNL!A440="","",IF(_CALC_PNL!E440=1,H440-G440,""))</f>
        <v/>
      </c>
    </row>
    <row r="441">
      <c r="A441" s="1" t="inlineStr">
        <is>
          <t>MBWAY_LYO</t>
        </is>
      </c>
      <c r="B441" s="1" t="inlineStr">
        <is>
          <t>615</t>
        </is>
      </c>
      <c r="C441" s="1" t="inlineStr">
        <is>
          <t>2024</t>
        </is>
      </c>
      <c r="D441" s="1" t="inlineStr">
        <is>
          <t>ACT</t>
        </is>
      </c>
      <c r="E441" s="1" t="inlineStr">
        <is>
          <t>2027BUD_V1</t>
        </is>
      </c>
      <c r="F441" s="1" t="inlineStr">
        <is>
          <t>12</t>
        </is>
      </c>
      <c r="G441" t="n">
        <v>29200</v>
      </c>
      <c r="H441">
        <f>IF(PNL!A441="","",_CALC_PNL!P441)</f>
        <v/>
      </c>
      <c r="I441">
        <f>IF(PNL!A441="","",IF(_CALC_PNL!E441=1,H441-G441,""))</f>
        <v/>
      </c>
    </row>
    <row r="442">
      <c r="A442" s="1" t="inlineStr">
        <is>
          <t>MBWAY_NAN</t>
        </is>
      </c>
      <c r="B442" s="1" t="inlineStr">
        <is>
          <t>615</t>
        </is>
      </c>
      <c r="C442" s="1" t="inlineStr">
        <is>
          <t>2024</t>
        </is>
      </c>
      <c r="D442" s="1" t="inlineStr">
        <is>
          <t>ACT</t>
        </is>
      </c>
      <c r="E442" s="1" t="inlineStr">
        <is>
          <t>2027BUD_V1</t>
        </is>
      </c>
      <c r="F442" s="1" t="inlineStr">
        <is>
          <t>12</t>
        </is>
      </c>
      <c r="G442" t="n">
        <v>24066</v>
      </c>
      <c r="H442">
        <f>IF(PNL!A442="","",_CALC_PNL!P442)</f>
        <v/>
      </c>
      <c r="I442">
        <f>IF(PNL!A442="","",IF(_CALC_PNL!E442=1,H442-G442,""))</f>
        <v/>
      </c>
    </row>
    <row r="443">
      <c r="A443" s="1" t="inlineStr">
        <is>
          <t>MBWAY_BOR</t>
        </is>
      </c>
      <c r="B443" s="1" t="inlineStr">
        <is>
          <t>615</t>
        </is>
      </c>
      <c r="C443" s="1" t="inlineStr">
        <is>
          <t>2024</t>
        </is>
      </c>
      <c r="D443" s="1" t="inlineStr">
        <is>
          <t>ACT</t>
        </is>
      </c>
      <c r="E443" s="1" t="inlineStr">
        <is>
          <t>2027BUD_V1</t>
        </is>
      </c>
      <c r="F443" s="1" t="inlineStr">
        <is>
          <t>12</t>
        </is>
      </c>
      <c r="G443" t="n">
        <v>21058</v>
      </c>
      <c r="H443">
        <f>IF(PNL!A443="","",_CALC_PNL!P443)</f>
        <v/>
      </c>
      <c r="I443">
        <f>IF(PNL!A443="","",IF(_CALC_PNL!E443=1,H443-G443,""))</f>
        <v/>
      </c>
    </row>
    <row r="444">
      <c r="A444" s="1" t="inlineStr">
        <is>
          <t>ISCOM_PAR</t>
        </is>
      </c>
      <c r="B444" s="1" t="inlineStr">
        <is>
          <t>615</t>
        </is>
      </c>
      <c r="C444" s="1" t="inlineStr">
        <is>
          <t>2024</t>
        </is>
      </c>
      <c r="D444" s="1" t="inlineStr">
        <is>
          <t>ACT</t>
        </is>
      </c>
      <c r="E444" s="1" t="inlineStr">
        <is>
          <t>2027BUD_V1</t>
        </is>
      </c>
      <c r="F444" s="1" t="inlineStr">
        <is>
          <t>12</t>
        </is>
      </c>
      <c r="G444" t="n">
        <v>48734</v>
      </c>
      <c r="H444">
        <f>IF(PNL!A444="","",_CALC_PNL!P444)</f>
        <v/>
      </c>
      <c r="I444">
        <f>IF(PNL!A444="","",IF(_CALC_PNL!E444=1,H444-G444,""))</f>
        <v/>
      </c>
    </row>
    <row r="445">
      <c r="A445" s="1" t="inlineStr">
        <is>
          <t>ISCOM_LIL</t>
        </is>
      </c>
      <c r="B445" s="1" t="inlineStr">
        <is>
          <t>615</t>
        </is>
      </c>
      <c r="C445" s="1" t="inlineStr">
        <is>
          <t>2024</t>
        </is>
      </c>
      <c r="D445" s="1" t="inlineStr">
        <is>
          <t>ACT</t>
        </is>
      </c>
      <c r="E445" s="1" t="inlineStr">
        <is>
          <t>2027BUD_V1</t>
        </is>
      </c>
      <c r="F445" s="1" t="inlineStr">
        <is>
          <t>12</t>
        </is>
      </c>
      <c r="G445" t="n">
        <v>18451</v>
      </c>
      <c r="H445">
        <f>IF(PNL!A445="","",_CALC_PNL!P445)</f>
        <v/>
      </c>
      <c r="I445">
        <f>IF(PNL!A445="","",IF(_CALC_PNL!E445=1,H445-G445,""))</f>
        <v/>
      </c>
    </row>
    <row r="446">
      <c r="A446" s="1" t="inlineStr">
        <is>
          <t>ISCOM_TLS</t>
        </is>
      </c>
      <c r="B446" s="1" t="inlineStr">
        <is>
          <t>615</t>
        </is>
      </c>
      <c r="C446" s="1" t="inlineStr">
        <is>
          <t>2024</t>
        </is>
      </c>
      <c r="D446" s="1" t="inlineStr">
        <is>
          <t>ACT</t>
        </is>
      </c>
      <c r="E446" s="1" t="inlineStr">
        <is>
          <t>2027BUD_V1</t>
        </is>
      </c>
      <c r="F446" s="1" t="inlineStr">
        <is>
          <t>12</t>
        </is>
      </c>
      <c r="G446" t="n">
        <v>18050</v>
      </c>
      <c r="H446">
        <f>IF(PNL!A446="","",_CALC_PNL!P446)</f>
        <v/>
      </c>
      <c r="I446">
        <f>IF(PNL!A446="","",IF(_CALC_PNL!E446=1,H446-G446,""))</f>
        <v/>
      </c>
    </row>
    <row r="447">
      <c r="A447" s="1" t="inlineStr">
        <is>
          <t>IPAC_NAN</t>
        </is>
      </c>
      <c r="B447" s="1" t="inlineStr">
        <is>
          <t>615</t>
        </is>
      </c>
      <c r="C447" s="1" t="inlineStr">
        <is>
          <t>2024</t>
        </is>
      </c>
      <c r="D447" s="1" t="inlineStr">
        <is>
          <t>ACT</t>
        </is>
      </c>
      <c r="E447" s="1" t="inlineStr">
        <is>
          <t>2027BUD_V1</t>
        </is>
      </c>
      <c r="F447" s="1" t="inlineStr">
        <is>
          <t>12</t>
        </is>
      </c>
      <c r="G447" t="n">
        <v>12033</v>
      </c>
      <c r="H447">
        <f>IF(PNL!A447="","",_CALC_PNL!P447)</f>
        <v/>
      </c>
      <c r="I447">
        <f>IF(PNL!A447="","",IF(_CALC_PNL!E447=1,H447-G447,""))</f>
        <v/>
      </c>
    </row>
    <row r="448">
      <c r="A448" s="1" t="inlineStr">
        <is>
          <t>IPAC_REN</t>
        </is>
      </c>
      <c r="B448" s="1" t="inlineStr">
        <is>
          <t>615</t>
        </is>
      </c>
      <c r="C448" s="1" t="inlineStr">
        <is>
          <t>2024</t>
        </is>
      </c>
      <c r="D448" s="1" t="inlineStr">
        <is>
          <t>ACT</t>
        </is>
      </c>
      <c r="E448" s="1" t="inlineStr">
        <is>
          <t>2027BUD_V1</t>
        </is>
      </c>
      <c r="F448" s="1" t="inlineStr">
        <is>
          <t>12</t>
        </is>
      </c>
      <c r="G448" t="n">
        <v>10589</v>
      </c>
      <c r="H448">
        <f>IF(PNL!A448="","",_CALC_PNL!P448)</f>
        <v/>
      </c>
      <c r="I448">
        <f>IF(PNL!A448="","",IF(_CALC_PNL!E448=1,H448-G448,""))</f>
        <v/>
      </c>
    </row>
    <row r="449">
      <c r="A449" s="1" t="inlineStr">
        <is>
          <t>IPAC_MTP</t>
        </is>
      </c>
      <c r="B449" s="1" t="inlineStr">
        <is>
          <t>615</t>
        </is>
      </c>
      <c r="C449" s="1" t="inlineStr">
        <is>
          <t>2024</t>
        </is>
      </c>
      <c r="D449" s="1" t="inlineStr">
        <is>
          <t>ACT</t>
        </is>
      </c>
      <c r="E449" s="1" t="inlineStr">
        <is>
          <t>2027BUD_V1</t>
        </is>
      </c>
      <c r="F449" s="1" t="inlineStr">
        <is>
          <t>12</t>
        </is>
      </c>
      <c r="G449" t="n">
        <v>10589</v>
      </c>
      <c r="H449">
        <f>IF(PNL!A449="","",_CALC_PNL!P449)</f>
        <v/>
      </c>
      <c r="I449">
        <f>IF(PNL!A449="","",IF(_CALC_PNL!E449=1,H449-G449,""))</f>
        <v/>
      </c>
    </row>
    <row r="450">
      <c r="A450" s="1" t="inlineStr">
        <is>
          <t>PIGIER_LYO</t>
        </is>
      </c>
      <c r="B450" s="1" t="inlineStr">
        <is>
          <t>615</t>
        </is>
      </c>
      <c r="C450" s="1" t="inlineStr">
        <is>
          <t>2024</t>
        </is>
      </c>
      <c r="D450" s="1" t="inlineStr">
        <is>
          <t>ACT</t>
        </is>
      </c>
      <c r="E450" s="1" t="inlineStr">
        <is>
          <t>2027BUD_V1</t>
        </is>
      </c>
      <c r="F450" s="1" t="inlineStr">
        <is>
          <t>12</t>
        </is>
      </c>
      <c r="G450" t="n">
        <v>17970</v>
      </c>
      <c r="H450">
        <f>IF(PNL!A450="","",_CALC_PNL!P450)</f>
        <v/>
      </c>
      <c r="I450">
        <f>IF(PNL!A450="","",IF(_CALC_PNL!E450=1,H450-G450,""))</f>
        <v/>
      </c>
    </row>
    <row r="451">
      <c r="A451" s="1" t="inlineStr">
        <is>
          <t>PIGIER_BOR</t>
        </is>
      </c>
      <c r="B451" s="1" t="inlineStr">
        <is>
          <t>615</t>
        </is>
      </c>
      <c r="C451" s="1" t="inlineStr">
        <is>
          <t>2024</t>
        </is>
      </c>
      <c r="D451" s="1" t="inlineStr">
        <is>
          <t>ACT</t>
        </is>
      </c>
      <c r="E451" s="1" t="inlineStr">
        <is>
          <t>2027BUD_V1</t>
        </is>
      </c>
      <c r="F451" s="1" t="inlineStr">
        <is>
          <t>12</t>
        </is>
      </c>
      <c r="G451" t="n">
        <v>16846</v>
      </c>
      <c r="H451">
        <f>IF(PNL!A451="","",_CALC_PNL!P451)</f>
        <v/>
      </c>
      <c r="I451">
        <f>IF(PNL!A451="","",IF(_CALC_PNL!E451=1,H451-G451,""))</f>
        <v/>
      </c>
    </row>
    <row r="452">
      <c r="A452" s="1" t="inlineStr">
        <is>
          <t>TUNON_PAR</t>
        </is>
      </c>
      <c r="B452" s="1" t="inlineStr">
        <is>
          <t>615</t>
        </is>
      </c>
      <c r="C452" s="1" t="inlineStr">
        <is>
          <t>2024</t>
        </is>
      </c>
      <c r="D452" s="1" t="inlineStr">
        <is>
          <t>ACT</t>
        </is>
      </c>
      <c r="E452" s="1" t="inlineStr">
        <is>
          <t>2027BUD_V1</t>
        </is>
      </c>
      <c r="F452" s="1" t="inlineStr">
        <is>
          <t>12</t>
        </is>
      </c>
      <c r="G452" t="n">
        <v>19494</v>
      </c>
      <c r="H452">
        <f>IF(PNL!A452="","",_CALC_PNL!P452)</f>
        <v/>
      </c>
      <c r="I452">
        <f>IF(PNL!A452="","",IF(_CALC_PNL!E452=1,H452-G452,""))</f>
        <v/>
      </c>
    </row>
    <row r="453">
      <c r="A453" s="1" t="inlineStr">
        <is>
          <t>TUNON_LYO</t>
        </is>
      </c>
      <c r="B453" s="1" t="inlineStr">
        <is>
          <t>615</t>
        </is>
      </c>
      <c r="C453" s="1" t="inlineStr">
        <is>
          <t>2024</t>
        </is>
      </c>
      <c r="D453" s="1" t="inlineStr">
        <is>
          <t>ACT</t>
        </is>
      </c>
      <c r="E453" s="1" t="inlineStr">
        <is>
          <t>2027BUD_V1</t>
        </is>
      </c>
      <c r="F453" s="1" t="inlineStr">
        <is>
          <t>12</t>
        </is>
      </c>
      <c r="G453" t="n">
        <v>13477</v>
      </c>
      <c r="H453">
        <f>IF(PNL!A453="","",_CALC_PNL!P453)</f>
        <v/>
      </c>
      <c r="I453">
        <f>IF(PNL!A453="","",IF(_CALC_PNL!E453=1,H453-G453,""))</f>
        <v/>
      </c>
    </row>
    <row r="454">
      <c r="A454" s="1" t="inlineStr">
        <is>
          <t>MBWAY_PAR</t>
        </is>
      </c>
      <c r="B454" s="1" t="inlineStr">
        <is>
          <t>615</t>
        </is>
      </c>
      <c r="C454" s="1" t="inlineStr">
        <is>
          <t>2025</t>
        </is>
      </c>
      <c r="D454" s="1" t="inlineStr">
        <is>
          <t>ACT</t>
        </is>
      </c>
      <c r="E454" s="1" t="inlineStr">
        <is>
          <t>2027BUD_V1</t>
        </is>
      </c>
      <c r="F454" s="1" t="inlineStr">
        <is>
          <t>12</t>
        </is>
      </c>
      <c r="G454" t="n">
        <v>50967</v>
      </c>
      <c r="H454">
        <f>IF(PNL!A454="","",_CALC_PNL!P454)</f>
        <v/>
      </c>
      <c r="I454">
        <f>IF(PNL!A454="","",IF(_CALC_PNL!E454=1,H454-G454,""))</f>
        <v/>
      </c>
    </row>
    <row r="455">
      <c r="A455" s="1" t="inlineStr">
        <is>
          <t>MBWAY_LYO</t>
        </is>
      </c>
      <c r="B455" s="1" t="inlineStr">
        <is>
          <t>615</t>
        </is>
      </c>
      <c r="C455" s="1" t="inlineStr">
        <is>
          <t>2025</t>
        </is>
      </c>
      <c r="D455" s="1" t="inlineStr">
        <is>
          <t>ACT</t>
        </is>
      </c>
      <c r="E455" s="1" t="inlineStr">
        <is>
          <t>2027BUD_V1</t>
        </is>
      </c>
      <c r="F455" s="1" t="inlineStr">
        <is>
          <t>12</t>
        </is>
      </c>
      <c r="G455" t="n">
        <v>30538</v>
      </c>
      <c r="H455">
        <f>IF(PNL!A455="","",_CALC_PNL!P455)</f>
        <v/>
      </c>
      <c r="I455">
        <f>IF(PNL!A455="","",IF(_CALC_PNL!E455=1,H455-G455,""))</f>
        <v/>
      </c>
    </row>
    <row r="456">
      <c r="A456" s="1" t="inlineStr">
        <is>
          <t>MBWAY_NAN</t>
        </is>
      </c>
      <c r="B456" s="1" t="inlineStr">
        <is>
          <t>615</t>
        </is>
      </c>
      <c r="C456" s="1" t="inlineStr">
        <is>
          <t>2025</t>
        </is>
      </c>
      <c r="D456" s="1" t="inlineStr">
        <is>
          <t>ACT</t>
        </is>
      </c>
      <c r="E456" s="1" t="inlineStr">
        <is>
          <t>2027BUD_V1</t>
        </is>
      </c>
      <c r="F456" s="1" t="inlineStr">
        <is>
          <t>12</t>
        </is>
      </c>
      <c r="G456" t="n">
        <v>25169</v>
      </c>
      <c r="H456">
        <f>IF(PNL!A456="","",_CALC_PNL!P456)</f>
        <v/>
      </c>
      <c r="I456">
        <f>IF(PNL!A456="","",IF(_CALC_PNL!E456=1,H456-G456,""))</f>
        <v/>
      </c>
    </row>
    <row r="457">
      <c r="A457" s="1" t="inlineStr">
        <is>
          <t>MBWAY_BOR</t>
        </is>
      </c>
      <c r="B457" s="1" t="inlineStr">
        <is>
          <t>615</t>
        </is>
      </c>
      <c r="C457" s="1" t="inlineStr">
        <is>
          <t>2025</t>
        </is>
      </c>
      <c r="D457" s="1" t="inlineStr">
        <is>
          <t>ACT</t>
        </is>
      </c>
      <c r="E457" s="1" t="inlineStr">
        <is>
          <t>2027BUD_V1</t>
        </is>
      </c>
      <c r="F457" s="1" t="inlineStr">
        <is>
          <t>12</t>
        </is>
      </c>
      <c r="G457" t="n">
        <v>22023</v>
      </c>
      <c r="H457">
        <f>IF(PNL!A457="","",_CALC_PNL!P457)</f>
        <v/>
      </c>
      <c r="I457">
        <f>IF(PNL!A457="","",IF(_CALC_PNL!E457=1,H457-G457,""))</f>
        <v/>
      </c>
    </row>
    <row r="458">
      <c r="A458" s="1" t="inlineStr">
        <is>
          <t>ISCOM_PAR</t>
        </is>
      </c>
      <c r="B458" s="1" t="inlineStr">
        <is>
          <t>615</t>
        </is>
      </c>
      <c r="C458" s="1" t="inlineStr">
        <is>
          <t>2025</t>
        </is>
      </c>
      <c r="D458" s="1" t="inlineStr">
        <is>
          <t>ACT</t>
        </is>
      </c>
      <c r="E458" s="1" t="inlineStr">
        <is>
          <t>2027BUD_V1</t>
        </is>
      </c>
      <c r="F458" s="1" t="inlineStr">
        <is>
          <t>12</t>
        </is>
      </c>
      <c r="G458" t="n">
        <v>50967</v>
      </c>
      <c r="H458">
        <f>IF(PNL!A458="","",_CALC_PNL!P458)</f>
        <v/>
      </c>
      <c r="I458">
        <f>IF(PNL!A458="","",IF(_CALC_PNL!E458=1,H458-G458,""))</f>
        <v/>
      </c>
    </row>
    <row r="459">
      <c r="A459" s="1" t="inlineStr">
        <is>
          <t>ISCOM_LIL</t>
        </is>
      </c>
      <c r="B459" s="1" t="inlineStr">
        <is>
          <t>615</t>
        </is>
      </c>
      <c r="C459" s="1" t="inlineStr">
        <is>
          <t>2025</t>
        </is>
      </c>
      <c r="D459" s="1" t="inlineStr">
        <is>
          <t>ACT</t>
        </is>
      </c>
      <c r="E459" s="1" t="inlineStr">
        <is>
          <t>2027BUD_V1</t>
        </is>
      </c>
      <c r="F459" s="1" t="inlineStr">
        <is>
          <t>12</t>
        </is>
      </c>
      <c r="G459" t="n">
        <v>19296</v>
      </c>
      <c r="H459">
        <f>IF(PNL!A459="","",_CALC_PNL!P459)</f>
        <v/>
      </c>
      <c r="I459">
        <f>IF(PNL!A459="","",IF(_CALC_PNL!E459=1,H459-G459,""))</f>
        <v/>
      </c>
    </row>
    <row r="460">
      <c r="A460" s="1" t="inlineStr">
        <is>
          <t>ISCOM_TLS</t>
        </is>
      </c>
      <c r="B460" s="1" t="inlineStr">
        <is>
          <t>615</t>
        </is>
      </c>
      <c r="C460" s="1" t="inlineStr">
        <is>
          <t>2025</t>
        </is>
      </c>
      <c r="D460" s="1" t="inlineStr">
        <is>
          <t>ACT</t>
        </is>
      </c>
      <c r="E460" s="1" t="inlineStr">
        <is>
          <t>2027BUD_V1</t>
        </is>
      </c>
      <c r="F460" s="1" t="inlineStr">
        <is>
          <t>12</t>
        </is>
      </c>
      <c r="G460" t="n">
        <v>18877</v>
      </c>
      <c r="H460">
        <f>IF(PNL!A460="","",_CALC_PNL!P460)</f>
        <v/>
      </c>
      <c r="I460">
        <f>IF(PNL!A460="","",IF(_CALC_PNL!E460=1,H460-G460,""))</f>
        <v/>
      </c>
    </row>
    <row r="461">
      <c r="A461" s="1" t="inlineStr">
        <is>
          <t>IPAC_NAN</t>
        </is>
      </c>
      <c r="B461" s="1" t="inlineStr">
        <is>
          <t>615</t>
        </is>
      </c>
      <c r="C461" s="1" t="inlineStr">
        <is>
          <t>2025</t>
        </is>
      </c>
      <c r="D461" s="1" t="inlineStr">
        <is>
          <t>ACT</t>
        </is>
      </c>
      <c r="E461" s="1" t="inlineStr">
        <is>
          <t>2027BUD_V1</t>
        </is>
      </c>
      <c r="F461" s="1" t="inlineStr">
        <is>
          <t>12</t>
        </is>
      </c>
      <c r="G461" t="n">
        <v>12585</v>
      </c>
      <c r="H461">
        <f>IF(PNL!A461="","",_CALC_PNL!P461)</f>
        <v/>
      </c>
      <c r="I461">
        <f>IF(PNL!A461="","",IF(_CALC_PNL!E461=1,H461-G461,""))</f>
        <v/>
      </c>
    </row>
    <row r="462">
      <c r="A462" s="1" t="inlineStr">
        <is>
          <t>IPAC_REN</t>
        </is>
      </c>
      <c r="B462" s="1" t="inlineStr">
        <is>
          <t>615</t>
        </is>
      </c>
      <c r="C462" s="1" t="inlineStr">
        <is>
          <t>2025</t>
        </is>
      </c>
      <c r="D462" s="1" t="inlineStr">
        <is>
          <t>ACT</t>
        </is>
      </c>
      <c r="E462" s="1" t="inlineStr">
        <is>
          <t>2027BUD_V1</t>
        </is>
      </c>
      <c r="F462" s="1" t="inlineStr">
        <is>
          <t>12</t>
        </is>
      </c>
      <c r="G462" t="n">
        <v>11074</v>
      </c>
      <c r="H462">
        <f>IF(PNL!A462="","",_CALC_PNL!P462)</f>
        <v/>
      </c>
      <c r="I462">
        <f>IF(PNL!A462="","",IF(_CALC_PNL!E462=1,H462-G462,""))</f>
        <v/>
      </c>
    </row>
    <row r="463">
      <c r="A463" s="1" t="inlineStr">
        <is>
          <t>IPAC_MTP</t>
        </is>
      </c>
      <c r="B463" s="1" t="inlineStr">
        <is>
          <t>615</t>
        </is>
      </c>
      <c r="C463" s="1" t="inlineStr">
        <is>
          <t>2025</t>
        </is>
      </c>
      <c r="D463" s="1" t="inlineStr">
        <is>
          <t>ACT</t>
        </is>
      </c>
      <c r="E463" s="1" t="inlineStr">
        <is>
          <t>2027BUD_V1</t>
        </is>
      </c>
      <c r="F463" s="1" t="inlineStr">
        <is>
          <t>12</t>
        </is>
      </c>
      <c r="G463" t="n">
        <v>11074</v>
      </c>
      <c r="H463">
        <f>IF(PNL!A463="","",_CALC_PNL!P463)</f>
        <v/>
      </c>
      <c r="I463">
        <f>IF(PNL!A463="","",IF(_CALC_PNL!E463=1,H463-G463,""))</f>
        <v/>
      </c>
    </row>
    <row r="464">
      <c r="A464" s="1" t="inlineStr">
        <is>
          <t>PIGIER_LYO</t>
        </is>
      </c>
      <c r="B464" s="1" t="inlineStr">
        <is>
          <t>615</t>
        </is>
      </c>
      <c r="C464" s="1" t="inlineStr">
        <is>
          <t>2025</t>
        </is>
      </c>
      <c r="D464" s="1" t="inlineStr">
        <is>
          <t>ACT</t>
        </is>
      </c>
      <c r="E464" s="1" t="inlineStr">
        <is>
          <t>2027BUD_V1</t>
        </is>
      </c>
      <c r="F464" s="1" t="inlineStr">
        <is>
          <t>12</t>
        </is>
      </c>
      <c r="G464" t="n">
        <v>18793</v>
      </c>
      <c r="H464">
        <f>IF(PNL!A464="","",_CALC_PNL!P464)</f>
        <v/>
      </c>
      <c r="I464">
        <f>IF(PNL!A464="","",IF(_CALC_PNL!E464=1,H464-G464,""))</f>
        <v/>
      </c>
    </row>
    <row r="465">
      <c r="A465" s="1" t="inlineStr">
        <is>
          <t>PIGIER_BOR</t>
        </is>
      </c>
      <c r="B465" s="1" t="inlineStr">
        <is>
          <t>615</t>
        </is>
      </c>
      <c r="C465" s="1" t="inlineStr">
        <is>
          <t>2025</t>
        </is>
      </c>
      <c r="D465" s="1" t="inlineStr">
        <is>
          <t>ACT</t>
        </is>
      </c>
      <c r="E465" s="1" t="inlineStr">
        <is>
          <t>2027BUD_V1</t>
        </is>
      </c>
      <c r="F465" s="1" t="inlineStr">
        <is>
          <t>12</t>
        </is>
      </c>
      <c r="G465" t="n">
        <v>17618</v>
      </c>
      <c r="H465">
        <f>IF(PNL!A465="","",_CALC_PNL!P465)</f>
        <v/>
      </c>
      <c r="I465">
        <f>IF(PNL!A465="","",IF(_CALC_PNL!E465=1,H465-G465,""))</f>
        <v/>
      </c>
    </row>
    <row r="466">
      <c r="A466" s="1" t="inlineStr">
        <is>
          <t>TUNON_PAR</t>
        </is>
      </c>
      <c r="B466" s="1" t="inlineStr">
        <is>
          <t>615</t>
        </is>
      </c>
      <c r="C466" s="1" t="inlineStr">
        <is>
          <t>2025</t>
        </is>
      </c>
      <c r="D466" s="1" t="inlineStr">
        <is>
          <t>ACT</t>
        </is>
      </c>
      <c r="E466" s="1" t="inlineStr">
        <is>
          <t>2027BUD_V1</t>
        </is>
      </c>
      <c r="F466" s="1" t="inlineStr">
        <is>
          <t>12</t>
        </is>
      </c>
      <c r="G466" t="n">
        <v>20387</v>
      </c>
      <c r="H466">
        <f>IF(PNL!A466="","",_CALC_PNL!P466)</f>
        <v/>
      </c>
      <c r="I466">
        <f>IF(PNL!A466="","",IF(_CALC_PNL!E466=1,H466-G466,""))</f>
        <v/>
      </c>
    </row>
    <row r="467">
      <c r="A467" s="1" t="inlineStr">
        <is>
          <t>TUNON_LYO</t>
        </is>
      </c>
      <c r="B467" s="1" t="inlineStr">
        <is>
          <t>615</t>
        </is>
      </c>
      <c r="C467" s="1" t="inlineStr">
        <is>
          <t>2025</t>
        </is>
      </c>
      <c r="D467" s="1" t="inlineStr">
        <is>
          <t>ACT</t>
        </is>
      </c>
      <c r="E467" s="1" t="inlineStr">
        <is>
          <t>2027BUD_V1</t>
        </is>
      </c>
      <c r="F467" s="1" t="inlineStr">
        <is>
          <t>12</t>
        </is>
      </c>
      <c r="G467" t="n">
        <v>14095</v>
      </c>
      <c r="H467">
        <f>IF(PNL!A467="","",_CALC_PNL!P467)</f>
        <v/>
      </c>
      <c r="I467">
        <f>IF(PNL!A467="","",IF(_CALC_PNL!E467=1,H467-G467,""))</f>
        <v/>
      </c>
    </row>
    <row r="468">
      <c r="A468" s="1" t="inlineStr">
        <is>
          <t>MBWAY_PAR</t>
        </is>
      </c>
      <c r="B468" s="1" t="inlineStr">
        <is>
          <t>615</t>
        </is>
      </c>
      <c r="C468" s="1" t="inlineStr">
        <is>
          <t>2026</t>
        </is>
      </c>
      <c r="D468" s="1" t="inlineStr">
        <is>
          <t>ACT</t>
        </is>
      </c>
      <c r="E468" s="1" t="inlineStr">
        <is>
          <t>2027BUD_V1</t>
        </is>
      </c>
      <c r="F468" s="1" t="inlineStr">
        <is>
          <t>12</t>
        </is>
      </c>
      <c r="G468" t="n">
        <v>53400</v>
      </c>
      <c r="H468">
        <f>IF(PNL!A468="","",_CALC_PNL!P468)</f>
        <v/>
      </c>
      <c r="I468">
        <f>IF(PNL!A468="","",IF(_CALC_PNL!E468=1,H468-G468,""))</f>
        <v/>
      </c>
    </row>
    <row r="469">
      <c r="A469" s="1" t="inlineStr">
        <is>
          <t>MBWAY_LYO</t>
        </is>
      </c>
      <c r="B469" s="1" t="inlineStr">
        <is>
          <t>615</t>
        </is>
      </c>
      <c r="C469" s="1" t="inlineStr">
        <is>
          <t>2026</t>
        </is>
      </c>
      <c r="D469" s="1" t="inlineStr">
        <is>
          <t>ACT</t>
        </is>
      </c>
      <c r="E469" s="1" t="inlineStr">
        <is>
          <t>2027BUD_V1</t>
        </is>
      </c>
      <c r="F469" s="1" t="inlineStr">
        <is>
          <t>12</t>
        </is>
      </c>
      <c r="G469" t="n">
        <v>31996</v>
      </c>
      <c r="H469">
        <f>IF(PNL!A469="","",_CALC_PNL!P469)</f>
        <v/>
      </c>
      <c r="I469">
        <f>IF(PNL!A469="","",IF(_CALC_PNL!E469=1,H469-G469,""))</f>
        <v/>
      </c>
    </row>
    <row r="470">
      <c r="A470" s="1" t="inlineStr">
        <is>
          <t>MBWAY_NAN</t>
        </is>
      </c>
      <c r="B470" s="1" t="inlineStr">
        <is>
          <t>615</t>
        </is>
      </c>
      <c r="C470" s="1" t="inlineStr">
        <is>
          <t>2026</t>
        </is>
      </c>
      <c r="D470" s="1" t="inlineStr">
        <is>
          <t>ACT</t>
        </is>
      </c>
      <c r="E470" s="1" t="inlineStr">
        <is>
          <t>2027BUD_V1</t>
        </is>
      </c>
      <c r="F470" s="1" t="inlineStr">
        <is>
          <t>12</t>
        </is>
      </c>
      <c r="G470" t="n">
        <v>26370</v>
      </c>
      <c r="H470">
        <f>IF(PNL!A470="","",_CALC_PNL!P470)</f>
        <v/>
      </c>
      <c r="I470">
        <f>IF(PNL!A470="","",IF(_CALC_PNL!E470=1,H470-G470,""))</f>
        <v/>
      </c>
    </row>
    <row r="471">
      <c r="A471" s="1" t="inlineStr">
        <is>
          <t>MBWAY_BOR</t>
        </is>
      </c>
      <c r="B471" s="1" t="inlineStr">
        <is>
          <t>615</t>
        </is>
      </c>
      <c r="C471" s="1" t="inlineStr">
        <is>
          <t>2026</t>
        </is>
      </c>
      <c r="D471" s="1" t="inlineStr">
        <is>
          <t>ACT</t>
        </is>
      </c>
      <c r="E471" s="1" t="inlineStr">
        <is>
          <t>2027BUD_V1</t>
        </is>
      </c>
      <c r="F471" s="1" t="inlineStr">
        <is>
          <t>12</t>
        </is>
      </c>
      <c r="G471" t="n">
        <v>23074</v>
      </c>
      <c r="H471">
        <f>IF(PNL!A471="","",_CALC_PNL!P471)</f>
        <v/>
      </c>
      <c r="I471">
        <f>IF(PNL!A471="","",IF(_CALC_PNL!E471=1,H471-G471,""))</f>
        <v/>
      </c>
    </row>
    <row r="472">
      <c r="A472" s="1" t="inlineStr">
        <is>
          <t>ISCOM_PAR</t>
        </is>
      </c>
      <c r="B472" s="1" t="inlineStr">
        <is>
          <t>615</t>
        </is>
      </c>
      <c r="C472" s="1" t="inlineStr">
        <is>
          <t>2026</t>
        </is>
      </c>
      <c r="D472" s="1" t="inlineStr">
        <is>
          <t>ACT</t>
        </is>
      </c>
      <c r="E472" s="1" t="inlineStr">
        <is>
          <t>2027BUD_V1</t>
        </is>
      </c>
      <c r="F472" s="1" t="inlineStr">
        <is>
          <t>12</t>
        </is>
      </c>
      <c r="G472" t="n">
        <v>53400</v>
      </c>
      <c r="H472">
        <f>IF(PNL!A472="","",_CALC_PNL!P472)</f>
        <v/>
      </c>
      <c r="I472">
        <f>IF(PNL!A472="","",IF(_CALC_PNL!E472=1,H472-G472,""))</f>
        <v/>
      </c>
    </row>
    <row r="473">
      <c r="A473" s="1" t="inlineStr">
        <is>
          <t>ISCOM_LIL</t>
        </is>
      </c>
      <c r="B473" s="1" t="inlineStr">
        <is>
          <t>615</t>
        </is>
      </c>
      <c r="C473" s="1" t="inlineStr">
        <is>
          <t>2026</t>
        </is>
      </c>
      <c r="D473" s="1" t="inlineStr">
        <is>
          <t>ACT</t>
        </is>
      </c>
      <c r="E473" s="1" t="inlineStr">
        <is>
          <t>2027BUD_V1</t>
        </is>
      </c>
      <c r="F473" s="1" t="inlineStr">
        <is>
          <t>12</t>
        </is>
      </c>
      <c r="G473" t="n">
        <v>20217</v>
      </c>
      <c r="H473">
        <f>IF(PNL!A473="","",_CALC_PNL!P473)</f>
        <v/>
      </c>
      <c r="I473">
        <f>IF(PNL!A473="","",IF(_CALC_PNL!E473=1,H473-G473,""))</f>
        <v/>
      </c>
    </row>
    <row r="474">
      <c r="A474" s="1" t="inlineStr">
        <is>
          <t>ISCOM_TLS</t>
        </is>
      </c>
      <c r="B474" s="1" t="inlineStr">
        <is>
          <t>615</t>
        </is>
      </c>
      <c r="C474" s="1" t="inlineStr">
        <is>
          <t>2026</t>
        </is>
      </c>
      <c r="D474" s="1" t="inlineStr">
        <is>
          <t>ACT</t>
        </is>
      </c>
      <c r="E474" s="1" t="inlineStr">
        <is>
          <t>2027BUD_V1</t>
        </is>
      </c>
      <c r="F474" s="1" t="inlineStr">
        <is>
          <t>12</t>
        </is>
      </c>
      <c r="G474" t="n">
        <v>19778</v>
      </c>
      <c r="H474">
        <f>IF(PNL!A474="","",_CALC_PNL!P474)</f>
        <v/>
      </c>
      <c r="I474">
        <f>IF(PNL!A474="","",IF(_CALC_PNL!E474=1,H474-G474,""))</f>
        <v/>
      </c>
    </row>
    <row r="475">
      <c r="A475" s="1" t="inlineStr">
        <is>
          <t>IPAC_NAN</t>
        </is>
      </c>
      <c r="B475" s="1" t="inlineStr">
        <is>
          <t>615</t>
        </is>
      </c>
      <c r="C475" s="1" t="inlineStr">
        <is>
          <t>2026</t>
        </is>
      </c>
      <c r="D475" s="1" t="inlineStr">
        <is>
          <t>ACT</t>
        </is>
      </c>
      <c r="E475" s="1" t="inlineStr">
        <is>
          <t>2027BUD_V1</t>
        </is>
      </c>
      <c r="F475" s="1" t="inlineStr">
        <is>
          <t>12</t>
        </is>
      </c>
      <c r="G475" t="n">
        <v>13185</v>
      </c>
      <c r="H475">
        <f>IF(PNL!A475="","",_CALC_PNL!P475)</f>
        <v/>
      </c>
      <c r="I475">
        <f>IF(PNL!A475="","",IF(_CALC_PNL!E475=1,H475-G475,""))</f>
        <v/>
      </c>
    </row>
    <row r="476">
      <c r="A476" s="1" t="inlineStr">
        <is>
          <t>IPAC_REN</t>
        </is>
      </c>
      <c r="B476" s="1" t="inlineStr">
        <is>
          <t>615</t>
        </is>
      </c>
      <c r="C476" s="1" t="inlineStr">
        <is>
          <t>2026</t>
        </is>
      </c>
      <c r="D476" s="1" t="inlineStr">
        <is>
          <t>ACT</t>
        </is>
      </c>
      <c r="E476" s="1" t="inlineStr">
        <is>
          <t>2027BUD_V1</t>
        </is>
      </c>
      <c r="F476" s="1" t="inlineStr">
        <is>
          <t>12</t>
        </is>
      </c>
      <c r="G476" t="n">
        <v>11603</v>
      </c>
      <c r="H476">
        <f>IF(PNL!A476="","",_CALC_PNL!P476)</f>
        <v/>
      </c>
      <c r="I476">
        <f>IF(PNL!A476="","",IF(_CALC_PNL!E476=1,H476-G476,""))</f>
        <v/>
      </c>
    </row>
    <row r="477">
      <c r="A477" s="1" t="inlineStr">
        <is>
          <t>IPAC_MTP</t>
        </is>
      </c>
      <c r="B477" s="1" t="inlineStr">
        <is>
          <t>615</t>
        </is>
      </c>
      <c r="C477" s="1" t="inlineStr">
        <is>
          <t>2026</t>
        </is>
      </c>
      <c r="D477" s="1" t="inlineStr">
        <is>
          <t>ACT</t>
        </is>
      </c>
      <c r="E477" s="1" t="inlineStr">
        <is>
          <t>2027BUD_V1</t>
        </is>
      </c>
      <c r="F477" s="1" t="inlineStr">
        <is>
          <t>12</t>
        </is>
      </c>
      <c r="G477" t="n">
        <v>11603</v>
      </c>
      <c r="H477">
        <f>IF(PNL!A477="","",_CALC_PNL!P477)</f>
        <v/>
      </c>
      <c r="I477">
        <f>IF(PNL!A477="","",IF(_CALC_PNL!E477=1,H477-G477,""))</f>
        <v/>
      </c>
    </row>
    <row r="478">
      <c r="A478" s="1" t="inlineStr">
        <is>
          <t>PIGIER_LYO</t>
        </is>
      </c>
      <c r="B478" s="1" t="inlineStr">
        <is>
          <t>615</t>
        </is>
      </c>
      <c r="C478" s="1" t="inlineStr">
        <is>
          <t>2026</t>
        </is>
      </c>
      <c r="D478" s="1" t="inlineStr">
        <is>
          <t>ACT</t>
        </is>
      </c>
      <c r="E478" s="1" t="inlineStr">
        <is>
          <t>2027BUD_V1</t>
        </is>
      </c>
      <c r="F478" s="1" t="inlineStr">
        <is>
          <t>12</t>
        </is>
      </c>
      <c r="G478" t="n">
        <v>19690</v>
      </c>
      <c r="H478">
        <f>IF(PNL!A478="","",_CALC_PNL!P478)</f>
        <v/>
      </c>
      <c r="I478">
        <f>IF(PNL!A478="","",IF(_CALC_PNL!E478=1,H478-G478,""))</f>
        <v/>
      </c>
    </row>
    <row r="479">
      <c r="A479" s="1" t="inlineStr">
        <is>
          <t>PIGIER_BOR</t>
        </is>
      </c>
      <c r="B479" s="1" t="inlineStr">
        <is>
          <t>615</t>
        </is>
      </c>
      <c r="C479" s="1" t="inlineStr">
        <is>
          <t>2026</t>
        </is>
      </c>
      <c r="D479" s="1" t="inlineStr">
        <is>
          <t>ACT</t>
        </is>
      </c>
      <c r="E479" s="1" t="inlineStr">
        <is>
          <t>2027BUD_V1</t>
        </is>
      </c>
      <c r="F479" s="1" t="inlineStr">
        <is>
          <t>12</t>
        </is>
      </c>
      <c r="G479" t="n">
        <v>18459</v>
      </c>
      <c r="H479">
        <f>IF(PNL!A479="","",_CALC_PNL!P479)</f>
        <v/>
      </c>
      <c r="I479">
        <f>IF(PNL!A479="","",IF(_CALC_PNL!E479=1,H479-G479,""))</f>
        <v/>
      </c>
    </row>
    <row r="480">
      <c r="A480" s="1" t="inlineStr">
        <is>
          <t>TUNON_PAR</t>
        </is>
      </c>
      <c r="B480" s="1" t="inlineStr">
        <is>
          <t>615</t>
        </is>
      </c>
      <c r="C480" s="1" t="inlineStr">
        <is>
          <t>2026</t>
        </is>
      </c>
      <c r="D480" s="1" t="inlineStr">
        <is>
          <t>ACT</t>
        </is>
      </c>
      <c r="E480" s="1" t="inlineStr">
        <is>
          <t>2027BUD_V1</t>
        </is>
      </c>
      <c r="F480" s="1" t="inlineStr">
        <is>
          <t>12</t>
        </is>
      </c>
      <c r="G480" t="n">
        <v>21360</v>
      </c>
      <c r="H480">
        <f>IF(PNL!A480="","",_CALC_PNL!P480)</f>
        <v/>
      </c>
      <c r="I480">
        <f>IF(PNL!A480="","",IF(_CALC_PNL!E480=1,H480-G480,""))</f>
        <v/>
      </c>
    </row>
    <row r="481">
      <c r="A481" s="1" t="inlineStr">
        <is>
          <t>TUNON_LYO</t>
        </is>
      </c>
      <c r="B481" s="1" t="inlineStr">
        <is>
          <t>615</t>
        </is>
      </c>
      <c r="C481" s="1" t="inlineStr">
        <is>
          <t>2026</t>
        </is>
      </c>
      <c r="D481" s="1" t="inlineStr">
        <is>
          <t>ACT</t>
        </is>
      </c>
      <c r="E481" s="1" t="inlineStr">
        <is>
          <t>2027BUD_V1</t>
        </is>
      </c>
      <c r="F481" s="1" t="inlineStr">
        <is>
          <t>12</t>
        </is>
      </c>
      <c r="G481" t="n">
        <v>14767</v>
      </c>
      <c r="H481">
        <f>IF(PNL!A481="","",_CALC_PNL!P481)</f>
        <v/>
      </c>
      <c r="I481">
        <f>IF(PNL!A481="","",IF(_CALC_PNL!E481=1,H481-G481,""))</f>
        <v/>
      </c>
    </row>
    <row r="482">
      <c r="A482" s="1" t="inlineStr">
        <is>
          <t>MBWAY_PAR</t>
        </is>
      </c>
      <c r="B482" s="1" t="inlineStr">
        <is>
          <t>616</t>
        </is>
      </c>
      <c r="C482" s="1" t="inlineStr">
        <is>
          <t>2024</t>
        </is>
      </c>
      <c r="D482" s="1" t="inlineStr">
        <is>
          <t>ACT</t>
        </is>
      </c>
      <c r="E482" s="1" t="inlineStr">
        <is>
          <t>2027BUD_V1</t>
        </is>
      </c>
      <c r="F482" s="1" t="inlineStr">
        <is>
          <t>12</t>
        </is>
      </c>
      <c r="G482" t="n">
        <v>35430</v>
      </c>
      <c r="H482">
        <f>IF(PNL!A482="","",_CALC_PNL!P482)</f>
        <v/>
      </c>
      <c r="I482">
        <f>IF(PNL!A482="","",IF(_CALC_PNL!E482=1,H482-G482,""))</f>
        <v/>
      </c>
    </row>
    <row r="483">
      <c r="A483" s="1" t="inlineStr">
        <is>
          <t>MBWAY_LYO</t>
        </is>
      </c>
      <c r="B483" s="1" t="inlineStr">
        <is>
          <t>616</t>
        </is>
      </c>
      <c r="C483" s="1" t="inlineStr">
        <is>
          <t>2024</t>
        </is>
      </c>
      <c r="D483" s="1" t="inlineStr">
        <is>
          <t>ACT</t>
        </is>
      </c>
      <c r="E483" s="1" t="inlineStr">
        <is>
          <t>2027BUD_V1</t>
        </is>
      </c>
      <c r="F483" s="1" t="inlineStr">
        <is>
          <t>12</t>
        </is>
      </c>
      <c r="G483" t="n">
        <v>20776</v>
      </c>
      <c r="H483">
        <f>IF(PNL!A483="","",_CALC_PNL!P483)</f>
        <v/>
      </c>
      <c r="I483">
        <f>IF(PNL!A483="","",IF(_CALC_PNL!E483=1,H483-G483,""))</f>
        <v/>
      </c>
    </row>
    <row r="484">
      <c r="A484" s="1" t="inlineStr">
        <is>
          <t>MBWAY_NAN</t>
        </is>
      </c>
      <c r="B484" s="1" t="inlineStr">
        <is>
          <t>616</t>
        </is>
      </c>
      <c r="C484" s="1" t="inlineStr">
        <is>
          <t>2024</t>
        </is>
      </c>
      <c r="D484" s="1" t="inlineStr">
        <is>
          <t>ACT</t>
        </is>
      </c>
      <c r="E484" s="1" t="inlineStr">
        <is>
          <t>2027BUD_V1</t>
        </is>
      </c>
      <c r="F484" s="1" t="inlineStr">
        <is>
          <t>12</t>
        </is>
      </c>
      <c r="G484" t="n">
        <v>16832</v>
      </c>
      <c r="H484">
        <f>IF(PNL!A484="","",_CALC_PNL!P484)</f>
        <v/>
      </c>
      <c r="I484">
        <f>IF(PNL!A484="","",IF(_CALC_PNL!E484=1,H484-G484,""))</f>
        <v/>
      </c>
    </row>
    <row r="485">
      <c r="A485" s="1" t="inlineStr">
        <is>
          <t>MBWAY_BOR</t>
        </is>
      </c>
      <c r="B485" s="1" t="inlineStr">
        <is>
          <t>616</t>
        </is>
      </c>
      <c r="C485" s="1" t="inlineStr">
        <is>
          <t>2024</t>
        </is>
      </c>
      <c r="D485" s="1" t="inlineStr">
        <is>
          <t>ACT</t>
        </is>
      </c>
      <c r="E485" s="1" t="inlineStr">
        <is>
          <t>2027BUD_V1</t>
        </is>
      </c>
      <c r="F485" s="1" t="inlineStr">
        <is>
          <t>12</t>
        </is>
      </c>
      <c r="G485" t="n">
        <v>14969</v>
      </c>
      <c r="H485">
        <f>IF(PNL!A485="","",_CALC_PNL!P485)</f>
        <v/>
      </c>
      <c r="I485">
        <f>IF(PNL!A485="","",IF(_CALC_PNL!E485=1,H485-G485,""))</f>
        <v/>
      </c>
    </row>
    <row r="486">
      <c r="A486" s="1" t="inlineStr">
        <is>
          <t>ISCOM_PAR</t>
        </is>
      </c>
      <c r="B486" s="1" t="inlineStr">
        <is>
          <t>616</t>
        </is>
      </c>
      <c r="C486" s="1" t="inlineStr">
        <is>
          <t>2024</t>
        </is>
      </c>
      <c r="D486" s="1" t="inlineStr">
        <is>
          <t>ACT</t>
        </is>
      </c>
      <c r="E486" s="1" t="inlineStr">
        <is>
          <t>2027BUD_V1</t>
        </is>
      </c>
      <c r="F486" s="1" t="inlineStr">
        <is>
          <t>12</t>
        </is>
      </c>
      <c r="G486" t="n">
        <v>32833</v>
      </c>
      <c r="H486">
        <f>IF(PNL!A486="","",_CALC_PNL!P486)</f>
        <v/>
      </c>
      <c r="I486">
        <f>IF(PNL!A486="","",IF(_CALC_PNL!E486=1,H486-G486,""))</f>
        <v/>
      </c>
    </row>
    <row r="487">
      <c r="A487" s="1" t="inlineStr">
        <is>
          <t>ISCOM_LIL</t>
        </is>
      </c>
      <c r="B487" s="1" t="inlineStr">
        <is>
          <t>616</t>
        </is>
      </c>
      <c r="C487" s="1" t="inlineStr">
        <is>
          <t>2024</t>
        </is>
      </c>
      <c r="D487" s="1" t="inlineStr">
        <is>
          <t>ACT</t>
        </is>
      </c>
      <c r="E487" s="1" t="inlineStr">
        <is>
          <t>2027BUD_V1</t>
        </is>
      </c>
      <c r="F487" s="1" t="inlineStr">
        <is>
          <t>12</t>
        </is>
      </c>
      <c r="G487" t="n">
        <v>12852</v>
      </c>
      <c r="H487">
        <f>IF(PNL!A487="","",_CALC_PNL!P487)</f>
        <v/>
      </c>
      <c r="I487">
        <f>IF(PNL!A487="","",IF(_CALC_PNL!E487=1,H487-G487,""))</f>
        <v/>
      </c>
    </row>
    <row r="488">
      <c r="A488" s="1" t="inlineStr">
        <is>
          <t>ISCOM_TLS</t>
        </is>
      </c>
      <c r="B488" s="1" t="inlineStr">
        <is>
          <t>616</t>
        </is>
      </c>
      <c r="C488" s="1" t="inlineStr">
        <is>
          <t>2024</t>
        </is>
      </c>
      <c r="D488" s="1" t="inlineStr">
        <is>
          <t>ACT</t>
        </is>
      </c>
      <c r="E488" s="1" t="inlineStr">
        <is>
          <t>2027BUD_V1</t>
        </is>
      </c>
      <c r="F488" s="1" t="inlineStr">
        <is>
          <t>12</t>
        </is>
      </c>
      <c r="G488" t="n">
        <v>11903</v>
      </c>
      <c r="H488">
        <f>IF(PNL!A488="","",_CALC_PNL!P488)</f>
        <v/>
      </c>
      <c r="I488">
        <f>IF(PNL!A488="","",IF(_CALC_PNL!E488=1,H488-G488,""))</f>
        <v/>
      </c>
    </row>
    <row r="489">
      <c r="A489" s="1" t="inlineStr">
        <is>
          <t>IPAC_NAN</t>
        </is>
      </c>
      <c r="B489" s="1" t="inlineStr">
        <is>
          <t>616</t>
        </is>
      </c>
      <c r="C489" s="1" t="inlineStr">
        <is>
          <t>2024</t>
        </is>
      </c>
      <c r="D489" s="1" t="inlineStr">
        <is>
          <t>ACT</t>
        </is>
      </c>
      <c r="E489" s="1" t="inlineStr">
        <is>
          <t>2027BUD_V1</t>
        </is>
      </c>
      <c r="F489" s="1" t="inlineStr">
        <is>
          <t>12</t>
        </is>
      </c>
      <c r="G489" t="n">
        <v>8302</v>
      </c>
      <c r="H489">
        <f>IF(PNL!A489="","",_CALC_PNL!P489)</f>
        <v/>
      </c>
      <c r="I489">
        <f>IF(PNL!A489="","",IF(_CALC_PNL!E489=1,H489-G489,""))</f>
        <v/>
      </c>
    </row>
    <row r="490">
      <c r="A490" s="1" t="inlineStr">
        <is>
          <t>IPAC_REN</t>
        </is>
      </c>
      <c r="B490" s="1" t="inlineStr">
        <is>
          <t>616</t>
        </is>
      </c>
      <c r="C490" s="1" t="inlineStr">
        <is>
          <t>2024</t>
        </is>
      </c>
      <c r="D490" s="1" t="inlineStr">
        <is>
          <t>ACT</t>
        </is>
      </c>
      <c r="E490" s="1" t="inlineStr">
        <is>
          <t>2027BUD_V1</t>
        </is>
      </c>
      <c r="F490" s="1" t="inlineStr">
        <is>
          <t>12</t>
        </is>
      </c>
      <c r="G490" t="n">
        <v>5895</v>
      </c>
      <c r="H490">
        <f>IF(PNL!A490="","",_CALC_PNL!P490)</f>
        <v/>
      </c>
      <c r="I490">
        <f>IF(PNL!A490="","",IF(_CALC_PNL!E490=1,H490-G490,""))</f>
        <v/>
      </c>
    </row>
    <row r="491">
      <c r="A491" s="1" t="inlineStr">
        <is>
          <t>IPAC_MTP</t>
        </is>
      </c>
      <c r="B491" s="1" t="inlineStr">
        <is>
          <t>616</t>
        </is>
      </c>
      <c r="C491" s="1" t="inlineStr">
        <is>
          <t>2024</t>
        </is>
      </c>
      <c r="D491" s="1" t="inlineStr">
        <is>
          <t>ACT</t>
        </is>
      </c>
      <c r="E491" s="1" t="inlineStr">
        <is>
          <t>2027BUD_V1</t>
        </is>
      </c>
      <c r="F491" s="1" t="inlineStr">
        <is>
          <t>12</t>
        </is>
      </c>
      <c r="G491" t="n">
        <v>5895</v>
      </c>
      <c r="H491">
        <f>IF(PNL!A491="","",_CALC_PNL!P491)</f>
        <v/>
      </c>
      <c r="I491">
        <f>IF(PNL!A491="","",IF(_CALC_PNL!E491=1,H491-G491,""))</f>
        <v/>
      </c>
    </row>
    <row r="492">
      <c r="A492" s="1" t="inlineStr">
        <is>
          <t>PIGIER_LYO</t>
        </is>
      </c>
      <c r="B492" s="1" t="inlineStr">
        <is>
          <t>616</t>
        </is>
      </c>
      <c r="C492" s="1" t="inlineStr">
        <is>
          <t>2024</t>
        </is>
      </c>
      <c r="D492" s="1" t="inlineStr">
        <is>
          <t>ACT</t>
        </is>
      </c>
      <c r="E492" s="1" t="inlineStr">
        <is>
          <t>2027BUD_V1</t>
        </is>
      </c>
      <c r="F492" s="1" t="inlineStr">
        <is>
          <t>12</t>
        </is>
      </c>
      <c r="G492" t="n">
        <v>11670</v>
      </c>
      <c r="H492">
        <f>IF(PNL!A492="","",_CALC_PNL!P492)</f>
        <v/>
      </c>
      <c r="I492">
        <f>IF(PNL!A492="","",IF(_CALC_PNL!E492=1,H492-G492,""))</f>
        <v/>
      </c>
    </row>
    <row r="493">
      <c r="A493" s="1" t="inlineStr">
        <is>
          <t>PIGIER_BOR</t>
        </is>
      </c>
      <c r="B493" s="1" t="inlineStr">
        <is>
          <t>616</t>
        </is>
      </c>
      <c r="C493" s="1" t="inlineStr">
        <is>
          <t>2024</t>
        </is>
      </c>
      <c r="D493" s="1" t="inlineStr">
        <is>
          <t>ACT</t>
        </is>
      </c>
      <c r="E493" s="1" t="inlineStr">
        <is>
          <t>2027BUD_V1</t>
        </is>
      </c>
      <c r="F493" s="1" t="inlineStr">
        <is>
          <t>12</t>
        </is>
      </c>
      <c r="G493" t="n">
        <v>8536</v>
      </c>
      <c r="H493">
        <f>IF(PNL!A493="","",_CALC_PNL!P493)</f>
        <v/>
      </c>
      <c r="I493">
        <f>IF(PNL!A493="","",IF(_CALC_PNL!E493=1,H493-G493,""))</f>
        <v/>
      </c>
    </row>
    <row r="494">
      <c r="A494" s="1" t="inlineStr">
        <is>
          <t>TUNON_PAR</t>
        </is>
      </c>
      <c r="B494" s="1" t="inlineStr">
        <is>
          <t>616</t>
        </is>
      </c>
      <c r="C494" s="1" t="inlineStr">
        <is>
          <t>2024</t>
        </is>
      </c>
      <c r="D494" s="1" t="inlineStr">
        <is>
          <t>ACT</t>
        </is>
      </c>
      <c r="E494" s="1" t="inlineStr">
        <is>
          <t>2027BUD_V1</t>
        </is>
      </c>
      <c r="F494" s="1" t="inlineStr">
        <is>
          <t>12</t>
        </is>
      </c>
      <c r="G494" t="n">
        <v>12799</v>
      </c>
      <c r="H494">
        <f>IF(PNL!A494="","",_CALC_PNL!P494)</f>
        <v/>
      </c>
      <c r="I494">
        <f>IF(PNL!A494="","",IF(_CALC_PNL!E494=1,H494-G494,""))</f>
        <v/>
      </c>
    </row>
    <row r="495">
      <c r="A495" s="1" t="inlineStr">
        <is>
          <t>TUNON_LYO</t>
        </is>
      </c>
      <c r="B495" s="1" t="inlineStr">
        <is>
          <t>616</t>
        </is>
      </c>
      <c r="C495" s="1" t="inlineStr">
        <is>
          <t>2024</t>
        </is>
      </c>
      <c r="D495" s="1" t="inlineStr">
        <is>
          <t>ACT</t>
        </is>
      </c>
      <c r="E495" s="1" t="inlineStr">
        <is>
          <t>2027BUD_V1</t>
        </is>
      </c>
      <c r="F495" s="1" t="inlineStr">
        <is>
          <t>12</t>
        </is>
      </c>
      <c r="G495" t="n">
        <v>7502</v>
      </c>
      <c r="H495">
        <f>IF(PNL!A495="","",_CALC_PNL!P495)</f>
        <v/>
      </c>
      <c r="I495">
        <f>IF(PNL!A495="","",IF(_CALC_PNL!E495=1,H495-G495,""))</f>
        <v/>
      </c>
    </row>
    <row r="496">
      <c r="A496" s="1" t="inlineStr">
        <is>
          <t>MBWAY_PAR</t>
        </is>
      </c>
      <c r="B496" s="1" t="inlineStr">
        <is>
          <t>616</t>
        </is>
      </c>
      <c r="C496" s="1" t="inlineStr">
        <is>
          <t>2025</t>
        </is>
      </c>
      <c r="D496" s="1" t="inlineStr">
        <is>
          <t>ACT</t>
        </is>
      </c>
      <c r="E496" s="1" t="inlineStr">
        <is>
          <t>2027BUD_V1</t>
        </is>
      </c>
      <c r="F496" s="1" t="inlineStr">
        <is>
          <t>12</t>
        </is>
      </c>
      <c r="G496" t="n">
        <v>37054</v>
      </c>
      <c r="H496">
        <f>IF(PNL!A496="","",_CALC_PNL!P496)</f>
        <v/>
      </c>
      <c r="I496">
        <f>IF(PNL!A496="","",IF(_CALC_PNL!E496=1,H496-G496,""))</f>
        <v/>
      </c>
    </row>
    <row r="497">
      <c r="A497" s="1" t="inlineStr">
        <is>
          <t>MBWAY_LYO</t>
        </is>
      </c>
      <c r="B497" s="1" t="inlineStr">
        <is>
          <t>616</t>
        </is>
      </c>
      <c r="C497" s="1" t="inlineStr">
        <is>
          <t>2025</t>
        </is>
      </c>
      <c r="D497" s="1" t="inlineStr">
        <is>
          <t>ACT</t>
        </is>
      </c>
      <c r="E497" s="1" t="inlineStr">
        <is>
          <t>2027BUD_V1</t>
        </is>
      </c>
      <c r="F497" s="1" t="inlineStr">
        <is>
          <t>12</t>
        </is>
      </c>
      <c r="G497" t="n">
        <v>21728</v>
      </c>
      <c r="H497">
        <f>IF(PNL!A497="","",_CALC_PNL!P497)</f>
        <v/>
      </c>
      <c r="I497">
        <f>IF(PNL!A497="","",IF(_CALC_PNL!E497=1,H497-G497,""))</f>
        <v/>
      </c>
    </row>
    <row r="498">
      <c r="A498" s="1" t="inlineStr">
        <is>
          <t>MBWAY_NAN</t>
        </is>
      </c>
      <c r="B498" s="1" t="inlineStr">
        <is>
          <t>616</t>
        </is>
      </c>
      <c r="C498" s="1" t="inlineStr">
        <is>
          <t>2025</t>
        </is>
      </c>
      <c r="D498" s="1" t="inlineStr">
        <is>
          <t>ACT</t>
        </is>
      </c>
      <c r="E498" s="1" t="inlineStr">
        <is>
          <t>2027BUD_V1</t>
        </is>
      </c>
      <c r="F498" s="1" t="inlineStr">
        <is>
          <t>12</t>
        </is>
      </c>
      <c r="G498" t="n">
        <v>17604</v>
      </c>
      <c r="H498">
        <f>IF(PNL!A498="","",_CALC_PNL!P498)</f>
        <v/>
      </c>
      <c r="I498">
        <f>IF(PNL!A498="","",IF(_CALC_PNL!E498=1,H498-G498,""))</f>
        <v/>
      </c>
    </row>
    <row r="499">
      <c r="A499" s="1" t="inlineStr">
        <is>
          <t>MBWAY_BOR</t>
        </is>
      </c>
      <c r="B499" s="1" t="inlineStr">
        <is>
          <t>616</t>
        </is>
      </c>
      <c r="C499" s="1" t="inlineStr">
        <is>
          <t>2025</t>
        </is>
      </c>
      <c r="D499" s="1" t="inlineStr">
        <is>
          <t>ACT</t>
        </is>
      </c>
      <c r="E499" s="1" t="inlineStr">
        <is>
          <t>2027BUD_V1</t>
        </is>
      </c>
      <c r="F499" s="1" t="inlineStr">
        <is>
          <t>12</t>
        </is>
      </c>
      <c r="G499" t="n">
        <v>15655</v>
      </c>
      <c r="H499">
        <f>IF(PNL!A499="","",_CALC_PNL!P499)</f>
        <v/>
      </c>
      <c r="I499">
        <f>IF(PNL!A499="","",IF(_CALC_PNL!E499=1,H499-G499,""))</f>
        <v/>
      </c>
    </row>
    <row r="500">
      <c r="A500" s="1" t="inlineStr">
        <is>
          <t>ISCOM_PAR</t>
        </is>
      </c>
      <c r="B500" s="1" t="inlineStr">
        <is>
          <t>616</t>
        </is>
      </c>
      <c r="C500" s="1" t="inlineStr">
        <is>
          <t>2025</t>
        </is>
      </c>
      <c r="D500" s="1" t="inlineStr">
        <is>
          <t>ACT</t>
        </is>
      </c>
      <c r="E500" s="1" t="inlineStr">
        <is>
          <t>2027BUD_V1</t>
        </is>
      </c>
      <c r="F500" s="1" t="inlineStr">
        <is>
          <t>12</t>
        </is>
      </c>
      <c r="G500" t="n">
        <v>34338</v>
      </c>
      <c r="H500">
        <f>IF(PNL!A500="","",_CALC_PNL!P500)</f>
        <v/>
      </c>
      <c r="I500">
        <f>IF(PNL!A500="","",IF(_CALC_PNL!E500=1,H500-G500,""))</f>
        <v/>
      </c>
    </row>
    <row r="501">
      <c r="A501" s="1" t="inlineStr">
        <is>
          <t>ISCOM_LIL</t>
        </is>
      </c>
      <c r="B501" s="1" t="inlineStr">
        <is>
          <t>616</t>
        </is>
      </c>
      <c r="C501" s="1" t="inlineStr">
        <is>
          <t>2025</t>
        </is>
      </c>
      <c r="D501" s="1" t="inlineStr">
        <is>
          <t>ACT</t>
        </is>
      </c>
      <c r="E501" s="1" t="inlineStr">
        <is>
          <t>2027BUD_V1</t>
        </is>
      </c>
      <c r="F501" s="1" t="inlineStr">
        <is>
          <t>12</t>
        </is>
      </c>
      <c r="G501" t="n">
        <v>13441</v>
      </c>
      <c r="H501">
        <f>IF(PNL!A501="","",_CALC_PNL!P501)</f>
        <v/>
      </c>
      <c r="I501">
        <f>IF(PNL!A501="","",IF(_CALC_PNL!E501=1,H501-G501,""))</f>
        <v/>
      </c>
    </row>
    <row r="502">
      <c r="A502" s="1" t="inlineStr">
        <is>
          <t>ISCOM_TLS</t>
        </is>
      </c>
      <c r="B502" s="1" t="inlineStr">
        <is>
          <t>616</t>
        </is>
      </c>
      <c r="C502" s="1" t="inlineStr">
        <is>
          <t>2025</t>
        </is>
      </c>
      <c r="D502" s="1" t="inlineStr">
        <is>
          <t>ACT</t>
        </is>
      </c>
      <c r="E502" s="1" t="inlineStr">
        <is>
          <t>2027BUD_V1</t>
        </is>
      </c>
      <c r="F502" s="1" t="inlineStr">
        <is>
          <t>12</t>
        </is>
      </c>
      <c r="G502" t="n">
        <v>12448</v>
      </c>
      <c r="H502">
        <f>IF(PNL!A502="","",_CALC_PNL!P502)</f>
        <v/>
      </c>
      <c r="I502">
        <f>IF(PNL!A502="","",IF(_CALC_PNL!E502=1,H502-G502,""))</f>
        <v/>
      </c>
    </row>
    <row r="503">
      <c r="A503" s="1" t="inlineStr">
        <is>
          <t>IPAC_NAN</t>
        </is>
      </c>
      <c r="B503" s="1" t="inlineStr">
        <is>
          <t>616</t>
        </is>
      </c>
      <c r="C503" s="1" t="inlineStr">
        <is>
          <t>2025</t>
        </is>
      </c>
      <c r="D503" s="1" t="inlineStr">
        <is>
          <t>ACT</t>
        </is>
      </c>
      <c r="E503" s="1" t="inlineStr">
        <is>
          <t>2027BUD_V1</t>
        </is>
      </c>
      <c r="F503" s="1" t="inlineStr">
        <is>
          <t>12</t>
        </is>
      </c>
      <c r="G503" t="n">
        <v>8682</v>
      </c>
      <c r="H503">
        <f>IF(PNL!A503="","",_CALC_PNL!P503)</f>
        <v/>
      </c>
      <c r="I503">
        <f>IF(PNL!A503="","",IF(_CALC_PNL!E503=1,H503-G503,""))</f>
        <v/>
      </c>
    </row>
    <row r="504">
      <c r="A504" s="1" t="inlineStr">
        <is>
          <t>IPAC_REN</t>
        </is>
      </c>
      <c r="B504" s="1" t="inlineStr">
        <is>
          <t>616</t>
        </is>
      </c>
      <c r="C504" s="1" t="inlineStr">
        <is>
          <t>2025</t>
        </is>
      </c>
      <c r="D504" s="1" t="inlineStr">
        <is>
          <t>ACT</t>
        </is>
      </c>
      <c r="E504" s="1" t="inlineStr">
        <is>
          <t>2027BUD_V1</t>
        </is>
      </c>
      <c r="F504" s="1" t="inlineStr">
        <is>
          <t>12</t>
        </is>
      </c>
      <c r="G504" t="n">
        <v>6165</v>
      </c>
      <c r="H504">
        <f>IF(PNL!A504="","",_CALC_PNL!P504)</f>
        <v/>
      </c>
      <c r="I504">
        <f>IF(PNL!A504="","",IF(_CALC_PNL!E504=1,H504-G504,""))</f>
        <v/>
      </c>
    </row>
    <row r="505">
      <c r="A505" s="1" t="inlineStr">
        <is>
          <t>IPAC_MTP</t>
        </is>
      </c>
      <c r="B505" s="1" t="inlineStr">
        <is>
          <t>616</t>
        </is>
      </c>
      <c r="C505" s="1" t="inlineStr">
        <is>
          <t>2025</t>
        </is>
      </c>
      <c r="D505" s="1" t="inlineStr">
        <is>
          <t>ACT</t>
        </is>
      </c>
      <c r="E505" s="1" t="inlineStr">
        <is>
          <t>2027BUD_V1</t>
        </is>
      </c>
      <c r="F505" s="1" t="inlineStr">
        <is>
          <t>12</t>
        </is>
      </c>
      <c r="G505" t="n">
        <v>6165</v>
      </c>
      <c r="H505">
        <f>IF(PNL!A505="","",_CALC_PNL!P505)</f>
        <v/>
      </c>
      <c r="I505">
        <f>IF(PNL!A505="","",IF(_CALC_PNL!E505=1,H505-G505,""))</f>
        <v/>
      </c>
    </row>
    <row r="506">
      <c r="A506" s="1" t="inlineStr">
        <is>
          <t>PIGIER_LYO</t>
        </is>
      </c>
      <c r="B506" s="1" t="inlineStr">
        <is>
          <t>616</t>
        </is>
      </c>
      <c r="C506" s="1" t="inlineStr">
        <is>
          <t>2025</t>
        </is>
      </c>
      <c r="D506" s="1" t="inlineStr">
        <is>
          <t>ACT</t>
        </is>
      </c>
      <c r="E506" s="1" t="inlineStr">
        <is>
          <t>2027BUD_V1</t>
        </is>
      </c>
      <c r="F506" s="1" t="inlineStr">
        <is>
          <t>12</t>
        </is>
      </c>
      <c r="G506" t="n">
        <v>12205</v>
      </c>
      <c r="H506">
        <f>IF(PNL!A506="","",_CALC_PNL!P506)</f>
        <v/>
      </c>
      <c r="I506">
        <f>IF(PNL!A506="","",IF(_CALC_PNL!E506=1,H506-G506,""))</f>
        <v/>
      </c>
    </row>
    <row r="507">
      <c r="A507" s="1" t="inlineStr">
        <is>
          <t>PIGIER_BOR</t>
        </is>
      </c>
      <c r="B507" s="1" t="inlineStr">
        <is>
          <t>616</t>
        </is>
      </c>
      <c r="C507" s="1" t="inlineStr">
        <is>
          <t>2025</t>
        </is>
      </c>
      <c r="D507" s="1" t="inlineStr">
        <is>
          <t>ACT</t>
        </is>
      </c>
      <c r="E507" s="1" t="inlineStr">
        <is>
          <t>2027BUD_V1</t>
        </is>
      </c>
      <c r="F507" s="1" t="inlineStr">
        <is>
          <t>12</t>
        </is>
      </c>
      <c r="G507" t="n">
        <v>8928</v>
      </c>
      <c r="H507">
        <f>IF(PNL!A507="","",_CALC_PNL!P507)</f>
        <v/>
      </c>
      <c r="I507">
        <f>IF(PNL!A507="","",IF(_CALC_PNL!E507=1,H507-G507,""))</f>
        <v/>
      </c>
    </row>
    <row r="508">
      <c r="A508" s="1" t="inlineStr">
        <is>
          <t>TUNON_PAR</t>
        </is>
      </c>
      <c r="B508" s="1" t="inlineStr">
        <is>
          <t>616</t>
        </is>
      </c>
      <c r="C508" s="1" t="inlineStr">
        <is>
          <t>2025</t>
        </is>
      </c>
      <c r="D508" s="1" t="inlineStr">
        <is>
          <t>ACT</t>
        </is>
      </c>
      <c r="E508" s="1" t="inlineStr">
        <is>
          <t>2027BUD_V1</t>
        </is>
      </c>
      <c r="F508" s="1" t="inlineStr">
        <is>
          <t>12</t>
        </is>
      </c>
      <c r="G508" t="n">
        <v>13386</v>
      </c>
      <c r="H508">
        <f>IF(PNL!A508="","",_CALC_PNL!P508)</f>
        <v/>
      </c>
      <c r="I508">
        <f>IF(PNL!A508="","",IF(_CALC_PNL!E508=1,H508-G508,""))</f>
        <v/>
      </c>
    </row>
    <row r="509">
      <c r="A509" s="1" t="inlineStr">
        <is>
          <t>TUNON_LYO</t>
        </is>
      </c>
      <c r="B509" s="1" t="inlineStr">
        <is>
          <t>616</t>
        </is>
      </c>
      <c r="C509" s="1" t="inlineStr">
        <is>
          <t>2025</t>
        </is>
      </c>
      <c r="D509" s="1" t="inlineStr">
        <is>
          <t>ACT</t>
        </is>
      </c>
      <c r="E509" s="1" t="inlineStr">
        <is>
          <t>2027BUD_V1</t>
        </is>
      </c>
      <c r="F509" s="1" t="inlineStr">
        <is>
          <t>12</t>
        </is>
      </c>
      <c r="G509" t="n">
        <v>7846</v>
      </c>
      <c r="H509">
        <f>IF(PNL!A509="","",_CALC_PNL!P509)</f>
        <v/>
      </c>
      <c r="I509">
        <f>IF(PNL!A509="","",IF(_CALC_PNL!E509=1,H509-G509,""))</f>
        <v/>
      </c>
    </row>
    <row r="510">
      <c r="A510" s="1" t="inlineStr">
        <is>
          <t>MBWAY_PAR</t>
        </is>
      </c>
      <c r="B510" s="1" t="inlineStr">
        <is>
          <t>616</t>
        </is>
      </c>
      <c r="C510" s="1" t="inlineStr">
        <is>
          <t>2026</t>
        </is>
      </c>
      <c r="D510" s="1" t="inlineStr">
        <is>
          <t>ACT</t>
        </is>
      </c>
      <c r="E510" s="1" t="inlineStr">
        <is>
          <t>2027BUD_V1</t>
        </is>
      </c>
      <c r="F510" s="1" t="inlineStr">
        <is>
          <t>12</t>
        </is>
      </c>
      <c r="G510" t="n">
        <v>38822</v>
      </c>
      <c r="H510">
        <f>IF(PNL!A510="","",_CALC_PNL!P510)</f>
        <v/>
      </c>
      <c r="I510">
        <f>IF(PNL!A510="","",IF(_CALC_PNL!E510=1,H510-G510,""))</f>
        <v/>
      </c>
    </row>
    <row r="511">
      <c r="A511" s="1" t="inlineStr">
        <is>
          <t>MBWAY_LYO</t>
        </is>
      </c>
      <c r="B511" s="1" t="inlineStr">
        <is>
          <t>616</t>
        </is>
      </c>
      <c r="C511" s="1" t="inlineStr">
        <is>
          <t>2026</t>
        </is>
      </c>
      <c r="D511" s="1" t="inlineStr">
        <is>
          <t>ACT</t>
        </is>
      </c>
      <c r="E511" s="1" t="inlineStr">
        <is>
          <t>2027BUD_V1</t>
        </is>
      </c>
      <c r="F511" s="1" t="inlineStr">
        <is>
          <t>12</t>
        </is>
      </c>
      <c r="G511" t="n">
        <v>22765</v>
      </c>
      <c r="H511">
        <f>IF(PNL!A511="","",_CALC_PNL!P511)</f>
        <v/>
      </c>
      <c r="I511">
        <f>IF(PNL!A511="","",IF(_CALC_PNL!E511=1,H511-G511,""))</f>
        <v/>
      </c>
    </row>
    <row r="512">
      <c r="A512" s="1" t="inlineStr">
        <is>
          <t>MBWAY_NAN</t>
        </is>
      </c>
      <c r="B512" s="1" t="inlineStr">
        <is>
          <t>616</t>
        </is>
      </c>
      <c r="C512" s="1" t="inlineStr">
        <is>
          <t>2026</t>
        </is>
      </c>
      <c r="D512" s="1" t="inlineStr">
        <is>
          <t>ACT</t>
        </is>
      </c>
      <c r="E512" s="1" t="inlineStr">
        <is>
          <t>2027BUD_V1</t>
        </is>
      </c>
      <c r="F512" s="1" t="inlineStr">
        <is>
          <t>12</t>
        </is>
      </c>
      <c r="G512" t="n">
        <v>18444</v>
      </c>
      <c r="H512">
        <f>IF(PNL!A512="","",_CALC_PNL!P512)</f>
        <v/>
      </c>
      <c r="I512">
        <f>IF(PNL!A512="","",IF(_CALC_PNL!E512=1,H512-G512,""))</f>
        <v/>
      </c>
    </row>
    <row r="513">
      <c r="A513" s="1" t="inlineStr">
        <is>
          <t>MBWAY_BOR</t>
        </is>
      </c>
      <c r="B513" s="1" t="inlineStr">
        <is>
          <t>616</t>
        </is>
      </c>
      <c r="C513" s="1" t="inlineStr">
        <is>
          <t>2026</t>
        </is>
      </c>
      <c r="D513" s="1" t="inlineStr">
        <is>
          <t>ACT</t>
        </is>
      </c>
      <c r="E513" s="1" t="inlineStr">
        <is>
          <t>2027BUD_V1</t>
        </is>
      </c>
      <c r="F513" s="1" t="inlineStr">
        <is>
          <t>12</t>
        </is>
      </c>
      <c r="G513" t="n">
        <v>16402</v>
      </c>
      <c r="H513">
        <f>IF(PNL!A513="","",_CALC_PNL!P513)</f>
        <v/>
      </c>
      <c r="I513">
        <f>IF(PNL!A513="","",IF(_CALC_PNL!E513=1,H513-G513,""))</f>
        <v/>
      </c>
    </row>
    <row r="514">
      <c r="A514" s="1" t="inlineStr">
        <is>
          <t>ISCOM_PAR</t>
        </is>
      </c>
      <c r="B514" s="1" t="inlineStr">
        <is>
          <t>616</t>
        </is>
      </c>
      <c r="C514" s="1" t="inlineStr">
        <is>
          <t>2026</t>
        </is>
      </c>
      <c r="D514" s="1" t="inlineStr">
        <is>
          <t>ACT</t>
        </is>
      </c>
      <c r="E514" s="1" t="inlineStr">
        <is>
          <t>2027BUD_V1</t>
        </is>
      </c>
      <c r="F514" s="1" t="inlineStr">
        <is>
          <t>12</t>
        </is>
      </c>
      <c r="G514" t="n">
        <v>35977</v>
      </c>
      <c r="H514">
        <f>IF(PNL!A514="","",_CALC_PNL!P514)</f>
        <v/>
      </c>
      <c r="I514">
        <f>IF(PNL!A514="","",IF(_CALC_PNL!E514=1,H514-G514,""))</f>
        <v/>
      </c>
    </row>
    <row r="515">
      <c r="A515" s="1" t="inlineStr">
        <is>
          <t>ISCOM_LIL</t>
        </is>
      </c>
      <c r="B515" s="1" t="inlineStr">
        <is>
          <t>616</t>
        </is>
      </c>
      <c r="C515" s="1" t="inlineStr">
        <is>
          <t>2026</t>
        </is>
      </c>
      <c r="D515" s="1" t="inlineStr">
        <is>
          <t>ACT</t>
        </is>
      </c>
      <c r="E515" s="1" t="inlineStr">
        <is>
          <t>2027BUD_V1</t>
        </is>
      </c>
      <c r="F515" s="1" t="inlineStr">
        <is>
          <t>12</t>
        </is>
      </c>
      <c r="G515" t="n">
        <v>14083</v>
      </c>
      <c r="H515">
        <f>IF(PNL!A515="","",_CALC_PNL!P515)</f>
        <v/>
      </c>
      <c r="I515">
        <f>IF(PNL!A515="","",IF(_CALC_PNL!E515=1,H515-G515,""))</f>
        <v/>
      </c>
    </row>
    <row r="516">
      <c r="A516" s="1" t="inlineStr">
        <is>
          <t>ISCOM_TLS</t>
        </is>
      </c>
      <c r="B516" s="1" t="inlineStr">
        <is>
          <t>616</t>
        </is>
      </c>
      <c r="C516" s="1" t="inlineStr">
        <is>
          <t>2026</t>
        </is>
      </c>
      <c r="D516" s="1" t="inlineStr">
        <is>
          <t>ACT</t>
        </is>
      </c>
      <c r="E516" s="1" t="inlineStr">
        <is>
          <t>2027BUD_V1</t>
        </is>
      </c>
      <c r="F516" s="1" t="inlineStr">
        <is>
          <t>12</t>
        </is>
      </c>
      <c r="G516" t="n">
        <v>13042</v>
      </c>
      <c r="H516">
        <f>IF(PNL!A516="","",_CALC_PNL!P516)</f>
        <v/>
      </c>
      <c r="I516">
        <f>IF(PNL!A516="","",IF(_CALC_PNL!E516=1,H516-G516,""))</f>
        <v/>
      </c>
    </row>
    <row r="517">
      <c r="A517" s="1" t="inlineStr">
        <is>
          <t>IPAC_NAN</t>
        </is>
      </c>
      <c r="B517" s="1" t="inlineStr">
        <is>
          <t>616</t>
        </is>
      </c>
      <c r="C517" s="1" t="inlineStr">
        <is>
          <t>2026</t>
        </is>
      </c>
      <c r="D517" s="1" t="inlineStr">
        <is>
          <t>ACT</t>
        </is>
      </c>
      <c r="E517" s="1" t="inlineStr">
        <is>
          <t>2027BUD_V1</t>
        </is>
      </c>
      <c r="F517" s="1" t="inlineStr">
        <is>
          <t>12</t>
        </is>
      </c>
      <c r="G517" t="n">
        <v>9096</v>
      </c>
      <c r="H517">
        <f>IF(PNL!A517="","",_CALC_PNL!P517)</f>
        <v/>
      </c>
      <c r="I517">
        <f>IF(PNL!A517="","",IF(_CALC_PNL!E517=1,H517-G517,""))</f>
        <v/>
      </c>
    </row>
    <row r="518">
      <c r="A518" s="1" t="inlineStr">
        <is>
          <t>IPAC_REN</t>
        </is>
      </c>
      <c r="B518" s="1" t="inlineStr">
        <is>
          <t>616</t>
        </is>
      </c>
      <c r="C518" s="1" t="inlineStr">
        <is>
          <t>2026</t>
        </is>
      </c>
      <c r="D518" s="1" t="inlineStr">
        <is>
          <t>ACT</t>
        </is>
      </c>
      <c r="E518" s="1" t="inlineStr">
        <is>
          <t>2027BUD_V1</t>
        </is>
      </c>
      <c r="F518" s="1" t="inlineStr">
        <is>
          <t>12</t>
        </is>
      </c>
      <c r="G518" t="n">
        <v>6459</v>
      </c>
      <c r="H518">
        <f>IF(PNL!A518="","",_CALC_PNL!P518)</f>
        <v/>
      </c>
      <c r="I518">
        <f>IF(PNL!A518="","",IF(_CALC_PNL!E518=1,H518-G518,""))</f>
        <v/>
      </c>
    </row>
    <row r="519">
      <c r="A519" s="1" t="inlineStr">
        <is>
          <t>IPAC_MTP</t>
        </is>
      </c>
      <c r="B519" s="1" t="inlineStr">
        <is>
          <t>616</t>
        </is>
      </c>
      <c r="C519" s="1" t="inlineStr">
        <is>
          <t>2026</t>
        </is>
      </c>
      <c r="D519" s="1" t="inlineStr">
        <is>
          <t>ACT</t>
        </is>
      </c>
      <c r="E519" s="1" t="inlineStr">
        <is>
          <t>2027BUD_V1</t>
        </is>
      </c>
      <c r="F519" s="1" t="inlineStr">
        <is>
          <t>12</t>
        </is>
      </c>
      <c r="G519" t="n">
        <v>6459</v>
      </c>
      <c r="H519">
        <f>IF(PNL!A519="","",_CALC_PNL!P519)</f>
        <v/>
      </c>
      <c r="I519">
        <f>IF(PNL!A519="","",IF(_CALC_PNL!E519=1,H519-G519,""))</f>
        <v/>
      </c>
    </row>
    <row r="520">
      <c r="A520" s="1" t="inlineStr">
        <is>
          <t>PIGIER_LYO</t>
        </is>
      </c>
      <c r="B520" s="1" t="inlineStr">
        <is>
          <t>616</t>
        </is>
      </c>
      <c r="C520" s="1" t="inlineStr">
        <is>
          <t>2026</t>
        </is>
      </c>
      <c r="D520" s="1" t="inlineStr">
        <is>
          <t>ACT</t>
        </is>
      </c>
      <c r="E520" s="1" t="inlineStr">
        <is>
          <t>2027BUD_V1</t>
        </is>
      </c>
      <c r="F520" s="1" t="inlineStr">
        <is>
          <t>12</t>
        </is>
      </c>
      <c r="G520" t="n">
        <v>12788</v>
      </c>
      <c r="H520">
        <f>IF(PNL!A520="","",_CALC_PNL!P520)</f>
        <v/>
      </c>
      <c r="I520">
        <f>IF(PNL!A520="","",IF(_CALC_PNL!E520=1,H520-G520,""))</f>
        <v/>
      </c>
    </row>
    <row r="521">
      <c r="A521" s="1" t="inlineStr">
        <is>
          <t>PIGIER_BOR</t>
        </is>
      </c>
      <c r="B521" s="1" t="inlineStr">
        <is>
          <t>616</t>
        </is>
      </c>
      <c r="C521" s="1" t="inlineStr">
        <is>
          <t>2026</t>
        </is>
      </c>
      <c r="D521" s="1" t="inlineStr">
        <is>
          <t>ACT</t>
        </is>
      </c>
      <c r="E521" s="1" t="inlineStr">
        <is>
          <t>2027BUD_V1</t>
        </is>
      </c>
      <c r="F521" s="1" t="inlineStr">
        <is>
          <t>12</t>
        </is>
      </c>
      <c r="G521" t="n">
        <v>9354</v>
      </c>
      <c r="H521">
        <f>IF(PNL!A521="","",_CALC_PNL!P521)</f>
        <v/>
      </c>
      <c r="I521">
        <f>IF(PNL!A521="","",IF(_CALC_PNL!E521=1,H521-G521,""))</f>
        <v/>
      </c>
    </row>
    <row r="522">
      <c r="A522" s="1" t="inlineStr">
        <is>
          <t>TUNON_PAR</t>
        </is>
      </c>
      <c r="B522" s="1" t="inlineStr">
        <is>
          <t>616</t>
        </is>
      </c>
      <c r="C522" s="1" t="inlineStr">
        <is>
          <t>2026</t>
        </is>
      </c>
      <c r="D522" s="1" t="inlineStr">
        <is>
          <t>ACT</t>
        </is>
      </c>
      <c r="E522" s="1" t="inlineStr">
        <is>
          <t>2027BUD_V1</t>
        </is>
      </c>
      <c r="F522" s="1" t="inlineStr">
        <is>
          <t>12</t>
        </is>
      </c>
      <c r="G522" t="n">
        <v>14025</v>
      </c>
      <c r="H522">
        <f>IF(PNL!A522="","",_CALC_PNL!P522)</f>
        <v/>
      </c>
      <c r="I522">
        <f>IF(PNL!A522="","",IF(_CALC_PNL!E522=1,H522-G522,""))</f>
        <v/>
      </c>
    </row>
    <row r="523">
      <c r="A523" s="1" t="inlineStr">
        <is>
          <t>TUNON_LYO</t>
        </is>
      </c>
      <c r="B523" s="1" t="inlineStr">
        <is>
          <t>616</t>
        </is>
      </c>
      <c r="C523" s="1" t="inlineStr">
        <is>
          <t>2026</t>
        </is>
      </c>
      <c r="D523" s="1" t="inlineStr">
        <is>
          <t>ACT</t>
        </is>
      </c>
      <c r="E523" s="1" t="inlineStr">
        <is>
          <t>2027BUD_V1</t>
        </is>
      </c>
      <c r="F523" s="1" t="inlineStr">
        <is>
          <t>12</t>
        </is>
      </c>
      <c r="G523" t="n">
        <v>8221</v>
      </c>
      <c r="H523">
        <f>IF(PNL!A523="","",_CALC_PNL!P523)</f>
        <v/>
      </c>
      <c r="I523">
        <f>IF(PNL!A523="","",IF(_CALC_PNL!E523=1,H523-G523,""))</f>
        <v/>
      </c>
    </row>
    <row r="524">
      <c r="A524" s="1" t="inlineStr">
        <is>
          <t>GRP</t>
        </is>
      </c>
      <c r="B524" s="1" t="inlineStr">
        <is>
          <t>6226</t>
        </is>
      </c>
      <c r="C524" s="1" t="inlineStr">
        <is>
          <t>2024</t>
        </is>
      </c>
      <c r="D524" s="1" t="inlineStr">
        <is>
          <t>ACT</t>
        </is>
      </c>
      <c r="E524" s="1" t="inlineStr">
        <is>
          <t>2027BUD_V1</t>
        </is>
      </c>
      <c r="F524" s="1" t="inlineStr">
        <is>
          <t>12</t>
        </is>
      </c>
      <c r="G524" t="n">
        <v>515487</v>
      </c>
      <c r="H524">
        <f>IF(PNL!A524="","",_CALC_PNL!P524)</f>
        <v/>
      </c>
      <c r="I524">
        <f>IF(PNL!A524="","",IF(_CALC_PNL!E524=1,H524-G524,""))</f>
        <v/>
      </c>
    </row>
    <row r="525">
      <c r="A525" s="1" t="inlineStr">
        <is>
          <t>GRP</t>
        </is>
      </c>
      <c r="B525" s="1" t="inlineStr">
        <is>
          <t>6226</t>
        </is>
      </c>
      <c r="C525" s="1" t="inlineStr">
        <is>
          <t>2025</t>
        </is>
      </c>
      <c r="D525" s="1" t="inlineStr">
        <is>
          <t>ACT</t>
        </is>
      </c>
      <c r="E525" s="1" t="inlineStr">
        <is>
          <t>2027BUD_V1</t>
        </is>
      </c>
      <c r="F525" s="1" t="inlineStr">
        <is>
          <t>12</t>
        </is>
      </c>
      <c r="G525" t="n">
        <v>539108</v>
      </c>
      <c r="H525">
        <f>IF(PNL!A525="","",_CALC_PNL!P525)</f>
        <v/>
      </c>
      <c r="I525">
        <f>IF(PNL!A525="","",IF(_CALC_PNL!E525=1,H525-G525,""))</f>
        <v/>
      </c>
    </row>
    <row r="526">
      <c r="A526" s="1" t="inlineStr">
        <is>
          <t>GRP</t>
        </is>
      </c>
      <c r="B526" s="1" t="inlineStr">
        <is>
          <t>6226</t>
        </is>
      </c>
      <c r="C526" s="1" t="inlineStr">
        <is>
          <t>2026</t>
        </is>
      </c>
      <c r="D526" s="1" t="inlineStr">
        <is>
          <t>ACT</t>
        </is>
      </c>
      <c r="E526" s="1" t="inlineStr">
        <is>
          <t>2027BUD_V1</t>
        </is>
      </c>
      <c r="F526" s="1" t="inlineStr">
        <is>
          <t>12</t>
        </is>
      </c>
      <c r="G526" t="n">
        <v>564841</v>
      </c>
      <c r="H526">
        <f>IF(PNL!A526="","",_CALC_PNL!P526)</f>
        <v/>
      </c>
      <c r="I526">
        <f>IF(PNL!A526="","",IF(_CALC_PNL!E526=1,H526-G526,""))</f>
        <v/>
      </c>
    </row>
    <row r="527">
      <c r="A527" s="1" t="inlineStr">
        <is>
          <t>GRP</t>
        </is>
      </c>
      <c r="B527" s="1" t="inlineStr">
        <is>
          <t>6236</t>
        </is>
      </c>
      <c r="C527" s="1" t="inlineStr">
        <is>
          <t>2024</t>
        </is>
      </c>
      <c r="D527" s="1" t="inlineStr">
        <is>
          <t>ACT</t>
        </is>
      </c>
      <c r="E527" s="1" t="inlineStr">
        <is>
          <t>2027BUD_V1</t>
        </is>
      </c>
      <c r="F527" s="1" t="inlineStr">
        <is>
          <t>12</t>
        </is>
      </c>
      <c r="G527" t="n">
        <v>499926</v>
      </c>
      <c r="H527">
        <f>IF(PNL!A527="","",_CALC_PNL!P527)</f>
        <v/>
      </c>
      <c r="I527">
        <f>IF(PNL!A527="","",IF(_CALC_PNL!E527=1,H527-G527,""))</f>
        <v/>
      </c>
    </row>
    <row r="528">
      <c r="A528" s="1" t="inlineStr">
        <is>
          <t>GRP</t>
        </is>
      </c>
      <c r="B528" s="1" t="inlineStr">
        <is>
          <t>6236</t>
        </is>
      </c>
      <c r="C528" s="1" t="inlineStr">
        <is>
          <t>2025</t>
        </is>
      </c>
      <c r="D528" s="1" t="inlineStr">
        <is>
          <t>ACT</t>
        </is>
      </c>
      <c r="E528" s="1" t="inlineStr">
        <is>
          <t>2027BUD_V1</t>
        </is>
      </c>
      <c r="F528" s="1" t="inlineStr">
        <is>
          <t>12</t>
        </is>
      </c>
      <c r="G528" t="n">
        <v>580167</v>
      </c>
      <c r="H528">
        <f>IF(PNL!A528="","",_CALC_PNL!P528)</f>
        <v/>
      </c>
      <c r="I528">
        <f>IF(PNL!A528="","",IF(_CALC_PNL!E528=1,H528-G528,""))</f>
        <v/>
      </c>
    </row>
    <row r="529">
      <c r="A529" s="1" t="inlineStr">
        <is>
          <t>GRP</t>
        </is>
      </c>
      <c r="B529" s="1" t="inlineStr">
        <is>
          <t>6236</t>
        </is>
      </c>
      <c r="C529" s="1" t="inlineStr">
        <is>
          <t>2026</t>
        </is>
      </c>
      <c r="D529" s="1" t="inlineStr">
        <is>
          <t>ACT</t>
        </is>
      </c>
      <c r="E529" s="1" t="inlineStr">
        <is>
          <t>2027BUD_V1</t>
        </is>
      </c>
      <c r="F529" s="1" t="inlineStr">
        <is>
          <t>12</t>
        </is>
      </c>
      <c r="G529" t="n">
        <v>676344</v>
      </c>
      <c r="H529">
        <f>IF(PNL!A529="","",_CALC_PNL!P529)</f>
        <v/>
      </c>
      <c r="I529">
        <f>IF(PNL!A529="","",IF(_CALC_PNL!E529=1,H529-G529,""))</f>
        <v/>
      </c>
    </row>
    <row r="530">
      <c r="A530" s="1" t="inlineStr">
        <is>
          <t>MBWAY_PAR</t>
        </is>
      </c>
      <c r="B530" s="1" t="inlineStr">
        <is>
          <t>625</t>
        </is>
      </c>
      <c r="C530" s="1" t="inlineStr">
        <is>
          <t>2024</t>
        </is>
      </c>
      <c r="D530" s="1" t="inlineStr">
        <is>
          <t>ACT</t>
        </is>
      </c>
      <c r="E530" s="1" t="inlineStr">
        <is>
          <t>2027BUD_V1</t>
        </is>
      </c>
      <c r="F530" s="1" t="inlineStr">
        <is>
          <t>12</t>
        </is>
      </c>
      <c r="G530" t="n">
        <v>53145</v>
      </c>
      <c r="H530">
        <f>IF(PNL!A530="","",_CALC_PNL!P530)</f>
        <v/>
      </c>
      <c r="I530">
        <f>IF(PNL!A530="","",IF(_CALC_PNL!E530=1,H530-G530,""))</f>
        <v/>
      </c>
    </row>
    <row r="531">
      <c r="A531" s="1" t="inlineStr">
        <is>
          <t>MBWAY_LYO</t>
        </is>
      </c>
      <c r="B531" s="1" t="inlineStr">
        <is>
          <t>625</t>
        </is>
      </c>
      <c r="C531" s="1" t="inlineStr">
        <is>
          <t>2024</t>
        </is>
      </c>
      <c r="D531" s="1" t="inlineStr">
        <is>
          <t>ACT</t>
        </is>
      </c>
      <c r="E531" s="1" t="inlineStr">
        <is>
          <t>2027BUD_V1</t>
        </is>
      </c>
      <c r="F531" s="1" t="inlineStr">
        <is>
          <t>12</t>
        </is>
      </c>
      <c r="G531" t="n">
        <v>31164</v>
      </c>
      <c r="H531">
        <f>IF(PNL!A531="","",_CALC_PNL!P531)</f>
        <v/>
      </c>
      <c r="I531">
        <f>IF(PNL!A531="","",IF(_CALC_PNL!E531=1,H531-G531,""))</f>
        <v/>
      </c>
    </row>
    <row r="532">
      <c r="A532" s="1" t="inlineStr">
        <is>
          <t>MBWAY_NAN</t>
        </is>
      </c>
      <c r="B532" s="1" t="inlineStr">
        <is>
          <t>625</t>
        </is>
      </c>
      <c r="C532" s="1" t="inlineStr">
        <is>
          <t>2024</t>
        </is>
      </c>
      <c r="D532" s="1" t="inlineStr">
        <is>
          <t>ACT</t>
        </is>
      </c>
      <c r="E532" s="1" t="inlineStr">
        <is>
          <t>2027BUD_V1</t>
        </is>
      </c>
      <c r="F532" s="1" t="inlineStr">
        <is>
          <t>12</t>
        </is>
      </c>
      <c r="G532" t="n">
        <v>25248</v>
      </c>
      <c r="H532">
        <f>IF(PNL!A532="","",_CALC_PNL!P532)</f>
        <v/>
      </c>
      <c r="I532">
        <f>IF(PNL!A532="","",IF(_CALC_PNL!E532=1,H532-G532,""))</f>
        <v/>
      </c>
    </row>
    <row r="533">
      <c r="A533" s="1" t="inlineStr">
        <is>
          <t>MBWAY_BOR</t>
        </is>
      </c>
      <c r="B533" s="1" t="inlineStr">
        <is>
          <t>625</t>
        </is>
      </c>
      <c r="C533" s="1" t="inlineStr">
        <is>
          <t>2024</t>
        </is>
      </c>
      <c r="D533" s="1" t="inlineStr">
        <is>
          <t>ACT</t>
        </is>
      </c>
      <c r="E533" s="1" t="inlineStr">
        <is>
          <t>2027BUD_V1</t>
        </is>
      </c>
      <c r="F533" s="1" t="inlineStr">
        <is>
          <t>12</t>
        </is>
      </c>
      <c r="G533" t="n">
        <v>22453</v>
      </c>
      <c r="H533">
        <f>IF(PNL!A533="","",_CALC_PNL!P533)</f>
        <v/>
      </c>
      <c r="I533">
        <f>IF(PNL!A533="","",IF(_CALC_PNL!E533=1,H533-G533,""))</f>
        <v/>
      </c>
    </row>
    <row r="534">
      <c r="A534" s="1" t="inlineStr">
        <is>
          <t>ISCOM_PAR</t>
        </is>
      </c>
      <c r="B534" s="1" t="inlineStr">
        <is>
          <t>625</t>
        </is>
      </c>
      <c r="C534" s="1" t="inlineStr">
        <is>
          <t>2024</t>
        </is>
      </c>
      <c r="D534" s="1" t="inlineStr">
        <is>
          <t>ACT</t>
        </is>
      </c>
      <c r="E534" s="1" t="inlineStr">
        <is>
          <t>2027BUD_V1</t>
        </is>
      </c>
      <c r="F534" s="1" t="inlineStr">
        <is>
          <t>12</t>
        </is>
      </c>
      <c r="G534" t="n">
        <v>49250</v>
      </c>
      <c r="H534">
        <f>IF(PNL!A534="","",_CALC_PNL!P534)</f>
        <v/>
      </c>
      <c r="I534">
        <f>IF(PNL!A534="","",IF(_CALC_PNL!E534=1,H534-G534,""))</f>
        <v/>
      </c>
    </row>
    <row r="535">
      <c r="A535" s="1" t="inlineStr">
        <is>
          <t>ISCOM_LIL</t>
        </is>
      </c>
      <c r="B535" s="1" t="inlineStr">
        <is>
          <t>625</t>
        </is>
      </c>
      <c r="C535" s="1" t="inlineStr">
        <is>
          <t>2024</t>
        </is>
      </c>
      <c r="D535" s="1" t="inlineStr">
        <is>
          <t>ACT</t>
        </is>
      </c>
      <c r="E535" s="1" t="inlineStr">
        <is>
          <t>2027BUD_V1</t>
        </is>
      </c>
      <c r="F535" s="1" t="inlineStr">
        <is>
          <t>12</t>
        </is>
      </c>
      <c r="G535" t="n">
        <v>19278</v>
      </c>
      <c r="H535">
        <f>IF(PNL!A535="","",_CALC_PNL!P535)</f>
        <v/>
      </c>
      <c r="I535">
        <f>IF(PNL!A535="","",IF(_CALC_PNL!E535=1,H535-G535,""))</f>
        <v/>
      </c>
    </row>
    <row r="536">
      <c r="A536" s="1" t="inlineStr">
        <is>
          <t>ISCOM_TLS</t>
        </is>
      </c>
      <c r="B536" s="1" t="inlineStr">
        <is>
          <t>625</t>
        </is>
      </c>
      <c r="C536" s="1" t="inlineStr">
        <is>
          <t>2024</t>
        </is>
      </c>
      <c r="D536" s="1" t="inlineStr">
        <is>
          <t>ACT</t>
        </is>
      </c>
      <c r="E536" s="1" t="inlineStr">
        <is>
          <t>2027BUD_V1</t>
        </is>
      </c>
      <c r="F536" s="1" t="inlineStr">
        <is>
          <t>12</t>
        </is>
      </c>
      <c r="G536" t="n">
        <v>17854</v>
      </c>
      <c r="H536">
        <f>IF(PNL!A536="","",_CALC_PNL!P536)</f>
        <v/>
      </c>
      <c r="I536">
        <f>IF(PNL!A536="","",IF(_CALC_PNL!E536=1,H536-G536,""))</f>
        <v/>
      </c>
    </row>
    <row r="537">
      <c r="A537" s="1" t="inlineStr">
        <is>
          <t>IPAC_NAN</t>
        </is>
      </c>
      <c r="B537" s="1" t="inlineStr">
        <is>
          <t>625</t>
        </is>
      </c>
      <c r="C537" s="1" t="inlineStr">
        <is>
          <t>2024</t>
        </is>
      </c>
      <c r="D537" s="1" t="inlineStr">
        <is>
          <t>ACT</t>
        </is>
      </c>
      <c r="E537" s="1" t="inlineStr">
        <is>
          <t>2027BUD_V1</t>
        </is>
      </c>
      <c r="F537" s="1" t="inlineStr">
        <is>
          <t>12</t>
        </is>
      </c>
      <c r="G537" t="n">
        <v>12452</v>
      </c>
      <c r="H537">
        <f>IF(PNL!A537="","",_CALC_PNL!P537)</f>
        <v/>
      </c>
      <c r="I537">
        <f>IF(PNL!A537="","",IF(_CALC_PNL!E537=1,H537-G537,""))</f>
        <v/>
      </c>
    </row>
    <row r="538">
      <c r="A538" s="1" t="inlineStr">
        <is>
          <t>IPAC_REN</t>
        </is>
      </c>
      <c r="B538" s="1" t="inlineStr">
        <is>
          <t>625</t>
        </is>
      </c>
      <c r="C538" s="1" t="inlineStr">
        <is>
          <t>2024</t>
        </is>
      </c>
      <c r="D538" s="1" t="inlineStr">
        <is>
          <t>ACT</t>
        </is>
      </c>
      <c r="E538" s="1" t="inlineStr">
        <is>
          <t>2027BUD_V1</t>
        </is>
      </c>
      <c r="F538" s="1" t="inlineStr">
        <is>
          <t>12</t>
        </is>
      </c>
      <c r="G538" t="n">
        <v>8842</v>
      </c>
      <c r="H538">
        <f>IF(PNL!A538="","",_CALC_PNL!P538)</f>
        <v/>
      </c>
      <c r="I538">
        <f>IF(PNL!A538="","",IF(_CALC_PNL!E538=1,H538-G538,""))</f>
        <v/>
      </c>
    </row>
    <row r="539">
      <c r="A539" s="1" t="inlineStr">
        <is>
          <t>IPAC_MTP</t>
        </is>
      </c>
      <c r="B539" s="1" t="inlineStr">
        <is>
          <t>625</t>
        </is>
      </c>
      <c r="C539" s="1" t="inlineStr">
        <is>
          <t>2024</t>
        </is>
      </c>
      <c r="D539" s="1" t="inlineStr">
        <is>
          <t>ACT</t>
        </is>
      </c>
      <c r="E539" s="1" t="inlineStr">
        <is>
          <t>2027BUD_V1</t>
        </is>
      </c>
      <c r="F539" s="1" t="inlineStr">
        <is>
          <t>12</t>
        </is>
      </c>
      <c r="G539" t="n">
        <v>8842</v>
      </c>
      <c r="H539">
        <f>IF(PNL!A539="","",_CALC_PNL!P539)</f>
        <v/>
      </c>
      <c r="I539">
        <f>IF(PNL!A539="","",IF(_CALC_PNL!E539=1,H539-G539,""))</f>
        <v/>
      </c>
    </row>
    <row r="540">
      <c r="A540" s="1" t="inlineStr">
        <is>
          <t>PIGIER_LYO</t>
        </is>
      </c>
      <c r="B540" s="1" t="inlineStr">
        <is>
          <t>625</t>
        </is>
      </c>
      <c r="C540" s="1" t="inlineStr">
        <is>
          <t>2024</t>
        </is>
      </c>
      <c r="D540" s="1" t="inlineStr">
        <is>
          <t>ACT</t>
        </is>
      </c>
      <c r="E540" s="1" t="inlineStr">
        <is>
          <t>2027BUD_V1</t>
        </is>
      </c>
      <c r="F540" s="1" t="inlineStr">
        <is>
          <t>12</t>
        </is>
      </c>
      <c r="G540" t="n">
        <v>17506</v>
      </c>
      <c r="H540">
        <f>IF(PNL!A540="","",_CALC_PNL!P540)</f>
        <v/>
      </c>
      <c r="I540">
        <f>IF(PNL!A540="","",IF(_CALC_PNL!E540=1,H540-G540,""))</f>
        <v/>
      </c>
    </row>
    <row r="541">
      <c r="A541" s="1" t="inlineStr">
        <is>
          <t>PIGIER_BOR</t>
        </is>
      </c>
      <c r="B541" s="1" t="inlineStr">
        <is>
          <t>625</t>
        </is>
      </c>
      <c r="C541" s="1" t="inlineStr">
        <is>
          <t>2024</t>
        </is>
      </c>
      <c r="D541" s="1" t="inlineStr">
        <is>
          <t>ACT</t>
        </is>
      </c>
      <c r="E541" s="1" t="inlineStr">
        <is>
          <t>2027BUD_V1</t>
        </is>
      </c>
      <c r="F541" s="1" t="inlineStr">
        <is>
          <t>12</t>
        </is>
      </c>
      <c r="G541" t="n">
        <v>12805</v>
      </c>
      <c r="H541">
        <f>IF(PNL!A541="","",_CALC_PNL!P541)</f>
        <v/>
      </c>
      <c r="I541">
        <f>IF(PNL!A541="","",IF(_CALC_PNL!E541=1,H541-G541,""))</f>
        <v/>
      </c>
    </row>
    <row r="542">
      <c r="A542" s="1" t="inlineStr">
        <is>
          <t>TUNON_PAR</t>
        </is>
      </c>
      <c r="B542" s="1" t="inlineStr">
        <is>
          <t>625</t>
        </is>
      </c>
      <c r="C542" s="1" t="inlineStr">
        <is>
          <t>2024</t>
        </is>
      </c>
      <c r="D542" s="1" t="inlineStr">
        <is>
          <t>ACT</t>
        </is>
      </c>
      <c r="E542" s="1" t="inlineStr">
        <is>
          <t>2027BUD_V1</t>
        </is>
      </c>
      <c r="F542" s="1" t="inlineStr">
        <is>
          <t>12</t>
        </is>
      </c>
      <c r="G542" t="n">
        <v>19199</v>
      </c>
      <c r="H542">
        <f>IF(PNL!A542="","",_CALC_PNL!P542)</f>
        <v/>
      </c>
      <c r="I542">
        <f>IF(PNL!A542="","",IF(_CALC_PNL!E542=1,H542-G542,""))</f>
        <v/>
      </c>
    </row>
    <row r="543">
      <c r="A543" s="1" t="inlineStr">
        <is>
          <t>TUNON_LYO</t>
        </is>
      </c>
      <c r="B543" s="1" t="inlineStr">
        <is>
          <t>625</t>
        </is>
      </c>
      <c r="C543" s="1" t="inlineStr">
        <is>
          <t>2024</t>
        </is>
      </c>
      <c r="D543" s="1" t="inlineStr">
        <is>
          <t>ACT</t>
        </is>
      </c>
      <c r="E543" s="1" t="inlineStr">
        <is>
          <t>2027BUD_V1</t>
        </is>
      </c>
      <c r="F543" s="1" t="inlineStr">
        <is>
          <t>12</t>
        </is>
      </c>
      <c r="G543" t="n">
        <v>11254</v>
      </c>
      <c r="H543">
        <f>IF(PNL!A543="","",_CALC_PNL!P543)</f>
        <v/>
      </c>
      <c r="I543">
        <f>IF(PNL!A543="","",IF(_CALC_PNL!E543=1,H543-G543,""))</f>
        <v/>
      </c>
    </row>
    <row r="544">
      <c r="A544" s="1" t="inlineStr">
        <is>
          <t>MBWAY_PAR</t>
        </is>
      </c>
      <c r="B544" s="1" t="inlineStr">
        <is>
          <t>625</t>
        </is>
      </c>
      <c r="C544" s="1" t="inlineStr">
        <is>
          <t>2025</t>
        </is>
      </c>
      <c r="D544" s="1" t="inlineStr">
        <is>
          <t>ACT</t>
        </is>
      </c>
      <c r="E544" s="1" t="inlineStr">
        <is>
          <t>2027BUD_V1</t>
        </is>
      </c>
      <c r="F544" s="1" t="inlineStr">
        <is>
          <t>12</t>
        </is>
      </c>
      <c r="G544" t="n">
        <v>55581</v>
      </c>
      <c r="H544">
        <f>IF(PNL!A544="","",_CALC_PNL!P544)</f>
        <v/>
      </c>
      <c r="I544">
        <f>IF(PNL!A544="","",IF(_CALC_PNL!E544=1,H544-G544,""))</f>
        <v/>
      </c>
    </row>
    <row r="545">
      <c r="A545" s="1" t="inlineStr">
        <is>
          <t>MBWAY_LYO</t>
        </is>
      </c>
      <c r="B545" s="1" t="inlineStr">
        <is>
          <t>625</t>
        </is>
      </c>
      <c r="C545" s="1" t="inlineStr">
        <is>
          <t>2025</t>
        </is>
      </c>
      <c r="D545" s="1" t="inlineStr">
        <is>
          <t>ACT</t>
        </is>
      </c>
      <c r="E545" s="1" t="inlineStr">
        <is>
          <t>2027BUD_V1</t>
        </is>
      </c>
      <c r="F545" s="1" t="inlineStr">
        <is>
          <t>12</t>
        </is>
      </c>
      <c r="G545" t="n">
        <v>32592</v>
      </c>
      <c r="H545">
        <f>IF(PNL!A545="","",_CALC_PNL!P545)</f>
        <v/>
      </c>
      <c r="I545">
        <f>IF(PNL!A545="","",IF(_CALC_PNL!E545=1,H545-G545,""))</f>
        <v/>
      </c>
    </row>
    <row r="546">
      <c r="A546" s="1" t="inlineStr">
        <is>
          <t>MBWAY_NAN</t>
        </is>
      </c>
      <c r="B546" s="1" t="inlineStr">
        <is>
          <t>625</t>
        </is>
      </c>
      <c r="C546" s="1" t="inlineStr">
        <is>
          <t>2025</t>
        </is>
      </c>
      <c r="D546" s="1" t="inlineStr">
        <is>
          <t>ACT</t>
        </is>
      </c>
      <c r="E546" s="1" t="inlineStr">
        <is>
          <t>2027BUD_V1</t>
        </is>
      </c>
      <c r="F546" s="1" t="inlineStr">
        <is>
          <t>12</t>
        </is>
      </c>
      <c r="G546" t="n">
        <v>26405</v>
      </c>
      <c r="H546">
        <f>IF(PNL!A546="","",_CALC_PNL!P546)</f>
        <v/>
      </c>
      <c r="I546">
        <f>IF(PNL!A546="","",IF(_CALC_PNL!E546=1,H546-G546,""))</f>
        <v/>
      </c>
    </row>
    <row r="547">
      <c r="A547" s="1" t="inlineStr">
        <is>
          <t>MBWAY_BOR</t>
        </is>
      </c>
      <c r="B547" s="1" t="inlineStr">
        <is>
          <t>625</t>
        </is>
      </c>
      <c r="C547" s="1" t="inlineStr">
        <is>
          <t>2025</t>
        </is>
      </c>
      <c r="D547" s="1" t="inlineStr">
        <is>
          <t>ACT</t>
        </is>
      </c>
      <c r="E547" s="1" t="inlineStr">
        <is>
          <t>2027BUD_V1</t>
        </is>
      </c>
      <c r="F547" s="1" t="inlineStr">
        <is>
          <t>12</t>
        </is>
      </c>
      <c r="G547" t="n">
        <v>23482</v>
      </c>
      <c r="H547">
        <f>IF(PNL!A547="","",_CALC_PNL!P547)</f>
        <v/>
      </c>
      <c r="I547">
        <f>IF(PNL!A547="","",IF(_CALC_PNL!E547=1,H547-G547,""))</f>
        <v/>
      </c>
    </row>
    <row r="548">
      <c r="A548" s="1" t="inlineStr">
        <is>
          <t>ISCOM_PAR</t>
        </is>
      </c>
      <c r="B548" s="1" t="inlineStr">
        <is>
          <t>625</t>
        </is>
      </c>
      <c r="C548" s="1" t="inlineStr">
        <is>
          <t>2025</t>
        </is>
      </c>
      <c r="D548" s="1" t="inlineStr">
        <is>
          <t>ACT</t>
        </is>
      </c>
      <c r="E548" s="1" t="inlineStr">
        <is>
          <t>2027BUD_V1</t>
        </is>
      </c>
      <c r="F548" s="1" t="inlineStr">
        <is>
          <t>12</t>
        </is>
      </c>
      <c r="G548" t="n">
        <v>51507</v>
      </c>
      <c r="H548">
        <f>IF(PNL!A548="","",_CALC_PNL!P548)</f>
        <v/>
      </c>
      <c r="I548">
        <f>IF(PNL!A548="","",IF(_CALC_PNL!E548=1,H548-G548,""))</f>
        <v/>
      </c>
    </row>
    <row r="549">
      <c r="A549" s="1" t="inlineStr">
        <is>
          <t>ISCOM_LIL</t>
        </is>
      </c>
      <c r="B549" s="1" t="inlineStr">
        <is>
          <t>625</t>
        </is>
      </c>
      <c r="C549" s="1" t="inlineStr">
        <is>
          <t>2025</t>
        </is>
      </c>
      <c r="D549" s="1" t="inlineStr">
        <is>
          <t>ACT</t>
        </is>
      </c>
      <c r="E549" s="1" t="inlineStr">
        <is>
          <t>2027BUD_V1</t>
        </is>
      </c>
      <c r="F549" s="1" t="inlineStr">
        <is>
          <t>12</t>
        </is>
      </c>
      <c r="G549" t="n">
        <v>20161</v>
      </c>
      <c r="H549">
        <f>IF(PNL!A549="","",_CALC_PNL!P549)</f>
        <v/>
      </c>
      <c r="I549">
        <f>IF(PNL!A549="","",IF(_CALC_PNL!E549=1,H549-G549,""))</f>
        <v/>
      </c>
    </row>
    <row r="550">
      <c r="A550" s="1" t="inlineStr">
        <is>
          <t>ISCOM_TLS</t>
        </is>
      </c>
      <c r="B550" s="1" t="inlineStr">
        <is>
          <t>625</t>
        </is>
      </c>
      <c r="C550" s="1" t="inlineStr">
        <is>
          <t>2025</t>
        </is>
      </c>
      <c r="D550" s="1" t="inlineStr">
        <is>
          <t>ACT</t>
        </is>
      </c>
      <c r="E550" s="1" t="inlineStr">
        <is>
          <t>2027BUD_V1</t>
        </is>
      </c>
      <c r="F550" s="1" t="inlineStr">
        <is>
          <t>12</t>
        </is>
      </c>
      <c r="G550" t="n">
        <v>18672</v>
      </c>
      <c r="H550">
        <f>IF(PNL!A550="","",_CALC_PNL!P550)</f>
        <v/>
      </c>
      <c r="I550">
        <f>IF(PNL!A550="","",IF(_CALC_PNL!E550=1,H550-G550,""))</f>
        <v/>
      </c>
    </row>
    <row r="551">
      <c r="A551" s="1" t="inlineStr">
        <is>
          <t>IPAC_NAN</t>
        </is>
      </c>
      <c r="B551" s="1" t="inlineStr">
        <is>
          <t>625</t>
        </is>
      </c>
      <c r="C551" s="1" t="inlineStr">
        <is>
          <t>2025</t>
        </is>
      </c>
      <c r="D551" s="1" t="inlineStr">
        <is>
          <t>ACT</t>
        </is>
      </c>
      <c r="E551" s="1" t="inlineStr">
        <is>
          <t>2027BUD_V1</t>
        </is>
      </c>
      <c r="F551" s="1" t="inlineStr">
        <is>
          <t>12</t>
        </is>
      </c>
      <c r="G551" t="n">
        <v>13023</v>
      </c>
      <c r="H551">
        <f>IF(PNL!A551="","",_CALC_PNL!P551)</f>
        <v/>
      </c>
      <c r="I551">
        <f>IF(PNL!A551="","",IF(_CALC_PNL!E551=1,H551-G551,""))</f>
        <v/>
      </c>
    </row>
    <row r="552">
      <c r="A552" s="1" t="inlineStr">
        <is>
          <t>IPAC_REN</t>
        </is>
      </c>
      <c r="B552" s="1" t="inlineStr">
        <is>
          <t>625</t>
        </is>
      </c>
      <c r="C552" s="1" t="inlineStr">
        <is>
          <t>2025</t>
        </is>
      </c>
      <c r="D552" s="1" t="inlineStr">
        <is>
          <t>ACT</t>
        </is>
      </c>
      <c r="E552" s="1" t="inlineStr">
        <is>
          <t>2027BUD_V1</t>
        </is>
      </c>
      <c r="F552" s="1" t="inlineStr">
        <is>
          <t>12</t>
        </is>
      </c>
      <c r="G552" t="n">
        <v>9247</v>
      </c>
      <c r="H552">
        <f>IF(PNL!A552="","",_CALC_PNL!P552)</f>
        <v/>
      </c>
      <c r="I552">
        <f>IF(PNL!A552="","",IF(_CALC_PNL!E552=1,H552-G552,""))</f>
        <v/>
      </c>
    </row>
    <row r="553">
      <c r="A553" s="1" t="inlineStr">
        <is>
          <t>IPAC_MTP</t>
        </is>
      </c>
      <c r="B553" s="1" t="inlineStr">
        <is>
          <t>625</t>
        </is>
      </c>
      <c r="C553" s="1" t="inlineStr">
        <is>
          <t>2025</t>
        </is>
      </c>
      <c r="D553" s="1" t="inlineStr">
        <is>
          <t>ACT</t>
        </is>
      </c>
      <c r="E553" s="1" t="inlineStr">
        <is>
          <t>2027BUD_V1</t>
        </is>
      </c>
      <c r="F553" s="1" t="inlineStr">
        <is>
          <t>12</t>
        </is>
      </c>
      <c r="G553" t="n">
        <v>9247</v>
      </c>
      <c r="H553">
        <f>IF(PNL!A553="","",_CALC_PNL!P553)</f>
        <v/>
      </c>
      <c r="I553">
        <f>IF(PNL!A553="","",IF(_CALC_PNL!E553=1,H553-G553,""))</f>
        <v/>
      </c>
    </row>
    <row r="554">
      <c r="A554" s="1" t="inlineStr">
        <is>
          <t>PIGIER_LYO</t>
        </is>
      </c>
      <c r="B554" s="1" t="inlineStr">
        <is>
          <t>625</t>
        </is>
      </c>
      <c r="C554" s="1" t="inlineStr">
        <is>
          <t>2025</t>
        </is>
      </c>
      <c r="D554" s="1" t="inlineStr">
        <is>
          <t>ACT</t>
        </is>
      </c>
      <c r="E554" s="1" t="inlineStr">
        <is>
          <t>2027BUD_V1</t>
        </is>
      </c>
      <c r="F554" s="1" t="inlineStr">
        <is>
          <t>12</t>
        </is>
      </c>
      <c r="G554" t="n">
        <v>18308</v>
      </c>
      <c r="H554">
        <f>IF(PNL!A554="","",_CALC_PNL!P554)</f>
        <v/>
      </c>
      <c r="I554">
        <f>IF(PNL!A554="","",IF(_CALC_PNL!E554=1,H554-G554,""))</f>
        <v/>
      </c>
    </row>
    <row r="555">
      <c r="A555" s="1" t="inlineStr">
        <is>
          <t>PIGIER_BOR</t>
        </is>
      </c>
      <c r="B555" s="1" t="inlineStr">
        <is>
          <t>625</t>
        </is>
      </c>
      <c r="C555" s="1" t="inlineStr">
        <is>
          <t>2025</t>
        </is>
      </c>
      <c r="D555" s="1" t="inlineStr">
        <is>
          <t>ACT</t>
        </is>
      </c>
      <c r="E555" s="1" t="inlineStr">
        <is>
          <t>2027BUD_V1</t>
        </is>
      </c>
      <c r="F555" s="1" t="inlineStr">
        <is>
          <t>12</t>
        </is>
      </c>
      <c r="G555" t="n">
        <v>13391</v>
      </c>
      <c r="H555">
        <f>IF(PNL!A555="","",_CALC_PNL!P555)</f>
        <v/>
      </c>
      <c r="I555">
        <f>IF(PNL!A555="","",IF(_CALC_PNL!E555=1,H555-G555,""))</f>
        <v/>
      </c>
    </row>
    <row r="556">
      <c r="A556" s="1" t="inlineStr">
        <is>
          <t>TUNON_PAR</t>
        </is>
      </c>
      <c r="B556" s="1" t="inlineStr">
        <is>
          <t>625</t>
        </is>
      </c>
      <c r="C556" s="1" t="inlineStr">
        <is>
          <t>2025</t>
        </is>
      </c>
      <c r="D556" s="1" t="inlineStr">
        <is>
          <t>ACT</t>
        </is>
      </c>
      <c r="E556" s="1" t="inlineStr">
        <is>
          <t>2027BUD_V1</t>
        </is>
      </c>
      <c r="F556" s="1" t="inlineStr">
        <is>
          <t>12</t>
        </is>
      </c>
      <c r="G556" t="n">
        <v>20079</v>
      </c>
      <c r="H556">
        <f>IF(PNL!A556="","",_CALC_PNL!P556)</f>
        <v/>
      </c>
      <c r="I556">
        <f>IF(PNL!A556="","",IF(_CALC_PNL!E556=1,H556-G556,""))</f>
        <v/>
      </c>
    </row>
    <row r="557">
      <c r="A557" s="1" t="inlineStr">
        <is>
          <t>TUNON_LYO</t>
        </is>
      </c>
      <c r="B557" s="1" t="inlineStr">
        <is>
          <t>625</t>
        </is>
      </c>
      <c r="C557" s="1" t="inlineStr">
        <is>
          <t>2025</t>
        </is>
      </c>
      <c r="D557" s="1" t="inlineStr">
        <is>
          <t>ACT</t>
        </is>
      </c>
      <c r="E557" s="1" t="inlineStr">
        <is>
          <t>2027BUD_V1</t>
        </is>
      </c>
      <c r="F557" s="1" t="inlineStr">
        <is>
          <t>12</t>
        </is>
      </c>
      <c r="G557" t="n">
        <v>11769</v>
      </c>
      <c r="H557">
        <f>IF(PNL!A557="","",_CALC_PNL!P557)</f>
        <v/>
      </c>
      <c r="I557">
        <f>IF(PNL!A557="","",IF(_CALC_PNL!E557=1,H557-G557,""))</f>
        <v/>
      </c>
    </row>
    <row r="558">
      <c r="A558" s="1" t="inlineStr">
        <is>
          <t>MBWAY_PAR</t>
        </is>
      </c>
      <c r="B558" s="1" t="inlineStr">
        <is>
          <t>625</t>
        </is>
      </c>
      <c r="C558" s="1" t="inlineStr">
        <is>
          <t>2026</t>
        </is>
      </c>
      <c r="D558" s="1" t="inlineStr">
        <is>
          <t>ACT</t>
        </is>
      </c>
      <c r="E558" s="1" t="inlineStr">
        <is>
          <t>2027BUD_V1</t>
        </is>
      </c>
      <c r="F558" s="1" t="inlineStr">
        <is>
          <t>12</t>
        </is>
      </c>
      <c r="G558" t="n">
        <v>58234</v>
      </c>
      <c r="H558">
        <f>IF(PNL!A558="","",_CALC_PNL!P558)</f>
        <v/>
      </c>
      <c r="I558">
        <f>IF(PNL!A558="","",IF(_CALC_PNL!E558=1,H558-G558,""))</f>
        <v/>
      </c>
    </row>
    <row r="559">
      <c r="A559" s="1" t="inlineStr">
        <is>
          <t>MBWAY_LYO</t>
        </is>
      </c>
      <c r="B559" s="1" t="inlineStr">
        <is>
          <t>625</t>
        </is>
      </c>
      <c r="C559" s="1" t="inlineStr">
        <is>
          <t>2026</t>
        </is>
      </c>
      <c r="D559" s="1" t="inlineStr">
        <is>
          <t>ACT</t>
        </is>
      </c>
      <c r="E559" s="1" t="inlineStr">
        <is>
          <t>2027BUD_V1</t>
        </is>
      </c>
      <c r="F559" s="1" t="inlineStr">
        <is>
          <t>12</t>
        </is>
      </c>
      <c r="G559" t="n">
        <v>34147</v>
      </c>
      <c r="H559">
        <f>IF(PNL!A559="","",_CALC_PNL!P559)</f>
        <v/>
      </c>
      <c r="I559">
        <f>IF(PNL!A559="","",IF(_CALC_PNL!E559=1,H559-G559,""))</f>
        <v/>
      </c>
    </row>
    <row r="560">
      <c r="A560" s="1" t="inlineStr">
        <is>
          <t>MBWAY_NAN</t>
        </is>
      </c>
      <c r="B560" s="1" t="inlineStr">
        <is>
          <t>625</t>
        </is>
      </c>
      <c r="C560" s="1" t="inlineStr">
        <is>
          <t>2026</t>
        </is>
      </c>
      <c r="D560" s="1" t="inlineStr">
        <is>
          <t>ACT</t>
        </is>
      </c>
      <c r="E560" s="1" t="inlineStr">
        <is>
          <t>2027BUD_V1</t>
        </is>
      </c>
      <c r="F560" s="1" t="inlineStr">
        <is>
          <t>12</t>
        </is>
      </c>
      <c r="G560" t="n">
        <v>27666</v>
      </c>
      <c r="H560">
        <f>IF(PNL!A560="","",_CALC_PNL!P560)</f>
        <v/>
      </c>
      <c r="I560">
        <f>IF(PNL!A560="","",IF(_CALC_PNL!E560=1,H560-G560,""))</f>
        <v/>
      </c>
    </row>
    <row r="561">
      <c r="A561" s="1" t="inlineStr">
        <is>
          <t>MBWAY_BOR</t>
        </is>
      </c>
      <c r="B561" s="1" t="inlineStr">
        <is>
          <t>625</t>
        </is>
      </c>
      <c r="C561" s="1" t="inlineStr">
        <is>
          <t>2026</t>
        </is>
      </c>
      <c r="D561" s="1" t="inlineStr">
        <is>
          <t>ACT</t>
        </is>
      </c>
      <c r="E561" s="1" t="inlineStr">
        <is>
          <t>2027BUD_V1</t>
        </is>
      </c>
      <c r="F561" s="1" t="inlineStr">
        <is>
          <t>12</t>
        </is>
      </c>
      <c r="G561" t="n">
        <v>24603</v>
      </c>
      <c r="H561">
        <f>IF(PNL!A561="","",_CALC_PNL!P561)</f>
        <v/>
      </c>
      <c r="I561">
        <f>IF(PNL!A561="","",IF(_CALC_PNL!E561=1,H561-G561,""))</f>
        <v/>
      </c>
    </row>
    <row r="562">
      <c r="A562" s="1" t="inlineStr">
        <is>
          <t>ISCOM_PAR</t>
        </is>
      </c>
      <c r="B562" s="1" t="inlineStr">
        <is>
          <t>625</t>
        </is>
      </c>
      <c r="C562" s="1" t="inlineStr">
        <is>
          <t>2026</t>
        </is>
      </c>
      <c r="D562" s="1" t="inlineStr">
        <is>
          <t>ACT</t>
        </is>
      </c>
      <c r="E562" s="1" t="inlineStr">
        <is>
          <t>2027BUD_V1</t>
        </is>
      </c>
      <c r="F562" s="1" t="inlineStr">
        <is>
          <t>12</t>
        </is>
      </c>
      <c r="G562" t="n">
        <v>53965</v>
      </c>
      <c r="H562">
        <f>IF(PNL!A562="","",_CALC_PNL!P562)</f>
        <v/>
      </c>
      <c r="I562">
        <f>IF(PNL!A562="","",IF(_CALC_PNL!E562=1,H562-G562,""))</f>
        <v/>
      </c>
    </row>
    <row r="563">
      <c r="A563" s="1" t="inlineStr">
        <is>
          <t>ISCOM_LIL</t>
        </is>
      </c>
      <c r="B563" s="1" t="inlineStr">
        <is>
          <t>625</t>
        </is>
      </c>
      <c r="C563" s="1" t="inlineStr">
        <is>
          <t>2026</t>
        </is>
      </c>
      <c r="D563" s="1" t="inlineStr">
        <is>
          <t>ACT</t>
        </is>
      </c>
      <c r="E563" s="1" t="inlineStr">
        <is>
          <t>2027BUD_V1</t>
        </is>
      </c>
      <c r="F563" s="1" t="inlineStr">
        <is>
          <t>12</t>
        </is>
      </c>
      <c r="G563" t="n">
        <v>21124</v>
      </c>
      <c r="H563">
        <f>IF(PNL!A563="","",_CALC_PNL!P563)</f>
        <v/>
      </c>
      <c r="I563">
        <f>IF(PNL!A563="","",IF(_CALC_PNL!E563=1,H563-G563,""))</f>
        <v/>
      </c>
    </row>
    <row r="564">
      <c r="A564" s="1" t="inlineStr">
        <is>
          <t>ISCOM_TLS</t>
        </is>
      </c>
      <c r="B564" s="1" t="inlineStr">
        <is>
          <t>625</t>
        </is>
      </c>
      <c r="C564" s="1" t="inlineStr">
        <is>
          <t>2026</t>
        </is>
      </c>
      <c r="D564" s="1" t="inlineStr">
        <is>
          <t>ACT</t>
        </is>
      </c>
      <c r="E564" s="1" t="inlineStr">
        <is>
          <t>2027BUD_V1</t>
        </is>
      </c>
      <c r="F564" s="1" t="inlineStr">
        <is>
          <t>12</t>
        </is>
      </c>
      <c r="G564" t="n">
        <v>19564</v>
      </c>
      <c r="H564">
        <f>IF(PNL!A564="","",_CALC_PNL!P564)</f>
        <v/>
      </c>
      <c r="I564">
        <f>IF(PNL!A564="","",IF(_CALC_PNL!E564=1,H564-G564,""))</f>
        <v/>
      </c>
    </row>
    <row r="565">
      <c r="A565" s="1" t="inlineStr">
        <is>
          <t>IPAC_NAN</t>
        </is>
      </c>
      <c r="B565" s="1" t="inlineStr">
        <is>
          <t>625</t>
        </is>
      </c>
      <c r="C565" s="1" t="inlineStr">
        <is>
          <t>2026</t>
        </is>
      </c>
      <c r="D565" s="1" t="inlineStr">
        <is>
          <t>ACT</t>
        </is>
      </c>
      <c r="E565" s="1" t="inlineStr">
        <is>
          <t>2027BUD_V1</t>
        </is>
      </c>
      <c r="F565" s="1" t="inlineStr">
        <is>
          <t>12</t>
        </is>
      </c>
      <c r="G565" t="n">
        <v>13645</v>
      </c>
      <c r="H565">
        <f>IF(PNL!A565="","",_CALC_PNL!P565)</f>
        <v/>
      </c>
      <c r="I565">
        <f>IF(PNL!A565="","",IF(_CALC_PNL!E565=1,H565-G565,""))</f>
        <v/>
      </c>
    </row>
    <row r="566">
      <c r="A566" s="1" t="inlineStr">
        <is>
          <t>IPAC_REN</t>
        </is>
      </c>
      <c r="B566" s="1" t="inlineStr">
        <is>
          <t>625</t>
        </is>
      </c>
      <c r="C566" s="1" t="inlineStr">
        <is>
          <t>2026</t>
        </is>
      </c>
      <c r="D566" s="1" t="inlineStr">
        <is>
          <t>ACT</t>
        </is>
      </c>
      <c r="E566" s="1" t="inlineStr">
        <is>
          <t>2027BUD_V1</t>
        </is>
      </c>
      <c r="F566" s="1" t="inlineStr">
        <is>
          <t>12</t>
        </is>
      </c>
      <c r="G566" t="n">
        <v>9689</v>
      </c>
      <c r="H566">
        <f>IF(PNL!A566="","",_CALC_PNL!P566)</f>
        <v/>
      </c>
      <c r="I566">
        <f>IF(PNL!A566="","",IF(_CALC_PNL!E566=1,H566-G566,""))</f>
        <v/>
      </c>
    </row>
    <row r="567">
      <c r="A567" s="1" t="inlineStr">
        <is>
          <t>IPAC_MTP</t>
        </is>
      </c>
      <c r="B567" s="1" t="inlineStr">
        <is>
          <t>625</t>
        </is>
      </c>
      <c r="C567" s="1" t="inlineStr">
        <is>
          <t>2026</t>
        </is>
      </c>
      <c r="D567" s="1" t="inlineStr">
        <is>
          <t>ACT</t>
        </is>
      </c>
      <c r="E567" s="1" t="inlineStr">
        <is>
          <t>2027BUD_V1</t>
        </is>
      </c>
      <c r="F567" s="1" t="inlineStr">
        <is>
          <t>12</t>
        </is>
      </c>
      <c r="G567" t="n">
        <v>9689</v>
      </c>
      <c r="H567">
        <f>IF(PNL!A567="","",_CALC_PNL!P567)</f>
        <v/>
      </c>
      <c r="I567">
        <f>IF(PNL!A567="","",IF(_CALC_PNL!E567=1,H567-G567,""))</f>
        <v/>
      </c>
    </row>
    <row r="568">
      <c r="A568" s="1" t="inlineStr">
        <is>
          <t>PIGIER_LYO</t>
        </is>
      </c>
      <c r="B568" s="1" t="inlineStr">
        <is>
          <t>625</t>
        </is>
      </c>
      <c r="C568" s="1" t="inlineStr">
        <is>
          <t>2026</t>
        </is>
      </c>
      <c r="D568" s="1" t="inlineStr">
        <is>
          <t>ACT</t>
        </is>
      </c>
      <c r="E568" s="1" t="inlineStr">
        <is>
          <t>2027BUD_V1</t>
        </is>
      </c>
      <c r="F568" s="1" t="inlineStr">
        <is>
          <t>12</t>
        </is>
      </c>
      <c r="G568" t="n">
        <v>19182</v>
      </c>
      <c r="H568">
        <f>IF(PNL!A568="","",_CALC_PNL!P568)</f>
        <v/>
      </c>
      <c r="I568">
        <f>IF(PNL!A568="","",IF(_CALC_PNL!E568=1,H568-G568,""))</f>
        <v/>
      </c>
    </row>
    <row r="569">
      <c r="A569" s="1" t="inlineStr">
        <is>
          <t>PIGIER_BOR</t>
        </is>
      </c>
      <c r="B569" s="1" t="inlineStr">
        <is>
          <t>625</t>
        </is>
      </c>
      <c r="C569" s="1" t="inlineStr">
        <is>
          <t>2026</t>
        </is>
      </c>
      <c r="D569" s="1" t="inlineStr">
        <is>
          <t>ACT</t>
        </is>
      </c>
      <c r="E569" s="1" t="inlineStr">
        <is>
          <t>2027BUD_V1</t>
        </is>
      </c>
      <c r="F569" s="1" t="inlineStr">
        <is>
          <t>12</t>
        </is>
      </c>
      <c r="G569" t="n">
        <v>14030</v>
      </c>
      <c r="H569">
        <f>IF(PNL!A569="","",_CALC_PNL!P569)</f>
        <v/>
      </c>
      <c r="I569">
        <f>IF(PNL!A569="","",IF(_CALC_PNL!E569=1,H569-G569,""))</f>
        <v/>
      </c>
    </row>
    <row r="570">
      <c r="A570" s="1" t="inlineStr">
        <is>
          <t>TUNON_PAR</t>
        </is>
      </c>
      <c r="B570" s="1" t="inlineStr">
        <is>
          <t>625</t>
        </is>
      </c>
      <c r="C570" s="1" t="inlineStr">
        <is>
          <t>2026</t>
        </is>
      </c>
      <c r="D570" s="1" t="inlineStr">
        <is>
          <t>ACT</t>
        </is>
      </c>
      <c r="E570" s="1" t="inlineStr">
        <is>
          <t>2027BUD_V1</t>
        </is>
      </c>
      <c r="F570" s="1" t="inlineStr">
        <is>
          <t>12</t>
        </is>
      </c>
      <c r="G570" t="n">
        <v>21037</v>
      </c>
      <c r="H570">
        <f>IF(PNL!A570="","",_CALC_PNL!P570)</f>
        <v/>
      </c>
      <c r="I570">
        <f>IF(PNL!A570="","",IF(_CALC_PNL!E570=1,H570-G570,""))</f>
        <v/>
      </c>
    </row>
    <row r="571">
      <c r="A571" s="1" t="inlineStr">
        <is>
          <t>TUNON_LYO</t>
        </is>
      </c>
      <c r="B571" s="1" t="inlineStr">
        <is>
          <t>625</t>
        </is>
      </c>
      <c r="C571" s="1" t="inlineStr">
        <is>
          <t>2026</t>
        </is>
      </c>
      <c r="D571" s="1" t="inlineStr">
        <is>
          <t>ACT</t>
        </is>
      </c>
      <c r="E571" s="1" t="inlineStr">
        <is>
          <t>2027BUD_V1</t>
        </is>
      </c>
      <c r="F571" s="1" t="inlineStr">
        <is>
          <t>12</t>
        </is>
      </c>
      <c r="G571" t="n">
        <v>12331</v>
      </c>
      <c r="H571">
        <f>IF(PNL!A571="","",_CALC_PNL!P571)</f>
        <v/>
      </c>
      <c r="I571">
        <f>IF(PNL!A571="","",IF(_CALC_PNL!E571=1,H571-G571,""))</f>
        <v/>
      </c>
    </row>
    <row r="572">
      <c r="A572" s="1" t="inlineStr">
        <is>
          <t>GRP</t>
        </is>
      </c>
      <c r="B572" s="1" t="inlineStr">
        <is>
          <t>626</t>
        </is>
      </c>
      <c r="C572" s="1" t="inlineStr">
        <is>
          <t>2024</t>
        </is>
      </c>
      <c r="D572" s="1" t="inlineStr">
        <is>
          <t>ACT</t>
        </is>
      </c>
      <c r="E572" s="1" t="inlineStr">
        <is>
          <t>2027BUD_V1</t>
        </is>
      </c>
      <c r="F572" s="1" t="inlineStr">
        <is>
          <t>12</t>
        </is>
      </c>
      <c r="G572" t="n">
        <v>412389</v>
      </c>
      <c r="H572">
        <f>IF(PNL!A572="","",_CALC_PNL!P572)</f>
        <v/>
      </c>
      <c r="I572">
        <f>IF(PNL!A572="","",IF(_CALC_PNL!E572=1,H572-G572,""))</f>
        <v/>
      </c>
    </row>
    <row r="573">
      <c r="A573" s="1" t="inlineStr">
        <is>
          <t>GRP</t>
        </is>
      </c>
      <c r="B573" s="1" t="inlineStr">
        <is>
          <t>626</t>
        </is>
      </c>
      <c r="C573" s="1" t="inlineStr">
        <is>
          <t>2025</t>
        </is>
      </c>
      <c r="D573" s="1" t="inlineStr">
        <is>
          <t>ACT</t>
        </is>
      </c>
      <c r="E573" s="1" t="inlineStr">
        <is>
          <t>2027BUD_V1</t>
        </is>
      </c>
      <c r="F573" s="1" t="inlineStr">
        <is>
          <t>12</t>
        </is>
      </c>
      <c r="G573" t="n">
        <v>431286</v>
      </c>
      <c r="H573">
        <f>IF(PNL!A573="","",_CALC_PNL!P573)</f>
        <v/>
      </c>
      <c r="I573">
        <f>IF(PNL!A573="","",IF(_CALC_PNL!E573=1,H573-G573,""))</f>
        <v/>
      </c>
    </row>
    <row r="574">
      <c r="A574" s="1" t="inlineStr">
        <is>
          <t>GRP</t>
        </is>
      </c>
      <c r="B574" s="1" t="inlineStr">
        <is>
          <t>626</t>
        </is>
      </c>
      <c r="C574" s="1" t="inlineStr">
        <is>
          <t>2026</t>
        </is>
      </c>
      <c r="D574" s="1" t="inlineStr">
        <is>
          <t>ACT</t>
        </is>
      </c>
      <c r="E574" s="1" t="inlineStr">
        <is>
          <t>2027BUD_V1</t>
        </is>
      </c>
      <c r="F574" s="1" t="inlineStr">
        <is>
          <t>12</t>
        </is>
      </c>
      <c r="G574" t="n">
        <v>451872</v>
      </c>
      <c r="H574">
        <f>IF(PNL!A574="","",_CALC_PNL!P574)</f>
        <v/>
      </c>
      <c r="I574">
        <f>IF(PNL!A574="","",IF(_CALC_PNL!E574=1,H574-G574,""))</f>
        <v/>
      </c>
    </row>
    <row r="575">
      <c r="A575" s="1" t="inlineStr">
        <is>
          <t>GRP</t>
        </is>
      </c>
      <c r="B575" s="1" t="inlineStr">
        <is>
          <t>6281</t>
        </is>
      </c>
      <c r="C575" s="1" t="inlineStr">
        <is>
          <t>2024</t>
        </is>
      </c>
      <c r="D575" s="1" t="inlineStr">
        <is>
          <t>ACT</t>
        </is>
      </c>
      <c r="E575" s="1" t="inlineStr">
        <is>
          <t>2027BUD_V1</t>
        </is>
      </c>
      <c r="F575" s="1" t="inlineStr">
        <is>
          <t>12</t>
        </is>
      </c>
      <c r="G575" t="n">
        <v>164956</v>
      </c>
      <c r="H575">
        <f>IF(PNL!A575="","",_CALC_PNL!P575)</f>
        <v/>
      </c>
      <c r="I575">
        <f>IF(PNL!A575="","",IF(_CALC_PNL!E575=1,H575-G575,""))</f>
        <v/>
      </c>
    </row>
    <row r="576">
      <c r="A576" s="1" t="inlineStr">
        <is>
          <t>GRP</t>
        </is>
      </c>
      <c r="B576" s="1" t="inlineStr">
        <is>
          <t>6281</t>
        </is>
      </c>
      <c r="C576" s="1" t="inlineStr">
        <is>
          <t>2025</t>
        </is>
      </c>
      <c r="D576" s="1" t="inlineStr">
        <is>
          <t>ACT</t>
        </is>
      </c>
      <c r="E576" s="1" t="inlineStr">
        <is>
          <t>2027BUD_V1</t>
        </is>
      </c>
      <c r="F576" s="1" t="inlineStr">
        <is>
          <t>12</t>
        </is>
      </c>
      <c r="G576" t="n">
        <v>172514</v>
      </c>
      <c r="H576">
        <f>IF(PNL!A576="","",_CALC_PNL!P576)</f>
        <v/>
      </c>
      <c r="I576">
        <f>IF(PNL!A576="","",IF(_CALC_PNL!E576=1,H576-G576,""))</f>
        <v/>
      </c>
    </row>
    <row r="577">
      <c r="A577" s="1" t="inlineStr">
        <is>
          <t>GRP</t>
        </is>
      </c>
      <c r="B577" s="1" t="inlineStr">
        <is>
          <t>6281</t>
        </is>
      </c>
      <c r="C577" s="1" t="inlineStr">
        <is>
          <t>2026</t>
        </is>
      </c>
      <c r="D577" s="1" t="inlineStr">
        <is>
          <t>ACT</t>
        </is>
      </c>
      <c r="E577" s="1" t="inlineStr">
        <is>
          <t>2027BUD_V1</t>
        </is>
      </c>
      <c r="F577" s="1" t="inlineStr">
        <is>
          <t>12</t>
        </is>
      </c>
      <c r="G577" t="n">
        <v>180749</v>
      </c>
      <c r="H577">
        <f>IF(PNL!A577="","",_CALC_PNL!P577)</f>
        <v/>
      </c>
      <c r="I577">
        <f>IF(PNL!A577="","",IF(_CALC_PNL!E577=1,H577-G577,""))</f>
        <v/>
      </c>
    </row>
    <row r="578">
      <c r="A578" s="1" t="inlineStr">
        <is>
          <t>GRP</t>
        </is>
      </c>
      <c r="B578" s="1" t="inlineStr">
        <is>
          <t>6331</t>
        </is>
      </c>
      <c r="C578" s="1" t="inlineStr">
        <is>
          <t>2024</t>
        </is>
      </c>
      <c r="D578" s="1" t="inlineStr">
        <is>
          <t>ACT</t>
        </is>
      </c>
      <c r="E578" s="1" t="inlineStr">
        <is>
          <t>2027BUD_V1</t>
        </is>
      </c>
      <c r="F578" s="1" t="inlineStr">
        <is>
          <t>12</t>
        </is>
      </c>
      <c r="G578" t="n">
        <v>309292</v>
      </c>
      <c r="H578">
        <f>IF(PNL!A578="","",_CALC_PNL!P578)</f>
        <v/>
      </c>
      <c r="I578">
        <f>IF(PNL!A578="","",IF(_CALC_PNL!E578=1,H578-G578,""))</f>
        <v/>
      </c>
    </row>
    <row r="579">
      <c r="A579" s="1" t="inlineStr">
        <is>
          <t>GRP</t>
        </is>
      </c>
      <c r="B579" s="1" t="inlineStr">
        <is>
          <t>6331</t>
        </is>
      </c>
      <c r="C579" s="1" t="inlineStr">
        <is>
          <t>2025</t>
        </is>
      </c>
      <c r="D579" s="1" t="inlineStr">
        <is>
          <t>ACT</t>
        </is>
      </c>
      <c r="E579" s="1" t="inlineStr">
        <is>
          <t>2027BUD_V1</t>
        </is>
      </c>
      <c r="F579" s="1" t="inlineStr">
        <is>
          <t>12</t>
        </is>
      </c>
      <c r="G579" t="n">
        <v>323465</v>
      </c>
      <c r="H579">
        <f>IF(PNL!A579="","",_CALC_PNL!P579)</f>
        <v/>
      </c>
      <c r="I579">
        <f>IF(PNL!A579="","",IF(_CALC_PNL!E579=1,H579-G579,""))</f>
        <v/>
      </c>
    </row>
    <row r="580">
      <c r="A580" s="1" t="inlineStr">
        <is>
          <t>GRP</t>
        </is>
      </c>
      <c r="B580" s="1" t="inlineStr">
        <is>
          <t>6331</t>
        </is>
      </c>
      <c r="C580" s="1" t="inlineStr">
        <is>
          <t>2026</t>
        </is>
      </c>
      <c r="D580" s="1" t="inlineStr">
        <is>
          <t>ACT</t>
        </is>
      </c>
      <c r="E580" s="1" t="inlineStr">
        <is>
          <t>2027BUD_V1</t>
        </is>
      </c>
      <c r="F580" s="1" t="inlineStr">
        <is>
          <t>12</t>
        </is>
      </c>
      <c r="G580" t="n">
        <v>338904</v>
      </c>
      <c r="H580">
        <f>IF(PNL!A580="","",_CALC_PNL!P580)</f>
        <v/>
      </c>
      <c r="I580">
        <f>IF(PNL!A580="","",IF(_CALC_PNL!E580=1,H580-G580,""))</f>
        <v/>
      </c>
    </row>
    <row r="581">
      <c r="A581" s="1" t="inlineStr">
        <is>
          <t>MBWAY_PAR</t>
        </is>
      </c>
      <c r="B581" s="1" t="inlineStr">
        <is>
          <t>63511</t>
        </is>
      </c>
      <c r="C581" s="1" t="inlineStr">
        <is>
          <t>2024</t>
        </is>
      </c>
      <c r="D581" s="1" t="inlineStr">
        <is>
          <t>ACT</t>
        </is>
      </c>
      <c r="E581" s="1" t="inlineStr">
        <is>
          <t>2027BUD_V1</t>
        </is>
      </c>
      <c r="F581" s="1" t="inlineStr">
        <is>
          <t>12</t>
        </is>
      </c>
      <c r="G581" t="n">
        <v>32490</v>
      </c>
      <c r="H581">
        <f>IF(PNL!A581="","",_CALC_PNL!P581)</f>
        <v/>
      </c>
      <c r="I581">
        <f>IF(PNL!A581="","",IF(_CALC_PNL!E581=1,H581-G581,""))</f>
        <v/>
      </c>
    </row>
    <row r="582">
      <c r="A582" s="1" t="inlineStr">
        <is>
          <t>MBWAY_LYO</t>
        </is>
      </c>
      <c r="B582" s="1" t="inlineStr">
        <is>
          <t>63511</t>
        </is>
      </c>
      <c r="C582" s="1" t="inlineStr">
        <is>
          <t>2024</t>
        </is>
      </c>
      <c r="D582" s="1" t="inlineStr">
        <is>
          <t>ACT</t>
        </is>
      </c>
      <c r="E582" s="1" t="inlineStr">
        <is>
          <t>2027BUD_V1</t>
        </is>
      </c>
      <c r="F582" s="1" t="inlineStr">
        <is>
          <t>12</t>
        </is>
      </c>
      <c r="G582" t="n">
        <v>19467</v>
      </c>
      <c r="H582">
        <f>IF(PNL!A582="","",_CALC_PNL!P582)</f>
        <v/>
      </c>
      <c r="I582">
        <f>IF(PNL!A582="","",IF(_CALC_PNL!E582=1,H582-G582,""))</f>
        <v/>
      </c>
    </row>
    <row r="583">
      <c r="A583" s="1" t="inlineStr">
        <is>
          <t>MBWAY_NAN</t>
        </is>
      </c>
      <c r="B583" s="1" t="inlineStr">
        <is>
          <t>63511</t>
        </is>
      </c>
      <c r="C583" s="1" t="inlineStr">
        <is>
          <t>2024</t>
        </is>
      </c>
      <c r="D583" s="1" t="inlineStr">
        <is>
          <t>ACT</t>
        </is>
      </c>
      <c r="E583" s="1" t="inlineStr">
        <is>
          <t>2027BUD_V1</t>
        </is>
      </c>
      <c r="F583" s="1" t="inlineStr">
        <is>
          <t>12</t>
        </is>
      </c>
      <c r="G583" t="n">
        <v>16044</v>
      </c>
      <c r="H583">
        <f>IF(PNL!A583="","",_CALC_PNL!P583)</f>
        <v/>
      </c>
      <c r="I583">
        <f>IF(PNL!A583="","",IF(_CALC_PNL!E583=1,H583-G583,""))</f>
        <v/>
      </c>
    </row>
    <row r="584">
      <c r="A584" s="1" t="inlineStr">
        <is>
          <t>MBWAY_BOR</t>
        </is>
      </c>
      <c r="B584" s="1" t="inlineStr">
        <is>
          <t>63511</t>
        </is>
      </c>
      <c r="C584" s="1" t="inlineStr">
        <is>
          <t>2024</t>
        </is>
      </c>
      <c r="D584" s="1" t="inlineStr">
        <is>
          <t>ACT</t>
        </is>
      </c>
      <c r="E584" s="1" t="inlineStr">
        <is>
          <t>2027BUD_V1</t>
        </is>
      </c>
      <c r="F584" s="1" t="inlineStr">
        <is>
          <t>12</t>
        </is>
      </c>
      <c r="G584" t="n">
        <v>14039</v>
      </c>
      <c r="H584">
        <f>IF(PNL!A584="","",_CALC_PNL!P584)</f>
        <v/>
      </c>
      <c r="I584">
        <f>IF(PNL!A584="","",IF(_CALC_PNL!E584=1,H584-G584,""))</f>
        <v/>
      </c>
    </row>
    <row r="585">
      <c r="A585" s="1" t="inlineStr">
        <is>
          <t>ISCOM_PAR</t>
        </is>
      </c>
      <c r="B585" s="1" t="inlineStr">
        <is>
          <t>63511</t>
        </is>
      </c>
      <c r="C585" s="1" t="inlineStr">
        <is>
          <t>2024</t>
        </is>
      </c>
      <c r="D585" s="1" t="inlineStr">
        <is>
          <t>ACT</t>
        </is>
      </c>
      <c r="E585" s="1" t="inlineStr">
        <is>
          <t>2027BUD_V1</t>
        </is>
      </c>
      <c r="F585" s="1" t="inlineStr">
        <is>
          <t>12</t>
        </is>
      </c>
      <c r="G585" t="n">
        <v>32490</v>
      </c>
      <c r="H585">
        <f>IF(PNL!A585="","",_CALC_PNL!P585)</f>
        <v/>
      </c>
      <c r="I585">
        <f>IF(PNL!A585="","",IF(_CALC_PNL!E585=1,H585-G585,""))</f>
        <v/>
      </c>
    </row>
    <row r="586">
      <c r="A586" s="1" t="inlineStr">
        <is>
          <t>ISCOM_LIL</t>
        </is>
      </c>
      <c r="B586" s="1" t="inlineStr">
        <is>
          <t>63511</t>
        </is>
      </c>
      <c r="C586" s="1" t="inlineStr">
        <is>
          <t>2024</t>
        </is>
      </c>
      <c r="D586" s="1" t="inlineStr">
        <is>
          <t>ACT</t>
        </is>
      </c>
      <c r="E586" s="1" t="inlineStr">
        <is>
          <t>2027BUD_V1</t>
        </is>
      </c>
      <c r="F586" s="1" t="inlineStr">
        <is>
          <t>12</t>
        </is>
      </c>
      <c r="G586" t="n">
        <v>12301</v>
      </c>
      <c r="H586">
        <f>IF(PNL!A586="","",_CALC_PNL!P586)</f>
        <v/>
      </c>
      <c r="I586">
        <f>IF(PNL!A586="","",IF(_CALC_PNL!E586=1,H586-G586,""))</f>
        <v/>
      </c>
    </row>
    <row r="587">
      <c r="A587" s="1" t="inlineStr">
        <is>
          <t>ISCOM_TLS</t>
        </is>
      </c>
      <c r="B587" s="1" t="inlineStr">
        <is>
          <t>63511</t>
        </is>
      </c>
      <c r="C587" s="1" t="inlineStr">
        <is>
          <t>2024</t>
        </is>
      </c>
      <c r="D587" s="1" t="inlineStr">
        <is>
          <t>ACT</t>
        </is>
      </c>
      <c r="E587" s="1" t="inlineStr">
        <is>
          <t>2027BUD_V1</t>
        </is>
      </c>
      <c r="F587" s="1" t="inlineStr">
        <is>
          <t>12</t>
        </is>
      </c>
      <c r="G587" t="n">
        <v>12033</v>
      </c>
      <c r="H587">
        <f>IF(PNL!A587="","",_CALC_PNL!P587)</f>
        <v/>
      </c>
      <c r="I587">
        <f>IF(PNL!A587="","",IF(_CALC_PNL!E587=1,H587-G587,""))</f>
        <v/>
      </c>
    </row>
    <row r="588">
      <c r="A588" s="1" t="inlineStr">
        <is>
          <t>IPAC_NAN</t>
        </is>
      </c>
      <c r="B588" s="1" t="inlineStr">
        <is>
          <t>63511</t>
        </is>
      </c>
      <c r="C588" s="1" t="inlineStr">
        <is>
          <t>2024</t>
        </is>
      </c>
      <c r="D588" s="1" t="inlineStr">
        <is>
          <t>ACT</t>
        </is>
      </c>
      <c r="E588" s="1" t="inlineStr">
        <is>
          <t>2027BUD_V1</t>
        </is>
      </c>
      <c r="F588" s="1" t="inlineStr">
        <is>
          <t>12</t>
        </is>
      </c>
      <c r="G588" t="n">
        <v>8022</v>
      </c>
      <c r="H588">
        <f>IF(PNL!A588="","",_CALC_PNL!P588)</f>
        <v/>
      </c>
      <c r="I588">
        <f>IF(PNL!A588="","",IF(_CALC_PNL!E588=1,H588-G588,""))</f>
        <v/>
      </c>
    </row>
    <row r="589">
      <c r="A589" s="1" t="inlineStr">
        <is>
          <t>IPAC_REN</t>
        </is>
      </c>
      <c r="B589" s="1" t="inlineStr">
        <is>
          <t>63511</t>
        </is>
      </c>
      <c r="C589" s="1" t="inlineStr">
        <is>
          <t>2024</t>
        </is>
      </c>
      <c r="D589" s="1" t="inlineStr">
        <is>
          <t>ACT</t>
        </is>
      </c>
      <c r="E589" s="1" t="inlineStr">
        <is>
          <t>2027BUD_V1</t>
        </is>
      </c>
      <c r="F589" s="1" t="inlineStr">
        <is>
          <t>12</t>
        </is>
      </c>
      <c r="G589" t="n">
        <v>7059</v>
      </c>
      <c r="H589">
        <f>IF(PNL!A589="","",_CALC_PNL!P589)</f>
        <v/>
      </c>
      <c r="I589">
        <f>IF(PNL!A589="","",IF(_CALC_PNL!E589=1,H589-G589,""))</f>
        <v/>
      </c>
    </row>
    <row r="590">
      <c r="A590" s="1" t="inlineStr">
        <is>
          <t>IPAC_MTP</t>
        </is>
      </c>
      <c r="B590" s="1" t="inlineStr">
        <is>
          <t>63511</t>
        </is>
      </c>
      <c r="C590" s="1" t="inlineStr">
        <is>
          <t>2024</t>
        </is>
      </c>
      <c r="D590" s="1" t="inlineStr">
        <is>
          <t>ACT</t>
        </is>
      </c>
      <c r="E590" s="1" t="inlineStr">
        <is>
          <t>2027BUD_V1</t>
        </is>
      </c>
      <c r="F590" s="1" t="inlineStr">
        <is>
          <t>12</t>
        </is>
      </c>
      <c r="G590" t="n">
        <v>7059</v>
      </c>
      <c r="H590">
        <f>IF(PNL!A590="","",_CALC_PNL!P590)</f>
        <v/>
      </c>
      <c r="I590">
        <f>IF(PNL!A590="","",IF(_CALC_PNL!E590=1,H590-G590,""))</f>
        <v/>
      </c>
    </row>
    <row r="591">
      <c r="A591" s="1" t="inlineStr">
        <is>
          <t>PIGIER_LYO</t>
        </is>
      </c>
      <c r="B591" s="1" t="inlineStr">
        <is>
          <t>63511</t>
        </is>
      </c>
      <c r="C591" s="1" t="inlineStr">
        <is>
          <t>2024</t>
        </is>
      </c>
      <c r="D591" s="1" t="inlineStr">
        <is>
          <t>ACT</t>
        </is>
      </c>
      <c r="E591" s="1" t="inlineStr">
        <is>
          <t>2027BUD_V1</t>
        </is>
      </c>
      <c r="F591" s="1" t="inlineStr">
        <is>
          <t>12</t>
        </is>
      </c>
      <c r="G591" t="n">
        <v>11980</v>
      </c>
      <c r="H591">
        <f>IF(PNL!A591="","",_CALC_PNL!P591)</f>
        <v/>
      </c>
      <c r="I591">
        <f>IF(PNL!A591="","",IF(_CALC_PNL!E591=1,H591-G591,""))</f>
        <v/>
      </c>
    </row>
    <row r="592">
      <c r="A592" s="1" t="inlineStr">
        <is>
          <t>PIGIER_BOR</t>
        </is>
      </c>
      <c r="B592" s="1" t="inlineStr">
        <is>
          <t>63511</t>
        </is>
      </c>
      <c r="C592" s="1" t="inlineStr">
        <is>
          <t>2024</t>
        </is>
      </c>
      <c r="D592" s="1" t="inlineStr">
        <is>
          <t>ACT</t>
        </is>
      </c>
      <c r="E592" s="1" t="inlineStr">
        <is>
          <t>2027BUD_V1</t>
        </is>
      </c>
      <c r="F592" s="1" t="inlineStr">
        <is>
          <t>12</t>
        </is>
      </c>
      <c r="G592" t="n">
        <v>11231</v>
      </c>
      <c r="H592">
        <f>IF(PNL!A592="","",_CALC_PNL!P592)</f>
        <v/>
      </c>
      <c r="I592">
        <f>IF(PNL!A592="","",IF(_CALC_PNL!E592=1,H592-G592,""))</f>
        <v/>
      </c>
    </row>
    <row r="593">
      <c r="A593" s="1" t="inlineStr">
        <is>
          <t>TUNON_PAR</t>
        </is>
      </c>
      <c r="B593" s="1" t="inlineStr">
        <is>
          <t>63511</t>
        </is>
      </c>
      <c r="C593" s="1" t="inlineStr">
        <is>
          <t>2024</t>
        </is>
      </c>
      <c r="D593" s="1" t="inlineStr">
        <is>
          <t>ACT</t>
        </is>
      </c>
      <c r="E593" s="1" t="inlineStr">
        <is>
          <t>2027BUD_V1</t>
        </is>
      </c>
      <c r="F593" s="1" t="inlineStr">
        <is>
          <t>12</t>
        </is>
      </c>
      <c r="G593" t="n">
        <v>12996</v>
      </c>
      <c r="H593">
        <f>IF(PNL!A593="","",_CALC_PNL!P593)</f>
        <v/>
      </c>
      <c r="I593">
        <f>IF(PNL!A593="","",IF(_CALC_PNL!E593=1,H593-G593,""))</f>
        <v/>
      </c>
    </row>
    <row r="594">
      <c r="A594" s="1" t="inlineStr">
        <is>
          <t>TUNON_LYO</t>
        </is>
      </c>
      <c r="B594" s="1" t="inlineStr">
        <is>
          <t>63511</t>
        </is>
      </c>
      <c r="C594" s="1" t="inlineStr">
        <is>
          <t>2024</t>
        </is>
      </c>
      <c r="D594" s="1" t="inlineStr">
        <is>
          <t>ACT</t>
        </is>
      </c>
      <c r="E594" s="1" t="inlineStr">
        <is>
          <t>2027BUD_V1</t>
        </is>
      </c>
      <c r="F594" s="1" t="inlineStr">
        <is>
          <t>12</t>
        </is>
      </c>
      <c r="G594" t="n">
        <v>8985</v>
      </c>
      <c r="H594">
        <f>IF(PNL!A594="","",_CALC_PNL!P594)</f>
        <v/>
      </c>
      <c r="I594">
        <f>IF(PNL!A594="","",IF(_CALC_PNL!E594=1,H594-G594,""))</f>
        <v/>
      </c>
    </row>
    <row r="595">
      <c r="A595" s="1" t="inlineStr">
        <is>
          <t>MBWAY_PAR</t>
        </is>
      </c>
      <c r="B595" s="1" t="inlineStr">
        <is>
          <t>63511</t>
        </is>
      </c>
      <c r="C595" s="1" t="inlineStr">
        <is>
          <t>2025</t>
        </is>
      </c>
      <c r="D595" s="1" t="inlineStr">
        <is>
          <t>ACT</t>
        </is>
      </c>
      <c r="E595" s="1" t="inlineStr">
        <is>
          <t>2027BUD_V1</t>
        </is>
      </c>
      <c r="F595" s="1" t="inlineStr">
        <is>
          <t>12</t>
        </is>
      </c>
      <c r="G595" t="n">
        <v>33978</v>
      </c>
      <c r="H595">
        <f>IF(PNL!A595="","",_CALC_PNL!P595)</f>
        <v/>
      </c>
      <c r="I595">
        <f>IF(PNL!A595="","",IF(_CALC_PNL!E595=1,H595-G595,""))</f>
        <v/>
      </c>
    </row>
    <row r="596">
      <c r="A596" s="1" t="inlineStr">
        <is>
          <t>MBWAY_LYO</t>
        </is>
      </c>
      <c r="B596" s="1" t="inlineStr">
        <is>
          <t>63511</t>
        </is>
      </c>
      <c r="C596" s="1" t="inlineStr">
        <is>
          <t>2025</t>
        </is>
      </c>
      <c r="D596" s="1" t="inlineStr">
        <is>
          <t>ACT</t>
        </is>
      </c>
      <c r="E596" s="1" t="inlineStr">
        <is>
          <t>2027BUD_V1</t>
        </is>
      </c>
      <c r="F596" s="1" t="inlineStr">
        <is>
          <t>12</t>
        </is>
      </c>
      <c r="G596" t="n">
        <v>20359</v>
      </c>
      <c r="H596">
        <f>IF(PNL!A596="","",_CALC_PNL!P596)</f>
        <v/>
      </c>
      <c r="I596">
        <f>IF(PNL!A596="","",IF(_CALC_PNL!E596=1,H596-G596,""))</f>
        <v/>
      </c>
    </row>
    <row r="597">
      <c r="A597" s="1" t="inlineStr">
        <is>
          <t>MBWAY_NAN</t>
        </is>
      </c>
      <c r="B597" s="1" t="inlineStr">
        <is>
          <t>63511</t>
        </is>
      </c>
      <c r="C597" s="1" t="inlineStr">
        <is>
          <t>2025</t>
        </is>
      </c>
      <c r="D597" s="1" t="inlineStr">
        <is>
          <t>ACT</t>
        </is>
      </c>
      <c r="E597" s="1" t="inlineStr">
        <is>
          <t>2027BUD_V1</t>
        </is>
      </c>
      <c r="F597" s="1" t="inlineStr">
        <is>
          <t>12</t>
        </is>
      </c>
      <c r="G597" t="n">
        <v>16779</v>
      </c>
      <c r="H597">
        <f>IF(PNL!A597="","",_CALC_PNL!P597)</f>
        <v/>
      </c>
      <c r="I597">
        <f>IF(PNL!A597="","",IF(_CALC_PNL!E597=1,H597-G597,""))</f>
        <v/>
      </c>
    </row>
    <row r="598">
      <c r="A598" s="1" t="inlineStr">
        <is>
          <t>MBWAY_BOR</t>
        </is>
      </c>
      <c r="B598" s="1" t="inlineStr">
        <is>
          <t>63511</t>
        </is>
      </c>
      <c r="C598" s="1" t="inlineStr">
        <is>
          <t>2025</t>
        </is>
      </c>
      <c r="D598" s="1" t="inlineStr">
        <is>
          <t>ACT</t>
        </is>
      </c>
      <c r="E598" s="1" t="inlineStr">
        <is>
          <t>2027BUD_V1</t>
        </is>
      </c>
      <c r="F598" s="1" t="inlineStr">
        <is>
          <t>12</t>
        </is>
      </c>
      <c r="G598" t="n">
        <v>14682</v>
      </c>
      <c r="H598">
        <f>IF(PNL!A598="","",_CALC_PNL!P598)</f>
        <v/>
      </c>
      <c r="I598">
        <f>IF(PNL!A598="","",IF(_CALC_PNL!E598=1,H598-G598,""))</f>
        <v/>
      </c>
    </row>
    <row r="599">
      <c r="A599" s="1" t="inlineStr">
        <is>
          <t>ISCOM_PAR</t>
        </is>
      </c>
      <c r="B599" s="1" t="inlineStr">
        <is>
          <t>63511</t>
        </is>
      </c>
      <c r="C599" s="1" t="inlineStr">
        <is>
          <t>2025</t>
        </is>
      </c>
      <c r="D599" s="1" t="inlineStr">
        <is>
          <t>ACT</t>
        </is>
      </c>
      <c r="E599" s="1" t="inlineStr">
        <is>
          <t>2027BUD_V1</t>
        </is>
      </c>
      <c r="F599" s="1" t="inlineStr">
        <is>
          <t>12</t>
        </is>
      </c>
      <c r="G599" t="n">
        <v>33978</v>
      </c>
      <c r="H599">
        <f>IF(PNL!A599="","",_CALC_PNL!P599)</f>
        <v/>
      </c>
      <c r="I599">
        <f>IF(PNL!A599="","",IF(_CALC_PNL!E599=1,H599-G599,""))</f>
        <v/>
      </c>
    </row>
    <row r="600">
      <c r="A600" s="1" t="inlineStr">
        <is>
          <t>ISCOM_LIL</t>
        </is>
      </c>
      <c r="B600" s="1" t="inlineStr">
        <is>
          <t>63511</t>
        </is>
      </c>
      <c r="C600" s="1" t="inlineStr">
        <is>
          <t>2025</t>
        </is>
      </c>
      <c r="D600" s="1" t="inlineStr">
        <is>
          <t>ACT</t>
        </is>
      </c>
      <c r="E600" s="1" t="inlineStr">
        <is>
          <t>2027BUD_V1</t>
        </is>
      </c>
      <c r="F600" s="1" t="inlineStr">
        <is>
          <t>12</t>
        </is>
      </c>
      <c r="G600" t="n">
        <v>12864</v>
      </c>
      <c r="H600">
        <f>IF(PNL!A600="","",_CALC_PNL!P600)</f>
        <v/>
      </c>
      <c r="I600">
        <f>IF(PNL!A600="","",IF(_CALC_PNL!E600=1,H600-G600,""))</f>
        <v/>
      </c>
    </row>
    <row r="601">
      <c r="A601" s="1" t="inlineStr">
        <is>
          <t>ISCOM_TLS</t>
        </is>
      </c>
      <c r="B601" s="1" t="inlineStr">
        <is>
          <t>63511</t>
        </is>
      </c>
      <c r="C601" s="1" t="inlineStr">
        <is>
          <t>2025</t>
        </is>
      </c>
      <c r="D601" s="1" t="inlineStr">
        <is>
          <t>ACT</t>
        </is>
      </c>
      <c r="E601" s="1" t="inlineStr">
        <is>
          <t>2027BUD_V1</t>
        </is>
      </c>
      <c r="F601" s="1" t="inlineStr">
        <is>
          <t>12</t>
        </is>
      </c>
      <c r="G601" t="n">
        <v>12585</v>
      </c>
      <c r="H601">
        <f>IF(PNL!A601="","",_CALC_PNL!P601)</f>
        <v/>
      </c>
      <c r="I601">
        <f>IF(PNL!A601="","",IF(_CALC_PNL!E601=1,H601-G601,""))</f>
        <v/>
      </c>
    </row>
    <row r="602">
      <c r="A602" s="1" t="inlineStr">
        <is>
          <t>IPAC_NAN</t>
        </is>
      </c>
      <c r="B602" s="1" t="inlineStr">
        <is>
          <t>63511</t>
        </is>
      </c>
      <c r="C602" s="1" t="inlineStr">
        <is>
          <t>2025</t>
        </is>
      </c>
      <c r="D602" s="1" t="inlineStr">
        <is>
          <t>ACT</t>
        </is>
      </c>
      <c r="E602" s="1" t="inlineStr">
        <is>
          <t>2027BUD_V1</t>
        </is>
      </c>
      <c r="F602" s="1" t="inlineStr">
        <is>
          <t>12</t>
        </is>
      </c>
      <c r="G602" t="n">
        <v>8390</v>
      </c>
      <c r="H602">
        <f>IF(PNL!A602="","",_CALC_PNL!P602)</f>
        <v/>
      </c>
      <c r="I602">
        <f>IF(PNL!A602="","",IF(_CALC_PNL!E602=1,H602-G602,""))</f>
        <v/>
      </c>
    </row>
    <row r="603">
      <c r="A603" s="1" t="inlineStr">
        <is>
          <t>IPAC_REN</t>
        </is>
      </c>
      <c r="B603" s="1" t="inlineStr">
        <is>
          <t>63511</t>
        </is>
      </c>
      <c r="C603" s="1" t="inlineStr">
        <is>
          <t>2025</t>
        </is>
      </c>
      <c r="D603" s="1" t="inlineStr">
        <is>
          <t>ACT</t>
        </is>
      </c>
      <c r="E603" s="1" t="inlineStr">
        <is>
          <t>2027BUD_V1</t>
        </is>
      </c>
      <c r="F603" s="1" t="inlineStr">
        <is>
          <t>12</t>
        </is>
      </c>
      <c r="G603" t="n">
        <v>7383</v>
      </c>
      <c r="H603">
        <f>IF(PNL!A603="","",_CALC_PNL!P603)</f>
        <v/>
      </c>
      <c r="I603">
        <f>IF(PNL!A603="","",IF(_CALC_PNL!E603=1,H603-G603,""))</f>
        <v/>
      </c>
    </row>
    <row r="604">
      <c r="A604" s="1" t="inlineStr">
        <is>
          <t>IPAC_MTP</t>
        </is>
      </c>
      <c r="B604" s="1" t="inlineStr">
        <is>
          <t>63511</t>
        </is>
      </c>
      <c r="C604" s="1" t="inlineStr">
        <is>
          <t>2025</t>
        </is>
      </c>
      <c r="D604" s="1" t="inlineStr">
        <is>
          <t>ACT</t>
        </is>
      </c>
      <c r="E604" s="1" t="inlineStr">
        <is>
          <t>2027BUD_V1</t>
        </is>
      </c>
      <c r="F604" s="1" t="inlineStr">
        <is>
          <t>12</t>
        </is>
      </c>
      <c r="G604" t="n">
        <v>7383</v>
      </c>
      <c r="H604">
        <f>IF(PNL!A604="","",_CALC_PNL!P604)</f>
        <v/>
      </c>
      <c r="I604">
        <f>IF(PNL!A604="","",IF(_CALC_PNL!E604=1,H604-G604,""))</f>
        <v/>
      </c>
    </row>
    <row r="605">
      <c r="A605" s="1" t="inlineStr">
        <is>
          <t>PIGIER_LYO</t>
        </is>
      </c>
      <c r="B605" s="1" t="inlineStr">
        <is>
          <t>63511</t>
        </is>
      </c>
      <c r="C605" s="1" t="inlineStr">
        <is>
          <t>2025</t>
        </is>
      </c>
      <c r="D605" s="1" t="inlineStr">
        <is>
          <t>ACT</t>
        </is>
      </c>
      <c r="E605" s="1" t="inlineStr">
        <is>
          <t>2027BUD_V1</t>
        </is>
      </c>
      <c r="F605" s="1" t="inlineStr">
        <is>
          <t>12</t>
        </is>
      </c>
      <c r="G605" t="n">
        <v>12529</v>
      </c>
      <c r="H605">
        <f>IF(PNL!A605="","",_CALC_PNL!P605)</f>
        <v/>
      </c>
      <c r="I605">
        <f>IF(PNL!A605="","",IF(_CALC_PNL!E605=1,H605-G605,""))</f>
        <v/>
      </c>
    </row>
    <row r="606">
      <c r="A606" s="1" t="inlineStr">
        <is>
          <t>PIGIER_BOR</t>
        </is>
      </c>
      <c r="B606" s="1" t="inlineStr">
        <is>
          <t>63511</t>
        </is>
      </c>
      <c r="C606" s="1" t="inlineStr">
        <is>
          <t>2025</t>
        </is>
      </c>
      <c r="D606" s="1" t="inlineStr">
        <is>
          <t>ACT</t>
        </is>
      </c>
      <c r="E606" s="1" t="inlineStr">
        <is>
          <t>2027BUD_V1</t>
        </is>
      </c>
      <c r="F606" s="1" t="inlineStr">
        <is>
          <t>12</t>
        </is>
      </c>
      <c r="G606" t="n">
        <v>11746</v>
      </c>
      <c r="H606">
        <f>IF(PNL!A606="","",_CALC_PNL!P606)</f>
        <v/>
      </c>
      <c r="I606">
        <f>IF(PNL!A606="","",IF(_CALC_PNL!E606=1,H606-G606,""))</f>
        <v/>
      </c>
    </row>
    <row r="607">
      <c r="A607" s="1" t="inlineStr">
        <is>
          <t>TUNON_PAR</t>
        </is>
      </c>
      <c r="B607" s="1" t="inlineStr">
        <is>
          <t>63511</t>
        </is>
      </c>
      <c r="C607" s="1" t="inlineStr">
        <is>
          <t>2025</t>
        </is>
      </c>
      <c r="D607" s="1" t="inlineStr">
        <is>
          <t>ACT</t>
        </is>
      </c>
      <c r="E607" s="1" t="inlineStr">
        <is>
          <t>2027BUD_V1</t>
        </is>
      </c>
      <c r="F607" s="1" t="inlineStr">
        <is>
          <t>12</t>
        </is>
      </c>
      <c r="G607" t="n">
        <v>13591</v>
      </c>
      <c r="H607">
        <f>IF(PNL!A607="","",_CALC_PNL!P607)</f>
        <v/>
      </c>
      <c r="I607">
        <f>IF(PNL!A607="","",IF(_CALC_PNL!E607=1,H607-G607,""))</f>
        <v/>
      </c>
    </row>
    <row r="608">
      <c r="A608" s="1" t="inlineStr">
        <is>
          <t>TUNON_LYO</t>
        </is>
      </c>
      <c r="B608" s="1" t="inlineStr">
        <is>
          <t>63511</t>
        </is>
      </c>
      <c r="C608" s="1" t="inlineStr">
        <is>
          <t>2025</t>
        </is>
      </c>
      <c r="D608" s="1" t="inlineStr">
        <is>
          <t>ACT</t>
        </is>
      </c>
      <c r="E608" s="1" t="inlineStr">
        <is>
          <t>2027BUD_V1</t>
        </is>
      </c>
      <c r="F608" s="1" t="inlineStr">
        <is>
          <t>12</t>
        </is>
      </c>
      <c r="G608" t="n">
        <v>9396</v>
      </c>
      <c r="H608">
        <f>IF(PNL!A608="","",_CALC_PNL!P608)</f>
        <v/>
      </c>
      <c r="I608">
        <f>IF(PNL!A608="","",IF(_CALC_PNL!E608=1,H608-G608,""))</f>
        <v/>
      </c>
    </row>
    <row r="609">
      <c r="A609" s="1" t="inlineStr">
        <is>
          <t>MBWAY_PAR</t>
        </is>
      </c>
      <c r="B609" s="1" t="inlineStr">
        <is>
          <t>63511</t>
        </is>
      </c>
      <c r="C609" s="1" t="inlineStr">
        <is>
          <t>2026</t>
        </is>
      </c>
      <c r="D609" s="1" t="inlineStr">
        <is>
          <t>ACT</t>
        </is>
      </c>
      <c r="E609" s="1" t="inlineStr">
        <is>
          <t>2027BUD_V1</t>
        </is>
      </c>
      <c r="F609" s="1" t="inlineStr">
        <is>
          <t>12</t>
        </is>
      </c>
      <c r="G609" t="n">
        <v>35600</v>
      </c>
      <c r="H609">
        <f>IF(PNL!A609="","",_CALC_PNL!P609)</f>
        <v/>
      </c>
      <c r="I609">
        <f>IF(PNL!A609="","",IF(_CALC_PNL!E609=1,H609-G609,""))</f>
        <v/>
      </c>
    </row>
    <row r="610">
      <c r="A610" s="1" t="inlineStr">
        <is>
          <t>MBWAY_LYO</t>
        </is>
      </c>
      <c r="B610" s="1" t="inlineStr">
        <is>
          <t>63511</t>
        </is>
      </c>
      <c r="C610" s="1" t="inlineStr">
        <is>
          <t>2026</t>
        </is>
      </c>
      <c r="D610" s="1" t="inlineStr">
        <is>
          <t>ACT</t>
        </is>
      </c>
      <c r="E610" s="1" t="inlineStr">
        <is>
          <t>2027BUD_V1</t>
        </is>
      </c>
      <c r="F610" s="1" t="inlineStr">
        <is>
          <t>12</t>
        </is>
      </c>
      <c r="G610" t="n">
        <v>21331</v>
      </c>
      <c r="H610">
        <f>IF(PNL!A610="","",_CALC_PNL!P610)</f>
        <v/>
      </c>
      <c r="I610">
        <f>IF(PNL!A610="","",IF(_CALC_PNL!E610=1,H610-G610,""))</f>
        <v/>
      </c>
    </row>
    <row r="611">
      <c r="A611" s="1" t="inlineStr">
        <is>
          <t>MBWAY_NAN</t>
        </is>
      </c>
      <c r="B611" s="1" t="inlineStr">
        <is>
          <t>63511</t>
        </is>
      </c>
      <c r="C611" s="1" t="inlineStr">
        <is>
          <t>2026</t>
        </is>
      </c>
      <c r="D611" s="1" t="inlineStr">
        <is>
          <t>ACT</t>
        </is>
      </c>
      <c r="E611" s="1" t="inlineStr">
        <is>
          <t>2027BUD_V1</t>
        </is>
      </c>
      <c r="F611" s="1" t="inlineStr">
        <is>
          <t>12</t>
        </is>
      </c>
      <c r="G611" t="n">
        <v>17580</v>
      </c>
      <c r="H611">
        <f>IF(PNL!A611="","",_CALC_PNL!P611)</f>
        <v/>
      </c>
      <c r="I611">
        <f>IF(PNL!A611="","",IF(_CALC_PNL!E611=1,H611-G611,""))</f>
        <v/>
      </c>
    </row>
    <row r="612">
      <c r="A612" s="1" t="inlineStr">
        <is>
          <t>MBWAY_BOR</t>
        </is>
      </c>
      <c r="B612" s="1" t="inlineStr">
        <is>
          <t>63511</t>
        </is>
      </c>
      <c r="C612" s="1" t="inlineStr">
        <is>
          <t>2026</t>
        </is>
      </c>
      <c r="D612" s="1" t="inlineStr">
        <is>
          <t>ACT</t>
        </is>
      </c>
      <c r="E612" s="1" t="inlineStr">
        <is>
          <t>2027BUD_V1</t>
        </is>
      </c>
      <c r="F612" s="1" t="inlineStr">
        <is>
          <t>12</t>
        </is>
      </c>
      <c r="G612" t="n">
        <v>15383</v>
      </c>
      <c r="H612">
        <f>IF(PNL!A612="","",_CALC_PNL!P612)</f>
        <v/>
      </c>
      <c r="I612">
        <f>IF(PNL!A612="","",IF(_CALC_PNL!E612=1,H612-G612,""))</f>
        <v/>
      </c>
    </row>
    <row r="613">
      <c r="A613" s="1" t="inlineStr">
        <is>
          <t>ISCOM_PAR</t>
        </is>
      </c>
      <c r="B613" s="1" t="inlineStr">
        <is>
          <t>63511</t>
        </is>
      </c>
      <c r="C613" s="1" t="inlineStr">
        <is>
          <t>2026</t>
        </is>
      </c>
      <c r="D613" s="1" t="inlineStr">
        <is>
          <t>ACT</t>
        </is>
      </c>
      <c r="E613" s="1" t="inlineStr">
        <is>
          <t>2027BUD_V1</t>
        </is>
      </c>
      <c r="F613" s="1" t="inlineStr">
        <is>
          <t>12</t>
        </is>
      </c>
      <c r="G613" t="n">
        <v>35600</v>
      </c>
      <c r="H613">
        <f>IF(PNL!A613="","",_CALC_PNL!P613)</f>
        <v/>
      </c>
      <c r="I613">
        <f>IF(PNL!A613="","",IF(_CALC_PNL!E613=1,H613-G613,""))</f>
        <v/>
      </c>
    </row>
    <row r="614">
      <c r="A614" s="1" t="inlineStr">
        <is>
          <t>ISCOM_LIL</t>
        </is>
      </c>
      <c r="B614" s="1" t="inlineStr">
        <is>
          <t>63511</t>
        </is>
      </c>
      <c r="C614" s="1" t="inlineStr">
        <is>
          <t>2026</t>
        </is>
      </c>
      <c r="D614" s="1" t="inlineStr">
        <is>
          <t>ACT</t>
        </is>
      </c>
      <c r="E614" s="1" t="inlineStr">
        <is>
          <t>2027BUD_V1</t>
        </is>
      </c>
      <c r="F614" s="1" t="inlineStr">
        <is>
          <t>12</t>
        </is>
      </c>
      <c r="G614" t="n">
        <v>13478</v>
      </c>
      <c r="H614">
        <f>IF(PNL!A614="","",_CALC_PNL!P614)</f>
        <v/>
      </c>
      <c r="I614">
        <f>IF(PNL!A614="","",IF(_CALC_PNL!E614=1,H614-G614,""))</f>
        <v/>
      </c>
    </row>
    <row r="615">
      <c r="A615" s="1" t="inlineStr">
        <is>
          <t>ISCOM_TLS</t>
        </is>
      </c>
      <c r="B615" s="1" t="inlineStr">
        <is>
          <t>63511</t>
        </is>
      </c>
      <c r="C615" s="1" t="inlineStr">
        <is>
          <t>2026</t>
        </is>
      </c>
      <c r="D615" s="1" t="inlineStr">
        <is>
          <t>ACT</t>
        </is>
      </c>
      <c r="E615" s="1" t="inlineStr">
        <is>
          <t>2027BUD_V1</t>
        </is>
      </c>
      <c r="F615" s="1" t="inlineStr">
        <is>
          <t>12</t>
        </is>
      </c>
      <c r="G615" t="n">
        <v>13185</v>
      </c>
      <c r="H615">
        <f>IF(PNL!A615="","",_CALC_PNL!P615)</f>
        <v/>
      </c>
      <c r="I615">
        <f>IF(PNL!A615="","",IF(_CALC_PNL!E615=1,H615-G615,""))</f>
        <v/>
      </c>
    </row>
    <row r="616">
      <c r="A616" s="1" t="inlineStr">
        <is>
          <t>IPAC_NAN</t>
        </is>
      </c>
      <c r="B616" s="1" t="inlineStr">
        <is>
          <t>63511</t>
        </is>
      </c>
      <c r="C616" s="1" t="inlineStr">
        <is>
          <t>2026</t>
        </is>
      </c>
      <c r="D616" s="1" t="inlineStr">
        <is>
          <t>ACT</t>
        </is>
      </c>
      <c r="E616" s="1" t="inlineStr">
        <is>
          <t>2027BUD_V1</t>
        </is>
      </c>
      <c r="F616" s="1" t="inlineStr">
        <is>
          <t>12</t>
        </is>
      </c>
      <c r="G616" t="n">
        <v>8790</v>
      </c>
      <c r="H616">
        <f>IF(PNL!A616="","",_CALC_PNL!P616)</f>
        <v/>
      </c>
      <c r="I616">
        <f>IF(PNL!A616="","",IF(_CALC_PNL!E616=1,H616-G616,""))</f>
        <v/>
      </c>
    </row>
    <row r="617">
      <c r="A617" s="1" t="inlineStr">
        <is>
          <t>IPAC_REN</t>
        </is>
      </c>
      <c r="B617" s="1" t="inlineStr">
        <is>
          <t>63511</t>
        </is>
      </c>
      <c r="C617" s="1" t="inlineStr">
        <is>
          <t>2026</t>
        </is>
      </c>
      <c r="D617" s="1" t="inlineStr">
        <is>
          <t>ACT</t>
        </is>
      </c>
      <c r="E617" s="1" t="inlineStr">
        <is>
          <t>2027BUD_V1</t>
        </is>
      </c>
      <c r="F617" s="1" t="inlineStr">
        <is>
          <t>12</t>
        </is>
      </c>
      <c r="G617" t="n">
        <v>7735</v>
      </c>
      <c r="H617">
        <f>IF(PNL!A617="","",_CALC_PNL!P617)</f>
        <v/>
      </c>
      <c r="I617">
        <f>IF(PNL!A617="","",IF(_CALC_PNL!E617=1,H617-G617,""))</f>
        <v/>
      </c>
    </row>
    <row r="618">
      <c r="A618" s="1" t="inlineStr">
        <is>
          <t>IPAC_MTP</t>
        </is>
      </c>
      <c r="B618" s="1" t="inlineStr">
        <is>
          <t>63511</t>
        </is>
      </c>
      <c r="C618" s="1" t="inlineStr">
        <is>
          <t>2026</t>
        </is>
      </c>
      <c r="D618" s="1" t="inlineStr">
        <is>
          <t>ACT</t>
        </is>
      </c>
      <c r="E618" s="1" t="inlineStr">
        <is>
          <t>2027BUD_V1</t>
        </is>
      </c>
      <c r="F618" s="1" t="inlineStr">
        <is>
          <t>12</t>
        </is>
      </c>
      <c r="G618" t="n">
        <v>7735</v>
      </c>
      <c r="H618">
        <f>IF(PNL!A618="","",_CALC_PNL!P618)</f>
        <v/>
      </c>
      <c r="I618">
        <f>IF(PNL!A618="","",IF(_CALC_PNL!E618=1,H618-G618,""))</f>
        <v/>
      </c>
    </row>
    <row r="619">
      <c r="A619" s="1" t="inlineStr">
        <is>
          <t>PIGIER_LYO</t>
        </is>
      </c>
      <c r="B619" s="1" t="inlineStr">
        <is>
          <t>63511</t>
        </is>
      </c>
      <c r="C619" s="1" t="inlineStr">
        <is>
          <t>2026</t>
        </is>
      </c>
      <c r="D619" s="1" t="inlineStr">
        <is>
          <t>ACT</t>
        </is>
      </c>
      <c r="E619" s="1" t="inlineStr">
        <is>
          <t>2027BUD_V1</t>
        </is>
      </c>
      <c r="F619" s="1" t="inlineStr">
        <is>
          <t>12</t>
        </is>
      </c>
      <c r="G619" t="n">
        <v>13127</v>
      </c>
      <c r="H619">
        <f>IF(PNL!A619="","",_CALC_PNL!P619)</f>
        <v/>
      </c>
      <c r="I619">
        <f>IF(PNL!A619="","",IF(_CALC_PNL!E619=1,H619-G619,""))</f>
        <v/>
      </c>
    </row>
    <row r="620">
      <c r="A620" s="1" t="inlineStr">
        <is>
          <t>PIGIER_BOR</t>
        </is>
      </c>
      <c r="B620" s="1" t="inlineStr">
        <is>
          <t>63511</t>
        </is>
      </c>
      <c r="C620" s="1" t="inlineStr">
        <is>
          <t>2026</t>
        </is>
      </c>
      <c r="D620" s="1" t="inlineStr">
        <is>
          <t>ACT</t>
        </is>
      </c>
      <c r="E620" s="1" t="inlineStr">
        <is>
          <t>2027BUD_V1</t>
        </is>
      </c>
      <c r="F620" s="1" t="inlineStr">
        <is>
          <t>12</t>
        </is>
      </c>
      <c r="G620" t="n">
        <v>12306</v>
      </c>
      <c r="H620">
        <f>IF(PNL!A620="","",_CALC_PNL!P620)</f>
        <v/>
      </c>
      <c r="I620">
        <f>IF(PNL!A620="","",IF(_CALC_PNL!E620=1,H620-G620,""))</f>
        <v/>
      </c>
    </row>
    <row r="621">
      <c r="A621" s="1" t="inlineStr">
        <is>
          <t>TUNON_PAR</t>
        </is>
      </c>
      <c r="B621" s="1" t="inlineStr">
        <is>
          <t>63511</t>
        </is>
      </c>
      <c r="C621" s="1" t="inlineStr">
        <is>
          <t>2026</t>
        </is>
      </c>
      <c r="D621" s="1" t="inlineStr">
        <is>
          <t>ACT</t>
        </is>
      </c>
      <c r="E621" s="1" t="inlineStr">
        <is>
          <t>2027BUD_V1</t>
        </is>
      </c>
      <c r="F621" s="1" t="inlineStr">
        <is>
          <t>12</t>
        </is>
      </c>
      <c r="G621" t="n">
        <v>14240</v>
      </c>
      <c r="H621">
        <f>IF(PNL!A621="","",_CALC_PNL!P621)</f>
        <v/>
      </c>
      <c r="I621">
        <f>IF(PNL!A621="","",IF(_CALC_PNL!E621=1,H621-G621,""))</f>
        <v/>
      </c>
    </row>
    <row r="622">
      <c r="A622" s="1" t="inlineStr">
        <is>
          <t>TUNON_LYO</t>
        </is>
      </c>
      <c r="B622" s="1" t="inlineStr">
        <is>
          <t>63511</t>
        </is>
      </c>
      <c r="C622" s="1" t="inlineStr">
        <is>
          <t>2026</t>
        </is>
      </c>
      <c r="D622" s="1" t="inlineStr">
        <is>
          <t>ACT</t>
        </is>
      </c>
      <c r="E622" s="1" t="inlineStr">
        <is>
          <t>2027BUD_V1</t>
        </is>
      </c>
      <c r="F622" s="1" t="inlineStr">
        <is>
          <t>12</t>
        </is>
      </c>
      <c r="G622" t="n">
        <v>9845</v>
      </c>
      <c r="H622">
        <f>IF(PNL!A622="","",_CALC_PNL!P622)</f>
        <v/>
      </c>
      <c r="I622">
        <f>IF(PNL!A622="","",IF(_CALC_PNL!E622=1,H622-G622,""))</f>
        <v/>
      </c>
    </row>
    <row r="623">
      <c r="A623" s="1" t="inlineStr">
        <is>
          <t>GRP</t>
        </is>
      </c>
      <c r="B623" s="1" t="inlineStr">
        <is>
          <t>6333</t>
        </is>
      </c>
      <c r="C623" s="1" t="inlineStr">
        <is>
          <t>2024</t>
        </is>
      </c>
      <c r="D623" s="1" t="inlineStr">
        <is>
          <t>ACT</t>
        </is>
      </c>
      <c r="E623" s="1" t="inlineStr">
        <is>
          <t>2027BUD_V1</t>
        </is>
      </c>
      <c r="F623" s="1" t="inlineStr">
        <is>
          <t>12</t>
        </is>
      </c>
      <c r="G623" t="n">
        <v>103097</v>
      </c>
      <c r="H623">
        <f>IF(PNL!A623="","",_CALC_PNL!P623)</f>
        <v/>
      </c>
      <c r="I623">
        <f>IF(PNL!A623="","",IF(_CALC_PNL!E623=1,H623-G623,""))</f>
        <v/>
      </c>
    </row>
    <row r="624">
      <c r="A624" s="1" t="inlineStr">
        <is>
          <t>GRP</t>
        </is>
      </c>
      <c r="B624" s="1" t="inlineStr">
        <is>
          <t>6333</t>
        </is>
      </c>
      <c r="C624" s="1" t="inlineStr">
        <is>
          <t>2025</t>
        </is>
      </c>
      <c r="D624" s="1" t="inlineStr">
        <is>
          <t>ACT</t>
        </is>
      </c>
      <c r="E624" s="1" t="inlineStr">
        <is>
          <t>2027BUD_V1</t>
        </is>
      </c>
      <c r="F624" s="1" t="inlineStr">
        <is>
          <t>12</t>
        </is>
      </c>
      <c r="G624" t="n">
        <v>107822</v>
      </c>
      <c r="H624">
        <f>IF(PNL!A624="","",_CALC_PNL!P624)</f>
        <v/>
      </c>
      <c r="I624">
        <f>IF(PNL!A624="","",IF(_CALC_PNL!E624=1,H624-G624,""))</f>
        <v/>
      </c>
    </row>
    <row r="625">
      <c r="A625" s="1" t="inlineStr">
        <is>
          <t>GRP</t>
        </is>
      </c>
      <c r="B625" s="1" t="inlineStr">
        <is>
          <t>6333</t>
        </is>
      </c>
      <c r="C625" s="1" t="inlineStr">
        <is>
          <t>2026</t>
        </is>
      </c>
      <c r="D625" s="1" t="inlineStr">
        <is>
          <t>ACT</t>
        </is>
      </c>
      <c r="E625" s="1" t="inlineStr">
        <is>
          <t>2027BUD_V1</t>
        </is>
      </c>
      <c r="F625" s="1" t="inlineStr">
        <is>
          <t>12</t>
        </is>
      </c>
      <c r="G625" t="n">
        <v>112968</v>
      </c>
      <c r="H625">
        <f>IF(PNL!A625="","",_CALC_PNL!P625)</f>
        <v/>
      </c>
      <c r="I625">
        <f>IF(PNL!A625="","",IF(_CALC_PNL!E625=1,H625-G625,""))</f>
        <v/>
      </c>
    </row>
    <row r="626">
      <c r="A626" s="1" t="inlineStr">
        <is>
          <t>MBWAY_PAR</t>
        </is>
      </c>
      <c r="B626" s="1" t="inlineStr">
        <is>
          <t>6811</t>
        </is>
      </c>
      <c r="C626" s="1" t="inlineStr">
        <is>
          <t>2024</t>
        </is>
      </c>
      <c r="D626" s="1" t="inlineStr">
        <is>
          <t>ACT</t>
        </is>
      </c>
      <c r="E626" s="1" t="inlineStr">
        <is>
          <t>2027BUD_V1</t>
        </is>
      </c>
      <c r="F626" s="1" t="inlineStr">
        <is>
          <t>12</t>
        </is>
      </c>
      <c r="G626" t="n">
        <v>137849</v>
      </c>
      <c r="H626">
        <f>IF(PNL!A626="","",_CALC_PNL!P626)</f>
        <v/>
      </c>
      <c r="I626">
        <f>IF(PNL!A626="","",IF(_CALC_PNL!E626=1,H626-G626,""))</f>
        <v/>
      </c>
    </row>
    <row r="627">
      <c r="A627" s="1" t="inlineStr">
        <is>
          <t>MBWAY_LYO</t>
        </is>
      </c>
      <c r="B627" s="1" t="inlineStr">
        <is>
          <t>6811</t>
        </is>
      </c>
      <c r="C627" s="1" t="inlineStr">
        <is>
          <t>2024</t>
        </is>
      </c>
      <c r="D627" s="1" t="inlineStr">
        <is>
          <t>ACT</t>
        </is>
      </c>
      <c r="E627" s="1" t="inlineStr">
        <is>
          <t>2027BUD_V1</t>
        </is>
      </c>
      <c r="F627" s="1" t="inlineStr">
        <is>
          <t>12</t>
        </is>
      </c>
      <c r="G627" t="n">
        <v>119469</v>
      </c>
      <c r="H627">
        <f>IF(PNL!A627="","",_CALC_PNL!P627)</f>
        <v/>
      </c>
      <c r="I627">
        <f>IF(PNL!A627="","",IF(_CALC_PNL!E627=1,H627-G627,""))</f>
        <v/>
      </c>
    </row>
    <row r="628">
      <c r="A628" s="1" t="inlineStr">
        <is>
          <t>MBWAY_NAN</t>
        </is>
      </c>
      <c r="B628" s="1" t="inlineStr">
        <is>
          <t>6811</t>
        </is>
      </c>
      <c r="C628" s="1" t="inlineStr">
        <is>
          <t>2024</t>
        </is>
      </c>
      <c r="D628" s="1" t="inlineStr">
        <is>
          <t>ACT</t>
        </is>
      </c>
      <c r="E628" s="1" t="inlineStr">
        <is>
          <t>2027BUD_V1</t>
        </is>
      </c>
      <c r="F628" s="1" t="inlineStr">
        <is>
          <t>12</t>
        </is>
      </c>
      <c r="G628" t="n">
        <v>110279</v>
      </c>
      <c r="H628">
        <f>IF(PNL!A628="","",_CALC_PNL!P628)</f>
        <v/>
      </c>
      <c r="I628">
        <f>IF(PNL!A628="","",IF(_CALC_PNL!E628=1,H628-G628,""))</f>
        <v/>
      </c>
    </row>
    <row r="629">
      <c r="A629" s="1" t="inlineStr">
        <is>
          <t>MBWAY_BOR</t>
        </is>
      </c>
      <c r="B629" s="1" t="inlineStr">
        <is>
          <t>6811</t>
        </is>
      </c>
      <c r="C629" s="1" t="inlineStr">
        <is>
          <t>2024</t>
        </is>
      </c>
      <c r="D629" s="1" t="inlineStr">
        <is>
          <t>ACT</t>
        </is>
      </c>
      <c r="E629" s="1" t="inlineStr">
        <is>
          <t>2027BUD_V1</t>
        </is>
      </c>
      <c r="F629" s="1" t="inlineStr">
        <is>
          <t>12</t>
        </is>
      </c>
      <c r="G629" t="n">
        <v>91900</v>
      </c>
      <c r="H629">
        <f>IF(PNL!A629="","",_CALC_PNL!P629)</f>
        <v/>
      </c>
      <c r="I629">
        <f>IF(PNL!A629="","",IF(_CALC_PNL!E629=1,H629-G629,""))</f>
        <v/>
      </c>
    </row>
    <row r="630">
      <c r="A630" s="1" t="inlineStr">
        <is>
          <t>ISCOM_PAR</t>
        </is>
      </c>
      <c r="B630" s="1" t="inlineStr">
        <is>
          <t>6811</t>
        </is>
      </c>
      <c r="C630" s="1" t="inlineStr">
        <is>
          <t>2024</t>
        </is>
      </c>
      <c r="D630" s="1" t="inlineStr">
        <is>
          <t>ACT</t>
        </is>
      </c>
      <c r="E630" s="1" t="inlineStr">
        <is>
          <t>2027BUD_V1</t>
        </is>
      </c>
      <c r="F630" s="1" t="inlineStr">
        <is>
          <t>12</t>
        </is>
      </c>
      <c r="G630" t="n">
        <v>137849</v>
      </c>
      <c r="H630">
        <f>IF(PNL!A630="","",_CALC_PNL!P630)</f>
        <v/>
      </c>
      <c r="I630">
        <f>IF(PNL!A630="","",IF(_CALC_PNL!E630=1,H630-G630,""))</f>
        <v/>
      </c>
    </row>
    <row r="631">
      <c r="A631" s="1" t="inlineStr">
        <is>
          <t>ISCOM_LIL</t>
        </is>
      </c>
      <c r="B631" s="1" t="inlineStr">
        <is>
          <t>6811</t>
        </is>
      </c>
      <c r="C631" s="1" t="inlineStr">
        <is>
          <t>2024</t>
        </is>
      </c>
      <c r="D631" s="1" t="inlineStr">
        <is>
          <t>ACT</t>
        </is>
      </c>
      <c r="E631" s="1" t="inlineStr">
        <is>
          <t>2027BUD_V1</t>
        </is>
      </c>
      <c r="F631" s="1" t="inlineStr">
        <is>
          <t>12</t>
        </is>
      </c>
      <c r="G631" t="n">
        <v>91900</v>
      </c>
      <c r="H631">
        <f>IF(PNL!A631="","",_CALC_PNL!P631)</f>
        <v/>
      </c>
      <c r="I631">
        <f>IF(PNL!A631="","",IF(_CALC_PNL!E631=1,H631-G631,""))</f>
        <v/>
      </c>
    </row>
    <row r="632">
      <c r="A632" s="1" t="inlineStr">
        <is>
          <t>ISCOM_TLS</t>
        </is>
      </c>
      <c r="B632" s="1" t="inlineStr">
        <is>
          <t>6811</t>
        </is>
      </c>
      <c r="C632" s="1" t="inlineStr">
        <is>
          <t>2024</t>
        </is>
      </c>
      <c r="D632" s="1" t="inlineStr">
        <is>
          <t>ACT</t>
        </is>
      </c>
      <c r="E632" s="1" t="inlineStr">
        <is>
          <t>2027BUD_V1</t>
        </is>
      </c>
      <c r="F632" s="1" t="inlineStr">
        <is>
          <t>12</t>
        </is>
      </c>
      <c r="G632" t="n">
        <v>91900</v>
      </c>
      <c r="H632">
        <f>IF(PNL!A632="","",_CALC_PNL!P632)</f>
        <v/>
      </c>
      <c r="I632">
        <f>IF(PNL!A632="","",IF(_CALC_PNL!E632=1,H632-G632,""))</f>
        <v/>
      </c>
    </row>
    <row r="633">
      <c r="A633" s="1" t="inlineStr">
        <is>
          <t>IPAC_NAN</t>
        </is>
      </c>
      <c r="B633" s="1" t="inlineStr">
        <is>
          <t>6811</t>
        </is>
      </c>
      <c r="C633" s="1" t="inlineStr">
        <is>
          <t>2024</t>
        </is>
      </c>
      <c r="D633" s="1" t="inlineStr">
        <is>
          <t>ACT</t>
        </is>
      </c>
      <c r="E633" s="1" t="inlineStr">
        <is>
          <t>2027BUD_V1</t>
        </is>
      </c>
      <c r="F633" s="1" t="inlineStr">
        <is>
          <t>12</t>
        </is>
      </c>
      <c r="G633" t="n">
        <v>55140</v>
      </c>
      <c r="H633">
        <f>IF(PNL!A633="","",_CALC_PNL!P633)</f>
        <v/>
      </c>
      <c r="I633">
        <f>IF(PNL!A633="","",IF(_CALC_PNL!E633=1,H633-G633,""))</f>
        <v/>
      </c>
    </row>
    <row r="634">
      <c r="A634" s="1" t="inlineStr">
        <is>
          <t>IPAC_REN</t>
        </is>
      </c>
      <c r="B634" s="1" t="inlineStr">
        <is>
          <t>6811</t>
        </is>
      </c>
      <c r="C634" s="1" t="inlineStr">
        <is>
          <t>2024</t>
        </is>
      </c>
      <c r="D634" s="1" t="inlineStr">
        <is>
          <t>ACT</t>
        </is>
      </c>
      <c r="E634" s="1" t="inlineStr">
        <is>
          <t>2027BUD_V1</t>
        </is>
      </c>
      <c r="F634" s="1" t="inlineStr">
        <is>
          <t>12</t>
        </is>
      </c>
      <c r="G634" t="n">
        <v>55140</v>
      </c>
      <c r="H634">
        <f>IF(PNL!A634="","",_CALC_PNL!P634)</f>
        <v/>
      </c>
      <c r="I634">
        <f>IF(PNL!A634="","",IF(_CALC_PNL!E634=1,H634-G634,""))</f>
        <v/>
      </c>
    </row>
    <row r="635">
      <c r="A635" s="1" t="inlineStr">
        <is>
          <t>IPAC_MTP</t>
        </is>
      </c>
      <c r="B635" s="1" t="inlineStr">
        <is>
          <t>6811</t>
        </is>
      </c>
      <c r="C635" s="1" t="inlineStr">
        <is>
          <t>2024</t>
        </is>
      </c>
      <c r="D635" s="1" t="inlineStr">
        <is>
          <t>ACT</t>
        </is>
      </c>
      <c r="E635" s="1" t="inlineStr">
        <is>
          <t>2027BUD_V1</t>
        </is>
      </c>
      <c r="F635" s="1" t="inlineStr">
        <is>
          <t>12</t>
        </is>
      </c>
      <c r="G635" t="n">
        <v>55140</v>
      </c>
      <c r="H635">
        <f>IF(PNL!A635="","",_CALC_PNL!P635)</f>
        <v/>
      </c>
      <c r="I635">
        <f>IF(PNL!A635="","",IF(_CALC_PNL!E635=1,H635-G635,""))</f>
        <v/>
      </c>
    </row>
    <row r="636">
      <c r="A636" s="1" t="inlineStr">
        <is>
          <t>PIGIER_LYO</t>
        </is>
      </c>
      <c r="B636" s="1" t="inlineStr">
        <is>
          <t>6811</t>
        </is>
      </c>
      <c r="C636" s="1" t="inlineStr">
        <is>
          <t>2024</t>
        </is>
      </c>
      <c r="D636" s="1" t="inlineStr">
        <is>
          <t>ACT</t>
        </is>
      </c>
      <c r="E636" s="1" t="inlineStr">
        <is>
          <t>2027BUD_V1</t>
        </is>
      </c>
      <c r="F636" s="1" t="inlineStr">
        <is>
          <t>12</t>
        </is>
      </c>
      <c r="G636" t="n">
        <v>73520</v>
      </c>
      <c r="H636">
        <f>IF(PNL!A636="","",_CALC_PNL!P636)</f>
        <v/>
      </c>
      <c r="I636">
        <f>IF(PNL!A636="","",IF(_CALC_PNL!E636=1,H636-G636,""))</f>
        <v/>
      </c>
    </row>
    <row r="637">
      <c r="A637" s="1" t="inlineStr">
        <is>
          <t>PIGIER_BOR</t>
        </is>
      </c>
      <c r="B637" s="1" t="inlineStr">
        <is>
          <t>6811</t>
        </is>
      </c>
      <c r="C637" s="1" t="inlineStr">
        <is>
          <t>2024</t>
        </is>
      </c>
      <c r="D637" s="1" t="inlineStr">
        <is>
          <t>ACT</t>
        </is>
      </c>
      <c r="E637" s="1" t="inlineStr">
        <is>
          <t>2027BUD_V1</t>
        </is>
      </c>
      <c r="F637" s="1" t="inlineStr">
        <is>
          <t>12</t>
        </is>
      </c>
      <c r="G637" t="n">
        <v>73520</v>
      </c>
      <c r="H637">
        <f>IF(PNL!A637="","",_CALC_PNL!P637)</f>
        <v/>
      </c>
      <c r="I637">
        <f>IF(PNL!A637="","",IF(_CALC_PNL!E637=1,H637-G637,""))</f>
        <v/>
      </c>
    </row>
    <row r="638">
      <c r="A638" s="1" t="inlineStr">
        <is>
          <t>TUNON_PAR</t>
        </is>
      </c>
      <c r="B638" s="1" t="inlineStr">
        <is>
          <t>6811</t>
        </is>
      </c>
      <c r="C638" s="1" t="inlineStr">
        <is>
          <t>2024</t>
        </is>
      </c>
      <c r="D638" s="1" t="inlineStr">
        <is>
          <t>ACT</t>
        </is>
      </c>
      <c r="E638" s="1" t="inlineStr">
        <is>
          <t>2027BUD_V1</t>
        </is>
      </c>
      <c r="F638" s="1" t="inlineStr">
        <is>
          <t>12</t>
        </is>
      </c>
      <c r="G638" t="n">
        <v>55140</v>
      </c>
      <c r="H638">
        <f>IF(PNL!A638="","",_CALC_PNL!P638)</f>
        <v/>
      </c>
      <c r="I638">
        <f>IF(PNL!A638="","",IF(_CALC_PNL!E638=1,H638-G638,""))</f>
        <v/>
      </c>
    </row>
    <row r="639">
      <c r="A639" s="1" t="inlineStr">
        <is>
          <t>TUNON_LYO</t>
        </is>
      </c>
      <c r="B639" s="1" t="inlineStr">
        <is>
          <t>6811</t>
        </is>
      </c>
      <c r="C639" s="1" t="inlineStr">
        <is>
          <t>2024</t>
        </is>
      </c>
      <c r="D639" s="1" t="inlineStr">
        <is>
          <t>ACT</t>
        </is>
      </c>
      <c r="E639" s="1" t="inlineStr">
        <is>
          <t>2027BUD_V1</t>
        </is>
      </c>
      <c r="F639" s="1" t="inlineStr">
        <is>
          <t>12</t>
        </is>
      </c>
      <c r="G639" t="n">
        <v>55140</v>
      </c>
      <c r="H639">
        <f>IF(PNL!A639="","",_CALC_PNL!P639)</f>
        <v/>
      </c>
      <c r="I639">
        <f>IF(PNL!A639="","",IF(_CALC_PNL!E639=1,H639-G639,""))</f>
        <v/>
      </c>
    </row>
    <row r="640">
      <c r="A640" s="1" t="inlineStr">
        <is>
          <t>MBWAY_PAR</t>
        </is>
      </c>
      <c r="B640" s="1" t="inlineStr">
        <is>
          <t>6811</t>
        </is>
      </c>
      <c r="C640" s="1" t="inlineStr">
        <is>
          <t>2025</t>
        </is>
      </c>
      <c r="D640" s="1" t="inlineStr">
        <is>
          <t>ACT</t>
        </is>
      </c>
      <c r="E640" s="1" t="inlineStr">
        <is>
          <t>2027BUD_V1</t>
        </is>
      </c>
      <c r="F640" s="1" t="inlineStr">
        <is>
          <t>12</t>
        </is>
      </c>
      <c r="G640" t="n">
        <v>146120</v>
      </c>
      <c r="H640">
        <f>IF(PNL!A640="","",_CALC_PNL!P640)</f>
        <v/>
      </c>
      <c r="I640">
        <f>IF(PNL!A640="","",IF(_CALC_PNL!E640=1,H640-G640,""))</f>
        <v/>
      </c>
    </row>
    <row r="641">
      <c r="A641" s="1" t="inlineStr">
        <is>
          <t>MBWAY_LYO</t>
        </is>
      </c>
      <c r="B641" s="1" t="inlineStr">
        <is>
          <t>6811</t>
        </is>
      </c>
      <c r="C641" s="1" t="inlineStr">
        <is>
          <t>2025</t>
        </is>
      </c>
      <c r="D641" s="1" t="inlineStr">
        <is>
          <t>ACT</t>
        </is>
      </c>
      <c r="E641" s="1" t="inlineStr">
        <is>
          <t>2027BUD_V1</t>
        </is>
      </c>
      <c r="F641" s="1" t="inlineStr">
        <is>
          <t>12</t>
        </is>
      </c>
      <c r="G641" t="n">
        <v>126638</v>
      </c>
      <c r="H641">
        <f>IF(PNL!A641="","",_CALC_PNL!P641)</f>
        <v/>
      </c>
      <c r="I641">
        <f>IF(PNL!A641="","",IF(_CALC_PNL!E641=1,H641-G641,""))</f>
        <v/>
      </c>
    </row>
    <row r="642">
      <c r="A642" s="1" t="inlineStr">
        <is>
          <t>MBWAY_NAN</t>
        </is>
      </c>
      <c r="B642" s="1" t="inlineStr">
        <is>
          <t>6811</t>
        </is>
      </c>
      <c r="C642" s="1" t="inlineStr">
        <is>
          <t>2025</t>
        </is>
      </c>
      <c r="D642" s="1" t="inlineStr">
        <is>
          <t>ACT</t>
        </is>
      </c>
      <c r="E642" s="1" t="inlineStr">
        <is>
          <t>2027BUD_V1</t>
        </is>
      </c>
      <c r="F642" s="1" t="inlineStr">
        <is>
          <t>12</t>
        </is>
      </c>
      <c r="G642" t="n">
        <v>116896</v>
      </c>
      <c r="H642">
        <f>IF(PNL!A642="","",_CALC_PNL!P642)</f>
        <v/>
      </c>
      <c r="I642">
        <f>IF(PNL!A642="","",IF(_CALC_PNL!E642=1,H642-G642,""))</f>
        <v/>
      </c>
    </row>
    <row r="643">
      <c r="A643" s="1" t="inlineStr">
        <is>
          <t>MBWAY_BOR</t>
        </is>
      </c>
      <c r="B643" s="1" t="inlineStr">
        <is>
          <t>6811</t>
        </is>
      </c>
      <c r="C643" s="1" t="inlineStr">
        <is>
          <t>2025</t>
        </is>
      </c>
      <c r="D643" s="1" t="inlineStr">
        <is>
          <t>ACT</t>
        </is>
      </c>
      <c r="E643" s="1" t="inlineStr">
        <is>
          <t>2027BUD_V1</t>
        </is>
      </c>
      <c r="F643" s="1" t="inlineStr">
        <is>
          <t>12</t>
        </is>
      </c>
      <c r="G643" t="n">
        <v>97413</v>
      </c>
      <c r="H643">
        <f>IF(PNL!A643="","",_CALC_PNL!P643)</f>
        <v/>
      </c>
      <c r="I643">
        <f>IF(PNL!A643="","",IF(_CALC_PNL!E643=1,H643-G643,""))</f>
        <v/>
      </c>
    </row>
    <row r="644">
      <c r="A644" s="1" t="inlineStr">
        <is>
          <t>ISCOM_PAR</t>
        </is>
      </c>
      <c r="B644" s="1" t="inlineStr">
        <is>
          <t>6811</t>
        </is>
      </c>
      <c r="C644" s="1" t="inlineStr">
        <is>
          <t>2025</t>
        </is>
      </c>
      <c r="D644" s="1" t="inlineStr">
        <is>
          <t>ACT</t>
        </is>
      </c>
      <c r="E644" s="1" t="inlineStr">
        <is>
          <t>2027BUD_V1</t>
        </is>
      </c>
      <c r="F644" s="1" t="inlineStr">
        <is>
          <t>12</t>
        </is>
      </c>
      <c r="G644" t="n">
        <v>146120</v>
      </c>
      <c r="H644">
        <f>IF(PNL!A644="","",_CALC_PNL!P644)</f>
        <v/>
      </c>
      <c r="I644">
        <f>IF(PNL!A644="","",IF(_CALC_PNL!E644=1,H644-G644,""))</f>
        <v/>
      </c>
    </row>
    <row r="645">
      <c r="A645" s="1" t="inlineStr">
        <is>
          <t>ISCOM_LIL</t>
        </is>
      </c>
      <c r="B645" s="1" t="inlineStr">
        <is>
          <t>6811</t>
        </is>
      </c>
      <c r="C645" s="1" t="inlineStr">
        <is>
          <t>2025</t>
        </is>
      </c>
      <c r="D645" s="1" t="inlineStr">
        <is>
          <t>ACT</t>
        </is>
      </c>
      <c r="E645" s="1" t="inlineStr">
        <is>
          <t>2027BUD_V1</t>
        </is>
      </c>
      <c r="F645" s="1" t="inlineStr">
        <is>
          <t>12</t>
        </is>
      </c>
      <c r="G645" t="n">
        <v>97413</v>
      </c>
      <c r="H645">
        <f>IF(PNL!A645="","",_CALC_PNL!P645)</f>
        <v/>
      </c>
      <c r="I645">
        <f>IF(PNL!A645="","",IF(_CALC_PNL!E645=1,H645-G645,""))</f>
        <v/>
      </c>
    </row>
    <row r="646">
      <c r="A646" s="1" t="inlineStr">
        <is>
          <t>ISCOM_TLS</t>
        </is>
      </c>
      <c r="B646" s="1" t="inlineStr">
        <is>
          <t>6811</t>
        </is>
      </c>
      <c r="C646" s="1" t="inlineStr">
        <is>
          <t>2025</t>
        </is>
      </c>
      <c r="D646" s="1" t="inlineStr">
        <is>
          <t>ACT</t>
        </is>
      </c>
      <c r="E646" s="1" t="inlineStr">
        <is>
          <t>2027BUD_V1</t>
        </is>
      </c>
      <c r="F646" s="1" t="inlineStr">
        <is>
          <t>12</t>
        </is>
      </c>
      <c r="G646" t="n">
        <v>97413</v>
      </c>
      <c r="H646">
        <f>IF(PNL!A646="","",_CALC_PNL!P646)</f>
        <v/>
      </c>
      <c r="I646">
        <f>IF(PNL!A646="","",IF(_CALC_PNL!E646=1,H646-G646,""))</f>
        <v/>
      </c>
    </row>
    <row r="647">
      <c r="A647" s="1" t="inlineStr">
        <is>
          <t>IPAC_NAN</t>
        </is>
      </c>
      <c r="B647" s="1" t="inlineStr">
        <is>
          <t>6811</t>
        </is>
      </c>
      <c r="C647" s="1" t="inlineStr">
        <is>
          <t>2025</t>
        </is>
      </c>
      <c r="D647" s="1" t="inlineStr">
        <is>
          <t>ACT</t>
        </is>
      </c>
      <c r="E647" s="1" t="inlineStr">
        <is>
          <t>2027BUD_V1</t>
        </is>
      </c>
      <c r="F647" s="1" t="inlineStr">
        <is>
          <t>12</t>
        </is>
      </c>
      <c r="G647" t="n">
        <v>58448</v>
      </c>
      <c r="H647">
        <f>IF(PNL!A647="","",_CALC_PNL!P647)</f>
        <v/>
      </c>
      <c r="I647">
        <f>IF(PNL!A647="","",IF(_CALC_PNL!E647=1,H647-G647,""))</f>
        <v/>
      </c>
    </row>
    <row r="648">
      <c r="A648" s="1" t="inlineStr">
        <is>
          <t>IPAC_REN</t>
        </is>
      </c>
      <c r="B648" s="1" t="inlineStr">
        <is>
          <t>6811</t>
        </is>
      </c>
      <c r="C648" s="1" t="inlineStr">
        <is>
          <t>2025</t>
        </is>
      </c>
      <c r="D648" s="1" t="inlineStr">
        <is>
          <t>ACT</t>
        </is>
      </c>
      <c r="E648" s="1" t="inlineStr">
        <is>
          <t>2027BUD_V1</t>
        </is>
      </c>
      <c r="F648" s="1" t="inlineStr">
        <is>
          <t>12</t>
        </is>
      </c>
      <c r="G648" t="n">
        <v>58448</v>
      </c>
      <c r="H648">
        <f>IF(PNL!A648="","",_CALC_PNL!P648)</f>
        <v/>
      </c>
      <c r="I648">
        <f>IF(PNL!A648="","",IF(_CALC_PNL!E648=1,H648-G648,""))</f>
        <v/>
      </c>
    </row>
    <row r="649">
      <c r="A649" s="1" t="inlineStr">
        <is>
          <t>IPAC_MTP</t>
        </is>
      </c>
      <c r="B649" s="1" t="inlineStr">
        <is>
          <t>6811</t>
        </is>
      </c>
      <c r="C649" s="1" t="inlineStr">
        <is>
          <t>2025</t>
        </is>
      </c>
      <c r="D649" s="1" t="inlineStr">
        <is>
          <t>ACT</t>
        </is>
      </c>
      <c r="E649" s="1" t="inlineStr">
        <is>
          <t>2027BUD_V1</t>
        </is>
      </c>
      <c r="F649" s="1" t="inlineStr">
        <is>
          <t>12</t>
        </is>
      </c>
      <c r="G649" t="n">
        <v>58448</v>
      </c>
      <c r="H649">
        <f>IF(PNL!A649="","",_CALC_PNL!P649)</f>
        <v/>
      </c>
      <c r="I649">
        <f>IF(PNL!A649="","",IF(_CALC_PNL!E649=1,H649-G649,""))</f>
        <v/>
      </c>
    </row>
    <row r="650">
      <c r="A650" s="1" t="inlineStr">
        <is>
          <t>PIGIER_LYO</t>
        </is>
      </c>
      <c r="B650" s="1" t="inlineStr">
        <is>
          <t>6811</t>
        </is>
      </c>
      <c r="C650" s="1" t="inlineStr">
        <is>
          <t>2025</t>
        </is>
      </c>
      <c r="D650" s="1" t="inlineStr">
        <is>
          <t>ACT</t>
        </is>
      </c>
      <c r="E650" s="1" t="inlineStr">
        <is>
          <t>2027BUD_V1</t>
        </is>
      </c>
      <c r="F650" s="1" t="inlineStr">
        <is>
          <t>12</t>
        </is>
      </c>
      <c r="G650" t="n">
        <v>77931</v>
      </c>
      <c r="H650">
        <f>IF(PNL!A650="","",_CALC_PNL!P650)</f>
        <v/>
      </c>
      <c r="I650">
        <f>IF(PNL!A650="","",IF(_CALC_PNL!E650=1,H650-G650,""))</f>
        <v/>
      </c>
    </row>
    <row r="651">
      <c r="A651" s="1" t="inlineStr">
        <is>
          <t>PIGIER_BOR</t>
        </is>
      </c>
      <c r="B651" s="1" t="inlineStr">
        <is>
          <t>6811</t>
        </is>
      </c>
      <c r="C651" s="1" t="inlineStr">
        <is>
          <t>2025</t>
        </is>
      </c>
      <c r="D651" s="1" t="inlineStr">
        <is>
          <t>ACT</t>
        </is>
      </c>
      <c r="E651" s="1" t="inlineStr">
        <is>
          <t>2027BUD_V1</t>
        </is>
      </c>
      <c r="F651" s="1" t="inlineStr">
        <is>
          <t>12</t>
        </is>
      </c>
      <c r="G651" t="n">
        <v>77931</v>
      </c>
      <c r="H651">
        <f>IF(PNL!A651="","",_CALC_PNL!P651)</f>
        <v/>
      </c>
      <c r="I651">
        <f>IF(PNL!A651="","",IF(_CALC_PNL!E651=1,H651-G651,""))</f>
        <v/>
      </c>
    </row>
    <row r="652">
      <c r="A652" s="1" t="inlineStr">
        <is>
          <t>TUNON_PAR</t>
        </is>
      </c>
      <c r="B652" s="1" t="inlineStr">
        <is>
          <t>6811</t>
        </is>
      </c>
      <c r="C652" s="1" t="inlineStr">
        <is>
          <t>2025</t>
        </is>
      </c>
      <c r="D652" s="1" t="inlineStr">
        <is>
          <t>ACT</t>
        </is>
      </c>
      <c r="E652" s="1" t="inlineStr">
        <is>
          <t>2027BUD_V1</t>
        </is>
      </c>
      <c r="F652" s="1" t="inlineStr">
        <is>
          <t>12</t>
        </is>
      </c>
      <c r="G652" t="n">
        <v>58448</v>
      </c>
      <c r="H652">
        <f>IF(PNL!A652="","",_CALC_PNL!P652)</f>
        <v/>
      </c>
      <c r="I652">
        <f>IF(PNL!A652="","",IF(_CALC_PNL!E652=1,H652-G652,""))</f>
        <v/>
      </c>
    </row>
    <row r="653">
      <c r="A653" s="1" t="inlineStr">
        <is>
          <t>TUNON_LYO</t>
        </is>
      </c>
      <c r="B653" s="1" t="inlineStr">
        <is>
          <t>6811</t>
        </is>
      </c>
      <c r="C653" s="1" t="inlineStr">
        <is>
          <t>2025</t>
        </is>
      </c>
      <c r="D653" s="1" t="inlineStr">
        <is>
          <t>ACT</t>
        </is>
      </c>
      <c r="E653" s="1" t="inlineStr">
        <is>
          <t>2027BUD_V1</t>
        </is>
      </c>
      <c r="F653" s="1" t="inlineStr">
        <is>
          <t>12</t>
        </is>
      </c>
      <c r="G653" t="n">
        <v>58448</v>
      </c>
      <c r="H653">
        <f>IF(PNL!A653="","",_CALC_PNL!P653)</f>
        <v/>
      </c>
      <c r="I653">
        <f>IF(PNL!A653="","",IF(_CALC_PNL!E653=1,H653-G653,""))</f>
        <v/>
      </c>
    </row>
    <row r="654">
      <c r="A654" s="1" t="inlineStr">
        <is>
          <t>MBWAY_PAR</t>
        </is>
      </c>
      <c r="B654" s="1" t="inlineStr">
        <is>
          <t>6811</t>
        </is>
      </c>
      <c r="C654" s="1" t="inlineStr">
        <is>
          <t>2026</t>
        </is>
      </c>
      <c r="D654" s="1" t="inlineStr">
        <is>
          <t>ACT</t>
        </is>
      </c>
      <c r="E654" s="1" t="inlineStr">
        <is>
          <t>2027BUD_V1</t>
        </is>
      </c>
      <c r="F654" s="1" t="inlineStr">
        <is>
          <t>12</t>
        </is>
      </c>
      <c r="G654" t="n">
        <v>154887</v>
      </c>
      <c r="H654">
        <f>IF(PNL!A654="","",_CALC_PNL!P654)</f>
        <v/>
      </c>
      <c r="I654">
        <f>IF(PNL!A654="","",IF(_CALC_PNL!E654=1,H654-G654,""))</f>
        <v/>
      </c>
    </row>
    <row r="655">
      <c r="A655" s="1" t="inlineStr">
        <is>
          <t>MBWAY_LYO</t>
        </is>
      </c>
      <c r="B655" s="1" t="inlineStr">
        <is>
          <t>6811</t>
        </is>
      </c>
      <c r="C655" s="1" t="inlineStr">
        <is>
          <t>2026</t>
        </is>
      </c>
      <c r="D655" s="1" t="inlineStr">
        <is>
          <t>ACT</t>
        </is>
      </c>
      <c r="E655" s="1" t="inlineStr">
        <is>
          <t>2027BUD_V1</t>
        </is>
      </c>
      <c r="F655" s="1" t="inlineStr">
        <is>
          <t>12</t>
        </is>
      </c>
      <c r="G655" t="n">
        <v>134236</v>
      </c>
      <c r="H655">
        <f>IF(PNL!A655="","",_CALC_PNL!P655)</f>
        <v/>
      </c>
      <c r="I655">
        <f>IF(PNL!A655="","",IF(_CALC_PNL!E655=1,H655-G655,""))</f>
        <v/>
      </c>
    </row>
    <row r="656">
      <c r="A656" s="1" t="inlineStr">
        <is>
          <t>MBWAY_NAN</t>
        </is>
      </c>
      <c r="B656" s="1" t="inlineStr">
        <is>
          <t>6811</t>
        </is>
      </c>
      <c r="C656" s="1" t="inlineStr">
        <is>
          <t>2026</t>
        </is>
      </c>
      <c r="D656" s="1" t="inlineStr">
        <is>
          <t>ACT</t>
        </is>
      </c>
      <c r="E656" s="1" t="inlineStr">
        <is>
          <t>2027BUD_V1</t>
        </is>
      </c>
      <c r="F656" s="1" t="inlineStr">
        <is>
          <t>12</t>
        </is>
      </c>
      <c r="G656" t="n">
        <v>123910</v>
      </c>
      <c r="H656">
        <f>IF(PNL!A656="","",_CALC_PNL!P656)</f>
        <v/>
      </c>
      <c r="I656">
        <f>IF(PNL!A656="","",IF(_CALC_PNL!E656=1,H656-G656,""))</f>
        <v/>
      </c>
    </row>
    <row r="657">
      <c r="A657" s="1" t="inlineStr">
        <is>
          <t>MBWAY_BOR</t>
        </is>
      </c>
      <c r="B657" s="1" t="inlineStr">
        <is>
          <t>6811</t>
        </is>
      </c>
      <c r="C657" s="1" t="inlineStr">
        <is>
          <t>2026</t>
        </is>
      </c>
      <c r="D657" s="1" t="inlineStr">
        <is>
          <t>ACT</t>
        </is>
      </c>
      <c r="E657" s="1" t="inlineStr">
        <is>
          <t>2027BUD_V1</t>
        </is>
      </c>
      <c r="F657" s="1" t="inlineStr">
        <is>
          <t>12</t>
        </is>
      </c>
      <c r="G657" t="n">
        <v>103258</v>
      </c>
      <c r="H657">
        <f>IF(PNL!A657="","",_CALC_PNL!P657)</f>
        <v/>
      </c>
      <c r="I657">
        <f>IF(PNL!A657="","",IF(_CALC_PNL!E657=1,H657-G657,""))</f>
        <v/>
      </c>
    </row>
    <row r="658">
      <c r="A658" s="1" t="inlineStr">
        <is>
          <t>ISCOM_PAR</t>
        </is>
      </c>
      <c r="B658" s="1" t="inlineStr">
        <is>
          <t>6811</t>
        </is>
      </c>
      <c r="C658" s="1" t="inlineStr">
        <is>
          <t>2026</t>
        </is>
      </c>
      <c r="D658" s="1" t="inlineStr">
        <is>
          <t>ACT</t>
        </is>
      </c>
      <c r="E658" s="1" t="inlineStr">
        <is>
          <t>2027BUD_V1</t>
        </is>
      </c>
      <c r="F658" s="1" t="inlineStr">
        <is>
          <t>12</t>
        </is>
      </c>
      <c r="G658" t="n">
        <v>154887</v>
      </c>
      <c r="H658">
        <f>IF(PNL!A658="","",_CALC_PNL!P658)</f>
        <v/>
      </c>
      <c r="I658">
        <f>IF(PNL!A658="","",IF(_CALC_PNL!E658=1,H658-G658,""))</f>
        <v/>
      </c>
    </row>
    <row r="659">
      <c r="A659" s="1" t="inlineStr">
        <is>
          <t>ISCOM_LIL</t>
        </is>
      </c>
      <c r="B659" s="1" t="inlineStr">
        <is>
          <t>6811</t>
        </is>
      </c>
      <c r="C659" s="1" t="inlineStr">
        <is>
          <t>2026</t>
        </is>
      </c>
      <c r="D659" s="1" t="inlineStr">
        <is>
          <t>ACT</t>
        </is>
      </c>
      <c r="E659" s="1" t="inlineStr">
        <is>
          <t>2027BUD_V1</t>
        </is>
      </c>
      <c r="F659" s="1" t="inlineStr">
        <is>
          <t>12</t>
        </is>
      </c>
      <c r="G659" t="n">
        <v>103258</v>
      </c>
      <c r="H659">
        <f>IF(PNL!A659="","",_CALC_PNL!P659)</f>
        <v/>
      </c>
      <c r="I659">
        <f>IF(PNL!A659="","",IF(_CALC_PNL!E659=1,H659-G659,""))</f>
        <v/>
      </c>
    </row>
    <row r="660">
      <c r="A660" s="1" t="inlineStr">
        <is>
          <t>ISCOM_TLS</t>
        </is>
      </c>
      <c r="B660" s="1" t="inlineStr">
        <is>
          <t>6811</t>
        </is>
      </c>
      <c r="C660" s="1" t="inlineStr">
        <is>
          <t>2026</t>
        </is>
      </c>
      <c r="D660" s="1" t="inlineStr">
        <is>
          <t>ACT</t>
        </is>
      </c>
      <c r="E660" s="1" t="inlineStr">
        <is>
          <t>2027BUD_V1</t>
        </is>
      </c>
      <c r="F660" s="1" t="inlineStr">
        <is>
          <t>12</t>
        </is>
      </c>
      <c r="G660" t="n">
        <v>103258</v>
      </c>
      <c r="H660">
        <f>IF(PNL!A660="","",_CALC_PNL!P660)</f>
        <v/>
      </c>
      <c r="I660">
        <f>IF(PNL!A660="","",IF(_CALC_PNL!E660=1,H660-G660,""))</f>
        <v/>
      </c>
    </row>
    <row r="661">
      <c r="A661" s="1" t="inlineStr">
        <is>
          <t>IPAC_NAN</t>
        </is>
      </c>
      <c r="B661" s="1" t="inlineStr">
        <is>
          <t>6811</t>
        </is>
      </c>
      <c r="C661" s="1" t="inlineStr">
        <is>
          <t>2026</t>
        </is>
      </c>
      <c r="D661" s="1" t="inlineStr">
        <is>
          <t>ACT</t>
        </is>
      </c>
      <c r="E661" s="1" t="inlineStr">
        <is>
          <t>2027BUD_V1</t>
        </is>
      </c>
      <c r="F661" s="1" t="inlineStr">
        <is>
          <t>12</t>
        </is>
      </c>
      <c r="G661" t="n">
        <v>61955</v>
      </c>
      <c r="H661">
        <f>IF(PNL!A661="","",_CALC_PNL!P661)</f>
        <v/>
      </c>
      <c r="I661">
        <f>IF(PNL!A661="","",IF(_CALC_PNL!E661=1,H661-G661,""))</f>
        <v/>
      </c>
    </row>
    <row r="662">
      <c r="A662" s="1" t="inlineStr">
        <is>
          <t>IPAC_REN</t>
        </is>
      </c>
      <c r="B662" s="1" t="inlineStr">
        <is>
          <t>6811</t>
        </is>
      </c>
      <c r="C662" s="1" t="inlineStr">
        <is>
          <t>2026</t>
        </is>
      </c>
      <c r="D662" s="1" t="inlineStr">
        <is>
          <t>ACT</t>
        </is>
      </c>
      <c r="E662" s="1" t="inlineStr">
        <is>
          <t>2027BUD_V1</t>
        </is>
      </c>
      <c r="F662" s="1" t="inlineStr">
        <is>
          <t>12</t>
        </is>
      </c>
      <c r="G662" t="n">
        <v>61955</v>
      </c>
      <c r="H662">
        <f>IF(PNL!A662="","",_CALC_PNL!P662)</f>
        <v/>
      </c>
      <c r="I662">
        <f>IF(PNL!A662="","",IF(_CALC_PNL!E662=1,H662-G662,""))</f>
        <v/>
      </c>
    </row>
    <row r="663">
      <c r="A663" s="1" t="inlineStr">
        <is>
          <t>IPAC_MTP</t>
        </is>
      </c>
      <c r="B663" s="1" t="inlineStr">
        <is>
          <t>6811</t>
        </is>
      </c>
      <c r="C663" s="1" t="inlineStr">
        <is>
          <t>2026</t>
        </is>
      </c>
      <c r="D663" s="1" t="inlineStr">
        <is>
          <t>ACT</t>
        </is>
      </c>
      <c r="E663" s="1" t="inlineStr">
        <is>
          <t>2027BUD_V1</t>
        </is>
      </c>
      <c r="F663" s="1" t="inlineStr">
        <is>
          <t>12</t>
        </is>
      </c>
      <c r="G663" t="n">
        <v>61955</v>
      </c>
      <c r="H663">
        <f>IF(PNL!A663="","",_CALC_PNL!P663)</f>
        <v/>
      </c>
      <c r="I663">
        <f>IF(PNL!A663="","",IF(_CALC_PNL!E663=1,H663-G663,""))</f>
        <v/>
      </c>
    </row>
    <row r="664">
      <c r="A664" s="1" t="inlineStr">
        <is>
          <t>PIGIER_LYO</t>
        </is>
      </c>
      <c r="B664" s="1" t="inlineStr">
        <is>
          <t>6811</t>
        </is>
      </c>
      <c r="C664" s="1" t="inlineStr">
        <is>
          <t>2026</t>
        </is>
      </c>
      <c r="D664" s="1" t="inlineStr">
        <is>
          <t>ACT</t>
        </is>
      </c>
      <c r="E664" s="1" t="inlineStr">
        <is>
          <t>2027BUD_V1</t>
        </is>
      </c>
      <c r="F664" s="1" t="inlineStr">
        <is>
          <t>12</t>
        </is>
      </c>
      <c r="G664" t="n">
        <v>82607</v>
      </c>
      <c r="H664">
        <f>IF(PNL!A664="","",_CALC_PNL!P664)</f>
        <v/>
      </c>
      <c r="I664">
        <f>IF(PNL!A664="","",IF(_CALC_PNL!E664=1,H664-G664,""))</f>
        <v/>
      </c>
    </row>
    <row r="665">
      <c r="A665" s="1" t="inlineStr">
        <is>
          <t>PIGIER_BOR</t>
        </is>
      </c>
      <c r="B665" s="1" t="inlineStr">
        <is>
          <t>6811</t>
        </is>
      </c>
      <c r="C665" s="1" t="inlineStr">
        <is>
          <t>2026</t>
        </is>
      </c>
      <c r="D665" s="1" t="inlineStr">
        <is>
          <t>ACT</t>
        </is>
      </c>
      <c r="E665" s="1" t="inlineStr">
        <is>
          <t>2027BUD_V1</t>
        </is>
      </c>
      <c r="F665" s="1" t="inlineStr">
        <is>
          <t>12</t>
        </is>
      </c>
      <c r="G665" t="n">
        <v>82607</v>
      </c>
      <c r="H665">
        <f>IF(PNL!A665="","",_CALC_PNL!P665)</f>
        <v/>
      </c>
      <c r="I665">
        <f>IF(PNL!A665="","",IF(_CALC_PNL!E665=1,H665-G665,""))</f>
        <v/>
      </c>
    </row>
    <row r="666">
      <c r="A666" s="1" t="inlineStr">
        <is>
          <t>TUNON_PAR</t>
        </is>
      </c>
      <c r="B666" s="1" t="inlineStr">
        <is>
          <t>6811</t>
        </is>
      </c>
      <c r="C666" s="1" t="inlineStr">
        <is>
          <t>2026</t>
        </is>
      </c>
      <c r="D666" s="1" t="inlineStr">
        <is>
          <t>ACT</t>
        </is>
      </c>
      <c r="E666" s="1" t="inlineStr">
        <is>
          <t>2027BUD_V1</t>
        </is>
      </c>
      <c r="F666" s="1" t="inlineStr">
        <is>
          <t>12</t>
        </is>
      </c>
      <c r="G666" t="n">
        <v>61955</v>
      </c>
      <c r="H666">
        <f>IF(PNL!A666="","",_CALC_PNL!P666)</f>
        <v/>
      </c>
      <c r="I666">
        <f>IF(PNL!A666="","",IF(_CALC_PNL!E666=1,H666-G666,""))</f>
        <v/>
      </c>
    </row>
    <row r="667">
      <c r="A667" s="1" t="inlineStr">
        <is>
          <t>TUNON_LYO</t>
        </is>
      </c>
      <c r="B667" s="1" t="inlineStr">
        <is>
          <t>6811</t>
        </is>
      </c>
      <c r="C667" s="1" t="inlineStr">
        <is>
          <t>2026</t>
        </is>
      </c>
      <c r="D667" s="1" t="inlineStr">
        <is>
          <t>ACT</t>
        </is>
      </c>
      <c r="E667" s="1" t="inlineStr">
        <is>
          <t>2027BUD_V1</t>
        </is>
      </c>
      <c r="F667" s="1" t="inlineStr">
        <is>
          <t>12</t>
        </is>
      </c>
      <c r="G667" t="n">
        <v>61955</v>
      </c>
      <c r="H667">
        <f>IF(PNL!A667="","",_CALC_PNL!P667)</f>
        <v/>
      </c>
      <c r="I667">
        <f>IF(PNL!A667="","",IF(_CALC_PNL!E667=1,H667-G667,""))</f>
        <v/>
      </c>
    </row>
    <row r="668">
      <c r="A668" s="1" t="inlineStr">
        <is>
          <t>GRP</t>
        </is>
      </c>
      <c r="B668" s="1" t="inlineStr">
        <is>
          <t>TEC_PL</t>
        </is>
      </c>
      <c r="C668" s="1" t="inlineStr">
        <is>
          <t>2027</t>
        </is>
      </c>
      <c r="D668" s="1" t="inlineStr">
        <is>
          <t>ACT</t>
        </is>
      </c>
      <c r="E668" s="1" t="inlineStr">
        <is>
          <t>2027BUD_V1</t>
        </is>
      </c>
      <c r="F668" s="1" t="inlineStr">
        <is>
          <t>12</t>
        </is>
      </c>
      <c r="G668" t="n">
        <v>0.05</v>
      </c>
      <c r="H668">
        <f>IF(PNL!A668="","",_CALC_PNL!P668)</f>
        <v/>
      </c>
      <c r="I668">
        <f>IF(PNL!A668="","",IF(_CALC_PNL!E668=1,H668-G668,""))</f>
        <v/>
      </c>
    </row>
    <row r="669">
      <c r="A669" s="1" t="inlineStr">
        <is>
          <t>GRP</t>
        </is>
      </c>
      <c r="B669" s="1" t="inlineStr">
        <is>
          <t>TEC_EBITDA</t>
        </is>
      </c>
      <c r="C669" s="1" t="inlineStr">
        <is>
          <t>2027</t>
        </is>
      </c>
      <c r="D669" s="1" t="inlineStr">
        <is>
          <t>ACT</t>
        </is>
      </c>
      <c r="E669" s="1" t="inlineStr">
        <is>
          <t>2027BUD_V1</t>
        </is>
      </c>
      <c r="F669" s="1" t="inlineStr">
        <is>
          <t>12</t>
        </is>
      </c>
      <c r="G669" t="n">
        <v>0.15</v>
      </c>
      <c r="H669">
        <f>IF(PNL!A669="","",_CALC_PNL!P669)</f>
        <v/>
      </c>
      <c r="I669">
        <f>IF(PNL!A669="","",IF(_CALC_PNL!E669=1,H669-G669,""))</f>
        <v/>
      </c>
    </row>
    <row r="670">
      <c r="A670" s="1" t="inlineStr">
        <is>
          <t>PIGIER_BOR</t>
        </is>
      </c>
      <c r="B670" s="1" t="inlineStr">
        <is>
          <t>7062</t>
        </is>
      </c>
      <c r="C670" s="1" t="inlineStr">
        <is>
          <t>2024</t>
        </is>
      </c>
      <c r="D670" s="1" t="inlineStr">
        <is>
          <t>ACT</t>
        </is>
      </c>
      <c r="E670" s="1" t="inlineStr">
        <is>
          <t>2027BUD_V1</t>
        </is>
      </c>
      <c r="F670" s="1" t="inlineStr">
        <is>
          <t>12</t>
        </is>
      </c>
      <c r="G670" t="n">
        <v>998123</v>
      </c>
      <c r="H670">
        <f>IF(PNL!A670="","",_CALC_PNL!P670)</f>
        <v/>
      </c>
      <c r="I670">
        <f>IF(PNL!A670="","",IF(_CALC_PNL!E670=1,H670-G670,""))</f>
        <v/>
      </c>
    </row>
    <row r="671">
      <c r="A671" s="1" t="inlineStr">
        <is>
          <t>PIGIER_BOR</t>
        </is>
      </c>
      <c r="B671" s="1" t="inlineStr">
        <is>
          <t>7062</t>
        </is>
      </c>
      <c r="C671" s="1" t="inlineStr">
        <is>
          <t>2025</t>
        </is>
      </c>
      <c r="D671" s="1" t="inlineStr">
        <is>
          <t>ACT</t>
        </is>
      </c>
      <c r="E671" s="1" t="inlineStr">
        <is>
          <t>2027BUD_V1</t>
        </is>
      </c>
      <c r="F671" s="1" t="inlineStr">
        <is>
          <t>12</t>
        </is>
      </c>
      <c r="G671" t="n">
        <v>1062157</v>
      </c>
      <c r="H671">
        <f>IF(PNL!A671="","",_CALC_PNL!P671)</f>
        <v/>
      </c>
      <c r="I671">
        <f>IF(PNL!A671="","",IF(_CALC_PNL!E671=1,H671-G671,""))</f>
        <v/>
      </c>
    </row>
    <row r="672">
      <c r="A672" s="1" t="inlineStr">
        <is>
          <t>PIGIER_BOR</t>
        </is>
      </c>
      <c r="B672" s="1" t="inlineStr">
        <is>
          <t>7062</t>
        </is>
      </c>
      <c r="C672" s="1" t="inlineStr">
        <is>
          <t>2026</t>
        </is>
      </c>
      <c r="D672" s="1" t="inlineStr">
        <is>
          <t>ACT</t>
        </is>
      </c>
      <c r="E672" s="1" t="inlineStr">
        <is>
          <t>2027BUD_V1</t>
        </is>
      </c>
      <c r="F672" s="1" t="inlineStr">
        <is>
          <t>12</t>
        </is>
      </c>
      <c r="G672" t="n">
        <v>1126170</v>
      </c>
      <c r="H672">
        <f>IF(PNL!A672="","",_CALC_PNL!P672)</f>
        <v/>
      </c>
      <c r="I672">
        <f>IF(PNL!A672="","",IF(_CALC_PNL!E672=1,H672-G672,""))</f>
        <v/>
      </c>
    </row>
    <row r="673">
      <c r="A673" s="1" t="inlineStr">
        <is>
          <t>PIGIER_LYO</t>
        </is>
      </c>
      <c r="B673" s="1" t="inlineStr">
        <is>
          <t>7062</t>
        </is>
      </c>
      <c r="C673" s="1" t="inlineStr">
        <is>
          <t>2024</t>
        </is>
      </c>
      <c r="D673" s="1" t="inlineStr">
        <is>
          <t>ACT</t>
        </is>
      </c>
      <c r="E673" s="1" t="inlineStr">
        <is>
          <t>2027BUD_V1</t>
        </is>
      </c>
      <c r="F673" s="1" t="inlineStr">
        <is>
          <t>12</t>
        </is>
      </c>
      <c r="G673" t="n">
        <v>1392311</v>
      </c>
      <c r="H673">
        <f>IF(PNL!A673="","",_CALC_PNL!P673)</f>
        <v/>
      </c>
      <c r="I673">
        <f>IF(PNL!A673="","",IF(_CALC_PNL!E673=1,H673-G673,""))</f>
        <v/>
      </c>
    </row>
    <row r="674">
      <c r="A674" s="1" t="inlineStr">
        <is>
          <t>PIGIER_LYO</t>
        </is>
      </c>
      <c r="B674" s="1" t="inlineStr">
        <is>
          <t>7062</t>
        </is>
      </c>
      <c r="C674" s="1" t="inlineStr">
        <is>
          <t>2025</t>
        </is>
      </c>
      <c r="D674" s="1" t="inlineStr">
        <is>
          <t>ACT</t>
        </is>
      </c>
      <c r="E674" s="1" t="inlineStr">
        <is>
          <t>2027BUD_V1</t>
        </is>
      </c>
      <c r="F674" s="1" t="inlineStr">
        <is>
          <t>12</t>
        </is>
      </c>
      <c r="G674" t="n">
        <v>1461529</v>
      </c>
      <c r="H674">
        <f>IF(PNL!A674="","",_CALC_PNL!P674)</f>
        <v/>
      </c>
      <c r="I674">
        <f>IF(PNL!A674="","",IF(_CALC_PNL!E674=1,H674-G674,""))</f>
        <v/>
      </c>
    </row>
    <row r="675">
      <c r="A675" s="1" t="inlineStr">
        <is>
          <t>PIGIER_LYO</t>
        </is>
      </c>
      <c r="B675" s="1" t="inlineStr">
        <is>
          <t>7062</t>
        </is>
      </c>
      <c r="C675" s="1" t="inlineStr">
        <is>
          <t>2026</t>
        </is>
      </c>
      <c r="D675" s="1" t="inlineStr">
        <is>
          <t>ACT</t>
        </is>
      </c>
      <c r="E675" s="1" t="inlineStr">
        <is>
          <t>2027BUD_V1</t>
        </is>
      </c>
      <c r="F675" s="1" t="inlineStr">
        <is>
          <t>12</t>
        </is>
      </c>
      <c r="G675" t="n">
        <v>1565550</v>
      </c>
      <c r="H675">
        <f>IF(PNL!A675="","",_CALC_PNL!P675)</f>
        <v/>
      </c>
      <c r="I675">
        <f>IF(PNL!A675="","",IF(_CALC_PNL!E675=1,H675-G675,""))</f>
        <v/>
      </c>
    </row>
    <row r="676">
      <c r="A676" s="1" t="inlineStr">
        <is>
          <t>IPAC_MTP</t>
        </is>
      </c>
      <c r="B676" s="1" t="inlineStr">
        <is>
          <t>6413</t>
        </is>
      </c>
      <c r="C676" s="1" t="inlineStr">
        <is>
          <t>2027</t>
        </is>
      </c>
      <c r="D676" s="1" t="inlineStr">
        <is>
          <t>V01</t>
        </is>
      </c>
      <c r="E676" s="1" t="inlineStr">
        <is>
          <t>2027BUD_V1</t>
        </is>
      </c>
      <c r="F676" s="1" t="inlineStr">
        <is>
          <t>12</t>
        </is>
      </c>
      <c r="G676" t="n">
        <v>61968.712</v>
      </c>
      <c r="H676">
        <f>IF(PNL!A676="","",_CALC_PNL!P676)</f>
        <v/>
      </c>
      <c r="I676">
        <f>IF(PNL!A676="","",IF(_CALC_PNL!E676=1,H676-G676,""))</f>
        <v/>
      </c>
    </row>
    <row r="677">
      <c r="A677" s="1" t="inlineStr">
        <is>
          <t>IPAC_MTP</t>
        </is>
      </c>
      <c r="B677" s="1" t="inlineStr">
        <is>
          <t>6413</t>
        </is>
      </c>
      <c r="C677" s="1" t="inlineStr">
        <is>
          <t>2027</t>
        </is>
      </c>
      <c r="D677" s="1" t="inlineStr">
        <is>
          <t>V02</t>
        </is>
      </c>
      <c r="E677" s="1" t="inlineStr">
        <is>
          <t>2027BUD_V1</t>
        </is>
      </c>
      <c r="F677" s="1" t="inlineStr">
        <is>
          <t>12</t>
        </is>
      </c>
      <c r="G677" t="n">
        <v>61073.4792</v>
      </c>
      <c r="H677">
        <f>IF(PNL!A677="","",_CALC_PNL!P677)</f>
        <v/>
      </c>
      <c r="I677">
        <f>IF(PNL!A677="","",IF(_CALC_PNL!E677=1,H677-G677,""))</f>
        <v/>
      </c>
    </row>
    <row r="678">
      <c r="A678" s="1" t="inlineStr">
        <is>
          <t>IPAC_MTP</t>
        </is>
      </c>
      <c r="B678" s="1" t="inlineStr">
        <is>
          <t>6413</t>
        </is>
      </c>
      <c r="C678" s="1" t="inlineStr">
        <is>
          <t>2027</t>
        </is>
      </c>
      <c r="D678" s="1" t="inlineStr">
        <is>
          <t>V03</t>
        </is>
      </c>
      <c r="E678" s="1" t="inlineStr">
        <is>
          <t>2027BUD_V1</t>
        </is>
      </c>
      <c r="F678" s="1" t="inlineStr">
        <is>
          <t>12</t>
        </is>
      </c>
      <c r="G678" t="n">
        <v>62869.758</v>
      </c>
      <c r="H678">
        <f>IF(PNL!A678="","",_CALC_PNL!P678)</f>
        <v/>
      </c>
      <c r="I678">
        <f>IF(PNL!A678="","",IF(_CALC_PNL!E678=1,H678-G678,""))</f>
        <v/>
      </c>
    </row>
    <row r="679">
      <c r="A679" s="1" t="inlineStr">
        <is>
          <t>PIGIER_LYO</t>
        </is>
      </c>
      <c r="B679" s="1" t="inlineStr">
        <is>
          <t>6413</t>
        </is>
      </c>
      <c r="C679" s="1" t="inlineStr">
        <is>
          <t>2027</t>
        </is>
      </c>
      <c r="D679" s="1" t="inlineStr">
        <is>
          <t>V01</t>
        </is>
      </c>
      <c r="E679" s="1" t="inlineStr">
        <is>
          <t>2027BUD_V1</t>
        </is>
      </c>
      <c r="F679" s="1" t="inlineStr">
        <is>
          <t>12</t>
        </is>
      </c>
      <c r="G679" t="n">
        <v>122684.874</v>
      </c>
      <c r="H679">
        <f>IF(PNL!A679="","",_CALC_PNL!P679)</f>
        <v/>
      </c>
      <c r="I679">
        <f>IF(PNL!A679="","",IF(_CALC_PNL!E679=1,H679-G679,""))</f>
        <v/>
      </c>
    </row>
    <row r="680">
      <c r="A680" s="1" t="inlineStr">
        <is>
          <t>PIGIER_LYO</t>
        </is>
      </c>
      <c r="B680" s="1" t="inlineStr">
        <is>
          <t>6413</t>
        </is>
      </c>
      <c r="C680" s="1" t="inlineStr">
        <is>
          <t>2027</t>
        </is>
      </c>
      <c r="D680" s="1" t="inlineStr">
        <is>
          <t>V02</t>
        </is>
      </c>
      <c r="E680" s="1" t="inlineStr">
        <is>
          <t>2027BUD_V1</t>
        </is>
      </c>
      <c r="F680" s="1" t="inlineStr">
        <is>
          <t>12</t>
        </is>
      </c>
      <c r="G680" t="n">
        <v>120912.5034</v>
      </c>
      <c r="H680">
        <f>IF(PNL!A680="","",_CALC_PNL!P680)</f>
        <v/>
      </c>
      <c r="I680">
        <f>IF(PNL!A680="","",IF(_CALC_PNL!E680=1,H680-G680,""))</f>
        <v/>
      </c>
    </row>
    <row r="681">
      <c r="A681" s="1" t="inlineStr">
        <is>
          <t>PIGIER_LYO</t>
        </is>
      </c>
      <c r="B681" s="1" t="inlineStr">
        <is>
          <t>6413</t>
        </is>
      </c>
      <c r="C681" s="1" t="inlineStr">
        <is>
          <t>2027</t>
        </is>
      </c>
      <c r="D681" s="1" t="inlineStr">
        <is>
          <t>V03</t>
        </is>
      </c>
      <c r="E681" s="1" t="inlineStr">
        <is>
          <t>2027BUD_V1</t>
        </is>
      </c>
      <c r="F681" s="1" t="inlineStr">
        <is>
          <t>12</t>
        </is>
      </c>
      <c r="G681" t="n">
        <v>124468.7535</v>
      </c>
      <c r="H681">
        <f>IF(PNL!A681="","",_CALC_PNL!P681)</f>
        <v/>
      </c>
      <c r="I681">
        <f>IF(PNL!A681="","",IF(_CALC_PNL!E681=1,H681-G681,""))</f>
        <v/>
      </c>
    </row>
    <row r="682">
      <c r="A682" s="1" t="inlineStr">
        <is>
          <t>PIGIER_BOR</t>
        </is>
      </c>
      <c r="B682" s="1" t="inlineStr">
        <is>
          <t>6413</t>
        </is>
      </c>
      <c r="C682" s="1" t="inlineStr">
        <is>
          <t>2027</t>
        </is>
      </c>
      <c r="D682" s="1" t="inlineStr">
        <is>
          <t>V01</t>
        </is>
      </c>
      <c r="E682" s="1" t="inlineStr">
        <is>
          <t>2027BUD_V1</t>
        </is>
      </c>
      <c r="F682" s="1" t="inlineStr">
        <is>
          <t>12</t>
        </is>
      </c>
      <c r="G682" t="n">
        <v>89739.07799999999</v>
      </c>
      <c r="H682">
        <f>IF(PNL!A682="","",_CALC_PNL!P682)</f>
        <v/>
      </c>
      <c r="I682">
        <f>IF(PNL!A682="","",IF(_CALC_PNL!E682=1,H682-G682,""))</f>
        <v/>
      </c>
    </row>
    <row r="683">
      <c r="A683" s="1" t="inlineStr">
        <is>
          <t>PIGIER_BOR</t>
        </is>
      </c>
      <c r="B683" s="1" t="inlineStr">
        <is>
          <t>6413</t>
        </is>
      </c>
      <c r="C683" s="1" t="inlineStr">
        <is>
          <t>2027</t>
        </is>
      </c>
      <c r="D683" s="1" t="inlineStr">
        <is>
          <t>V02</t>
        </is>
      </c>
      <c r="E683" s="1" t="inlineStr">
        <is>
          <t>2027BUD_V1</t>
        </is>
      </c>
      <c r="F683" s="1" t="inlineStr">
        <is>
          <t>12</t>
        </is>
      </c>
      <c r="G683" t="n">
        <v>88442.65979999999</v>
      </c>
      <c r="H683">
        <f>IF(PNL!A683="","",_CALC_PNL!P683)</f>
        <v/>
      </c>
      <c r="I683">
        <f>IF(PNL!A683="","",IF(_CALC_PNL!E683=1,H683-G683,""))</f>
        <v/>
      </c>
    </row>
    <row r="684">
      <c r="A684" s="1" t="inlineStr">
        <is>
          <t>PIGIER_BOR</t>
        </is>
      </c>
      <c r="B684" s="1" t="inlineStr">
        <is>
          <t>6413</t>
        </is>
      </c>
      <c r="C684" s="1" t="inlineStr">
        <is>
          <t>2027</t>
        </is>
      </c>
      <c r="D684" s="1" t="inlineStr">
        <is>
          <t>V03</t>
        </is>
      </c>
      <c r="E684" s="1" t="inlineStr">
        <is>
          <t>2027BUD_V1</t>
        </is>
      </c>
      <c r="F684" s="1" t="inlineStr">
        <is>
          <t>12</t>
        </is>
      </c>
      <c r="G684" t="n">
        <v>91043.9145</v>
      </c>
      <c r="H684">
        <f>IF(PNL!A684="","",_CALC_PNL!P684)</f>
        <v/>
      </c>
      <c r="I684">
        <f>IF(PNL!A684="","",IF(_CALC_PNL!E684=1,H684-G684,""))</f>
        <v/>
      </c>
    </row>
    <row r="685">
      <c r="A685" s="1" t="inlineStr">
        <is>
          <t>TUNON_PAR</t>
        </is>
      </c>
      <c r="B685" s="1" t="inlineStr">
        <is>
          <t>6413</t>
        </is>
      </c>
      <c r="C685" s="1" t="inlineStr">
        <is>
          <t>2027</t>
        </is>
      </c>
      <c r="D685" s="1" t="inlineStr">
        <is>
          <t>V01</t>
        </is>
      </c>
      <c r="E685" s="1" t="inlineStr">
        <is>
          <t>2027BUD_V1</t>
        </is>
      </c>
      <c r="F685" s="1" t="inlineStr">
        <is>
          <t>12</t>
        </is>
      </c>
      <c r="G685" t="n">
        <v>134554.784</v>
      </c>
      <c r="H685">
        <f>IF(PNL!A685="","",_CALC_PNL!P685)</f>
        <v/>
      </c>
      <c r="I685">
        <f>IF(PNL!A685="","",IF(_CALC_PNL!E685=1,H685-G685,""))</f>
        <v/>
      </c>
    </row>
    <row r="686">
      <c r="A686" s="1" t="inlineStr">
        <is>
          <t>TUNON_PAR</t>
        </is>
      </c>
      <c r="B686" s="1" t="inlineStr">
        <is>
          <t>6413</t>
        </is>
      </c>
      <c r="C686" s="1" t="inlineStr">
        <is>
          <t>2027</t>
        </is>
      </c>
      <c r="D686" s="1" t="inlineStr">
        <is>
          <t>V02</t>
        </is>
      </c>
      <c r="E686" s="1" t="inlineStr">
        <is>
          <t>2027BUD_V1</t>
        </is>
      </c>
      <c r="F686" s="1" t="inlineStr">
        <is>
          <t>12</t>
        </is>
      </c>
      <c r="G686" t="n">
        <v>132610.9344</v>
      </c>
      <c r="H686">
        <f>IF(PNL!A686="","",_CALC_PNL!P686)</f>
        <v/>
      </c>
      <c r="I686">
        <f>IF(PNL!A686="","",IF(_CALC_PNL!E686=1,H686-G686,""))</f>
        <v/>
      </c>
    </row>
    <row r="687">
      <c r="A687" s="1" t="inlineStr">
        <is>
          <t>TUNON_PAR</t>
        </is>
      </c>
      <c r="B687" s="1" t="inlineStr">
        <is>
          <t>6413</t>
        </is>
      </c>
      <c r="C687" s="1" t="inlineStr">
        <is>
          <t>2027</t>
        </is>
      </c>
      <c r="D687" s="1" t="inlineStr">
        <is>
          <t>V03</t>
        </is>
      </c>
      <c r="E687" s="1" t="inlineStr">
        <is>
          <t>2027BUD_V1</t>
        </is>
      </c>
      <c r="F687" s="1" t="inlineStr">
        <is>
          <t>12</t>
        </is>
      </c>
      <c r="G687" t="n">
        <v>136511.256</v>
      </c>
      <c r="H687">
        <f>IF(PNL!A687="","",_CALC_PNL!P687)</f>
        <v/>
      </c>
      <c r="I687">
        <f>IF(PNL!A687="","",IF(_CALC_PNL!E687=1,H687-G687,""))</f>
        <v/>
      </c>
    </row>
    <row r="688">
      <c r="A688" s="1" t="inlineStr">
        <is>
          <t>TUNON_LYO</t>
        </is>
      </c>
      <c r="B688" s="1" t="inlineStr">
        <is>
          <t>6413</t>
        </is>
      </c>
      <c r="C688" s="1" t="inlineStr">
        <is>
          <t>2027</t>
        </is>
      </c>
      <c r="D688" s="1" t="inlineStr">
        <is>
          <t>V01</t>
        </is>
      </c>
      <c r="E688" s="1" t="inlineStr">
        <is>
          <t>2027BUD_V1</t>
        </is>
      </c>
      <c r="F688" s="1" t="inlineStr">
        <is>
          <t>12</t>
        </is>
      </c>
      <c r="G688" t="n">
        <v>78869.076</v>
      </c>
      <c r="H688">
        <f>IF(PNL!A688="","",_CALC_PNL!P688)</f>
        <v/>
      </c>
      <c r="I688">
        <f>IF(PNL!A688="","",IF(_CALC_PNL!E688=1,H688-G688,""))</f>
        <v/>
      </c>
    </row>
    <row r="689">
      <c r="A689" s="1" t="inlineStr">
        <is>
          <t>TUNON_LYO</t>
        </is>
      </c>
      <c r="B689" s="1" t="inlineStr">
        <is>
          <t>6413</t>
        </is>
      </c>
      <c r="C689" s="1" t="inlineStr">
        <is>
          <t>2027</t>
        </is>
      </c>
      <c r="D689" s="1" t="inlineStr">
        <is>
          <t>V02</t>
        </is>
      </c>
      <c r="E689" s="1" t="inlineStr">
        <is>
          <t>2027BUD_V1</t>
        </is>
      </c>
      <c r="F689" s="1" t="inlineStr">
        <is>
          <t>12</t>
        </is>
      </c>
      <c r="G689" t="n">
        <v>77729.69160000001</v>
      </c>
      <c r="H689">
        <f>IF(PNL!A689="","",_CALC_PNL!P689)</f>
        <v/>
      </c>
      <c r="I689">
        <f>IF(PNL!A689="","",IF(_CALC_PNL!E689=1,H689-G689,""))</f>
        <v/>
      </c>
    </row>
    <row r="690">
      <c r="A690" s="1" t="inlineStr">
        <is>
          <t>TUNON_LYO</t>
        </is>
      </c>
      <c r="B690" s="1" t="inlineStr">
        <is>
          <t>6413</t>
        </is>
      </c>
      <c r="C690" s="1" t="inlineStr">
        <is>
          <t>2027</t>
        </is>
      </c>
      <c r="D690" s="1" t="inlineStr">
        <is>
          <t>V03</t>
        </is>
      </c>
      <c r="E690" s="1" t="inlineStr">
        <is>
          <t>2027BUD_V1</t>
        </is>
      </c>
      <c r="F690" s="1" t="inlineStr">
        <is>
          <t>12</t>
        </is>
      </c>
      <c r="G690" t="n">
        <v>80015.859</v>
      </c>
      <c r="H690">
        <f>IF(PNL!A690="","",_CALC_PNL!P690)</f>
        <v/>
      </c>
      <c r="I690">
        <f>IF(PNL!A690="","",IF(_CALC_PNL!E690=1,H690-G690,""))</f>
        <v/>
      </c>
    </row>
    <row r="691">
      <c r="A691" s="1" t="inlineStr">
        <is>
          <t>GRP</t>
        </is>
      </c>
      <c r="B691" s="1" t="inlineStr">
        <is>
          <t>6414</t>
        </is>
      </c>
      <c r="C691" s="1" t="inlineStr">
        <is>
          <t>2027</t>
        </is>
      </c>
      <c r="D691" s="1" t="inlineStr">
        <is>
          <t>V01</t>
        </is>
      </c>
      <c r="E691" s="1" t="inlineStr">
        <is>
          <t>2027BUD_V1</t>
        </is>
      </c>
      <c r="F691" s="1" t="inlineStr">
        <is>
          <t>12</t>
        </is>
      </c>
      <c r="G691" t="n">
        <v>1324663.834</v>
      </c>
      <c r="H691">
        <f>IF(PNL!A691="","",_CALC_PNL!P691)</f>
        <v/>
      </c>
      <c r="I691">
        <f>IF(PNL!A691="","",IF(_CALC_PNL!E691=1,H691-G691,""))</f>
        <v/>
      </c>
    </row>
    <row r="692">
      <c r="A692" s="1" t="inlineStr">
        <is>
          <t>GRP</t>
        </is>
      </c>
      <c r="B692" s="1" t="inlineStr">
        <is>
          <t>6414</t>
        </is>
      </c>
      <c r="C692" s="1" t="inlineStr">
        <is>
          <t>2027</t>
        </is>
      </c>
      <c r="D692" s="1" t="inlineStr">
        <is>
          <t>V02</t>
        </is>
      </c>
      <c r="E692" s="1" t="inlineStr">
        <is>
          <t>2027BUD_V1</t>
        </is>
      </c>
      <c r="F692" s="1" t="inlineStr">
        <is>
          <t>12</t>
        </is>
      </c>
      <c r="G692" t="n">
        <v>1305527.0394</v>
      </c>
      <c r="H692">
        <f>IF(PNL!A692="","",_CALC_PNL!P692)</f>
        <v/>
      </c>
      <c r="I692">
        <f>IF(PNL!A692="","",IF(_CALC_PNL!E692=1,H692-G692,""))</f>
        <v/>
      </c>
    </row>
    <row r="693">
      <c r="A693" s="1" t="inlineStr">
        <is>
          <t>GRP</t>
        </is>
      </c>
      <c r="B693" s="1" t="inlineStr">
        <is>
          <t>6414</t>
        </is>
      </c>
      <c r="C693" s="1" t="inlineStr">
        <is>
          <t>2027</t>
        </is>
      </c>
      <c r="D693" s="1" t="inlineStr">
        <is>
          <t>V03</t>
        </is>
      </c>
      <c r="E693" s="1" t="inlineStr">
        <is>
          <t>2027BUD_V1</t>
        </is>
      </c>
      <c r="F693" s="1" t="inlineStr">
        <is>
          <t>12</t>
        </is>
      </c>
      <c r="G693" t="n">
        <v>1343924.8935</v>
      </c>
      <c r="H693">
        <f>IF(PNL!A693="","",_CALC_PNL!P693)</f>
        <v/>
      </c>
      <c r="I693">
        <f>IF(PNL!A693="","",IF(_CALC_PNL!E693=1,H693-G693,""))</f>
        <v/>
      </c>
    </row>
    <row r="694">
      <c r="A694" s="1" t="inlineStr">
        <is>
          <t>MBWAY_PAR</t>
        </is>
      </c>
      <c r="B694" s="1" t="inlineStr">
        <is>
          <t>645</t>
        </is>
      </c>
      <c r="C694" s="1" t="inlineStr">
        <is>
          <t>2027</t>
        </is>
      </c>
      <c r="D694" s="1" t="inlineStr">
        <is>
          <t>V01</t>
        </is>
      </c>
      <c r="E694" s="1" t="inlineStr">
        <is>
          <t>2027BUD_V1</t>
        </is>
      </c>
      <c r="F694" s="1" t="inlineStr">
        <is>
          <t>12</t>
        </is>
      </c>
      <c r="G694" t="n">
        <v>579384.858</v>
      </c>
      <c r="H694">
        <f>IF(PNL!A694="","",_CALC_PNL!P694)</f>
        <v/>
      </c>
      <c r="I694">
        <f>IF(PNL!A694="","",IF(_CALC_PNL!E694=1,H694-G694,""))</f>
        <v/>
      </c>
    </row>
    <row r="695">
      <c r="A695" s="1" t="inlineStr">
        <is>
          <t>MBWAY_PAR</t>
        </is>
      </c>
      <c r="B695" s="1" t="inlineStr">
        <is>
          <t>645</t>
        </is>
      </c>
      <c r="C695" s="1" t="inlineStr">
        <is>
          <t>2027</t>
        </is>
      </c>
      <c r="D695" s="1" t="inlineStr">
        <is>
          <t>V02</t>
        </is>
      </c>
      <c r="E695" s="1" t="inlineStr">
        <is>
          <t>2027BUD_V1</t>
        </is>
      </c>
      <c r="F695" s="1" t="inlineStr">
        <is>
          <t>12</t>
        </is>
      </c>
      <c r="G695" t="n">
        <v>571014.7578</v>
      </c>
      <c r="H695">
        <f>IF(PNL!A695="","",_CALC_PNL!P695)</f>
        <v/>
      </c>
      <c r="I695">
        <f>IF(PNL!A695="","",IF(_CALC_PNL!E695=1,H695-G695,""))</f>
        <v/>
      </c>
    </row>
    <row r="696">
      <c r="A696" s="1" t="inlineStr">
        <is>
          <t>MBWAY_PAR</t>
        </is>
      </c>
      <c r="B696" s="1" t="inlineStr">
        <is>
          <t>645</t>
        </is>
      </c>
      <c r="C696" s="1" t="inlineStr">
        <is>
          <t>2027</t>
        </is>
      </c>
      <c r="D696" s="1" t="inlineStr">
        <is>
          <t>V03</t>
        </is>
      </c>
      <c r="E696" s="1" t="inlineStr">
        <is>
          <t>2027BUD_V1</t>
        </is>
      </c>
      <c r="F696" s="1" t="inlineStr">
        <is>
          <t>12</t>
        </is>
      </c>
      <c r="G696" t="n">
        <v>587809.3095</v>
      </c>
      <c r="H696">
        <f>IF(PNL!A696="","",_CALC_PNL!P696)</f>
        <v/>
      </c>
      <c r="I696">
        <f>IF(PNL!A696="","",IF(_CALC_PNL!E696=1,H696-G696,""))</f>
        <v/>
      </c>
    </row>
    <row r="697">
      <c r="A697" s="1" t="inlineStr">
        <is>
          <t>MBWAY_LYO</t>
        </is>
      </c>
      <c r="B697" s="1" t="inlineStr">
        <is>
          <t>645</t>
        </is>
      </c>
      <c r="C697" s="1" t="inlineStr">
        <is>
          <t>2027</t>
        </is>
      </c>
      <c r="D697" s="1" t="inlineStr">
        <is>
          <t>V01</t>
        </is>
      </c>
      <c r="E697" s="1" t="inlineStr">
        <is>
          <t>2027BUD_V1</t>
        </is>
      </c>
      <c r="F697" s="1" t="inlineStr">
        <is>
          <t>12</t>
        </is>
      </c>
      <c r="G697" t="n">
        <v>339743.794</v>
      </c>
      <c r="H697">
        <f>IF(PNL!A697="","",_CALC_PNL!P697)</f>
        <v/>
      </c>
      <c r="I697">
        <f>IF(PNL!A697="","",IF(_CALC_PNL!E697=1,H697-G697,""))</f>
        <v/>
      </c>
    </row>
    <row r="698">
      <c r="A698" s="1" t="inlineStr">
        <is>
          <t>MBWAY_LYO</t>
        </is>
      </c>
      <c r="B698" s="1" t="inlineStr">
        <is>
          <t>645</t>
        </is>
      </c>
      <c r="C698" s="1" t="inlineStr">
        <is>
          <t>2027</t>
        </is>
      </c>
      <c r="D698" s="1" t="inlineStr">
        <is>
          <t>V02</t>
        </is>
      </c>
      <c r="E698" s="1" t="inlineStr">
        <is>
          <t>2027BUD_V1</t>
        </is>
      </c>
      <c r="F698" s="1" t="inlineStr">
        <is>
          <t>12</t>
        </is>
      </c>
      <c r="G698" t="n">
        <v>334835.6754</v>
      </c>
      <c r="H698">
        <f>IF(PNL!A698="","",_CALC_PNL!P698)</f>
        <v/>
      </c>
      <c r="I698">
        <f>IF(PNL!A698="","",IF(_CALC_PNL!E698=1,H698-G698,""))</f>
        <v/>
      </c>
    </row>
    <row r="699">
      <c r="A699" s="1" t="inlineStr">
        <is>
          <t>MBWAY_LYO</t>
        </is>
      </c>
      <c r="B699" s="1" t="inlineStr">
        <is>
          <t>645</t>
        </is>
      </c>
      <c r="C699" s="1" t="inlineStr">
        <is>
          <t>2027</t>
        </is>
      </c>
      <c r="D699" s="1" t="inlineStr">
        <is>
          <t>V03</t>
        </is>
      </c>
      <c r="E699" s="1" t="inlineStr">
        <is>
          <t>2027BUD_V1</t>
        </is>
      </c>
      <c r="F699" s="1" t="inlineStr">
        <is>
          <t>12</t>
        </is>
      </c>
      <c r="G699" t="n">
        <v>344683.7835</v>
      </c>
      <c r="H699">
        <f>IF(PNL!A699="","",_CALC_PNL!P699)</f>
        <v/>
      </c>
      <c r="I699">
        <f>IF(PNL!A699="","",IF(_CALC_PNL!E699=1,H699-G699,""))</f>
        <v/>
      </c>
    </row>
    <row r="700">
      <c r="A700" s="1" t="inlineStr">
        <is>
          <t>MBWAY_NAN</t>
        </is>
      </c>
      <c r="B700" s="1" t="inlineStr">
        <is>
          <t>645</t>
        </is>
      </c>
      <c r="C700" s="1" t="inlineStr">
        <is>
          <t>2027</t>
        </is>
      </c>
      <c r="D700" s="1" t="inlineStr">
        <is>
          <t>V01</t>
        </is>
      </c>
      <c r="E700" s="1" t="inlineStr">
        <is>
          <t>2027BUD_V1</t>
        </is>
      </c>
      <c r="F700" s="1" t="inlineStr">
        <is>
          <t>12</t>
        </is>
      </c>
      <c r="G700" t="n">
        <v>275256.124</v>
      </c>
      <c r="H700">
        <f>IF(PNL!A700="","",_CALC_PNL!P700)</f>
        <v/>
      </c>
      <c r="I700">
        <f>IF(PNL!A700="","",IF(_CALC_PNL!E700=1,H700-G700,""))</f>
        <v/>
      </c>
    </row>
    <row r="701">
      <c r="A701" s="1" t="inlineStr">
        <is>
          <t>MBWAY_NAN</t>
        </is>
      </c>
      <c r="B701" s="1" t="inlineStr">
        <is>
          <t>645</t>
        </is>
      </c>
      <c r="C701" s="1" t="inlineStr">
        <is>
          <t>2027</t>
        </is>
      </c>
      <c r="D701" s="1" t="inlineStr">
        <is>
          <t>V02</t>
        </is>
      </c>
      <c r="E701" s="1" t="inlineStr">
        <is>
          <t>2027BUD_V1</t>
        </is>
      </c>
      <c r="F701" s="1" t="inlineStr">
        <is>
          <t>12</t>
        </is>
      </c>
      <c r="G701" t="n">
        <v>271279.6284</v>
      </c>
      <c r="H701">
        <f>IF(PNL!A701="","",_CALC_PNL!P701)</f>
        <v/>
      </c>
      <c r="I701">
        <f>IF(PNL!A701="","",IF(_CALC_PNL!E701=1,H701-G701,""))</f>
        <v/>
      </c>
    </row>
    <row r="702">
      <c r="A702" s="1" t="inlineStr">
        <is>
          <t>MBWAY_NAN</t>
        </is>
      </c>
      <c r="B702" s="1" t="inlineStr">
        <is>
          <t>645</t>
        </is>
      </c>
      <c r="C702" s="1" t="inlineStr">
        <is>
          <t>2027</t>
        </is>
      </c>
      <c r="D702" s="1" t="inlineStr">
        <is>
          <t>V03</t>
        </is>
      </c>
      <c r="E702" s="1" t="inlineStr">
        <is>
          <t>2027BUD_V1</t>
        </is>
      </c>
      <c r="F702" s="1" t="inlineStr">
        <is>
          <t>12</t>
        </is>
      </c>
      <c r="G702" t="n">
        <v>279258.441</v>
      </c>
      <c r="H702">
        <f>IF(PNL!A702="","",_CALC_PNL!P702)</f>
        <v/>
      </c>
      <c r="I702">
        <f>IF(PNL!A702="","",IF(_CALC_PNL!E702=1,H702-G702,""))</f>
        <v/>
      </c>
    </row>
    <row r="703">
      <c r="A703" s="1" t="inlineStr">
        <is>
          <t>MBWAY_BOR</t>
        </is>
      </c>
      <c r="B703" s="1" t="inlineStr">
        <is>
          <t>645</t>
        </is>
      </c>
      <c r="C703" s="1" t="inlineStr">
        <is>
          <t>2027</t>
        </is>
      </c>
      <c r="D703" s="1" t="inlineStr">
        <is>
          <t>V01</t>
        </is>
      </c>
      <c r="E703" s="1" t="inlineStr">
        <is>
          <t>2027BUD_V1</t>
        </is>
      </c>
      <c r="F703" s="1" t="inlineStr">
        <is>
          <t>12</t>
        </is>
      </c>
      <c r="G703" t="n">
        <v>244781.316</v>
      </c>
      <c r="H703">
        <f>IF(PNL!A703="","",_CALC_PNL!P703)</f>
        <v/>
      </c>
      <c r="I703">
        <f>IF(PNL!A703="","",IF(_CALC_PNL!E703=1,H703-G703,""))</f>
        <v/>
      </c>
    </row>
    <row r="704">
      <c r="A704" s="1" t="inlineStr">
        <is>
          <t>MBWAY_BOR</t>
        </is>
      </c>
      <c r="B704" s="1" t="inlineStr">
        <is>
          <t>645</t>
        </is>
      </c>
      <c r="C704" s="1" t="inlineStr">
        <is>
          <t>2027</t>
        </is>
      </c>
      <c r="D704" s="1" t="inlineStr">
        <is>
          <t>V02</t>
        </is>
      </c>
      <c r="E704" s="1" t="inlineStr">
        <is>
          <t>2027BUD_V1</t>
        </is>
      </c>
      <c r="F704" s="1" t="inlineStr">
        <is>
          <t>12</t>
        </is>
      </c>
      <c r="G704" t="n">
        <v>241245.0756</v>
      </c>
      <c r="H704">
        <f>IF(PNL!A704="","",_CALC_PNL!P704)</f>
        <v/>
      </c>
      <c r="I704">
        <f>IF(PNL!A704="","",IF(_CALC_PNL!E704=1,H704-G704,""))</f>
        <v/>
      </c>
    </row>
    <row r="705">
      <c r="A705" s="1" t="inlineStr">
        <is>
          <t>MBWAY_BOR</t>
        </is>
      </c>
      <c r="B705" s="1" t="inlineStr">
        <is>
          <t>645</t>
        </is>
      </c>
      <c r="C705" s="1" t="inlineStr">
        <is>
          <t>2027</t>
        </is>
      </c>
      <c r="D705" s="1" t="inlineStr">
        <is>
          <t>V03</t>
        </is>
      </c>
      <c r="E705" s="1" t="inlineStr">
        <is>
          <t>2027BUD_V1</t>
        </is>
      </c>
      <c r="F705" s="1" t="inlineStr">
        <is>
          <t>12</t>
        </is>
      </c>
      <c r="G705" t="n">
        <v>248340.519</v>
      </c>
      <c r="H705">
        <f>IF(PNL!A705="","",_CALC_PNL!P705)</f>
        <v/>
      </c>
      <c r="I705">
        <f>IF(PNL!A705="","",IF(_CALC_PNL!E705=1,H705-G705,""))</f>
        <v/>
      </c>
    </row>
    <row r="706">
      <c r="A706" s="1" t="inlineStr">
        <is>
          <t>ISCOM_PAR</t>
        </is>
      </c>
      <c r="B706" s="1" t="inlineStr">
        <is>
          <t>645</t>
        </is>
      </c>
      <c r="C706" s="1" t="inlineStr">
        <is>
          <t>2027</t>
        </is>
      </c>
      <c r="D706" s="1" t="inlineStr">
        <is>
          <t>V01</t>
        </is>
      </c>
      <c r="E706" s="1" t="inlineStr">
        <is>
          <t>2027BUD_V1</t>
        </is>
      </c>
      <c r="F706" s="1" t="inlineStr">
        <is>
          <t>12</t>
        </is>
      </c>
      <c r="G706" t="n">
        <v>536916.4840000001</v>
      </c>
      <c r="H706">
        <f>IF(PNL!A706="","",_CALC_PNL!P706)</f>
        <v/>
      </c>
      <c r="I706">
        <f>IF(PNL!A706="","",IF(_CALC_PNL!E706=1,H706-G706,""))</f>
        <v/>
      </c>
    </row>
    <row r="707">
      <c r="A707" s="1" t="inlineStr">
        <is>
          <t>ISCOM_PAR</t>
        </is>
      </c>
      <c r="B707" s="1" t="inlineStr">
        <is>
          <t>645</t>
        </is>
      </c>
      <c r="C707" s="1" t="inlineStr">
        <is>
          <t>2027</t>
        </is>
      </c>
      <c r="D707" s="1" t="inlineStr">
        <is>
          <t>V02</t>
        </is>
      </c>
      <c r="E707" s="1" t="inlineStr">
        <is>
          <t>2027BUD_V1</t>
        </is>
      </c>
      <c r="F707" s="1" t="inlineStr">
        <is>
          <t>12</t>
        </is>
      </c>
      <c r="G707" t="n">
        <v>529159.9044</v>
      </c>
      <c r="H707">
        <f>IF(PNL!A707="","",_CALC_PNL!P707)</f>
        <v/>
      </c>
      <c r="I707">
        <f>IF(PNL!A707="","",IF(_CALC_PNL!E707=1,H707-G707,""))</f>
        <v/>
      </c>
    </row>
    <row r="708">
      <c r="A708" s="1" t="inlineStr">
        <is>
          <t>ISCOM_PAR</t>
        </is>
      </c>
      <c r="B708" s="1" t="inlineStr">
        <is>
          <t>645</t>
        </is>
      </c>
      <c r="C708" s="1" t="inlineStr">
        <is>
          <t>2027</t>
        </is>
      </c>
      <c r="D708" s="1" t="inlineStr">
        <is>
          <t>V03</t>
        </is>
      </c>
      <c r="E708" s="1" t="inlineStr">
        <is>
          <t>2027BUD_V1</t>
        </is>
      </c>
      <c r="F708" s="1" t="inlineStr">
        <is>
          <t>12</t>
        </is>
      </c>
      <c r="G708" t="n">
        <v>544723.431</v>
      </c>
      <c r="H708">
        <f>IF(PNL!A708="","",_CALC_PNL!P708)</f>
        <v/>
      </c>
      <c r="I708">
        <f>IF(PNL!A708="","",IF(_CALC_PNL!E708=1,H708-G708,""))</f>
        <v/>
      </c>
    </row>
    <row r="709">
      <c r="A709" s="1" t="inlineStr">
        <is>
          <t>ISCOM_LIL</t>
        </is>
      </c>
      <c r="B709" s="1" t="inlineStr">
        <is>
          <t>645</t>
        </is>
      </c>
      <c r="C709" s="1" t="inlineStr">
        <is>
          <t>2027</t>
        </is>
      </c>
      <c r="D709" s="1" t="inlineStr">
        <is>
          <t>V01</t>
        </is>
      </c>
      <c r="E709" s="1" t="inlineStr">
        <is>
          <t>2027BUD_V1</t>
        </is>
      </c>
      <c r="F709" s="1" t="inlineStr">
        <is>
          <t>12</t>
        </is>
      </c>
      <c r="G709" t="n">
        <v>210168.296</v>
      </c>
      <c r="H709">
        <f>IF(PNL!A709="","",_CALC_PNL!P709)</f>
        <v/>
      </c>
      <c r="I709">
        <f>IF(PNL!A709="","",IF(_CALC_PNL!E709=1,H709-G709,""))</f>
        <v/>
      </c>
    </row>
    <row r="710">
      <c r="A710" s="1" t="inlineStr">
        <is>
          <t>ISCOM_LIL</t>
        </is>
      </c>
      <c r="B710" s="1" t="inlineStr">
        <is>
          <t>645</t>
        </is>
      </c>
      <c r="C710" s="1" t="inlineStr">
        <is>
          <t>2027</t>
        </is>
      </c>
      <c r="D710" s="1" t="inlineStr">
        <is>
          <t>V02</t>
        </is>
      </c>
      <c r="E710" s="1" t="inlineStr">
        <is>
          <t>2027BUD_V1</t>
        </is>
      </c>
      <c r="F710" s="1" t="inlineStr">
        <is>
          <t>12</t>
        </is>
      </c>
      <c r="G710" t="n">
        <v>207132.0936</v>
      </c>
      <c r="H710">
        <f>IF(PNL!A710="","",_CALC_PNL!P710)</f>
        <v/>
      </c>
      <c r="I710">
        <f>IF(PNL!A710="","",IF(_CALC_PNL!E710=1,H710-G710,""))</f>
        <v/>
      </c>
    </row>
    <row r="711">
      <c r="A711" s="1" t="inlineStr">
        <is>
          <t>ISCOM_LIL</t>
        </is>
      </c>
      <c r="B711" s="1" t="inlineStr">
        <is>
          <t>645</t>
        </is>
      </c>
      <c r="C711" s="1" t="inlineStr">
        <is>
          <t>2027</t>
        </is>
      </c>
      <c r="D711" s="1" t="inlineStr">
        <is>
          <t>V03</t>
        </is>
      </c>
      <c r="E711" s="1" t="inlineStr">
        <is>
          <t>2027BUD_V1</t>
        </is>
      </c>
      <c r="F711" s="1" t="inlineStr">
        <is>
          <t>12</t>
        </is>
      </c>
      <c r="G711" t="n">
        <v>213224.214</v>
      </c>
      <c r="H711">
        <f>IF(PNL!A711="","",_CALC_PNL!P711)</f>
        <v/>
      </c>
      <c r="I711">
        <f>IF(PNL!A711="","",IF(_CALC_PNL!E711=1,H711-G711,""))</f>
        <v/>
      </c>
    </row>
    <row r="712">
      <c r="A712" s="1" t="inlineStr">
        <is>
          <t>ISCOM_TLS</t>
        </is>
      </c>
      <c r="B712" s="1" t="inlineStr">
        <is>
          <t>645</t>
        </is>
      </c>
      <c r="C712" s="1" t="inlineStr">
        <is>
          <t>2027</t>
        </is>
      </c>
      <c r="D712" s="1" t="inlineStr">
        <is>
          <t>V01</t>
        </is>
      </c>
      <c r="E712" s="1" t="inlineStr">
        <is>
          <t>2027BUD_V1</t>
        </is>
      </c>
      <c r="F712" s="1" t="inlineStr">
        <is>
          <t>12</t>
        </is>
      </c>
      <c r="G712" t="n">
        <v>194645.204</v>
      </c>
      <c r="H712">
        <f>IF(PNL!A712="","",_CALC_PNL!P712)</f>
        <v/>
      </c>
      <c r="I712">
        <f>IF(PNL!A712="","",IF(_CALC_PNL!E712=1,H712-G712,""))</f>
        <v/>
      </c>
    </row>
    <row r="713">
      <c r="A713" s="1" t="inlineStr">
        <is>
          <t>ISCOM_TLS</t>
        </is>
      </c>
      <c r="B713" s="1" t="inlineStr">
        <is>
          <t>645</t>
        </is>
      </c>
      <c r="C713" s="1" t="inlineStr">
        <is>
          <t>2027</t>
        </is>
      </c>
      <c r="D713" s="1" t="inlineStr">
        <is>
          <t>V02</t>
        </is>
      </c>
      <c r="E713" s="1" t="inlineStr">
        <is>
          <t>2027BUD_V1</t>
        </is>
      </c>
      <c r="F713" s="1" t="inlineStr">
        <is>
          <t>12</t>
        </is>
      </c>
      <c r="G713" t="n">
        <v>191833.2564</v>
      </c>
      <c r="H713">
        <f>IF(PNL!A713="","",_CALC_PNL!P713)</f>
        <v/>
      </c>
      <c r="I713">
        <f>IF(PNL!A713="","",IF(_CALC_PNL!E713=1,H713-G713,""))</f>
        <v/>
      </c>
    </row>
    <row r="714">
      <c r="A714" s="1" t="inlineStr">
        <is>
          <t>ISCOM_TLS</t>
        </is>
      </c>
      <c r="B714" s="1" t="inlineStr">
        <is>
          <t>645</t>
        </is>
      </c>
      <c r="C714" s="1" t="inlineStr">
        <is>
          <t>2027</t>
        </is>
      </c>
      <c r="D714" s="1" t="inlineStr">
        <is>
          <t>V03</t>
        </is>
      </c>
      <c r="E714" s="1" t="inlineStr">
        <is>
          <t>2027BUD_V1</t>
        </is>
      </c>
      <c r="F714" s="1" t="inlineStr">
        <is>
          <t>12</t>
        </is>
      </c>
      <c r="G714" t="n">
        <v>197475.411</v>
      </c>
      <c r="H714">
        <f>IF(PNL!A714="","",_CALC_PNL!P714)</f>
        <v/>
      </c>
      <c r="I714">
        <f>IF(PNL!A714="","",IF(_CALC_PNL!E714=1,H714-G714,""))</f>
        <v/>
      </c>
    </row>
    <row r="715">
      <c r="A715" s="1" t="inlineStr">
        <is>
          <t>IPAC_NAN</t>
        </is>
      </c>
      <c r="B715" s="1" t="inlineStr">
        <is>
          <t>645</t>
        </is>
      </c>
      <c r="C715" s="1" t="inlineStr">
        <is>
          <t>2027</t>
        </is>
      </c>
      <c r="D715" s="1" t="inlineStr">
        <is>
          <t>V01</t>
        </is>
      </c>
      <c r="E715" s="1" t="inlineStr">
        <is>
          <t>2027BUD_V1</t>
        </is>
      </c>
      <c r="F715" s="1" t="inlineStr">
        <is>
          <t>12</t>
        </is>
      </c>
      <c r="G715" t="n">
        <v>135755.1</v>
      </c>
      <c r="H715">
        <f>IF(PNL!A715="","",_CALC_PNL!P715)</f>
        <v/>
      </c>
      <c r="I715">
        <f>IF(PNL!A715="","",IF(_CALC_PNL!E715=1,H715-G715,""))</f>
        <v/>
      </c>
    </row>
    <row r="716">
      <c r="A716" s="1" t="inlineStr">
        <is>
          <t>IPAC_NAN</t>
        </is>
      </c>
      <c r="B716" s="1" t="inlineStr">
        <is>
          <t>645</t>
        </is>
      </c>
      <c r="C716" s="1" t="inlineStr">
        <is>
          <t>2027</t>
        </is>
      </c>
      <c r="D716" s="1" t="inlineStr">
        <is>
          <t>V02</t>
        </is>
      </c>
      <c r="E716" s="1" t="inlineStr">
        <is>
          <t>2027BUD_V1</t>
        </is>
      </c>
      <c r="F716" s="1" t="inlineStr">
        <is>
          <t>12</t>
        </is>
      </c>
      <c r="G716" t="n">
        <v>133793.91</v>
      </c>
      <c r="H716">
        <f>IF(PNL!A716="","",_CALC_PNL!P716)</f>
        <v/>
      </c>
      <c r="I716">
        <f>IF(PNL!A716="","",IF(_CALC_PNL!E716=1,H716-G716,""))</f>
        <v/>
      </c>
    </row>
    <row r="717">
      <c r="A717" s="1" t="inlineStr">
        <is>
          <t>IPAC_NAN</t>
        </is>
      </c>
      <c r="B717" s="1" t="inlineStr">
        <is>
          <t>645</t>
        </is>
      </c>
      <c r="C717" s="1" t="inlineStr">
        <is>
          <t>2027</t>
        </is>
      </c>
      <c r="D717" s="1" t="inlineStr">
        <is>
          <t>V03</t>
        </is>
      </c>
      <c r="E717" s="1" t="inlineStr">
        <is>
          <t>2027BUD_V1</t>
        </is>
      </c>
      <c r="F717" s="1" t="inlineStr">
        <is>
          <t>12</t>
        </is>
      </c>
      <c r="G717" t="n">
        <v>137729.025</v>
      </c>
      <c r="H717">
        <f>IF(PNL!A717="","",_CALC_PNL!P717)</f>
        <v/>
      </c>
      <c r="I717">
        <f>IF(PNL!A717="","",IF(_CALC_PNL!E717=1,H717-G717,""))</f>
        <v/>
      </c>
    </row>
    <row r="718">
      <c r="A718" s="1" t="inlineStr">
        <is>
          <t>IPAC_REN</t>
        </is>
      </c>
      <c r="B718" s="1" t="inlineStr">
        <is>
          <t>645</t>
        </is>
      </c>
      <c r="C718" s="1" t="inlineStr">
        <is>
          <t>2027</t>
        </is>
      </c>
      <c r="D718" s="1" t="inlineStr">
        <is>
          <t>V01</t>
        </is>
      </c>
      <c r="E718" s="1" t="inlineStr">
        <is>
          <t>2027BUD_V1</t>
        </is>
      </c>
      <c r="F718" s="1" t="inlineStr">
        <is>
          <t>12</t>
        </is>
      </c>
      <c r="G718" t="n">
        <v>96395.182</v>
      </c>
      <c r="H718">
        <f>IF(PNL!A718="","",_CALC_PNL!P718)</f>
        <v/>
      </c>
      <c r="I718">
        <f>IF(PNL!A718="","",IF(_CALC_PNL!E718=1,H718-G718,""))</f>
        <v/>
      </c>
    </row>
    <row r="719">
      <c r="A719" s="1" t="inlineStr">
        <is>
          <t>IPAC_REN</t>
        </is>
      </c>
      <c r="B719" s="1" t="inlineStr">
        <is>
          <t>645</t>
        </is>
      </c>
      <c r="C719" s="1" t="inlineStr">
        <is>
          <t>2027</t>
        </is>
      </c>
      <c r="D719" s="1" t="inlineStr">
        <is>
          <t>V02</t>
        </is>
      </c>
      <c r="E719" s="1" t="inlineStr">
        <is>
          <t>2027BUD_V1</t>
        </is>
      </c>
      <c r="F719" s="1" t="inlineStr">
        <is>
          <t>12</t>
        </is>
      </c>
      <c r="G719" t="n">
        <v>95002.60619999999</v>
      </c>
      <c r="H719">
        <f>IF(PNL!A719="","",_CALC_PNL!P719)</f>
        <v/>
      </c>
      <c r="I719">
        <f>IF(PNL!A719="","",IF(_CALC_PNL!E719=1,H719-G719,""))</f>
        <v/>
      </c>
    </row>
    <row r="720">
      <c r="A720" s="1" t="inlineStr">
        <is>
          <t>IPAC_REN</t>
        </is>
      </c>
      <c r="B720" s="1" t="inlineStr">
        <is>
          <t>645</t>
        </is>
      </c>
      <c r="C720" s="1" t="inlineStr">
        <is>
          <t>2027</t>
        </is>
      </c>
      <c r="D720" s="1" t="inlineStr">
        <is>
          <t>V03</t>
        </is>
      </c>
      <c r="E720" s="1" t="inlineStr">
        <is>
          <t>2027BUD_V1</t>
        </is>
      </c>
      <c r="F720" s="1" t="inlineStr">
        <is>
          <t>12</t>
        </is>
      </c>
      <c r="G720" t="n">
        <v>97796.8005</v>
      </c>
      <c r="H720">
        <f>IF(PNL!A720="","",_CALC_PNL!P720)</f>
        <v/>
      </c>
      <c r="I720">
        <f>IF(PNL!A720="","",IF(_CALC_PNL!E720=1,H720-G720,""))</f>
        <v/>
      </c>
    </row>
    <row r="721">
      <c r="A721" s="1" t="inlineStr">
        <is>
          <t>IPAC_MTP</t>
        </is>
      </c>
      <c r="B721" s="1" t="inlineStr">
        <is>
          <t>645</t>
        </is>
      </c>
      <c r="C721" s="1" t="inlineStr">
        <is>
          <t>2027</t>
        </is>
      </c>
      <c r="D721" s="1" t="inlineStr">
        <is>
          <t>V01</t>
        </is>
      </c>
      <c r="E721" s="1" t="inlineStr">
        <is>
          <t>2027BUD_V1</t>
        </is>
      </c>
      <c r="F721" s="1" t="inlineStr">
        <is>
          <t>12</t>
        </is>
      </c>
      <c r="G721" t="n">
        <v>96395.182</v>
      </c>
      <c r="H721">
        <f>IF(PNL!A721="","",_CALC_PNL!P721)</f>
        <v/>
      </c>
      <c r="I721">
        <f>IF(PNL!A721="","",IF(_CALC_PNL!E721=1,H721-G721,""))</f>
        <v/>
      </c>
    </row>
    <row r="722">
      <c r="A722" s="1" t="inlineStr">
        <is>
          <t>IPAC_MTP</t>
        </is>
      </c>
      <c r="B722" s="1" t="inlineStr">
        <is>
          <t>645</t>
        </is>
      </c>
      <c r="C722" s="1" t="inlineStr">
        <is>
          <t>2027</t>
        </is>
      </c>
      <c r="D722" s="1" t="inlineStr">
        <is>
          <t>V02</t>
        </is>
      </c>
      <c r="E722" s="1" t="inlineStr">
        <is>
          <t>2027BUD_V1</t>
        </is>
      </c>
      <c r="F722" s="1" t="inlineStr">
        <is>
          <t>12</t>
        </is>
      </c>
      <c r="G722" t="n">
        <v>95002.60619999999</v>
      </c>
      <c r="H722">
        <f>IF(PNL!A722="","",_CALC_PNL!P722)</f>
        <v/>
      </c>
      <c r="I722">
        <f>IF(PNL!A722="","",IF(_CALC_PNL!E722=1,H722-G722,""))</f>
        <v/>
      </c>
    </row>
    <row r="723">
      <c r="A723" s="1" t="inlineStr">
        <is>
          <t>IPAC_MTP</t>
        </is>
      </c>
      <c r="B723" s="1" t="inlineStr">
        <is>
          <t>645</t>
        </is>
      </c>
      <c r="C723" s="1" t="inlineStr">
        <is>
          <t>2027</t>
        </is>
      </c>
      <c r="D723" s="1" t="inlineStr">
        <is>
          <t>V03</t>
        </is>
      </c>
      <c r="E723" s="1" t="inlineStr">
        <is>
          <t>2027BUD_V1</t>
        </is>
      </c>
      <c r="F723" s="1" t="inlineStr">
        <is>
          <t>12</t>
        </is>
      </c>
      <c r="G723" t="n">
        <v>97796.8005</v>
      </c>
      <c r="H723">
        <f>IF(PNL!A723="","",_CALC_PNL!P723)</f>
        <v/>
      </c>
      <c r="I723">
        <f>IF(PNL!A723="","",IF(_CALC_PNL!E723=1,H723-G723,""))</f>
        <v/>
      </c>
    </row>
    <row r="724">
      <c r="A724" s="1" t="inlineStr">
        <is>
          <t>PIGIER_LYO</t>
        </is>
      </c>
      <c r="B724" s="1" t="inlineStr">
        <is>
          <t>645</t>
        </is>
      </c>
      <c r="C724" s="1" t="inlineStr">
        <is>
          <t>2027</t>
        </is>
      </c>
      <c r="D724" s="1" t="inlineStr">
        <is>
          <t>V01</t>
        </is>
      </c>
      <c r="E724" s="1" t="inlineStr">
        <is>
          <t>2027BUD_V1</t>
        </is>
      </c>
      <c r="F724" s="1" t="inlineStr">
        <is>
          <t>12</t>
        </is>
      </c>
      <c r="G724" t="n">
        <v>190843.848</v>
      </c>
      <c r="H724">
        <f>IF(PNL!A724="","",_CALC_PNL!P724)</f>
        <v/>
      </c>
      <c r="I724">
        <f>IF(PNL!A724="","",IF(_CALC_PNL!E724=1,H724-G724,""))</f>
        <v/>
      </c>
    </row>
    <row r="725">
      <c r="A725" s="1" t="inlineStr">
        <is>
          <t>PIGIER_LYO</t>
        </is>
      </c>
      <c r="B725" s="1" t="inlineStr">
        <is>
          <t>645</t>
        </is>
      </c>
      <c r="C725" s="1" t="inlineStr">
        <is>
          <t>2027</t>
        </is>
      </c>
      <c r="D725" s="1" t="inlineStr">
        <is>
          <t>V02</t>
        </is>
      </c>
      <c r="E725" s="1" t="inlineStr">
        <is>
          <t>2027BUD_V1</t>
        </is>
      </c>
      <c r="F725" s="1" t="inlineStr">
        <is>
          <t>12</t>
        </is>
      </c>
      <c r="G725" t="n">
        <v>188086.8168</v>
      </c>
      <c r="H725">
        <f>IF(PNL!A725="","",_CALC_PNL!P725)</f>
        <v/>
      </c>
      <c r="I725">
        <f>IF(PNL!A725="","",IF(_CALC_PNL!E725=1,H725-G725,""))</f>
        <v/>
      </c>
    </row>
    <row r="726">
      <c r="A726" s="1" t="inlineStr">
        <is>
          <t>PIGIER_LYO</t>
        </is>
      </c>
      <c r="B726" s="1" t="inlineStr">
        <is>
          <t>645</t>
        </is>
      </c>
      <c r="C726" s="1" t="inlineStr">
        <is>
          <t>2027</t>
        </is>
      </c>
      <c r="D726" s="1" t="inlineStr">
        <is>
          <t>V03</t>
        </is>
      </c>
      <c r="E726" s="1" t="inlineStr">
        <is>
          <t>2027BUD_V1</t>
        </is>
      </c>
      <c r="F726" s="1" t="inlineStr">
        <is>
          <t>12</t>
        </is>
      </c>
      <c r="G726" t="n">
        <v>193618.782</v>
      </c>
      <c r="H726">
        <f>IF(PNL!A726="","",_CALC_PNL!P726)</f>
        <v/>
      </c>
      <c r="I726">
        <f>IF(PNL!A726="","",IF(_CALC_PNL!E726=1,H726-G726,""))</f>
        <v/>
      </c>
    </row>
    <row r="727">
      <c r="A727" s="1" t="inlineStr">
        <is>
          <t>PIGIER_BOR</t>
        </is>
      </c>
      <c r="B727" s="1" t="inlineStr">
        <is>
          <t>645</t>
        </is>
      </c>
      <c r="C727" s="1" t="inlineStr">
        <is>
          <t>2027</t>
        </is>
      </c>
      <c r="D727" s="1" t="inlineStr">
        <is>
          <t>V01</t>
        </is>
      </c>
      <c r="E727" s="1" t="inlineStr">
        <is>
          <t>2027BUD_V1</t>
        </is>
      </c>
      <c r="F727" s="1" t="inlineStr">
        <is>
          <t>12</t>
        </is>
      </c>
      <c r="G727" t="n">
        <v>139593.766</v>
      </c>
      <c r="H727">
        <f>IF(PNL!A727="","",_CALC_PNL!P727)</f>
        <v/>
      </c>
      <c r="I727">
        <f>IF(PNL!A727="","",IF(_CALC_PNL!E727=1,H727-G727,""))</f>
        <v/>
      </c>
    </row>
    <row r="728">
      <c r="A728" s="1" t="inlineStr">
        <is>
          <t>PIGIER_BOR</t>
        </is>
      </c>
      <c r="B728" s="1" t="inlineStr">
        <is>
          <t>645</t>
        </is>
      </c>
      <c r="C728" s="1" t="inlineStr">
        <is>
          <t>2027</t>
        </is>
      </c>
      <c r="D728" s="1" t="inlineStr">
        <is>
          <t>V02</t>
        </is>
      </c>
      <c r="E728" s="1" t="inlineStr">
        <is>
          <t>2027BUD_V1</t>
        </is>
      </c>
      <c r="F728" s="1" t="inlineStr">
        <is>
          <t>12</t>
        </is>
      </c>
      <c r="G728" t="n">
        <v>137577.1206</v>
      </c>
      <c r="H728">
        <f>IF(PNL!A728="","",_CALC_PNL!P728)</f>
        <v/>
      </c>
      <c r="I728">
        <f>IF(PNL!A728="","",IF(_CALC_PNL!E728=1,H728-G728,""))</f>
        <v/>
      </c>
    </row>
    <row r="729">
      <c r="A729" s="1" t="inlineStr">
        <is>
          <t>PIGIER_BOR</t>
        </is>
      </c>
      <c r="B729" s="1" t="inlineStr">
        <is>
          <t>645</t>
        </is>
      </c>
      <c r="C729" s="1" t="inlineStr">
        <is>
          <t>2027</t>
        </is>
      </c>
      <c r="D729" s="1" t="inlineStr">
        <is>
          <t>V03</t>
        </is>
      </c>
      <c r="E729" s="1" t="inlineStr">
        <is>
          <t>2027BUD_V1</t>
        </is>
      </c>
      <c r="F729" s="1" t="inlineStr">
        <is>
          <t>12</t>
        </is>
      </c>
      <c r="G729" t="n">
        <v>141623.5065</v>
      </c>
      <c r="H729">
        <f>IF(PNL!A729="","",_CALC_PNL!P729)</f>
        <v/>
      </c>
      <c r="I729">
        <f>IF(PNL!A729="","",IF(_CALC_PNL!E729=1,H729-G729,""))</f>
        <v/>
      </c>
    </row>
    <row r="730">
      <c r="A730" s="1" t="inlineStr">
        <is>
          <t>TUNON_PAR</t>
        </is>
      </c>
      <c r="B730" s="1" t="inlineStr">
        <is>
          <t>645</t>
        </is>
      </c>
      <c r="C730" s="1" t="inlineStr">
        <is>
          <t>2027</t>
        </is>
      </c>
      <c r="D730" s="1" t="inlineStr">
        <is>
          <t>V01</t>
        </is>
      </c>
      <c r="E730" s="1" t="inlineStr">
        <is>
          <t>2027BUD_V1</t>
        </is>
      </c>
      <c r="F730" s="1" t="inlineStr">
        <is>
          <t>12</t>
        </is>
      </c>
      <c r="G730" t="n">
        <v>209306.968</v>
      </c>
      <c r="H730">
        <f>IF(PNL!A730="","",_CALC_PNL!P730)</f>
        <v/>
      </c>
      <c r="I730">
        <f>IF(PNL!A730="","",IF(_CALC_PNL!E730=1,H730-G730,""))</f>
        <v/>
      </c>
    </row>
    <row r="731">
      <c r="A731" s="1" t="inlineStr">
        <is>
          <t>TUNON_PAR</t>
        </is>
      </c>
      <c r="B731" s="1" t="inlineStr">
        <is>
          <t>645</t>
        </is>
      </c>
      <c r="C731" s="1" t="inlineStr">
        <is>
          <t>2027</t>
        </is>
      </c>
      <c r="D731" s="1" t="inlineStr">
        <is>
          <t>V02</t>
        </is>
      </c>
      <c r="E731" s="1" t="inlineStr">
        <is>
          <t>2027BUD_V1</t>
        </is>
      </c>
      <c r="F731" s="1" t="inlineStr">
        <is>
          <t>12</t>
        </is>
      </c>
      <c r="G731" t="n">
        <v>206283.2088</v>
      </c>
      <c r="H731">
        <f>IF(PNL!A731="","",_CALC_PNL!P731)</f>
        <v/>
      </c>
      <c r="I731">
        <f>IF(PNL!A731="","",IF(_CALC_PNL!E731=1,H731-G731,""))</f>
        <v/>
      </c>
    </row>
    <row r="732">
      <c r="A732" s="1" t="inlineStr">
        <is>
          <t>TUNON_PAR</t>
        </is>
      </c>
      <c r="B732" s="1" t="inlineStr">
        <is>
          <t>645</t>
        </is>
      </c>
      <c r="C732" s="1" t="inlineStr">
        <is>
          <t>2027</t>
        </is>
      </c>
      <c r="D732" s="1" t="inlineStr">
        <is>
          <t>V03</t>
        </is>
      </c>
      <c r="E732" s="1" t="inlineStr">
        <is>
          <t>2027BUD_V1</t>
        </is>
      </c>
      <c r="F732" s="1" t="inlineStr">
        <is>
          <t>12</t>
        </is>
      </c>
      <c r="G732" t="n">
        <v>212350.362</v>
      </c>
      <c r="H732">
        <f>IF(PNL!A732="","",_CALC_PNL!P732)</f>
        <v/>
      </c>
      <c r="I732">
        <f>IF(PNL!A732="","",IF(_CALC_PNL!E732=1,H732-G732,""))</f>
        <v/>
      </c>
    </row>
    <row r="733">
      <c r="A733" s="1" t="inlineStr">
        <is>
          <t>TUNON_LYO</t>
        </is>
      </c>
      <c r="B733" s="1" t="inlineStr">
        <is>
          <t>645</t>
        </is>
      </c>
      <c r="C733" s="1" t="inlineStr">
        <is>
          <t>2027</t>
        </is>
      </c>
      <c r="D733" s="1" t="inlineStr">
        <is>
          <t>V01</t>
        </is>
      </c>
      <c r="E733" s="1" t="inlineStr">
        <is>
          <t>2027BUD_V1</t>
        </is>
      </c>
      <c r="F733" s="1" t="inlineStr">
        <is>
          <t>12</t>
        </is>
      </c>
      <c r="G733" t="n">
        <v>122684.874</v>
      </c>
      <c r="H733">
        <f>IF(PNL!A733="","",_CALC_PNL!P733)</f>
        <v/>
      </c>
      <c r="I733">
        <f>IF(PNL!A733="","",IF(_CALC_PNL!E733=1,H733-G733,""))</f>
        <v/>
      </c>
    </row>
    <row r="734">
      <c r="A734" s="1" t="inlineStr">
        <is>
          <t>TUNON_LYO</t>
        </is>
      </c>
      <c r="B734" s="1" t="inlineStr">
        <is>
          <t>645</t>
        </is>
      </c>
      <c r="C734" s="1" t="inlineStr">
        <is>
          <t>2027</t>
        </is>
      </c>
      <c r="D734" s="1" t="inlineStr">
        <is>
          <t>V02</t>
        </is>
      </c>
      <c r="E734" s="1" t="inlineStr">
        <is>
          <t>2027BUD_V1</t>
        </is>
      </c>
      <c r="F734" s="1" t="inlineStr">
        <is>
          <t>12</t>
        </is>
      </c>
      <c r="G734" t="n">
        <v>120912.5034</v>
      </c>
      <c r="H734">
        <f>IF(PNL!A734="","",_CALC_PNL!P734)</f>
        <v/>
      </c>
      <c r="I734">
        <f>IF(PNL!A734="","",IF(_CALC_PNL!E734=1,H734-G734,""))</f>
        <v/>
      </c>
    </row>
    <row r="735">
      <c r="A735" s="1" t="inlineStr">
        <is>
          <t>TUNON_LYO</t>
        </is>
      </c>
      <c r="B735" s="1" t="inlineStr">
        <is>
          <t>645</t>
        </is>
      </c>
      <c r="C735" s="1" t="inlineStr">
        <is>
          <t>2027</t>
        </is>
      </c>
      <c r="D735" s="1" t="inlineStr">
        <is>
          <t>V03</t>
        </is>
      </c>
      <c r="E735" s="1" t="inlineStr">
        <is>
          <t>2027BUD_V1</t>
        </is>
      </c>
      <c r="F735" s="1" t="inlineStr">
        <is>
          <t>12</t>
        </is>
      </c>
      <c r="G735" t="n">
        <v>124468.7535</v>
      </c>
      <c r="H735">
        <f>IF(PNL!A735="","",_CALC_PNL!P735)</f>
        <v/>
      </c>
      <c r="I735">
        <f>IF(PNL!A735="","",IF(_CALC_PNL!E735=1,H735-G735,""))</f>
        <v/>
      </c>
    </row>
    <row r="736">
      <c r="A736" s="1" t="inlineStr">
        <is>
          <t>MBWAY_PAR</t>
        </is>
      </c>
      <c r="B736" s="1" t="inlineStr">
        <is>
          <t>613</t>
        </is>
      </c>
      <c r="C736" s="1" t="inlineStr">
        <is>
          <t>2027</t>
        </is>
      </c>
      <c r="D736" s="1" t="inlineStr">
        <is>
          <t>V01</t>
        </is>
      </c>
      <c r="E736" s="1" t="inlineStr">
        <is>
          <t>2027BUD_V1</t>
        </is>
      </c>
      <c r="F736" s="1" t="inlineStr">
        <is>
          <t>12</t>
        </is>
      </c>
      <c r="G736" t="n">
        <v>374223.39513</v>
      </c>
      <c r="H736">
        <f>IF(PNL!A736="","",_CALC_PNL!P736)</f>
        <v/>
      </c>
      <c r="I736">
        <f>IF(PNL!A736="","",IF(_CALC_PNL!E736=1,H736-G736,""))</f>
        <v/>
      </c>
    </row>
    <row r="737">
      <c r="A737" s="1" t="inlineStr">
        <is>
          <t>MBWAY_PAR</t>
        </is>
      </c>
      <c r="B737" s="1" t="inlineStr">
        <is>
          <t>613</t>
        </is>
      </c>
      <c r="C737" s="1" t="inlineStr">
        <is>
          <t>2027</t>
        </is>
      </c>
      <c r="D737" s="1" t="inlineStr">
        <is>
          <t>V02</t>
        </is>
      </c>
      <c r="E737" s="1" t="inlineStr">
        <is>
          <t>2027BUD_V1</t>
        </is>
      </c>
      <c r="F737" s="1" t="inlineStr">
        <is>
          <t>12</t>
        </is>
      </c>
      <c r="G737" t="n">
        <v>356985.0013135</v>
      </c>
      <c r="H737">
        <f>IF(PNL!A737="","",_CALC_PNL!P737)</f>
        <v/>
      </c>
      <c r="I737">
        <f>IF(PNL!A737="","",IF(_CALC_PNL!E737=1,H737-G737,""))</f>
        <v/>
      </c>
    </row>
    <row r="738">
      <c r="A738" s="1" t="inlineStr">
        <is>
          <t>MBWAY_PAR</t>
        </is>
      </c>
      <c r="B738" s="1" t="inlineStr">
        <is>
          <t>613</t>
        </is>
      </c>
      <c r="C738" s="1" t="inlineStr">
        <is>
          <t>2027</t>
        </is>
      </c>
      <c r="D738" s="1" t="inlineStr">
        <is>
          <t>V03</t>
        </is>
      </c>
      <c r="E738" s="1" t="inlineStr">
        <is>
          <t>2027BUD_V1</t>
        </is>
      </c>
      <c r="F738" s="1" t="inlineStr">
        <is>
          <t>12</t>
        </is>
      </c>
      <c r="G738" t="n">
        <v>400415.6312</v>
      </c>
      <c r="H738">
        <f>IF(PNL!A738="","",_CALC_PNL!P738)</f>
        <v/>
      </c>
      <c r="I738">
        <f>IF(PNL!A738="","",IF(_CALC_PNL!E738=1,H738-G738,""))</f>
        <v/>
      </c>
    </row>
    <row r="739">
      <c r="A739" s="1" t="inlineStr">
        <is>
          <t>MBWAY_LYO</t>
        </is>
      </c>
      <c r="B739" s="1" t="inlineStr">
        <is>
          <t>613</t>
        </is>
      </c>
      <c r="C739" s="1" t="inlineStr">
        <is>
          <t>2027</t>
        </is>
      </c>
      <c r="D739" s="1" t="inlineStr">
        <is>
          <t>V01</t>
        </is>
      </c>
      <c r="E739" s="1" t="inlineStr">
        <is>
          <t>2027BUD_V1</t>
        </is>
      </c>
      <c r="F739" s="1" t="inlineStr">
        <is>
          <t>12</t>
        </is>
      </c>
      <c r="G739" t="n">
        <v>224226.08949</v>
      </c>
      <c r="H739">
        <f>IF(PNL!A739="","",_CALC_PNL!P739)</f>
        <v/>
      </c>
      <c r="I739">
        <f>IF(PNL!A739="","",IF(_CALC_PNL!E739=1,H739-G739,""))</f>
        <v/>
      </c>
    </row>
    <row r="740">
      <c r="A740" s="1" t="inlineStr">
        <is>
          <t>MBWAY_LYO</t>
        </is>
      </c>
      <c r="B740" s="1" t="inlineStr">
        <is>
          <t>613</t>
        </is>
      </c>
      <c r="C740" s="1" t="inlineStr">
        <is>
          <t>2027</t>
        </is>
      </c>
      <c r="D740" s="1" t="inlineStr">
        <is>
          <t>V02</t>
        </is>
      </c>
      <c r="E740" s="1" t="inlineStr">
        <is>
          <t>2027BUD_V1</t>
        </is>
      </c>
      <c r="F740" s="1" t="inlineStr">
        <is>
          <t>12</t>
        </is>
      </c>
      <c r="G740" t="n">
        <v>213897.2386355</v>
      </c>
      <c r="H740">
        <f>IF(PNL!A740="","",_CALC_PNL!P740)</f>
        <v/>
      </c>
      <c r="I740">
        <f>IF(PNL!A740="","",IF(_CALC_PNL!E740=1,H740-G740,""))</f>
        <v/>
      </c>
    </row>
    <row r="741">
      <c r="A741" s="1" t="inlineStr">
        <is>
          <t>MBWAY_LYO</t>
        </is>
      </c>
      <c r="B741" s="1" t="inlineStr">
        <is>
          <t>613</t>
        </is>
      </c>
      <c r="C741" s="1" t="inlineStr">
        <is>
          <t>2027</t>
        </is>
      </c>
      <c r="D741" s="1" t="inlineStr">
        <is>
          <t>V03</t>
        </is>
      </c>
      <c r="E741" s="1" t="inlineStr">
        <is>
          <t>2027BUD_V1</t>
        </is>
      </c>
      <c r="F741" s="1" t="inlineStr">
        <is>
          <t>12</t>
        </is>
      </c>
      <c r="G741" t="n">
        <v>239919.8776</v>
      </c>
      <c r="H741">
        <f>IF(PNL!A741="","",_CALC_PNL!P741)</f>
        <v/>
      </c>
      <c r="I741">
        <f>IF(PNL!A741="","",IF(_CALC_PNL!E741=1,H741-G741,""))</f>
        <v/>
      </c>
    </row>
    <row r="742">
      <c r="A742" s="1" t="inlineStr">
        <is>
          <t>MBWAY_NAN</t>
        </is>
      </c>
      <c r="B742" s="1" t="inlineStr">
        <is>
          <t>613</t>
        </is>
      </c>
      <c r="C742" s="1" t="inlineStr">
        <is>
          <t>2027</t>
        </is>
      </c>
      <c r="D742" s="1" t="inlineStr">
        <is>
          <t>V01</t>
        </is>
      </c>
      <c r="E742" s="1" t="inlineStr">
        <is>
          <t>2027BUD_V1</t>
        </is>
      </c>
      <c r="F742" s="1" t="inlineStr">
        <is>
          <t>12</t>
        </is>
      </c>
      <c r="G742" t="n">
        <v>184801.59009</v>
      </c>
      <c r="H742">
        <f>IF(PNL!A742="","",_CALC_PNL!P742)</f>
        <v/>
      </c>
      <c r="I742">
        <f>IF(PNL!A742="","",IF(_CALC_PNL!E742=1,H742-G742,""))</f>
        <v/>
      </c>
    </row>
    <row r="743">
      <c r="A743" s="1" t="inlineStr">
        <is>
          <t>MBWAY_NAN</t>
        </is>
      </c>
      <c r="B743" s="1" t="inlineStr">
        <is>
          <t>613</t>
        </is>
      </c>
      <c r="C743" s="1" t="inlineStr">
        <is>
          <t>2027</t>
        </is>
      </c>
      <c r="D743" s="1" t="inlineStr">
        <is>
          <t>V02</t>
        </is>
      </c>
      <c r="E743" s="1" t="inlineStr">
        <is>
          <t>2027BUD_V1</t>
        </is>
      </c>
      <c r="F743" s="1" t="inlineStr">
        <is>
          <t>12</t>
        </is>
      </c>
      <c r="G743" t="n">
        <v>176288.8070055</v>
      </c>
      <c r="H743">
        <f>IF(PNL!A743="","",_CALC_PNL!P743)</f>
        <v/>
      </c>
      <c r="I743">
        <f>IF(PNL!A743="","",IF(_CALC_PNL!E743=1,H743-G743,""))</f>
        <v/>
      </c>
    </row>
    <row r="744">
      <c r="A744" s="1" t="inlineStr">
        <is>
          <t>MBWAY_NAN</t>
        </is>
      </c>
      <c r="B744" s="1" t="inlineStr">
        <is>
          <t>613</t>
        </is>
      </c>
      <c r="C744" s="1" t="inlineStr">
        <is>
          <t>2027</t>
        </is>
      </c>
      <c r="D744" s="1" t="inlineStr">
        <is>
          <t>V03</t>
        </is>
      </c>
      <c r="E744" s="1" t="inlineStr">
        <is>
          <t>2027BUD_V1</t>
        </is>
      </c>
      <c r="F744" s="1" t="inlineStr">
        <is>
          <t>12</t>
        </is>
      </c>
      <c r="G744" t="n">
        <v>197736.0216</v>
      </c>
      <c r="H744">
        <f>IF(PNL!A744="","",_CALC_PNL!P744)</f>
        <v/>
      </c>
      <c r="I744">
        <f>IF(PNL!A744="","",IF(_CALC_PNL!E744=1,H744-G744,""))</f>
        <v/>
      </c>
    </row>
    <row r="745">
      <c r="A745" s="1" t="inlineStr">
        <is>
          <t>MBWAY_BOR</t>
        </is>
      </c>
      <c r="B745" s="1" t="inlineStr">
        <is>
          <t>613</t>
        </is>
      </c>
      <c r="C745" s="1" t="inlineStr">
        <is>
          <t>2027</t>
        </is>
      </c>
      <c r="D745" s="1" t="inlineStr">
        <is>
          <t>V01</t>
        </is>
      </c>
      <c r="E745" s="1" t="inlineStr">
        <is>
          <t>2027BUD_V1</t>
        </is>
      </c>
      <c r="F745" s="1" t="inlineStr">
        <is>
          <t>12</t>
        </is>
      </c>
      <c r="G745" t="n">
        <v>161701.51647</v>
      </c>
      <c r="H745">
        <f>IF(PNL!A745="","",_CALC_PNL!P745)</f>
        <v/>
      </c>
      <c r="I745">
        <f>IF(PNL!A745="","",IF(_CALC_PNL!E745=1,H745-G745,""))</f>
        <v/>
      </c>
    </row>
    <row r="746">
      <c r="A746" s="1" t="inlineStr">
        <is>
          <t>MBWAY_BOR</t>
        </is>
      </c>
      <c r="B746" s="1" t="inlineStr">
        <is>
          <t>613</t>
        </is>
      </c>
      <c r="C746" s="1" t="inlineStr">
        <is>
          <t>2027</t>
        </is>
      </c>
      <c r="D746" s="1" t="inlineStr">
        <is>
          <t>V02</t>
        </is>
      </c>
      <c r="E746" s="1" t="inlineStr">
        <is>
          <t>2027BUD_V1</t>
        </is>
      </c>
      <c r="F746" s="1" t="inlineStr">
        <is>
          <t>12</t>
        </is>
      </c>
      <c r="G746" t="n">
        <v>154252.8255065</v>
      </c>
      <c r="H746">
        <f>IF(PNL!A746="","",_CALC_PNL!P746)</f>
        <v/>
      </c>
      <c r="I746">
        <f>IF(PNL!A746="","",IF(_CALC_PNL!E746=1,H746-G746,""))</f>
        <v/>
      </c>
    </row>
    <row r="747">
      <c r="A747" s="1" t="inlineStr">
        <is>
          <t>MBWAY_BOR</t>
        </is>
      </c>
      <c r="B747" s="1" t="inlineStr">
        <is>
          <t>613</t>
        </is>
      </c>
      <c r="C747" s="1" t="inlineStr">
        <is>
          <t>2027</t>
        </is>
      </c>
      <c r="D747" s="1" t="inlineStr">
        <is>
          <t>V03</t>
        </is>
      </c>
      <c r="E747" s="1" t="inlineStr">
        <is>
          <t>2027BUD_V1</t>
        </is>
      </c>
      <c r="F747" s="1" t="inlineStr">
        <is>
          <t>12</t>
        </is>
      </c>
      <c r="G747" t="n">
        <v>173019.1528</v>
      </c>
      <c r="H747">
        <f>IF(PNL!A747="","",_CALC_PNL!P747)</f>
        <v/>
      </c>
      <c r="I747">
        <f>IF(PNL!A747="","",IF(_CALC_PNL!E747=1,H747-G747,""))</f>
        <v/>
      </c>
    </row>
    <row r="748">
      <c r="A748" s="1" t="inlineStr">
        <is>
          <t>ISCOM_PAR</t>
        </is>
      </c>
      <c r="B748" s="1" t="inlineStr">
        <is>
          <t>613</t>
        </is>
      </c>
      <c r="C748" s="1" t="inlineStr">
        <is>
          <t>2027</t>
        </is>
      </c>
      <c r="D748" s="1" t="inlineStr">
        <is>
          <t>V01</t>
        </is>
      </c>
      <c r="E748" s="1" t="inlineStr">
        <is>
          <t>2027BUD_V1</t>
        </is>
      </c>
      <c r="F748" s="1" t="inlineStr">
        <is>
          <t>12</t>
        </is>
      </c>
      <c r="G748" t="n">
        <v>374223.39513</v>
      </c>
      <c r="H748">
        <f>IF(PNL!A748="","",_CALC_PNL!P748)</f>
        <v/>
      </c>
      <c r="I748">
        <f>IF(PNL!A748="","",IF(_CALC_PNL!E748=1,H748-G748,""))</f>
        <v/>
      </c>
    </row>
    <row r="749">
      <c r="A749" s="1" t="inlineStr">
        <is>
          <t>ISCOM_PAR</t>
        </is>
      </c>
      <c r="B749" s="1" t="inlineStr">
        <is>
          <t>613</t>
        </is>
      </c>
      <c r="C749" s="1" t="inlineStr">
        <is>
          <t>2027</t>
        </is>
      </c>
      <c r="D749" s="1" t="inlineStr">
        <is>
          <t>V02</t>
        </is>
      </c>
      <c r="E749" s="1" t="inlineStr">
        <is>
          <t>2027BUD_V1</t>
        </is>
      </c>
      <c r="F749" s="1" t="inlineStr">
        <is>
          <t>12</t>
        </is>
      </c>
      <c r="G749" t="n">
        <v>356985.0013135</v>
      </c>
      <c r="H749">
        <f>IF(PNL!A749="","",_CALC_PNL!P749)</f>
        <v/>
      </c>
      <c r="I749">
        <f>IF(PNL!A749="","",IF(_CALC_PNL!E749=1,H749-G749,""))</f>
        <v/>
      </c>
    </row>
    <row r="750">
      <c r="A750" s="1" t="inlineStr">
        <is>
          <t>ISCOM_PAR</t>
        </is>
      </c>
      <c r="B750" s="1" t="inlineStr">
        <is>
          <t>613</t>
        </is>
      </c>
      <c r="C750" s="1" t="inlineStr">
        <is>
          <t>2027</t>
        </is>
      </c>
      <c r="D750" s="1" t="inlineStr">
        <is>
          <t>V03</t>
        </is>
      </c>
      <c r="E750" s="1" t="inlineStr">
        <is>
          <t>2027BUD_V1</t>
        </is>
      </c>
      <c r="F750" s="1" t="inlineStr">
        <is>
          <t>12</t>
        </is>
      </c>
      <c r="G750" t="n">
        <v>400415.6312</v>
      </c>
      <c r="H750">
        <f>IF(PNL!A750="","",_CALC_PNL!P750)</f>
        <v/>
      </c>
      <c r="I750">
        <f>IF(PNL!A750="","",IF(_CALC_PNL!E750=1,H750-G750,""))</f>
        <v/>
      </c>
    </row>
    <row r="751">
      <c r="A751" s="1" t="inlineStr">
        <is>
          <t>ISCOM_LIL</t>
        </is>
      </c>
      <c r="B751" s="1" t="inlineStr">
        <is>
          <t>613</t>
        </is>
      </c>
      <c r="C751" s="1" t="inlineStr">
        <is>
          <t>2027</t>
        </is>
      </c>
      <c r="D751" s="1" t="inlineStr">
        <is>
          <t>V01</t>
        </is>
      </c>
      <c r="E751" s="1" t="inlineStr">
        <is>
          <t>2027BUD_V1</t>
        </is>
      </c>
      <c r="F751" s="1" t="inlineStr">
        <is>
          <t>12</t>
        </is>
      </c>
      <c r="G751" t="n">
        <v>141680.91873</v>
      </c>
      <c r="H751">
        <f>IF(PNL!A751="","",_CALC_PNL!P751)</f>
        <v/>
      </c>
      <c r="I751">
        <f>IF(PNL!A751="","",IF(_CALC_PNL!E751=1,H751-G751,""))</f>
        <v/>
      </c>
    </row>
    <row r="752">
      <c r="A752" s="1" t="inlineStr">
        <is>
          <t>ISCOM_LIL</t>
        </is>
      </c>
      <c r="B752" s="1" t="inlineStr">
        <is>
          <t>613</t>
        </is>
      </c>
      <c r="C752" s="1" t="inlineStr">
        <is>
          <t>2027</t>
        </is>
      </c>
      <c r="D752" s="1" t="inlineStr">
        <is>
          <t>V02</t>
        </is>
      </c>
      <c r="E752" s="1" t="inlineStr">
        <is>
          <t>2027BUD_V1</t>
        </is>
      </c>
      <c r="F752" s="1" t="inlineStr">
        <is>
          <t>12</t>
        </is>
      </c>
      <c r="G752" t="n">
        <v>135154.4655335</v>
      </c>
      <c r="H752">
        <f>IF(PNL!A752="","",_CALC_PNL!P752)</f>
        <v/>
      </c>
      <c r="I752">
        <f>IF(PNL!A752="","",IF(_CALC_PNL!E752=1,H752-G752,""))</f>
        <v/>
      </c>
    </row>
    <row r="753">
      <c r="A753" s="1" t="inlineStr">
        <is>
          <t>ISCOM_LIL</t>
        </is>
      </c>
      <c r="B753" s="1" t="inlineStr">
        <is>
          <t>613</t>
        </is>
      </c>
      <c r="C753" s="1" t="inlineStr">
        <is>
          <t>2027</t>
        </is>
      </c>
      <c r="D753" s="1" t="inlineStr">
        <is>
          <t>V03</t>
        </is>
      </c>
      <c r="E753" s="1" t="inlineStr">
        <is>
          <t>2027BUD_V1</t>
        </is>
      </c>
      <c r="F753" s="1" t="inlineStr">
        <is>
          <t>12</t>
        </is>
      </c>
      <c r="G753" t="n">
        <v>151597.2952</v>
      </c>
      <c r="H753">
        <f>IF(PNL!A753="","",_CALC_PNL!P753)</f>
        <v/>
      </c>
      <c r="I753">
        <f>IF(PNL!A753="","",IF(_CALC_PNL!E753=1,H753-G753,""))</f>
        <v/>
      </c>
    </row>
    <row r="754">
      <c r="A754" s="1" t="inlineStr">
        <is>
          <t>ISCOM_TLS</t>
        </is>
      </c>
      <c r="B754" s="1" t="inlineStr">
        <is>
          <t>613</t>
        </is>
      </c>
      <c r="C754" s="1" t="inlineStr">
        <is>
          <t>2027</t>
        </is>
      </c>
      <c r="D754" s="1" t="inlineStr">
        <is>
          <t>V01</t>
        </is>
      </c>
      <c r="E754" s="1" t="inlineStr">
        <is>
          <t>2027BUD_V1</t>
        </is>
      </c>
      <c r="F754" s="1" t="inlineStr">
        <is>
          <t>12</t>
        </is>
      </c>
      <c r="G754" t="n">
        <v>138601.44285</v>
      </c>
      <c r="H754">
        <f>IF(PNL!A754="","",_CALC_PNL!P754)</f>
        <v/>
      </c>
      <c r="I754">
        <f>IF(PNL!A754="","",IF(_CALC_PNL!E754=1,H754-G754,""))</f>
        <v/>
      </c>
    </row>
    <row r="755">
      <c r="A755" s="1" t="inlineStr">
        <is>
          <t>ISCOM_TLS</t>
        </is>
      </c>
      <c r="B755" s="1" t="inlineStr">
        <is>
          <t>613</t>
        </is>
      </c>
      <c r="C755" s="1" t="inlineStr">
        <is>
          <t>2027</t>
        </is>
      </c>
      <c r="D755" s="1" t="inlineStr">
        <is>
          <t>V02</t>
        </is>
      </c>
      <c r="E755" s="1" t="inlineStr">
        <is>
          <t>2027BUD_V1</t>
        </is>
      </c>
      <c r="F755" s="1" t="inlineStr">
        <is>
          <t>12</t>
        </is>
      </c>
      <c r="G755" t="n">
        <v>132216.8440075</v>
      </c>
      <c r="H755">
        <f>IF(PNL!A755="","",_CALC_PNL!P755)</f>
        <v/>
      </c>
      <c r="I755">
        <f>IF(PNL!A755="","",IF(_CALC_PNL!E755=1,H755-G755,""))</f>
        <v/>
      </c>
    </row>
    <row r="756">
      <c r="A756" s="1" t="inlineStr">
        <is>
          <t>ISCOM_TLS</t>
        </is>
      </c>
      <c r="B756" s="1" t="inlineStr">
        <is>
          <t>613</t>
        </is>
      </c>
      <c r="C756" s="1" t="inlineStr">
        <is>
          <t>2027</t>
        </is>
      </c>
      <c r="D756" s="1" t="inlineStr">
        <is>
          <t>V03</t>
        </is>
      </c>
      <c r="E756" s="1" t="inlineStr">
        <is>
          <t>2027BUD_V1</t>
        </is>
      </c>
      <c r="F756" s="1" t="inlineStr">
        <is>
          <t>12</t>
        </is>
      </c>
      <c r="G756" t="n">
        <v>148302.284</v>
      </c>
      <c r="H756">
        <f>IF(PNL!A756="","",_CALC_PNL!P756)</f>
        <v/>
      </c>
      <c r="I756">
        <f>IF(PNL!A756="","",IF(_CALC_PNL!E756=1,H756-G756,""))</f>
        <v/>
      </c>
    </row>
    <row r="757">
      <c r="A757" s="1" t="inlineStr">
        <is>
          <t>IPAC_NAN</t>
        </is>
      </c>
      <c r="B757" s="1" t="inlineStr">
        <is>
          <t>613</t>
        </is>
      </c>
      <c r="C757" s="1" t="inlineStr">
        <is>
          <t>2027</t>
        </is>
      </c>
      <c r="D757" s="1" t="inlineStr">
        <is>
          <t>V01</t>
        </is>
      </c>
      <c r="E757" s="1" t="inlineStr">
        <is>
          <t>2027BUD_V1</t>
        </is>
      </c>
      <c r="F757" s="1" t="inlineStr">
        <is>
          <t>12</t>
        </is>
      </c>
      <c r="G757" t="n">
        <v>92401.29561</v>
      </c>
      <c r="H757">
        <f>IF(PNL!A757="","",_CALC_PNL!P757)</f>
        <v/>
      </c>
      <c r="I757">
        <f>IF(PNL!A757="","",IF(_CALC_PNL!E757=1,H757-G757,""))</f>
        <v/>
      </c>
    </row>
    <row r="758">
      <c r="A758" s="1" t="inlineStr">
        <is>
          <t>IPAC_NAN</t>
        </is>
      </c>
      <c r="B758" s="1" t="inlineStr">
        <is>
          <t>613</t>
        </is>
      </c>
      <c r="C758" s="1" t="inlineStr">
        <is>
          <t>2027</t>
        </is>
      </c>
      <c r="D758" s="1" t="inlineStr">
        <is>
          <t>V02</t>
        </is>
      </c>
      <c r="E758" s="1" t="inlineStr">
        <is>
          <t>2027BUD_V1</t>
        </is>
      </c>
      <c r="F758" s="1" t="inlineStr">
        <is>
          <t>12</t>
        </is>
      </c>
      <c r="G758" t="n">
        <v>88144.88100949999</v>
      </c>
      <c r="H758">
        <f>IF(PNL!A758="","",_CALC_PNL!P758)</f>
        <v/>
      </c>
      <c r="I758">
        <f>IF(PNL!A758="","",IF(_CALC_PNL!E758=1,H758-G758,""))</f>
        <v/>
      </c>
    </row>
    <row r="759">
      <c r="A759" s="1" t="inlineStr">
        <is>
          <t>IPAC_NAN</t>
        </is>
      </c>
      <c r="B759" s="1" t="inlineStr">
        <is>
          <t>613</t>
        </is>
      </c>
      <c r="C759" s="1" t="inlineStr">
        <is>
          <t>2027</t>
        </is>
      </c>
      <c r="D759" s="1" t="inlineStr">
        <is>
          <t>V03</t>
        </is>
      </c>
      <c r="E759" s="1" t="inlineStr">
        <is>
          <t>2027BUD_V1</t>
        </is>
      </c>
      <c r="F759" s="1" t="inlineStr">
        <is>
          <t>12</t>
        </is>
      </c>
      <c r="G759" t="n">
        <v>98868.54640000001</v>
      </c>
      <c r="H759">
        <f>IF(PNL!A759="","",_CALC_PNL!P759)</f>
        <v/>
      </c>
      <c r="I759">
        <f>IF(PNL!A759="","",IF(_CALC_PNL!E759=1,H759-G759,""))</f>
        <v/>
      </c>
    </row>
    <row r="760">
      <c r="A760" s="1" t="inlineStr">
        <is>
          <t>IPAC_REN</t>
        </is>
      </c>
      <c r="B760" s="1" t="inlineStr">
        <is>
          <t>613</t>
        </is>
      </c>
      <c r="C760" s="1" t="inlineStr">
        <is>
          <t>2027</t>
        </is>
      </c>
      <c r="D760" s="1" t="inlineStr">
        <is>
          <t>V01</t>
        </is>
      </c>
      <c r="E760" s="1" t="inlineStr">
        <is>
          <t>2027BUD_V1</t>
        </is>
      </c>
      <c r="F760" s="1" t="inlineStr">
        <is>
          <t>12</t>
        </is>
      </c>
      <c r="G760" t="n">
        <v>81312.77972999999</v>
      </c>
      <c r="H760">
        <f>IF(PNL!A760="","",_CALC_PNL!P760)</f>
        <v/>
      </c>
      <c r="I760">
        <f>IF(PNL!A760="","",IF(_CALC_PNL!E760=1,H760-G760,""))</f>
        <v/>
      </c>
    </row>
    <row r="761">
      <c r="A761" s="1" t="inlineStr">
        <is>
          <t>IPAC_REN</t>
        </is>
      </c>
      <c r="B761" s="1" t="inlineStr">
        <is>
          <t>613</t>
        </is>
      </c>
      <c r="C761" s="1" t="inlineStr">
        <is>
          <t>2027</t>
        </is>
      </c>
      <c r="D761" s="1" t="inlineStr">
        <is>
          <t>V02</t>
        </is>
      </c>
      <c r="E761" s="1" t="inlineStr">
        <is>
          <t>2027BUD_V1</t>
        </is>
      </c>
      <c r="F761" s="1" t="inlineStr">
        <is>
          <t>12</t>
        </is>
      </c>
      <c r="G761" t="n">
        <v>77567.1514835</v>
      </c>
      <c r="H761">
        <f>IF(PNL!A761="","",_CALC_PNL!P761)</f>
        <v/>
      </c>
      <c r="I761">
        <f>IF(PNL!A761="","",IF(_CALC_PNL!E761=1,H761-G761,""))</f>
        <v/>
      </c>
    </row>
    <row r="762">
      <c r="A762" s="1" t="inlineStr">
        <is>
          <t>IPAC_REN</t>
        </is>
      </c>
      <c r="B762" s="1" t="inlineStr">
        <is>
          <t>613</t>
        </is>
      </c>
      <c r="C762" s="1" t="inlineStr">
        <is>
          <t>2027</t>
        </is>
      </c>
      <c r="D762" s="1" t="inlineStr">
        <is>
          <t>V03</t>
        </is>
      </c>
      <c r="E762" s="1" t="inlineStr">
        <is>
          <t>2027BUD_V1</t>
        </is>
      </c>
      <c r="F762" s="1" t="inlineStr">
        <is>
          <t>12</t>
        </is>
      </c>
      <c r="G762" t="n">
        <v>87003.93520000001</v>
      </c>
      <c r="H762">
        <f>IF(PNL!A762="","",_CALC_PNL!P762)</f>
        <v/>
      </c>
      <c r="I762">
        <f>IF(PNL!A762="","",IF(_CALC_PNL!E762=1,H762-G762,""))</f>
        <v/>
      </c>
    </row>
    <row r="763">
      <c r="A763" s="1" t="inlineStr">
        <is>
          <t>IPAC_MTP</t>
        </is>
      </c>
      <c r="B763" s="1" t="inlineStr">
        <is>
          <t>613</t>
        </is>
      </c>
      <c r="C763" s="1" t="inlineStr">
        <is>
          <t>2027</t>
        </is>
      </c>
      <c r="D763" s="1" t="inlineStr">
        <is>
          <t>V01</t>
        </is>
      </c>
      <c r="E763" s="1" t="inlineStr">
        <is>
          <t>2027BUD_V1</t>
        </is>
      </c>
      <c r="F763" s="1" t="inlineStr">
        <is>
          <t>12</t>
        </is>
      </c>
      <c r="G763" t="n">
        <v>81312.77972999999</v>
      </c>
      <c r="H763">
        <f>IF(PNL!A763="","",_CALC_PNL!P763)</f>
        <v/>
      </c>
      <c r="I763">
        <f>IF(PNL!A763="","",IF(_CALC_PNL!E763=1,H763-G763,""))</f>
        <v/>
      </c>
    </row>
    <row r="764">
      <c r="A764" s="1" t="inlineStr">
        <is>
          <t>IPAC_MTP</t>
        </is>
      </c>
      <c r="B764" s="1" t="inlineStr">
        <is>
          <t>613</t>
        </is>
      </c>
      <c r="C764" s="1" t="inlineStr">
        <is>
          <t>2027</t>
        </is>
      </c>
      <c r="D764" s="1" t="inlineStr">
        <is>
          <t>V02</t>
        </is>
      </c>
      <c r="E764" s="1" t="inlineStr">
        <is>
          <t>2027BUD_V1</t>
        </is>
      </c>
      <c r="F764" s="1" t="inlineStr">
        <is>
          <t>12</t>
        </is>
      </c>
      <c r="G764" t="n">
        <v>77567.1514835</v>
      </c>
      <c r="H764">
        <f>IF(PNL!A764="","",_CALC_PNL!P764)</f>
        <v/>
      </c>
      <c r="I764">
        <f>IF(PNL!A764="","",IF(_CALC_PNL!E764=1,H764-G764,""))</f>
        <v/>
      </c>
    </row>
    <row r="765">
      <c r="A765" s="1" t="inlineStr">
        <is>
          <t>IPAC_MTP</t>
        </is>
      </c>
      <c r="B765" s="1" t="inlineStr">
        <is>
          <t>613</t>
        </is>
      </c>
      <c r="C765" s="1" t="inlineStr">
        <is>
          <t>2027</t>
        </is>
      </c>
      <c r="D765" s="1" t="inlineStr">
        <is>
          <t>V03</t>
        </is>
      </c>
      <c r="E765" s="1" t="inlineStr">
        <is>
          <t>2027BUD_V1</t>
        </is>
      </c>
      <c r="F765" s="1" t="inlineStr">
        <is>
          <t>12</t>
        </is>
      </c>
      <c r="G765" t="n">
        <v>87003.93520000001</v>
      </c>
      <c r="H765">
        <f>IF(PNL!A765="","",_CALC_PNL!P765)</f>
        <v/>
      </c>
      <c r="I765">
        <f>IF(PNL!A765="","",IF(_CALC_PNL!E765=1,H765-G765,""))</f>
        <v/>
      </c>
    </row>
    <row r="766">
      <c r="A766" s="1" t="inlineStr">
        <is>
          <t>PIGIER_LYO</t>
        </is>
      </c>
      <c r="B766" s="1" t="inlineStr">
        <is>
          <t>613</t>
        </is>
      </c>
      <c r="C766" s="1" t="inlineStr">
        <is>
          <t>2027</t>
        </is>
      </c>
      <c r="D766" s="1" t="inlineStr">
        <is>
          <t>V01</t>
        </is>
      </c>
      <c r="E766" s="1" t="inlineStr">
        <is>
          <t>2027BUD_V1</t>
        </is>
      </c>
      <c r="F766" s="1" t="inlineStr">
        <is>
          <t>12</t>
        </is>
      </c>
      <c r="G766" t="n">
        <v>137985.7479</v>
      </c>
      <c r="H766">
        <f>IF(PNL!A766="","",_CALC_PNL!P766)</f>
        <v/>
      </c>
      <c r="I766">
        <f>IF(PNL!A766="","",IF(_CALC_PNL!E766=1,H766-G766,""))</f>
        <v/>
      </c>
    </row>
    <row r="767">
      <c r="A767" s="1" t="inlineStr">
        <is>
          <t>PIGIER_LYO</t>
        </is>
      </c>
      <c r="B767" s="1" t="inlineStr">
        <is>
          <t>613</t>
        </is>
      </c>
      <c r="C767" s="1" t="inlineStr">
        <is>
          <t>2027</t>
        </is>
      </c>
      <c r="D767" s="1" t="inlineStr">
        <is>
          <t>V02</t>
        </is>
      </c>
      <c r="E767" s="1" t="inlineStr">
        <is>
          <t>2027BUD_V1</t>
        </is>
      </c>
      <c r="F767" s="1" t="inlineStr">
        <is>
          <t>12</t>
        </is>
      </c>
      <c r="G767" t="n">
        <v>131629.510705</v>
      </c>
      <c r="H767">
        <f>IF(PNL!A767="","",_CALC_PNL!P767)</f>
        <v/>
      </c>
      <c r="I767">
        <f>IF(PNL!A767="","",IF(_CALC_PNL!E767=1,H767-G767,""))</f>
        <v/>
      </c>
    </row>
    <row r="768">
      <c r="A768" s="1" t="inlineStr">
        <is>
          <t>PIGIER_LYO</t>
        </is>
      </c>
      <c r="B768" s="1" t="inlineStr">
        <is>
          <t>613</t>
        </is>
      </c>
      <c r="C768" s="1" t="inlineStr">
        <is>
          <t>2027</t>
        </is>
      </c>
      <c r="D768" s="1" t="inlineStr">
        <is>
          <t>V03</t>
        </is>
      </c>
      <c r="E768" s="1" t="inlineStr">
        <is>
          <t>2027BUD_V1</t>
        </is>
      </c>
      <c r="F768" s="1" t="inlineStr">
        <is>
          <t>12</t>
        </is>
      </c>
      <c r="G768" t="n">
        <v>147643.496</v>
      </c>
      <c r="H768">
        <f>IF(PNL!A768="","",_CALC_PNL!P768)</f>
        <v/>
      </c>
      <c r="I768">
        <f>IF(PNL!A768="","",IF(_CALC_PNL!E768=1,H768-G768,""))</f>
        <v/>
      </c>
    </row>
    <row r="769">
      <c r="A769" s="1" t="inlineStr">
        <is>
          <t>PIGIER_BOR</t>
        </is>
      </c>
      <c r="B769" s="1" t="inlineStr">
        <is>
          <t>613</t>
        </is>
      </c>
      <c r="C769" s="1" t="inlineStr">
        <is>
          <t>2027</t>
        </is>
      </c>
      <c r="D769" s="1" t="inlineStr">
        <is>
          <t>V01</t>
        </is>
      </c>
      <c r="E769" s="1" t="inlineStr">
        <is>
          <t>2027BUD_V1</t>
        </is>
      </c>
      <c r="F769" s="1" t="inlineStr">
        <is>
          <t>12</t>
        </is>
      </c>
      <c r="G769" t="n">
        <v>129361.01295</v>
      </c>
      <c r="H769">
        <f>IF(PNL!A769="","",_CALC_PNL!P769)</f>
        <v/>
      </c>
      <c r="I769">
        <f>IF(PNL!A769="","",IF(_CALC_PNL!E769=1,H769-G769,""))</f>
        <v/>
      </c>
    </row>
    <row r="770">
      <c r="A770" s="1" t="inlineStr">
        <is>
          <t>PIGIER_BOR</t>
        </is>
      </c>
      <c r="B770" s="1" t="inlineStr">
        <is>
          <t>613</t>
        </is>
      </c>
      <c r="C770" s="1" t="inlineStr">
        <is>
          <t>2027</t>
        </is>
      </c>
      <c r="D770" s="1" t="inlineStr">
        <is>
          <t>V02</t>
        </is>
      </c>
      <c r="E770" s="1" t="inlineStr">
        <is>
          <t>2027BUD_V1</t>
        </is>
      </c>
      <c r="F770" s="1" t="inlineStr">
        <is>
          <t>12</t>
        </is>
      </c>
      <c r="G770" t="n">
        <v>123402.0694025</v>
      </c>
      <c r="H770">
        <f>IF(PNL!A770="","",_CALC_PNL!P770)</f>
        <v/>
      </c>
      <c r="I770">
        <f>IF(PNL!A770="","",IF(_CALC_PNL!E770=1,H770-G770,""))</f>
        <v/>
      </c>
    </row>
    <row r="771">
      <c r="A771" s="1" t="inlineStr">
        <is>
          <t>PIGIER_BOR</t>
        </is>
      </c>
      <c r="B771" s="1" t="inlineStr">
        <is>
          <t>613</t>
        </is>
      </c>
      <c r="C771" s="1" t="inlineStr">
        <is>
          <t>2027</t>
        </is>
      </c>
      <c r="D771" s="1" t="inlineStr">
        <is>
          <t>V03</t>
        </is>
      </c>
      <c r="E771" s="1" t="inlineStr">
        <is>
          <t>2027BUD_V1</t>
        </is>
      </c>
      <c r="F771" s="1" t="inlineStr">
        <is>
          <t>12</t>
        </is>
      </c>
      <c r="G771" t="n">
        <v>138415.108</v>
      </c>
      <c r="H771">
        <f>IF(PNL!A771="","",_CALC_PNL!P771)</f>
        <v/>
      </c>
      <c r="I771">
        <f>IF(PNL!A771="","",IF(_CALC_PNL!E771=1,H771-G771,""))</f>
        <v/>
      </c>
    </row>
    <row r="772">
      <c r="A772" s="1" t="inlineStr">
        <is>
          <t>TUNON_PAR</t>
        </is>
      </c>
      <c r="B772" s="1" t="inlineStr">
        <is>
          <t>613</t>
        </is>
      </c>
      <c r="C772" s="1" t="inlineStr">
        <is>
          <t>2027</t>
        </is>
      </c>
      <c r="D772" s="1" t="inlineStr">
        <is>
          <t>V01</t>
        </is>
      </c>
      <c r="E772" s="1" t="inlineStr">
        <is>
          <t>2027BUD_V1</t>
        </is>
      </c>
      <c r="F772" s="1" t="inlineStr">
        <is>
          <t>12</t>
        </is>
      </c>
      <c r="G772" t="n">
        <v>149688.9576</v>
      </c>
      <c r="H772">
        <f>IF(PNL!A772="","",_CALC_PNL!P772)</f>
        <v/>
      </c>
      <c r="I772">
        <f>IF(PNL!A772="","",IF(_CALC_PNL!E772=1,H772-G772,""))</f>
        <v/>
      </c>
    </row>
    <row r="773">
      <c r="A773" s="1" t="inlineStr">
        <is>
          <t>TUNON_PAR</t>
        </is>
      </c>
      <c r="B773" s="1" t="inlineStr">
        <is>
          <t>613</t>
        </is>
      </c>
      <c r="C773" s="1" t="inlineStr">
        <is>
          <t>2027</t>
        </is>
      </c>
      <c r="D773" s="1" t="inlineStr">
        <is>
          <t>V02</t>
        </is>
      </c>
      <c r="E773" s="1" t="inlineStr">
        <is>
          <t>2027BUD_V1</t>
        </is>
      </c>
      <c r="F773" s="1" t="inlineStr">
        <is>
          <t>12</t>
        </is>
      </c>
      <c r="G773" t="n">
        <v>142793.61852</v>
      </c>
      <c r="H773">
        <f>IF(PNL!A773="","",_CALC_PNL!P773)</f>
        <v/>
      </c>
      <c r="I773">
        <f>IF(PNL!A773="","",IF(_CALC_PNL!E773=1,H773-G773,""))</f>
        <v/>
      </c>
    </row>
    <row r="774">
      <c r="A774" s="1" t="inlineStr">
        <is>
          <t>TUNON_PAR</t>
        </is>
      </c>
      <c r="B774" s="1" t="inlineStr">
        <is>
          <t>613</t>
        </is>
      </c>
      <c r="C774" s="1" t="inlineStr">
        <is>
          <t>2027</t>
        </is>
      </c>
      <c r="D774" s="1" t="inlineStr">
        <is>
          <t>V03</t>
        </is>
      </c>
      <c r="E774" s="1" t="inlineStr">
        <is>
          <t>2027BUD_V1</t>
        </is>
      </c>
      <c r="F774" s="1" t="inlineStr">
        <is>
          <t>12</t>
        </is>
      </c>
      <c r="G774" t="n">
        <v>160165.824</v>
      </c>
      <c r="H774">
        <f>IF(PNL!A774="","",_CALC_PNL!P774)</f>
        <v/>
      </c>
      <c r="I774">
        <f>IF(PNL!A774="","",IF(_CALC_PNL!E774=1,H774-G774,""))</f>
        <v/>
      </c>
    </row>
    <row r="775">
      <c r="A775" s="1" t="inlineStr">
        <is>
          <t>TUNON_LYO</t>
        </is>
      </c>
      <c r="B775" s="1" t="inlineStr">
        <is>
          <t>613</t>
        </is>
      </c>
      <c r="C775" s="1" t="inlineStr">
        <is>
          <t>2027</t>
        </is>
      </c>
      <c r="D775" s="1" t="inlineStr">
        <is>
          <t>V01</t>
        </is>
      </c>
      <c r="E775" s="1" t="inlineStr">
        <is>
          <t>2027BUD_V1</t>
        </is>
      </c>
      <c r="F775" s="1" t="inlineStr">
        <is>
          <t>12</t>
        </is>
      </c>
      <c r="G775" t="n">
        <v>103488.81036</v>
      </c>
      <c r="H775">
        <f>IF(PNL!A775="","",_CALC_PNL!P775)</f>
        <v/>
      </c>
      <c r="I775">
        <f>IF(PNL!A775="","",IF(_CALC_PNL!E775=1,H775-G775,""))</f>
        <v/>
      </c>
    </row>
    <row r="776">
      <c r="A776" s="1" t="inlineStr">
        <is>
          <t>TUNON_LYO</t>
        </is>
      </c>
      <c r="B776" s="1" t="inlineStr">
        <is>
          <t>613</t>
        </is>
      </c>
      <c r="C776" s="1" t="inlineStr">
        <is>
          <t>2027</t>
        </is>
      </c>
      <c r="D776" s="1" t="inlineStr">
        <is>
          <t>V02</t>
        </is>
      </c>
      <c r="E776" s="1" t="inlineStr">
        <is>
          <t>2027BUD_V1</t>
        </is>
      </c>
      <c r="F776" s="1" t="inlineStr">
        <is>
          <t>12</t>
        </is>
      </c>
      <c r="G776" t="n">
        <v>98721.655522</v>
      </c>
      <c r="H776">
        <f>IF(PNL!A776="","",_CALC_PNL!P776)</f>
        <v/>
      </c>
      <c r="I776">
        <f>IF(PNL!A776="","",IF(_CALC_PNL!E776=1,H776-G776,""))</f>
        <v/>
      </c>
    </row>
    <row r="777">
      <c r="A777" s="1" t="inlineStr">
        <is>
          <t>TUNON_LYO</t>
        </is>
      </c>
      <c r="B777" s="1" t="inlineStr">
        <is>
          <t>613</t>
        </is>
      </c>
      <c r="C777" s="1" t="inlineStr">
        <is>
          <t>2027</t>
        </is>
      </c>
      <c r="D777" s="1" t="inlineStr">
        <is>
          <t>V03</t>
        </is>
      </c>
      <c r="E777" s="1" t="inlineStr">
        <is>
          <t>2027BUD_V1</t>
        </is>
      </c>
      <c r="F777" s="1" t="inlineStr">
        <is>
          <t>12</t>
        </is>
      </c>
      <c r="G777" t="n">
        <v>110732.0864</v>
      </c>
      <c r="H777">
        <f>IF(PNL!A777="","",_CALC_PNL!P777)</f>
        <v/>
      </c>
      <c r="I777">
        <f>IF(PNL!A777="","",IF(_CALC_PNL!E777=1,H777-G777,""))</f>
        <v/>
      </c>
    </row>
    <row r="778">
      <c r="A778" s="1" t="inlineStr">
        <is>
          <t>MBWAY_PAR</t>
        </is>
      </c>
      <c r="B778" s="1" t="inlineStr">
        <is>
          <t>615</t>
        </is>
      </c>
      <c r="C778" s="1" t="inlineStr">
        <is>
          <t>2027</t>
        </is>
      </c>
      <c r="D778" s="1" t="inlineStr">
        <is>
          <t>V01</t>
        </is>
      </c>
      <c r="E778" s="1" t="inlineStr">
        <is>
          <t>2027BUD_V1</t>
        </is>
      </c>
      <c r="F778" s="1" t="inlineStr">
        <is>
          <t>12</t>
        </is>
      </c>
      <c r="G778" t="n">
        <v>53460.342</v>
      </c>
      <c r="H778">
        <f>IF(PNL!A778="","",_CALC_PNL!P778)</f>
        <v/>
      </c>
      <c r="I778">
        <f>IF(PNL!A778="","",IF(_CALC_PNL!E778=1,H778-G778,""))</f>
        <v/>
      </c>
    </row>
    <row r="779">
      <c r="A779" s="1" t="inlineStr">
        <is>
          <t>MBWAY_PAR</t>
        </is>
      </c>
      <c r="B779" s="1" t="inlineStr">
        <is>
          <t>615</t>
        </is>
      </c>
      <c r="C779" s="1" t="inlineStr">
        <is>
          <t>2027</t>
        </is>
      </c>
      <c r="D779" s="1" t="inlineStr">
        <is>
          <t>V02</t>
        </is>
      </c>
      <c r="E779" s="1" t="inlineStr">
        <is>
          <t>2027BUD_V1</t>
        </is>
      </c>
      <c r="F779" s="1" t="inlineStr">
        <is>
          <t>12</t>
        </is>
      </c>
      <c r="G779" t="n">
        <v>50997.7209</v>
      </c>
      <c r="H779">
        <f>IF(PNL!A779="","",_CALC_PNL!P779)</f>
        <v/>
      </c>
      <c r="I779">
        <f>IF(PNL!A779="","",IF(_CALC_PNL!E779=1,H779-G779,""))</f>
        <v/>
      </c>
    </row>
    <row r="780">
      <c r="A780" s="1" t="inlineStr">
        <is>
          <t>MBWAY_PAR</t>
        </is>
      </c>
      <c r="B780" s="1" t="inlineStr">
        <is>
          <t>615</t>
        </is>
      </c>
      <c r="C780" s="1" t="inlineStr">
        <is>
          <t>2027</t>
        </is>
      </c>
      <c r="D780" s="1" t="inlineStr">
        <is>
          <t>V03</t>
        </is>
      </c>
      <c r="E780" s="1" t="inlineStr">
        <is>
          <t>2027BUD_V1</t>
        </is>
      </c>
      <c r="F780" s="1" t="inlineStr">
        <is>
          <t>12</t>
        </is>
      </c>
      <c r="G780" t="n">
        <v>57202.08</v>
      </c>
      <c r="H780">
        <f>IF(PNL!A780="","",_CALC_PNL!P780)</f>
        <v/>
      </c>
      <c r="I780">
        <f>IF(PNL!A780="","",IF(_CALC_PNL!E780=1,H780-G780,""))</f>
        <v/>
      </c>
    </row>
    <row r="781">
      <c r="A781" s="1" t="inlineStr">
        <is>
          <t>MBWAY_LYO</t>
        </is>
      </c>
      <c r="B781" s="1" t="inlineStr">
        <is>
          <t>615</t>
        </is>
      </c>
      <c r="C781" s="1" t="inlineStr">
        <is>
          <t>2027</t>
        </is>
      </c>
      <c r="D781" s="1" t="inlineStr">
        <is>
          <t>V01</t>
        </is>
      </c>
      <c r="E781" s="1" t="inlineStr">
        <is>
          <t>2027BUD_V1</t>
        </is>
      </c>
      <c r="F781" s="1" t="inlineStr">
        <is>
          <t>12</t>
        </is>
      </c>
      <c r="G781" t="n">
        <v>32032.15548</v>
      </c>
      <c r="H781">
        <f>IF(PNL!A781="","",_CALC_PNL!P781)</f>
        <v/>
      </c>
      <c r="I781">
        <f>IF(PNL!A781="","",IF(_CALC_PNL!E781=1,H781-G781,""))</f>
        <v/>
      </c>
    </row>
    <row r="782">
      <c r="A782" s="1" t="inlineStr">
        <is>
          <t>MBWAY_LYO</t>
        </is>
      </c>
      <c r="B782" s="1" t="inlineStr">
        <is>
          <t>615</t>
        </is>
      </c>
      <c r="C782" s="1" t="inlineStr">
        <is>
          <t>2027</t>
        </is>
      </c>
      <c r="D782" s="1" t="inlineStr">
        <is>
          <t>V02</t>
        </is>
      </c>
      <c r="E782" s="1" t="inlineStr">
        <is>
          <t>2027BUD_V1</t>
        </is>
      </c>
      <c r="F782" s="1" t="inlineStr">
        <is>
          <t>12</t>
        </is>
      </c>
      <c r="G782" t="n">
        <v>30556.611946</v>
      </c>
      <c r="H782">
        <f>IF(PNL!A782="","",_CALC_PNL!P782)</f>
        <v/>
      </c>
      <c r="I782">
        <f>IF(PNL!A782="","",IF(_CALC_PNL!E782=1,H782-G782,""))</f>
        <v/>
      </c>
    </row>
    <row r="783">
      <c r="A783" s="1" t="inlineStr">
        <is>
          <t>MBWAY_LYO</t>
        </is>
      </c>
      <c r="B783" s="1" t="inlineStr">
        <is>
          <t>615</t>
        </is>
      </c>
      <c r="C783" s="1" t="inlineStr">
        <is>
          <t>2027</t>
        </is>
      </c>
      <c r="D783" s="1" t="inlineStr">
        <is>
          <t>V03</t>
        </is>
      </c>
      <c r="E783" s="1" t="inlineStr">
        <is>
          <t>2027BUD_V1</t>
        </is>
      </c>
      <c r="F783" s="1" t="inlineStr">
        <is>
          <t>12</t>
        </is>
      </c>
      <c r="G783" t="n">
        <v>34274.1152</v>
      </c>
      <c r="H783">
        <f>IF(PNL!A783="","",_CALC_PNL!P783)</f>
        <v/>
      </c>
      <c r="I783">
        <f>IF(PNL!A783="","",IF(_CALC_PNL!E783=1,H783-G783,""))</f>
        <v/>
      </c>
    </row>
    <row r="784">
      <c r="A784" s="1" t="inlineStr">
        <is>
          <t>MBWAY_NAN</t>
        </is>
      </c>
      <c r="B784" s="1" t="inlineStr">
        <is>
          <t>615</t>
        </is>
      </c>
      <c r="C784" s="1" t="inlineStr">
        <is>
          <t>2027</t>
        </is>
      </c>
      <c r="D784" s="1" t="inlineStr">
        <is>
          <t>V01</t>
        </is>
      </c>
      <c r="E784" s="1" t="inlineStr">
        <is>
          <t>2027BUD_V1</t>
        </is>
      </c>
      <c r="F784" s="1" t="inlineStr">
        <is>
          <t>12</t>
        </is>
      </c>
      <c r="G784" t="n">
        <v>26399.7981</v>
      </c>
      <c r="H784">
        <f>IF(PNL!A784="","",_CALC_PNL!P784)</f>
        <v/>
      </c>
      <c r="I784">
        <f>IF(PNL!A784="","",IF(_CALC_PNL!E784=1,H784-G784,""))</f>
        <v/>
      </c>
    </row>
    <row r="785">
      <c r="A785" s="1" t="inlineStr">
        <is>
          <t>MBWAY_NAN</t>
        </is>
      </c>
      <c r="B785" s="1" t="inlineStr">
        <is>
          <t>615</t>
        </is>
      </c>
      <c r="C785" s="1" t="inlineStr">
        <is>
          <t>2027</t>
        </is>
      </c>
      <c r="D785" s="1" t="inlineStr">
        <is>
          <t>V02</t>
        </is>
      </c>
      <c r="E785" s="1" t="inlineStr">
        <is>
          <t>2027BUD_V1</t>
        </is>
      </c>
      <c r="F785" s="1" t="inlineStr">
        <is>
          <t>12</t>
        </is>
      </c>
      <c r="G785" t="n">
        <v>25183.705995</v>
      </c>
      <c r="H785">
        <f>IF(PNL!A785="","",_CALC_PNL!P785)</f>
        <v/>
      </c>
      <c r="I785">
        <f>IF(PNL!A785="","",IF(_CALC_PNL!E785=1,H785-G785,""))</f>
        <v/>
      </c>
    </row>
    <row r="786">
      <c r="A786" s="1" t="inlineStr">
        <is>
          <t>MBWAY_NAN</t>
        </is>
      </c>
      <c r="B786" s="1" t="inlineStr">
        <is>
          <t>615</t>
        </is>
      </c>
      <c r="C786" s="1" t="inlineStr">
        <is>
          <t>2027</t>
        </is>
      </c>
      <c r="D786" s="1" t="inlineStr">
        <is>
          <t>V03</t>
        </is>
      </c>
      <c r="E786" s="1" t="inlineStr">
        <is>
          <t>2027BUD_V1</t>
        </is>
      </c>
      <c r="F786" s="1" t="inlineStr">
        <is>
          <t>12</t>
        </is>
      </c>
      <c r="G786" t="n">
        <v>28247.544</v>
      </c>
      <c r="H786">
        <f>IF(PNL!A786="","",_CALC_PNL!P786)</f>
        <v/>
      </c>
      <c r="I786">
        <f>IF(PNL!A786="","",IF(_CALC_PNL!E786=1,H786-G786,""))</f>
        <v/>
      </c>
    </row>
    <row r="787">
      <c r="A787" s="1" t="inlineStr">
        <is>
          <t>MBWAY_BOR</t>
        </is>
      </c>
      <c r="B787" s="1" t="inlineStr">
        <is>
          <t>615</t>
        </is>
      </c>
      <c r="C787" s="1" t="inlineStr">
        <is>
          <t>2027</t>
        </is>
      </c>
      <c r="D787" s="1" t="inlineStr">
        <is>
          <t>V01</t>
        </is>
      </c>
      <c r="E787" s="1" t="inlineStr">
        <is>
          <t>2027BUD_V1</t>
        </is>
      </c>
      <c r="F787" s="1" t="inlineStr">
        <is>
          <t>12</t>
        </is>
      </c>
      <c r="G787" t="n">
        <v>23100.07362</v>
      </c>
      <c r="H787">
        <f>IF(PNL!A787="","",_CALC_PNL!P787)</f>
        <v/>
      </c>
      <c r="I787">
        <f>IF(PNL!A787="","",IF(_CALC_PNL!E787=1,H787-G787,""))</f>
        <v/>
      </c>
    </row>
    <row r="788">
      <c r="A788" s="1" t="inlineStr">
        <is>
          <t>MBWAY_BOR</t>
        </is>
      </c>
      <c r="B788" s="1" t="inlineStr">
        <is>
          <t>615</t>
        </is>
      </c>
      <c r="C788" s="1" t="inlineStr">
        <is>
          <t>2027</t>
        </is>
      </c>
      <c r="D788" s="1" t="inlineStr">
        <is>
          <t>V02</t>
        </is>
      </c>
      <c r="E788" s="1" t="inlineStr">
        <is>
          <t>2027BUD_V1</t>
        </is>
      </c>
      <c r="F788" s="1" t="inlineStr">
        <is>
          <t>12</t>
        </is>
      </c>
      <c r="G788" t="n">
        <v>22035.981499</v>
      </c>
      <c r="H788">
        <f>IF(PNL!A788="","",_CALC_PNL!P788)</f>
        <v/>
      </c>
      <c r="I788">
        <f>IF(PNL!A788="","",IF(_CALC_PNL!E788=1,H788-G788,""))</f>
        <v/>
      </c>
    </row>
    <row r="789">
      <c r="A789" s="1" t="inlineStr">
        <is>
          <t>MBWAY_BOR</t>
        </is>
      </c>
      <c r="B789" s="1" t="inlineStr">
        <is>
          <t>615</t>
        </is>
      </c>
      <c r="C789" s="1" t="inlineStr">
        <is>
          <t>2027</t>
        </is>
      </c>
      <c r="D789" s="1" t="inlineStr">
        <is>
          <t>V03</t>
        </is>
      </c>
      <c r="E789" s="1" t="inlineStr">
        <is>
          <t>2027BUD_V1</t>
        </is>
      </c>
      <c r="F789" s="1" t="inlineStr">
        <is>
          <t>12</t>
        </is>
      </c>
      <c r="G789" t="n">
        <v>24716.8688</v>
      </c>
      <c r="H789">
        <f>IF(PNL!A789="","",_CALC_PNL!P789)</f>
        <v/>
      </c>
      <c r="I789">
        <f>IF(PNL!A789="","",IF(_CALC_PNL!E789=1,H789-G789,""))</f>
        <v/>
      </c>
    </row>
    <row r="790">
      <c r="A790" s="1" t="inlineStr">
        <is>
          <t>ISCOM_PAR</t>
        </is>
      </c>
      <c r="B790" s="1" t="inlineStr">
        <is>
          <t>615</t>
        </is>
      </c>
      <c r="C790" s="1" t="inlineStr">
        <is>
          <t>2027</t>
        </is>
      </c>
      <c r="D790" s="1" t="inlineStr">
        <is>
          <t>V01</t>
        </is>
      </c>
      <c r="E790" s="1" t="inlineStr">
        <is>
          <t>2027BUD_V1</t>
        </is>
      </c>
      <c r="F790" s="1" t="inlineStr">
        <is>
          <t>12</t>
        </is>
      </c>
      <c r="G790" t="n">
        <v>53460.342</v>
      </c>
      <c r="H790">
        <f>IF(PNL!A790="","",_CALC_PNL!P790)</f>
        <v/>
      </c>
      <c r="I790">
        <f>IF(PNL!A790="","",IF(_CALC_PNL!E790=1,H790-G790,""))</f>
        <v/>
      </c>
    </row>
    <row r="791">
      <c r="A791" s="1" t="inlineStr">
        <is>
          <t>ISCOM_PAR</t>
        </is>
      </c>
      <c r="B791" s="1" t="inlineStr">
        <is>
          <t>615</t>
        </is>
      </c>
      <c r="C791" s="1" t="inlineStr">
        <is>
          <t>2027</t>
        </is>
      </c>
      <c r="D791" s="1" t="inlineStr">
        <is>
          <t>V02</t>
        </is>
      </c>
      <c r="E791" s="1" t="inlineStr">
        <is>
          <t>2027BUD_V1</t>
        </is>
      </c>
      <c r="F791" s="1" t="inlineStr">
        <is>
          <t>12</t>
        </is>
      </c>
      <c r="G791" t="n">
        <v>50997.7209</v>
      </c>
      <c r="H791">
        <f>IF(PNL!A791="","",_CALC_PNL!P791)</f>
        <v/>
      </c>
      <c r="I791">
        <f>IF(PNL!A791="","",IF(_CALC_PNL!E791=1,H791-G791,""))</f>
        <v/>
      </c>
    </row>
    <row r="792">
      <c r="A792" s="1" t="inlineStr">
        <is>
          <t>ISCOM_PAR</t>
        </is>
      </c>
      <c r="B792" s="1" t="inlineStr">
        <is>
          <t>615</t>
        </is>
      </c>
      <c r="C792" s="1" t="inlineStr">
        <is>
          <t>2027</t>
        </is>
      </c>
      <c r="D792" s="1" t="inlineStr">
        <is>
          <t>V03</t>
        </is>
      </c>
      <c r="E792" s="1" t="inlineStr">
        <is>
          <t>2027BUD_V1</t>
        </is>
      </c>
      <c r="F792" s="1" t="inlineStr">
        <is>
          <t>12</t>
        </is>
      </c>
      <c r="G792" t="n">
        <v>57202.08</v>
      </c>
      <c r="H792">
        <f>IF(PNL!A792="","",_CALC_PNL!P792)</f>
        <v/>
      </c>
      <c r="I792">
        <f>IF(PNL!A792="","",IF(_CALC_PNL!E792=1,H792-G792,""))</f>
        <v/>
      </c>
    </row>
    <row r="793">
      <c r="A793" s="1" t="inlineStr">
        <is>
          <t>ISCOM_LIL</t>
        </is>
      </c>
      <c r="B793" s="1" t="inlineStr">
        <is>
          <t>615</t>
        </is>
      </c>
      <c r="C793" s="1" t="inlineStr">
        <is>
          <t>2027</t>
        </is>
      </c>
      <c r="D793" s="1" t="inlineStr">
        <is>
          <t>V01</t>
        </is>
      </c>
      <c r="E793" s="1" t="inlineStr">
        <is>
          <t>2027BUD_V1</t>
        </is>
      </c>
      <c r="F793" s="1" t="inlineStr">
        <is>
          <t>12</t>
        </is>
      </c>
      <c r="G793" t="n">
        <v>20239.84521</v>
      </c>
      <c r="H793">
        <f>IF(PNL!A793="","",_CALC_PNL!P793)</f>
        <v/>
      </c>
      <c r="I793">
        <f>IF(PNL!A793="","",IF(_CALC_PNL!E793=1,H793-G793,""))</f>
        <v/>
      </c>
    </row>
    <row r="794">
      <c r="A794" s="1" t="inlineStr">
        <is>
          <t>ISCOM_LIL</t>
        </is>
      </c>
      <c r="B794" s="1" t="inlineStr">
        <is>
          <t>615</t>
        </is>
      </c>
      <c r="C794" s="1" t="inlineStr">
        <is>
          <t>2027</t>
        </is>
      </c>
      <c r="D794" s="1" t="inlineStr">
        <is>
          <t>V02</t>
        </is>
      </c>
      <c r="E794" s="1" t="inlineStr">
        <is>
          <t>2027BUD_V1</t>
        </is>
      </c>
      <c r="F794" s="1" t="inlineStr">
        <is>
          <t>12</t>
        </is>
      </c>
      <c r="G794" t="n">
        <v>19307.5079295</v>
      </c>
      <c r="H794">
        <f>IF(PNL!A794="","",_CALC_PNL!P794)</f>
        <v/>
      </c>
      <c r="I794">
        <f>IF(PNL!A794="","",IF(_CALC_PNL!E794=1,H794-G794,""))</f>
        <v/>
      </c>
    </row>
    <row r="795">
      <c r="A795" s="1" t="inlineStr">
        <is>
          <t>ISCOM_LIL</t>
        </is>
      </c>
      <c r="B795" s="1" t="inlineStr">
        <is>
          <t>615</t>
        </is>
      </c>
      <c r="C795" s="1" t="inlineStr">
        <is>
          <t>2027</t>
        </is>
      </c>
      <c r="D795" s="1" t="inlineStr">
        <is>
          <t>V03</t>
        </is>
      </c>
      <c r="E795" s="1" t="inlineStr">
        <is>
          <t>2027BUD_V1</t>
        </is>
      </c>
      <c r="F795" s="1" t="inlineStr">
        <is>
          <t>12</t>
        </is>
      </c>
      <c r="G795" t="n">
        <v>21656.4504</v>
      </c>
      <c r="H795">
        <f>IF(PNL!A795="","",_CALC_PNL!P795)</f>
        <v/>
      </c>
      <c r="I795">
        <f>IF(PNL!A795="","",IF(_CALC_PNL!E795=1,H795-G795,""))</f>
        <v/>
      </c>
    </row>
    <row r="796">
      <c r="A796" s="1" t="inlineStr">
        <is>
          <t>ISCOM_TLS</t>
        </is>
      </c>
      <c r="B796" s="1" t="inlineStr">
        <is>
          <t>615</t>
        </is>
      </c>
      <c r="C796" s="1" t="inlineStr">
        <is>
          <t>2027</t>
        </is>
      </c>
      <c r="D796" s="1" t="inlineStr">
        <is>
          <t>V01</t>
        </is>
      </c>
      <c r="E796" s="1" t="inlineStr">
        <is>
          <t>2027BUD_V1</t>
        </is>
      </c>
      <c r="F796" s="1" t="inlineStr">
        <is>
          <t>12</t>
        </is>
      </c>
      <c r="G796" t="n">
        <v>19800.34914</v>
      </c>
      <c r="H796">
        <f>IF(PNL!A796="","",_CALC_PNL!P796)</f>
        <v/>
      </c>
      <c r="I796">
        <f>IF(PNL!A796="","",IF(_CALC_PNL!E796=1,H796-G796,""))</f>
        <v/>
      </c>
    </row>
    <row r="797">
      <c r="A797" s="1" t="inlineStr">
        <is>
          <t>ISCOM_TLS</t>
        </is>
      </c>
      <c r="B797" s="1" t="inlineStr">
        <is>
          <t>615</t>
        </is>
      </c>
      <c r="C797" s="1" t="inlineStr">
        <is>
          <t>2027</t>
        </is>
      </c>
      <c r="D797" s="1" t="inlineStr">
        <is>
          <t>V02</t>
        </is>
      </c>
      <c r="E797" s="1" t="inlineStr">
        <is>
          <t>2027BUD_V1</t>
        </is>
      </c>
      <c r="F797" s="1" t="inlineStr">
        <is>
          <t>12</t>
        </is>
      </c>
      <c r="G797" t="n">
        <v>18888.257003</v>
      </c>
      <c r="H797">
        <f>IF(PNL!A797="","",_CALC_PNL!P797)</f>
        <v/>
      </c>
      <c r="I797">
        <f>IF(PNL!A797="","",IF(_CALC_PNL!E797=1,H797-G797,""))</f>
        <v/>
      </c>
    </row>
    <row r="798">
      <c r="A798" s="1" t="inlineStr">
        <is>
          <t>ISCOM_TLS</t>
        </is>
      </c>
      <c r="B798" s="1" t="inlineStr">
        <is>
          <t>615</t>
        </is>
      </c>
      <c r="C798" s="1" t="inlineStr">
        <is>
          <t>2027</t>
        </is>
      </c>
      <c r="D798" s="1" t="inlineStr">
        <is>
          <t>V03</t>
        </is>
      </c>
      <c r="E798" s="1" t="inlineStr">
        <is>
          <t>2027BUD_V1</t>
        </is>
      </c>
      <c r="F798" s="1" t="inlineStr">
        <is>
          <t>12</t>
        </is>
      </c>
      <c r="G798" t="n">
        <v>21186.1936</v>
      </c>
      <c r="H798">
        <f>IF(PNL!A798="","",_CALC_PNL!P798)</f>
        <v/>
      </c>
      <c r="I798">
        <f>IF(PNL!A798="","",IF(_CALC_PNL!E798=1,H798-G798,""))</f>
        <v/>
      </c>
    </row>
    <row r="799">
      <c r="A799" s="1" t="inlineStr">
        <is>
          <t>IPAC_NAN</t>
        </is>
      </c>
      <c r="B799" s="1" t="inlineStr">
        <is>
          <t>615</t>
        </is>
      </c>
      <c r="C799" s="1" t="inlineStr">
        <is>
          <t>2027</t>
        </is>
      </c>
      <c r="D799" s="1" t="inlineStr">
        <is>
          <t>V01</t>
        </is>
      </c>
      <c r="E799" s="1" t="inlineStr">
        <is>
          <t>2027BUD_V1</t>
        </is>
      </c>
      <c r="F799" s="1" t="inlineStr">
        <is>
          <t>12</t>
        </is>
      </c>
      <c r="G799" t="n">
        <v>13199.89905</v>
      </c>
      <c r="H799">
        <f>IF(PNL!A799="","",_CALC_PNL!P799)</f>
        <v/>
      </c>
      <c r="I799">
        <f>IF(PNL!A799="","",IF(_CALC_PNL!E799=1,H799-G799,""))</f>
        <v/>
      </c>
    </row>
    <row r="800">
      <c r="A800" s="1" t="inlineStr">
        <is>
          <t>IPAC_NAN</t>
        </is>
      </c>
      <c r="B800" s="1" t="inlineStr">
        <is>
          <t>615</t>
        </is>
      </c>
      <c r="C800" s="1" t="inlineStr">
        <is>
          <t>2027</t>
        </is>
      </c>
      <c r="D800" s="1" t="inlineStr">
        <is>
          <t>V02</t>
        </is>
      </c>
      <c r="E800" s="1" t="inlineStr">
        <is>
          <t>2027BUD_V1</t>
        </is>
      </c>
      <c r="F800" s="1" t="inlineStr">
        <is>
          <t>12</t>
        </is>
      </c>
      <c r="G800" t="n">
        <v>12591.8529975</v>
      </c>
      <c r="H800">
        <f>IF(PNL!A800="","",_CALC_PNL!P800)</f>
        <v/>
      </c>
      <c r="I800">
        <f>IF(PNL!A800="","",IF(_CALC_PNL!E800=1,H800-G800,""))</f>
        <v/>
      </c>
    </row>
    <row r="801">
      <c r="A801" s="1" t="inlineStr">
        <is>
          <t>IPAC_NAN</t>
        </is>
      </c>
      <c r="B801" s="1" t="inlineStr">
        <is>
          <t>615</t>
        </is>
      </c>
      <c r="C801" s="1" t="inlineStr">
        <is>
          <t>2027</t>
        </is>
      </c>
      <c r="D801" s="1" t="inlineStr">
        <is>
          <t>V03</t>
        </is>
      </c>
      <c r="E801" s="1" t="inlineStr">
        <is>
          <t>2027BUD_V1</t>
        </is>
      </c>
      <c r="F801" s="1" t="inlineStr">
        <is>
          <t>12</t>
        </is>
      </c>
      <c r="G801" t="n">
        <v>14123.772</v>
      </c>
      <c r="H801">
        <f>IF(PNL!A801="","",_CALC_PNL!P801)</f>
        <v/>
      </c>
      <c r="I801">
        <f>IF(PNL!A801="","",IF(_CALC_PNL!E801=1,H801-G801,""))</f>
        <v/>
      </c>
    </row>
    <row r="802">
      <c r="A802" s="1" t="inlineStr">
        <is>
          <t>IPAC_REN</t>
        </is>
      </c>
      <c r="B802" s="1" t="inlineStr">
        <is>
          <t>615</t>
        </is>
      </c>
      <c r="C802" s="1" t="inlineStr">
        <is>
          <t>2027</t>
        </is>
      </c>
      <c r="D802" s="1" t="inlineStr">
        <is>
          <t>V01</t>
        </is>
      </c>
      <c r="E802" s="1" t="inlineStr">
        <is>
          <t>2027BUD_V1</t>
        </is>
      </c>
      <c r="F802" s="1" t="inlineStr">
        <is>
          <t>12</t>
        </is>
      </c>
      <c r="G802" t="n">
        <v>11616.11139</v>
      </c>
      <c r="H802">
        <f>IF(PNL!A802="","",_CALC_PNL!P802)</f>
        <v/>
      </c>
      <c r="I802">
        <f>IF(PNL!A802="","",IF(_CALC_PNL!E802=1,H802-G802,""))</f>
        <v/>
      </c>
    </row>
    <row r="803">
      <c r="A803" s="1" t="inlineStr">
        <is>
          <t>IPAC_REN</t>
        </is>
      </c>
      <c r="B803" s="1" t="inlineStr">
        <is>
          <t>615</t>
        </is>
      </c>
      <c r="C803" s="1" t="inlineStr">
        <is>
          <t>2027</t>
        </is>
      </c>
      <c r="D803" s="1" t="inlineStr">
        <is>
          <t>V02</t>
        </is>
      </c>
      <c r="E803" s="1" t="inlineStr">
        <is>
          <t>2027BUD_V1</t>
        </is>
      </c>
      <c r="F803" s="1" t="inlineStr">
        <is>
          <t>12</t>
        </is>
      </c>
      <c r="G803" t="n">
        <v>11081.0216405</v>
      </c>
      <c r="H803">
        <f>IF(PNL!A803="","",_CALC_PNL!P803)</f>
        <v/>
      </c>
      <c r="I803">
        <f>IF(PNL!A803="","",IF(_CALC_PNL!E803=1,H803-G803,""))</f>
        <v/>
      </c>
    </row>
    <row r="804">
      <c r="A804" s="1" t="inlineStr">
        <is>
          <t>IPAC_REN</t>
        </is>
      </c>
      <c r="B804" s="1" t="inlineStr">
        <is>
          <t>615</t>
        </is>
      </c>
      <c r="C804" s="1" t="inlineStr">
        <is>
          <t>2027</t>
        </is>
      </c>
      <c r="D804" s="1" t="inlineStr">
        <is>
          <t>V03</t>
        </is>
      </c>
      <c r="E804" s="1" t="inlineStr">
        <is>
          <t>2027BUD_V1</t>
        </is>
      </c>
      <c r="F804" s="1" t="inlineStr">
        <is>
          <t>12</t>
        </is>
      </c>
      <c r="G804" t="n">
        <v>12429.1336</v>
      </c>
      <c r="H804">
        <f>IF(PNL!A804="","",_CALC_PNL!P804)</f>
        <v/>
      </c>
      <c r="I804">
        <f>IF(PNL!A804="","",IF(_CALC_PNL!E804=1,H804-G804,""))</f>
        <v/>
      </c>
    </row>
    <row r="805">
      <c r="A805" s="1" t="inlineStr">
        <is>
          <t>IPAC_MTP</t>
        </is>
      </c>
      <c r="B805" s="1" t="inlineStr">
        <is>
          <t>615</t>
        </is>
      </c>
      <c r="C805" s="1" t="inlineStr">
        <is>
          <t>2027</t>
        </is>
      </c>
      <c r="D805" s="1" t="inlineStr">
        <is>
          <t>V01</t>
        </is>
      </c>
      <c r="E805" s="1" t="inlineStr">
        <is>
          <t>2027BUD_V1</t>
        </is>
      </c>
      <c r="F805" s="1" t="inlineStr">
        <is>
          <t>12</t>
        </is>
      </c>
      <c r="G805" t="n">
        <v>11616.11139</v>
      </c>
      <c r="H805">
        <f>IF(PNL!A805="","",_CALC_PNL!P805)</f>
        <v/>
      </c>
      <c r="I805">
        <f>IF(PNL!A805="","",IF(_CALC_PNL!E805=1,H805-G805,""))</f>
        <v/>
      </c>
    </row>
    <row r="806">
      <c r="A806" s="1" t="inlineStr">
        <is>
          <t>IPAC_MTP</t>
        </is>
      </c>
      <c r="B806" s="1" t="inlineStr">
        <is>
          <t>615</t>
        </is>
      </c>
      <c r="C806" s="1" t="inlineStr">
        <is>
          <t>2027</t>
        </is>
      </c>
      <c r="D806" s="1" t="inlineStr">
        <is>
          <t>V02</t>
        </is>
      </c>
      <c r="E806" s="1" t="inlineStr">
        <is>
          <t>2027BUD_V1</t>
        </is>
      </c>
      <c r="F806" s="1" t="inlineStr">
        <is>
          <t>12</t>
        </is>
      </c>
      <c r="G806" t="n">
        <v>11081.0216405</v>
      </c>
      <c r="H806">
        <f>IF(PNL!A806="","",_CALC_PNL!P806)</f>
        <v/>
      </c>
      <c r="I806">
        <f>IF(PNL!A806="","",IF(_CALC_PNL!E806=1,H806-G806,""))</f>
        <v/>
      </c>
    </row>
    <row r="807">
      <c r="A807" s="1" t="inlineStr">
        <is>
          <t>IPAC_MTP</t>
        </is>
      </c>
      <c r="B807" s="1" t="inlineStr">
        <is>
          <t>615</t>
        </is>
      </c>
      <c r="C807" s="1" t="inlineStr">
        <is>
          <t>2027</t>
        </is>
      </c>
      <c r="D807" s="1" t="inlineStr">
        <is>
          <t>V03</t>
        </is>
      </c>
      <c r="E807" s="1" t="inlineStr">
        <is>
          <t>2027BUD_V1</t>
        </is>
      </c>
      <c r="F807" s="1" t="inlineStr">
        <is>
          <t>12</t>
        </is>
      </c>
      <c r="G807" t="n">
        <v>12429.1336</v>
      </c>
      <c r="H807">
        <f>IF(PNL!A807="","",_CALC_PNL!P807)</f>
        <v/>
      </c>
      <c r="I807">
        <f>IF(PNL!A807="","",IF(_CALC_PNL!E807=1,H807-G807,""))</f>
        <v/>
      </c>
    </row>
    <row r="808">
      <c r="A808" s="1" t="inlineStr">
        <is>
          <t>PIGIER_LYO</t>
        </is>
      </c>
      <c r="B808" s="1" t="inlineStr">
        <is>
          <t>615</t>
        </is>
      </c>
      <c r="C808" s="1" t="inlineStr">
        <is>
          <t>2027</t>
        </is>
      </c>
      <c r="D808" s="1" t="inlineStr">
        <is>
          <t>V01</t>
        </is>
      </c>
      <c r="E808" s="1" t="inlineStr">
        <is>
          <t>2027BUD_V1</t>
        </is>
      </c>
      <c r="F808" s="1" t="inlineStr">
        <is>
          <t>12</t>
        </is>
      </c>
      <c r="G808" t="n">
        <v>19712.2497</v>
      </c>
      <c r="H808">
        <f>IF(PNL!A808="","",_CALC_PNL!P808)</f>
        <v/>
      </c>
      <c r="I808">
        <f>IF(PNL!A808="","",IF(_CALC_PNL!E808=1,H808-G808,""))</f>
        <v/>
      </c>
    </row>
    <row r="809">
      <c r="A809" s="1" t="inlineStr">
        <is>
          <t>PIGIER_LYO</t>
        </is>
      </c>
      <c r="B809" s="1" t="inlineStr">
        <is>
          <t>615</t>
        </is>
      </c>
      <c r="C809" s="1" t="inlineStr">
        <is>
          <t>2027</t>
        </is>
      </c>
      <c r="D809" s="1" t="inlineStr">
        <is>
          <t>V02</t>
        </is>
      </c>
      <c r="E809" s="1" t="inlineStr">
        <is>
          <t>2027BUD_V1</t>
        </is>
      </c>
      <c r="F809" s="1" t="inlineStr">
        <is>
          <t>12</t>
        </is>
      </c>
      <c r="G809" t="n">
        <v>18804.215815</v>
      </c>
      <c r="H809">
        <f>IF(PNL!A809="","",_CALC_PNL!P809)</f>
        <v/>
      </c>
      <c r="I809">
        <f>IF(PNL!A809="","",IF(_CALC_PNL!E809=1,H809-G809,""))</f>
        <v/>
      </c>
    </row>
    <row r="810">
      <c r="A810" s="1" t="inlineStr">
        <is>
          <t>PIGIER_LYO</t>
        </is>
      </c>
      <c r="B810" s="1" t="inlineStr">
        <is>
          <t>615</t>
        </is>
      </c>
      <c r="C810" s="1" t="inlineStr">
        <is>
          <t>2027</t>
        </is>
      </c>
      <c r="D810" s="1" t="inlineStr">
        <is>
          <t>V03</t>
        </is>
      </c>
      <c r="E810" s="1" t="inlineStr">
        <is>
          <t>2027BUD_V1</t>
        </is>
      </c>
      <c r="F810" s="1" t="inlineStr">
        <is>
          <t>12</t>
        </is>
      </c>
      <c r="G810" t="n">
        <v>21091.928</v>
      </c>
      <c r="H810">
        <f>IF(PNL!A810="","",_CALC_PNL!P810)</f>
        <v/>
      </c>
      <c r="I810">
        <f>IF(PNL!A810="","",IF(_CALC_PNL!E810=1,H810-G810,""))</f>
        <v/>
      </c>
    </row>
    <row r="811">
      <c r="A811" s="1" t="inlineStr">
        <is>
          <t>PIGIER_BOR</t>
        </is>
      </c>
      <c r="B811" s="1" t="inlineStr">
        <is>
          <t>615</t>
        </is>
      </c>
      <c r="C811" s="1" t="inlineStr">
        <is>
          <t>2027</t>
        </is>
      </c>
      <c r="D811" s="1" t="inlineStr">
        <is>
          <t>V01</t>
        </is>
      </c>
      <c r="E811" s="1" t="inlineStr">
        <is>
          <t>2027BUD_V1</t>
        </is>
      </c>
      <c r="F811" s="1" t="inlineStr">
        <is>
          <t>12</t>
        </is>
      </c>
      <c r="G811" t="n">
        <v>18479.85867</v>
      </c>
      <c r="H811">
        <f>IF(PNL!A811="","",_CALC_PNL!P811)</f>
        <v/>
      </c>
      <c r="I811">
        <f>IF(PNL!A811="","",IF(_CALC_PNL!E811=1,H811-G811,""))</f>
        <v/>
      </c>
    </row>
    <row r="812">
      <c r="A812" s="1" t="inlineStr">
        <is>
          <t>PIGIER_BOR</t>
        </is>
      </c>
      <c r="B812" s="1" t="inlineStr">
        <is>
          <t>615</t>
        </is>
      </c>
      <c r="C812" s="1" t="inlineStr">
        <is>
          <t>2027</t>
        </is>
      </c>
      <c r="D812" s="1" t="inlineStr">
        <is>
          <t>V02</t>
        </is>
      </c>
      <c r="E812" s="1" t="inlineStr">
        <is>
          <t>2027BUD_V1</t>
        </is>
      </c>
      <c r="F812" s="1" t="inlineStr">
        <is>
          <t>12</t>
        </is>
      </c>
      <c r="G812" t="n">
        <v>17628.5941965</v>
      </c>
      <c r="H812">
        <f>IF(PNL!A812="","",_CALC_PNL!P812)</f>
        <v/>
      </c>
      <c r="I812">
        <f>IF(PNL!A812="","",IF(_CALC_PNL!E812=1,H812-G812,""))</f>
        <v/>
      </c>
    </row>
    <row r="813">
      <c r="A813" s="1" t="inlineStr">
        <is>
          <t>PIGIER_BOR</t>
        </is>
      </c>
      <c r="B813" s="1" t="inlineStr">
        <is>
          <t>615</t>
        </is>
      </c>
      <c r="C813" s="1" t="inlineStr">
        <is>
          <t>2027</t>
        </is>
      </c>
      <c r="D813" s="1" t="inlineStr">
        <is>
          <t>V03</t>
        </is>
      </c>
      <c r="E813" s="1" t="inlineStr">
        <is>
          <t>2027BUD_V1</t>
        </is>
      </c>
      <c r="F813" s="1" t="inlineStr">
        <is>
          <t>12</t>
        </is>
      </c>
      <c r="G813" t="n">
        <v>19773.2808</v>
      </c>
      <c r="H813">
        <f>IF(PNL!A813="","",_CALC_PNL!P813)</f>
        <v/>
      </c>
      <c r="I813">
        <f>IF(PNL!A813="","",IF(_CALC_PNL!E813=1,H813-G813,""))</f>
        <v/>
      </c>
    </row>
    <row r="814">
      <c r="A814" s="1" t="inlineStr">
        <is>
          <t>TUNON_PAR</t>
        </is>
      </c>
      <c r="B814" s="1" t="inlineStr">
        <is>
          <t>615</t>
        </is>
      </c>
      <c r="C814" s="1" t="inlineStr">
        <is>
          <t>2027</t>
        </is>
      </c>
      <c r="D814" s="1" t="inlineStr">
        <is>
          <t>V01</t>
        </is>
      </c>
      <c r="E814" s="1" t="inlineStr">
        <is>
          <t>2027BUD_V1</t>
        </is>
      </c>
      <c r="F814" s="1" t="inlineStr">
        <is>
          <t>12</t>
        </is>
      </c>
      <c r="G814" t="n">
        <v>21384.1368</v>
      </c>
      <c r="H814">
        <f>IF(PNL!A814="","",_CALC_PNL!P814)</f>
        <v/>
      </c>
      <c r="I814">
        <f>IF(PNL!A814="","",IF(_CALC_PNL!E814=1,H814-G814,""))</f>
        <v/>
      </c>
    </row>
    <row r="815">
      <c r="A815" s="1" t="inlineStr">
        <is>
          <t>TUNON_PAR</t>
        </is>
      </c>
      <c r="B815" s="1" t="inlineStr">
        <is>
          <t>615</t>
        </is>
      </c>
      <c r="C815" s="1" t="inlineStr">
        <is>
          <t>2027</t>
        </is>
      </c>
      <c r="D815" s="1" t="inlineStr">
        <is>
          <t>V02</t>
        </is>
      </c>
      <c r="E815" s="1" t="inlineStr">
        <is>
          <t>2027BUD_V1</t>
        </is>
      </c>
      <c r="F815" s="1" t="inlineStr">
        <is>
          <t>12</t>
        </is>
      </c>
      <c r="G815" t="n">
        <v>20399.08836</v>
      </c>
      <c r="H815">
        <f>IF(PNL!A815="","",_CALC_PNL!P815)</f>
        <v/>
      </c>
      <c r="I815">
        <f>IF(PNL!A815="","",IF(_CALC_PNL!E815=1,H815-G815,""))</f>
        <v/>
      </c>
    </row>
    <row r="816">
      <c r="A816" s="1" t="inlineStr">
        <is>
          <t>TUNON_PAR</t>
        </is>
      </c>
      <c r="B816" s="1" t="inlineStr">
        <is>
          <t>615</t>
        </is>
      </c>
      <c r="C816" s="1" t="inlineStr">
        <is>
          <t>2027</t>
        </is>
      </c>
      <c r="D816" s="1" t="inlineStr">
        <is>
          <t>V03</t>
        </is>
      </c>
      <c r="E816" s="1" t="inlineStr">
        <is>
          <t>2027BUD_V1</t>
        </is>
      </c>
      <c r="F816" s="1" t="inlineStr">
        <is>
          <t>12</t>
        </is>
      </c>
      <c r="G816" t="n">
        <v>22880.832</v>
      </c>
      <c r="H816">
        <f>IF(PNL!A816="","",_CALC_PNL!P816)</f>
        <v/>
      </c>
      <c r="I816">
        <f>IF(PNL!A816="","",IF(_CALC_PNL!E816=1,H816-G816,""))</f>
        <v/>
      </c>
    </row>
    <row r="817">
      <c r="A817" s="1" t="inlineStr">
        <is>
          <t>TUNON_LYO</t>
        </is>
      </c>
      <c r="B817" s="1" t="inlineStr">
        <is>
          <t>615</t>
        </is>
      </c>
      <c r="C817" s="1" t="inlineStr">
        <is>
          <t>2027</t>
        </is>
      </c>
      <c r="D817" s="1" t="inlineStr">
        <is>
          <t>V01</t>
        </is>
      </c>
      <c r="E817" s="1" t="inlineStr">
        <is>
          <t>2027BUD_V1</t>
        </is>
      </c>
      <c r="F817" s="1" t="inlineStr">
        <is>
          <t>12</t>
        </is>
      </c>
      <c r="G817" t="n">
        <v>14783.68671</v>
      </c>
      <c r="H817">
        <f>IF(PNL!A817="","",_CALC_PNL!P817)</f>
        <v/>
      </c>
      <c r="I817">
        <f>IF(PNL!A817="","",IF(_CALC_PNL!E817=1,H817-G817,""))</f>
        <v/>
      </c>
    </row>
    <row r="818">
      <c r="A818" s="1" t="inlineStr">
        <is>
          <t>TUNON_LYO</t>
        </is>
      </c>
      <c r="B818" s="1" t="inlineStr">
        <is>
          <t>615</t>
        </is>
      </c>
      <c r="C818" s="1" t="inlineStr">
        <is>
          <t>2027</t>
        </is>
      </c>
      <c r="D818" s="1" t="inlineStr">
        <is>
          <t>V02</t>
        </is>
      </c>
      <c r="E818" s="1" t="inlineStr">
        <is>
          <t>2027BUD_V1</t>
        </is>
      </c>
      <c r="F818" s="1" t="inlineStr">
        <is>
          <t>12</t>
        </is>
      </c>
      <c r="G818" t="n">
        <v>14102.6843545</v>
      </c>
      <c r="H818">
        <f>IF(PNL!A818="","",_CALC_PNL!P818)</f>
        <v/>
      </c>
      <c r="I818">
        <f>IF(PNL!A818="","",IF(_CALC_PNL!E818=1,H818-G818,""))</f>
        <v/>
      </c>
    </row>
    <row r="819">
      <c r="A819" s="1" t="inlineStr">
        <is>
          <t>TUNON_LYO</t>
        </is>
      </c>
      <c r="B819" s="1" t="inlineStr">
        <is>
          <t>615</t>
        </is>
      </c>
      <c r="C819" s="1" t="inlineStr">
        <is>
          <t>2027</t>
        </is>
      </c>
      <c r="D819" s="1" t="inlineStr">
        <is>
          <t>V03</t>
        </is>
      </c>
      <c r="E819" s="1" t="inlineStr">
        <is>
          <t>2027BUD_V1</t>
        </is>
      </c>
      <c r="F819" s="1" t="inlineStr">
        <is>
          <t>12</t>
        </is>
      </c>
      <c r="G819" t="n">
        <v>15818.4104</v>
      </c>
      <c r="H819">
        <f>IF(PNL!A819="","",_CALC_PNL!P819)</f>
        <v/>
      </c>
      <c r="I819">
        <f>IF(PNL!A819="","",IF(_CALC_PNL!E819=1,H819-G819,""))</f>
        <v/>
      </c>
    </row>
    <row r="820">
      <c r="A820" s="1" t="inlineStr">
        <is>
          <t>MBWAY_PAR</t>
        </is>
      </c>
      <c r="B820" s="1" t="inlineStr">
        <is>
          <t>616</t>
        </is>
      </c>
      <c r="C820" s="1" t="inlineStr">
        <is>
          <t>2027</t>
        </is>
      </c>
      <c r="D820" s="1" t="inlineStr">
        <is>
          <t>V01</t>
        </is>
      </c>
      <c r="E820" s="1" t="inlineStr">
        <is>
          <t>2027BUD_V1</t>
        </is>
      </c>
      <c r="F820" s="1" t="inlineStr">
        <is>
          <t>12</t>
        </is>
      </c>
      <c r="G820" t="n">
        <v>38865.86886</v>
      </c>
      <c r="H820">
        <f>IF(PNL!A820="","",_CALC_PNL!P820)</f>
        <v/>
      </c>
      <c r="I820">
        <f>IF(PNL!A820="","",IF(_CALC_PNL!E820=1,H820-G820,""))</f>
        <v/>
      </c>
    </row>
    <row r="821">
      <c r="A821" s="1" t="inlineStr">
        <is>
          <t>MBWAY_PAR</t>
        </is>
      </c>
      <c r="B821" s="1" t="inlineStr">
        <is>
          <t>616</t>
        </is>
      </c>
      <c r="C821" s="1" t="inlineStr">
        <is>
          <t>2027</t>
        </is>
      </c>
      <c r="D821" s="1" t="inlineStr">
        <is>
          <t>V02</t>
        </is>
      </c>
      <c r="E821" s="1" t="inlineStr">
        <is>
          <t>2027BUD_V1</t>
        </is>
      </c>
      <c r="F821" s="1" t="inlineStr">
        <is>
          <t>12</t>
        </is>
      </c>
      <c r="G821" t="n">
        <v>37075.534097</v>
      </c>
      <c r="H821">
        <f>IF(PNL!A821="","",_CALC_PNL!P821)</f>
        <v/>
      </c>
      <c r="I821">
        <f>IF(PNL!A821="","",IF(_CALC_PNL!E821=1,H821-G821,""))</f>
        <v/>
      </c>
    </row>
    <row r="822">
      <c r="A822" s="1" t="inlineStr">
        <is>
          <t>MBWAY_PAR</t>
        </is>
      </c>
      <c r="B822" s="1" t="inlineStr">
        <is>
          <t>616</t>
        </is>
      </c>
      <c r="C822" s="1" t="inlineStr">
        <is>
          <t>2027</t>
        </is>
      </c>
      <c r="D822" s="1" t="inlineStr">
        <is>
          <t>V03</t>
        </is>
      </c>
      <c r="E822" s="1" t="inlineStr">
        <is>
          <t>2027BUD_V1</t>
        </is>
      </c>
      <c r="F822" s="1" t="inlineStr">
        <is>
          <t>12</t>
        </is>
      </c>
      <c r="G822" t="n">
        <v>41586.1264</v>
      </c>
      <c r="H822">
        <f>IF(PNL!A822="","",_CALC_PNL!P822)</f>
        <v/>
      </c>
      <c r="I822">
        <f>IF(PNL!A822="","",IF(_CALC_PNL!E822=1,H822-G822,""))</f>
        <v/>
      </c>
    </row>
    <row r="823">
      <c r="A823" s="1" t="inlineStr">
        <is>
          <t>MBWAY_LYO</t>
        </is>
      </c>
      <c r="B823" s="1" t="inlineStr">
        <is>
          <t>616</t>
        </is>
      </c>
      <c r="C823" s="1" t="inlineStr">
        <is>
          <t>2027</t>
        </is>
      </c>
      <c r="D823" s="1" t="inlineStr">
        <is>
          <t>V01</t>
        </is>
      </c>
      <c r="E823" s="1" t="inlineStr">
        <is>
          <t>2027BUD_V1</t>
        </is>
      </c>
      <c r="F823" s="1" t="inlineStr">
        <is>
          <t>12</t>
        </is>
      </c>
      <c r="G823" t="n">
        <v>22790.72445</v>
      </c>
      <c r="H823">
        <f>IF(PNL!A823="","",_CALC_PNL!P823)</f>
        <v/>
      </c>
      <c r="I823">
        <f>IF(PNL!A823="","",IF(_CALC_PNL!E823=1,H823-G823,""))</f>
        <v/>
      </c>
    </row>
    <row r="824">
      <c r="A824" s="1" t="inlineStr">
        <is>
          <t>MBWAY_LYO</t>
        </is>
      </c>
      <c r="B824" s="1" t="inlineStr">
        <is>
          <t>616</t>
        </is>
      </c>
      <c r="C824" s="1" t="inlineStr">
        <is>
          <t>2027</t>
        </is>
      </c>
      <c r="D824" s="1" t="inlineStr">
        <is>
          <t>V02</t>
        </is>
      </c>
      <c r="E824" s="1" t="inlineStr">
        <is>
          <t>2027BUD_V1</t>
        </is>
      </c>
      <c r="F824" s="1" t="inlineStr">
        <is>
          <t>12</t>
        </is>
      </c>
      <c r="G824" t="n">
        <v>21740.8823275</v>
      </c>
      <c r="H824">
        <f>IF(PNL!A824="","",_CALC_PNL!P824)</f>
        <v/>
      </c>
      <c r="I824">
        <f>IF(PNL!A824="","",IF(_CALC_PNL!E824=1,H824-G824,""))</f>
        <v/>
      </c>
    </row>
    <row r="825">
      <c r="A825" s="1" t="inlineStr">
        <is>
          <t>MBWAY_LYO</t>
        </is>
      </c>
      <c r="B825" s="1" t="inlineStr">
        <is>
          <t>616</t>
        </is>
      </c>
      <c r="C825" s="1" t="inlineStr">
        <is>
          <t>2027</t>
        </is>
      </c>
      <c r="D825" s="1" t="inlineStr">
        <is>
          <t>V03</t>
        </is>
      </c>
      <c r="E825" s="1" t="inlineStr">
        <is>
          <t>2027BUD_V1</t>
        </is>
      </c>
      <c r="F825" s="1" t="inlineStr">
        <is>
          <t>12</t>
        </is>
      </c>
      <c r="G825" t="n">
        <v>24385.868</v>
      </c>
      <c r="H825">
        <f>IF(PNL!A825="","",_CALC_PNL!P825)</f>
        <v/>
      </c>
      <c r="I825">
        <f>IF(PNL!A825="","",IF(_CALC_PNL!E825=1,H825-G825,""))</f>
        <v/>
      </c>
    </row>
    <row r="826">
      <c r="A826" s="1" t="inlineStr">
        <is>
          <t>MBWAY_NAN</t>
        </is>
      </c>
      <c r="B826" s="1" t="inlineStr">
        <is>
          <t>616</t>
        </is>
      </c>
      <c r="C826" s="1" t="inlineStr">
        <is>
          <t>2027</t>
        </is>
      </c>
      <c r="D826" s="1" t="inlineStr">
        <is>
          <t>V01</t>
        </is>
      </c>
      <c r="E826" s="1" t="inlineStr">
        <is>
          <t>2027BUD_V1</t>
        </is>
      </c>
      <c r="F826" s="1" t="inlineStr">
        <is>
          <t>12</t>
        </is>
      </c>
      <c r="G826" t="n">
        <v>18464.84172</v>
      </c>
      <c r="H826">
        <f>IF(PNL!A826="","",_CALC_PNL!P826)</f>
        <v/>
      </c>
      <c r="I826">
        <f>IF(PNL!A826="","",IF(_CALC_PNL!E826=1,H826-G826,""))</f>
        <v/>
      </c>
    </row>
    <row r="827">
      <c r="A827" s="1" t="inlineStr">
        <is>
          <t>MBWAY_NAN</t>
        </is>
      </c>
      <c r="B827" s="1" t="inlineStr">
        <is>
          <t>616</t>
        </is>
      </c>
      <c r="C827" s="1" t="inlineStr">
        <is>
          <t>2027</t>
        </is>
      </c>
      <c r="D827" s="1" t="inlineStr">
        <is>
          <t>V02</t>
        </is>
      </c>
      <c r="E827" s="1" t="inlineStr">
        <is>
          <t>2027BUD_V1</t>
        </is>
      </c>
      <c r="F827" s="1" t="inlineStr">
        <is>
          <t>12</t>
        </is>
      </c>
      <c r="G827" t="n">
        <v>17614.268994</v>
      </c>
      <c r="H827">
        <f>IF(PNL!A827="","",_CALC_PNL!P827)</f>
        <v/>
      </c>
      <c r="I827">
        <f>IF(PNL!A827="","",IF(_CALC_PNL!E827=1,H827-G827,""))</f>
        <v/>
      </c>
    </row>
    <row r="828">
      <c r="A828" s="1" t="inlineStr">
        <is>
          <t>MBWAY_NAN</t>
        </is>
      </c>
      <c r="B828" s="1" t="inlineStr">
        <is>
          <t>616</t>
        </is>
      </c>
      <c r="C828" s="1" t="inlineStr">
        <is>
          <t>2027</t>
        </is>
      </c>
      <c r="D828" s="1" t="inlineStr">
        <is>
          <t>V03</t>
        </is>
      </c>
      <c r="E828" s="1" t="inlineStr">
        <is>
          <t>2027BUD_V1</t>
        </is>
      </c>
      <c r="F828" s="1" t="inlineStr">
        <is>
          <t>12</t>
        </is>
      </c>
      <c r="G828" t="n">
        <v>19757.2128</v>
      </c>
      <c r="H828">
        <f>IF(PNL!A828="","",_CALC_PNL!P828)</f>
        <v/>
      </c>
      <c r="I828">
        <f>IF(PNL!A828="","",IF(_CALC_PNL!E828=1,H828-G828,""))</f>
        <v/>
      </c>
    </row>
    <row r="829">
      <c r="A829" s="1" t="inlineStr">
        <is>
          <t>MBWAY_BOR</t>
        </is>
      </c>
      <c r="B829" s="1" t="inlineStr">
        <is>
          <t>616</t>
        </is>
      </c>
      <c r="C829" s="1" t="inlineStr">
        <is>
          <t>2027</t>
        </is>
      </c>
      <c r="D829" s="1" t="inlineStr">
        <is>
          <t>V01</t>
        </is>
      </c>
      <c r="E829" s="1" t="inlineStr">
        <is>
          <t>2027BUD_V1</t>
        </is>
      </c>
      <c r="F829" s="1" t="inlineStr">
        <is>
          <t>12</t>
        </is>
      </c>
      <c r="G829" t="n">
        <v>16420.53426</v>
      </c>
      <c r="H829">
        <f>IF(PNL!A829="","",_CALC_PNL!P829)</f>
        <v/>
      </c>
      <c r="I829">
        <f>IF(PNL!A829="","",IF(_CALC_PNL!E829=1,H829-G829,""))</f>
        <v/>
      </c>
    </row>
    <row r="830">
      <c r="A830" s="1" t="inlineStr">
        <is>
          <t>MBWAY_BOR</t>
        </is>
      </c>
      <c r="B830" s="1" t="inlineStr">
        <is>
          <t>616</t>
        </is>
      </c>
      <c r="C830" s="1" t="inlineStr">
        <is>
          <t>2027</t>
        </is>
      </c>
      <c r="D830" s="1" t="inlineStr">
        <is>
          <t>V02</t>
        </is>
      </c>
      <c r="E830" s="1" t="inlineStr">
        <is>
          <t>2027BUD_V1</t>
        </is>
      </c>
      <c r="F830" s="1" t="inlineStr">
        <is>
          <t>12</t>
        </is>
      </c>
      <c r="G830" t="n">
        <v>15664.131427</v>
      </c>
      <c r="H830">
        <f>IF(PNL!A830="","",_CALC_PNL!P830)</f>
        <v/>
      </c>
      <c r="I830">
        <f>IF(PNL!A830="","",IF(_CALC_PNL!E830=1,H830-G830,""))</f>
        <v/>
      </c>
    </row>
    <row r="831">
      <c r="A831" s="1" t="inlineStr">
        <is>
          <t>MBWAY_BOR</t>
        </is>
      </c>
      <c r="B831" s="1" t="inlineStr">
        <is>
          <t>616</t>
        </is>
      </c>
      <c r="C831" s="1" t="inlineStr">
        <is>
          <t>2027</t>
        </is>
      </c>
      <c r="D831" s="1" t="inlineStr">
        <is>
          <t>V03</t>
        </is>
      </c>
      <c r="E831" s="1" t="inlineStr">
        <is>
          <t>2027BUD_V1</t>
        </is>
      </c>
      <c r="F831" s="1" t="inlineStr">
        <is>
          <t>12</t>
        </is>
      </c>
      <c r="G831" t="n">
        <v>17569.8224</v>
      </c>
      <c r="H831">
        <f>IF(PNL!A831="","",_CALC_PNL!P831)</f>
        <v/>
      </c>
      <c r="I831">
        <f>IF(PNL!A831="","",IF(_CALC_PNL!E831=1,H831-G831,""))</f>
        <v/>
      </c>
    </row>
    <row r="832">
      <c r="A832" s="1" t="inlineStr">
        <is>
          <t>ISCOM_PAR</t>
        </is>
      </c>
      <c r="B832" s="1" t="inlineStr">
        <is>
          <t>616</t>
        </is>
      </c>
      <c r="C832" s="1" t="inlineStr">
        <is>
          <t>2027</t>
        </is>
      </c>
      <c r="D832" s="1" t="inlineStr">
        <is>
          <t>V01</t>
        </is>
      </c>
      <c r="E832" s="1" t="inlineStr">
        <is>
          <t>2027BUD_V1</t>
        </is>
      </c>
      <c r="F832" s="1" t="inlineStr">
        <is>
          <t>12</t>
        </is>
      </c>
      <c r="G832" t="n">
        <v>36017.65401</v>
      </c>
      <c r="H832">
        <f>IF(PNL!A832="","",_CALC_PNL!P832)</f>
        <v/>
      </c>
      <c r="I832">
        <f>IF(PNL!A832="","",IF(_CALC_PNL!E832=1,H832-G832,""))</f>
        <v/>
      </c>
    </row>
    <row r="833">
      <c r="A833" s="1" t="inlineStr">
        <is>
          <t>ISCOM_PAR</t>
        </is>
      </c>
      <c r="B833" s="1" t="inlineStr">
        <is>
          <t>616</t>
        </is>
      </c>
      <c r="C833" s="1" t="inlineStr">
        <is>
          <t>2027</t>
        </is>
      </c>
      <c r="D833" s="1" t="inlineStr">
        <is>
          <t>V02</t>
        </is>
      </c>
      <c r="E833" s="1" t="inlineStr">
        <is>
          <t>2027BUD_V1</t>
        </is>
      </c>
      <c r="F833" s="1" t="inlineStr">
        <is>
          <t>12</t>
        </is>
      </c>
      <c r="G833" t="n">
        <v>34358.5206895</v>
      </c>
      <c r="H833">
        <f>IF(PNL!A833="","",_CALC_PNL!P833)</f>
        <v/>
      </c>
      <c r="I833">
        <f>IF(PNL!A833="","",IF(_CALC_PNL!E833=1,H833-G833,""))</f>
        <v/>
      </c>
    </row>
    <row r="834">
      <c r="A834" s="1" t="inlineStr">
        <is>
          <t>ISCOM_PAR</t>
        </is>
      </c>
      <c r="B834" s="1" t="inlineStr">
        <is>
          <t>616</t>
        </is>
      </c>
      <c r="C834" s="1" t="inlineStr">
        <is>
          <t>2027</t>
        </is>
      </c>
      <c r="D834" s="1" t="inlineStr">
        <is>
          <t>V03</t>
        </is>
      </c>
      <c r="E834" s="1" t="inlineStr">
        <is>
          <t>2027BUD_V1</t>
        </is>
      </c>
      <c r="F834" s="1" t="inlineStr">
        <is>
          <t>12</t>
        </is>
      </c>
      <c r="G834" t="n">
        <v>38538.5624</v>
      </c>
      <c r="H834">
        <f>IF(PNL!A834="","",_CALC_PNL!P834)</f>
        <v/>
      </c>
      <c r="I834">
        <f>IF(PNL!A834="","",IF(_CALC_PNL!E834=1,H834-G834,""))</f>
        <v/>
      </c>
    </row>
    <row r="835">
      <c r="A835" s="1" t="inlineStr">
        <is>
          <t>ISCOM_LIL</t>
        </is>
      </c>
      <c r="B835" s="1" t="inlineStr">
        <is>
          <t>616</t>
        </is>
      </c>
      <c r="C835" s="1" t="inlineStr">
        <is>
          <t>2027</t>
        </is>
      </c>
      <c r="D835" s="1" t="inlineStr">
        <is>
          <t>V01</t>
        </is>
      </c>
      <c r="E835" s="1" t="inlineStr">
        <is>
          <t>2027BUD_V1</t>
        </is>
      </c>
      <c r="F835" s="1" t="inlineStr">
        <is>
          <t>12</t>
        </is>
      </c>
      <c r="G835" t="n">
        <v>14098.91379</v>
      </c>
      <c r="H835">
        <f>IF(PNL!A835="","",_CALC_PNL!P835)</f>
        <v/>
      </c>
      <c r="I835">
        <f>IF(PNL!A835="","",IF(_CALC_PNL!E835=1,H835-G835,""))</f>
        <v/>
      </c>
    </row>
    <row r="836">
      <c r="A836" s="1" t="inlineStr">
        <is>
          <t>ISCOM_LIL</t>
        </is>
      </c>
      <c r="B836" s="1" t="inlineStr">
        <is>
          <t>616</t>
        </is>
      </c>
      <c r="C836" s="1" t="inlineStr">
        <is>
          <t>2027</t>
        </is>
      </c>
      <c r="D836" s="1" t="inlineStr">
        <is>
          <t>V02</t>
        </is>
      </c>
      <c r="E836" s="1" t="inlineStr">
        <is>
          <t>2027BUD_V1</t>
        </is>
      </c>
      <c r="F836" s="1" t="inlineStr">
        <is>
          <t>12</t>
        </is>
      </c>
      <c r="G836" t="n">
        <v>13449.4551205</v>
      </c>
      <c r="H836">
        <f>IF(PNL!A836="","",_CALC_PNL!P836)</f>
        <v/>
      </c>
      <c r="I836">
        <f>IF(PNL!A836="","",IF(_CALC_PNL!E836=1,H836-G836,""))</f>
        <v/>
      </c>
    </row>
    <row r="837">
      <c r="A837" s="1" t="inlineStr">
        <is>
          <t>ISCOM_LIL</t>
        </is>
      </c>
      <c r="B837" s="1" t="inlineStr">
        <is>
          <t>616</t>
        </is>
      </c>
      <c r="C837" s="1" t="inlineStr">
        <is>
          <t>2027</t>
        </is>
      </c>
      <c r="D837" s="1" t="inlineStr">
        <is>
          <t>V03</t>
        </is>
      </c>
      <c r="E837" s="1" t="inlineStr">
        <is>
          <t>2027BUD_V1</t>
        </is>
      </c>
      <c r="F837" s="1" t="inlineStr">
        <is>
          <t>12</t>
        </is>
      </c>
      <c r="G837" t="n">
        <v>15085.7096</v>
      </c>
      <c r="H837">
        <f>IF(PNL!A837="","",_CALC_PNL!P837)</f>
        <v/>
      </c>
      <c r="I837">
        <f>IF(PNL!A837="","",IF(_CALC_PNL!E837=1,H837-G837,""))</f>
        <v/>
      </c>
    </row>
    <row r="838">
      <c r="A838" s="1" t="inlineStr">
        <is>
          <t>ISCOM_TLS</t>
        </is>
      </c>
      <c r="B838" s="1" t="inlineStr">
        <is>
          <t>616</t>
        </is>
      </c>
      <c r="C838" s="1" t="inlineStr">
        <is>
          <t>2027</t>
        </is>
      </c>
      <c r="D838" s="1" t="inlineStr">
        <is>
          <t>V01</t>
        </is>
      </c>
      <c r="E838" s="1" t="inlineStr">
        <is>
          <t>2027BUD_V1</t>
        </is>
      </c>
      <c r="F838" s="1" t="inlineStr">
        <is>
          <t>12</t>
        </is>
      </c>
      <c r="G838" t="n">
        <v>13056.73746</v>
      </c>
      <c r="H838">
        <f>IF(PNL!A838="","",_CALC_PNL!P838)</f>
        <v/>
      </c>
      <c r="I838">
        <f>IF(PNL!A838="","",IF(_CALC_PNL!E838=1,H838-G838,""))</f>
        <v/>
      </c>
    </row>
    <row r="839">
      <c r="A839" s="1" t="inlineStr">
        <is>
          <t>ISCOM_TLS</t>
        </is>
      </c>
      <c r="B839" s="1" t="inlineStr">
        <is>
          <t>616</t>
        </is>
      </c>
      <c r="C839" s="1" t="inlineStr">
        <is>
          <t>2027</t>
        </is>
      </c>
      <c r="D839" s="1" t="inlineStr">
        <is>
          <t>V02</t>
        </is>
      </c>
      <c r="E839" s="1" t="inlineStr">
        <is>
          <t>2027BUD_V1</t>
        </is>
      </c>
      <c r="F839" s="1" t="inlineStr">
        <is>
          <t>12</t>
        </is>
      </c>
      <c r="G839" t="n">
        <v>12455.286067</v>
      </c>
      <c r="H839">
        <f>IF(PNL!A839="","",_CALC_PNL!P839)</f>
        <v/>
      </c>
      <c r="I839">
        <f>IF(PNL!A839="","",IF(_CALC_PNL!E839=1,H839-G839,""))</f>
        <v/>
      </c>
    </row>
    <row r="840">
      <c r="A840" s="1" t="inlineStr">
        <is>
          <t>ISCOM_TLS</t>
        </is>
      </c>
      <c r="B840" s="1" t="inlineStr">
        <is>
          <t>616</t>
        </is>
      </c>
      <c r="C840" s="1" t="inlineStr">
        <is>
          <t>2027</t>
        </is>
      </c>
      <c r="D840" s="1" t="inlineStr">
        <is>
          <t>V03</t>
        </is>
      </c>
      <c r="E840" s="1" t="inlineStr">
        <is>
          <t>2027BUD_V1</t>
        </is>
      </c>
      <c r="F840" s="1" t="inlineStr">
        <is>
          <t>12</t>
        </is>
      </c>
      <c r="G840" t="n">
        <v>13970.5904</v>
      </c>
      <c r="H840">
        <f>IF(PNL!A840="","",_CALC_PNL!P840)</f>
        <v/>
      </c>
      <c r="I840">
        <f>IF(PNL!A840="","",IF(_CALC_PNL!E840=1,H840-G840,""))</f>
        <v/>
      </c>
    </row>
    <row r="841">
      <c r="A841" s="1" t="inlineStr">
        <is>
          <t>IPAC_NAN</t>
        </is>
      </c>
      <c r="B841" s="1" t="inlineStr">
        <is>
          <t>616</t>
        </is>
      </c>
      <c r="C841" s="1" t="inlineStr">
        <is>
          <t>2027</t>
        </is>
      </c>
      <c r="D841" s="1" t="inlineStr">
        <is>
          <t>V01</t>
        </is>
      </c>
      <c r="E841" s="1" t="inlineStr">
        <is>
          <t>2027BUD_V1</t>
        </is>
      </c>
      <c r="F841" s="1" t="inlineStr">
        <is>
          <t>12</t>
        </is>
      </c>
      <c r="G841" t="n">
        <v>9106.278480000001</v>
      </c>
      <c r="H841">
        <f>IF(PNL!A841="","",_CALC_PNL!P841)</f>
        <v/>
      </c>
      <c r="I841">
        <f>IF(PNL!A841="","",IF(_CALC_PNL!E841=1,H841-G841,""))</f>
        <v/>
      </c>
    </row>
    <row r="842">
      <c r="A842" s="1" t="inlineStr">
        <is>
          <t>IPAC_NAN</t>
        </is>
      </c>
      <c r="B842" s="1" t="inlineStr">
        <is>
          <t>616</t>
        </is>
      </c>
      <c r="C842" s="1" t="inlineStr">
        <is>
          <t>2027</t>
        </is>
      </c>
      <c r="D842" s="1" t="inlineStr">
        <is>
          <t>V02</t>
        </is>
      </c>
      <c r="E842" s="1" t="inlineStr">
        <is>
          <t>2027BUD_V1</t>
        </is>
      </c>
      <c r="F842" s="1" t="inlineStr">
        <is>
          <t>12</t>
        </is>
      </c>
      <c r="G842" t="n">
        <v>8686.802796</v>
      </c>
      <c r="H842">
        <f>IF(PNL!A842="","",_CALC_PNL!P842)</f>
        <v/>
      </c>
      <c r="I842">
        <f>IF(PNL!A842="","",IF(_CALC_PNL!E842=1,H842-G842,""))</f>
        <v/>
      </c>
    </row>
    <row r="843">
      <c r="A843" s="1" t="inlineStr">
        <is>
          <t>IPAC_NAN</t>
        </is>
      </c>
      <c r="B843" s="1" t="inlineStr">
        <is>
          <t>616</t>
        </is>
      </c>
      <c r="C843" s="1" t="inlineStr">
        <is>
          <t>2027</t>
        </is>
      </c>
      <c r="D843" s="1" t="inlineStr">
        <is>
          <t>V03</t>
        </is>
      </c>
      <c r="E843" s="1" t="inlineStr">
        <is>
          <t>2027BUD_V1</t>
        </is>
      </c>
      <c r="F843" s="1" t="inlineStr">
        <is>
          <t>12</t>
        </is>
      </c>
      <c r="G843" t="n">
        <v>9743.635200000001</v>
      </c>
      <c r="H843">
        <f>IF(PNL!A843="","",_CALC_PNL!P843)</f>
        <v/>
      </c>
      <c r="I843">
        <f>IF(PNL!A843="","",IF(_CALC_PNL!E843=1,H843-G843,""))</f>
        <v/>
      </c>
    </row>
    <row r="844">
      <c r="A844" s="1" t="inlineStr">
        <is>
          <t>IPAC_REN</t>
        </is>
      </c>
      <c r="B844" s="1" t="inlineStr">
        <is>
          <t>616</t>
        </is>
      </c>
      <c r="C844" s="1" t="inlineStr">
        <is>
          <t>2027</t>
        </is>
      </c>
      <c r="D844" s="1" t="inlineStr">
        <is>
          <t>V01</t>
        </is>
      </c>
      <c r="E844" s="1" t="inlineStr">
        <is>
          <t>2027BUD_V1</t>
        </is>
      </c>
      <c r="F844" s="1" t="inlineStr">
        <is>
          <t>12</t>
        </is>
      </c>
      <c r="G844" t="n">
        <v>6466.29867</v>
      </c>
      <c r="H844">
        <f>IF(PNL!A844="","",_CALC_PNL!P844)</f>
        <v/>
      </c>
      <c r="I844">
        <f>IF(PNL!A844="","",IF(_CALC_PNL!E844=1,H844-G844,""))</f>
        <v/>
      </c>
    </row>
    <row r="845">
      <c r="A845" s="1" t="inlineStr">
        <is>
          <t>IPAC_REN</t>
        </is>
      </c>
      <c r="B845" s="1" t="inlineStr">
        <is>
          <t>616</t>
        </is>
      </c>
      <c r="C845" s="1" t="inlineStr">
        <is>
          <t>2027</t>
        </is>
      </c>
      <c r="D845" s="1" t="inlineStr">
        <is>
          <t>V02</t>
        </is>
      </c>
      <c r="E845" s="1" t="inlineStr">
        <is>
          <t>2027BUD_V1</t>
        </is>
      </c>
      <c r="F845" s="1" t="inlineStr">
        <is>
          <t>12</t>
        </is>
      </c>
      <c r="G845" t="n">
        <v>6168.4321965</v>
      </c>
      <c r="H845">
        <f>IF(PNL!A845="","",_CALC_PNL!P845)</f>
        <v/>
      </c>
      <c r="I845">
        <f>IF(PNL!A845="","",IF(_CALC_PNL!E845=1,H845-G845,""))</f>
        <v/>
      </c>
    </row>
    <row r="846">
      <c r="A846" s="1" t="inlineStr">
        <is>
          <t>IPAC_REN</t>
        </is>
      </c>
      <c r="B846" s="1" t="inlineStr">
        <is>
          <t>616</t>
        </is>
      </c>
      <c r="C846" s="1" t="inlineStr">
        <is>
          <t>2027</t>
        </is>
      </c>
      <c r="D846" s="1" t="inlineStr">
        <is>
          <t>V03</t>
        </is>
      </c>
      <c r="E846" s="1" t="inlineStr">
        <is>
          <t>2027BUD_V1</t>
        </is>
      </c>
      <c r="F846" s="1" t="inlineStr">
        <is>
          <t>12</t>
        </is>
      </c>
      <c r="G846" t="n">
        <v>6918.8808</v>
      </c>
      <c r="H846">
        <f>IF(PNL!A846="","",_CALC_PNL!P846)</f>
        <v/>
      </c>
      <c r="I846">
        <f>IF(PNL!A846="","",IF(_CALC_PNL!E846=1,H846-G846,""))</f>
        <v/>
      </c>
    </row>
    <row r="847">
      <c r="A847" s="1" t="inlineStr">
        <is>
          <t>IPAC_MTP</t>
        </is>
      </c>
      <c r="B847" s="1" t="inlineStr">
        <is>
          <t>616</t>
        </is>
      </c>
      <c r="C847" s="1" t="inlineStr">
        <is>
          <t>2027</t>
        </is>
      </c>
      <c r="D847" s="1" t="inlineStr">
        <is>
          <t>V01</t>
        </is>
      </c>
      <c r="E847" s="1" t="inlineStr">
        <is>
          <t>2027BUD_V1</t>
        </is>
      </c>
      <c r="F847" s="1" t="inlineStr">
        <is>
          <t>12</t>
        </is>
      </c>
      <c r="G847" t="n">
        <v>6466.29867</v>
      </c>
      <c r="H847">
        <f>IF(PNL!A847="","",_CALC_PNL!P847)</f>
        <v/>
      </c>
      <c r="I847">
        <f>IF(PNL!A847="","",IF(_CALC_PNL!E847=1,H847-G847,""))</f>
        <v/>
      </c>
    </row>
    <row r="848">
      <c r="A848" s="1" t="inlineStr">
        <is>
          <t>IPAC_MTP</t>
        </is>
      </c>
      <c r="B848" s="1" t="inlineStr">
        <is>
          <t>616</t>
        </is>
      </c>
      <c r="C848" s="1" t="inlineStr">
        <is>
          <t>2027</t>
        </is>
      </c>
      <c r="D848" s="1" t="inlineStr">
        <is>
          <t>V02</t>
        </is>
      </c>
      <c r="E848" s="1" t="inlineStr">
        <is>
          <t>2027BUD_V1</t>
        </is>
      </c>
      <c r="F848" s="1" t="inlineStr">
        <is>
          <t>12</t>
        </is>
      </c>
      <c r="G848" t="n">
        <v>6168.4321965</v>
      </c>
      <c r="H848">
        <f>IF(PNL!A848="","",_CALC_PNL!P848)</f>
        <v/>
      </c>
      <c r="I848">
        <f>IF(PNL!A848="","",IF(_CALC_PNL!E848=1,H848-G848,""))</f>
        <v/>
      </c>
    </row>
    <row r="849">
      <c r="A849" s="1" t="inlineStr">
        <is>
          <t>IPAC_MTP</t>
        </is>
      </c>
      <c r="B849" s="1" t="inlineStr">
        <is>
          <t>616</t>
        </is>
      </c>
      <c r="C849" s="1" t="inlineStr">
        <is>
          <t>2027</t>
        </is>
      </c>
      <c r="D849" s="1" t="inlineStr">
        <is>
          <t>V03</t>
        </is>
      </c>
      <c r="E849" s="1" t="inlineStr">
        <is>
          <t>2027BUD_V1</t>
        </is>
      </c>
      <c r="F849" s="1" t="inlineStr">
        <is>
          <t>12</t>
        </is>
      </c>
      <c r="G849" t="n">
        <v>6918.8808</v>
      </c>
      <c r="H849">
        <f>IF(PNL!A849="","",_CALC_PNL!P849)</f>
        <v/>
      </c>
      <c r="I849">
        <f>IF(PNL!A849="","",IF(_CALC_PNL!E849=1,H849-G849,""))</f>
        <v/>
      </c>
    </row>
    <row r="850">
      <c r="A850" s="1" t="inlineStr">
        <is>
          <t>PIGIER_LYO</t>
        </is>
      </c>
      <c r="B850" s="1" t="inlineStr">
        <is>
          <t>616</t>
        </is>
      </c>
      <c r="C850" s="1" t="inlineStr">
        <is>
          <t>2027</t>
        </is>
      </c>
      <c r="D850" s="1" t="inlineStr">
        <is>
          <t>V01</t>
        </is>
      </c>
      <c r="E850" s="1" t="inlineStr">
        <is>
          <t>2027BUD_V1</t>
        </is>
      </c>
      <c r="F850" s="1" t="inlineStr">
        <is>
          <t>12</t>
        </is>
      </c>
      <c r="G850" t="n">
        <v>12802.45044</v>
      </c>
      <c r="H850">
        <f>IF(PNL!A850="","",_CALC_PNL!P850)</f>
        <v/>
      </c>
      <c r="I850">
        <f>IF(PNL!A850="","",IF(_CALC_PNL!E850=1,H850-G850,""))</f>
        <v/>
      </c>
    </row>
    <row r="851">
      <c r="A851" s="1" t="inlineStr">
        <is>
          <t>PIGIER_LYO</t>
        </is>
      </c>
      <c r="B851" s="1" t="inlineStr">
        <is>
          <t>616</t>
        </is>
      </c>
      <c r="C851" s="1" t="inlineStr">
        <is>
          <t>2027</t>
        </is>
      </c>
      <c r="D851" s="1" t="inlineStr">
        <is>
          <t>V02</t>
        </is>
      </c>
      <c r="E851" s="1" t="inlineStr">
        <is>
          <t>2027BUD_V1</t>
        </is>
      </c>
      <c r="F851" s="1" t="inlineStr">
        <is>
          <t>12</t>
        </is>
      </c>
      <c r="G851" t="n">
        <v>12212.712638</v>
      </c>
      <c r="H851">
        <f>IF(PNL!A851="","",_CALC_PNL!P851)</f>
        <v/>
      </c>
      <c r="I851">
        <f>IF(PNL!A851="","",IF(_CALC_PNL!E851=1,H851-G851,""))</f>
        <v/>
      </c>
    </row>
    <row r="852">
      <c r="A852" s="1" t="inlineStr">
        <is>
          <t>PIGIER_LYO</t>
        </is>
      </c>
      <c r="B852" s="1" t="inlineStr">
        <is>
          <t>616</t>
        </is>
      </c>
      <c r="C852" s="1" t="inlineStr">
        <is>
          <t>2027</t>
        </is>
      </c>
      <c r="D852" s="1" t="inlineStr">
        <is>
          <t>V03</t>
        </is>
      </c>
      <c r="E852" s="1" t="inlineStr">
        <is>
          <t>2027BUD_V1</t>
        </is>
      </c>
      <c r="F852" s="1" t="inlineStr">
        <is>
          <t>12</t>
        </is>
      </c>
      <c r="G852" t="n">
        <v>13698.5056</v>
      </c>
      <c r="H852">
        <f>IF(PNL!A852="","",_CALC_PNL!P852)</f>
        <v/>
      </c>
      <c r="I852">
        <f>IF(PNL!A852="","",IF(_CALC_PNL!E852=1,H852-G852,""))</f>
        <v/>
      </c>
    </row>
    <row r="853">
      <c r="A853" s="1" t="inlineStr">
        <is>
          <t>PIGIER_BOR</t>
        </is>
      </c>
      <c r="B853" s="1" t="inlineStr">
        <is>
          <t>616</t>
        </is>
      </c>
      <c r="C853" s="1" t="inlineStr">
        <is>
          <t>2027</t>
        </is>
      </c>
      <c r="D853" s="1" t="inlineStr">
        <is>
          <t>V01</t>
        </is>
      </c>
      <c r="E853" s="1" t="inlineStr">
        <is>
          <t>2027BUD_V1</t>
        </is>
      </c>
      <c r="F853" s="1" t="inlineStr">
        <is>
          <t>12</t>
        </is>
      </c>
      <c r="G853" t="n">
        <v>9364.570019999999</v>
      </c>
      <c r="H853">
        <f>IF(PNL!A853="","",_CALC_PNL!P853)</f>
        <v/>
      </c>
      <c r="I853">
        <f>IF(PNL!A853="","",IF(_CALC_PNL!E853=1,H853-G853,""))</f>
        <v/>
      </c>
    </row>
    <row r="854">
      <c r="A854" s="1" t="inlineStr">
        <is>
          <t>PIGIER_BOR</t>
        </is>
      </c>
      <c r="B854" s="1" t="inlineStr">
        <is>
          <t>616</t>
        </is>
      </c>
      <c r="C854" s="1" t="inlineStr">
        <is>
          <t>2027</t>
        </is>
      </c>
      <c r="D854" s="1" t="inlineStr">
        <is>
          <t>V02</t>
        </is>
      </c>
      <c r="E854" s="1" t="inlineStr">
        <is>
          <t>2027BUD_V1</t>
        </is>
      </c>
      <c r="F854" s="1" t="inlineStr">
        <is>
          <t>12</t>
        </is>
      </c>
      <c r="G854" t="n">
        <v>8933.196279</v>
      </c>
      <c r="H854">
        <f>IF(PNL!A854="","",_CALC_PNL!P854)</f>
        <v/>
      </c>
      <c r="I854">
        <f>IF(PNL!A854="","",IF(_CALC_PNL!E854=1,H854-G854,""))</f>
        <v/>
      </c>
    </row>
    <row r="855">
      <c r="A855" s="1" t="inlineStr">
        <is>
          <t>PIGIER_BOR</t>
        </is>
      </c>
      <c r="B855" s="1" t="inlineStr">
        <is>
          <t>616</t>
        </is>
      </c>
      <c r="C855" s="1" t="inlineStr">
        <is>
          <t>2027</t>
        </is>
      </c>
      <c r="D855" s="1" t="inlineStr">
        <is>
          <t>V03</t>
        </is>
      </c>
      <c r="E855" s="1" t="inlineStr">
        <is>
          <t>2027BUD_V1</t>
        </is>
      </c>
      <c r="F855" s="1" t="inlineStr">
        <is>
          <t>12</t>
        </is>
      </c>
      <c r="G855" t="n">
        <v>10020.0048</v>
      </c>
      <c r="H855">
        <f>IF(PNL!A855="","",_CALC_PNL!P855)</f>
        <v/>
      </c>
      <c r="I855">
        <f>IF(PNL!A855="","",IF(_CALC_PNL!E855=1,H855-G855,""))</f>
        <v/>
      </c>
    </row>
    <row r="856">
      <c r="A856" s="1" t="inlineStr">
        <is>
          <t>TUNON_PAR</t>
        </is>
      </c>
      <c r="B856" s="1" t="inlineStr">
        <is>
          <t>616</t>
        </is>
      </c>
      <c r="C856" s="1" t="inlineStr">
        <is>
          <t>2027</t>
        </is>
      </c>
      <c r="D856" s="1" t="inlineStr">
        <is>
          <t>V01</t>
        </is>
      </c>
      <c r="E856" s="1" t="inlineStr">
        <is>
          <t>2027BUD_V1</t>
        </is>
      </c>
      <c r="F856" s="1" t="inlineStr">
        <is>
          <t>12</t>
        </is>
      </c>
      <c r="G856" t="n">
        <v>14040.84825</v>
      </c>
      <c r="H856">
        <f>IF(PNL!A856="","",_CALC_PNL!P856)</f>
        <v/>
      </c>
      <c r="I856">
        <f>IF(PNL!A856="","",IF(_CALC_PNL!E856=1,H856-G856,""))</f>
        <v/>
      </c>
    </row>
    <row r="857">
      <c r="A857" s="1" t="inlineStr">
        <is>
          <t>TUNON_PAR</t>
        </is>
      </c>
      <c r="B857" s="1" t="inlineStr">
        <is>
          <t>616</t>
        </is>
      </c>
      <c r="C857" s="1" t="inlineStr">
        <is>
          <t>2027</t>
        </is>
      </c>
      <c r="D857" s="1" t="inlineStr">
        <is>
          <t>V02</t>
        </is>
      </c>
      <c r="E857" s="1" t="inlineStr">
        <is>
          <t>2027BUD_V1</t>
        </is>
      </c>
      <c r="F857" s="1" t="inlineStr">
        <is>
          <t>12</t>
        </is>
      </c>
      <c r="G857" t="n">
        <v>13394.0643375</v>
      </c>
      <c r="H857">
        <f>IF(PNL!A857="","",_CALC_PNL!P857)</f>
        <v/>
      </c>
      <c r="I857">
        <f>IF(PNL!A857="","",IF(_CALC_PNL!E857=1,H857-G857,""))</f>
        <v/>
      </c>
    </row>
    <row r="858">
      <c r="A858" s="1" t="inlineStr">
        <is>
          <t>TUNON_PAR</t>
        </is>
      </c>
      <c r="B858" s="1" t="inlineStr">
        <is>
          <t>616</t>
        </is>
      </c>
      <c r="C858" s="1" t="inlineStr">
        <is>
          <t>2027</t>
        </is>
      </c>
      <c r="D858" s="1" t="inlineStr">
        <is>
          <t>V03</t>
        </is>
      </c>
      <c r="E858" s="1" t="inlineStr">
        <is>
          <t>2027BUD_V1</t>
        </is>
      </c>
      <c r="F858" s="1" t="inlineStr">
        <is>
          <t>12</t>
        </is>
      </c>
      <c r="G858" t="n">
        <v>15023.58</v>
      </c>
      <c r="H858">
        <f>IF(PNL!A858="","",_CALC_PNL!P858)</f>
        <v/>
      </c>
      <c r="I858">
        <f>IF(PNL!A858="","",IF(_CALC_PNL!E858=1,H858-G858,""))</f>
        <v/>
      </c>
    </row>
    <row r="859">
      <c r="A859" s="1" t="inlineStr">
        <is>
          <t>TUNON_LYO</t>
        </is>
      </c>
      <c r="B859" s="1" t="inlineStr">
        <is>
          <t>616</t>
        </is>
      </c>
      <c r="C859" s="1" t="inlineStr">
        <is>
          <t>2027</t>
        </is>
      </c>
      <c r="D859" s="1" t="inlineStr">
        <is>
          <t>V01</t>
        </is>
      </c>
      <c r="E859" s="1" t="inlineStr">
        <is>
          <t>2027BUD_V1</t>
        </is>
      </c>
      <c r="F859" s="1" t="inlineStr">
        <is>
          <t>12</t>
        </is>
      </c>
      <c r="G859" t="n">
        <v>8230.28973</v>
      </c>
      <c r="H859">
        <f>IF(PNL!A859="","",_CALC_PNL!P859)</f>
        <v/>
      </c>
      <c r="I859">
        <f>IF(PNL!A859="","",IF(_CALC_PNL!E859=1,H859-G859,""))</f>
        <v/>
      </c>
    </row>
    <row r="860">
      <c r="A860" s="1" t="inlineStr">
        <is>
          <t>TUNON_LYO</t>
        </is>
      </c>
      <c r="B860" s="1" t="inlineStr">
        <is>
          <t>616</t>
        </is>
      </c>
      <c r="C860" s="1" t="inlineStr">
        <is>
          <t>2027</t>
        </is>
      </c>
      <c r="D860" s="1" t="inlineStr">
        <is>
          <t>V02</t>
        </is>
      </c>
      <c r="E860" s="1" t="inlineStr">
        <is>
          <t>2027BUD_V1</t>
        </is>
      </c>
      <c r="F860" s="1" t="inlineStr">
        <is>
          <t>12</t>
        </is>
      </c>
      <c r="G860" t="n">
        <v>7851.1659835</v>
      </c>
      <c r="H860">
        <f>IF(PNL!A860="","",_CALC_PNL!P860)</f>
        <v/>
      </c>
      <c r="I860">
        <f>IF(PNL!A860="","",IF(_CALC_PNL!E860=1,H860-G860,""))</f>
        <v/>
      </c>
    </row>
    <row r="861">
      <c r="A861" s="1" t="inlineStr">
        <is>
          <t>TUNON_LYO</t>
        </is>
      </c>
      <c r="B861" s="1" t="inlineStr">
        <is>
          <t>616</t>
        </is>
      </c>
      <c r="C861" s="1" t="inlineStr">
        <is>
          <t>2027</t>
        </is>
      </c>
      <c r="D861" s="1" t="inlineStr">
        <is>
          <t>V03</t>
        </is>
      </c>
      <c r="E861" s="1" t="inlineStr">
        <is>
          <t>2027BUD_V1</t>
        </is>
      </c>
      <c r="F861" s="1" t="inlineStr">
        <is>
          <t>12</t>
        </is>
      </c>
      <c r="G861" t="n">
        <v>8806.3352</v>
      </c>
      <c r="H861">
        <f>IF(PNL!A861="","",_CALC_PNL!P861)</f>
        <v/>
      </c>
      <c r="I861">
        <f>IF(PNL!A861="","",IF(_CALC_PNL!E861=1,H861-G861,""))</f>
        <v/>
      </c>
    </row>
    <row r="862">
      <c r="A862" s="1" t="inlineStr">
        <is>
          <t>GRP</t>
        </is>
      </c>
      <c r="B862" s="1" t="inlineStr">
        <is>
          <t>6226</t>
        </is>
      </c>
      <c r="C862" s="1" t="inlineStr">
        <is>
          <t>2027</t>
        </is>
      </c>
      <c r="D862" s="1" t="inlineStr">
        <is>
          <t>V01</t>
        </is>
      </c>
      <c r="E862" s="1" t="inlineStr">
        <is>
          <t>2027BUD_V1</t>
        </is>
      </c>
      <c r="F862" s="1" t="inlineStr">
        <is>
          <t>12</t>
        </is>
      </c>
      <c r="G862" t="n">
        <v>565479.27033</v>
      </c>
      <c r="H862">
        <f>IF(PNL!A862="","",_CALC_PNL!P862)</f>
        <v/>
      </c>
      <c r="I862">
        <f>IF(PNL!A862="","",IF(_CALC_PNL!E862=1,H862-G862,""))</f>
        <v/>
      </c>
    </row>
    <row r="863">
      <c r="A863" s="1" t="inlineStr">
        <is>
          <t>GRP</t>
        </is>
      </c>
      <c r="B863" s="1" t="inlineStr">
        <is>
          <t>6226</t>
        </is>
      </c>
      <c r="C863" s="1" t="inlineStr">
        <is>
          <t>2027</t>
        </is>
      </c>
      <c r="D863" s="1" t="inlineStr">
        <is>
          <t>V02</t>
        </is>
      </c>
      <c r="E863" s="1" t="inlineStr">
        <is>
          <t>2027BUD_V1</t>
        </is>
      </c>
      <c r="F863" s="1" t="inlineStr">
        <is>
          <t>12</t>
        </is>
      </c>
      <c r="G863" t="n">
        <v>539430.7803535</v>
      </c>
      <c r="H863">
        <f>IF(PNL!A863="","",_CALC_PNL!P863)</f>
        <v/>
      </c>
      <c r="I863">
        <f>IF(PNL!A863="","",IF(_CALC_PNL!E863=1,H863-G863,""))</f>
        <v/>
      </c>
    </row>
    <row r="864">
      <c r="A864" s="1" t="inlineStr">
        <is>
          <t>GRP</t>
        </is>
      </c>
      <c r="B864" s="1" t="inlineStr">
        <is>
          <t>6226</t>
        </is>
      </c>
      <c r="C864" s="1" t="inlineStr">
        <is>
          <t>2027</t>
        </is>
      </c>
      <c r="D864" s="1" t="inlineStr">
        <is>
          <t>V03</t>
        </is>
      </c>
      <c r="E864" s="1" t="inlineStr">
        <is>
          <t>2027BUD_V1</t>
        </is>
      </c>
      <c r="F864" s="1" t="inlineStr">
        <is>
          <t>12</t>
        </is>
      </c>
      <c r="G864" t="n">
        <v>605057.6792</v>
      </c>
      <c r="H864">
        <f>IF(PNL!A864="","",_CALC_PNL!P864)</f>
        <v/>
      </c>
      <c r="I864">
        <f>IF(PNL!A864="","",IF(_CALC_PNL!E864=1,H864-G864,""))</f>
        <v/>
      </c>
    </row>
    <row r="865">
      <c r="A865" s="1" t="inlineStr">
        <is>
          <t>GRP</t>
        </is>
      </c>
      <c r="B865" s="1" t="inlineStr">
        <is>
          <t>6236</t>
        </is>
      </c>
      <c r="C865" s="1" t="inlineStr">
        <is>
          <t>2027</t>
        </is>
      </c>
      <c r="D865" s="1" t="inlineStr">
        <is>
          <t>V01</t>
        </is>
      </c>
      <c r="E865" s="1" t="inlineStr">
        <is>
          <t>2027BUD_V1</t>
        </is>
      </c>
      <c r="F865" s="1" t="inlineStr">
        <is>
          <t>12</t>
        </is>
      </c>
      <c r="G865" t="n">
        <v>743978.4</v>
      </c>
      <c r="H865">
        <f>IF(PNL!A865="","",_CALC_PNL!P865)</f>
        <v/>
      </c>
      <c r="I865">
        <f>IF(PNL!A865="","",IF(_CALC_PNL!E865=1,H865-G865,""))</f>
        <v/>
      </c>
    </row>
    <row r="866">
      <c r="A866" s="1" t="inlineStr">
        <is>
          <t>GRP</t>
        </is>
      </c>
      <c r="B866" s="1" t="inlineStr">
        <is>
          <t>6236</t>
        </is>
      </c>
      <c r="C866" s="1" t="inlineStr">
        <is>
          <t>2027</t>
        </is>
      </c>
      <c r="D866" s="1" t="inlineStr">
        <is>
          <t>V02</t>
        </is>
      </c>
      <c r="E866" s="1" t="inlineStr">
        <is>
          <t>2027BUD_V1</t>
        </is>
      </c>
      <c r="F866" s="1" t="inlineStr">
        <is>
          <t>12</t>
        </is>
      </c>
      <c r="G866" t="n">
        <v>777795.6</v>
      </c>
      <c r="H866">
        <f>IF(PNL!A866="","",_CALC_PNL!P866)</f>
        <v/>
      </c>
      <c r="I866">
        <f>IF(PNL!A866="","",IF(_CALC_PNL!E866=1,H866-G866,""))</f>
        <v/>
      </c>
    </row>
    <row r="867">
      <c r="A867" s="1" t="inlineStr">
        <is>
          <t>GRP</t>
        </is>
      </c>
      <c r="B867" s="1" t="inlineStr">
        <is>
          <t>6236</t>
        </is>
      </c>
      <c r="C867" s="1" t="inlineStr">
        <is>
          <t>2027</t>
        </is>
      </c>
      <c r="D867" s="1" t="inlineStr">
        <is>
          <t>V03</t>
        </is>
      </c>
      <c r="E867" s="1" t="inlineStr">
        <is>
          <t>2027BUD_V1</t>
        </is>
      </c>
      <c r="F867" s="1" t="inlineStr">
        <is>
          <t>12</t>
        </is>
      </c>
      <c r="G867" t="n">
        <v>642526.8</v>
      </c>
      <c r="H867">
        <f>IF(PNL!A867="","",_CALC_PNL!P867)</f>
        <v/>
      </c>
      <c r="I867">
        <f>IF(PNL!A867="","",IF(_CALC_PNL!E867=1,H867-G867,""))</f>
        <v/>
      </c>
    </row>
    <row r="868">
      <c r="A868" s="1" t="inlineStr">
        <is>
          <t>MBWAY_PAR</t>
        </is>
      </c>
      <c r="B868" s="1" t="inlineStr">
        <is>
          <t>625</t>
        </is>
      </c>
      <c r="C868" s="1" t="inlineStr">
        <is>
          <t>2027</t>
        </is>
      </c>
      <c r="D868" s="1" t="inlineStr">
        <is>
          <t>V01</t>
        </is>
      </c>
      <c r="E868" s="1" t="inlineStr">
        <is>
          <t>2027BUD_V1</t>
        </is>
      </c>
      <c r="F868" s="1" t="inlineStr">
        <is>
          <t>12</t>
        </is>
      </c>
      <c r="G868" t="n">
        <v>58299.80442</v>
      </c>
      <c r="H868">
        <f>IF(PNL!A868="","",_CALC_PNL!P868)</f>
        <v/>
      </c>
      <c r="I868">
        <f>IF(PNL!A868="","",IF(_CALC_PNL!E868=1,H868-G868,""))</f>
        <v/>
      </c>
    </row>
    <row r="869">
      <c r="A869" s="1" t="inlineStr">
        <is>
          <t>MBWAY_PAR</t>
        </is>
      </c>
      <c r="B869" s="1" t="inlineStr">
        <is>
          <t>625</t>
        </is>
      </c>
      <c r="C869" s="1" t="inlineStr">
        <is>
          <t>2027</t>
        </is>
      </c>
      <c r="D869" s="1" t="inlineStr">
        <is>
          <t>V02</t>
        </is>
      </c>
      <c r="E869" s="1" t="inlineStr">
        <is>
          <t>2027BUD_V1</t>
        </is>
      </c>
      <c r="F869" s="1" t="inlineStr">
        <is>
          <t>12</t>
        </is>
      </c>
      <c r="G869" t="n">
        <v>55614.256159</v>
      </c>
      <c r="H869">
        <f>IF(PNL!A869="","",_CALC_PNL!P869)</f>
        <v/>
      </c>
      <c r="I869">
        <f>IF(PNL!A869="","",IF(_CALC_PNL!E869=1,H869-G869,""))</f>
        <v/>
      </c>
    </row>
    <row r="870">
      <c r="A870" s="1" t="inlineStr">
        <is>
          <t>MBWAY_PAR</t>
        </is>
      </c>
      <c r="B870" s="1" t="inlineStr">
        <is>
          <t>625</t>
        </is>
      </c>
      <c r="C870" s="1" t="inlineStr">
        <is>
          <t>2027</t>
        </is>
      </c>
      <c r="D870" s="1" t="inlineStr">
        <is>
          <t>V03</t>
        </is>
      </c>
      <c r="E870" s="1" t="inlineStr">
        <is>
          <t>2027BUD_V1</t>
        </is>
      </c>
      <c r="F870" s="1" t="inlineStr">
        <is>
          <t>12</t>
        </is>
      </c>
      <c r="G870" t="n">
        <v>62380.2608</v>
      </c>
      <c r="H870">
        <f>IF(PNL!A870="","",_CALC_PNL!P870)</f>
        <v/>
      </c>
      <c r="I870">
        <f>IF(PNL!A870="","",IF(_CALC_PNL!E870=1,H870-G870,""))</f>
        <v/>
      </c>
    </row>
    <row r="871">
      <c r="A871" s="1" t="inlineStr">
        <is>
          <t>MBWAY_LYO</t>
        </is>
      </c>
      <c r="B871" s="1" t="inlineStr">
        <is>
          <t>625</t>
        </is>
      </c>
      <c r="C871" s="1" t="inlineStr">
        <is>
          <t>2027</t>
        </is>
      </c>
      <c r="D871" s="1" t="inlineStr">
        <is>
          <t>V01</t>
        </is>
      </c>
      <c r="E871" s="1" t="inlineStr">
        <is>
          <t>2027BUD_V1</t>
        </is>
      </c>
      <c r="F871" s="1" t="inlineStr">
        <is>
          <t>12</t>
        </is>
      </c>
      <c r="G871" t="n">
        <v>34185.58611</v>
      </c>
      <c r="H871">
        <f>IF(PNL!A871="","",_CALC_PNL!P871)</f>
        <v/>
      </c>
      <c r="I871">
        <f>IF(PNL!A871="","",IF(_CALC_PNL!E871=1,H871-G871,""))</f>
        <v/>
      </c>
    </row>
    <row r="872">
      <c r="A872" s="1" t="inlineStr">
        <is>
          <t>MBWAY_LYO</t>
        </is>
      </c>
      <c r="B872" s="1" t="inlineStr">
        <is>
          <t>625</t>
        </is>
      </c>
      <c r="C872" s="1" t="inlineStr">
        <is>
          <t>2027</t>
        </is>
      </c>
      <c r="D872" s="1" t="inlineStr">
        <is>
          <t>V02</t>
        </is>
      </c>
      <c r="E872" s="1" t="inlineStr">
        <is>
          <t>2027BUD_V1</t>
        </is>
      </c>
      <c r="F872" s="1" t="inlineStr">
        <is>
          <t>12</t>
        </is>
      </c>
      <c r="G872" t="n">
        <v>32610.8459845</v>
      </c>
      <c r="H872">
        <f>IF(PNL!A872="","",_CALC_PNL!P872)</f>
        <v/>
      </c>
      <c r="I872">
        <f>IF(PNL!A872="","",IF(_CALC_PNL!E872=1,H872-G872,""))</f>
        <v/>
      </c>
    </row>
    <row r="873">
      <c r="A873" s="1" t="inlineStr">
        <is>
          <t>MBWAY_LYO</t>
        </is>
      </c>
      <c r="B873" s="1" t="inlineStr">
        <is>
          <t>625</t>
        </is>
      </c>
      <c r="C873" s="1" t="inlineStr">
        <is>
          <t>2027</t>
        </is>
      </c>
      <c r="D873" s="1" t="inlineStr">
        <is>
          <t>V03</t>
        </is>
      </c>
      <c r="E873" s="1" t="inlineStr">
        <is>
          <t>2027BUD_V1</t>
        </is>
      </c>
      <c r="F873" s="1" t="inlineStr">
        <is>
          <t>12</t>
        </is>
      </c>
      <c r="G873" t="n">
        <v>36578.2664</v>
      </c>
      <c r="H873">
        <f>IF(PNL!A873="","",_CALC_PNL!P873)</f>
        <v/>
      </c>
      <c r="I873">
        <f>IF(PNL!A873="","",IF(_CALC_PNL!E873=1,H873-G873,""))</f>
        <v/>
      </c>
    </row>
    <row r="874">
      <c r="A874" s="1" t="inlineStr">
        <is>
          <t>MBWAY_NAN</t>
        </is>
      </c>
      <c r="B874" s="1" t="inlineStr">
        <is>
          <t>625</t>
        </is>
      </c>
      <c r="C874" s="1" t="inlineStr">
        <is>
          <t>2027</t>
        </is>
      </c>
      <c r="D874" s="1" t="inlineStr">
        <is>
          <t>V01</t>
        </is>
      </c>
      <c r="E874" s="1" t="inlineStr">
        <is>
          <t>2027BUD_V1</t>
        </is>
      </c>
      <c r="F874" s="1" t="inlineStr">
        <is>
          <t>12</t>
        </is>
      </c>
      <c r="G874" t="n">
        <v>27697.26258</v>
      </c>
      <c r="H874">
        <f>IF(PNL!A874="","",_CALC_PNL!P874)</f>
        <v/>
      </c>
      <c r="I874">
        <f>IF(PNL!A874="","",IF(_CALC_PNL!E874=1,H874-G874,""))</f>
        <v/>
      </c>
    </row>
    <row r="875">
      <c r="A875" s="1" t="inlineStr">
        <is>
          <t>MBWAY_NAN</t>
        </is>
      </c>
      <c r="B875" s="1" t="inlineStr">
        <is>
          <t>625</t>
        </is>
      </c>
      <c r="C875" s="1" t="inlineStr">
        <is>
          <t>2027</t>
        </is>
      </c>
      <c r="D875" s="1" t="inlineStr">
        <is>
          <t>V02</t>
        </is>
      </c>
      <c r="E875" s="1" t="inlineStr">
        <is>
          <t>2027BUD_V1</t>
        </is>
      </c>
      <c r="F875" s="1" t="inlineStr">
        <is>
          <t>12</t>
        </is>
      </c>
      <c r="G875" t="n">
        <v>26421.403491</v>
      </c>
      <c r="H875">
        <f>IF(PNL!A875="","",_CALC_PNL!P875)</f>
        <v/>
      </c>
      <c r="I875">
        <f>IF(PNL!A875="","",IF(_CALC_PNL!E875=1,H875-G875,""))</f>
        <v/>
      </c>
    </row>
    <row r="876">
      <c r="A876" s="1" t="inlineStr">
        <is>
          <t>MBWAY_NAN</t>
        </is>
      </c>
      <c r="B876" s="1" t="inlineStr">
        <is>
          <t>625</t>
        </is>
      </c>
      <c r="C876" s="1" t="inlineStr">
        <is>
          <t>2027</t>
        </is>
      </c>
      <c r="D876" s="1" t="inlineStr">
        <is>
          <t>V03</t>
        </is>
      </c>
      <c r="E876" s="1" t="inlineStr">
        <is>
          <t>2027BUD_V1</t>
        </is>
      </c>
      <c r="F876" s="1" t="inlineStr">
        <is>
          <t>12</t>
        </is>
      </c>
      <c r="G876" t="n">
        <v>29635.8192</v>
      </c>
      <c r="H876">
        <f>IF(PNL!A876="","",_CALC_PNL!P876)</f>
        <v/>
      </c>
      <c r="I876">
        <f>IF(PNL!A876="","",IF(_CALC_PNL!E876=1,H876-G876,""))</f>
        <v/>
      </c>
    </row>
    <row r="877">
      <c r="A877" s="1" t="inlineStr">
        <is>
          <t>MBWAY_BOR</t>
        </is>
      </c>
      <c r="B877" s="1" t="inlineStr">
        <is>
          <t>625</t>
        </is>
      </c>
      <c r="C877" s="1" t="inlineStr">
        <is>
          <t>2027</t>
        </is>
      </c>
      <c r="D877" s="1" t="inlineStr">
        <is>
          <t>V01</t>
        </is>
      </c>
      <c r="E877" s="1" t="inlineStr">
        <is>
          <t>2027BUD_V1</t>
        </is>
      </c>
      <c r="F877" s="1" t="inlineStr">
        <is>
          <t>12</t>
        </is>
      </c>
      <c r="G877" t="n">
        <v>24630.80139</v>
      </c>
      <c r="H877">
        <f>IF(PNL!A877="","",_CALC_PNL!P877)</f>
        <v/>
      </c>
      <c r="I877">
        <f>IF(PNL!A877="","",IF(_CALC_PNL!E877=1,H877-G877,""))</f>
        <v/>
      </c>
    </row>
    <row r="878">
      <c r="A878" s="1" t="inlineStr">
        <is>
          <t>MBWAY_BOR</t>
        </is>
      </c>
      <c r="B878" s="1" t="inlineStr">
        <is>
          <t>625</t>
        </is>
      </c>
      <c r="C878" s="1" t="inlineStr">
        <is>
          <t>2027</t>
        </is>
      </c>
      <c r="D878" s="1" t="inlineStr">
        <is>
          <t>V02</t>
        </is>
      </c>
      <c r="E878" s="1" t="inlineStr">
        <is>
          <t>2027BUD_V1</t>
        </is>
      </c>
      <c r="F878" s="1" t="inlineStr">
        <is>
          <t>12</t>
        </is>
      </c>
      <c r="G878" t="n">
        <v>23496.1971405</v>
      </c>
      <c r="H878">
        <f>IF(PNL!A878="","",_CALC_PNL!P878)</f>
        <v/>
      </c>
      <c r="I878">
        <f>IF(PNL!A878="","",IF(_CALC_PNL!E878=1,H878-G878,""))</f>
        <v/>
      </c>
    </row>
    <row r="879">
      <c r="A879" s="1" t="inlineStr">
        <is>
          <t>MBWAY_BOR</t>
        </is>
      </c>
      <c r="B879" s="1" t="inlineStr">
        <is>
          <t>625</t>
        </is>
      </c>
      <c r="C879" s="1" t="inlineStr">
        <is>
          <t>2027</t>
        </is>
      </c>
      <c r="D879" s="1" t="inlineStr">
        <is>
          <t>V03</t>
        </is>
      </c>
      <c r="E879" s="1" t="inlineStr">
        <is>
          <t>2027BUD_V1</t>
        </is>
      </c>
      <c r="F879" s="1" t="inlineStr">
        <is>
          <t>12</t>
        </is>
      </c>
      <c r="G879" t="n">
        <v>26354.7336</v>
      </c>
      <c r="H879">
        <f>IF(PNL!A879="","",_CALC_PNL!P879)</f>
        <v/>
      </c>
      <c r="I879">
        <f>IF(PNL!A879="","",IF(_CALC_PNL!E879=1,H879-G879,""))</f>
        <v/>
      </c>
    </row>
    <row r="880">
      <c r="A880" s="1" t="inlineStr">
        <is>
          <t>ISCOM_PAR</t>
        </is>
      </c>
      <c r="B880" s="1" t="inlineStr">
        <is>
          <t>625</t>
        </is>
      </c>
      <c r="C880" s="1" t="inlineStr">
        <is>
          <t>2027</t>
        </is>
      </c>
      <c r="D880" s="1" t="inlineStr">
        <is>
          <t>V01</t>
        </is>
      </c>
      <c r="E880" s="1" t="inlineStr">
        <is>
          <t>2027BUD_V1</t>
        </is>
      </c>
      <c r="F880" s="1" t="inlineStr">
        <is>
          <t>12</t>
        </is>
      </c>
      <c r="G880" t="n">
        <v>54025.98045</v>
      </c>
      <c r="H880">
        <f>IF(PNL!A880="","",_CALC_PNL!P880)</f>
        <v/>
      </c>
      <c r="I880">
        <f>IF(PNL!A880="","",IF(_CALC_PNL!E880=1,H880-G880,""))</f>
        <v/>
      </c>
    </row>
    <row r="881">
      <c r="A881" s="1" t="inlineStr">
        <is>
          <t>ISCOM_PAR</t>
        </is>
      </c>
      <c r="B881" s="1" t="inlineStr">
        <is>
          <t>625</t>
        </is>
      </c>
      <c r="C881" s="1" t="inlineStr">
        <is>
          <t>2027</t>
        </is>
      </c>
      <c r="D881" s="1" t="inlineStr">
        <is>
          <t>V02</t>
        </is>
      </c>
      <c r="E881" s="1" t="inlineStr">
        <is>
          <t>2027BUD_V1</t>
        </is>
      </c>
      <c r="F881" s="1" t="inlineStr">
        <is>
          <t>12</t>
        </is>
      </c>
      <c r="G881" t="n">
        <v>51537.3035275</v>
      </c>
      <c r="H881">
        <f>IF(PNL!A881="","",_CALC_PNL!P881)</f>
        <v/>
      </c>
      <c r="I881">
        <f>IF(PNL!A881="","",IF(_CALC_PNL!E881=1,H881-G881,""))</f>
        <v/>
      </c>
    </row>
    <row r="882">
      <c r="A882" s="1" t="inlineStr">
        <is>
          <t>ISCOM_PAR</t>
        </is>
      </c>
      <c r="B882" s="1" t="inlineStr">
        <is>
          <t>625</t>
        </is>
      </c>
      <c r="C882" s="1" t="inlineStr">
        <is>
          <t>2027</t>
        </is>
      </c>
      <c r="D882" s="1" t="inlineStr">
        <is>
          <t>V03</t>
        </is>
      </c>
      <c r="E882" s="1" t="inlineStr">
        <is>
          <t>2027BUD_V1</t>
        </is>
      </c>
      <c r="F882" s="1" t="inlineStr">
        <is>
          <t>12</t>
        </is>
      </c>
      <c r="G882" t="n">
        <v>57807.308</v>
      </c>
      <c r="H882">
        <f>IF(PNL!A882="","",_CALC_PNL!P882)</f>
        <v/>
      </c>
      <c r="I882">
        <f>IF(PNL!A882="","",IF(_CALC_PNL!E882=1,H882-G882,""))</f>
        <v/>
      </c>
    </row>
    <row r="883">
      <c r="A883" s="1" t="inlineStr">
        <is>
          <t>ISCOM_LIL</t>
        </is>
      </c>
      <c r="B883" s="1" t="inlineStr">
        <is>
          <t>625</t>
        </is>
      </c>
      <c r="C883" s="1" t="inlineStr">
        <is>
          <t>2027</t>
        </is>
      </c>
      <c r="D883" s="1" t="inlineStr">
        <is>
          <t>V01</t>
        </is>
      </c>
      <c r="E883" s="1" t="inlineStr">
        <is>
          <t>2027BUD_V1</t>
        </is>
      </c>
      <c r="F883" s="1" t="inlineStr">
        <is>
          <t>12</t>
        </is>
      </c>
      <c r="G883" t="n">
        <v>21147.87012</v>
      </c>
      <c r="H883">
        <f>IF(PNL!A883="","",_CALC_PNL!P883)</f>
        <v/>
      </c>
      <c r="I883">
        <f>IF(PNL!A883="","",IF(_CALC_PNL!E883=1,H883-G883,""))</f>
        <v/>
      </c>
    </row>
    <row r="884">
      <c r="A884" s="1" t="inlineStr">
        <is>
          <t>ISCOM_LIL</t>
        </is>
      </c>
      <c r="B884" s="1" t="inlineStr">
        <is>
          <t>625</t>
        </is>
      </c>
      <c r="C884" s="1" t="inlineStr">
        <is>
          <t>2027</t>
        </is>
      </c>
      <c r="D884" s="1" t="inlineStr">
        <is>
          <t>V02</t>
        </is>
      </c>
      <c r="E884" s="1" t="inlineStr">
        <is>
          <t>2027BUD_V1</t>
        </is>
      </c>
      <c r="F884" s="1" t="inlineStr">
        <is>
          <t>12</t>
        </is>
      </c>
      <c r="G884" t="n">
        <v>20173.705174</v>
      </c>
      <c r="H884">
        <f>IF(PNL!A884="","",_CALC_PNL!P884)</f>
        <v/>
      </c>
      <c r="I884">
        <f>IF(PNL!A884="","",IF(_CALC_PNL!E884=1,H884-G884,""))</f>
        <v/>
      </c>
    </row>
    <row r="885">
      <c r="A885" s="1" t="inlineStr">
        <is>
          <t>ISCOM_LIL</t>
        </is>
      </c>
      <c r="B885" s="1" t="inlineStr">
        <is>
          <t>625</t>
        </is>
      </c>
      <c r="C885" s="1" t="inlineStr">
        <is>
          <t>2027</t>
        </is>
      </c>
      <c r="D885" s="1" t="inlineStr">
        <is>
          <t>V03</t>
        </is>
      </c>
      <c r="E885" s="1" t="inlineStr">
        <is>
          <t>2027BUD_V1</t>
        </is>
      </c>
      <c r="F885" s="1" t="inlineStr">
        <is>
          <t>12</t>
        </is>
      </c>
      <c r="G885" t="n">
        <v>22628.0288</v>
      </c>
      <c r="H885">
        <f>IF(PNL!A885="","",_CALC_PNL!P885)</f>
        <v/>
      </c>
      <c r="I885">
        <f>IF(PNL!A885="","",IF(_CALC_PNL!E885=1,H885-G885,""))</f>
        <v/>
      </c>
    </row>
    <row r="886">
      <c r="A886" s="1" t="inlineStr">
        <is>
          <t>ISCOM_TLS</t>
        </is>
      </c>
      <c r="B886" s="1" t="inlineStr">
        <is>
          <t>625</t>
        </is>
      </c>
      <c r="C886" s="1" t="inlineStr">
        <is>
          <t>2027</t>
        </is>
      </c>
      <c r="D886" s="1" t="inlineStr">
        <is>
          <t>V01</t>
        </is>
      </c>
      <c r="E886" s="1" t="inlineStr">
        <is>
          <t>2027BUD_V1</t>
        </is>
      </c>
      <c r="F886" s="1" t="inlineStr">
        <is>
          <t>12</t>
        </is>
      </c>
      <c r="G886" t="n">
        <v>19586.10732</v>
      </c>
      <c r="H886">
        <f>IF(PNL!A886="","",_CALC_PNL!P886)</f>
        <v/>
      </c>
      <c r="I886">
        <f>IF(PNL!A886="","",IF(_CALC_PNL!E886=1,H886-G886,""))</f>
        <v/>
      </c>
    </row>
    <row r="887">
      <c r="A887" s="1" t="inlineStr">
        <is>
          <t>ISCOM_TLS</t>
        </is>
      </c>
      <c r="B887" s="1" t="inlineStr">
        <is>
          <t>625</t>
        </is>
      </c>
      <c r="C887" s="1" t="inlineStr">
        <is>
          <t>2027</t>
        </is>
      </c>
      <c r="D887" s="1" t="inlineStr">
        <is>
          <t>V02</t>
        </is>
      </c>
      <c r="E887" s="1" t="inlineStr">
        <is>
          <t>2027BUD_V1</t>
        </is>
      </c>
      <c r="F887" s="1" t="inlineStr">
        <is>
          <t>12</t>
        </is>
      </c>
      <c r="G887" t="n">
        <v>18683.884114</v>
      </c>
      <c r="H887">
        <f>IF(PNL!A887="","",_CALC_PNL!P887)</f>
        <v/>
      </c>
      <c r="I887">
        <f>IF(PNL!A887="","",IF(_CALC_PNL!E887=1,H887-G887,""))</f>
        <v/>
      </c>
    </row>
    <row r="888">
      <c r="A888" s="1" t="inlineStr">
        <is>
          <t>ISCOM_TLS</t>
        </is>
      </c>
      <c r="B888" s="1" t="inlineStr">
        <is>
          <t>625</t>
        </is>
      </c>
      <c r="C888" s="1" t="inlineStr">
        <is>
          <t>2027</t>
        </is>
      </c>
      <c r="D888" s="1" t="inlineStr">
        <is>
          <t>V03</t>
        </is>
      </c>
      <c r="E888" s="1" t="inlineStr">
        <is>
          <t>2027BUD_V1</t>
        </is>
      </c>
      <c r="F888" s="1" t="inlineStr">
        <is>
          <t>12</t>
        </is>
      </c>
      <c r="G888" t="n">
        <v>20956.9568</v>
      </c>
      <c r="H888">
        <f>IF(PNL!A888="","",_CALC_PNL!P888)</f>
        <v/>
      </c>
      <c r="I888">
        <f>IF(PNL!A888="","",IF(_CALC_PNL!E888=1,H888-G888,""))</f>
        <v/>
      </c>
    </row>
    <row r="889">
      <c r="A889" s="1" t="inlineStr">
        <is>
          <t>IPAC_NAN</t>
        </is>
      </c>
      <c r="B889" s="1" t="inlineStr">
        <is>
          <t>625</t>
        </is>
      </c>
      <c r="C889" s="1" t="inlineStr">
        <is>
          <t>2027</t>
        </is>
      </c>
      <c r="D889" s="1" t="inlineStr">
        <is>
          <t>V01</t>
        </is>
      </c>
      <c r="E889" s="1" t="inlineStr">
        <is>
          <t>2027BUD_V1</t>
        </is>
      </c>
      <c r="F889" s="1" t="inlineStr">
        <is>
          <t>12</t>
        </is>
      </c>
      <c r="G889" t="n">
        <v>13660.41885</v>
      </c>
      <c r="H889">
        <f>IF(PNL!A889="","",_CALC_PNL!P889)</f>
        <v/>
      </c>
      <c r="I889">
        <f>IF(PNL!A889="","",IF(_CALC_PNL!E889=1,H889-G889,""))</f>
        <v/>
      </c>
    </row>
    <row r="890">
      <c r="A890" s="1" t="inlineStr">
        <is>
          <t>IPAC_NAN</t>
        </is>
      </c>
      <c r="B890" s="1" t="inlineStr">
        <is>
          <t>625</t>
        </is>
      </c>
      <c r="C890" s="1" t="inlineStr">
        <is>
          <t>2027</t>
        </is>
      </c>
      <c r="D890" s="1" t="inlineStr">
        <is>
          <t>V02</t>
        </is>
      </c>
      <c r="E890" s="1" t="inlineStr">
        <is>
          <t>2027BUD_V1</t>
        </is>
      </c>
      <c r="F890" s="1" t="inlineStr">
        <is>
          <t>12</t>
        </is>
      </c>
      <c r="G890" t="n">
        <v>13031.1592075</v>
      </c>
      <c r="H890">
        <f>IF(PNL!A890="","",_CALC_PNL!P890)</f>
        <v/>
      </c>
      <c r="I890">
        <f>IF(PNL!A890="","",IF(_CALC_PNL!E890=1,H890-G890,""))</f>
        <v/>
      </c>
    </row>
    <row r="891">
      <c r="A891" s="1" t="inlineStr">
        <is>
          <t>IPAC_NAN</t>
        </is>
      </c>
      <c r="B891" s="1" t="inlineStr">
        <is>
          <t>625</t>
        </is>
      </c>
      <c r="C891" s="1" t="inlineStr">
        <is>
          <t>2027</t>
        </is>
      </c>
      <c r="D891" s="1" t="inlineStr">
        <is>
          <t>V03</t>
        </is>
      </c>
      <c r="E891" s="1" t="inlineStr">
        <is>
          <t>2027BUD_V1</t>
        </is>
      </c>
      <c r="F891" s="1" t="inlineStr">
        <is>
          <t>12</t>
        </is>
      </c>
      <c r="G891" t="n">
        <v>14616.524</v>
      </c>
      <c r="H891">
        <f>IF(PNL!A891="","",_CALC_PNL!P891)</f>
        <v/>
      </c>
      <c r="I891">
        <f>IF(PNL!A891="","",IF(_CALC_PNL!E891=1,H891-G891,""))</f>
        <v/>
      </c>
    </row>
    <row r="892">
      <c r="A892" s="1" t="inlineStr">
        <is>
          <t>IPAC_REN</t>
        </is>
      </c>
      <c r="B892" s="1" t="inlineStr">
        <is>
          <t>625</t>
        </is>
      </c>
      <c r="C892" s="1" t="inlineStr">
        <is>
          <t>2027</t>
        </is>
      </c>
      <c r="D892" s="1" t="inlineStr">
        <is>
          <t>V01</t>
        </is>
      </c>
      <c r="E892" s="1" t="inlineStr">
        <is>
          <t>2027BUD_V1</t>
        </is>
      </c>
      <c r="F892" s="1" t="inlineStr">
        <is>
          <t>12</t>
        </is>
      </c>
      <c r="G892" t="n">
        <v>9699.94857</v>
      </c>
      <c r="H892">
        <f>IF(PNL!A892="","",_CALC_PNL!P892)</f>
        <v/>
      </c>
      <c r="I892">
        <f>IF(PNL!A892="","",IF(_CALC_PNL!E892=1,H892-G892,""))</f>
        <v/>
      </c>
    </row>
    <row r="893">
      <c r="A893" s="1" t="inlineStr">
        <is>
          <t>IPAC_REN</t>
        </is>
      </c>
      <c r="B893" s="1" t="inlineStr">
        <is>
          <t>625</t>
        </is>
      </c>
      <c r="C893" s="1" t="inlineStr">
        <is>
          <t>2027</t>
        </is>
      </c>
      <c r="D893" s="1" t="inlineStr">
        <is>
          <t>V02</t>
        </is>
      </c>
      <c r="E893" s="1" t="inlineStr">
        <is>
          <t>2027BUD_V1</t>
        </is>
      </c>
      <c r="F893" s="1" t="inlineStr">
        <is>
          <t>12</t>
        </is>
      </c>
      <c r="G893" t="n">
        <v>9253.1258015</v>
      </c>
      <c r="H893">
        <f>IF(PNL!A893="","",_CALC_PNL!P893)</f>
        <v/>
      </c>
      <c r="I893">
        <f>IF(PNL!A893="","",IF(_CALC_PNL!E893=1,H893-G893,""))</f>
        <v/>
      </c>
    </row>
    <row r="894">
      <c r="A894" s="1" t="inlineStr">
        <is>
          <t>IPAC_REN</t>
        </is>
      </c>
      <c r="B894" s="1" t="inlineStr">
        <is>
          <t>625</t>
        </is>
      </c>
      <c r="C894" s="1" t="inlineStr">
        <is>
          <t>2027</t>
        </is>
      </c>
      <c r="D894" s="1" t="inlineStr">
        <is>
          <t>V03</t>
        </is>
      </c>
      <c r="E894" s="1" t="inlineStr">
        <is>
          <t>2027BUD_V1</t>
        </is>
      </c>
      <c r="F894" s="1" t="inlineStr">
        <is>
          <t>12</t>
        </is>
      </c>
      <c r="G894" t="n">
        <v>10378.8568</v>
      </c>
      <c r="H894">
        <f>IF(PNL!A894="","",_CALC_PNL!P894)</f>
        <v/>
      </c>
      <c r="I894">
        <f>IF(PNL!A894="","",IF(_CALC_PNL!E894=1,H894-G894,""))</f>
        <v/>
      </c>
    </row>
    <row r="895">
      <c r="A895" s="1" t="inlineStr">
        <is>
          <t>IPAC_MTP</t>
        </is>
      </c>
      <c r="B895" s="1" t="inlineStr">
        <is>
          <t>625</t>
        </is>
      </c>
      <c r="C895" s="1" t="inlineStr">
        <is>
          <t>2027</t>
        </is>
      </c>
      <c r="D895" s="1" t="inlineStr">
        <is>
          <t>V01</t>
        </is>
      </c>
      <c r="E895" s="1" t="inlineStr">
        <is>
          <t>2027BUD_V1</t>
        </is>
      </c>
      <c r="F895" s="1" t="inlineStr">
        <is>
          <t>12</t>
        </is>
      </c>
      <c r="G895" t="n">
        <v>9699.94857</v>
      </c>
      <c r="H895">
        <f>IF(PNL!A895="","",_CALC_PNL!P895)</f>
        <v/>
      </c>
      <c r="I895">
        <f>IF(PNL!A895="","",IF(_CALC_PNL!E895=1,H895-G895,""))</f>
        <v/>
      </c>
    </row>
    <row r="896">
      <c r="A896" s="1" t="inlineStr">
        <is>
          <t>IPAC_MTP</t>
        </is>
      </c>
      <c r="B896" s="1" t="inlineStr">
        <is>
          <t>625</t>
        </is>
      </c>
      <c r="C896" s="1" t="inlineStr">
        <is>
          <t>2027</t>
        </is>
      </c>
      <c r="D896" s="1" t="inlineStr">
        <is>
          <t>V02</t>
        </is>
      </c>
      <c r="E896" s="1" t="inlineStr">
        <is>
          <t>2027BUD_V1</t>
        </is>
      </c>
      <c r="F896" s="1" t="inlineStr">
        <is>
          <t>12</t>
        </is>
      </c>
      <c r="G896" t="n">
        <v>9253.1258015</v>
      </c>
      <c r="H896">
        <f>IF(PNL!A896="","",_CALC_PNL!P896)</f>
        <v/>
      </c>
      <c r="I896">
        <f>IF(PNL!A896="","",IF(_CALC_PNL!E896=1,H896-G896,""))</f>
        <v/>
      </c>
    </row>
    <row r="897">
      <c r="A897" s="1" t="inlineStr">
        <is>
          <t>IPAC_MTP</t>
        </is>
      </c>
      <c r="B897" s="1" t="inlineStr">
        <is>
          <t>625</t>
        </is>
      </c>
      <c r="C897" s="1" t="inlineStr">
        <is>
          <t>2027</t>
        </is>
      </c>
      <c r="D897" s="1" t="inlineStr">
        <is>
          <t>V03</t>
        </is>
      </c>
      <c r="E897" s="1" t="inlineStr">
        <is>
          <t>2027BUD_V1</t>
        </is>
      </c>
      <c r="F897" s="1" t="inlineStr">
        <is>
          <t>12</t>
        </is>
      </c>
      <c r="G897" t="n">
        <v>10378.8568</v>
      </c>
      <c r="H897">
        <f>IF(PNL!A897="","",_CALC_PNL!P897)</f>
        <v/>
      </c>
      <c r="I897">
        <f>IF(PNL!A897="","",IF(_CALC_PNL!E897=1,H897-G897,""))</f>
        <v/>
      </c>
    </row>
    <row r="898">
      <c r="A898" s="1" t="inlineStr">
        <is>
          <t>PIGIER_LYO</t>
        </is>
      </c>
      <c r="B898" s="1" t="inlineStr">
        <is>
          <t>625</t>
        </is>
      </c>
      <c r="C898" s="1" t="inlineStr">
        <is>
          <t>2027</t>
        </is>
      </c>
      <c r="D898" s="1" t="inlineStr">
        <is>
          <t>V01</t>
        </is>
      </c>
      <c r="E898" s="1" t="inlineStr">
        <is>
          <t>2027BUD_V1</t>
        </is>
      </c>
      <c r="F898" s="1" t="inlineStr">
        <is>
          <t>12</t>
        </is>
      </c>
      <c r="G898" t="n">
        <v>19203.67566</v>
      </c>
      <c r="H898">
        <f>IF(PNL!A898="","",_CALC_PNL!P898)</f>
        <v/>
      </c>
      <c r="I898">
        <f>IF(PNL!A898="","",IF(_CALC_PNL!E898=1,H898-G898,""))</f>
        <v/>
      </c>
    </row>
    <row r="899">
      <c r="A899" s="1" t="inlineStr">
        <is>
          <t>PIGIER_LYO</t>
        </is>
      </c>
      <c r="B899" s="1" t="inlineStr">
        <is>
          <t>625</t>
        </is>
      </c>
      <c r="C899" s="1" t="inlineStr">
        <is>
          <t>2027</t>
        </is>
      </c>
      <c r="D899" s="1" t="inlineStr">
        <is>
          <t>V02</t>
        </is>
      </c>
      <c r="E899" s="1" t="inlineStr">
        <is>
          <t>2027BUD_V1</t>
        </is>
      </c>
      <c r="F899" s="1" t="inlineStr">
        <is>
          <t>12</t>
        </is>
      </c>
      <c r="G899" t="n">
        <v>18319.068957</v>
      </c>
      <c r="H899">
        <f>IF(PNL!A899="","",_CALC_PNL!P899)</f>
        <v/>
      </c>
      <c r="I899">
        <f>IF(PNL!A899="","",IF(_CALC_PNL!E899=1,H899-G899,""))</f>
        <v/>
      </c>
    </row>
    <row r="900">
      <c r="A900" s="1" t="inlineStr">
        <is>
          <t>PIGIER_LYO</t>
        </is>
      </c>
      <c r="B900" s="1" t="inlineStr">
        <is>
          <t>625</t>
        </is>
      </c>
      <c r="C900" s="1" t="inlineStr">
        <is>
          <t>2027</t>
        </is>
      </c>
      <c r="D900" s="1" t="inlineStr">
        <is>
          <t>V03</t>
        </is>
      </c>
      <c r="E900" s="1" t="inlineStr">
        <is>
          <t>2027BUD_V1</t>
        </is>
      </c>
      <c r="F900" s="1" t="inlineStr">
        <is>
          <t>12</t>
        </is>
      </c>
      <c r="G900" t="n">
        <v>20547.7584</v>
      </c>
      <c r="H900">
        <f>IF(PNL!A900="","",_CALC_PNL!P900)</f>
        <v/>
      </c>
      <c r="I900">
        <f>IF(PNL!A900="","",IF(_CALC_PNL!E900=1,H900-G900,""))</f>
        <v/>
      </c>
    </row>
    <row r="901">
      <c r="A901" s="1" t="inlineStr">
        <is>
          <t>PIGIER_BOR</t>
        </is>
      </c>
      <c r="B901" s="1" t="inlineStr">
        <is>
          <t>625</t>
        </is>
      </c>
      <c r="C901" s="1" t="inlineStr">
        <is>
          <t>2027</t>
        </is>
      </c>
      <c r="D901" s="1" t="inlineStr">
        <is>
          <t>V01</t>
        </is>
      </c>
      <c r="E901" s="1" t="inlineStr">
        <is>
          <t>2027BUD_V1</t>
        </is>
      </c>
      <c r="F901" s="1" t="inlineStr">
        <is>
          <t>12</t>
        </is>
      </c>
      <c r="G901" t="n">
        <v>14045.8539</v>
      </c>
      <c r="H901">
        <f>IF(PNL!A901="","",_CALC_PNL!P901)</f>
        <v/>
      </c>
      <c r="I901">
        <f>IF(PNL!A901="","",IF(_CALC_PNL!E901=1,H901-G901,""))</f>
        <v/>
      </c>
    </row>
    <row r="902">
      <c r="A902" s="1" t="inlineStr">
        <is>
          <t>PIGIER_BOR</t>
        </is>
      </c>
      <c r="B902" s="1" t="inlineStr">
        <is>
          <t>625</t>
        </is>
      </c>
      <c r="C902" s="1" t="inlineStr">
        <is>
          <t>2027</t>
        </is>
      </c>
      <c r="D902" s="1" t="inlineStr">
        <is>
          <t>V02</t>
        </is>
      </c>
      <c r="E902" s="1" t="inlineStr">
        <is>
          <t>2027BUD_V1</t>
        </is>
      </c>
      <c r="F902" s="1" t="inlineStr">
        <is>
          <t>12</t>
        </is>
      </c>
      <c r="G902" t="n">
        <v>13398.839405</v>
      </c>
      <c r="H902">
        <f>IF(PNL!A902="","",_CALC_PNL!P902)</f>
        <v/>
      </c>
      <c r="I902">
        <f>IF(PNL!A902="","",IF(_CALC_PNL!E902=1,H902-G902,""))</f>
        <v/>
      </c>
    </row>
    <row r="903">
      <c r="A903" s="1" t="inlineStr">
        <is>
          <t>PIGIER_BOR</t>
        </is>
      </c>
      <c r="B903" s="1" t="inlineStr">
        <is>
          <t>625</t>
        </is>
      </c>
      <c r="C903" s="1" t="inlineStr">
        <is>
          <t>2027</t>
        </is>
      </c>
      <c r="D903" s="1" t="inlineStr">
        <is>
          <t>V03</t>
        </is>
      </c>
      <c r="E903" s="1" t="inlineStr">
        <is>
          <t>2027BUD_V1</t>
        </is>
      </c>
      <c r="F903" s="1" t="inlineStr">
        <is>
          <t>12</t>
        </is>
      </c>
      <c r="G903" t="n">
        <v>15028.936</v>
      </c>
      <c r="H903">
        <f>IF(PNL!A903="","",_CALC_PNL!P903)</f>
        <v/>
      </c>
      <c r="I903">
        <f>IF(PNL!A903="","",IF(_CALC_PNL!E903=1,H903-G903,""))</f>
        <v/>
      </c>
    </row>
    <row r="904">
      <c r="A904" s="1" t="inlineStr">
        <is>
          <t>TUNON_PAR</t>
        </is>
      </c>
      <c r="B904" s="1" t="inlineStr">
        <is>
          <t>625</t>
        </is>
      </c>
      <c r="C904" s="1" t="inlineStr">
        <is>
          <t>2027</t>
        </is>
      </c>
      <c r="D904" s="1" t="inlineStr">
        <is>
          <t>V01</t>
        </is>
      </c>
      <c r="E904" s="1" t="inlineStr">
        <is>
          <t>2027BUD_V1</t>
        </is>
      </c>
      <c r="F904" s="1" t="inlineStr">
        <is>
          <t>12</t>
        </is>
      </c>
      <c r="G904" t="n">
        <v>21060.77181</v>
      </c>
      <c r="H904">
        <f>IF(PNL!A904="","",_CALC_PNL!P904)</f>
        <v/>
      </c>
      <c r="I904">
        <f>IF(PNL!A904="","",IF(_CALC_PNL!E904=1,H904-G904,""))</f>
        <v/>
      </c>
    </row>
    <row r="905">
      <c r="A905" s="1" t="inlineStr">
        <is>
          <t>TUNON_PAR</t>
        </is>
      </c>
      <c r="B905" s="1" t="inlineStr">
        <is>
          <t>625</t>
        </is>
      </c>
      <c r="C905" s="1" t="inlineStr">
        <is>
          <t>2027</t>
        </is>
      </c>
      <c r="D905" s="1" t="inlineStr">
        <is>
          <t>V02</t>
        </is>
      </c>
      <c r="E905" s="1" t="inlineStr">
        <is>
          <t>2027BUD_V1</t>
        </is>
      </c>
      <c r="F905" s="1" t="inlineStr">
        <is>
          <t>12</t>
        </is>
      </c>
      <c r="G905" t="n">
        <v>20090.6189995</v>
      </c>
      <c r="H905">
        <f>IF(PNL!A905="","",_CALC_PNL!P905)</f>
        <v/>
      </c>
      <c r="I905">
        <f>IF(PNL!A905="","",IF(_CALC_PNL!E905=1,H905-G905,""))</f>
        <v/>
      </c>
    </row>
    <row r="906">
      <c r="A906" s="1" t="inlineStr">
        <is>
          <t>TUNON_PAR</t>
        </is>
      </c>
      <c r="B906" s="1" t="inlineStr">
        <is>
          <t>625</t>
        </is>
      </c>
      <c r="C906" s="1" t="inlineStr">
        <is>
          <t>2027</t>
        </is>
      </c>
      <c r="D906" s="1" t="inlineStr">
        <is>
          <t>V03</t>
        </is>
      </c>
      <c r="E906" s="1" t="inlineStr">
        <is>
          <t>2027BUD_V1</t>
        </is>
      </c>
      <c r="F906" s="1" t="inlineStr">
        <is>
          <t>12</t>
        </is>
      </c>
      <c r="G906" t="n">
        <v>22534.8344</v>
      </c>
      <c r="H906">
        <f>IF(PNL!A906="","",_CALC_PNL!P906)</f>
        <v/>
      </c>
      <c r="I906">
        <f>IF(PNL!A906="","",IF(_CALC_PNL!E906=1,H906-G906,""))</f>
        <v/>
      </c>
    </row>
    <row r="907">
      <c r="A907" s="1" t="inlineStr">
        <is>
          <t>TUNON_LYO</t>
        </is>
      </c>
      <c r="B907" s="1" t="inlineStr">
        <is>
          <t>625</t>
        </is>
      </c>
      <c r="C907" s="1" t="inlineStr">
        <is>
          <t>2027</t>
        </is>
      </c>
      <c r="D907" s="1" t="inlineStr">
        <is>
          <t>V01</t>
        </is>
      </c>
      <c r="E907" s="1" t="inlineStr">
        <is>
          <t>2027BUD_V1</t>
        </is>
      </c>
      <c r="F907" s="1" t="inlineStr">
        <is>
          <t>12</t>
        </is>
      </c>
      <c r="G907" t="n">
        <v>12344.93403</v>
      </c>
      <c r="H907">
        <f>IF(PNL!A907="","",_CALC_PNL!P907)</f>
        <v/>
      </c>
      <c r="I907">
        <f>IF(PNL!A907="","",IF(_CALC_PNL!E907=1,H907-G907,""))</f>
        <v/>
      </c>
    </row>
    <row r="908">
      <c r="A908" s="1" t="inlineStr">
        <is>
          <t>TUNON_LYO</t>
        </is>
      </c>
      <c r="B908" s="1" t="inlineStr">
        <is>
          <t>625</t>
        </is>
      </c>
      <c r="C908" s="1" t="inlineStr">
        <is>
          <t>2027</t>
        </is>
      </c>
      <c r="D908" s="1" t="inlineStr">
        <is>
          <t>V02</t>
        </is>
      </c>
      <c r="E908" s="1" t="inlineStr">
        <is>
          <t>2027BUD_V1</t>
        </is>
      </c>
      <c r="F908" s="1" t="inlineStr">
        <is>
          <t>12</t>
        </is>
      </c>
      <c r="G908" t="n">
        <v>11776.2714685</v>
      </c>
      <c r="H908">
        <f>IF(PNL!A908="","",_CALC_PNL!P908)</f>
        <v/>
      </c>
      <c r="I908">
        <f>IF(PNL!A908="","",IF(_CALC_PNL!E908=1,H908-G908,""))</f>
        <v/>
      </c>
    </row>
    <row r="909">
      <c r="A909" s="1" t="inlineStr">
        <is>
          <t>TUNON_LYO</t>
        </is>
      </c>
      <c r="B909" s="1" t="inlineStr">
        <is>
          <t>625</t>
        </is>
      </c>
      <c r="C909" s="1" t="inlineStr">
        <is>
          <t>2027</t>
        </is>
      </c>
      <c r="D909" s="1" t="inlineStr">
        <is>
          <t>V03</t>
        </is>
      </c>
      <c r="E909" s="1" t="inlineStr">
        <is>
          <t>2027BUD_V1</t>
        </is>
      </c>
      <c r="F909" s="1" t="inlineStr">
        <is>
          <t>12</t>
        </is>
      </c>
      <c r="G909" t="n">
        <v>13208.9672</v>
      </c>
      <c r="H909">
        <f>IF(PNL!A909="","",_CALC_PNL!P909)</f>
        <v/>
      </c>
      <c r="I909">
        <f>IF(PNL!A909="","",IF(_CALC_PNL!E909=1,H909-G909,""))</f>
        <v/>
      </c>
    </row>
    <row r="910">
      <c r="A910" s="1" t="inlineStr">
        <is>
          <t>GRP</t>
        </is>
      </c>
      <c r="B910" s="1" t="inlineStr">
        <is>
          <t>626</t>
        </is>
      </c>
      <c r="C910" s="1" t="inlineStr">
        <is>
          <t>2027</t>
        </is>
      </c>
      <c r="D910" s="1" t="inlineStr">
        <is>
          <t>V01</t>
        </is>
      </c>
      <c r="E910" s="1" t="inlineStr">
        <is>
          <t>2027BUD_V1</t>
        </is>
      </c>
      <c r="F910" s="1" t="inlineStr">
        <is>
          <t>12</t>
        </is>
      </c>
      <c r="G910" t="n">
        <v>452382.61536</v>
      </c>
      <c r="H910">
        <f>IF(PNL!A910="","",_CALC_PNL!P910)</f>
        <v/>
      </c>
      <c r="I910">
        <f>IF(PNL!A910="","",IF(_CALC_PNL!E910=1,H910-G910,""))</f>
        <v/>
      </c>
    </row>
    <row r="911">
      <c r="A911" s="1" t="inlineStr">
        <is>
          <t>GRP</t>
        </is>
      </c>
      <c r="B911" s="1" t="inlineStr">
        <is>
          <t>626</t>
        </is>
      </c>
      <c r="C911" s="1" t="inlineStr">
        <is>
          <t>2027</t>
        </is>
      </c>
      <c r="D911" s="1" t="inlineStr">
        <is>
          <t>V02</t>
        </is>
      </c>
      <c r="E911" s="1" t="inlineStr">
        <is>
          <t>2027BUD_V1</t>
        </is>
      </c>
      <c r="F911" s="1" t="inlineStr">
        <is>
          <t>12</t>
        </is>
      </c>
      <c r="G911" t="n">
        <v>431543.860272</v>
      </c>
      <c r="H911">
        <f>IF(PNL!A911="","",_CALC_PNL!P911)</f>
        <v/>
      </c>
      <c r="I911">
        <f>IF(PNL!A911="","",IF(_CALC_PNL!E911=1,H911-G911,""))</f>
        <v/>
      </c>
    </row>
    <row r="912">
      <c r="A912" s="1" t="inlineStr">
        <is>
          <t>GRP</t>
        </is>
      </c>
      <c r="B912" s="1" t="inlineStr">
        <is>
          <t>626</t>
        </is>
      </c>
      <c r="C912" s="1" t="inlineStr">
        <is>
          <t>2027</t>
        </is>
      </c>
      <c r="D912" s="1" t="inlineStr">
        <is>
          <t>V03</t>
        </is>
      </c>
      <c r="E912" s="1" t="inlineStr">
        <is>
          <t>2027BUD_V1</t>
        </is>
      </c>
      <c r="F912" s="1" t="inlineStr">
        <is>
          <t>12</t>
        </is>
      </c>
      <c r="G912" t="n">
        <v>484045.2864</v>
      </c>
      <c r="H912">
        <f>IF(PNL!A912="","",_CALC_PNL!P912)</f>
        <v/>
      </c>
      <c r="I912">
        <f>IF(PNL!A912="","",IF(_CALC_PNL!E912=1,H912-G912,""))</f>
        <v/>
      </c>
    </row>
    <row r="913">
      <c r="A913" s="1" t="inlineStr">
        <is>
          <t>GRP</t>
        </is>
      </c>
      <c r="B913" s="1" t="inlineStr">
        <is>
          <t>6281</t>
        </is>
      </c>
      <c r="C913" s="1" t="inlineStr">
        <is>
          <t>2027</t>
        </is>
      </c>
      <c r="D913" s="1" t="inlineStr">
        <is>
          <t>V01</t>
        </is>
      </c>
      <c r="E913" s="1" t="inlineStr">
        <is>
          <t>2027BUD_V1</t>
        </is>
      </c>
      <c r="F913" s="1" t="inlineStr">
        <is>
          <t>12</t>
        </is>
      </c>
      <c r="G913" t="n">
        <v>180953.24637</v>
      </c>
      <c r="H913">
        <f>IF(PNL!A913="","",_CALC_PNL!P913)</f>
        <v/>
      </c>
      <c r="I913">
        <f>IF(PNL!A913="","",IF(_CALC_PNL!E913=1,H913-G913,""))</f>
        <v/>
      </c>
    </row>
    <row r="914">
      <c r="A914" s="1" t="inlineStr">
        <is>
          <t>GRP</t>
        </is>
      </c>
      <c r="B914" s="1" t="inlineStr">
        <is>
          <t>6281</t>
        </is>
      </c>
      <c r="C914" s="1" t="inlineStr">
        <is>
          <t>2027</t>
        </is>
      </c>
      <c r="D914" s="1" t="inlineStr">
        <is>
          <t>V02</t>
        </is>
      </c>
      <c r="E914" s="1" t="inlineStr">
        <is>
          <t>2027BUD_V1</t>
        </is>
      </c>
      <c r="F914" s="1" t="inlineStr">
        <is>
          <t>12</t>
        </is>
      </c>
      <c r="G914" t="n">
        <v>172617.7351115</v>
      </c>
      <c r="H914">
        <f>IF(PNL!A914="","",_CALC_PNL!P914)</f>
        <v/>
      </c>
      <c r="I914">
        <f>IF(PNL!A914="","",IF(_CALC_PNL!E914=1,H914-G914,""))</f>
        <v/>
      </c>
    </row>
    <row r="915">
      <c r="A915" s="1" t="inlineStr">
        <is>
          <t>GRP</t>
        </is>
      </c>
      <c r="B915" s="1" t="inlineStr">
        <is>
          <t>6281</t>
        </is>
      </c>
      <c r="C915" s="1" t="inlineStr">
        <is>
          <t>2027</t>
        </is>
      </c>
      <c r="D915" s="1" t="inlineStr">
        <is>
          <t>V03</t>
        </is>
      </c>
      <c r="E915" s="1" t="inlineStr">
        <is>
          <t>2027BUD_V1</t>
        </is>
      </c>
      <c r="F915" s="1" t="inlineStr">
        <is>
          <t>12</t>
        </is>
      </c>
      <c r="G915" t="n">
        <v>193618.3288</v>
      </c>
      <c r="H915">
        <f>IF(PNL!A915="","",_CALC_PNL!P915)</f>
        <v/>
      </c>
      <c r="I915">
        <f>IF(PNL!A915="","",IF(_CALC_PNL!E915=1,H915-G915,""))</f>
        <v/>
      </c>
    </row>
    <row r="916">
      <c r="A916" s="1" t="inlineStr">
        <is>
          <t>GRP</t>
        </is>
      </c>
      <c r="B916" s="1" t="inlineStr">
        <is>
          <t>6331</t>
        </is>
      </c>
      <c r="C916" s="1" t="inlineStr">
        <is>
          <t>2027</t>
        </is>
      </c>
      <c r="D916" s="1" t="inlineStr">
        <is>
          <t>V01</t>
        </is>
      </c>
      <c r="E916" s="1" t="inlineStr">
        <is>
          <t>2027BUD_V1</t>
        </is>
      </c>
      <c r="F916" s="1" t="inlineStr">
        <is>
          <t>12</t>
        </is>
      </c>
      <c r="G916" t="n">
        <v>339286.96152</v>
      </c>
      <c r="H916">
        <f>IF(PNL!A916="","",_CALC_PNL!P916)</f>
        <v/>
      </c>
      <c r="I916">
        <f>IF(PNL!A916="","",IF(_CALC_PNL!E916=1,H916-G916,""))</f>
        <v/>
      </c>
    </row>
    <row r="917">
      <c r="A917" s="1" t="inlineStr">
        <is>
          <t>GRP</t>
        </is>
      </c>
      <c r="B917" s="1" t="inlineStr">
        <is>
          <t>6331</t>
        </is>
      </c>
      <c r="C917" s="1" t="inlineStr">
        <is>
          <t>2027</t>
        </is>
      </c>
      <c r="D917" s="1" t="inlineStr">
        <is>
          <t>V02</t>
        </is>
      </c>
      <c r="E917" s="1" t="inlineStr">
        <is>
          <t>2027BUD_V1</t>
        </is>
      </c>
      <c r="F917" s="1" t="inlineStr">
        <is>
          <t>12</t>
        </is>
      </c>
      <c r="G917" t="n">
        <v>333667.9332</v>
      </c>
      <c r="H917">
        <f>IF(PNL!A917="","",_CALC_PNL!P917)</f>
        <v/>
      </c>
      <c r="I917">
        <f>IF(PNL!A917="","",IF(_CALC_PNL!E917=1,H917-G917,""))</f>
        <v/>
      </c>
    </row>
    <row r="918">
      <c r="A918" s="1" t="inlineStr">
        <is>
          <t>GRP</t>
        </is>
      </c>
      <c r="B918" s="1" t="inlineStr">
        <is>
          <t>6331</t>
        </is>
      </c>
      <c r="C918" s="1" t="inlineStr">
        <is>
          <t>2027</t>
        </is>
      </c>
      <c r="D918" s="1" t="inlineStr">
        <is>
          <t>V03</t>
        </is>
      </c>
      <c r="E918" s="1" t="inlineStr">
        <is>
          <t>2027BUD_V1</t>
        </is>
      </c>
      <c r="F918" s="1" t="inlineStr">
        <is>
          <t>12</t>
        </is>
      </c>
      <c r="G918" t="n">
        <v>349071.12</v>
      </c>
      <c r="H918">
        <f>IF(PNL!A918="","",_CALC_PNL!P918)</f>
        <v/>
      </c>
      <c r="I918">
        <f>IF(PNL!A918="","",IF(_CALC_PNL!E918=1,H918-G918,""))</f>
        <v/>
      </c>
    </row>
    <row r="919">
      <c r="A919" s="1" t="inlineStr">
        <is>
          <t>MBWAY_PAR</t>
        </is>
      </c>
      <c r="B919" s="1" t="inlineStr">
        <is>
          <t>63511</t>
        </is>
      </c>
      <c r="C919" s="1" t="inlineStr">
        <is>
          <t>2027</t>
        </is>
      </c>
      <c r="D919" s="1" t="inlineStr">
        <is>
          <t>V01</t>
        </is>
      </c>
      <c r="E919" s="1" t="inlineStr">
        <is>
          <t>2027BUD_V1</t>
        </is>
      </c>
      <c r="F919" s="1" t="inlineStr">
        <is>
          <t>12</t>
        </is>
      </c>
      <c r="G919" t="n">
        <v>35640.228</v>
      </c>
      <c r="H919">
        <f>IF(PNL!A919="","",_CALC_PNL!P919)</f>
        <v/>
      </c>
      <c r="I919">
        <f>IF(PNL!A919="","",IF(_CALC_PNL!E919=1,H919-G919,""))</f>
        <v/>
      </c>
    </row>
    <row r="920">
      <c r="A920" s="1" t="inlineStr">
        <is>
          <t>MBWAY_PAR</t>
        </is>
      </c>
      <c r="B920" s="1" t="inlineStr">
        <is>
          <t>63511</t>
        </is>
      </c>
      <c r="C920" s="1" t="inlineStr">
        <is>
          <t>2027</t>
        </is>
      </c>
      <c r="D920" s="1" t="inlineStr">
        <is>
          <t>V02</t>
        </is>
      </c>
      <c r="E920" s="1" t="inlineStr">
        <is>
          <t>2027BUD_V1</t>
        </is>
      </c>
      <c r="F920" s="1" t="inlineStr">
        <is>
          <t>12</t>
        </is>
      </c>
      <c r="G920" t="n">
        <v>35049.98</v>
      </c>
      <c r="H920">
        <f>IF(PNL!A920="","",_CALC_PNL!P920)</f>
        <v/>
      </c>
      <c r="I920">
        <f>IF(PNL!A920="","",IF(_CALC_PNL!E920=1,H920-G920,""))</f>
        <v/>
      </c>
    </row>
    <row r="921">
      <c r="A921" s="1" t="inlineStr">
        <is>
          <t>MBWAY_PAR</t>
        </is>
      </c>
      <c r="B921" s="1" t="inlineStr">
        <is>
          <t>63511</t>
        </is>
      </c>
      <c r="C921" s="1" t="inlineStr">
        <is>
          <t>2027</t>
        </is>
      </c>
      <c r="D921" s="1" t="inlineStr">
        <is>
          <t>V03</t>
        </is>
      </c>
      <c r="E921" s="1" t="inlineStr">
        <is>
          <t>2027BUD_V1</t>
        </is>
      </c>
      <c r="F921" s="1" t="inlineStr">
        <is>
          <t>12</t>
        </is>
      </c>
      <c r="G921" t="n">
        <v>36668</v>
      </c>
      <c r="H921">
        <f>IF(PNL!A921="","",_CALC_PNL!P921)</f>
        <v/>
      </c>
      <c r="I921">
        <f>IF(PNL!A921="","",IF(_CALC_PNL!E921=1,H921-G921,""))</f>
        <v/>
      </c>
    </row>
    <row r="922">
      <c r="A922" s="1" t="inlineStr">
        <is>
          <t>MBWAY_LYO</t>
        </is>
      </c>
      <c r="B922" s="1" t="inlineStr">
        <is>
          <t>63511</t>
        </is>
      </c>
      <c r="C922" s="1" t="inlineStr">
        <is>
          <t>2027</t>
        </is>
      </c>
      <c r="D922" s="1" t="inlineStr">
        <is>
          <t>V01</t>
        </is>
      </c>
      <c r="E922" s="1" t="inlineStr">
        <is>
          <t>2027BUD_V1</t>
        </is>
      </c>
      <c r="F922" s="1" t="inlineStr">
        <is>
          <t>12</t>
        </is>
      </c>
      <c r="G922" t="n">
        <v>21355.10403</v>
      </c>
      <c r="H922">
        <f>IF(PNL!A922="","",_CALC_PNL!P922)</f>
        <v/>
      </c>
      <c r="I922">
        <f>IF(PNL!A922="","",IF(_CALC_PNL!E922=1,H922-G922,""))</f>
        <v/>
      </c>
    </row>
    <row r="923">
      <c r="A923" s="1" t="inlineStr">
        <is>
          <t>MBWAY_LYO</t>
        </is>
      </c>
      <c r="B923" s="1" t="inlineStr">
        <is>
          <t>63511</t>
        </is>
      </c>
      <c r="C923" s="1" t="inlineStr">
        <is>
          <t>2027</t>
        </is>
      </c>
      <c r="D923" s="1" t="inlineStr">
        <is>
          <t>V02</t>
        </is>
      </c>
      <c r="E923" s="1" t="inlineStr">
        <is>
          <t>2027BUD_V1</t>
        </is>
      </c>
      <c r="F923" s="1" t="inlineStr">
        <is>
          <t>12</t>
        </is>
      </c>
      <c r="G923" t="n">
        <v>21001.43605</v>
      </c>
      <c r="H923">
        <f>IF(PNL!A923="","",_CALC_PNL!P923)</f>
        <v/>
      </c>
      <c r="I923">
        <f>IF(PNL!A923="","",IF(_CALC_PNL!E923=1,H923-G923,""))</f>
        <v/>
      </c>
    </row>
    <row r="924">
      <c r="A924" s="1" t="inlineStr">
        <is>
          <t>MBWAY_LYO</t>
        </is>
      </c>
      <c r="B924" s="1" t="inlineStr">
        <is>
          <t>63511</t>
        </is>
      </c>
      <c r="C924" s="1" t="inlineStr">
        <is>
          <t>2027</t>
        </is>
      </c>
      <c r="D924" s="1" t="inlineStr">
        <is>
          <t>V03</t>
        </is>
      </c>
      <c r="E924" s="1" t="inlineStr">
        <is>
          <t>2027BUD_V1</t>
        </is>
      </c>
      <c r="F924" s="1" t="inlineStr">
        <is>
          <t>12</t>
        </is>
      </c>
      <c r="G924" t="n">
        <v>21970.93</v>
      </c>
      <c r="H924">
        <f>IF(PNL!A924="","",_CALC_PNL!P924)</f>
        <v/>
      </c>
      <c r="I924">
        <f>IF(PNL!A924="","",IF(_CALC_PNL!E924=1,H924-G924,""))</f>
        <v/>
      </c>
    </row>
    <row r="925">
      <c r="A925" s="1" t="inlineStr">
        <is>
          <t>MBWAY_NAN</t>
        </is>
      </c>
      <c r="B925" s="1" t="inlineStr">
        <is>
          <t>63511</t>
        </is>
      </c>
      <c r="C925" s="1" t="inlineStr">
        <is>
          <t>2027</t>
        </is>
      </c>
      <c r="D925" s="1" t="inlineStr">
        <is>
          <t>V01</t>
        </is>
      </c>
      <c r="E925" s="1" t="inlineStr">
        <is>
          <t>2027BUD_V1</t>
        </is>
      </c>
      <c r="F925" s="1" t="inlineStr">
        <is>
          <t>12</t>
        </is>
      </c>
      <c r="G925" t="n">
        <v>17599.8654</v>
      </c>
      <c r="H925">
        <f>IF(PNL!A925="","",_CALC_PNL!P925)</f>
        <v/>
      </c>
      <c r="I925">
        <f>IF(PNL!A925="","",IF(_CALC_PNL!E925=1,H925-G925,""))</f>
        <v/>
      </c>
    </row>
    <row r="926">
      <c r="A926" s="1" t="inlineStr">
        <is>
          <t>MBWAY_NAN</t>
        </is>
      </c>
      <c r="B926" s="1" t="inlineStr">
        <is>
          <t>63511</t>
        </is>
      </c>
      <c r="C926" s="1" t="inlineStr">
        <is>
          <t>2027</t>
        </is>
      </c>
      <c r="D926" s="1" t="inlineStr">
        <is>
          <t>V02</t>
        </is>
      </c>
      <c r="E926" s="1" t="inlineStr">
        <is>
          <t>2027BUD_V1</t>
        </is>
      </c>
      <c r="F926" s="1" t="inlineStr">
        <is>
          <t>12</t>
        </is>
      </c>
      <c r="G926" t="n">
        <v>17308.389</v>
      </c>
      <c r="H926">
        <f>IF(PNL!A926="","",_CALC_PNL!P926)</f>
        <v/>
      </c>
      <c r="I926">
        <f>IF(PNL!A926="","",IF(_CALC_PNL!E926=1,H926-G926,""))</f>
        <v/>
      </c>
    </row>
    <row r="927">
      <c r="A927" s="1" t="inlineStr">
        <is>
          <t>MBWAY_NAN</t>
        </is>
      </c>
      <c r="B927" s="1" t="inlineStr">
        <is>
          <t>63511</t>
        </is>
      </c>
      <c r="C927" s="1" t="inlineStr">
        <is>
          <t>2027</t>
        </is>
      </c>
      <c r="D927" s="1" t="inlineStr">
        <is>
          <t>V03</t>
        </is>
      </c>
      <c r="E927" s="1" t="inlineStr">
        <is>
          <t>2027BUD_V1</t>
        </is>
      </c>
      <c r="F927" s="1" t="inlineStr">
        <is>
          <t>12</t>
        </is>
      </c>
      <c r="G927" t="n">
        <v>18107.4</v>
      </c>
      <c r="H927">
        <f>IF(PNL!A927="","",_CALC_PNL!P927)</f>
        <v/>
      </c>
      <c r="I927">
        <f>IF(PNL!A927="","",IF(_CALC_PNL!E927=1,H927-G927,""))</f>
        <v/>
      </c>
    </row>
    <row r="928">
      <c r="A928" s="1" t="inlineStr">
        <is>
          <t>MBWAY_BOR</t>
        </is>
      </c>
      <c r="B928" s="1" t="inlineStr">
        <is>
          <t>63511</t>
        </is>
      </c>
      <c r="C928" s="1" t="inlineStr">
        <is>
          <t>2027</t>
        </is>
      </c>
      <c r="D928" s="1" t="inlineStr">
        <is>
          <t>V01</t>
        </is>
      </c>
      <c r="E928" s="1" t="inlineStr">
        <is>
          <t>2027BUD_V1</t>
        </is>
      </c>
      <c r="F928" s="1" t="inlineStr">
        <is>
          <t>12</t>
        </is>
      </c>
      <c r="G928" t="n">
        <v>15400.38279</v>
      </c>
      <c r="H928">
        <f>IF(PNL!A928="","",_CALC_PNL!P928)</f>
        <v/>
      </c>
      <c r="I928">
        <f>IF(PNL!A928="","",IF(_CALC_PNL!E928=1,H928-G928,""))</f>
        <v/>
      </c>
    </row>
    <row r="929">
      <c r="A929" s="1" t="inlineStr">
        <is>
          <t>MBWAY_BOR</t>
        </is>
      </c>
      <c r="B929" s="1" t="inlineStr">
        <is>
          <t>63511</t>
        </is>
      </c>
      <c r="C929" s="1" t="inlineStr">
        <is>
          <t>2027</t>
        </is>
      </c>
      <c r="D929" s="1" t="inlineStr">
        <is>
          <t>V02</t>
        </is>
      </c>
      <c r="E929" s="1" t="inlineStr">
        <is>
          <t>2027BUD_V1</t>
        </is>
      </c>
      <c r="F929" s="1" t="inlineStr">
        <is>
          <t>12</t>
        </is>
      </c>
      <c r="G929" t="n">
        <v>15145.33265</v>
      </c>
      <c r="H929">
        <f>IF(PNL!A929="","",_CALC_PNL!P929)</f>
        <v/>
      </c>
      <c r="I929">
        <f>IF(PNL!A929="","",IF(_CALC_PNL!E929=1,H929-G929,""))</f>
        <v/>
      </c>
    </row>
    <row r="930">
      <c r="A930" s="1" t="inlineStr">
        <is>
          <t>MBWAY_BOR</t>
        </is>
      </c>
      <c r="B930" s="1" t="inlineStr">
        <is>
          <t>63511</t>
        </is>
      </c>
      <c r="C930" s="1" t="inlineStr">
        <is>
          <t>2027</t>
        </is>
      </c>
      <c r="D930" s="1" t="inlineStr">
        <is>
          <t>V03</t>
        </is>
      </c>
      <c r="E930" s="1" t="inlineStr">
        <is>
          <t>2027BUD_V1</t>
        </is>
      </c>
      <c r="F930" s="1" t="inlineStr">
        <is>
          <t>12</t>
        </is>
      </c>
      <c r="G930" t="n">
        <v>15844.49</v>
      </c>
      <c r="H930">
        <f>IF(PNL!A930="","",_CALC_PNL!P930)</f>
        <v/>
      </c>
      <c r="I930">
        <f>IF(PNL!A930="","",IF(_CALC_PNL!E930=1,H930-G930,""))</f>
        <v/>
      </c>
    </row>
    <row r="931">
      <c r="A931" s="1" t="inlineStr">
        <is>
          <t>ISCOM_PAR</t>
        </is>
      </c>
      <c r="B931" s="1" t="inlineStr">
        <is>
          <t>63511</t>
        </is>
      </c>
      <c r="C931" s="1" t="inlineStr">
        <is>
          <t>2027</t>
        </is>
      </c>
      <c r="D931" s="1" t="inlineStr">
        <is>
          <t>V01</t>
        </is>
      </c>
      <c r="E931" s="1" t="inlineStr">
        <is>
          <t>2027BUD_V1</t>
        </is>
      </c>
      <c r="F931" s="1" t="inlineStr">
        <is>
          <t>12</t>
        </is>
      </c>
      <c r="G931" t="n">
        <v>35640.228</v>
      </c>
      <c r="H931">
        <f>IF(PNL!A931="","",_CALC_PNL!P931)</f>
        <v/>
      </c>
      <c r="I931">
        <f>IF(PNL!A931="","",IF(_CALC_PNL!E931=1,H931-G931,""))</f>
        <v/>
      </c>
    </row>
    <row r="932">
      <c r="A932" s="1" t="inlineStr">
        <is>
          <t>ISCOM_PAR</t>
        </is>
      </c>
      <c r="B932" s="1" t="inlineStr">
        <is>
          <t>63511</t>
        </is>
      </c>
      <c r="C932" s="1" t="inlineStr">
        <is>
          <t>2027</t>
        </is>
      </c>
      <c r="D932" s="1" t="inlineStr">
        <is>
          <t>V02</t>
        </is>
      </c>
      <c r="E932" s="1" t="inlineStr">
        <is>
          <t>2027BUD_V1</t>
        </is>
      </c>
      <c r="F932" s="1" t="inlineStr">
        <is>
          <t>12</t>
        </is>
      </c>
      <c r="G932" t="n">
        <v>35049.98</v>
      </c>
      <c r="H932">
        <f>IF(PNL!A932="","",_CALC_PNL!P932)</f>
        <v/>
      </c>
      <c r="I932">
        <f>IF(PNL!A932="","",IF(_CALC_PNL!E932=1,H932-G932,""))</f>
        <v/>
      </c>
    </row>
    <row r="933">
      <c r="A933" s="1" t="inlineStr">
        <is>
          <t>ISCOM_PAR</t>
        </is>
      </c>
      <c r="B933" s="1" t="inlineStr">
        <is>
          <t>63511</t>
        </is>
      </c>
      <c r="C933" s="1" t="inlineStr">
        <is>
          <t>2027</t>
        </is>
      </c>
      <c r="D933" s="1" t="inlineStr">
        <is>
          <t>V03</t>
        </is>
      </c>
      <c r="E933" s="1" t="inlineStr">
        <is>
          <t>2027BUD_V1</t>
        </is>
      </c>
      <c r="F933" s="1" t="inlineStr">
        <is>
          <t>12</t>
        </is>
      </c>
      <c r="G933" t="n">
        <v>36668</v>
      </c>
      <c r="H933">
        <f>IF(PNL!A933="","",_CALC_PNL!P933)</f>
        <v/>
      </c>
      <c r="I933">
        <f>IF(PNL!A933="","",IF(_CALC_PNL!E933=1,H933-G933,""))</f>
        <v/>
      </c>
    </row>
    <row r="934">
      <c r="A934" s="1" t="inlineStr">
        <is>
          <t>ISCOM_LIL</t>
        </is>
      </c>
      <c r="B934" s="1" t="inlineStr">
        <is>
          <t>63511</t>
        </is>
      </c>
      <c r="C934" s="1" t="inlineStr">
        <is>
          <t>2027</t>
        </is>
      </c>
      <c r="D934" s="1" t="inlineStr">
        <is>
          <t>V01</t>
        </is>
      </c>
      <c r="E934" s="1" t="inlineStr">
        <is>
          <t>2027BUD_V1</t>
        </is>
      </c>
      <c r="F934" s="1" t="inlineStr">
        <is>
          <t>12</t>
        </is>
      </c>
      <c r="G934" t="n">
        <v>13493.23014</v>
      </c>
      <c r="H934">
        <f>IF(PNL!A934="","",_CALC_PNL!P934)</f>
        <v/>
      </c>
      <c r="I934">
        <f>IF(PNL!A934="","",IF(_CALC_PNL!E934=1,H934-G934,""))</f>
        <v/>
      </c>
    </row>
    <row r="935">
      <c r="A935" s="1" t="inlineStr">
        <is>
          <t>ISCOM_LIL</t>
        </is>
      </c>
      <c r="B935" s="1" t="inlineStr">
        <is>
          <t>63511</t>
        </is>
      </c>
      <c r="C935" s="1" t="inlineStr">
        <is>
          <t>2027</t>
        </is>
      </c>
      <c r="D935" s="1" t="inlineStr">
        <is>
          <t>V02</t>
        </is>
      </c>
      <c r="E935" s="1" t="inlineStr">
        <is>
          <t>2027BUD_V1</t>
        </is>
      </c>
      <c r="F935" s="1" t="inlineStr">
        <is>
          <t>12</t>
        </is>
      </c>
      <c r="G935" t="n">
        <v>13269.7649</v>
      </c>
      <c r="H935">
        <f>IF(PNL!A935="","",_CALC_PNL!P935)</f>
        <v/>
      </c>
      <c r="I935">
        <f>IF(PNL!A935="","",IF(_CALC_PNL!E935=1,H935-G935,""))</f>
        <v/>
      </c>
    </row>
    <row r="936">
      <c r="A936" s="1" t="inlineStr">
        <is>
          <t>ISCOM_LIL</t>
        </is>
      </c>
      <c r="B936" s="1" t="inlineStr">
        <is>
          <t>63511</t>
        </is>
      </c>
      <c r="C936" s="1" t="inlineStr">
        <is>
          <t>2027</t>
        </is>
      </c>
      <c r="D936" s="1" t="inlineStr">
        <is>
          <t>V03</t>
        </is>
      </c>
      <c r="E936" s="1" t="inlineStr">
        <is>
          <t>2027BUD_V1</t>
        </is>
      </c>
      <c r="F936" s="1" t="inlineStr">
        <is>
          <t>12</t>
        </is>
      </c>
      <c r="G936" t="n">
        <v>13882.34</v>
      </c>
      <c r="H936">
        <f>IF(PNL!A936="","",_CALC_PNL!P936)</f>
        <v/>
      </c>
      <c r="I936">
        <f>IF(PNL!A936="","",IF(_CALC_PNL!E936=1,H936-G936,""))</f>
        <v/>
      </c>
    </row>
    <row r="937">
      <c r="A937" s="1" t="inlineStr">
        <is>
          <t>ISCOM_TLS</t>
        </is>
      </c>
      <c r="B937" s="1" t="inlineStr">
        <is>
          <t>63511</t>
        </is>
      </c>
      <c r="C937" s="1" t="inlineStr">
        <is>
          <t>2027</t>
        </is>
      </c>
      <c r="D937" s="1" t="inlineStr">
        <is>
          <t>V01</t>
        </is>
      </c>
      <c r="E937" s="1" t="inlineStr">
        <is>
          <t>2027BUD_V1</t>
        </is>
      </c>
      <c r="F937" s="1" t="inlineStr">
        <is>
          <t>12</t>
        </is>
      </c>
      <c r="G937" t="n">
        <v>13199.89905</v>
      </c>
      <c r="H937">
        <f>IF(PNL!A937="","",_CALC_PNL!P937)</f>
        <v/>
      </c>
      <c r="I937">
        <f>IF(PNL!A937="","",IF(_CALC_PNL!E937=1,H937-G937,""))</f>
        <v/>
      </c>
    </row>
    <row r="938">
      <c r="A938" s="1" t="inlineStr">
        <is>
          <t>ISCOM_TLS</t>
        </is>
      </c>
      <c r="B938" s="1" t="inlineStr">
        <is>
          <t>63511</t>
        </is>
      </c>
      <c r="C938" s="1" t="inlineStr">
        <is>
          <t>2027</t>
        </is>
      </c>
      <c r="D938" s="1" t="inlineStr">
        <is>
          <t>V02</t>
        </is>
      </c>
      <c r="E938" s="1" t="inlineStr">
        <is>
          <t>2027BUD_V1</t>
        </is>
      </c>
      <c r="F938" s="1" t="inlineStr">
        <is>
          <t>12</t>
        </is>
      </c>
      <c r="G938" t="n">
        <v>12981.29175</v>
      </c>
      <c r="H938">
        <f>IF(PNL!A938="","",_CALC_PNL!P938)</f>
        <v/>
      </c>
      <c r="I938">
        <f>IF(PNL!A938="","",IF(_CALC_PNL!E938=1,H938-G938,""))</f>
        <v/>
      </c>
    </row>
    <row r="939">
      <c r="A939" s="1" t="inlineStr">
        <is>
          <t>ISCOM_TLS</t>
        </is>
      </c>
      <c r="B939" s="1" t="inlineStr">
        <is>
          <t>63511</t>
        </is>
      </c>
      <c r="C939" s="1" t="inlineStr">
        <is>
          <t>2027</t>
        </is>
      </c>
      <c r="D939" s="1" t="inlineStr">
        <is>
          <t>V03</t>
        </is>
      </c>
      <c r="E939" s="1" t="inlineStr">
        <is>
          <t>2027BUD_V1</t>
        </is>
      </c>
      <c r="F939" s="1" t="inlineStr">
        <is>
          <t>12</t>
        </is>
      </c>
      <c r="G939" t="n">
        <v>13580.55</v>
      </c>
      <c r="H939">
        <f>IF(PNL!A939="","",_CALC_PNL!P939)</f>
        <v/>
      </c>
      <c r="I939">
        <f>IF(PNL!A939="","",IF(_CALC_PNL!E939=1,H939-G939,""))</f>
        <v/>
      </c>
    </row>
    <row r="940">
      <c r="A940" s="1" t="inlineStr">
        <is>
          <t>IPAC_NAN</t>
        </is>
      </c>
      <c r="B940" s="1" t="inlineStr">
        <is>
          <t>63511</t>
        </is>
      </c>
      <c r="C940" s="1" t="inlineStr">
        <is>
          <t>2027</t>
        </is>
      </c>
      <c r="D940" s="1" t="inlineStr">
        <is>
          <t>V01</t>
        </is>
      </c>
      <c r="E940" s="1" t="inlineStr">
        <is>
          <t>2027BUD_V1</t>
        </is>
      </c>
      <c r="F940" s="1" t="inlineStr">
        <is>
          <t>12</t>
        </is>
      </c>
      <c r="G940" t="n">
        <v>8799.932699999999</v>
      </c>
      <c r="H940">
        <f>IF(PNL!A940="","",_CALC_PNL!P940)</f>
        <v/>
      </c>
      <c r="I940">
        <f>IF(PNL!A940="","",IF(_CALC_PNL!E940=1,H940-G940,""))</f>
        <v/>
      </c>
    </row>
    <row r="941">
      <c r="A941" s="1" t="inlineStr">
        <is>
          <t>IPAC_NAN</t>
        </is>
      </c>
      <c r="B941" s="1" t="inlineStr">
        <is>
          <t>63511</t>
        </is>
      </c>
      <c r="C941" s="1" t="inlineStr">
        <is>
          <t>2027</t>
        </is>
      </c>
      <c r="D941" s="1" t="inlineStr">
        <is>
          <t>V02</t>
        </is>
      </c>
      <c r="E941" s="1" t="inlineStr">
        <is>
          <t>2027BUD_V1</t>
        </is>
      </c>
      <c r="F941" s="1" t="inlineStr">
        <is>
          <t>12</t>
        </is>
      </c>
      <c r="G941" t="n">
        <v>8654.1945</v>
      </c>
      <c r="H941">
        <f>IF(PNL!A941="","",_CALC_PNL!P941)</f>
        <v/>
      </c>
      <c r="I941">
        <f>IF(PNL!A941="","",IF(_CALC_PNL!E941=1,H941-G941,""))</f>
        <v/>
      </c>
    </row>
    <row r="942">
      <c r="A942" s="1" t="inlineStr">
        <is>
          <t>IPAC_NAN</t>
        </is>
      </c>
      <c r="B942" s="1" t="inlineStr">
        <is>
          <t>63511</t>
        </is>
      </c>
      <c r="C942" s="1" t="inlineStr">
        <is>
          <t>2027</t>
        </is>
      </c>
      <c r="D942" s="1" t="inlineStr">
        <is>
          <t>V03</t>
        </is>
      </c>
      <c r="E942" s="1" t="inlineStr">
        <is>
          <t>2027BUD_V1</t>
        </is>
      </c>
      <c r="F942" s="1" t="inlineStr">
        <is>
          <t>12</t>
        </is>
      </c>
      <c r="G942" t="n">
        <v>9053.700000000001</v>
      </c>
      <c r="H942">
        <f>IF(PNL!A942="","",_CALC_PNL!P942)</f>
        <v/>
      </c>
      <c r="I942">
        <f>IF(PNL!A942="","",IF(_CALC_PNL!E942=1,H942-G942,""))</f>
        <v/>
      </c>
    </row>
    <row r="943">
      <c r="A943" s="1" t="inlineStr">
        <is>
          <t>IPAC_REN</t>
        </is>
      </c>
      <c r="B943" s="1" t="inlineStr">
        <is>
          <t>63511</t>
        </is>
      </c>
      <c r="C943" s="1" t="inlineStr">
        <is>
          <t>2027</t>
        </is>
      </c>
      <c r="D943" s="1" t="inlineStr">
        <is>
          <t>V01</t>
        </is>
      </c>
      <c r="E943" s="1" t="inlineStr">
        <is>
          <t>2027BUD_V1</t>
        </is>
      </c>
      <c r="F943" s="1" t="inlineStr">
        <is>
          <t>12</t>
        </is>
      </c>
      <c r="G943" t="n">
        <v>7743.74055</v>
      </c>
      <c r="H943">
        <f>IF(PNL!A943="","",_CALC_PNL!P943)</f>
        <v/>
      </c>
      <c r="I943">
        <f>IF(PNL!A943="","",IF(_CALC_PNL!E943=1,H943-G943,""))</f>
        <v/>
      </c>
    </row>
    <row r="944">
      <c r="A944" s="1" t="inlineStr">
        <is>
          <t>IPAC_REN</t>
        </is>
      </c>
      <c r="B944" s="1" t="inlineStr">
        <is>
          <t>63511</t>
        </is>
      </c>
      <c r="C944" s="1" t="inlineStr">
        <is>
          <t>2027</t>
        </is>
      </c>
      <c r="D944" s="1" t="inlineStr">
        <is>
          <t>V02</t>
        </is>
      </c>
      <c r="E944" s="1" t="inlineStr">
        <is>
          <t>2027BUD_V1</t>
        </is>
      </c>
      <c r="F944" s="1" t="inlineStr">
        <is>
          <t>12</t>
        </is>
      </c>
      <c r="G944" t="n">
        <v>7615.49425</v>
      </c>
      <c r="H944">
        <f>IF(PNL!A944="","",_CALC_PNL!P944)</f>
        <v/>
      </c>
      <c r="I944">
        <f>IF(PNL!A944="","",IF(_CALC_PNL!E944=1,H944-G944,""))</f>
        <v/>
      </c>
    </row>
    <row r="945">
      <c r="A945" s="1" t="inlineStr">
        <is>
          <t>IPAC_REN</t>
        </is>
      </c>
      <c r="B945" s="1" t="inlineStr">
        <is>
          <t>63511</t>
        </is>
      </c>
      <c r="C945" s="1" t="inlineStr">
        <is>
          <t>2027</t>
        </is>
      </c>
      <c r="D945" s="1" t="inlineStr">
        <is>
          <t>V03</t>
        </is>
      </c>
      <c r="E945" s="1" t="inlineStr">
        <is>
          <t>2027BUD_V1</t>
        </is>
      </c>
      <c r="F945" s="1" t="inlineStr">
        <is>
          <t>12</t>
        </is>
      </c>
      <c r="G945" t="n">
        <v>7967.05</v>
      </c>
      <c r="H945">
        <f>IF(PNL!A945="","",_CALC_PNL!P945)</f>
        <v/>
      </c>
      <c r="I945">
        <f>IF(PNL!A945="","",IF(_CALC_PNL!E945=1,H945-G945,""))</f>
        <v/>
      </c>
    </row>
    <row r="946">
      <c r="A946" s="1" t="inlineStr">
        <is>
          <t>IPAC_MTP</t>
        </is>
      </c>
      <c r="B946" s="1" t="inlineStr">
        <is>
          <t>63511</t>
        </is>
      </c>
      <c r="C946" s="1" t="inlineStr">
        <is>
          <t>2027</t>
        </is>
      </c>
      <c r="D946" s="1" t="inlineStr">
        <is>
          <t>V01</t>
        </is>
      </c>
      <c r="E946" s="1" t="inlineStr">
        <is>
          <t>2027BUD_V1</t>
        </is>
      </c>
      <c r="F946" s="1" t="inlineStr">
        <is>
          <t>12</t>
        </is>
      </c>
      <c r="G946" t="n">
        <v>7743.74055</v>
      </c>
      <c r="H946">
        <f>IF(PNL!A946="","",_CALC_PNL!P946)</f>
        <v/>
      </c>
      <c r="I946">
        <f>IF(PNL!A946="","",IF(_CALC_PNL!E946=1,H946-G946,""))</f>
        <v/>
      </c>
    </row>
    <row r="947">
      <c r="A947" s="1" t="inlineStr">
        <is>
          <t>IPAC_MTP</t>
        </is>
      </c>
      <c r="B947" s="1" t="inlineStr">
        <is>
          <t>63511</t>
        </is>
      </c>
      <c r="C947" s="1" t="inlineStr">
        <is>
          <t>2027</t>
        </is>
      </c>
      <c r="D947" s="1" t="inlineStr">
        <is>
          <t>V02</t>
        </is>
      </c>
      <c r="E947" s="1" t="inlineStr">
        <is>
          <t>2027BUD_V1</t>
        </is>
      </c>
      <c r="F947" s="1" t="inlineStr">
        <is>
          <t>12</t>
        </is>
      </c>
      <c r="G947" t="n">
        <v>7615.49425</v>
      </c>
      <c r="H947">
        <f>IF(PNL!A947="","",_CALC_PNL!P947)</f>
        <v/>
      </c>
      <c r="I947">
        <f>IF(PNL!A947="","",IF(_CALC_PNL!E947=1,H947-G947,""))</f>
        <v/>
      </c>
    </row>
    <row r="948">
      <c r="A948" s="1" t="inlineStr">
        <is>
          <t>IPAC_MTP</t>
        </is>
      </c>
      <c r="B948" s="1" t="inlineStr">
        <is>
          <t>63511</t>
        </is>
      </c>
      <c r="C948" s="1" t="inlineStr">
        <is>
          <t>2027</t>
        </is>
      </c>
      <c r="D948" s="1" t="inlineStr">
        <is>
          <t>V03</t>
        </is>
      </c>
      <c r="E948" s="1" t="inlineStr">
        <is>
          <t>2027BUD_V1</t>
        </is>
      </c>
      <c r="F948" s="1" t="inlineStr">
        <is>
          <t>12</t>
        </is>
      </c>
      <c r="G948" t="n">
        <v>7967.05</v>
      </c>
      <c r="H948">
        <f>IF(PNL!A948="","",_CALC_PNL!P948)</f>
        <v/>
      </c>
      <c r="I948">
        <f>IF(PNL!A948="","",IF(_CALC_PNL!E948=1,H948-G948,""))</f>
        <v/>
      </c>
    </row>
    <row r="949">
      <c r="A949" s="1" t="inlineStr">
        <is>
          <t>PIGIER_LYO</t>
        </is>
      </c>
      <c r="B949" s="1" t="inlineStr">
        <is>
          <t>63511</t>
        </is>
      </c>
      <c r="C949" s="1" t="inlineStr">
        <is>
          <t>2027</t>
        </is>
      </c>
      <c r="D949" s="1" t="inlineStr">
        <is>
          <t>V01</t>
        </is>
      </c>
      <c r="E949" s="1" t="inlineStr">
        <is>
          <t>2027BUD_V1</t>
        </is>
      </c>
      <c r="F949" s="1" t="inlineStr">
        <is>
          <t>12</t>
        </is>
      </c>
      <c r="G949" t="n">
        <v>13141.83351</v>
      </c>
      <c r="H949">
        <f>IF(PNL!A949="","",_CALC_PNL!P949)</f>
        <v/>
      </c>
      <c r="I949">
        <f>IF(PNL!A949="","",IF(_CALC_PNL!E949=1,H949-G949,""))</f>
        <v/>
      </c>
    </row>
    <row r="950">
      <c r="A950" s="1" t="inlineStr">
        <is>
          <t>PIGIER_LYO</t>
        </is>
      </c>
      <c r="B950" s="1" t="inlineStr">
        <is>
          <t>63511</t>
        </is>
      </c>
      <c r="C950" s="1" t="inlineStr">
        <is>
          <t>2027</t>
        </is>
      </c>
      <c r="D950" s="1" t="inlineStr">
        <is>
          <t>V02</t>
        </is>
      </c>
      <c r="E950" s="1" t="inlineStr">
        <is>
          <t>2027BUD_V1</t>
        </is>
      </c>
      <c r="F950" s="1" t="inlineStr">
        <is>
          <t>12</t>
        </is>
      </c>
      <c r="G950" t="n">
        <v>12924.18785</v>
      </c>
      <c r="H950">
        <f>IF(PNL!A950="","",_CALC_PNL!P950)</f>
        <v/>
      </c>
      <c r="I950">
        <f>IF(PNL!A950="","",IF(_CALC_PNL!E950=1,H950-G950,""))</f>
        <v/>
      </c>
    </row>
    <row r="951">
      <c r="A951" s="1" t="inlineStr">
        <is>
          <t>PIGIER_LYO</t>
        </is>
      </c>
      <c r="B951" s="1" t="inlineStr">
        <is>
          <t>63511</t>
        </is>
      </c>
      <c r="C951" s="1" t="inlineStr">
        <is>
          <t>2027</t>
        </is>
      </c>
      <c r="D951" s="1" t="inlineStr">
        <is>
          <t>V03</t>
        </is>
      </c>
      <c r="E951" s="1" t="inlineStr">
        <is>
          <t>2027BUD_V1</t>
        </is>
      </c>
      <c r="F951" s="1" t="inlineStr">
        <is>
          <t>12</t>
        </is>
      </c>
      <c r="G951" t="n">
        <v>13520.81</v>
      </c>
      <c r="H951">
        <f>IF(PNL!A951="","",_CALC_PNL!P951)</f>
        <v/>
      </c>
      <c r="I951">
        <f>IF(PNL!A951="","",IF(_CALC_PNL!E951=1,H951-G951,""))</f>
        <v/>
      </c>
    </row>
    <row r="952">
      <c r="A952" s="1" t="inlineStr">
        <is>
          <t>PIGIER_BOR</t>
        </is>
      </c>
      <c r="B952" s="1" t="inlineStr">
        <is>
          <t>63511</t>
        </is>
      </c>
      <c r="C952" s="1" t="inlineStr">
        <is>
          <t>2027</t>
        </is>
      </c>
      <c r="D952" s="1" t="inlineStr">
        <is>
          <t>V01</t>
        </is>
      </c>
      <c r="E952" s="1" t="inlineStr">
        <is>
          <t>2027BUD_V1</t>
        </is>
      </c>
      <c r="F952" s="1" t="inlineStr">
        <is>
          <t>12</t>
        </is>
      </c>
      <c r="G952" t="n">
        <v>12319.90578</v>
      </c>
      <c r="H952">
        <f>IF(PNL!A952="","",_CALC_PNL!P952)</f>
        <v/>
      </c>
      <c r="I952">
        <f>IF(PNL!A952="","",IF(_CALC_PNL!E952=1,H952-G952,""))</f>
        <v/>
      </c>
    </row>
    <row r="953">
      <c r="A953" s="1" t="inlineStr">
        <is>
          <t>PIGIER_BOR</t>
        </is>
      </c>
      <c r="B953" s="1" t="inlineStr">
        <is>
          <t>63511</t>
        </is>
      </c>
      <c r="C953" s="1" t="inlineStr">
        <is>
          <t>2027</t>
        </is>
      </c>
      <c r="D953" s="1" t="inlineStr">
        <is>
          <t>V02</t>
        </is>
      </c>
      <c r="E953" s="1" t="inlineStr">
        <is>
          <t>2027BUD_V1</t>
        </is>
      </c>
      <c r="F953" s="1" t="inlineStr">
        <is>
          <t>12</t>
        </is>
      </c>
      <c r="G953" t="n">
        <v>12115.8723</v>
      </c>
      <c r="H953">
        <f>IF(PNL!A953="","",_CALC_PNL!P953)</f>
        <v/>
      </c>
      <c r="I953">
        <f>IF(PNL!A953="","",IF(_CALC_PNL!E953=1,H953-G953,""))</f>
        <v/>
      </c>
    </row>
    <row r="954">
      <c r="A954" s="1" t="inlineStr">
        <is>
          <t>PIGIER_BOR</t>
        </is>
      </c>
      <c r="B954" s="1" t="inlineStr">
        <is>
          <t>63511</t>
        </is>
      </c>
      <c r="C954" s="1" t="inlineStr">
        <is>
          <t>2027</t>
        </is>
      </c>
      <c r="D954" s="1" t="inlineStr">
        <is>
          <t>V03</t>
        </is>
      </c>
      <c r="E954" s="1" t="inlineStr">
        <is>
          <t>2027BUD_V1</t>
        </is>
      </c>
      <c r="F954" s="1" t="inlineStr">
        <is>
          <t>12</t>
        </is>
      </c>
      <c r="G954" t="n">
        <v>12675.18</v>
      </c>
      <c r="H954">
        <f>IF(PNL!A954="","",_CALC_PNL!P954)</f>
        <v/>
      </c>
      <c r="I954">
        <f>IF(PNL!A954="","",IF(_CALC_PNL!E954=1,H954-G954,""))</f>
        <v/>
      </c>
    </row>
    <row r="955">
      <c r="A955" s="1" t="inlineStr">
        <is>
          <t>TUNON_PAR</t>
        </is>
      </c>
      <c r="B955" s="1" t="inlineStr">
        <is>
          <t>63511</t>
        </is>
      </c>
      <c r="C955" s="1" t="inlineStr">
        <is>
          <t>2027</t>
        </is>
      </c>
      <c r="D955" s="1" t="inlineStr">
        <is>
          <t>V01</t>
        </is>
      </c>
      <c r="E955" s="1" t="inlineStr">
        <is>
          <t>2027BUD_V1</t>
        </is>
      </c>
      <c r="F955" s="1" t="inlineStr">
        <is>
          <t>12</t>
        </is>
      </c>
      <c r="G955" t="n">
        <v>14256.0912</v>
      </c>
      <c r="H955">
        <f>IF(PNL!A955="","",_CALC_PNL!P955)</f>
        <v/>
      </c>
      <c r="I955">
        <f>IF(PNL!A955="","",IF(_CALC_PNL!E955=1,H955-G955,""))</f>
        <v/>
      </c>
    </row>
    <row r="956">
      <c r="A956" s="1" t="inlineStr">
        <is>
          <t>TUNON_PAR</t>
        </is>
      </c>
      <c r="B956" s="1" t="inlineStr">
        <is>
          <t>63511</t>
        </is>
      </c>
      <c r="C956" s="1" t="inlineStr">
        <is>
          <t>2027</t>
        </is>
      </c>
      <c r="D956" s="1" t="inlineStr">
        <is>
          <t>V02</t>
        </is>
      </c>
      <c r="E956" s="1" t="inlineStr">
        <is>
          <t>2027BUD_V1</t>
        </is>
      </c>
      <c r="F956" s="1" t="inlineStr">
        <is>
          <t>12</t>
        </is>
      </c>
      <c r="G956" t="n">
        <v>14019.992</v>
      </c>
      <c r="H956">
        <f>IF(PNL!A956="","",_CALC_PNL!P956)</f>
        <v/>
      </c>
      <c r="I956">
        <f>IF(PNL!A956="","",IF(_CALC_PNL!E956=1,H956-G956,""))</f>
        <v/>
      </c>
    </row>
    <row r="957">
      <c r="A957" s="1" t="inlineStr">
        <is>
          <t>TUNON_PAR</t>
        </is>
      </c>
      <c r="B957" s="1" t="inlineStr">
        <is>
          <t>63511</t>
        </is>
      </c>
      <c r="C957" s="1" t="inlineStr">
        <is>
          <t>2027</t>
        </is>
      </c>
      <c r="D957" s="1" t="inlineStr">
        <is>
          <t>V03</t>
        </is>
      </c>
      <c r="E957" s="1" t="inlineStr">
        <is>
          <t>2027BUD_V1</t>
        </is>
      </c>
      <c r="F957" s="1" t="inlineStr">
        <is>
          <t>12</t>
        </is>
      </c>
      <c r="G957" t="n">
        <v>14667.2</v>
      </c>
      <c r="H957">
        <f>IF(PNL!A957="","",_CALC_PNL!P957)</f>
        <v/>
      </c>
      <c r="I957">
        <f>IF(PNL!A957="","",IF(_CALC_PNL!E957=1,H957-G957,""))</f>
        <v/>
      </c>
    </row>
    <row r="958">
      <c r="A958" s="1" t="inlineStr">
        <is>
          <t>TUNON_LYO</t>
        </is>
      </c>
      <c r="B958" s="1" t="inlineStr">
        <is>
          <t>63511</t>
        </is>
      </c>
      <c r="C958" s="1" t="inlineStr">
        <is>
          <t>2027</t>
        </is>
      </c>
      <c r="D958" s="1" t="inlineStr">
        <is>
          <t>V01</t>
        </is>
      </c>
      <c r="E958" s="1" t="inlineStr">
        <is>
          <t>2027BUD_V1</t>
        </is>
      </c>
      <c r="F958" s="1" t="inlineStr">
        <is>
          <t>12</t>
        </is>
      </c>
      <c r="G958" t="n">
        <v>9856.12485</v>
      </c>
      <c r="H958">
        <f>IF(PNL!A958="","",_CALC_PNL!P958)</f>
        <v/>
      </c>
      <c r="I958">
        <f>IF(PNL!A958="","",IF(_CALC_PNL!E958=1,H958-G958,""))</f>
        <v/>
      </c>
    </row>
    <row r="959">
      <c r="A959" s="1" t="inlineStr">
        <is>
          <t>TUNON_LYO</t>
        </is>
      </c>
      <c r="B959" s="1" t="inlineStr">
        <is>
          <t>63511</t>
        </is>
      </c>
      <c r="C959" s="1" t="inlineStr">
        <is>
          <t>2027</t>
        </is>
      </c>
      <c r="D959" s="1" t="inlineStr">
        <is>
          <t>V02</t>
        </is>
      </c>
      <c r="E959" s="1" t="inlineStr">
        <is>
          <t>2027BUD_V1</t>
        </is>
      </c>
      <c r="F959" s="1" t="inlineStr">
        <is>
          <t>12</t>
        </is>
      </c>
      <c r="G959" t="n">
        <v>9692.894749999999</v>
      </c>
      <c r="H959">
        <f>IF(PNL!A959="","",_CALC_PNL!P959)</f>
        <v/>
      </c>
      <c r="I959">
        <f>IF(PNL!A959="","",IF(_CALC_PNL!E959=1,H959-G959,""))</f>
        <v/>
      </c>
    </row>
    <row r="960">
      <c r="A960" s="1" t="inlineStr">
        <is>
          <t>TUNON_LYO</t>
        </is>
      </c>
      <c r="B960" s="1" t="inlineStr">
        <is>
          <t>63511</t>
        </is>
      </c>
      <c r="C960" s="1" t="inlineStr">
        <is>
          <t>2027</t>
        </is>
      </c>
      <c r="D960" s="1" t="inlineStr">
        <is>
          <t>V03</t>
        </is>
      </c>
      <c r="E960" s="1" t="inlineStr">
        <is>
          <t>2027BUD_V1</t>
        </is>
      </c>
      <c r="F960" s="1" t="inlineStr">
        <is>
          <t>12</t>
        </is>
      </c>
      <c r="G960" t="n">
        <v>10140.35</v>
      </c>
      <c r="H960">
        <f>IF(PNL!A960="","",_CALC_PNL!P960)</f>
        <v/>
      </c>
      <c r="I960">
        <f>IF(PNL!A960="","",IF(_CALC_PNL!E960=1,H960-G960,""))</f>
        <v/>
      </c>
    </row>
    <row r="961">
      <c r="A961" s="1" t="inlineStr">
        <is>
          <t>GRP</t>
        </is>
      </c>
      <c r="B961" s="1" t="inlineStr">
        <is>
          <t>6333</t>
        </is>
      </c>
      <c r="C961" s="1" t="inlineStr">
        <is>
          <t>2027</t>
        </is>
      </c>
      <c r="D961" s="1" t="inlineStr">
        <is>
          <t>V01</t>
        </is>
      </c>
      <c r="E961" s="1" t="inlineStr">
        <is>
          <t>2027BUD_V1</t>
        </is>
      </c>
      <c r="F961" s="1" t="inlineStr">
        <is>
          <t>12</t>
        </is>
      </c>
      <c r="G961" t="n">
        <v>113095.65384</v>
      </c>
      <c r="H961">
        <f>IF(PNL!A961="","",_CALC_PNL!P961)</f>
        <v/>
      </c>
      <c r="I961">
        <f>IF(PNL!A961="","",IF(_CALC_PNL!E961=1,H961-G961,""))</f>
        <v/>
      </c>
    </row>
    <row r="962">
      <c r="A962" s="1" t="inlineStr">
        <is>
          <t>GRP</t>
        </is>
      </c>
      <c r="B962" s="1" t="inlineStr">
        <is>
          <t>6333</t>
        </is>
      </c>
      <c r="C962" s="1" t="inlineStr">
        <is>
          <t>2027</t>
        </is>
      </c>
      <c r="D962" s="1" t="inlineStr">
        <is>
          <t>V02</t>
        </is>
      </c>
      <c r="E962" s="1" t="inlineStr">
        <is>
          <t>2027BUD_V1</t>
        </is>
      </c>
      <c r="F962" s="1" t="inlineStr">
        <is>
          <t>12</t>
        </is>
      </c>
      <c r="G962" t="n">
        <v>111222.6444</v>
      </c>
      <c r="H962">
        <f>IF(PNL!A962="","",_CALC_PNL!P962)</f>
        <v/>
      </c>
      <c r="I962">
        <f>IF(PNL!A962="","",IF(_CALC_PNL!E962=1,H962-G962,""))</f>
        <v/>
      </c>
    </row>
    <row r="963">
      <c r="A963" s="1" t="inlineStr">
        <is>
          <t>GRP</t>
        </is>
      </c>
      <c r="B963" s="1" t="inlineStr">
        <is>
          <t>6333</t>
        </is>
      </c>
      <c r="C963" s="1" t="inlineStr">
        <is>
          <t>2027</t>
        </is>
      </c>
      <c r="D963" s="1" t="inlineStr">
        <is>
          <t>V03</t>
        </is>
      </c>
      <c r="E963" s="1" t="inlineStr">
        <is>
          <t>2027BUD_V1</t>
        </is>
      </c>
      <c r="F963" s="1" t="inlineStr">
        <is>
          <t>12</t>
        </is>
      </c>
      <c r="G963" t="n">
        <v>116357.04</v>
      </c>
      <c r="H963">
        <f>IF(PNL!A963="","",_CALC_PNL!P963)</f>
        <v/>
      </c>
      <c r="I963">
        <f>IF(PNL!A963="","",IF(_CALC_PNL!E963=1,H963-G963,""))</f>
        <v/>
      </c>
    </row>
    <row r="964">
      <c r="A964" s="1" t="inlineStr">
        <is>
          <t>MBWAY_PAR</t>
        </is>
      </c>
      <c r="B964" s="1" t="inlineStr">
        <is>
          <t>6811</t>
        </is>
      </c>
      <c r="C964" s="1" t="inlineStr">
        <is>
          <t>2027</t>
        </is>
      </c>
      <c r="D964" s="1" t="inlineStr">
        <is>
          <t>V01</t>
        </is>
      </c>
      <c r="E964" s="1" t="inlineStr">
        <is>
          <t>2027BUD_V1</t>
        </is>
      </c>
      <c r="F964" s="1" t="inlineStr">
        <is>
          <t>12</t>
        </is>
      </c>
      <c r="G964" t="n">
        <v>157984.74</v>
      </c>
      <c r="H964">
        <f>IF(PNL!A964="","",_CALC_PNL!P964)</f>
        <v/>
      </c>
      <c r="I964">
        <f>IF(PNL!A964="","",IF(_CALC_PNL!E964=1,H964-G964,""))</f>
        <v/>
      </c>
    </row>
    <row r="965">
      <c r="A965" s="1" t="inlineStr">
        <is>
          <t>MBWAY_PAR</t>
        </is>
      </c>
      <c r="B965" s="1" t="inlineStr">
        <is>
          <t>6811</t>
        </is>
      </c>
      <c r="C965" s="1" t="inlineStr">
        <is>
          <t>2027</t>
        </is>
      </c>
      <c r="D965" s="1" t="inlineStr">
        <is>
          <t>V02</t>
        </is>
      </c>
      <c r="E965" s="1" t="inlineStr">
        <is>
          <t>2027BUD_V1</t>
        </is>
      </c>
      <c r="F965" s="1" t="inlineStr">
        <is>
          <t>12</t>
        </is>
      </c>
      <c r="G965" t="n">
        <v>157210.305</v>
      </c>
      <c r="H965">
        <f>IF(PNL!A965="","",_CALC_PNL!P965)</f>
        <v/>
      </c>
      <c r="I965">
        <f>IF(PNL!A965="","",IF(_CALC_PNL!E965=1,H965-G965,""))</f>
        <v/>
      </c>
    </row>
    <row r="966">
      <c r="A966" s="1" t="inlineStr">
        <is>
          <t>MBWAY_PAR</t>
        </is>
      </c>
      <c r="B966" s="1" t="inlineStr">
        <is>
          <t>6811</t>
        </is>
      </c>
      <c r="C966" s="1" t="inlineStr">
        <is>
          <t>2027</t>
        </is>
      </c>
      <c r="D966" s="1" t="inlineStr">
        <is>
          <t>V03</t>
        </is>
      </c>
      <c r="E966" s="1" t="inlineStr">
        <is>
          <t>2027BUD_V1</t>
        </is>
      </c>
      <c r="F966" s="1" t="inlineStr">
        <is>
          <t>12</t>
        </is>
      </c>
      <c r="G966" t="n">
        <v>159533.61</v>
      </c>
      <c r="H966">
        <f>IF(PNL!A966="","",_CALC_PNL!P966)</f>
        <v/>
      </c>
      <c r="I966">
        <f>IF(PNL!A966="","",IF(_CALC_PNL!E966=1,H966-G966,""))</f>
        <v/>
      </c>
    </row>
    <row r="967">
      <c r="A967" s="1" t="inlineStr">
        <is>
          <t>MBWAY_LYO</t>
        </is>
      </c>
      <c r="B967" s="1" t="inlineStr">
        <is>
          <t>6811</t>
        </is>
      </c>
      <c r="C967" s="1" t="inlineStr">
        <is>
          <t>2027</t>
        </is>
      </c>
      <c r="D967" s="1" t="inlineStr">
        <is>
          <t>V01</t>
        </is>
      </c>
      <c r="E967" s="1" t="inlineStr">
        <is>
          <t>2027BUD_V1</t>
        </is>
      </c>
      <c r="F967" s="1" t="inlineStr">
        <is>
          <t>12</t>
        </is>
      </c>
      <c r="G967" t="n">
        <v>136920.72</v>
      </c>
      <c r="H967">
        <f>IF(PNL!A967="","",_CALC_PNL!P967)</f>
        <v/>
      </c>
      <c r="I967">
        <f>IF(PNL!A967="","",IF(_CALC_PNL!E967=1,H967-G967,""))</f>
        <v/>
      </c>
    </row>
    <row r="968">
      <c r="A968" s="1" t="inlineStr">
        <is>
          <t>MBWAY_LYO</t>
        </is>
      </c>
      <c r="B968" s="1" t="inlineStr">
        <is>
          <t>6811</t>
        </is>
      </c>
      <c r="C968" s="1" t="inlineStr">
        <is>
          <t>2027</t>
        </is>
      </c>
      <c r="D968" s="1" t="inlineStr">
        <is>
          <t>V02</t>
        </is>
      </c>
      <c r="E968" s="1" t="inlineStr">
        <is>
          <t>2027BUD_V1</t>
        </is>
      </c>
      <c r="F968" s="1" t="inlineStr">
        <is>
          <t>12</t>
        </is>
      </c>
      <c r="G968" t="n">
        <v>136249.54</v>
      </c>
      <c r="H968">
        <f>IF(PNL!A968="","",_CALC_PNL!P968)</f>
        <v/>
      </c>
      <c r="I968">
        <f>IF(PNL!A968="","",IF(_CALC_PNL!E968=1,H968-G968,""))</f>
        <v/>
      </c>
    </row>
    <row r="969">
      <c r="A969" s="1" t="inlineStr">
        <is>
          <t>MBWAY_LYO</t>
        </is>
      </c>
      <c r="B969" s="1" t="inlineStr">
        <is>
          <t>6811</t>
        </is>
      </c>
      <c r="C969" s="1" t="inlineStr">
        <is>
          <t>2027</t>
        </is>
      </c>
      <c r="D969" s="1" t="inlineStr">
        <is>
          <t>V03</t>
        </is>
      </c>
      <c r="E969" s="1" t="inlineStr">
        <is>
          <t>2027BUD_V1</t>
        </is>
      </c>
      <c r="F969" s="1" t="inlineStr">
        <is>
          <t>12</t>
        </is>
      </c>
      <c r="G969" t="n">
        <v>138263.08</v>
      </c>
      <c r="H969">
        <f>IF(PNL!A969="","",_CALC_PNL!P969)</f>
        <v/>
      </c>
      <c r="I969">
        <f>IF(PNL!A969="","",IF(_CALC_PNL!E969=1,H969-G969,""))</f>
        <v/>
      </c>
    </row>
    <row r="970">
      <c r="A970" s="1" t="inlineStr">
        <is>
          <t>MBWAY_NAN</t>
        </is>
      </c>
      <c r="B970" s="1" t="inlineStr">
        <is>
          <t>6811</t>
        </is>
      </c>
      <c r="C970" s="1" t="inlineStr">
        <is>
          <t>2027</t>
        </is>
      </c>
      <c r="D970" s="1" t="inlineStr">
        <is>
          <t>V01</t>
        </is>
      </c>
      <c r="E970" s="1" t="inlineStr">
        <is>
          <t>2027BUD_V1</t>
        </is>
      </c>
      <c r="F970" s="1" t="inlineStr">
        <is>
          <t>12</t>
        </is>
      </c>
      <c r="G970" t="n">
        <v>126388.2</v>
      </c>
      <c r="H970">
        <f>IF(PNL!A970="","",_CALC_PNL!P970)</f>
        <v/>
      </c>
      <c r="I970">
        <f>IF(PNL!A970="","",IF(_CALC_PNL!E970=1,H970-G970,""))</f>
        <v/>
      </c>
    </row>
    <row r="971">
      <c r="A971" s="1" t="inlineStr">
        <is>
          <t>MBWAY_NAN</t>
        </is>
      </c>
      <c r="B971" s="1" t="inlineStr">
        <is>
          <t>6811</t>
        </is>
      </c>
      <c r="C971" s="1" t="inlineStr">
        <is>
          <t>2027</t>
        </is>
      </c>
      <c r="D971" s="1" t="inlineStr">
        <is>
          <t>V02</t>
        </is>
      </c>
      <c r="E971" s="1" t="inlineStr">
        <is>
          <t>2027BUD_V1</t>
        </is>
      </c>
      <c r="F971" s="1" t="inlineStr">
        <is>
          <t>12</t>
        </is>
      </c>
      <c r="G971" t="n">
        <v>125768.65</v>
      </c>
      <c r="H971">
        <f>IF(PNL!A971="","",_CALC_PNL!P971)</f>
        <v/>
      </c>
      <c r="I971">
        <f>IF(PNL!A971="","",IF(_CALC_PNL!E971=1,H971-G971,""))</f>
        <v/>
      </c>
    </row>
    <row r="972">
      <c r="A972" s="1" t="inlineStr">
        <is>
          <t>MBWAY_NAN</t>
        </is>
      </c>
      <c r="B972" s="1" t="inlineStr">
        <is>
          <t>6811</t>
        </is>
      </c>
      <c r="C972" s="1" t="inlineStr">
        <is>
          <t>2027</t>
        </is>
      </c>
      <c r="D972" s="1" t="inlineStr">
        <is>
          <t>V03</t>
        </is>
      </c>
      <c r="E972" s="1" t="inlineStr">
        <is>
          <t>2027BUD_V1</t>
        </is>
      </c>
      <c r="F972" s="1" t="inlineStr">
        <is>
          <t>12</t>
        </is>
      </c>
      <c r="G972" t="n">
        <v>127627.3</v>
      </c>
      <c r="H972">
        <f>IF(PNL!A972="","",_CALC_PNL!P972)</f>
        <v/>
      </c>
      <c r="I972">
        <f>IF(PNL!A972="","",IF(_CALC_PNL!E972=1,H972-G972,""))</f>
        <v/>
      </c>
    </row>
    <row r="973">
      <c r="A973" s="1" t="inlineStr">
        <is>
          <t>MBWAY_BOR</t>
        </is>
      </c>
      <c r="B973" s="1" t="inlineStr">
        <is>
          <t>6811</t>
        </is>
      </c>
      <c r="C973" s="1" t="inlineStr">
        <is>
          <t>2027</t>
        </is>
      </c>
      <c r="D973" s="1" t="inlineStr">
        <is>
          <t>V01</t>
        </is>
      </c>
      <c r="E973" s="1" t="inlineStr">
        <is>
          <t>2027BUD_V1</t>
        </is>
      </c>
      <c r="F973" s="1" t="inlineStr">
        <is>
          <t>12</t>
        </is>
      </c>
      <c r="G973" t="n">
        <v>105323.16</v>
      </c>
      <c r="H973">
        <f>IF(PNL!A973="","",_CALC_PNL!P973)</f>
        <v/>
      </c>
      <c r="I973">
        <f>IF(PNL!A973="","",IF(_CALC_PNL!E973=1,H973-G973,""))</f>
        <v/>
      </c>
    </row>
    <row r="974">
      <c r="A974" s="1" t="inlineStr">
        <is>
          <t>MBWAY_BOR</t>
        </is>
      </c>
      <c r="B974" s="1" t="inlineStr">
        <is>
          <t>6811</t>
        </is>
      </c>
      <c r="C974" s="1" t="inlineStr">
        <is>
          <t>2027</t>
        </is>
      </c>
      <c r="D974" s="1" t="inlineStr">
        <is>
          <t>V02</t>
        </is>
      </c>
      <c r="E974" s="1" t="inlineStr">
        <is>
          <t>2027BUD_V1</t>
        </is>
      </c>
      <c r="F974" s="1" t="inlineStr">
        <is>
          <t>12</t>
        </is>
      </c>
      <c r="G974" t="n">
        <v>104806.87</v>
      </c>
      <c r="H974">
        <f>IF(PNL!A974="","",_CALC_PNL!P974)</f>
        <v/>
      </c>
      <c r="I974">
        <f>IF(PNL!A974="","",IF(_CALC_PNL!E974=1,H974-G974,""))</f>
        <v/>
      </c>
    </row>
    <row r="975">
      <c r="A975" s="1" t="inlineStr">
        <is>
          <t>MBWAY_BOR</t>
        </is>
      </c>
      <c r="B975" s="1" t="inlineStr">
        <is>
          <t>6811</t>
        </is>
      </c>
      <c r="C975" s="1" t="inlineStr">
        <is>
          <t>2027</t>
        </is>
      </c>
      <c r="D975" s="1" t="inlineStr">
        <is>
          <t>V03</t>
        </is>
      </c>
      <c r="E975" s="1" t="inlineStr">
        <is>
          <t>2027BUD_V1</t>
        </is>
      </c>
      <c r="F975" s="1" t="inlineStr">
        <is>
          <t>12</t>
        </is>
      </c>
      <c r="G975" t="n">
        <v>106355.74</v>
      </c>
      <c r="H975">
        <f>IF(PNL!A975="","",_CALC_PNL!P975)</f>
        <v/>
      </c>
      <c r="I975">
        <f>IF(PNL!A975="","",IF(_CALC_PNL!E975=1,H975-G975,""))</f>
        <v/>
      </c>
    </row>
    <row r="976">
      <c r="A976" s="1" t="inlineStr">
        <is>
          <t>ISCOM_PAR</t>
        </is>
      </c>
      <c r="B976" s="1" t="inlineStr">
        <is>
          <t>6811</t>
        </is>
      </c>
      <c r="C976" s="1" t="inlineStr">
        <is>
          <t>2027</t>
        </is>
      </c>
      <c r="D976" s="1" t="inlineStr">
        <is>
          <t>V01</t>
        </is>
      </c>
      <c r="E976" s="1" t="inlineStr">
        <is>
          <t>2027BUD_V1</t>
        </is>
      </c>
      <c r="F976" s="1" t="inlineStr">
        <is>
          <t>12</t>
        </is>
      </c>
      <c r="G976" t="n">
        <v>157984.74</v>
      </c>
      <c r="H976">
        <f>IF(PNL!A976="","",_CALC_PNL!P976)</f>
        <v/>
      </c>
      <c r="I976">
        <f>IF(PNL!A976="","",IF(_CALC_PNL!E976=1,H976-G976,""))</f>
        <v/>
      </c>
    </row>
    <row r="977">
      <c r="A977" s="1" t="inlineStr">
        <is>
          <t>ISCOM_PAR</t>
        </is>
      </c>
      <c r="B977" s="1" t="inlineStr">
        <is>
          <t>6811</t>
        </is>
      </c>
      <c r="C977" s="1" t="inlineStr">
        <is>
          <t>2027</t>
        </is>
      </c>
      <c r="D977" s="1" t="inlineStr">
        <is>
          <t>V02</t>
        </is>
      </c>
      <c r="E977" s="1" t="inlineStr">
        <is>
          <t>2027BUD_V1</t>
        </is>
      </c>
      <c r="F977" s="1" t="inlineStr">
        <is>
          <t>12</t>
        </is>
      </c>
      <c r="G977" t="n">
        <v>157210.305</v>
      </c>
      <c r="H977">
        <f>IF(PNL!A977="","",_CALC_PNL!P977)</f>
        <v/>
      </c>
      <c r="I977">
        <f>IF(PNL!A977="","",IF(_CALC_PNL!E977=1,H977-G977,""))</f>
        <v/>
      </c>
    </row>
    <row r="978">
      <c r="A978" s="1" t="inlineStr">
        <is>
          <t>ISCOM_PAR</t>
        </is>
      </c>
      <c r="B978" s="1" t="inlineStr">
        <is>
          <t>6811</t>
        </is>
      </c>
      <c r="C978" s="1" t="inlineStr">
        <is>
          <t>2027</t>
        </is>
      </c>
      <c r="D978" s="1" t="inlineStr">
        <is>
          <t>V03</t>
        </is>
      </c>
      <c r="E978" s="1" t="inlineStr">
        <is>
          <t>2027BUD_V1</t>
        </is>
      </c>
      <c r="F978" s="1" t="inlineStr">
        <is>
          <t>12</t>
        </is>
      </c>
      <c r="G978" t="n">
        <v>159533.61</v>
      </c>
      <c r="H978">
        <f>IF(PNL!A978="","",_CALC_PNL!P978)</f>
        <v/>
      </c>
      <c r="I978">
        <f>IF(PNL!A978="","",IF(_CALC_PNL!E978=1,H978-G978,""))</f>
        <v/>
      </c>
    </row>
    <row r="979">
      <c r="A979" s="1" t="inlineStr">
        <is>
          <t>ISCOM_LIL</t>
        </is>
      </c>
      <c r="B979" s="1" t="inlineStr">
        <is>
          <t>6811</t>
        </is>
      </c>
      <c r="C979" s="1" t="inlineStr">
        <is>
          <t>2027</t>
        </is>
      </c>
      <c r="D979" s="1" t="inlineStr">
        <is>
          <t>V01</t>
        </is>
      </c>
      <c r="E979" s="1" t="inlineStr">
        <is>
          <t>2027BUD_V1</t>
        </is>
      </c>
      <c r="F979" s="1" t="inlineStr">
        <is>
          <t>12</t>
        </is>
      </c>
      <c r="G979" t="n">
        <v>105323.16</v>
      </c>
      <c r="H979">
        <f>IF(PNL!A979="","",_CALC_PNL!P979)</f>
        <v/>
      </c>
      <c r="I979">
        <f>IF(PNL!A979="","",IF(_CALC_PNL!E979=1,H979-G979,""))</f>
        <v/>
      </c>
    </row>
    <row r="980">
      <c r="A980" s="1" t="inlineStr">
        <is>
          <t>ISCOM_LIL</t>
        </is>
      </c>
      <c r="B980" s="1" t="inlineStr">
        <is>
          <t>6811</t>
        </is>
      </c>
      <c r="C980" s="1" t="inlineStr">
        <is>
          <t>2027</t>
        </is>
      </c>
      <c r="D980" s="1" t="inlineStr">
        <is>
          <t>V02</t>
        </is>
      </c>
      <c r="E980" s="1" t="inlineStr">
        <is>
          <t>2027BUD_V1</t>
        </is>
      </c>
      <c r="F980" s="1" t="inlineStr">
        <is>
          <t>12</t>
        </is>
      </c>
      <c r="G980" t="n">
        <v>104806.87</v>
      </c>
      <c r="H980">
        <f>IF(PNL!A980="","",_CALC_PNL!P980)</f>
        <v/>
      </c>
      <c r="I980">
        <f>IF(PNL!A980="","",IF(_CALC_PNL!E980=1,H980-G980,""))</f>
        <v/>
      </c>
    </row>
    <row r="981">
      <c r="A981" s="1" t="inlineStr">
        <is>
          <t>ISCOM_LIL</t>
        </is>
      </c>
      <c r="B981" s="1" t="inlineStr">
        <is>
          <t>6811</t>
        </is>
      </c>
      <c r="C981" s="1" t="inlineStr">
        <is>
          <t>2027</t>
        </is>
      </c>
      <c r="D981" s="1" t="inlineStr">
        <is>
          <t>V03</t>
        </is>
      </c>
      <c r="E981" s="1" t="inlineStr">
        <is>
          <t>2027BUD_V1</t>
        </is>
      </c>
      <c r="F981" s="1" t="inlineStr">
        <is>
          <t>12</t>
        </is>
      </c>
      <c r="G981" t="n">
        <v>106355.74</v>
      </c>
      <c r="H981">
        <f>IF(PNL!A981="","",_CALC_PNL!P981)</f>
        <v/>
      </c>
      <c r="I981">
        <f>IF(PNL!A981="","",IF(_CALC_PNL!E981=1,H981-G981,""))</f>
        <v/>
      </c>
    </row>
    <row r="982">
      <c r="A982" s="1" t="inlineStr">
        <is>
          <t>ISCOM_TLS</t>
        </is>
      </c>
      <c r="B982" s="1" t="inlineStr">
        <is>
          <t>6811</t>
        </is>
      </c>
      <c r="C982" s="1" t="inlineStr">
        <is>
          <t>2027</t>
        </is>
      </c>
      <c r="D982" s="1" t="inlineStr">
        <is>
          <t>V01</t>
        </is>
      </c>
      <c r="E982" s="1" t="inlineStr">
        <is>
          <t>2027BUD_V1</t>
        </is>
      </c>
      <c r="F982" s="1" t="inlineStr">
        <is>
          <t>12</t>
        </is>
      </c>
      <c r="G982" t="n">
        <v>105323.16</v>
      </c>
      <c r="H982">
        <f>IF(PNL!A982="","",_CALC_PNL!P982)</f>
        <v/>
      </c>
      <c r="I982">
        <f>IF(PNL!A982="","",IF(_CALC_PNL!E982=1,H982-G982,""))</f>
        <v/>
      </c>
    </row>
    <row r="983">
      <c r="A983" s="1" t="inlineStr">
        <is>
          <t>ISCOM_TLS</t>
        </is>
      </c>
      <c r="B983" s="1" t="inlineStr">
        <is>
          <t>6811</t>
        </is>
      </c>
      <c r="C983" s="1" t="inlineStr">
        <is>
          <t>2027</t>
        </is>
      </c>
      <c r="D983" s="1" t="inlineStr">
        <is>
          <t>V02</t>
        </is>
      </c>
      <c r="E983" s="1" t="inlineStr">
        <is>
          <t>2027BUD_V1</t>
        </is>
      </c>
      <c r="F983" s="1" t="inlineStr">
        <is>
          <t>12</t>
        </is>
      </c>
      <c r="G983" t="n">
        <v>104806.87</v>
      </c>
      <c r="H983">
        <f>IF(PNL!A983="","",_CALC_PNL!P983)</f>
        <v/>
      </c>
      <c r="I983">
        <f>IF(PNL!A983="","",IF(_CALC_PNL!E983=1,H983-G983,""))</f>
        <v/>
      </c>
    </row>
    <row r="984">
      <c r="A984" s="1" t="inlineStr">
        <is>
          <t>ISCOM_TLS</t>
        </is>
      </c>
      <c r="B984" s="1" t="inlineStr">
        <is>
          <t>6811</t>
        </is>
      </c>
      <c r="C984" s="1" t="inlineStr">
        <is>
          <t>2027</t>
        </is>
      </c>
      <c r="D984" s="1" t="inlineStr">
        <is>
          <t>V03</t>
        </is>
      </c>
      <c r="E984" s="1" t="inlineStr">
        <is>
          <t>2027BUD_V1</t>
        </is>
      </c>
      <c r="F984" s="1" t="inlineStr">
        <is>
          <t>12</t>
        </is>
      </c>
      <c r="G984" t="n">
        <v>106355.74</v>
      </c>
      <c r="H984">
        <f>IF(PNL!A984="","",_CALC_PNL!P984)</f>
        <v/>
      </c>
      <c r="I984">
        <f>IF(PNL!A984="","",IF(_CALC_PNL!E984=1,H984-G984,""))</f>
        <v/>
      </c>
    </row>
    <row r="985">
      <c r="A985" s="1" t="inlineStr">
        <is>
          <t>IPAC_NAN</t>
        </is>
      </c>
      <c r="B985" s="1" t="inlineStr">
        <is>
          <t>6811</t>
        </is>
      </c>
      <c r="C985" s="1" t="inlineStr">
        <is>
          <t>2027</t>
        </is>
      </c>
      <c r="D985" s="1" t="inlineStr">
        <is>
          <t>V01</t>
        </is>
      </c>
      <c r="E985" s="1" t="inlineStr">
        <is>
          <t>2027BUD_V1</t>
        </is>
      </c>
      <c r="F985" s="1" t="inlineStr">
        <is>
          <t>12</t>
        </is>
      </c>
      <c r="G985" t="n">
        <v>63194.1</v>
      </c>
      <c r="H985">
        <f>IF(PNL!A985="","",_CALC_PNL!P985)</f>
        <v/>
      </c>
      <c r="I985">
        <f>IF(PNL!A985="","",IF(_CALC_PNL!E985=1,H985-G985,""))</f>
        <v/>
      </c>
    </row>
    <row r="986">
      <c r="A986" s="1" t="inlineStr">
        <is>
          <t>IPAC_NAN</t>
        </is>
      </c>
      <c r="B986" s="1" t="inlineStr">
        <is>
          <t>6811</t>
        </is>
      </c>
      <c r="C986" s="1" t="inlineStr">
        <is>
          <t>2027</t>
        </is>
      </c>
      <c r="D986" s="1" t="inlineStr">
        <is>
          <t>V02</t>
        </is>
      </c>
      <c r="E986" s="1" t="inlineStr">
        <is>
          <t>2027BUD_V1</t>
        </is>
      </c>
      <c r="F986" s="1" t="inlineStr">
        <is>
          <t>12</t>
        </is>
      </c>
      <c r="G986" t="n">
        <v>62884.325</v>
      </c>
      <c r="H986">
        <f>IF(PNL!A986="","",_CALC_PNL!P986)</f>
        <v/>
      </c>
      <c r="I986">
        <f>IF(PNL!A986="","",IF(_CALC_PNL!E986=1,H986-G986,""))</f>
        <v/>
      </c>
    </row>
    <row r="987">
      <c r="A987" s="1" t="inlineStr">
        <is>
          <t>IPAC_NAN</t>
        </is>
      </c>
      <c r="B987" s="1" t="inlineStr">
        <is>
          <t>6811</t>
        </is>
      </c>
      <c r="C987" s="1" t="inlineStr">
        <is>
          <t>2027</t>
        </is>
      </c>
      <c r="D987" s="1" t="inlineStr">
        <is>
          <t>V03</t>
        </is>
      </c>
      <c r="E987" s="1" t="inlineStr">
        <is>
          <t>2027BUD_V1</t>
        </is>
      </c>
      <c r="F987" s="1" t="inlineStr">
        <is>
          <t>12</t>
        </is>
      </c>
      <c r="G987" t="n">
        <v>63813.65</v>
      </c>
      <c r="H987">
        <f>IF(PNL!A987="","",_CALC_PNL!P987)</f>
        <v/>
      </c>
      <c r="I987">
        <f>IF(PNL!A987="","",IF(_CALC_PNL!E987=1,H987-G987,""))</f>
        <v/>
      </c>
    </row>
    <row r="988">
      <c r="A988" s="1" t="inlineStr">
        <is>
          <t>IPAC_REN</t>
        </is>
      </c>
      <c r="B988" s="1" t="inlineStr">
        <is>
          <t>6811</t>
        </is>
      </c>
      <c r="C988" s="1" t="inlineStr">
        <is>
          <t>2027</t>
        </is>
      </c>
      <c r="D988" s="1" t="inlineStr">
        <is>
          <t>V01</t>
        </is>
      </c>
      <c r="E988" s="1" t="inlineStr">
        <is>
          <t>2027BUD_V1</t>
        </is>
      </c>
      <c r="F988" s="1" t="inlineStr">
        <is>
          <t>12</t>
        </is>
      </c>
      <c r="G988" t="n">
        <v>63194.1</v>
      </c>
      <c r="H988">
        <f>IF(PNL!A988="","",_CALC_PNL!P988)</f>
        <v/>
      </c>
      <c r="I988">
        <f>IF(PNL!A988="","",IF(_CALC_PNL!E988=1,H988-G988,""))</f>
        <v/>
      </c>
    </row>
    <row r="989">
      <c r="A989" s="1" t="inlineStr">
        <is>
          <t>IPAC_REN</t>
        </is>
      </c>
      <c r="B989" s="1" t="inlineStr">
        <is>
          <t>6811</t>
        </is>
      </c>
      <c r="C989" s="1" t="inlineStr">
        <is>
          <t>2027</t>
        </is>
      </c>
      <c r="D989" s="1" t="inlineStr">
        <is>
          <t>V02</t>
        </is>
      </c>
      <c r="E989" s="1" t="inlineStr">
        <is>
          <t>2027BUD_V1</t>
        </is>
      </c>
      <c r="F989" s="1" t="inlineStr">
        <is>
          <t>12</t>
        </is>
      </c>
      <c r="G989" t="n">
        <v>62884.325</v>
      </c>
      <c r="H989">
        <f>IF(PNL!A989="","",_CALC_PNL!P989)</f>
        <v/>
      </c>
      <c r="I989">
        <f>IF(PNL!A989="","",IF(_CALC_PNL!E989=1,H989-G989,""))</f>
        <v/>
      </c>
    </row>
    <row r="990">
      <c r="A990" s="1" t="inlineStr">
        <is>
          <t>IPAC_REN</t>
        </is>
      </c>
      <c r="B990" s="1" t="inlineStr">
        <is>
          <t>6811</t>
        </is>
      </c>
      <c r="C990" s="1" t="inlineStr">
        <is>
          <t>2027</t>
        </is>
      </c>
      <c r="D990" s="1" t="inlineStr">
        <is>
          <t>V03</t>
        </is>
      </c>
      <c r="E990" s="1" t="inlineStr">
        <is>
          <t>2027BUD_V1</t>
        </is>
      </c>
      <c r="F990" s="1" t="inlineStr">
        <is>
          <t>12</t>
        </is>
      </c>
      <c r="G990" t="n">
        <v>63813.65</v>
      </c>
      <c r="H990">
        <f>IF(PNL!A990="","",_CALC_PNL!P990)</f>
        <v/>
      </c>
      <c r="I990">
        <f>IF(PNL!A990="","",IF(_CALC_PNL!E990=1,H990-G990,""))</f>
        <v/>
      </c>
    </row>
    <row r="991">
      <c r="A991" s="1" t="inlineStr">
        <is>
          <t>IPAC_MTP</t>
        </is>
      </c>
      <c r="B991" s="1" t="inlineStr">
        <is>
          <t>6811</t>
        </is>
      </c>
      <c r="C991" s="1" t="inlineStr">
        <is>
          <t>2027</t>
        </is>
      </c>
      <c r="D991" s="1" t="inlineStr">
        <is>
          <t>V01</t>
        </is>
      </c>
      <c r="E991" s="1" t="inlineStr">
        <is>
          <t>2027BUD_V1</t>
        </is>
      </c>
      <c r="F991" s="1" t="inlineStr">
        <is>
          <t>12</t>
        </is>
      </c>
      <c r="G991" t="n">
        <v>63194.1</v>
      </c>
      <c r="H991">
        <f>IF(PNL!A991="","",_CALC_PNL!P991)</f>
        <v/>
      </c>
      <c r="I991">
        <f>IF(PNL!A991="","",IF(_CALC_PNL!E991=1,H991-G991,""))</f>
        <v/>
      </c>
    </row>
    <row r="992">
      <c r="A992" s="1" t="inlineStr">
        <is>
          <t>IPAC_MTP</t>
        </is>
      </c>
      <c r="B992" s="1" t="inlineStr">
        <is>
          <t>6811</t>
        </is>
      </c>
      <c r="C992" s="1" t="inlineStr">
        <is>
          <t>2027</t>
        </is>
      </c>
      <c r="D992" s="1" t="inlineStr">
        <is>
          <t>V02</t>
        </is>
      </c>
      <c r="E992" s="1" t="inlineStr">
        <is>
          <t>2027BUD_V1</t>
        </is>
      </c>
      <c r="F992" s="1" t="inlineStr">
        <is>
          <t>12</t>
        </is>
      </c>
      <c r="G992" t="n">
        <v>62884.325</v>
      </c>
      <c r="H992">
        <f>IF(PNL!A992="","",_CALC_PNL!P992)</f>
        <v/>
      </c>
      <c r="I992">
        <f>IF(PNL!A992="","",IF(_CALC_PNL!E992=1,H992-G992,""))</f>
        <v/>
      </c>
    </row>
    <row r="993">
      <c r="A993" s="1" t="inlineStr">
        <is>
          <t>IPAC_MTP</t>
        </is>
      </c>
      <c r="B993" s="1" t="inlineStr">
        <is>
          <t>6811</t>
        </is>
      </c>
      <c r="C993" s="1" t="inlineStr">
        <is>
          <t>2027</t>
        </is>
      </c>
      <c r="D993" s="1" t="inlineStr">
        <is>
          <t>V03</t>
        </is>
      </c>
      <c r="E993" s="1" t="inlineStr">
        <is>
          <t>2027BUD_V1</t>
        </is>
      </c>
      <c r="F993" s="1" t="inlineStr">
        <is>
          <t>12</t>
        </is>
      </c>
      <c r="G993" t="n">
        <v>63813.65</v>
      </c>
      <c r="H993">
        <f>IF(PNL!A993="","",_CALC_PNL!P993)</f>
        <v/>
      </c>
      <c r="I993">
        <f>IF(PNL!A993="","",IF(_CALC_PNL!E993=1,H993-G993,""))</f>
        <v/>
      </c>
    </row>
    <row r="994">
      <c r="A994" s="1" t="inlineStr">
        <is>
          <t>PIGIER_LYO</t>
        </is>
      </c>
      <c r="B994" s="1" t="inlineStr">
        <is>
          <t>6811</t>
        </is>
      </c>
      <c r="C994" s="1" t="inlineStr">
        <is>
          <t>2027</t>
        </is>
      </c>
      <c r="D994" s="1" t="inlineStr">
        <is>
          <t>V01</t>
        </is>
      </c>
      <c r="E994" s="1" t="inlineStr">
        <is>
          <t>2027BUD_V1</t>
        </is>
      </c>
      <c r="F994" s="1" t="inlineStr">
        <is>
          <t>12</t>
        </is>
      </c>
      <c r="G994" t="n">
        <v>84259.14</v>
      </c>
      <c r="H994">
        <f>IF(PNL!A994="","",_CALC_PNL!P994)</f>
        <v/>
      </c>
      <c r="I994">
        <f>IF(PNL!A994="","",IF(_CALC_PNL!E994=1,H994-G994,""))</f>
        <v/>
      </c>
    </row>
    <row r="995">
      <c r="A995" s="1" t="inlineStr">
        <is>
          <t>PIGIER_LYO</t>
        </is>
      </c>
      <c r="B995" s="1" t="inlineStr">
        <is>
          <t>6811</t>
        </is>
      </c>
      <c r="C995" s="1" t="inlineStr">
        <is>
          <t>2027</t>
        </is>
      </c>
      <c r="D995" s="1" t="inlineStr">
        <is>
          <t>V02</t>
        </is>
      </c>
      <c r="E995" s="1" t="inlineStr">
        <is>
          <t>2027BUD_V1</t>
        </is>
      </c>
      <c r="F995" s="1" t="inlineStr">
        <is>
          <t>12</t>
        </is>
      </c>
      <c r="G995" t="n">
        <v>83846.105</v>
      </c>
      <c r="H995">
        <f>IF(PNL!A995="","",_CALC_PNL!P995)</f>
        <v/>
      </c>
      <c r="I995">
        <f>IF(PNL!A995="","",IF(_CALC_PNL!E995=1,H995-G995,""))</f>
        <v/>
      </c>
    </row>
    <row r="996">
      <c r="A996" s="1" t="inlineStr">
        <is>
          <t>PIGIER_LYO</t>
        </is>
      </c>
      <c r="B996" s="1" t="inlineStr">
        <is>
          <t>6811</t>
        </is>
      </c>
      <c r="C996" s="1" t="inlineStr">
        <is>
          <t>2027</t>
        </is>
      </c>
      <c r="D996" s="1" t="inlineStr">
        <is>
          <t>V03</t>
        </is>
      </c>
      <c r="E996" s="1" t="inlineStr">
        <is>
          <t>2027BUD_V1</t>
        </is>
      </c>
      <c r="F996" s="1" t="inlineStr">
        <is>
          <t>12</t>
        </is>
      </c>
      <c r="G996" t="n">
        <v>85085.21000000001</v>
      </c>
      <c r="H996">
        <f>IF(PNL!A996="","",_CALC_PNL!P996)</f>
        <v/>
      </c>
      <c r="I996">
        <f>IF(PNL!A996="","",IF(_CALC_PNL!E996=1,H996-G996,""))</f>
        <v/>
      </c>
    </row>
    <row r="997">
      <c r="A997" s="1" t="inlineStr">
        <is>
          <t>PIGIER_BOR</t>
        </is>
      </c>
      <c r="B997" s="1" t="inlineStr">
        <is>
          <t>6811</t>
        </is>
      </c>
      <c r="C997" s="1" t="inlineStr">
        <is>
          <t>2027</t>
        </is>
      </c>
      <c r="D997" s="1" t="inlineStr">
        <is>
          <t>V01</t>
        </is>
      </c>
      <c r="E997" s="1" t="inlineStr">
        <is>
          <t>2027BUD_V1</t>
        </is>
      </c>
      <c r="F997" s="1" t="inlineStr">
        <is>
          <t>12</t>
        </is>
      </c>
      <c r="G997" t="n">
        <v>84259.14</v>
      </c>
      <c r="H997">
        <f>IF(PNL!A997="","",_CALC_PNL!P997)</f>
        <v/>
      </c>
      <c r="I997">
        <f>IF(PNL!A997="","",IF(_CALC_PNL!E997=1,H997-G997,""))</f>
        <v/>
      </c>
    </row>
    <row r="998">
      <c r="A998" s="1" t="inlineStr">
        <is>
          <t>PIGIER_BOR</t>
        </is>
      </c>
      <c r="B998" s="1" t="inlineStr">
        <is>
          <t>6811</t>
        </is>
      </c>
      <c r="C998" s="1" t="inlineStr">
        <is>
          <t>2027</t>
        </is>
      </c>
      <c r="D998" s="1" t="inlineStr">
        <is>
          <t>V02</t>
        </is>
      </c>
      <c r="E998" s="1" t="inlineStr">
        <is>
          <t>2027BUD_V1</t>
        </is>
      </c>
      <c r="F998" s="1" t="inlineStr">
        <is>
          <t>12</t>
        </is>
      </c>
      <c r="G998" t="n">
        <v>83846.105</v>
      </c>
      <c r="H998">
        <f>IF(PNL!A998="","",_CALC_PNL!P998)</f>
        <v/>
      </c>
      <c r="I998">
        <f>IF(PNL!A998="","",IF(_CALC_PNL!E998=1,H998-G998,""))</f>
        <v/>
      </c>
    </row>
    <row r="999">
      <c r="A999" s="1" t="inlineStr">
        <is>
          <t>PIGIER_BOR</t>
        </is>
      </c>
      <c r="B999" s="1" t="inlineStr">
        <is>
          <t>6811</t>
        </is>
      </c>
      <c r="C999" s="1" t="inlineStr">
        <is>
          <t>2027</t>
        </is>
      </c>
      <c r="D999" s="1" t="inlineStr">
        <is>
          <t>V03</t>
        </is>
      </c>
      <c r="E999" s="1" t="inlineStr">
        <is>
          <t>2027BUD_V1</t>
        </is>
      </c>
      <c r="F999" s="1" t="inlineStr">
        <is>
          <t>12</t>
        </is>
      </c>
      <c r="G999" t="n">
        <v>85085.21000000001</v>
      </c>
      <c r="H999">
        <f>IF(PNL!A999="","",_CALC_PNL!P999)</f>
        <v/>
      </c>
      <c r="I999">
        <f>IF(PNL!A999="","",IF(_CALC_PNL!E999=1,H999-G999,""))</f>
        <v/>
      </c>
    </row>
    <row r="1000">
      <c r="A1000" s="1" t="inlineStr">
        <is>
          <t>TUNON_PAR</t>
        </is>
      </c>
      <c r="B1000" s="1" t="inlineStr">
        <is>
          <t>6811</t>
        </is>
      </c>
      <c r="C1000" s="1" t="inlineStr">
        <is>
          <t>2027</t>
        </is>
      </c>
      <c r="D1000" s="1" t="inlineStr">
        <is>
          <t>V01</t>
        </is>
      </c>
      <c r="E1000" s="1" t="inlineStr">
        <is>
          <t>2027BUD_V1</t>
        </is>
      </c>
      <c r="F1000" s="1" t="inlineStr">
        <is>
          <t>12</t>
        </is>
      </c>
      <c r="G1000" t="n">
        <v>63194.1</v>
      </c>
      <c r="H1000">
        <f>IF(PNL!A1000="","",_CALC_PNL!P1000)</f>
        <v/>
      </c>
      <c r="I1000">
        <f>IF(PNL!A1000="","",IF(_CALC_PNL!E1000=1,H1000-G1000,""))</f>
        <v/>
      </c>
    </row>
    <row r="1001">
      <c r="A1001" s="1" t="inlineStr">
        <is>
          <t>TUNON_PAR</t>
        </is>
      </c>
      <c r="B1001" s="1" t="inlineStr">
        <is>
          <t>6811</t>
        </is>
      </c>
      <c r="C1001" s="1" t="inlineStr">
        <is>
          <t>2027</t>
        </is>
      </c>
      <c r="D1001" s="1" t="inlineStr">
        <is>
          <t>V02</t>
        </is>
      </c>
      <c r="E1001" s="1" t="inlineStr">
        <is>
          <t>2027BUD_V1</t>
        </is>
      </c>
      <c r="F1001" s="1" t="inlineStr">
        <is>
          <t>12</t>
        </is>
      </c>
      <c r="G1001" t="n">
        <v>62884.325</v>
      </c>
      <c r="H1001">
        <f>IF(PNL!A1001="","",_CALC_PNL!P1001)</f>
        <v/>
      </c>
      <c r="I1001">
        <f>IF(PNL!A1001="","",IF(_CALC_PNL!E1001=1,H1001-G1001,""))</f>
        <v/>
      </c>
    </row>
    <row r="1002">
      <c r="A1002" s="1" t="inlineStr">
        <is>
          <t>TUNON_PAR</t>
        </is>
      </c>
      <c r="B1002" s="1" t="inlineStr">
        <is>
          <t>6811</t>
        </is>
      </c>
      <c r="C1002" s="1" t="inlineStr">
        <is>
          <t>2027</t>
        </is>
      </c>
      <c r="D1002" s="1" t="inlineStr">
        <is>
          <t>V03</t>
        </is>
      </c>
      <c r="E1002" s="1" t="inlineStr">
        <is>
          <t>2027BUD_V1</t>
        </is>
      </c>
      <c r="F1002" s="1" t="inlineStr">
        <is>
          <t>12</t>
        </is>
      </c>
      <c r="G1002" t="n">
        <v>63813.65</v>
      </c>
      <c r="H1002">
        <f>IF(PNL!A1002="","",_CALC_PNL!P1002)</f>
        <v/>
      </c>
      <c r="I1002">
        <f>IF(PNL!A1002="","",IF(_CALC_PNL!E1002=1,H1002-G1002,""))</f>
        <v/>
      </c>
    </row>
    <row r="1003">
      <c r="A1003" s="1" t="inlineStr">
        <is>
          <t>TUNON_LYO</t>
        </is>
      </c>
      <c r="B1003" s="1" t="inlineStr">
        <is>
          <t>6811</t>
        </is>
      </c>
      <c r="C1003" s="1" t="inlineStr">
        <is>
          <t>2027</t>
        </is>
      </c>
      <c r="D1003" s="1" t="inlineStr">
        <is>
          <t>V01</t>
        </is>
      </c>
      <c r="E1003" s="1" t="inlineStr">
        <is>
          <t>2027BUD_V1</t>
        </is>
      </c>
      <c r="F1003" s="1" t="inlineStr">
        <is>
          <t>12</t>
        </is>
      </c>
      <c r="G1003" t="n">
        <v>63194.1</v>
      </c>
      <c r="H1003">
        <f>IF(PNL!A1003="","",_CALC_PNL!P1003)</f>
        <v/>
      </c>
      <c r="I1003">
        <f>IF(PNL!A1003="","",IF(_CALC_PNL!E1003=1,H1003-G1003,""))</f>
        <v/>
      </c>
    </row>
    <row r="1004">
      <c r="A1004" s="1" t="inlineStr">
        <is>
          <t>TUNON_LYO</t>
        </is>
      </c>
      <c r="B1004" s="1" t="inlineStr">
        <is>
          <t>6811</t>
        </is>
      </c>
      <c r="C1004" s="1" t="inlineStr">
        <is>
          <t>2027</t>
        </is>
      </c>
      <c r="D1004" s="1" t="inlineStr">
        <is>
          <t>V02</t>
        </is>
      </c>
      <c r="E1004" s="1" t="inlineStr">
        <is>
          <t>2027BUD_V1</t>
        </is>
      </c>
      <c r="F1004" s="1" t="inlineStr">
        <is>
          <t>12</t>
        </is>
      </c>
      <c r="G1004" t="n">
        <v>62884.325</v>
      </c>
      <c r="H1004">
        <f>IF(PNL!A1004="","",_CALC_PNL!P1004)</f>
        <v/>
      </c>
      <c r="I1004">
        <f>IF(PNL!A1004="","",IF(_CALC_PNL!E1004=1,H1004-G1004,""))</f>
        <v/>
      </c>
    </row>
    <row r="1005">
      <c r="A1005" s="1" t="inlineStr">
        <is>
          <t>TUNON_LYO</t>
        </is>
      </c>
      <c r="B1005" s="1" t="inlineStr">
        <is>
          <t>6811</t>
        </is>
      </c>
      <c r="C1005" s="1" t="inlineStr">
        <is>
          <t>2027</t>
        </is>
      </c>
      <c r="D1005" s="1" t="inlineStr">
        <is>
          <t>V03</t>
        </is>
      </c>
      <c r="E1005" s="1" t="inlineStr">
        <is>
          <t>2027BUD_V1</t>
        </is>
      </c>
      <c r="F1005" s="1" t="inlineStr">
        <is>
          <t>12</t>
        </is>
      </c>
      <c r="G1005" t="n">
        <v>63813.65</v>
      </c>
      <c r="H1005">
        <f>IF(PNL!A1005="","",_CALC_PNL!P1005)</f>
        <v/>
      </c>
      <c r="I1005">
        <f>IF(PNL!A1005="","",IF(_CALC_PNL!E1005=1,H1005-G1005,""))</f>
        <v/>
      </c>
    </row>
    <row r="1006">
      <c r="A1006" s="1" t="inlineStr">
        <is>
          <t>PIGIER_BOR</t>
        </is>
      </c>
      <c r="B1006" s="1" t="inlineStr">
        <is>
          <t>7062</t>
        </is>
      </c>
      <c r="C1006" s="1" t="inlineStr">
        <is>
          <t>2027</t>
        </is>
      </c>
      <c r="D1006" s="1" t="inlineStr">
        <is>
          <t>V01</t>
        </is>
      </c>
      <c r="E1006" s="1" t="inlineStr">
        <is>
          <t>2027BUD_V1</t>
        </is>
      </c>
      <c r="F1006" s="1" t="inlineStr">
        <is>
          <t>12</t>
        </is>
      </c>
      <c r="G1006" t="n">
        <v>1181394.662153118</v>
      </c>
      <c r="H1006">
        <f>IF(PNL!A1006="","",_CALC_PNL!P1006)</f>
        <v/>
      </c>
      <c r="I1006">
        <f>IF(PNL!A1006="","",IF(_CALC_PNL!E1006=1,H1006-G1006,""))</f>
        <v/>
      </c>
    </row>
    <row r="1007">
      <c r="A1007" s="1" t="inlineStr">
        <is>
          <t>PIGIER_BOR</t>
        </is>
      </c>
      <c r="B1007" s="1" t="inlineStr">
        <is>
          <t>7062</t>
        </is>
      </c>
      <c r="C1007" s="1" t="inlineStr">
        <is>
          <t>2027</t>
        </is>
      </c>
      <c r="D1007" s="1" t="inlineStr">
        <is>
          <t>V02</t>
        </is>
      </c>
      <c r="E1007" s="1" t="inlineStr">
        <is>
          <t>2027BUD_V1</t>
        </is>
      </c>
      <c r="F1007" s="1" t="inlineStr">
        <is>
          <t>12</t>
        </is>
      </c>
      <c r="G1007" t="n">
        <v>1307300.400235857</v>
      </c>
      <c r="H1007">
        <f>IF(PNL!A1007="","",_CALC_PNL!P1007)</f>
        <v/>
      </c>
      <c r="I1007">
        <f>IF(PNL!A1007="","",IF(_CALC_PNL!E1007=1,H1007-G1007,""))</f>
        <v/>
      </c>
    </row>
    <row r="1008">
      <c r="A1008" s="1" t="inlineStr">
        <is>
          <t>PIGIER_BOR</t>
        </is>
      </c>
      <c r="B1008" s="1" t="inlineStr">
        <is>
          <t>7062</t>
        </is>
      </c>
      <c r="C1008" s="1" t="inlineStr">
        <is>
          <t>2027</t>
        </is>
      </c>
      <c r="D1008" s="1" t="inlineStr">
        <is>
          <t>V03</t>
        </is>
      </c>
      <c r="E1008" s="1" t="inlineStr">
        <is>
          <t>2027BUD_V1</t>
        </is>
      </c>
      <c r="F1008" s="1" t="inlineStr">
        <is>
          <t>12</t>
        </is>
      </c>
      <c r="G1008" t="n">
        <v>1104347.16680456</v>
      </c>
      <c r="H1008">
        <f>IF(PNL!A1008="","",_CALC_PNL!P1008)</f>
        <v/>
      </c>
      <c r="I1008">
        <f>IF(PNL!A1008="","",IF(_CALC_PNL!E1008=1,H1008-G1008,""))</f>
        <v/>
      </c>
    </row>
    <row r="1009">
      <c r="A1009" s="1" t="inlineStr">
        <is>
          <t>PIGIER_LYO</t>
        </is>
      </c>
      <c r="B1009" s="1" t="inlineStr">
        <is>
          <t>7062</t>
        </is>
      </c>
      <c r="C1009" s="1" t="inlineStr">
        <is>
          <t>2027</t>
        </is>
      </c>
      <c r="D1009" s="1" t="inlineStr">
        <is>
          <t>V01</t>
        </is>
      </c>
      <c r="E1009" s="1" t="inlineStr">
        <is>
          <t>2027BUD_V1</t>
        </is>
      </c>
      <c r="F1009" s="1" t="inlineStr">
        <is>
          <t>12</t>
        </is>
      </c>
      <c r="G1009" t="n">
        <v>1642320.798222129</v>
      </c>
      <c r="H1009">
        <f>IF(PNL!A1009="","",_CALC_PNL!P1009)</f>
        <v/>
      </c>
      <c r="I1009">
        <f>IF(PNL!A1009="","",IF(_CALC_PNL!E1009=1,H1009-G1009,""))</f>
        <v/>
      </c>
    </row>
    <row r="1010">
      <c r="A1010" s="1" t="inlineStr">
        <is>
          <t>PIGIER_LYO</t>
        </is>
      </c>
      <c r="B1010" s="1" t="inlineStr">
        <is>
          <t>7062</t>
        </is>
      </c>
      <c r="C1010" s="1" t="inlineStr">
        <is>
          <t>2027</t>
        </is>
      </c>
      <c r="D1010" s="1" t="inlineStr">
        <is>
          <t>V02</t>
        </is>
      </c>
      <c r="E1010" s="1" t="inlineStr">
        <is>
          <t>2027BUD_V1</t>
        </is>
      </c>
      <c r="F1010" s="1" t="inlineStr">
        <is>
          <t>12</t>
        </is>
      </c>
      <c r="G1010" t="n">
        <v>1817349.193806659</v>
      </c>
      <c r="H1010">
        <f>IF(PNL!A1010="","",_CALC_PNL!P1010)</f>
        <v/>
      </c>
      <c r="I1010">
        <f>IF(PNL!A1010="","",IF(_CALC_PNL!E1010=1,H1010-G1010,""))</f>
        <v/>
      </c>
    </row>
    <row r="1011">
      <c r="A1011" s="1" t="inlineStr">
        <is>
          <t>PIGIER_LYO</t>
        </is>
      </c>
      <c r="B1011" s="1" t="inlineStr">
        <is>
          <t>7062</t>
        </is>
      </c>
      <c r="C1011" s="1" t="inlineStr">
        <is>
          <t>2027</t>
        </is>
      </c>
      <c r="D1011" s="1" t="inlineStr">
        <is>
          <t>V03</t>
        </is>
      </c>
      <c r="E1011" s="1" t="inlineStr">
        <is>
          <t>2027BUD_V1</t>
        </is>
      </c>
      <c r="F1011" s="1" t="inlineStr">
        <is>
          <t>12</t>
        </is>
      </c>
      <c r="G1011" t="n">
        <v>1535212.895913476</v>
      </c>
      <c r="H1011">
        <f>IF(PNL!A1011="","",_CALC_PNL!P1011)</f>
        <v/>
      </c>
      <c r="I1011">
        <f>IF(PNL!A1011="","",IF(_CALC_PNL!E1011=1,H1011-G1011,""))</f>
        <v/>
      </c>
    </row>
    <row r="1012">
      <c r="A1012" s="1" t="inlineStr">
        <is>
          <t>MBWAY_PAR</t>
        </is>
      </c>
      <c r="B1012" s="1" t="inlineStr">
        <is>
          <t>7062</t>
        </is>
      </c>
      <c r="C1012" s="1" t="inlineStr">
        <is>
          <t>2027</t>
        </is>
      </c>
      <c r="D1012" s="1" t="inlineStr">
        <is>
          <t>V01</t>
        </is>
      </c>
      <c r="E1012" s="1" t="inlineStr">
        <is>
          <t>2027BUD_V1</t>
        </is>
      </c>
      <c r="F1012" s="1" t="inlineStr">
        <is>
          <t>12</t>
        </is>
      </c>
      <c r="G1012" t="n">
        <v>2590703.230998287</v>
      </c>
      <c r="H1012">
        <f>IF(PNL!A1012="","",_CALC_PNL!P1012)</f>
        <v/>
      </c>
      <c r="I1012">
        <f>IF(PNL!A1012="","",IF(_CALC_PNL!E1012=1,H1012-G1012,""))</f>
        <v/>
      </c>
    </row>
    <row r="1013">
      <c r="A1013" s="1" t="inlineStr">
        <is>
          <t>MBWAY_PAR</t>
        </is>
      </c>
      <c r="B1013" s="1" t="inlineStr">
        <is>
          <t>7062</t>
        </is>
      </c>
      <c r="C1013" s="1" t="inlineStr">
        <is>
          <t>2027</t>
        </is>
      </c>
      <c r="D1013" s="1" t="inlineStr">
        <is>
          <t>V02</t>
        </is>
      </c>
      <c r="E1013" s="1" t="inlineStr">
        <is>
          <t>2027BUD_V1</t>
        </is>
      </c>
      <c r="F1013" s="1" t="inlineStr">
        <is>
          <t>12</t>
        </is>
      </c>
      <c r="G1013" t="n">
        <v>2866804.36206121</v>
      </c>
      <c r="H1013">
        <f>IF(PNL!A1013="","",_CALC_PNL!P1013)</f>
        <v/>
      </c>
      <c r="I1013">
        <f>IF(PNL!A1013="","",IF(_CALC_PNL!E1013=1,H1013-G1013,""))</f>
        <v/>
      </c>
    </row>
    <row r="1014">
      <c r="A1014" s="1" t="inlineStr">
        <is>
          <t>MBWAY_PAR</t>
        </is>
      </c>
      <c r="B1014" s="1" t="inlineStr">
        <is>
          <t>7062</t>
        </is>
      </c>
      <c r="C1014" s="1" t="inlineStr">
        <is>
          <t>2027</t>
        </is>
      </c>
      <c r="D1014" s="1" t="inlineStr">
        <is>
          <t>V03</t>
        </is>
      </c>
      <c r="E1014" s="1" t="inlineStr">
        <is>
          <t>2027BUD_V1</t>
        </is>
      </c>
      <c r="F1014" s="1" t="inlineStr">
        <is>
          <t>12</t>
        </is>
      </c>
      <c r="G1014" t="n">
        <v>2421744.286511398</v>
      </c>
      <c r="H1014">
        <f>IF(PNL!A1014="","",_CALC_PNL!P1014)</f>
        <v/>
      </c>
      <c r="I1014">
        <f>IF(PNL!A1014="","",IF(_CALC_PNL!E1014=1,H1014-G1014,""))</f>
        <v/>
      </c>
    </row>
    <row r="1015">
      <c r="A1015" s="1" t="inlineStr">
        <is>
          <t>MBWAY_LYO</t>
        </is>
      </c>
      <c r="B1015" s="1" t="inlineStr">
        <is>
          <t>7062</t>
        </is>
      </c>
      <c r="C1015" s="1" t="inlineStr">
        <is>
          <t>2027</t>
        </is>
      </c>
      <c r="D1015" s="1" t="inlineStr">
        <is>
          <t>V01</t>
        </is>
      </c>
      <c r="E1015" s="1" t="inlineStr">
        <is>
          <t>2027BUD_V1</t>
        </is>
      </c>
      <c r="F1015" s="1" t="inlineStr">
        <is>
          <t>12</t>
        </is>
      </c>
      <c r="G1015" t="n">
        <v>2061437.541162116</v>
      </c>
      <c r="H1015">
        <f>IF(PNL!A1015="","",_CALC_PNL!P1015)</f>
        <v/>
      </c>
      <c r="I1015">
        <f>IF(PNL!A1015="","",IF(_CALC_PNL!E1015=1,H1015-G1015,""))</f>
        <v/>
      </c>
    </row>
    <row r="1016">
      <c r="A1016" s="1" t="inlineStr">
        <is>
          <t>MBWAY_LYO</t>
        </is>
      </c>
      <c r="B1016" s="1" t="inlineStr">
        <is>
          <t>7062</t>
        </is>
      </c>
      <c r="C1016" s="1" t="inlineStr">
        <is>
          <t>2027</t>
        </is>
      </c>
      <c r="D1016" s="1" t="inlineStr">
        <is>
          <t>V02</t>
        </is>
      </c>
      <c r="E1016" s="1" t="inlineStr">
        <is>
          <t>2027BUD_V1</t>
        </is>
      </c>
      <c r="F1016" s="1" t="inlineStr">
        <is>
          <t>12</t>
        </is>
      </c>
      <c r="G1016" t="n">
        <v>2281132.807652021</v>
      </c>
      <c r="H1016">
        <f>IF(PNL!A1016="","",_CALC_PNL!P1016)</f>
        <v/>
      </c>
      <c r="I1016">
        <f>IF(PNL!A1016="","",IF(_CALC_PNL!E1016=1,H1016-G1016,""))</f>
        <v/>
      </c>
    </row>
    <row r="1017">
      <c r="A1017" s="1" t="inlineStr">
        <is>
          <t>MBWAY_LYO</t>
        </is>
      </c>
      <c r="B1017" s="1" t="inlineStr">
        <is>
          <t>7062</t>
        </is>
      </c>
      <c r="C1017" s="1" t="inlineStr">
        <is>
          <t>2027</t>
        </is>
      </c>
      <c r="D1017" s="1" t="inlineStr">
        <is>
          <t>V03</t>
        </is>
      </c>
      <c r="E1017" s="1" t="inlineStr">
        <is>
          <t>2027BUD_V1</t>
        </is>
      </c>
      <c r="F1017" s="1" t="inlineStr">
        <is>
          <t>12</t>
        </is>
      </c>
      <c r="G1017" t="n">
        <v>1926995.932060409</v>
      </c>
      <c r="H1017">
        <f>IF(PNL!A1017="","",_CALC_PNL!P1017)</f>
        <v/>
      </c>
      <c r="I1017">
        <f>IF(PNL!A1017="","",IF(_CALC_PNL!E1017=1,H1017-G1017,""))</f>
        <v/>
      </c>
    </row>
    <row r="1018">
      <c r="A1018" s="1" t="inlineStr">
        <is>
          <t>MBWAY_NAN</t>
        </is>
      </c>
      <c r="B1018" s="1" t="inlineStr">
        <is>
          <t>7062</t>
        </is>
      </c>
      <c r="C1018" s="1" t="inlineStr">
        <is>
          <t>2027</t>
        </is>
      </c>
      <c r="D1018" s="1" t="inlineStr">
        <is>
          <t>V01</t>
        </is>
      </c>
      <c r="E1018" s="1" t="inlineStr">
        <is>
          <t>2027BUD_V1</t>
        </is>
      </c>
      <c r="F1018" s="1" t="inlineStr">
        <is>
          <t>12</t>
        </is>
      </c>
      <c r="G1018" t="n">
        <v>1780741.308155002</v>
      </c>
      <c r="H1018">
        <f>IF(PNL!A1018="","",_CALC_PNL!P1018)</f>
        <v/>
      </c>
      <c r="I1018">
        <f>IF(PNL!A1018="","",IF(_CALC_PNL!E1018=1,H1018-G1018,""))</f>
        <v/>
      </c>
    </row>
    <row r="1019">
      <c r="A1019" s="1" t="inlineStr">
        <is>
          <t>MBWAY_NAN</t>
        </is>
      </c>
      <c r="B1019" s="1" t="inlineStr">
        <is>
          <t>7062</t>
        </is>
      </c>
      <c r="C1019" s="1" t="inlineStr">
        <is>
          <t>2027</t>
        </is>
      </c>
      <c r="D1019" s="1" t="inlineStr">
        <is>
          <t>V02</t>
        </is>
      </c>
      <c r="E1019" s="1" t="inlineStr">
        <is>
          <t>2027BUD_V1</t>
        </is>
      </c>
      <c r="F1019" s="1" t="inlineStr">
        <is>
          <t>12</t>
        </is>
      </c>
      <c r="G1019" t="n">
        <v>1970521.705781869</v>
      </c>
      <c r="H1019">
        <f>IF(PNL!A1019="","",_CALC_PNL!P1019)</f>
        <v/>
      </c>
      <c r="I1019">
        <f>IF(PNL!A1019="","",IF(_CALC_PNL!E1019=1,H1019-G1019,""))</f>
        <v/>
      </c>
    </row>
    <row r="1020">
      <c r="A1020" s="1" t="inlineStr">
        <is>
          <t>MBWAY_NAN</t>
        </is>
      </c>
      <c r="B1020" s="1" t="inlineStr">
        <is>
          <t>7062</t>
        </is>
      </c>
      <c r="C1020" s="1" t="inlineStr">
        <is>
          <t>2027</t>
        </is>
      </c>
      <c r="D1020" s="1" t="inlineStr">
        <is>
          <t>V03</t>
        </is>
      </c>
      <c r="E1020" s="1" t="inlineStr">
        <is>
          <t>2027BUD_V1</t>
        </is>
      </c>
      <c r="F1020" s="1" t="inlineStr">
        <is>
          <t>12</t>
        </is>
      </c>
      <c r="G1020" t="n">
        <v>1664605.979248906</v>
      </c>
      <c r="H1020">
        <f>IF(PNL!A1020="","",_CALC_PNL!P1020)</f>
        <v/>
      </c>
      <c r="I1020">
        <f>IF(PNL!A1020="","",IF(_CALC_PNL!E1020=1,H1020-G1020,""))</f>
        <v/>
      </c>
    </row>
    <row r="1021">
      <c r="A1021" s="1" t="inlineStr">
        <is>
          <t>MBWAY_BOR</t>
        </is>
      </c>
      <c r="B1021" s="1" t="inlineStr">
        <is>
          <t>7062</t>
        </is>
      </c>
      <c r="C1021" s="1" t="inlineStr">
        <is>
          <t>2027</t>
        </is>
      </c>
      <c r="D1021" s="1" t="inlineStr">
        <is>
          <t>V01</t>
        </is>
      </c>
      <c r="E1021" s="1" t="inlineStr">
        <is>
          <t>2027BUD_V1</t>
        </is>
      </c>
      <c r="F1021" s="1" t="inlineStr">
        <is>
          <t>12</t>
        </is>
      </c>
      <c r="G1021" t="n">
        <v>1461734.222379806</v>
      </c>
      <c r="H1021">
        <f>IF(PNL!A1021="","",_CALC_PNL!P1021)</f>
        <v/>
      </c>
      <c r="I1021">
        <f>IF(PNL!A1021="","",IF(_CALC_PNL!E1021=1,H1021-G1021,""))</f>
        <v/>
      </c>
    </row>
    <row r="1022">
      <c r="A1022" s="1" t="inlineStr">
        <is>
          <t>MBWAY_BOR</t>
        </is>
      </c>
      <c r="B1022" s="1" t="inlineStr">
        <is>
          <t>7062</t>
        </is>
      </c>
      <c r="C1022" s="1" t="inlineStr">
        <is>
          <t>2027</t>
        </is>
      </c>
      <c r="D1022" s="1" t="inlineStr">
        <is>
          <t>V02</t>
        </is>
      </c>
      <c r="E1022" s="1" t="inlineStr">
        <is>
          <t>2027BUD_V1</t>
        </is>
      </c>
      <c r="F1022" s="1" t="inlineStr">
        <is>
          <t>12</t>
        </is>
      </c>
      <c r="G1022" t="n">
        <v>1617516.817346088</v>
      </c>
      <c r="H1022">
        <f>IF(PNL!A1022="","",_CALC_PNL!P1022)</f>
        <v/>
      </c>
      <c r="I1022">
        <f>IF(PNL!A1022="","",IF(_CALC_PNL!E1022=1,H1022-G1022,""))</f>
        <v/>
      </c>
    </row>
    <row r="1023">
      <c r="A1023" s="1" t="inlineStr">
        <is>
          <t>MBWAY_BOR</t>
        </is>
      </c>
      <c r="B1023" s="1" t="inlineStr">
        <is>
          <t>7062</t>
        </is>
      </c>
      <c r="C1023" s="1" t="inlineStr">
        <is>
          <t>2027</t>
        </is>
      </c>
      <c r="D1023" s="1" t="inlineStr">
        <is>
          <t>V03</t>
        </is>
      </c>
      <c r="E1023" s="1" t="inlineStr">
        <is>
          <t>2027BUD_V1</t>
        </is>
      </c>
      <c r="F1023" s="1" t="inlineStr">
        <is>
          <t>12</t>
        </is>
      </c>
      <c r="G1023" t="n">
        <v>1366403.708109174</v>
      </c>
      <c r="H1023">
        <f>IF(PNL!A1023="","",_CALC_PNL!P1023)</f>
        <v/>
      </c>
      <c r="I1023">
        <f>IF(PNL!A1023="","",IF(_CALC_PNL!E1023=1,H1023-G1023,""))</f>
        <v/>
      </c>
    </row>
    <row r="1024">
      <c r="A1024" s="1" t="inlineStr">
        <is>
          <t>ISCOM_PAR</t>
        </is>
      </c>
      <c r="B1024" s="1" t="inlineStr">
        <is>
          <t>7062</t>
        </is>
      </c>
      <c r="C1024" s="1" t="inlineStr">
        <is>
          <t>2027</t>
        </is>
      </c>
      <c r="D1024" s="1" t="inlineStr">
        <is>
          <t>V01</t>
        </is>
      </c>
      <c r="E1024" s="1" t="inlineStr">
        <is>
          <t>2027BUD_V1</t>
        </is>
      </c>
      <c r="F1024" s="1" t="inlineStr">
        <is>
          <t>12</t>
        </is>
      </c>
      <c r="G1024" t="n">
        <v>2403303.156012244</v>
      </c>
      <c r="H1024">
        <f>IF(PNL!A1024="","",_CALC_PNL!P1024)</f>
        <v/>
      </c>
      <c r="I1024">
        <f>IF(PNL!A1024="","",IF(_CALC_PNL!E1024=1,H1024-G1024,""))</f>
        <v/>
      </c>
    </row>
    <row r="1025">
      <c r="A1025" s="1" t="inlineStr">
        <is>
          <t>ISCOM_PAR</t>
        </is>
      </c>
      <c r="B1025" s="1" t="inlineStr">
        <is>
          <t>7062</t>
        </is>
      </c>
      <c r="C1025" s="1" t="inlineStr">
        <is>
          <t>2027</t>
        </is>
      </c>
      <c r="D1025" s="1" t="inlineStr">
        <is>
          <t>V02</t>
        </is>
      </c>
      <c r="E1025" s="1" t="inlineStr">
        <is>
          <t>2027BUD_V1</t>
        </is>
      </c>
      <c r="F1025" s="1" t="inlineStr">
        <is>
          <t>12</t>
        </is>
      </c>
      <c r="G1025" t="n">
        <v>2659432.345848618</v>
      </c>
      <c r="H1025">
        <f>IF(PNL!A1025="","",_CALC_PNL!P1025)</f>
        <v/>
      </c>
      <c r="I1025">
        <f>IF(PNL!A1025="","",IF(_CALC_PNL!E1025=1,H1025-G1025,""))</f>
        <v/>
      </c>
    </row>
    <row r="1026">
      <c r="A1026" s="1" t="inlineStr">
        <is>
          <t>ISCOM_PAR</t>
        </is>
      </c>
      <c r="B1026" s="1" t="inlineStr">
        <is>
          <t>7062</t>
        </is>
      </c>
      <c r="C1026" s="1" t="inlineStr">
        <is>
          <t>2027</t>
        </is>
      </c>
      <c r="D1026" s="1" t="inlineStr">
        <is>
          <t>V03</t>
        </is>
      </c>
      <c r="E1026" s="1" t="inlineStr">
        <is>
          <t>2027BUD_V1</t>
        </is>
      </c>
      <c r="F1026" s="1" t="inlineStr">
        <is>
          <t>12</t>
        </is>
      </c>
      <c r="G1026" t="n">
        <v>2246565.958303431</v>
      </c>
      <c r="H1026">
        <f>IF(PNL!A1026="","",_CALC_PNL!P1026)</f>
        <v/>
      </c>
      <c r="I1026">
        <f>IF(PNL!A1026="","",IF(_CALC_PNL!E1026=1,H1026-G1026,""))</f>
        <v/>
      </c>
    </row>
    <row r="1027">
      <c r="A1027" s="1" t="inlineStr">
        <is>
          <t>ISCOM_LIL</t>
        </is>
      </c>
      <c r="B1027" s="1" t="inlineStr">
        <is>
          <t>7062</t>
        </is>
      </c>
      <c r="C1027" s="1" t="inlineStr">
        <is>
          <t>2027</t>
        </is>
      </c>
      <c r="D1027" s="1" t="inlineStr">
        <is>
          <t>V01</t>
        </is>
      </c>
      <c r="E1027" s="1" t="inlineStr">
        <is>
          <t>2027BUD_V1</t>
        </is>
      </c>
      <c r="F1027" s="1" t="inlineStr">
        <is>
          <t>12</t>
        </is>
      </c>
      <c r="G1027" t="n">
        <v>1446989.99905956</v>
      </c>
      <c r="H1027">
        <f>IF(PNL!A1027="","",_CALC_PNL!P1027)</f>
        <v/>
      </c>
      <c r="I1027">
        <f>IF(PNL!A1027="","",IF(_CALC_PNL!E1027=1,H1027-G1027,""))</f>
        <v/>
      </c>
    </row>
    <row r="1028">
      <c r="A1028" s="1" t="inlineStr">
        <is>
          <t>ISCOM_LIL</t>
        </is>
      </c>
      <c r="B1028" s="1" t="inlineStr">
        <is>
          <t>7062</t>
        </is>
      </c>
      <c r="C1028" s="1" t="inlineStr">
        <is>
          <t>2027</t>
        </is>
      </c>
      <c r="D1028" s="1" t="inlineStr">
        <is>
          <t>V02</t>
        </is>
      </c>
      <c r="E1028" s="1" t="inlineStr">
        <is>
          <t>2027BUD_V1</t>
        </is>
      </c>
      <c r="F1028" s="1" t="inlineStr">
        <is>
          <t>12</t>
        </is>
      </c>
      <c r="G1028" t="n">
        <v>1601201.245873473</v>
      </c>
      <c r="H1028">
        <f>IF(PNL!A1028="","",_CALC_PNL!P1028)</f>
        <v/>
      </c>
      <c r="I1028">
        <f>IF(PNL!A1028="","",IF(_CALC_PNL!E1028=1,H1028-G1028,""))</f>
        <v/>
      </c>
    </row>
    <row r="1029">
      <c r="A1029" s="1" t="inlineStr">
        <is>
          <t>ISCOM_LIL</t>
        </is>
      </c>
      <c r="B1029" s="1" t="inlineStr">
        <is>
          <t>7062</t>
        </is>
      </c>
      <c r="C1029" s="1" t="inlineStr">
        <is>
          <t>2027</t>
        </is>
      </c>
      <c r="D1029" s="1" t="inlineStr">
        <is>
          <t>V03</t>
        </is>
      </c>
      <c r="E1029" s="1" t="inlineStr">
        <is>
          <t>2027BUD_V1</t>
        </is>
      </c>
      <c r="F1029" s="1" t="inlineStr">
        <is>
          <t>12</t>
        </is>
      </c>
      <c r="G1029" t="n">
        <v>1352621.064787616</v>
      </c>
      <c r="H1029">
        <f>IF(PNL!A1029="","",_CALC_PNL!P1029)</f>
        <v/>
      </c>
      <c r="I1029">
        <f>IF(PNL!A1029="","",IF(_CALC_PNL!E1029=1,H1029-G1029,""))</f>
        <v/>
      </c>
    </row>
    <row r="1030">
      <c r="A1030" s="1" t="inlineStr">
        <is>
          <t>ISCOM_TLS</t>
        </is>
      </c>
      <c r="B1030" s="1" t="inlineStr">
        <is>
          <t>7062</t>
        </is>
      </c>
      <c r="C1030" s="1" t="inlineStr">
        <is>
          <t>2027</t>
        </is>
      </c>
      <c r="D1030" s="1" t="inlineStr">
        <is>
          <t>V01</t>
        </is>
      </c>
      <c r="E1030" s="1" t="inlineStr">
        <is>
          <t>2027BUD_V1</t>
        </is>
      </c>
      <c r="F1030" s="1" t="inlineStr">
        <is>
          <t>12</t>
        </is>
      </c>
      <c r="G1030" t="n">
        <v>1343943.036644204</v>
      </c>
      <c r="H1030">
        <f>IF(PNL!A1030="","",_CALC_PNL!P1030)</f>
        <v/>
      </c>
      <c r="I1030">
        <f>IF(PNL!A1030="","",IF(_CALC_PNL!E1030=1,H1030-G1030,""))</f>
        <v/>
      </c>
    </row>
    <row r="1031">
      <c r="A1031" s="1" t="inlineStr">
        <is>
          <t>ISCOM_TLS</t>
        </is>
      </c>
      <c r="B1031" s="1" t="inlineStr">
        <is>
          <t>7062</t>
        </is>
      </c>
      <c r="C1031" s="1" t="inlineStr">
        <is>
          <t>2027</t>
        </is>
      </c>
      <c r="D1031" s="1" t="inlineStr">
        <is>
          <t>V02</t>
        </is>
      </c>
      <c r="E1031" s="1" t="inlineStr">
        <is>
          <t>2027BUD_V1</t>
        </is>
      </c>
      <c r="F1031" s="1" t="inlineStr">
        <is>
          <t>12</t>
        </is>
      </c>
      <c r="G1031" t="n">
        <v>1487172.17538219</v>
      </c>
      <c r="H1031">
        <f>IF(PNL!A1031="","",_CALC_PNL!P1031)</f>
        <v/>
      </c>
      <c r="I1031">
        <f>IF(PNL!A1031="","",IF(_CALC_PNL!E1031=1,H1031-G1031,""))</f>
        <v/>
      </c>
    </row>
    <row r="1032">
      <c r="A1032" s="1" t="inlineStr">
        <is>
          <t>ISCOM_TLS</t>
        </is>
      </c>
      <c r="B1032" s="1" t="inlineStr">
        <is>
          <t>7062</t>
        </is>
      </c>
      <c r="C1032" s="1" t="inlineStr">
        <is>
          <t>2027</t>
        </is>
      </c>
      <c r="D1032" s="1" t="inlineStr">
        <is>
          <t>V03</t>
        </is>
      </c>
      <c r="E1032" s="1" t="inlineStr">
        <is>
          <t>2027BUD_V1</t>
        </is>
      </c>
      <c r="F1032" s="1" t="inlineStr">
        <is>
          <t>12</t>
        </is>
      </c>
      <c r="G1032" t="n">
        <v>1256294.557958974</v>
      </c>
      <c r="H1032">
        <f>IF(PNL!A1032="","",_CALC_PNL!P1032)</f>
        <v/>
      </c>
      <c r="I1032">
        <f>IF(PNL!A1032="","",IF(_CALC_PNL!E1032=1,H1032-G1032,""))</f>
        <v/>
      </c>
    </row>
    <row r="1033">
      <c r="A1033" s="1" t="inlineStr">
        <is>
          <t>IPAC_NAN</t>
        </is>
      </c>
      <c r="B1033" s="1" t="inlineStr">
        <is>
          <t>7062</t>
        </is>
      </c>
      <c r="C1033" s="1" t="inlineStr">
        <is>
          <t>2027</t>
        </is>
      </c>
      <c r="D1033" s="1" t="inlineStr">
        <is>
          <t>V01</t>
        </is>
      </c>
      <c r="E1033" s="1" t="inlineStr">
        <is>
          <t>2027BUD_V1</t>
        </is>
      </c>
      <c r="F1033" s="1" t="inlineStr">
        <is>
          <t>12</t>
        </is>
      </c>
      <c r="G1033" t="n">
        <v>1064773.153329795</v>
      </c>
      <c r="H1033">
        <f>IF(PNL!A1033="","",_CALC_PNL!P1033)</f>
        <v/>
      </c>
      <c r="I1033">
        <f>IF(PNL!A1033="","",IF(_CALC_PNL!E1033=1,H1033-G1033,""))</f>
        <v/>
      </c>
    </row>
    <row r="1034">
      <c r="A1034" s="1" t="inlineStr">
        <is>
          <t>IPAC_NAN</t>
        </is>
      </c>
      <c r="B1034" s="1" t="inlineStr">
        <is>
          <t>7062</t>
        </is>
      </c>
      <c r="C1034" s="1" t="inlineStr">
        <is>
          <t>2027</t>
        </is>
      </c>
      <c r="D1034" s="1" t="inlineStr">
        <is>
          <t>V02</t>
        </is>
      </c>
      <c r="E1034" s="1" t="inlineStr">
        <is>
          <t>2027BUD_V1</t>
        </is>
      </c>
      <c r="F1034" s="1" t="inlineStr">
        <is>
          <t>12</t>
        </is>
      </c>
      <c r="G1034" t="n">
        <v>1178250.092116994</v>
      </c>
      <c r="H1034">
        <f>IF(PNL!A1034="","",_CALC_PNL!P1034)</f>
        <v/>
      </c>
      <c r="I1034">
        <f>IF(PNL!A1034="","",IF(_CALC_PNL!E1034=1,H1034-G1034,""))</f>
        <v/>
      </c>
    </row>
    <row r="1035">
      <c r="A1035" s="1" t="inlineStr">
        <is>
          <t>IPAC_NAN</t>
        </is>
      </c>
      <c r="B1035" s="1" t="inlineStr">
        <is>
          <t>7062</t>
        </is>
      </c>
      <c r="C1035" s="1" t="inlineStr">
        <is>
          <t>2027</t>
        </is>
      </c>
      <c r="D1035" s="1" t="inlineStr">
        <is>
          <t>V03</t>
        </is>
      </c>
      <c r="E1035" s="1" t="inlineStr">
        <is>
          <t>2027BUD_V1</t>
        </is>
      </c>
      <c r="F1035" s="1" t="inlineStr">
        <is>
          <t>12</t>
        </is>
      </c>
      <c r="G1035" t="n">
        <v>995331.410272542</v>
      </c>
      <c r="H1035">
        <f>IF(PNL!A1035="","",_CALC_PNL!P1035)</f>
        <v/>
      </c>
      <c r="I1035">
        <f>IF(PNL!A1035="","",IF(_CALC_PNL!E1035=1,H1035-G1035,""))</f>
        <v/>
      </c>
    </row>
    <row r="1036">
      <c r="A1036" s="1" t="inlineStr">
        <is>
          <t>IPAC_REN</t>
        </is>
      </c>
      <c r="B1036" s="1" t="inlineStr">
        <is>
          <t>7062</t>
        </is>
      </c>
      <c r="C1036" s="1" t="inlineStr">
        <is>
          <t>2027</t>
        </is>
      </c>
      <c r="D1036" s="1" t="inlineStr">
        <is>
          <t>V01</t>
        </is>
      </c>
      <c r="E1036" s="1" t="inlineStr">
        <is>
          <t>2027BUD_V1</t>
        </is>
      </c>
      <c r="F1036" s="1" t="inlineStr">
        <is>
          <t>12</t>
        </is>
      </c>
      <c r="G1036" t="n">
        <v>816203.6965007361</v>
      </c>
      <c r="H1036">
        <f>IF(PNL!A1036="","",_CALC_PNL!P1036)</f>
        <v/>
      </c>
      <c r="I1036">
        <f>IF(PNL!A1036="","",IF(_CALC_PNL!E1036=1,H1036-G1036,""))</f>
        <v/>
      </c>
    </row>
    <row r="1037">
      <c r="A1037" s="1" t="inlineStr">
        <is>
          <t>IPAC_REN</t>
        </is>
      </c>
      <c r="B1037" s="1" t="inlineStr">
        <is>
          <t>7062</t>
        </is>
      </c>
      <c r="C1037" s="1" t="inlineStr">
        <is>
          <t>2027</t>
        </is>
      </c>
      <c r="D1037" s="1" t="inlineStr">
        <is>
          <t>V02</t>
        </is>
      </c>
      <c r="E1037" s="1" t="inlineStr">
        <is>
          <t>2027BUD_V1</t>
        </is>
      </c>
      <c r="F1037" s="1" t="inlineStr">
        <is>
          <t>12</t>
        </is>
      </c>
      <c r="G1037" t="n">
        <v>903189.639577958</v>
      </c>
      <c r="H1037">
        <f>IF(PNL!A1037="","",_CALC_PNL!P1037)</f>
        <v/>
      </c>
      <c r="I1037">
        <f>IF(PNL!A1037="","",IF(_CALC_PNL!E1037=1,H1037-G1037,""))</f>
        <v/>
      </c>
    </row>
    <row r="1038">
      <c r="A1038" s="1" t="inlineStr">
        <is>
          <t>IPAC_REN</t>
        </is>
      </c>
      <c r="B1038" s="1" t="inlineStr">
        <is>
          <t>7062</t>
        </is>
      </c>
      <c r="C1038" s="1" t="inlineStr">
        <is>
          <t>2027</t>
        </is>
      </c>
      <c r="D1038" s="1" t="inlineStr">
        <is>
          <t>V03</t>
        </is>
      </c>
      <c r="E1038" s="1" t="inlineStr">
        <is>
          <t>2027BUD_V1</t>
        </is>
      </c>
      <c r="F1038" s="1" t="inlineStr">
        <is>
          <t>12</t>
        </is>
      </c>
      <c r="G1038" t="n">
        <v>762973.008633055</v>
      </c>
      <c r="H1038">
        <f>IF(PNL!A1038="","",_CALC_PNL!P1038)</f>
        <v/>
      </c>
      <c r="I1038">
        <f>IF(PNL!A1038="","",IF(_CALC_PNL!E1038=1,H1038-G1038,""))</f>
        <v/>
      </c>
    </row>
    <row r="1039">
      <c r="A1039" s="1" t="inlineStr">
        <is>
          <t>IPAC_MTP</t>
        </is>
      </c>
      <c r="B1039" s="1" t="inlineStr">
        <is>
          <t>7062</t>
        </is>
      </c>
      <c r="C1039" s="1" t="inlineStr">
        <is>
          <t>2027</t>
        </is>
      </c>
      <c r="D1039" s="1" t="inlineStr">
        <is>
          <t>V01</t>
        </is>
      </c>
      <c r="E1039" s="1" t="inlineStr">
        <is>
          <t>2027BUD_V1</t>
        </is>
      </c>
      <c r="F1039" s="1" t="inlineStr">
        <is>
          <t>12</t>
        </is>
      </c>
      <c r="G1039" t="n">
        <v>816203.6965007361</v>
      </c>
      <c r="H1039">
        <f>IF(PNL!A1039="","",_CALC_PNL!P1039)</f>
        <v/>
      </c>
      <c r="I1039">
        <f>IF(PNL!A1039="","",IF(_CALC_PNL!E1039=1,H1039-G1039,""))</f>
        <v/>
      </c>
    </row>
    <row r="1040">
      <c r="A1040" s="1" t="inlineStr">
        <is>
          <t>IPAC_MTP</t>
        </is>
      </c>
      <c r="B1040" s="1" t="inlineStr">
        <is>
          <t>7062</t>
        </is>
      </c>
      <c r="C1040" s="1" t="inlineStr">
        <is>
          <t>2027</t>
        </is>
      </c>
      <c r="D1040" s="1" t="inlineStr">
        <is>
          <t>V02</t>
        </is>
      </c>
      <c r="E1040" s="1" t="inlineStr">
        <is>
          <t>2027BUD_V1</t>
        </is>
      </c>
      <c r="F1040" s="1" t="inlineStr">
        <is>
          <t>12</t>
        </is>
      </c>
      <c r="G1040" t="n">
        <v>903189.639577958</v>
      </c>
      <c r="H1040">
        <f>IF(PNL!A1040="","",_CALC_PNL!P1040)</f>
        <v/>
      </c>
      <c r="I1040">
        <f>IF(PNL!A1040="","",IF(_CALC_PNL!E1040=1,H1040-G1040,""))</f>
        <v/>
      </c>
    </row>
    <row r="1041">
      <c r="A1041" s="1" t="inlineStr">
        <is>
          <t>IPAC_MTP</t>
        </is>
      </c>
      <c r="B1041" s="1" t="inlineStr">
        <is>
          <t>7062</t>
        </is>
      </c>
      <c r="C1041" s="1" t="inlineStr">
        <is>
          <t>2027</t>
        </is>
      </c>
      <c r="D1041" s="1" t="inlineStr">
        <is>
          <t>V03</t>
        </is>
      </c>
      <c r="E1041" s="1" t="inlineStr">
        <is>
          <t>2027BUD_V1</t>
        </is>
      </c>
      <c r="F1041" s="1" t="inlineStr">
        <is>
          <t>12</t>
        </is>
      </c>
      <c r="G1041" t="n">
        <v>762973.008633055</v>
      </c>
      <c r="H1041">
        <f>IF(PNL!A1041="","",_CALC_PNL!P1041)</f>
        <v/>
      </c>
      <c r="I1041">
        <f>IF(PNL!A1041="","",IF(_CALC_PNL!E1041=1,H1041-G1041,""))</f>
        <v/>
      </c>
    </row>
    <row r="1042">
      <c r="A1042" s="1" t="inlineStr">
        <is>
          <t>TUNON_PAR</t>
        </is>
      </c>
      <c r="B1042" s="1" t="inlineStr">
        <is>
          <t>7062</t>
        </is>
      </c>
      <c r="C1042" s="1" t="inlineStr">
        <is>
          <t>2027</t>
        </is>
      </c>
      <c r="D1042" s="1" t="inlineStr">
        <is>
          <t>V01</t>
        </is>
      </c>
      <c r="E1042" s="1" t="inlineStr">
        <is>
          <t>2027BUD_V1</t>
        </is>
      </c>
      <c r="F1042" s="1" t="inlineStr">
        <is>
          <t>12</t>
        </is>
      </c>
      <c r="G1042" t="n">
        <v>1134974.748818297</v>
      </c>
      <c r="H1042">
        <f>IF(PNL!A1042="","",_CALC_PNL!P1042)</f>
        <v/>
      </c>
      <c r="I1042">
        <f>IF(PNL!A1042="","",IF(_CALC_PNL!E1042=1,H1042-G1042,""))</f>
        <v/>
      </c>
    </row>
    <row r="1043">
      <c r="A1043" s="1" t="inlineStr">
        <is>
          <t>TUNON_PAR</t>
        </is>
      </c>
      <c r="B1043" s="1" t="inlineStr">
        <is>
          <t>7062</t>
        </is>
      </c>
      <c r="C1043" s="1" t="inlineStr">
        <is>
          <t>2027</t>
        </is>
      </c>
      <c r="D1043" s="1" t="inlineStr">
        <is>
          <t>V02</t>
        </is>
      </c>
      <c r="E1043" s="1" t="inlineStr">
        <is>
          <t>2027BUD_V1</t>
        </is>
      </c>
      <c r="F1043" s="1" t="inlineStr">
        <is>
          <t>12</t>
        </is>
      </c>
      <c r="G1043" t="n">
        <v>1255933.339569673</v>
      </c>
      <c r="H1043">
        <f>IF(PNL!A1043="","",_CALC_PNL!P1043)</f>
        <v/>
      </c>
      <c r="I1043">
        <f>IF(PNL!A1043="","",IF(_CALC_PNL!E1043=1,H1043-G1043,""))</f>
        <v/>
      </c>
    </row>
    <row r="1044">
      <c r="A1044" s="1" t="inlineStr">
        <is>
          <t>TUNON_PAR</t>
        </is>
      </c>
      <c r="B1044" s="1" t="inlineStr">
        <is>
          <t>7062</t>
        </is>
      </c>
      <c r="C1044" s="1" t="inlineStr">
        <is>
          <t>2027</t>
        </is>
      </c>
      <c r="D1044" s="1" t="inlineStr">
        <is>
          <t>V03</t>
        </is>
      </c>
      <c r="E1044" s="1" t="inlineStr">
        <is>
          <t>2027BUD_V1</t>
        </is>
      </c>
      <c r="F1044" s="1" t="inlineStr">
        <is>
          <t>12</t>
        </is>
      </c>
      <c r="G1044" t="n">
        <v>1060954.639804994</v>
      </c>
      <c r="H1044">
        <f>IF(PNL!A1044="","",_CALC_PNL!P1044)</f>
        <v/>
      </c>
      <c r="I1044">
        <f>IF(PNL!A1044="","",IF(_CALC_PNL!E1044=1,H1044-G1044,""))</f>
        <v/>
      </c>
    </row>
    <row r="1045">
      <c r="A1045" s="1" t="inlineStr">
        <is>
          <t>TUNON_LYO</t>
        </is>
      </c>
      <c r="B1045" s="1" t="inlineStr">
        <is>
          <t>7062</t>
        </is>
      </c>
      <c r="C1045" s="1" t="inlineStr">
        <is>
          <t>2027</t>
        </is>
      </c>
      <c r="D1045" s="1" t="inlineStr">
        <is>
          <t>V01</t>
        </is>
      </c>
      <c r="E1045" s="1" t="inlineStr">
        <is>
          <t>2027BUD_V1</t>
        </is>
      </c>
      <c r="F1045" s="1" t="inlineStr">
        <is>
          <t>12</t>
        </is>
      </c>
      <c r="G1045" t="n">
        <v>902119.875079761</v>
      </c>
      <c r="H1045">
        <f>IF(PNL!A1045="","",_CALC_PNL!P1045)</f>
        <v/>
      </c>
      <c r="I1045">
        <f>IF(PNL!A1045="","",IF(_CALC_PNL!E1045=1,H1045-G1045,""))</f>
        <v/>
      </c>
    </row>
    <row r="1046">
      <c r="A1046" s="1" t="inlineStr">
        <is>
          <t>TUNON_LYO</t>
        </is>
      </c>
      <c r="B1046" s="1" t="inlineStr">
        <is>
          <t>7062</t>
        </is>
      </c>
      <c r="C1046" s="1" t="inlineStr">
        <is>
          <t>2027</t>
        </is>
      </c>
      <c r="D1046" s="1" t="inlineStr">
        <is>
          <t>V02</t>
        </is>
      </c>
      <c r="E1046" s="1" t="inlineStr">
        <is>
          <t>2027BUD_V1</t>
        </is>
      </c>
      <c r="F1046" s="1" t="inlineStr">
        <is>
          <t>12</t>
        </is>
      </c>
      <c r="G1046" t="n">
        <v>998262.2332177419</v>
      </c>
      <c r="H1046">
        <f>IF(PNL!A1046="","",_CALC_PNL!P1046)</f>
        <v/>
      </c>
      <c r="I1046">
        <f>IF(PNL!A1046="","",IF(_CALC_PNL!E1046=1,H1046-G1046,""))</f>
        <v/>
      </c>
    </row>
    <row r="1047">
      <c r="A1047" s="1" t="inlineStr">
        <is>
          <t>TUNON_LYO</t>
        </is>
      </c>
      <c r="B1047" s="1" t="inlineStr">
        <is>
          <t>7062</t>
        </is>
      </c>
      <c r="C1047" s="1" t="inlineStr">
        <is>
          <t>2027</t>
        </is>
      </c>
      <c r="D1047" s="1" t="inlineStr">
        <is>
          <t>V03</t>
        </is>
      </c>
      <c r="E1047" s="1" t="inlineStr">
        <is>
          <t>2027BUD_V1</t>
        </is>
      </c>
      <c r="F1047" s="1" t="inlineStr">
        <is>
          <t>12</t>
        </is>
      </c>
      <c r="G1047" t="n">
        <v>843285.956910219</v>
      </c>
      <c r="H1047">
        <f>IF(PNL!A1047="","",_CALC_PNL!P1047)</f>
        <v/>
      </c>
      <c r="I1047">
        <f>IF(PNL!A1047="","",IF(_CALC_PNL!E1047=1,H1047-G1047,""))</f>
        <v/>
      </c>
    </row>
    <row r="1048">
      <c r="A1048" s="1" t="inlineStr">
        <is>
          <t>MBWAY_PAR</t>
        </is>
      </c>
      <c r="B1048" s="1" t="inlineStr">
        <is>
          <t>706</t>
        </is>
      </c>
      <c r="C1048" s="1" t="inlineStr">
        <is>
          <t>2027</t>
        </is>
      </c>
      <c r="D1048" s="1" t="inlineStr">
        <is>
          <t>V01</t>
        </is>
      </c>
      <c r="E1048" s="1" t="inlineStr">
        <is>
          <t>2027BUD_V1</t>
        </is>
      </c>
      <c r="F1048" s="1" t="inlineStr">
        <is>
          <t>12</t>
        </is>
      </c>
      <c r="G1048" t="n">
        <v>687329.4286321989</v>
      </c>
      <c r="H1048">
        <f>IF(PNL!A1048="","",_CALC_PNL!P1048)</f>
        <v/>
      </c>
      <c r="I1048">
        <f>IF(PNL!A1048="","",IF(_CALC_PNL!E1048=1,H1048-G1048,""))</f>
        <v/>
      </c>
    </row>
    <row r="1049">
      <c r="A1049" s="1" t="inlineStr">
        <is>
          <t>MBWAY_PAR</t>
        </is>
      </c>
      <c r="B1049" s="1" t="inlineStr">
        <is>
          <t>706</t>
        </is>
      </c>
      <c r="C1049" s="1" t="inlineStr">
        <is>
          <t>2027</t>
        </is>
      </c>
      <c r="D1049" s="1" t="inlineStr">
        <is>
          <t>V02</t>
        </is>
      </c>
      <c r="E1049" s="1" t="inlineStr">
        <is>
          <t>2027BUD_V1</t>
        </is>
      </c>
      <c r="F1049" s="1" t="inlineStr">
        <is>
          <t>12</t>
        </is>
      </c>
      <c r="G1049" t="n">
        <v>760580.74911828</v>
      </c>
      <c r="H1049">
        <f>IF(PNL!A1049="","",_CALC_PNL!P1049)</f>
        <v/>
      </c>
      <c r="I1049">
        <f>IF(PNL!A1049="","",IF(_CALC_PNL!E1049=1,H1049-G1049,""))</f>
        <v/>
      </c>
    </row>
    <row r="1050">
      <c r="A1050" s="1" t="inlineStr">
        <is>
          <t>MBWAY_PAR</t>
        </is>
      </c>
      <c r="B1050" s="1" t="inlineStr">
        <is>
          <t>706</t>
        </is>
      </c>
      <c r="C1050" s="1" t="inlineStr">
        <is>
          <t>2027</t>
        </is>
      </c>
      <c r="D1050" s="1" t="inlineStr">
        <is>
          <t>V03</t>
        </is>
      </c>
      <c r="E1050" s="1" t="inlineStr">
        <is>
          <t>2027BUD_V1</t>
        </is>
      </c>
      <c r="F1050" s="1" t="inlineStr">
        <is>
          <t>12</t>
        </is>
      </c>
      <c r="G1050" t="n">
        <v>642503.58621731</v>
      </c>
      <c r="H1050">
        <f>IF(PNL!A1050="","",_CALC_PNL!P1050)</f>
        <v/>
      </c>
      <c r="I1050">
        <f>IF(PNL!A1050="","",IF(_CALC_PNL!E1050=1,H1050-G1050,""))</f>
        <v/>
      </c>
    </row>
    <row r="1051">
      <c r="A1051" s="1" t="inlineStr">
        <is>
          <t>MBWAY_LYO</t>
        </is>
      </c>
      <c r="B1051" s="1" t="inlineStr">
        <is>
          <t>706</t>
        </is>
      </c>
      <c r="C1051" s="1" t="inlineStr">
        <is>
          <t>2027</t>
        </is>
      </c>
      <c r="D1051" s="1" t="inlineStr">
        <is>
          <t>V01</t>
        </is>
      </c>
      <c r="E1051" s="1" t="inlineStr">
        <is>
          <t>2027BUD_V1</t>
        </is>
      </c>
      <c r="F1051" s="1" t="inlineStr">
        <is>
          <t>12</t>
        </is>
      </c>
      <c r="G1051" t="n">
        <v>545237.287136119</v>
      </c>
      <c r="H1051">
        <f>IF(PNL!A1051="","",_CALC_PNL!P1051)</f>
        <v/>
      </c>
      <c r="I1051">
        <f>IF(PNL!A1051="","",IF(_CALC_PNL!E1051=1,H1051-G1051,""))</f>
        <v/>
      </c>
    </row>
    <row r="1052">
      <c r="A1052" s="1" t="inlineStr">
        <is>
          <t>MBWAY_LYO</t>
        </is>
      </c>
      <c r="B1052" s="1" t="inlineStr">
        <is>
          <t>706</t>
        </is>
      </c>
      <c r="C1052" s="1" t="inlineStr">
        <is>
          <t>2027</t>
        </is>
      </c>
      <c r="D1052" s="1" t="inlineStr">
        <is>
          <t>V02</t>
        </is>
      </c>
      <c r="E1052" s="1" t="inlineStr">
        <is>
          <t>2027BUD_V1</t>
        </is>
      </c>
      <c r="F1052" s="1" t="inlineStr">
        <is>
          <t>12</t>
        </is>
      </c>
      <c r="G1052" t="n">
        <v>603345.305790943</v>
      </c>
      <c r="H1052">
        <f>IF(PNL!A1052="","",_CALC_PNL!P1052)</f>
        <v/>
      </c>
      <c r="I1052">
        <f>IF(PNL!A1052="","",IF(_CALC_PNL!E1052=1,H1052-G1052,""))</f>
        <v/>
      </c>
    </row>
    <row r="1053">
      <c r="A1053" s="1" t="inlineStr">
        <is>
          <t>MBWAY_LYO</t>
        </is>
      </c>
      <c r="B1053" s="1" t="inlineStr">
        <is>
          <t>706</t>
        </is>
      </c>
      <c r="C1053" s="1" t="inlineStr">
        <is>
          <t>2027</t>
        </is>
      </c>
      <c r="D1053" s="1" t="inlineStr">
        <is>
          <t>V03</t>
        </is>
      </c>
      <c r="E1053" s="1" t="inlineStr">
        <is>
          <t>2027BUD_V1</t>
        </is>
      </c>
      <c r="F1053" s="1" t="inlineStr">
        <is>
          <t>12</t>
        </is>
      </c>
      <c r="G1053" t="n">
        <v>509678.325605078</v>
      </c>
      <c r="H1053">
        <f>IF(PNL!A1053="","",_CALC_PNL!P1053)</f>
        <v/>
      </c>
      <c r="I1053">
        <f>IF(PNL!A1053="","",IF(_CALC_PNL!E1053=1,H1053-G1053,""))</f>
        <v/>
      </c>
    </row>
    <row r="1054">
      <c r="A1054" s="1" t="inlineStr">
        <is>
          <t>MBWAY_NAN</t>
        </is>
      </c>
      <c r="B1054" s="1" t="inlineStr">
        <is>
          <t>706</t>
        </is>
      </c>
      <c r="C1054" s="1" t="inlineStr">
        <is>
          <t>2027</t>
        </is>
      </c>
      <c r="D1054" s="1" t="inlineStr">
        <is>
          <t>V01</t>
        </is>
      </c>
      <c r="E1054" s="1" t="inlineStr">
        <is>
          <t>2027BUD_V1</t>
        </is>
      </c>
      <c r="F1054" s="1" t="inlineStr">
        <is>
          <t>12</t>
        </is>
      </c>
      <c r="G1054" t="n">
        <v>472066.915269367</v>
      </c>
      <c r="H1054">
        <f>IF(PNL!A1054="","",_CALC_PNL!P1054)</f>
        <v/>
      </c>
      <c r="I1054">
        <f>IF(PNL!A1054="","",IF(_CALC_PNL!E1054=1,H1054-G1054,""))</f>
        <v/>
      </c>
    </row>
    <row r="1055">
      <c r="A1055" s="1" t="inlineStr">
        <is>
          <t>MBWAY_NAN</t>
        </is>
      </c>
      <c r="B1055" s="1" t="inlineStr">
        <is>
          <t>706</t>
        </is>
      </c>
      <c r="C1055" s="1" t="inlineStr">
        <is>
          <t>2027</t>
        </is>
      </c>
      <c r="D1055" s="1" t="inlineStr">
        <is>
          <t>V02</t>
        </is>
      </c>
      <c r="E1055" s="1" t="inlineStr">
        <is>
          <t>2027BUD_V1</t>
        </is>
      </c>
      <c r="F1055" s="1" t="inlineStr">
        <is>
          <t>12</t>
        </is>
      </c>
      <c r="G1055" t="n">
        <v>522376.888130687</v>
      </c>
      <c r="H1055">
        <f>IF(PNL!A1055="","",_CALC_PNL!P1055)</f>
        <v/>
      </c>
      <c r="I1055">
        <f>IF(PNL!A1055="","",IF(_CALC_PNL!E1055=1,H1055-G1055,""))</f>
        <v/>
      </c>
    </row>
    <row r="1056">
      <c r="A1056" s="1" t="inlineStr">
        <is>
          <t>MBWAY_NAN</t>
        </is>
      </c>
      <c r="B1056" s="1" t="inlineStr">
        <is>
          <t>706</t>
        </is>
      </c>
      <c r="C1056" s="1" t="inlineStr">
        <is>
          <t>2027</t>
        </is>
      </c>
      <c r="D1056" s="1" t="inlineStr">
        <is>
          <t>V03</t>
        </is>
      </c>
      <c r="E1056" s="1" t="inlineStr">
        <is>
          <t>2027BUD_V1</t>
        </is>
      </c>
      <c r="F1056" s="1" t="inlineStr">
        <is>
          <t>12</t>
        </is>
      </c>
      <c r="G1056" t="n">
        <v>441279.935588812</v>
      </c>
      <c r="H1056">
        <f>IF(PNL!A1056="","",_CALC_PNL!P1056)</f>
        <v/>
      </c>
      <c r="I1056">
        <f>IF(PNL!A1056="","",IF(_CALC_PNL!E1056=1,H1056-G1056,""))</f>
        <v/>
      </c>
    </row>
    <row r="1057">
      <c r="A1057" s="1" t="inlineStr">
        <is>
          <t>MBWAY_BOR</t>
        </is>
      </c>
      <c r="B1057" s="1" t="inlineStr">
        <is>
          <t>706</t>
        </is>
      </c>
      <c r="C1057" s="1" t="inlineStr">
        <is>
          <t>2027</t>
        </is>
      </c>
      <c r="D1057" s="1" t="inlineStr">
        <is>
          <t>V01</t>
        </is>
      </c>
      <c r="E1057" s="1" t="inlineStr">
        <is>
          <t>2027BUD_V1</t>
        </is>
      </c>
      <c r="F1057" s="1" t="inlineStr">
        <is>
          <t>12</t>
        </is>
      </c>
      <c r="G1057" t="n">
        <v>389219.171639593</v>
      </c>
      <c r="H1057">
        <f>IF(PNL!A1057="","",_CALC_PNL!P1057)</f>
        <v/>
      </c>
      <c r="I1057">
        <f>IF(PNL!A1057="","",IF(_CALC_PNL!E1057=1,H1057-G1057,""))</f>
        <v/>
      </c>
    </row>
    <row r="1058">
      <c r="A1058" s="1" t="inlineStr">
        <is>
          <t>MBWAY_BOR</t>
        </is>
      </c>
      <c r="B1058" s="1" t="inlineStr">
        <is>
          <t>706</t>
        </is>
      </c>
      <c r="C1058" s="1" t="inlineStr">
        <is>
          <t>2027</t>
        </is>
      </c>
      <c r="D1058" s="1" t="inlineStr">
        <is>
          <t>V02</t>
        </is>
      </c>
      <c r="E1058" s="1" t="inlineStr">
        <is>
          <t>2027BUD_V1</t>
        </is>
      </c>
      <c r="F1058" s="1" t="inlineStr">
        <is>
          <t>12</t>
        </is>
      </c>
      <c r="G1058" t="n">
        <v>430699.744263751</v>
      </c>
      <c r="H1058">
        <f>IF(PNL!A1058="","",_CALC_PNL!P1058)</f>
        <v/>
      </c>
      <c r="I1058">
        <f>IF(PNL!A1058="","",IF(_CALC_PNL!E1058=1,H1058-G1058,""))</f>
        <v/>
      </c>
    </row>
    <row r="1059">
      <c r="A1059" s="1" t="inlineStr">
        <is>
          <t>MBWAY_BOR</t>
        </is>
      </c>
      <c r="B1059" s="1" t="inlineStr">
        <is>
          <t>706</t>
        </is>
      </c>
      <c r="C1059" s="1" t="inlineStr">
        <is>
          <t>2027</t>
        </is>
      </c>
      <c r="D1059" s="1" t="inlineStr">
        <is>
          <t>V03</t>
        </is>
      </c>
      <c r="E1059" s="1" t="inlineStr">
        <is>
          <t>2027BUD_V1</t>
        </is>
      </c>
      <c r="F1059" s="1" t="inlineStr">
        <is>
          <t>12</t>
        </is>
      </c>
      <c r="G1059" t="n">
        <v>363835.306892975</v>
      </c>
      <c r="H1059">
        <f>IF(PNL!A1059="","",_CALC_PNL!P1059)</f>
        <v/>
      </c>
      <c r="I1059">
        <f>IF(PNL!A1059="","",IF(_CALC_PNL!E1059=1,H1059-G1059,""))</f>
        <v/>
      </c>
    </row>
    <row r="1060">
      <c r="A1060" s="1" t="inlineStr">
        <is>
          <t>ISCOM_PAR</t>
        </is>
      </c>
      <c r="B1060" s="1" t="inlineStr">
        <is>
          <t>706</t>
        </is>
      </c>
      <c r="C1060" s="1" t="inlineStr">
        <is>
          <t>2027</t>
        </is>
      </c>
      <c r="D1060" s="1" t="inlineStr">
        <is>
          <t>V01</t>
        </is>
      </c>
      <c r="E1060" s="1" t="inlineStr">
        <is>
          <t>2027BUD_V1</t>
        </is>
      </c>
      <c r="F1060" s="1" t="inlineStr">
        <is>
          <t>12</t>
        </is>
      </c>
      <c r="G1060" t="n">
        <v>634457.93412203</v>
      </c>
      <c r="H1060">
        <f>IF(PNL!A1060="","",_CALC_PNL!P1060)</f>
        <v/>
      </c>
      <c r="I1060">
        <f>IF(PNL!A1060="","",IF(_CALC_PNL!E1060=1,H1060-G1060,""))</f>
        <v/>
      </c>
    </row>
    <row r="1061">
      <c r="A1061" s="1" t="inlineStr">
        <is>
          <t>ISCOM_PAR</t>
        </is>
      </c>
      <c r="B1061" s="1" t="inlineStr">
        <is>
          <t>706</t>
        </is>
      </c>
      <c r="C1061" s="1" t="inlineStr">
        <is>
          <t>2027</t>
        </is>
      </c>
      <c r="D1061" s="1" t="inlineStr">
        <is>
          <t>V02</t>
        </is>
      </c>
      <c r="E1061" s="1" t="inlineStr">
        <is>
          <t>2027BUD_V1</t>
        </is>
      </c>
      <c r="F1061" s="1" t="inlineStr">
        <is>
          <t>12</t>
        </is>
      </c>
      <c r="G1061" t="n">
        <v>702074.537647643</v>
      </c>
      <c r="H1061">
        <f>IF(PNL!A1061="","",_CALC_PNL!P1061)</f>
        <v/>
      </c>
      <c r="I1061">
        <f>IF(PNL!A1061="","",IF(_CALC_PNL!E1061=1,H1061-G1061,""))</f>
        <v/>
      </c>
    </row>
    <row r="1062">
      <c r="A1062" s="1" t="inlineStr">
        <is>
          <t>ISCOM_PAR</t>
        </is>
      </c>
      <c r="B1062" s="1" t="inlineStr">
        <is>
          <t>706</t>
        </is>
      </c>
      <c r="C1062" s="1" t="inlineStr">
        <is>
          <t>2027</t>
        </is>
      </c>
      <c r="D1062" s="1" t="inlineStr">
        <is>
          <t>V03</t>
        </is>
      </c>
      <c r="E1062" s="1" t="inlineStr">
        <is>
          <t>2027BUD_V1</t>
        </is>
      </c>
      <c r="F1062" s="1" t="inlineStr">
        <is>
          <t>12</t>
        </is>
      </c>
      <c r="G1062" t="n">
        <v>593080.233431363</v>
      </c>
      <c r="H1062">
        <f>IF(PNL!A1062="","",_CALC_PNL!P1062)</f>
        <v/>
      </c>
      <c r="I1062">
        <f>IF(PNL!A1062="","",IF(_CALC_PNL!E1062=1,H1062-G1062,""))</f>
        <v/>
      </c>
    </row>
    <row r="1063">
      <c r="A1063" s="1" t="inlineStr">
        <is>
          <t>ISCOM_LIL</t>
        </is>
      </c>
      <c r="B1063" s="1" t="inlineStr">
        <is>
          <t>706</t>
        </is>
      </c>
      <c r="C1063" s="1" t="inlineStr">
        <is>
          <t>2027</t>
        </is>
      </c>
      <c r="D1063" s="1" t="inlineStr">
        <is>
          <t>V01</t>
        </is>
      </c>
      <c r="E1063" s="1" t="inlineStr">
        <is>
          <t>2027BUD_V1</t>
        </is>
      </c>
      <c r="F1063" s="1" t="inlineStr">
        <is>
          <t>12</t>
        </is>
      </c>
      <c r="G1063" t="n">
        <v>385521.31413665</v>
      </c>
      <c r="H1063">
        <f>IF(PNL!A1063="","",_CALC_PNL!P1063)</f>
        <v/>
      </c>
      <c r="I1063">
        <f>IF(PNL!A1063="","",IF(_CALC_PNL!E1063=1,H1063-G1063,""))</f>
        <v/>
      </c>
    </row>
    <row r="1064">
      <c r="A1064" s="1" t="inlineStr">
        <is>
          <t>ISCOM_LIL</t>
        </is>
      </c>
      <c r="B1064" s="1" t="inlineStr">
        <is>
          <t>706</t>
        </is>
      </c>
      <c r="C1064" s="1" t="inlineStr">
        <is>
          <t>2027</t>
        </is>
      </c>
      <c r="D1064" s="1" t="inlineStr">
        <is>
          <t>V02</t>
        </is>
      </c>
      <c r="E1064" s="1" t="inlineStr">
        <is>
          <t>2027BUD_V1</t>
        </is>
      </c>
      <c r="F1064" s="1" t="inlineStr">
        <is>
          <t>12</t>
        </is>
      </c>
      <c r="G1064" t="n">
        <v>426607.791973394</v>
      </c>
      <c r="H1064">
        <f>IF(PNL!A1064="","",_CALC_PNL!P1064)</f>
        <v/>
      </c>
      <c r="I1064">
        <f>IF(PNL!A1064="","",IF(_CALC_PNL!E1064=1,H1064-G1064,""))</f>
        <v/>
      </c>
    </row>
    <row r="1065">
      <c r="A1065" s="1" t="inlineStr">
        <is>
          <t>ISCOM_LIL</t>
        </is>
      </c>
      <c r="B1065" s="1" t="inlineStr">
        <is>
          <t>706</t>
        </is>
      </c>
      <c r="C1065" s="1" t="inlineStr">
        <is>
          <t>2027</t>
        </is>
      </c>
      <c r="D1065" s="1" t="inlineStr">
        <is>
          <t>V03</t>
        </is>
      </c>
      <c r="E1065" s="1" t="inlineStr">
        <is>
          <t>2027BUD_V1</t>
        </is>
      </c>
      <c r="F1065" s="1" t="inlineStr">
        <is>
          <t>12</t>
        </is>
      </c>
      <c r="G1065" t="n">
        <v>360378.614064196</v>
      </c>
      <c r="H1065">
        <f>IF(PNL!A1065="","",_CALC_PNL!P1065)</f>
        <v/>
      </c>
      <c r="I1065">
        <f>IF(PNL!A1065="","",IF(_CALC_PNL!E1065=1,H1065-G1065,""))</f>
        <v/>
      </c>
    </row>
    <row r="1066">
      <c r="A1066" s="1" t="inlineStr">
        <is>
          <t>ISCOM_TLS</t>
        </is>
      </c>
      <c r="B1066" s="1" t="inlineStr">
        <is>
          <t>706</t>
        </is>
      </c>
      <c r="C1066" s="1" t="inlineStr">
        <is>
          <t>2027</t>
        </is>
      </c>
      <c r="D1066" s="1" t="inlineStr">
        <is>
          <t>V01</t>
        </is>
      </c>
      <c r="E1066" s="1" t="inlineStr">
        <is>
          <t>2027BUD_V1</t>
        </is>
      </c>
      <c r="F1066" s="1" t="inlineStr">
        <is>
          <t>12</t>
        </is>
      </c>
      <c r="G1066" t="n">
        <v>354994.320282564</v>
      </c>
      <c r="H1066">
        <f>IF(PNL!A1066="","",_CALC_PNL!P1066)</f>
        <v/>
      </c>
      <c r="I1066">
        <f>IF(PNL!A1066="","",IF(_CALC_PNL!E1066=1,H1066-G1066,""))</f>
        <v/>
      </c>
    </row>
    <row r="1067">
      <c r="A1067" s="1" t="inlineStr">
        <is>
          <t>ISCOM_TLS</t>
        </is>
      </c>
      <c r="B1067" s="1" t="inlineStr">
        <is>
          <t>706</t>
        </is>
      </c>
      <c r="C1067" s="1" t="inlineStr">
        <is>
          <t>2027</t>
        </is>
      </c>
      <c r="D1067" s="1" t="inlineStr">
        <is>
          <t>V02</t>
        </is>
      </c>
      <c r="E1067" s="1" t="inlineStr">
        <is>
          <t>2027BUD_V1</t>
        </is>
      </c>
      <c r="F1067" s="1" t="inlineStr">
        <is>
          <t>12</t>
        </is>
      </c>
      <c r="G1067" t="n">
        <v>392827.419874276</v>
      </c>
      <c r="H1067">
        <f>IF(PNL!A1067="","",_CALC_PNL!P1067)</f>
        <v/>
      </c>
      <c r="I1067">
        <f>IF(PNL!A1067="","",IF(_CALC_PNL!E1067=1,H1067-G1067,""))</f>
        <v/>
      </c>
    </row>
    <row r="1068">
      <c r="A1068" s="1" t="inlineStr">
        <is>
          <t>ISCOM_TLS</t>
        </is>
      </c>
      <c r="B1068" s="1" t="inlineStr">
        <is>
          <t>706</t>
        </is>
      </c>
      <c r="C1068" s="1" t="inlineStr">
        <is>
          <t>2027</t>
        </is>
      </c>
      <c r="D1068" s="1" t="inlineStr">
        <is>
          <t>V03</t>
        </is>
      </c>
      <c r="E1068" s="1" t="inlineStr">
        <is>
          <t>2027BUD_V1</t>
        </is>
      </c>
      <c r="F1068" s="1" t="inlineStr">
        <is>
          <t>12</t>
        </is>
      </c>
      <c r="G1068" t="n">
        <v>331842.511562786</v>
      </c>
      <c r="H1068">
        <f>IF(PNL!A1068="","",_CALC_PNL!P1068)</f>
        <v/>
      </c>
      <c r="I1068">
        <f>IF(PNL!A1068="","",IF(_CALC_PNL!E1068=1,H1068-G1068,""))</f>
        <v/>
      </c>
    </row>
    <row r="1069">
      <c r="A1069" s="1" t="inlineStr">
        <is>
          <t>MBWAY_PAR</t>
        </is>
      </c>
      <c r="B1069" s="1" t="inlineStr">
        <is>
          <t>708</t>
        </is>
      </c>
      <c r="C1069" s="1" t="inlineStr">
        <is>
          <t>2027</t>
        </is>
      </c>
      <c r="D1069" s="1" t="inlineStr">
        <is>
          <t>V01</t>
        </is>
      </c>
      <c r="E1069" s="1" t="inlineStr">
        <is>
          <t>2027BUD_V1</t>
        </is>
      </c>
      <c r="F1069" s="1" t="inlineStr">
        <is>
          <t>12</t>
        </is>
      </c>
      <c r="G1069" t="n">
        <v>14728.487756404</v>
      </c>
      <c r="H1069">
        <f>IF(PNL!A1069="","",_CALC_PNL!P1069)</f>
        <v/>
      </c>
      <c r="I1069">
        <f>IF(PNL!A1069="","",IF(_CALC_PNL!E1069=1,H1069-G1069,""))</f>
        <v/>
      </c>
    </row>
    <row r="1070">
      <c r="A1070" s="1" t="inlineStr">
        <is>
          <t>MBWAY_PAR</t>
        </is>
      </c>
      <c r="B1070" s="1" t="inlineStr">
        <is>
          <t>708</t>
        </is>
      </c>
      <c r="C1070" s="1" t="inlineStr">
        <is>
          <t>2027</t>
        </is>
      </c>
      <c r="D1070" s="1" t="inlineStr">
        <is>
          <t>V02</t>
        </is>
      </c>
      <c r="E1070" s="1" t="inlineStr">
        <is>
          <t>2027BUD_V1</t>
        </is>
      </c>
      <c r="F1070" s="1" t="inlineStr">
        <is>
          <t>12</t>
        </is>
      </c>
      <c r="G1070" t="n">
        <v>16298.158909677</v>
      </c>
      <c r="H1070">
        <f>IF(PNL!A1070="","",_CALC_PNL!P1070)</f>
        <v/>
      </c>
      <c r="I1070">
        <f>IF(PNL!A1070="","",IF(_CALC_PNL!E1070=1,H1070-G1070,""))</f>
        <v/>
      </c>
    </row>
    <row r="1071">
      <c r="A1071" s="1" t="inlineStr">
        <is>
          <t>MBWAY_PAR</t>
        </is>
      </c>
      <c r="B1071" s="1" t="inlineStr">
        <is>
          <t>708</t>
        </is>
      </c>
      <c r="C1071" s="1" t="inlineStr">
        <is>
          <t>2027</t>
        </is>
      </c>
      <c r="D1071" s="1" t="inlineStr">
        <is>
          <t>V03</t>
        </is>
      </c>
      <c r="E1071" s="1" t="inlineStr">
        <is>
          <t>2027BUD_V1</t>
        </is>
      </c>
      <c r="F1071" s="1" t="inlineStr">
        <is>
          <t>12</t>
        </is>
      </c>
      <c r="G1071" t="n">
        <v>13767.933990371</v>
      </c>
      <c r="H1071">
        <f>IF(PNL!A1071="","",_CALC_PNL!P1071)</f>
        <v/>
      </c>
      <c r="I1071">
        <f>IF(PNL!A1071="","",IF(_CALC_PNL!E1071=1,H1071-G1071,""))</f>
        <v/>
      </c>
    </row>
    <row r="1072">
      <c r="A1072" s="1" t="inlineStr">
        <is>
          <t>MBWAY_LYO</t>
        </is>
      </c>
      <c r="B1072" s="1" t="inlineStr">
        <is>
          <t>708</t>
        </is>
      </c>
      <c r="C1072" s="1" t="inlineStr">
        <is>
          <t>2027</t>
        </is>
      </c>
      <c r="D1072" s="1" t="inlineStr">
        <is>
          <t>V01</t>
        </is>
      </c>
      <c r="E1072" s="1" t="inlineStr">
        <is>
          <t>2027BUD_V1</t>
        </is>
      </c>
      <c r="F1072" s="1" t="inlineStr">
        <is>
          <t>12</t>
        </is>
      </c>
      <c r="G1072" t="n">
        <v>12462.566563111</v>
      </c>
      <c r="H1072">
        <f>IF(PNL!A1072="","",_CALC_PNL!P1072)</f>
        <v/>
      </c>
      <c r="I1072">
        <f>IF(PNL!A1072="","",IF(_CALC_PNL!E1072=1,H1072-G1072,""))</f>
        <v/>
      </c>
    </row>
    <row r="1073">
      <c r="A1073" s="1" t="inlineStr">
        <is>
          <t>MBWAY_LYO</t>
        </is>
      </c>
      <c r="B1073" s="1" t="inlineStr">
        <is>
          <t>708</t>
        </is>
      </c>
      <c r="C1073" s="1" t="inlineStr">
        <is>
          <t>2027</t>
        </is>
      </c>
      <c r="D1073" s="1" t="inlineStr">
        <is>
          <t>V02</t>
        </is>
      </c>
      <c r="E1073" s="1" t="inlineStr">
        <is>
          <t>2027BUD_V1</t>
        </is>
      </c>
      <c r="F1073" s="1" t="inlineStr">
        <is>
          <t>12</t>
        </is>
      </c>
      <c r="G1073" t="n">
        <v>13790.74984665</v>
      </c>
      <c r="H1073">
        <f>IF(PNL!A1073="","",_CALC_PNL!P1073)</f>
        <v/>
      </c>
      <c r="I1073">
        <f>IF(PNL!A1073="","",IF(_CALC_PNL!E1073=1,H1073-G1073,""))</f>
        <v/>
      </c>
    </row>
    <row r="1074">
      <c r="A1074" s="1" t="inlineStr">
        <is>
          <t>MBWAY_LYO</t>
        </is>
      </c>
      <c r="B1074" s="1" t="inlineStr">
        <is>
          <t>708</t>
        </is>
      </c>
      <c r="C1074" s="1" t="inlineStr">
        <is>
          <t>2027</t>
        </is>
      </c>
      <c r="D1074" s="1" t="inlineStr">
        <is>
          <t>V03</t>
        </is>
      </c>
      <c r="E1074" s="1" t="inlineStr">
        <is>
          <t>2027BUD_V1</t>
        </is>
      </c>
      <c r="F1074" s="1" t="inlineStr">
        <is>
          <t>12</t>
        </is>
      </c>
      <c r="G1074" t="n">
        <v>11649.790299545</v>
      </c>
      <c r="H1074">
        <f>IF(PNL!A1074="","",_CALC_PNL!P1074)</f>
        <v/>
      </c>
      <c r="I1074">
        <f>IF(PNL!A1074="","",IF(_CALC_PNL!E1074=1,H1074-G1074,""))</f>
        <v/>
      </c>
    </row>
    <row r="1075">
      <c r="A1075" s="1" t="inlineStr">
        <is>
          <t>MBWAY_NAN</t>
        </is>
      </c>
      <c r="B1075" s="1" t="inlineStr">
        <is>
          <t>708</t>
        </is>
      </c>
      <c r="C1075" s="1" t="inlineStr">
        <is>
          <t>2027</t>
        </is>
      </c>
      <c r="D1075" s="1" t="inlineStr">
        <is>
          <t>V01</t>
        </is>
      </c>
      <c r="E1075" s="1" t="inlineStr">
        <is>
          <t>2027BUD_V1</t>
        </is>
      </c>
      <c r="F1075" s="1" t="inlineStr">
        <is>
          <t>12</t>
        </is>
      </c>
      <c r="G1075" t="n">
        <v>11329.605966465</v>
      </c>
      <c r="H1075">
        <f>IF(PNL!A1075="","",_CALC_PNL!P1075)</f>
        <v/>
      </c>
      <c r="I1075">
        <f>IF(PNL!A1075="","",IF(_CALC_PNL!E1075=1,H1075-G1075,""))</f>
        <v/>
      </c>
    </row>
    <row r="1076">
      <c r="A1076" s="1" t="inlineStr">
        <is>
          <t>MBWAY_NAN</t>
        </is>
      </c>
      <c r="B1076" s="1" t="inlineStr">
        <is>
          <t>708</t>
        </is>
      </c>
      <c r="C1076" s="1" t="inlineStr">
        <is>
          <t>2027</t>
        </is>
      </c>
      <c r="D1076" s="1" t="inlineStr">
        <is>
          <t>V02</t>
        </is>
      </c>
      <c r="E1076" s="1" t="inlineStr">
        <is>
          <t>2027BUD_V1</t>
        </is>
      </c>
      <c r="F1076" s="1" t="inlineStr">
        <is>
          <t>12</t>
        </is>
      </c>
      <c r="G1076" t="n">
        <v>12537.045315136</v>
      </c>
      <c r="H1076">
        <f>IF(PNL!A1076="","",_CALC_PNL!P1076)</f>
        <v/>
      </c>
      <c r="I1076">
        <f>IF(PNL!A1076="","",IF(_CALC_PNL!E1076=1,H1076-G1076,""))</f>
        <v/>
      </c>
    </row>
    <row r="1077">
      <c r="A1077" s="1" t="inlineStr">
        <is>
          <t>MBWAY_NAN</t>
        </is>
      </c>
      <c r="B1077" s="1" t="inlineStr">
        <is>
          <t>708</t>
        </is>
      </c>
      <c r="C1077" s="1" t="inlineStr">
        <is>
          <t>2027</t>
        </is>
      </c>
      <c r="D1077" s="1" t="inlineStr">
        <is>
          <t>V03</t>
        </is>
      </c>
      <c r="E1077" s="1" t="inlineStr">
        <is>
          <t>2027BUD_V1</t>
        </is>
      </c>
      <c r="F1077" s="1" t="inlineStr">
        <is>
          <t>12</t>
        </is>
      </c>
      <c r="G1077" t="n">
        <v>10590.718454131</v>
      </c>
      <c r="H1077">
        <f>IF(PNL!A1077="","",_CALC_PNL!P1077)</f>
        <v/>
      </c>
      <c r="I1077">
        <f>IF(PNL!A1077="","",IF(_CALC_PNL!E1077=1,H1077-G1077,""))</f>
        <v/>
      </c>
    </row>
    <row r="1078">
      <c r="A1078" s="1" t="inlineStr">
        <is>
          <t>MBWAY_BOR</t>
        </is>
      </c>
      <c r="B1078" s="1" t="inlineStr">
        <is>
          <t>708</t>
        </is>
      </c>
      <c r="C1078" s="1" t="inlineStr">
        <is>
          <t>2027</t>
        </is>
      </c>
      <c r="D1078" s="1" t="inlineStr">
        <is>
          <t>V01</t>
        </is>
      </c>
      <c r="E1078" s="1" t="inlineStr">
        <is>
          <t>2027BUD_V1</t>
        </is>
      </c>
      <c r="F1078" s="1" t="inlineStr">
        <is>
          <t>12</t>
        </is>
      </c>
      <c r="G1078" t="n">
        <v>9630.165071494999</v>
      </c>
      <c r="H1078">
        <f>IF(PNL!A1078="","",_CALC_PNL!P1078)</f>
        <v/>
      </c>
      <c r="I1078">
        <f>IF(PNL!A1078="","",IF(_CALC_PNL!E1078=1,H1078-G1078,""))</f>
        <v/>
      </c>
    </row>
    <row r="1079">
      <c r="A1079" s="1" t="inlineStr">
        <is>
          <t>MBWAY_BOR</t>
        </is>
      </c>
      <c r="B1079" s="1" t="inlineStr">
        <is>
          <t>708</t>
        </is>
      </c>
      <c r="C1079" s="1" t="inlineStr">
        <is>
          <t>2027</t>
        </is>
      </c>
      <c r="D1079" s="1" t="inlineStr">
        <is>
          <t>V02</t>
        </is>
      </c>
      <c r="E1079" s="1" t="inlineStr">
        <is>
          <t>2027BUD_V1</t>
        </is>
      </c>
      <c r="F1079" s="1" t="inlineStr">
        <is>
          <t>12</t>
        </is>
      </c>
      <c r="G1079" t="n">
        <v>10656.488517866</v>
      </c>
      <c r="H1079">
        <f>IF(PNL!A1079="","",_CALC_PNL!P1079)</f>
        <v/>
      </c>
      <c r="I1079">
        <f>IF(PNL!A1079="","",IF(_CALC_PNL!E1079=1,H1079-G1079,""))</f>
        <v/>
      </c>
    </row>
    <row r="1080">
      <c r="A1080" s="1" t="inlineStr">
        <is>
          <t>MBWAY_BOR</t>
        </is>
      </c>
      <c r="B1080" s="1" t="inlineStr">
        <is>
          <t>708</t>
        </is>
      </c>
      <c r="C1080" s="1" t="inlineStr">
        <is>
          <t>2027</t>
        </is>
      </c>
      <c r="D1080" s="1" t="inlineStr">
        <is>
          <t>V03</t>
        </is>
      </c>
      <c r="E1080" s="1" t="inlineStr">
        <is>
          <t>2027BUD_V1</t>
        </is>
      </c>
      <c r="F1080" s="1" t="inlineStr">
        <is>
          <t>12</t>
        </is>
      </c>
      <c r="G1080" t="n">
        <v>9002.110686012</v>
      </c>
      <c r="H1080">
        <f>IF(PNL!A1080="","",_CALC_PNL!P1080)</f>
        <v/>
      </c>
      <c r="I1080">
        <f>IF(PNL!A1080="","",IF(_CALC_PNL!E1080=1,H1080-G1080,""))</f>
        <v/>
      </c>
    </row>
    <row r="1081">
      <c r="A1081" s="1" t="inlineStr">
        <is>
          <t>ISCOM_PAR</t>
        </is>
      </c>
      <c r="B1081" s="1" t="inlineStr">
        <is>
          <t>708</t>
        </is>
      </c>
      <c r="C1081" s="1" t="inlineStr">
        <is>
          <t>2027</t>
        </is>
      </c>
      <c r="D1081" s="1" t="inlineStr">
        <is>
          <t>V01</t>
        </is>
      </c>
      <c r="E1081" s="1" t="inlineStr">
        <is>
          <t>2027BUD_V1</t>
        </is>
      </c>
      <c r="F1081" s="1" t="inlineStr">
        <is>
          <t>12</t>
        </is>
      </c>
      <c r="G1081" t="n">
        <v>13595.527159758</v>
      </c>
      <c r="H1081">
        <f>IF(PNL!A1081="","",_CALC_PNL!P1081)</f>
        <v/>
      </c>
      <c r="I1081">
        <f>IF(PNL!A1081="","",IF(_CALC_PNL!E1081=1,H1081-G1081,""))</f>
        <v/>
      </c>
    </row>
    <row r="1082">
      <c r="A1082" s="1" t="inlineStr">
        <is>
          <t>ISCOM_PAR</t>
        </is>
      </c>
      <c r="B1082" s="1" t="inlineStr">
        <is>
          <t>708</t>
        </is>
      </c>
      <c r="C1082" s="1" t="inlineStr">
        <is>
          <t>2027</t>
        </is>
      </c>
      <c r="D1082" s="1" t="inlineStr">
        <is>
          <t>V02</t>
        </is>
      </c>
      <c r="E1082" s="1" t="inlineStr">
        <is>
          <t>2027BUD_V1</t>
        </is>
      </c>
      <c r="F1082" s="1" t="inlineStr">
        <is>
          <t>12</t>
        </is>
      </c>
      <c r="G1082" t="n">
        <v>15044.454378164</v>
      </c>
      <c r="H1082">
        <f>IF(PNL!A1082="","",_CALC_PNL!P1082)</f>
        <v/>
      </c>
      <c r="I1082">
        <f>IF(PNL!A1082="","",IF(_CALC_PNL!E1082=1,H1082-G1082,""))</f>
        <v/>
      </c>
    </row>
    <row r="1083">
      <c r="A1083" s="1" t="inlineStr">
        <is>
          <t>ISCOM_PAR</t>
        </is>
      </c>
      <c r="B1083" s="1" t="inlineStr">
        <is>
          <t>708</t>
        </is>
      </c>
      <c r="C1083" s="1" t="inlineStr">
        <is>
          <t>2027</t>
        </is>
      </c>
      <c r="D1083" s="1" t="inlineStr">
        <is>
          <t>V03</t>
        </is>
      </c>
      <c r="E1083" s="1" t="inlineStr">
        <is>
          <t>2027BUD_V1</t>
        </is>
      </c>
      <c r="F1083" s="1" t="inlineStr">
        <is>
          <t>12</t>
        </is>
      </c>
      <c r="G1083" t="n">
        <v>12708.862144958</v>
      </c>
      <c r="H1083">
        <f>IF(PNL!A1083="","",_CALC_PNL!P1083)</f>
        <v/>
      </c>
      <c r="I1083">
        <f>IF(PNL!A1083="","",IF(_CALC_PNL!E1083=1,H1083-G1083,""))</f>
        <v/>
      </c>
    </row>
    <row r="1084">
      <c r="A1084" s="1" t="inlineStr">
        <is>
          <t>ISCOM_LIL</t>
        </is>
      </c>
      <c r="B1084" s="1" t="inlineStr">
        <is>
          <t>708</t>
        </is>
      </c>
      <c r="C1084" s="1" t="inlineStr">
        <is>
          <t>2027</t>
        </is>
      </c>
      <c r="D1084" s="1" t="inlineStr">
        <is>
          <t>V01</t>
        </is>
      </c>
      <c r="E1084" s="1" t="inlineStr">
        <is>
          <t>2027BUD_V1</t>
        </is>
      </c>
      <c r="F1084" s="1" t="inlineStr">
        <is>
          <t>12</t>
        </is>
      </c>
      <c r="G1084" t="n">
        <v>9441.338305387</v>
      </c>
      <c r="H1084">
        <f>IF(PNL!A1084="","",_CALC_PNL!P1084)</f>
        <v/>
      </c>
      <c r="I1084">
        <f>IF(PNL!A1084="","",IF(_CALC_PNL!E1084=1,H1084-G1084,""))</f>
        <v/>
      </c>
    </row>
    <row r="1085">
      <c r="A1085" s="1" t="inlineStr">
        <is>
          <t>ISCOM_LIL</t>
        </is>
      </c>
      <c r="B1085" s="1" t="inlineStr">
        <is>
          <t>708</t>
        </is>
      </c>
      <c r="C1085" s="1" t="inlineStr">
        <is>
          <t>2027</t>
        </is>
      </c>
      <c r="D1085" s="1" t="inlineStr">
        <is>
          <t>V02</t>
        </is>
      </c>
      <c r="E1085" s="1" t="inlineStr">
        <is>
          <t>2027BUD_V1</t>
        </is>
      </c>
      <c r="F1085" s="1" t="inlineStr">
        <is>
          <t>12</t>
        </is>
      </c>
      <c r="G1085" t="n">
        <v>10447.537762614</v>
      </c>
      <c r="H1085">
        <f>IF(PNL!A1085="","",_CALC_PNL!P1085)</f>
        <v/>
      </c>
      <c r="I1085">
        <f>IF(PNL!A1085="","",IF(_CALC_PNL!E1085=1,H1085-G1085,""))</f>
        <v/>
      </c>
    </row>
    <row r="1086">
      <c r="A1086" s="1" t="inlineStr">
        <is>
          <t>ISCOM_LIL</t>
        </is>
      </c>
      <c r="B1086" s="1" t="inlineStr">
        <is>
          <t>708</t>
        </is>
      </c>
      <c r="C1086" s="1" t="inlineStr">
        <is>
          <t>2027</t>
        </is>
      </c>
      <c r="D1086" s="1" t="inlineStr">
        <is>
          <t>V03</t>
        </is>
      </c>
      <c r="E1086" s="1" t="inlineStr">
        <is>
          <t>2027BUD_V1</t>
        </is>
      </c>
      <c r="F1086" s="1" t="inlineStr">
        <is>
          <t>12</t>
        </is>
      </c>
      <c r="G1086" t="n">
        <v>8825.598711776</v>
      </c>
      <c r="H1086">
        <f>IF(PNL!A1086="","",_CALC_PNL!P1086)</f>
        <v/>
      </c>
      <c r="I1086">
        <f>IF(PNL!A1086="","",IF(_CALC_PNL!E1086=1,H1086-G1086,""))</f>
        <v/>
      </c>
    </row>
    <row r="1087">
      <c r="A1087" s="1" t="inlineStr">
        <is>
          <t>ISCOM_TLS</t>
        </is>
      </c>
      <c r="B1087" s="1" t="inlineStr">
        <is>
          <t>708</t>
        </is>
      </c>
      <c r="C1087" s="1" t="inlineStr">
        <is>
          <t>2027</t>
        </is>
      </c>
      <c r="D1087" s="1" t="inlineStr">
        <is>
          <t>V01</t>
        </is>
      </c>
      <c r="E1087" s="1" t="inlineStr">
        <is>
          <t>2027BUD_V1</t>
        </is>
      </c>
      <c r="F1087" s="1" t="inlineStr">
        <is>
          <t>12</t>
        </is>
      </c>
      <c r="G1087" t="n">
        <v>8874.858007064</v>
      </c>
      <c r="H1087">
        <f>IF(PNL!A1087="","",_CALC_PNL!P1087)</f>
        <v/>
      </c>
      <c r="I1087">
        <f>IF(PNL!A1087="","",IF(_CALC_PNL!E1087=1,H1087-G1087,""))</f>
        <v/>
      </c>
    </row>
    <row r="1088">
      <c r="A1088" s="1" t="inlineStr">
        <is>
          <t>ISCOM_TLS</t>
        </is>
      </c>
      <c r="B1088" s="1" t="inlineStr">
        <is>
          <t>708</t>
        </is>
      </c>
      <c r="C1088" s="1" t="inlineStr">
        <is>
          <t>2027</t>
        </is>
      </c>
      <c r="D1088" s="1" t="inlineStr">
        <is>
          <t>V02</t>
        </is>
      </c>
      <c r="E1088" s="1" t="inlineStr">
        <is>
          <t>2027BUD_V1</t>
        </is>
      </c>
      <c r="F1088" s="1" t="inlineStr">
        <is>
          <t>12</t>
        </is>
      </c>
      <c r="G1088" t="n">
        <v>9820.685496857001</v>
      </c>
      <c r="H1088">
        <f>IF(PNL!A1088="","",_CALC_PNL!P1088)</f>
        <v/>
      </c>
      <c r="I1088">
        <f>IF(PNL!A1088="","",IF(_CALC_PNL!E1088=1,H1088-G1088,""))</f>
        <v/>
      </c>
    </row>
    <row r="1089">
      <c r="A1089" s="1" t="inlineStr">
        <is>
          <t>ISCOM_TLS</t>
        </is>
      </c>
      <c r="B1089" s="1" t="inlineStr">
        <is>
          <t>708</t>
        </is>
      </c>
      <c r="C1089" s="1" t="inlineStr">
        <is>
          <t>2027</t>
        </is>
      </c>
      <c r="D1089" s="1" t="inlineStr">
        <is>
          <t>V03</t>
        </is>
      </c>
      <c r="E1089" s="1" t="inlineStr">
        <is>
          <t>2027BUD_V1</t>
        </is>
      </c>
      <c r="F1089" s="1" t="inlineStr">
        <is>
          <t>12</t>
        </is>
      </c>
      <c r="G1089" t="n">
        <v>8296.06278907</v>
      </c>
      <c r="H1089">
        <f>IF(PNL!A1089="","",_CALC_PNL!P1089)</f>
        <v/>
      </c>
      <c r="I1089">
        <f>IF(PNL!A1089="","",IF(_CALC_PNL!E1089=1,H1089-G1089,""))</f>
        <v/>
      </c>
    </row>
    <row r="1090">
      <c r="A1090" s="1" t="inlineStr">
        <is>
          <t>IPAC_NAN</t>
        </is>
      </c>
      <c r="B1090" s="1" t="inlineStr">
        <is>
          <t>708</t>
        </is>
      </c>
      <c r="C1090" s="1" t="inlineStr">
        <is>
          <t>2027</t>
        </is>
      </c>
      <c r="D1090" s="1" t="inlineStr">
        <is>
          <t>V01</t>
        </is>
      </c>
      <c r="E1090" s="1" t="inlineStr">
        <is>
          <t>2027BUD_V1</t>
        </is>
      </c>
      <c r="F1090" s="1" t="inlineStr">
        <is>
          <t>12</t>
        </is>
      </c>
      <c r="G1090" t="n">
        <v>4720.669152694</v>
      </c>
      <c r="H1090">
        <f>IF(PNL!A1090="","",_CALC_PNL!P1090)</f>
        <v/>
      </c>
      <c r="I1090">
        <f>IF(PNL!A1090="","",IF(_CALC_PNL!E1090=1,H1090-G1090,""))</f>
        <v/>
      </c>
    </row>
    <row r="1091">
      <c r="A1091" s="1" t="inlineStr">
        <is>
          <t>IPAC_NAN</t>
        </is>
      </c>
      <c r="B1091" s="1" t="inlineStr">
        <is>
          <t>708</t>
        </is>
      </c>
      <c r="C1091" s="1" t="inlineStr">
        <is>
          <t>2027</t>
        </is>
      </c>
      <c r="D1091" s="1" t="inlineStr">
        <is>
          <t>V02</t>
        </is>
      </c>
      <c r="E1091" s="1" t="inlineStr">
        <is>
          <t>2027BUD_V1</t>
        </is>
      </c>
      <c r="F1091" s="1" t="inlineStr">
        <is>
          <t>12</t>
        </is>
      </c>
      <c r="G1091" t="n">
        <v>5223.768881307</v>
      </c>
      <c r="H1091">
        <f>IF(PNL!A1091="","",_CALC_PNL!P1091)</f>
        <v/>
      </c>
      <c r="I1091">
        <f>IF(PNL!A1091="","",IF(_CALC_PNL!E1091=1,H1091-G1091,""))</f>
        <v/>
      </c>
    </row>
    <row r="1092">
      <c r="A1092" s="1" t="inlineStr">
        <is>
          <t>IPAC_NAN</t>
        </is>
      </c>
      <c r="B1092" s="1" t="inlineStr">
        <is>
          <t>708</t>
        </is>
      </c>
      <c r="C1092" s="1" t="inlineStr">
        <is>
          <t>2027</t>
        </is>
      </c>
      <c r="D1092" s="1" t="inlineStr">
        <is>
          <t>V03</t>
        </is>
      </c>
      <c r="E1092" s="1" t="inlineStr">
        <is>
          <t>2027BUD_V1</t>
        </is>
      </c>
      <c r="F1092" s="1" t="inlineStr">
        <is>
          <t>12</t>
        </is>
      </c>
      <c r="G1092" t="n">
        <v>4412.799355888</v>
      </c>
      <c r="H1092">
        <f>IF(PNL!A1092="","",_CALC_PNL!P1092)</f>
        <v/>
      </c>
      <c r="I1092">
        <f>IF(PNL!A1092="","",IF(_CALC_PNL!E1092=1,H1092-G1092,""))</f>
        <v/>
      </c>
    </row>
    <row r="1093">
      <c r="A1093" s="1" t="inlineStr">
        <is>
          <t>IPAC_REN</t>
        </is>
      </c>
      <c r="B1093" s="1" t="inlineStr">
        <is>
          <t>708</t>
        </is>
      </c>
      <c r="C1093" s="1" t="inlineStr">
        <is>
          <t>2027</t>
        </is>
      </c>
      <c r="D1093" s="1" t="inlineStr">
        <is>
          <t>V01</t>
        </is>
      </c>
      <c r="E1093" s="1" t="inlineStr">
        <is>
          <t>2027BUD_V1</t>
        </is>
      </c>
      <c r="F1093" s="1" t="inlineStr">
        <is>
          <t>12</t>
        </is>
      </c>
      <c r="G1093" t="n">
        <v>3776.535322155</v>
      </c>
      <c r="H1093">
        <f>IF(PNL!A1093="","",_CALC_PNL!P1093)</f>
        <v/>
      </c>
      <c r="I1093">
        <f>IF(PNL!A1093="","",IF(_CALC_PNL!E1093=1,H1093-G1093,""))</f>
        <v/>
      </c>
    </row>
    <row r="1094">
      <c r="A1094" s="1" t="inlineStr">
        <is>
          <t>IPAC_REN</t>
        </is>
      </c>
      <c r="B1094" s="1" t="inlineStr">
        <is>
          <t>708</t>
        </is>
      </c>
      <c r="C1094" s="1" t="inlineStr">
        <is>
          <t>2027</t>
        </is>
      </c>
      <c r="D1094" s="1" t="inlineStr">
        <is>
          <t>V02</t>
        </is>
      </c>
      <c r="E1094" s="1" t="inlineStr">
        <is>
          <t>2027BUD_V1</t>
        </is>
      </c>
      <c r="F1094" s="1" t="inlineStr">
        <is>
          <t>12</t>
        </is>
      </c>
      <c r="G1094" t="n">
        <v>4179.015105045</v>
      </c>
      <c r="H1094">
        <f>IF(PNL!A1094="","",_CALC_PNL!P1094)</f>
        <v/>
      </c>
      <c r="I1094">
        <f>IF(PNL!A1094="","",IF(_CALC_PNL!E1094=1,H1094-G1094,""))</f>
        <v/>
      </c>
    </row>
    <row r="1095">
      <c r="A1095" s="1" t="inlineStr">
        <is>
          <t>IPAC_REN</t>
        </is>
      </c>
      <c r="B1095" s="1" t="inlineStr">
        <is>
          <t>708</t>
        </is>
      </c>
      <c r="C1095" s="1" t="inlineStr">
        <is>
          <t>2027</t>
        </is>
      </c>
      <c r="D1095" s="1" t="inlineStr">
        <is>
          <t>V03</t>
        </is>
      </c>
      <c r="E1095" s="1" t="inlineStr">
        <is>
          <t>2027BUD_V1</t>
        </is>
      </c>
      <c r="F1095" s="1" t="inlineStr">
        <is>
          <t>12</t>
        </is>
      </c>
      <c r="G1095" t="n">
        <v>3530.23948471</v>
      </c>
      <c r="H1095">
        <f>IF(PNL!A1095="","",_CALC_PNL!P1095)</f>
        <v/>
      </c>
      <c r="I1095">
        <f>IF(PNL!A1095="","",IF(_CALC_PNL!E1095=1,H1095-G1095,""))</f>
        <v/>
      </c>
    </row>
    <row r="1096">
      <c r="A1096" s="1" t="inlineStr">
        <is>
          <t>IPAC_MTP</t>
        </is>
      </c>
      <c r="B1096" s="1" t="inlineStr">
        <is>
          <t>708</t>
        </is>
      </c>
      <c r="C1096" s="1" t="inlineStr">
        <is>
          <t>2027</t>
        </is>
      </c>
      <c r="D1096" s="1" t="inlineStr">
        <is>
          <t>V01</t>
        </is>
      </c>
      <c r="E1096" s="1" t="inlineStr">
        <is>
          <t>2027BUD_V1</t>
        </is>
      </c>
      <c r="F1096" s="1" t="inlineStr">
        <is>
          <t>12</t>
        </is>
      </c>
      <c r="G1096" t="n">
        <v>3776.535322155</v>
      </c>
      <c r="H1096">
        <f>IF(PNL!A1096="","",_CALC_PNL!P1096)</f>
        <v/>
      </c>
      <c r="I1096">
        <f>IF(PNL!A1096="","",IF(_CALC_PNL!E1096=1,H1096-G1096,""))</f>
        <v/>
      </c>
    </row>
    <row r="1097">
      <c r="A1097" s="1" t="inlineStr">
        <is>
          <t>IPAC_MTP</t>
        </is>
      </c>
      <c r="B1097" s="1" t="inlineStr">
        <is>
          <t>708</t>
        </is>
      </c>
      <c r="C1097" s="1" t="inlineStr">
        <is>
          <t>2027</t>
        </is>
      </c>
      <c r="D1097" s="1" t="inlineStr">
        <is>
          <t>V02</t>
        </is>
      </c>
      <c r="E1097" s="1" t="inlineStr">
        <is>
          <t>2027BUD_V1</t>
        </is>
      </c>
      <c r="F1097" s="1" t="inlineStr">
        <is>
          <t>12</t>
        </is>
      </c>
      <c r="G1097" t="n">
        <v>4179.015105045</v>
      </c>
      <c r="H1097">
        <f>IF(PNL!A1097="","",_CALC_PNL!P1097)</f>
        <v/>
      </c>
      <c r="I1097">
        <f>IF(PNL!A1097="","",IF(_CALC_PNL!E1097=1,H1097-G1097,""))</f>
        <v/>
      </c>
    </row>
    <row r="1098">
      <c r="A1098" s="1" t="inlineStr">
        <is>
          <t>IPAC_MTP</t>
        </is>
      </c>
      <c r="B1098" s="1" t="inlineStr">
        <is>
          <t>708</t>
        </is>
      </c>
      <c r="C1098" s="1" t="inlineStr">
        <is>
          <t>2027</t>
        </is>
      </c>
      <c r="D1098" s="1" t="inlineStr">
        <is>
          <t>V03</t>
        </is>
      </c>
      <c r="E1098" s="1" t="inlineStr">
        <is>
          <t>2027BUD_V1</t>
        </is>
      </c>
      <c r="F1098" s="1" t="inlineStr">
        <is>
          <t>12</t>
        </is>
      </c>
      <c r="G1098" t="n">
        <v>3530.23948471</v>
      </c>
      <c r="H1098">
        <f>IF(PNL!A1098="","",_CALC_PNL!P1098)</f>
        <v/>
      </c>
      <c r="I1098">
        <f>IF(PNL!A1098="","",IF(_CALC_PNL!E1098=1,H1098-G1098,""))</f>
        <v/>
      </c>
    </row>
    <row r="1099">
      <c r="A1099" s="1" t="inlineStr">
        <is>
          <t>PIGIER_LYO</t>
        </is>
      </c>
      <c r="B1099" s="1" t="inlineStr">
        <is>
          <t>708</t>
        </is>
      </c>
      <c r="C1099" s="1" t="inlineStr">
        <is>
          <t>2027</t>
        </is>
      </c>
      <c r="D1099" s="1" t="inlineStr">
        <is>
          <t>V01</t>
        </is>
      </c>
      <c r="E1099" s="1" t="inlineStr">
        <is>
          <t>2027BUD_V1</t>
        </is>
      </c>
      <c r="F1099" s="1" t="inlineStr">
        <is>
          <t>12</t>
        </is>
      </c>
      <c r="G1099" t="n">
        <v>8686.031240955999</v>
      </c>
      <c r="H1099">
        <f>IF(PNL!A1099="","",_CALC_PNL!P1099)</f>
        <v/>
      </c>
      <c r="I1099">
        <f>IF(PNL!A1099="","",IF(_CALC_PNL!E1099=1,H1099-G1099,""))</f>
        <v/>
      </c>
    </row>
    <row r="1100">
      <c r="A1100" s="1" t="inlineStr">
        <is>
          <t>PIGIER_LYO</t>
        </is>
      </c>
      <c r="B1100" s="1" t="inlineStr">
        <is>
          <t>708</t>
        </is>
      </c>
      <c r="C1100" s="1" t="inlineStr">
        <is>
          <t>2027</t>
        </is>
      </c>
      <c r="D1100" s="1" t="inlineStr">
        <is>
          <t>V02</t>
        </is>
      </c>
      <c r="E1100" s="1" t="inlineStr">
        <is>
          <t>2027BUD_V1</t>
        </is>
      </c>
      <c r="F1100" s="1" t="inlineStr">
        <is>
          <t>12</t>
        </is>
      </c>
      <c r="G1100" t="n">
        <v>9611.734741605</v>
      </c>
      <c r="H1100">
        <f>IF(PNL!A1100="","",_CALC_PNL!P1100)</f>
        <v/>
      </c>
      <c r="I1100">
        <f>IF(PNL!A1100="","",IF(_CALC_PNL!E1100=1,H1100-G1100,""))</f>
        <v/>
      </c>
    </row>
    <row r="1101">
      <c r="A1101" s="1" t="inlineStr">
        <is>
          <t>PIGIER_LYO</t>
        </is>
      </c>
      <c r="B1101" s="1" t="inlineStr">
        <is>
          <t>708</t>
        </is>
      </c>
      <c r="C1101" s="1" t="inlineStr">
        <is>
          <t>2027</t>
        </is>
      </c>
      <c r="D1101" s="1" t="inlineStr">
        <is>
          <t>V03</t>
        </is>
      </c>
      <c r="E1101" s="1" t="inlineStr">
        <is>
          <t>2027BUD_V1</t>
        </is>
      </c>
      <c r="F1101" s="1" t="inlineStr">
        <is>
          <t>12</t>
        </is>
      </c>
      <c r="G1101" t="n">
        <v>8119.550814834</v>
      </c>
      <c r="H1101">
        <f>IF(PNL!A1101="","",_CALC_PNL!P1101)</f>
        <v/>
      </c>
      <c r="I1101">
        <f>IF(PNL!A1101="","",IF(_CALC_PNL!E1101=1,H1101-G1101,""))</f>
        <v/>
      </c>
    </row>
    <row r="1102">
      <c r="A1102" s="1" t="inlineStr">
        <is>
          <t>PIGIER_BOR</t>
        </is>
      </c>
      <c r="B1102" s="1" t="inlineStr">
        <is>
          <t>708</t>
        </is>
      </c>
      <c r="C1102" s="1" t="inlineStr">
        <is>
          <t>2027</t>
        </is>
      </c>
      <c r="D1102" s="1" t="inlineStr">
        <is>
          <t>V01</t>
        </is>
      </c>
      <c r="E1102" s="1" t="inlineStr">
        <is>
          <t>2027BUD_V1</t>
        </is>
      </c>
      <c r="F1102" s="1" t="inlineStr">
        <is>
          <t>12</t>
        </is>
      </c>
      <c r="G1102" t="n">
        <v>6797.763579879</v>
      </c>
      <c r="H1102">
        <f>IF(PNL!A1102="","",_CALC_PNL!P1102)</f>
        <v/>
      </c>
      <c r="I1102">
        <f>IF(PNL!A1102="","",IF(_CALC_PNL!E1102=1,H1102-G1102,""))</f>
        <v/>
      </c>
    </row>
    <row r="1103">
      <c r="A1103" s="1" t="inlineStr">
        <is>
          <t>PIGIER_BOR</t>
        </is>
      </c>
      <c r="B1103" s="1" t="inlineStr">
        <is>
          <t>708</t>
        </is>
      </c>
      <c r="C1103" s="1" t="inlineStr">
        <is>
          <t>2027</t>
        </is>
      </c>
      <c r="D1103" s="1" t="inlineStr">
        <is>
          <t>V02</t>
        </is>
      </c>
      <c r="E1103" s="1" t="inlineStr">
        <is>
          <t>2027BUD_V1</t>
        </is>
      </c>
      <c r="F1103" s="1" t="inlineStr">
        <is>
          <t>12</t>
        </is>
      </c>
      <c r="G1103" t="n">
        <v>7522.227189082</v>
      </c>
      <c r="H1103">
        <f>IF(PNL!A1103="","",_CALC_PNL!P1103)</f>
        <v/>
      </c>
      <c r="I1103">
        <f>IF(PNL!A1103="","",IF(_CALC_PNL!E1103=1,H1103-G1103,""))</f>
        <v/>
      </c>
    </row>
    <row r="1104">
      <c r="A1104" s="1" t="inlineStr">
        <is>
          <t>PIGIER_BOR</t>
        </is>
      </c>
      <c r="B1104" s="1" t="inlineStr">
        <is>
          <t>708</t>
        </is>
      </c>
      <c r="C1104" s="1" t="inlineStr">
        <is>
          <t>2027</t>
        </is>
      </c>
      <c r="D1104" s="1" t="inlineStr">
        <is>
          <t>V03</t>
        </is>
      </c>
      <c r="E1104" s="1" t="inlineStr">
        <is>
          <t>2027BUD_V1</t>
        </is>
      </c>
      <c r="F1104" s="1" t="inlineStr">
        <is>
          <t>12</t>
        </is>
      </c>
      <c r="G1104" t="n">
        <v>6354.431072479</v>
      </c>
      <c r="H1104">
        <f>IF(PNL!A1104="","",_CALC_PNL!P1104)</f>
        <v/>
      </c>
      <c r="I1104">
        <f>IF(PNL!A1104="","",IF(_CALC_PNL!E1104=1,H1104-G1104,""))</f>
        <v/>
      </c>
    </row>
    <row r="1105">
      <c r="A1105" s="1" t="inlineStr">
        <is>
          <t>TUNON_PAR</t>
        </is>
      </c>
      <c r="B1105" s="1" t="inlineStr">
        <is>
          <t>708</t>
        </is>
      </c>
      <c r="C1105" s="1" t="inlineStr">
        <is>
          <t>2027</t>
        </is>
      </c>
      <c r="D1105" s="1" t="inlineStr">
        <is>
          <t>V01</t>
        </is>
      </c>
      <c r="E1105" s="1" t="inlineStr">
        <is>
          <t>2027BUD_V1</t>
        </is>
      </c>
      <c r="F1105" s="1" t="inlineStr">
        <is>
          <t>12</t>
        </is>
      </c>
      <c r="G1105" t="n">
        <v>4437.429003532</v>
      </c>
      <c r="H1105">
        <f>IF(PNL!A1105="","",_CALC_PNL!P1105)</f>
        <v/>
      </c>
      <c r="I1105">
        <f>IF(PNL!A1105="","",IF(_CALC_PNL!E1105=1,H1105-G1105,""))</f>
        <v/>
      </c>
    </row>
    <row r="1106">
      <c r="A1106" s="1" t="inlineStr">
        <is>
          <t>TUNON_PAR</t>
        </is>
      </c>
      <c r="B1106" s="1" t="inlineStr">
        <is>
          <t>708</t>
        </is>
      </c>
      <c r="C1106" s="1" t="inlineStr">
        <is>
          <t>2027</t>
        </is>
      </c>
      <c r="D1106" s="1" t="inlineStr">
        <is>
          <t>V02</t>
        </is>
      </c>
      <c r="E1106" s="1" t="inlineStr">
        <is>
          <t>2027BUD_V1</t>
        </is>
      </c>
      <c r="F1106" s="1" t="inlineStr">
        <is>
          <t>12</t>
        </is>
      </c>
      <c r="G1106" t="n">
        <v>4910.342748428</v>
      </c>
      <c r="H1106">
        <f>IF(PNL!A1106="","",_CALC_PNL!P1106)</f>
        <v/>
      </c>
      <c r="I1106">
        <f>IF(PNL!A1106="","",IF(_CALC_PNL!E1106=1,H1106-G1106,""))</f>
        <v/>
      </c>
    </row>
    <row r="1107">
      <c r="A1107" s="1" t="inlineStr">
        <is>
          <t>TUNON_PAR</t>
        </is>
      </c>
      <c r="B1107" s="1" t="inlineStr">
        <is>
          <t>708</t>
        </is>
      </c>
      <c r="C1107" s="1" t="inlineStr">
        <is>
          <t>2027</t>
        </is>
      </c>
      <c r="D1107" s="1" t="inlineStr">
        <is>
          <t>V03</t>
        </is>
      </c>
      <c r="E1107" s="1" t="inlineStr">
        <is>
          <t>2027BUD_V1</t>
        </is>
      </c>
      <c r="F1107" s="1" t="inlineStr">
        <is>
          <t>12</t>
        </is>
      </c>
      <c r="G1107" t="n">
        <v>4148.031394535</v>
      </c>
      <c r="H1107">
        <f>IF(PNL!A1107="","",_CALC_PNL!P1107)</f>
        <v/>
      </c>
      <c r="I1107">
        <f>IF(PNL!A1107="","",IF(_CALC_PNL!E1107=1,H1107-G1107,""))</f>
        <v/>
      </c>
    </row>
    <row r="1108">
      <c r="A1108" s="1" t="inlineStr">
        <is>
          <t>TUNON_LYO</t>
        </is>
      </c>
      <c r="B1108" s="1" t="inlineStr">
        <is>
          <t>708</t>
        </is>
      </c>
      <c r="C1108" s="1" t="inlineStr">
        <is>
          <t>2027</t>
        </is>
      </c>
      <c r="D1108" s="1" t="inlineStr">
        <is>
          <t>V01</t>
        </is>
      </c>
      <c r="E1108" s="1" t="inlineStr">
        <is>
          <t>2027BUD_V1</t>
        </is>
      </c>
      <c r="F1108" s="1" t="inlineStr">
        <is>
          <t>12</t>
        </is>
      </c>
      <c r="G1108" t="n">
        <v>3776.535322155</v>
      </c>
      <c r="H1108">
        <f>IF(PNL!A1108="","",_CALC_PNL!P1108)</f>
        <v/>
      </c>
      <c r="I1108">
        <f>IF(PNL!A1108="","",IF(_CALC_PNL!E1108=1,H1108-G1108,""))</f>
        <v/>
      </c>
    </row>
    <row r="1109">
      <c r="A1109" s="1" t="inlineStr">
        <is>
          <t>TUNON_LYO</t>
        </is>
      </c>
      <c r="B1109" s="1" t="inlineStr">
        <is>
          <t>708</t>
        </is>
      </c>
      <c r="C1109" s="1" t="inlineStr">
        <is>
          <t>2027</t>
        </is>
      </c>
      <c r="D1109" s="1" t="inlineStr">
        <is>
          <t>V02</t>
        </is>
      </c>
      <c r="E1109" s="1" t="inlineStr">
        <is>
          <t>2027BUD_V1</t>
        </is>
      </c>
      <c r="F1109" s="1" t="inlineStr">
        <is>
          <t>12</t>
        </is>
      </c>
      <c r="G1109" t="n">
        <v>4179.015105045</v>
      </c>
      <c r="H1109">
        <f>IF(PNL!A1109="","",_CALC_PNL!P1109)</f>
        <v/>
      </c>
      <c r="I1109">
        <f>IF(PNL!A1109="","",IF(_CALC_PNL!E1109=1,H1109-G1109,""))</f>
        <v/>
      </c>
    </row>
    <row r="1110">
      <c r="A1110" s="1" t="inlineStr">
        <is>
          <t>TUNON_LYO</t>
        </is>
      </c>
      <c r="B1110" s="1" t="inlineStr">
        <is>
          <t>708</t>
        </is>
      </c>
      <c r="C1110" s="1" t="inlineStr">
        <is>
          <t>2027</t>
        </is>
      </c>
      <c r="D1110" s="1" t="inlineStr">
        <is>
          <t>V03</t>
        </is>
      </c>
      <c r="E1110" s="1" t="inlineStr">
        <is>
          <t>2027BUD_V1</t>
        </is>
      </c>
      <c r="F1110" s="1" t="inlineStr">
        <is>
          <t>12</t>
        </is>
      </c>
      <c r="G1110" t="n">
        <v>3530.23948471</v>
      </c>
      <c r="H1110">
        <f>IF(PNL!A1110="","",_CALC_PNL!P1110)</f>
        <v/>
      </c>
      <c r="I1110">
        <f>IF(PNL!A1110="","",IF(_CALC_PNL!E1110=1,H1110-G1110,""))</f>
        <v/>
      </c>
    </row>
    <row r="1111">
      <c r="A1111" s="1" t="inlineStr">
        <is>
          <t>MBWAY_PAR</t>
        </is>
      </c>
      <c r="B1111" s="1" t="inlineStr">
        <is>
          <t>621</t>
        </is>
      </c>
      <c r="C1111" s="1" t="inlineStr">
        <is>
          <t>2027</t>
        </is>
      </c>
      <c r="D1111" s="1" t="inlineStr">
        <is>
          <t>V01</t>
        </is>
      </c>
      <c r="E1111" s="1" t="inlineStr">
        <is>
          <t>2027BUD_V1</t>
        </is>
      </c>
      <c r="F1111" s="1" t="inlineStr">
        <is>
          <t>12</t>
        </is>
      </c>
      <c r="G1111" t="n">
        <v>186459.886585879</v>
      </c>
      <c r="H1111">
        <f>IF(PNL!A1111="","",_CALC_PNL!P1111)</f>
        <v/>
      </c>
      <c r="I1111">
        <f>IF(PNL!A1111="","",IF(_CALC_PNL!E1111=1,H1111-G1111,""))</f>
        <v/>
      </c>
    </row>
    <row r="1112">
      <c r="A1112" s="1" t="inlineStr">
        <is>
          <t>MBWAY_PAR</t>
        </is>
      </c>
      <c r="B1112" s="1" t="inlineStr">
        <is>
          <t>621</t>
        </is>
      </c>
      <c r="C1112" s="1" t="inlineStr">
        <is>
          <t>2027</t>
        </is>
      </c>
      <c r="D1112" s="1" t="inlineStr">
        <is>
          <t>V02</t>
        </is>
      </c>
      <c r="E1112" s="1" t="inlineStr">
        <is>
          <t>2027BUD_V1</t>
        </is>
      </c>
      <c r="F1112" s="1" t="inlineStr">
        <is>
          <t>12</t>
        </is>
      </c>
      <c r="G1112" t="n">
        <v>203914.090163921</v>
      </c>
      <c r="H1112">
        <f>IF(PNL!A1112="","",_CALC_PNL!P1112)</f>
        <v/>
      </c>
      <c r="I1112">
        <f>IF(PNL!A1112="","",IF(_CALC_PNL!E1112=1,H1112-G1112,""))</f>
        <v/>
      </c>
    </row>
    <row r="1113">
      <c r="A1113" s="1" t="inlineStr">
        <is>
          <t>MBWAY_PAR</t>
        </is>
      </c>
      <c r="B1113" s="1" t="inlineStr">
        <is>
          <t>621</t>
        </is>
      </c>
      <c r="C1113" s="1" t="inlineStr">
        <is>
          <t>2027</t>
        </is>
      </c>
      <c r="D1113" s="1" t="inlineStr">
        <is>
          <t>V03</t>
        </is>
      </c>
      <c r="E1113" s="1" t="inlineStr">
        <is>
          <t>2027BUD_V1</t>
        </is>
      </c>
      <c r="F1113" s="1" t="inlineStr">
        <is>
          <t>12</t>
        </is>
      </c>
      <c r="G1113" t="n">
        <v>177584.774790045</v>
      </c>
      <c r="H1113">
        <f>IF(PNL!A1113="","",_CALC_PNL!P1113)</f>
        <v/>
      </c>
      <c r="I1113">
        <f>IF(PNL!A1113="","",IF(_CALC_PNL!E1113=1,H1113-G1113,""))</f>
        <v/>
      </c>
    </row>
    <row r="1114">
      <c r="A1114" s="1" t="inlineStr">
        <is>
          <t>MBWAY_LYO</t>
        </is>
      </c>
      <c r="B1114" s="1" t="inlineStr">
        <is>
          <t>621</t>
        </is>
      </c>
      <c r="C1114" s="1" t="inlineStr">
        <is>
          <t>2027</t>
        </is>
      </c>
      <c r="D1114" s="1" t="inlineStr">
        <is>
          <t>V01</t>
        </is>
      </c>
      <c r="E1114" s="1" t="inlineStr">
        <is>
          <t>2027BUD_V1</t>
        </is>
      </c>
      <c r="F1114" s="1" t="inlineStr">
        <is>
          <t>12</t>
        </is>
      </c>
      <c r="G1114" t="n">
        <v>161598.431090376</v>
      </c>
      <c r="H1114">
        <f>IF(PNL!A1114="","",_CALC_PNL!P1114)</f>
        <v/>
      </c>
      <c r="I1114">
        <f>IF(PNL!A1114="","",IF(_CALC_PNL!E1114=1,H1114-G1114,""))</f>
        <v/>
      </c>
    </row>
    <row r="1115">
      <c r="A1115" s="1" t="inlineStr">
        <is>
          <t>MBWAY_LYO</t>
        </is>
      </c>
      <c r="B1115" s="1" t="inlineStr">
        <is>
          <t>621</t>
        </is>
      </c>
      <c r="C1115" s="1" t="inlineStr">
        <is>
          <t>2027</t>
        </is>
      </c>
      <c r="D1115" s="1" t="inlineStr">
        <is>
          <t>V02</t>
        </is>
      </c>
      <c r="E1115" s="1" t="inlineStr">
        <is>
          <t>2027BUD_V1</t>
        </is>
      </c>
      <c r="F1115" s="1" t="inlineStr">
        <is>
          <t>12</t>
        </is>
      </c>
      <c r="G1115" t="n">
        <v>176725.394673744</v>
      </c>
      <c r="H1115">
        <f>IF(PNL!A1115="","",_CALC_PNL!P1115)</f>
        <v/>
      </c>
      <c r="I1115">
        <f>IF(PNL!A1115="","",IF(_CALC_PNL!E1115=1,H1115-G1115,""))</f>
        <v/>
      </c>
    </row>
    <row r="1116">
      <c r="A1116" s="1" t="inlineStr">
        <is>
          <t>MBWAY_LYO</t>
        </is>
      </c>
      <c r="B1116" s="1" t="inlineStr">
        <is>
          <t>621</t>
        </is>
      </c>
      <c r="C1116" s="1" t="inlineStr">
        <is>
          <t>2027</t>
        </is>
      </c>
      <c r="D1116" s="1" t="inlineStr">
        <is>
          <t>V03</t>
        </is>
      </c>
      <c r="E1116" s="1" t="inlineStr">
        <is>
          <t>2027BUD_V1</t>
        </is>
      </c>
      <c r="F1116" s="1" t="inlineStr">
        <is>
          <t>12</t>
        </is>
      </c>
      <c r="G1116" t="n">
        <v>153906.674068428</v>
      </c>
      <c r="H1116">
        <f>IF(PNL!A1116="","",_CALC_PNL!P1116)</f>
        <v/>
      </c>
      <c r="I1116">
        <f>IF(PNL!A1116="","",IF(_CALC_PNL!E1116=1,H1116-G1116,""))</f>
        <v/>
      </c>
    </row>
    <row r="1117">
      <c r="A1117" s="1" t="inlineStr">
        <is>
          <t>MBWAY_NAN</t>
        </is>
      </c>
      <c r="B1117" s="1" t="inlineStr">
        <is>
          <t>621</t>
        </is>
      </c>
      <c r="C1117" s="1" t="inlineStr">
        <is>
          <t>2027</t>
        </is>
      </c>
      <c r="D1117" s="1" t="inlineStr">
        <is>
          <t>V01</t>
        </is>
      </c>
      <c r="E1117" s="1" t="inlineStr">
        <is>
          <t>2027BUD_V1</t>
        </is>
      </c>
      <c r="F1117" s="1" t="inlineStr">
        <is>
          <t>12</t>
        </is>
      </c>
      <c r="G1117" t="n">
        <v>149167.703342625</v>
      </c>
      <c r="H1117">
        <f>IF(PNL!A1117="","",_CALC_PNL!P1117)</f>
        <v/>
      </c>
      <c r="I1117">
        <f>IF(PNL!A1117="","",IF(_CALC_PNL!E1117=1,H1117-G1117,""))</f>
        <v/>
      </c>
    </row>
    <row r="1118">
      <c r="A1118" s="1" t="inlineStr">
        <is>
          <t>MBWAY_NAN</t>
        </is>
      </c>
      <c r="B1118" s="1" t="inlineStr">
        <is>
          <t>621</t>
        </is>
      </c>
      <c r="C1118" s="1" t="inlineStr">
        <is>
          <t>2027</t>
        </is>
      </c>
      <c r="D1118" s="1" t="inlineStr">
        <is>
          <t>V02</t>
        </is>
      </c>
      <c r="E1118" s="1" t="inlineStr">
        <is>
          <t>2027BUD_V1</t>
        </is>
      </c>
      <c r="F1118" s="1" t="inlineStr">
        <is>
          <t>12</t>
        </is>
      </c>
      <c r="G1118" t="n">
        <v>163131.046928656</v>
      </c>
      <c r="H1118">
        <f>IF(PNL!A1118="","",_CALC_PNL!P1118)</f>
        <v/>
      </c>
      <c r="I1118">
        <f>IF(PNL!A1118="","",IF(_CALC_PNL!E1118=1,H1118-G1118,""))</f>
        <v/>
      </c>
    </row>
    <row r="1119">
      <c r="A1119" s="1" t="inlineStr">
        <is>
          <t>MBWAY_NAN</t>
        </is>
      </c>
      <c r="B1119" s="1" t="inlineStr">
        <is>
          <t>621</t>
        </is>
      </c>
      <c r="C1119" s="1" t="inlineStr">
        <is>
          <t>2027</t>
        </is>
      </c>
      <c r="D1119" s="1" t="inlineStr">
        <is>
          <t>V03</t>
        </is>
      </c>
      <c r="E1119" s="1" t="inlineStr">
        <is>
          <t>2027BUD_V1</t>
        </is>
      </c>
      <c r="F1119" s="1" t="inlineStr">
        <is>
          <t>12</t>
        </is>
      </c>
      <c r="G1119" t="n">
        <v>142067.62370762</v>
      </c>
      <c r="H1119">
        <f>IF(PNL!A1119="","",_CALC_PNL!P1119)</f>
        <v/>
      </c>
      <c r="I1119">
        <f>IF(PNL!A1119="","",IF(_CALC_PNL!E1119=1,H1119-G1119,""))</f>
        <v/>
      </c>
    </row>
    <row r="1120">
      <c r="A1120" s="1" t="inlineStr">
        <is>
          <t>MBWAY_BOR</t>
        </is>
      </c>
      <c r="B1120" s="1" t="inlineStr">
        <is>
          <t>621</t>
        </is>
      </c>
      <c r="C1120" s="1" t="inlineStr">
        <is>
          <t>2027</t>
        </is>
      </c>
      <c r="D1120" s="1" t="inlineStr">
        <is>
          <t>V01</t>
        </is>
      </c>
      <c r="E1120" s="1" t="inlineStr">
        <is>
          <t>2027BUD_V1</t>
        </is>
      </c>
      <c r="F1120" s="1" t="inlineStr">
        <is>
          <t>12</t>
        </is>
      </c>
      <c r="G1120" t="n">
        <v>124306.247847122</v>
      </c>
      <c r="H1120">
        <f>IF(PNL!A1120="","",_CALC_PNL!P1120)</f>
        <v/>
      </c>
      <c r="I1120">
        <f>IF(PNL!A1120="","",IF(_CALC_PNL!E1120=1,H1120-G1120,""))</f>
        <v/>
      </c>
    </row>
    <row r="1121">
      <c r="A1121" s="1" t="inlineStr">
        <is>
          <t>MBWAY_BOR</t>
        </is>
      </c>
      <c r="B1121" s="1" t="inlineStr">
        <is>
          <t>621</t>
        </is>
      </c>
      <c r="C1121" s="1" t="inlineStr">
        <is>
          <t>2027</t>
        </is>
      </c>
      <c r="D1121" s="1" t="inlineStr">
        <is>
          <t>V02</t>
        </is>
      </c>
      <c r="E1121" s="1" t="inlineStr">
        <is>
          <t>2027BUD_V1</t>
        </is>
      </c>
      <c r="F1121" s="1" t="inlineStr">
        <is>
          <t>12</t>
        </is>
      </c>
      <c r="G1121" t="n">
        <v>135942.35143848</v>
      </c>
      <c r="H1121">
        <f>IF(PNL!A1121="","",_CALC_PNL!P1121)</f>
        <v/>
      </c>
      <c r="I1121">
        <f>IF(PNL!A1121="","",IF(_CALC_PNL!E1121=1,H1121-G1121,""))</f>
        <v/>
      </c>
    </row>
    <row r="1122">
      <c r="A1122" s="1" t="inlineStr">
        <is>
          <t>MBWAY_BOR</t>
        </is>
      </c>
      <c r="B1122" s="1" t="inlineStr">
        <is>
          <t>621</t>
        </is>
      </c>
      <c r="C1122" s="1" t="inlineStr">
        <is>
          <t>2027</t>
        </is>
      </c>
      <c r="D1122" s="1" t="inlineStr">
        <is>
          <t>V03</t>
        </is>
      </c>
      <c r="E1122" s="1" t="inlineStr">
        <is>
          <t>2027BUD_V1</t>
        </is>
      </c>
      <c r="F1122" s="1" t="inlineStr">
        <is>
          <t>12</t>
        </is>
      </c>
      <c r="G1122" t="n">
        <v>118389.522986004</v>
      </c>
      <c r="H1122">
        <f>IF(PNL!A1122="","",_CALC_PNL!P1122)</f>
        <v/>
      </c>
      <c r="I1122">
        <f>IF(PNL!A1122="","",IF(_CALC_PNL!E1122=1,H1122-G1122,""))</f>
        <v/>
      </c>
    </row>
    <row r="1123">
      <c r="A1123" s="1" t="inlineStr">
        <is>
          <t>ISCOM_PAR</t>
        </is>
      </c>
      <c r="B1123" s="1" t="inlineStr">
        <is>
          <t>621</t>
        </is>
      </c>
      <c r="C1123" s="1" t="inlineStr">
        <is>
          <t>2027</t>
        </is>
      </c>
      <c r="D1123" s="1" t="inlineStr">
        <is>
          <t>V01</t>
        </is>
      </c>
      <c r="E1123" s="1" t="inlineStr">
        <is>
          <t>2027BUD_V1</t>
        </is>
      </c>
      <c r="F1123" s="1" t="inlineStr">
        <is>
          <t>12</t>
        </is>
      </c>
      <c r="G1123" t="n">
        <v>186459.886585879</v>
      </c>
      <c r="H1123">
        <f>IF(PNL!A1123="","",_CALC_PNL!P1123)</f>
        <v/>
      </c>
      <c r="I1123">
        <f>IF(PNL!A1123="","",IF(_CALC_PNL!E1123=1,H1123-G1123,""))</f>
        <v/>
      </c>
    </row>
    <row r="1124">
      <c r="A1124" s="1" t="inlineStr">
        <is>
          <t>ISCOM_PAR</t>
        </is>
      </c>
      <c r="B1124" s="1" t="inlineStr">
        <is>
          <t>621</t>
        </is>
      </c>
      <c r="C1124" s="1" t="inlineStr">
        <is>
          <t>2027</t>
        </is>
      </c>
      <c r="D1124" s="1" t="inlineStr">
        <is>
          <t>V02</t>
        </is>
      </c>
      <c r="E1124" s="1" t="inlineStr">
        <is>
          <t>2027BUD_V1</t>
        </is>
      </c>
      <c r="F1124" s="1" t="inlineStr">
        <is>
          <t>12</t>
        </is>
      </c>
      <c r="G1124" t="n">
        <v>203914.090163921</v>
      </c>
      <c r="H1124">
        <f>IF(PNL!A1124="","",_CALC_PNL!P1124)</f>
        <v/>
      </c>
      <c r="I1124">
        <f>IF(PNL!A1124="","",IF(_CALC_PNL!E1124=1,H1124-G1124,""))</f>
        <v/>
      </c>
    </row>
    <row r="1125">
      <c r="A1125" s="1" t="inlineStr">
        <is>
          <t>ISCOM_PAR</t>
        </is>
      </c>
      <c r="B1125" s="1" t="inlineStr">
        <is>
          <t>621</t>
        </is>
      </c>
      <c r="C1125" s="1" t="inlineStr">
        <is>
          <t>2027</t>
        </is>
      </c>
      <c r="D1125" s="1" t="inlineStr">
        <is>
          <t>V03</t>
        </is>
      </c>
      <c r="E1125" s="1" t="inlineStr">
        <is>
          <t>2027BUD_V1</t>
        </is>
      </c>
      <c r="F1125" s="1" t="inlineStr">
        <is>
          <t>12</t>
        </is>
      </c>
      <c r="G1125" t="n">
        <v>177584.774790045</v>
      </c>
      <c r="H1125">
        <f>IF(PNL!A1125="","",_CALC_PNL!P1125)</f>
        <v/>
      </c>
      <c r="I1125">
        <f>IF(PNL!A1125="","",IF(_CALC_PNL!E1125=1,H1125-G1125,""))</f>
        <v/>
      </c>
    </row>
    <row r="1126">
      <c r="A1126" s="1" t="inlineStr">
        <is>
          <t>ISCOM_LIL</t>
        </is>
      </c>
      <c r="B1126" s="1" t="inlineStr">
        <is>
          <t>621</t>
        </is>
      </c>
      <c r="C1126" s="1" t="inlineStr">
        <is>
          <t>2027</t>
        </is>
      </c>
      <c r="D1126" s="1" t="inlineStr">
        <is>
          <t>V01</t>
        </is>
      </c>
      <c r="E1126" s="1" t="inlineStr">
        <is>
          <t>2027BUD_V1</t>
        </is>
      </c>
      <c r="F1126" s="1" t="inlineStr">
        <is>
          <t>12</t>
        </is>
      </c>
      <c r="G1126" t="n">
        <v>124306.247847122</v>
      </c>
      <c r="H1126">
        <f>IF(PNL!A1126="","",_CALC_PNL!P1126)</f>
        <v/>
      </c>
      <c r="I1126">
        <f>IF(PNL!A1126="","",IF(_CALC_PNL!E1126=1,H1126-G1126,""))</f>
        <v/>
      </c>
    </row>
    <row r="1127">
      <c r="A1127" s="1" t="inlineStr">
        <is>
          <t>ISCOM_LIL</t>
        </is>
      </c>
      <c r="B1127" s="1" t="inlineStr">
        <is>
          <t>621</t>
        </is>
      </c>
      <c r="C1127" s="1" t="inlineStr">
        <is>
          <t>2027</t>
        </is>
      </c>
      <c r="D1127" s="1" t="inlineStr">
        <is>
          <t>V02</t>
        </is>
      </c>
      <c r="E1127" s="1" t="inlineStr">
        <is>
          <t>2027BUD_V1</t>
        </is>
      </c>
      <c r="F1127" s="1" t="inlineStr">
        <is>
          <t>12</t>
        </is>
      </c>
      <c r="G1127" t="n">
        <v>135942.35143848</v>
      </c>
      <c r="H1127">
        <f>IF(PNL!A1127="","",_CALC_PNL!P1127)</f>
        <v/>
      </c>
      <c r="I1127">
        <f>IF(PNL!A1127="","",IF(_CALC_PNL!E1127=1,H1127-G1127,""))</f>
        <v/>
      </c>
    </row>
    <row r="1128">
      <c r="A1128" s="1" t="inlineStr">
        <is>
          <t>ISCOM_LIL</t>
        </is>
      </c>
      <c r="B1128" s="1" t="inlineStr">
        <is>
          <t>621</t>
        </is>
      </c>
      <c r="C1128" s="1" t="inlineStr">
        <is>
          <t>2027</t>
        </is>
      </c>
      <c r="D1128" s="1" t="inlineStr">
        <is>
          <t>V03</t>
        </is>
      </c>
      <c r="E1128" s="1" t="inlineStr">
        <is>
          <t>2027BUD_V1</t>
        </is>
      </c>
      <c r="F1128" s="1" t="inlineStr">
        <is>
          <t>12</t>
        </is>
      </c>
      <c r="G1128" t="n">
        <v>118389.522986004</v>
      </c>
      <c r="H1128">
        <f>IF(PNL!A1128="","",_CALC_PNL!P1128)</f>
        <v/>
      </c>
      <c r="I1128">
        <f>IF(PNL!A1128="","",IF(_CALC_PNL!E1128=1,H1128-G1128,""))</f>
        <v/>
      </c>
    </row>
    <row r="1129">
      <c r="A1129" s="1" t="inlineStr">
        <is>
          <t>ISCOM_TLS</t>
        </is>
      </c>
      <c r="B1129" s="1" t="inlineStr">
        <is>
          <t>621</t>
        </is>
      </c>
      <c r="C1129" s="1" t="inlineStr">
        <is>
          <t>2027</t>
        </is>
      </c>
      <c r="D1129" s="1" t="inlineStr">
        <is>
          <t>V01</t>
        </is>
      </c>
      <c r="E1129" s="1" t="inlineStr">
        <is>
          <t>2027BUD_V1</t>
        </is>
      </c>
      <c r="F1129" s="1" t="inlineStr">
        <is>
          <t>12</t>
        </is>
      </c>
      <c r="G1129" t="n">
        <v>124306.247847122</v>
      </c>
      <c r="H1129">
        <f>IF(PNL!A1129="","",_CALC_PNL!P1129)</f>
        <v/>
      </c>
      <c r="I1129">
        <f>IF(PNL!A1129="","",IF(_CALC_PNL!E1129=1,H1129-G1129,""))</f>
        <v/>
      </c>
    </row>
    <row r="1130">
      <c r="A1130" s="1" t="inlineStr">
        <is>
          <t>ISCOM_TLS</t>
        </is>
      </c>
      <c r="B1130" s="1" t="inlineStr">
        <is>
          <t>621</t>
        </is>
      </c>
      <c r="C1130" s="1" t="inlineStr">
        <is>
          <t>2027</t>
        </is>
      </c>
      <c r="D1130" s="1" t="inlineStr">
        <is>
          <t>V02</t>
        </is>
      </c>
      <c r="E1130" s="1" t="inlineStr">
        <is>
          <t>2027BUD_V1</t>
        </is>
      </c>
      <c r="F1130" s="1" t="inlineStr">
        <is>
          <t>12</t>
        </is>
      </c>
      <c r="G1130" t="n">
        <v>135942.35143848</v>
      </c>
      <c r="H1130">
        <f>IF(PNL!A1130="","",_CALC_PNL!P1130)</f>
        <v/>
      </c>
      <c r="I1130">
        <f>IF(PNL!A1130="","",IF(_CALC_PNL!E1130=1,H1130-G1130,""))</f>
        <v/>
      </c>
    </row>
    <row r="1131">
      <c r="A1131" s="1" t="inlineStr">
        <is>
          <t>ISCOM_TLS</t>
        </is>
      </c>
      <c r="B1131" s="1" t="inlineStr">
        <is>
          <t>621</t>
        </is>
      </c>
      <c r="C1131" s="1" t="inlineStr">
        <is>
          <t>2027</t>
        </is>
      </c>
      <c r="D1131" s="1" t="inlineStr">
        <is>
          <t>V03</t>
        </is>
      </c>
      <c r="E1131" s="1" t="inlineStr">
        <is>
          <t>2027BUD_V1</t>
        </is>
      </c>
      <c r="F1131" s="1" t="inlineStr">
        <is>
          <t>12</t>
        </is>
      </c>
      <c r="G1131" t="n">
        <v>118389.522986004</v>
      </c>
      <c r="H1131">
        <f>IF(PNL!A1131="","",_CALC_PNL!P1131)</f>
        <v/>
      </c>
      <c r="I1131">
        <f>IF(PNL!A1131="","",IF(_CALC_PNL!E1131=1,H1131-G1131,""))</f>
        <v/>
      </c>
    </row>
    <row r="1132">
      <c r="A1132" s="1" t="inlineStr">
        <is>
          <t>IPAC_NAN</t>
        </is>
      </c>
      <c r="B1132" s="1" t="inlineStr">
        <is>
          <t>621</t>
        </is>
      </c>
      <c r="C1132" s="1" t="inlineStr">
        <is>
          <t>2027</t>
        </is>
      </c>
      <c r="D1132" s="1" t="inlineStr">
        <is>
          <t>V01</t>
        </is>
      </c>
      <c r="E1132" s="1" t="inlineStr">
        <is>
          <t>2027BUD_V1</t>
        </is>
      </c>
      <c r="F1132" s="1" t="inlineStr">
        <is>
          <t>12</t>
        </is>
      </c>
      <c r="G1132" t="n">
        <v>74584.366486509</v>
      </c>
      <c r="H1132">
        <f>IF(PNL!A1132="","",_CALC_PNL!P1132)</f>
        <v/>
      </c>
      <c r="I1132">
        <f>IF(PNL!A1132="","",IF(_CALC_PNL!E1132=1,H1132-G1132,""))</f>
        <v/>
      </c>
    </row>
    <row r="1133">
      <c r="A1133" s="1" t="inlineStr">
        <is>
          <t>IPAC_NAN</t>
        </is>
      </c>
      <c r="B1133" s="1" t="inlineStr">
        <is>
          <t>621</t>
        </is>
      </c>
      <c r="C1133" s="1" t="inlineStr">
        <is>
          <t>2027</t>
        </is>
      </c>
      <c r="D1133" s="1" t="inlineStr">
        <is>
          <t>V02</t>
        </is>
      </c>
      <c r="E1133" s="1" t="inlineStr">
        <is>
          <t>2027BUD_V1</t>
        </is>
      </c>
      <c r="F1133" s="1" t="inlineStr">
        <is>
          <t>12</t>
        </is>
      </c>
      <c r="G1133" t="n">
        <v>81566.08647053</v>
      </c>
      <c r="H1133">
        <f>IF(PNL!A1133="","",_CALC_PNL!P1133)</f>
        <v/>
      </c>
      <c r="I1133">
        <f>IF(PNL!A1133="","",IF(_CALC_PNL!E1133=1,H1133-G1133,""))</f>
        <v/>
      </c>
    </row>
    <row r="1134">
      <c r="A1134" s="1" t="inlineStr">
        <is>
          <t>IPAC_NAN</t>
        </is>
      </c>
      <c r="B1134" s="1" t="inlineStr">
        <is>
          <t>621</t>
        </is>
      </c>
      <c r="C1134" s="1" t="inlineStr">
        <is>
          <t>2027</t>
        </is>
      </c>
      <c r="D1134" s="1" t="inlineStr">
        <is>
          <t>V03</t>
        </is>
      </c>
      <c r="E1134" s="1" t="inlineStr">
        <is>
          <t>2027BUD_V1</t>
        </is>
      </c>
      <c r="F1134" s="1" t="inlineStr">
        <is>
          <t>12</t>
        </is>
      </c>
      <c r="G1134" t="n">
        <v>71034.30216485</v>
      </c>
      <c r="H1134">
        <f>IF(PNL!A1134="","",_CALC_PNL!P1134)</f>
        <v/>
      </c>
      <c r="I1134">
        <f>IF(PNL!A1134="","",IF(_CALC_PNL!E1134=1,H1134-G1134,""))</f>
        <v/>
      </c>
    </row>
    <row r="1135">
      <c r="A1135" s="1" t="inlineStr">
        <is>
          <t>IPAC_REN</t>
        </is>
      </c>
      <c r="B1135" s="1" t="inlineStr">
        <is>
          <t>621</t>
        </is>
      </c>
      <c r="C1135" s="1" t="inlineStr">
        <is>
          <t>2027</t>
        </is>
      </c>
      <c r="D1135" s="1" t="inlineStr">
        <is>
          <t>V01</t>
        </is>
      </c>
      <c r="E1135" s="1" t="inlineStr">
        <is>
          <t>2027BUD_V1</t>
        </is>
      </c>
      <c r="F1135" s="1" t="inlineStr">
        <is>
          <t>12</t>
        </is>
      </c>
      <c r="G1135" t="n">
        <v>74584.366486509</v>
      </c>
      <c r="H1135">
        <f>IF(PNL!A1135="","",_CALC_PNL!P1135)</f>
        <v/>
      </c>
      <c r="I1135">
        <f>IF(PNL!A1135="","",IF(_CALC_PNL!E1135=1,H1135-G1135,""))</f>
        <v/>
      </c>
    </row>
    <row r="1136">
      <c r="A1136" s="1" t="inlineStr">
        <is>
          <t>IPAC_REN</t>
        </is>
      </c>
      <c r="B1136" s="1" t="inlineStr">
        <is>
          <t>621</t>
        </is>
      </c>
      <c r="C1136" s="1" t="inlineStr">
        <is>
          <t>2027</t>
        </is>
      </c>
      <c r="D1136" s="1" t="inlineStr">
        <is>
          <t>V02</t>
        </is>
      </c>
      <c r="E1136" s="1" t="inlineStr">
        <is>
          <t>2027BUD_V1</t>
        </is>
      </c>
      <c r="F1136" s="1" t="inlineStr">
        <is>
          <t>12</t>
        </is>
      </c>
      <c r="G1136" t="n">
        <v>81566.08647053</v>
      </c>
      <c r="H1136">
        <f>IF(PNL!A1136="","",_CALC_PNL!P1136)</f>
        <v/>
      </c>
      <c r="I1136">
        <f>IF(PNL!A1136="","",IF(_CALC_PNL!E1136=1,H1136-G1136,""))</f>
        <v/>
      </c>
    </row>
    <row r="1137">
      <c r="A1137" s="1" t="inlineStr">
        <is>
          <t>IPAC_REN</t>
        </is>
      </c>
      <c r="B1137" s="1" t="inlineStr">
        <is>
          <t>621</t>
        </is>
      </c>
      <c r="C1137" s="1" t="inlineStr">
        <is>
          <t>2027</t>
        </is>
      </c>
      <c r="D1137" s="1" t="inlineStr">
        <is>
          <t>V03</t>
        </is>
      </c>
      <c r="E1137" s="1" t="inlineStr">
        <is>
          <t>2027BUD_V1</t>
        </is>
      </c>
      <c r="F1137" s="1" t="inlineStr">
        <is>
          <t>12</t>
        </is>
      </c>
      <c r="G1137" t="n">
        <v>71034.30216485</v>
      </c>
      <c r="H1137">
        <f>IF(PNL!A1137="","",_CALC_PNL!P1137)</f>
        <v/>
      </c>
      <c r="I1137">
        <f>IF(PNL!A1137="","",IF(_CALC_PNL!E1137=1,H1137-G1137,""))</f>
        <v/>
      </c>
    </row>
    <row r="1138">
      <c r="A1138" s="1" t="inlineStr">
        <is>
          <t>IPAC_MTP</t>
        </is>
      </c>
      <c r="B1138" s="1" t="inlineStr">
        <is>
          <t>621</t>
        </is>
      </c>
      <c r="C1138" s="1" t="inlineStr">
        <is>
          <t>2027</t>
        </is>
      </c>
      <c r="D1138" s="1" t="inlineStr">
        <is>
          <t>V01</t>
        </is>
      </c>
      <c r="E1138" s="1" t="inlineStr">
        <is>
          <t>2027BUD_V1</t>
        </is>
      </c>
      <c r="F1138" s="1" t="inlineStr">
        <is>
          <t>12</t>
        </is>
      </c>
      <c r="G1138" t="n">
        <v>74584.366486509</v>
      </c>
      <c r="H1138">
        <f>IF(PNL!A1138="","",_CALC_PNL!P1138)</f>
        <v/>
      </c>
      <c r="I1138">
        <f>IF(PNL!A1138="","",IF(_CALC_PNL!E1138=1,H1138-G1138,""))</f>
        <v/>
      </c>
    </row>
    <row r="1139">
      <c r="A1139" s="1" t="inlineStr">
        <is>
          <t>IPAC_MTP</t>
        </is>
      </c>
      <c r="B1139" s="1" t="inlineStr">
        <is>
          <t>621</t>
        </is>
      </c>
      <c r="C1139" s="1" t="inlineStr">
        <is>
          <t>2027</t>
        </is>
      </c>
      <c r="D1139" s="1" t="inlineStr">
        <is>
          <t>V02</t>
        </is>
      </c>
      <c r="E1139" s="1" t="inlineStr">
        <is>
          <t>2027BUD_V1</t>
        </is>
      </c>
      <c r="F1139" s="1" t="inlineStr">
        <is>
          <t>12</t>
        </is>
      </c>
      <c r="G1139" t="n">
        <v>81566.08647053</v>
      </c>
      <c r="H1139">
        <f>IF(PNL!A1139="","",_CALC_PNL!P1139)</f>
        <v/>
      </c>
      <c r="I1139">
        <f>IF(PNL!A1139="","",IF(_CALC_PNL!E1139=1,H1139-G1139,""))</f>
        <v/>
      </c>
    </row>
    <row r="1140">
      <c r="A1140" s="1" t="inlineStr">
        <is>
          <t>IPAC_MTP</t>
        </is>
      </c>
      <c r="B1140" s="1" t="inlineStr">
        <is>
          <t>621</t>
        </is>
      </c>
      <c r="C1140" s="1" t="inlineStr">
        <is>
          <t>2027</t>
        </is>
      </c>
      <c r="D1140" s="1" t="inlineStr">
        <is>
          <t>V03</t>
        </is>
      </c>
      <c r="E1140" s="1" t="inlineStr">
        <is>
          <t>2027BUD_V1</t>
        </is>
      </c>
      <c r="F1140" s="1" t="inlineStr">
        <is>
          <t>12</t>
        </is>
      </c>
      <c r="G1140" t="n">
        <v>71034.30216485</v>
      </c>
      <c r="H1140">
        <f>IF(PNL!A1140="","",_CALC_PNL!P1140)</f>
        <v/>
      </c>
      <c r="I1140">
        <f>IF(PNL!A1140="","",IF(_CALC_PNL!E1140=1,H1140-G1140,""))</f>
        <v/>
      </c>
    </row>
    <row r="1141">
      <c r="A1141" s="1" t="inlineStr">
        <is>
          <t>PIGIER_LYO</t>
        </is>
      </c>
      <c r="B1141" s="1" t="inlineStr">
        <is>
          <t>621</t>
        </is>
      </c>
      <c r="C1141" s="1" t="inlineStr">
        <is>
          <t>2027</t>
        </is>
      </c>
      <c r="D1141" s="1" t="inlineStr">
        <is>
          <t>V01</t>
        </is>
      </c>
      <c r="E1141" s="1" t="inlineStr">
        <is>
          <t>2027BUD_V1</t>
        </is>
      </c>
      <c r="F1141" s="1" t="inlineStr">
        <is>
          <t>12</t>
        </is>
      </c>
      <c r="G1141" t="n">
        <v>99444.792351618</v>
      </c>
      <c r="H1141">
        <f>IF(PNL!A1141="","",_CALC_PNL!P1141)</f>
        <v/>
      </c>
      <c r="I1141">
        <f>IF(PNL!A1141="","",IF(_CALC_PNL!E1141=1,H1141-G1141,""))</f>
        <v/>
      </c>
    </row>
    <row r="1142">
      <c r="A1142" s="1" t="inlineStr">
        <is>
          <t>PIGIER_LYO</t>
        </is>
      </c>
      <c r="B1142" s="1" t="inlineStr">
        <is>
          <t>621</t>
        </is>
      </c>
      <c r="C1142" s="1" t="inlineStr">
        <is>
          <t>2027</t>
        </is>
      </c>
      <c r="D1142" s="1" t="inlineStr">
        <is>
          <t>V02</t>
        </is>
      </c>
      <c r="E1142" s="1" t="inlineStr">
        <is>
          <t>2027BUD_V1</t>
        </is>
      </c>
      <c r="F1142" s="1" t="inlineStr">
        <is>
          <t>12</t>
        </is>
      </c>
      <c r="G1142" t="n">
        <v>108753.655948303</v>
      </c>
      <c r="H1142">
        <f>IF(PNL!A1142="","",_CALC_PNL!P1142)</f>
        <v/>
      </c>
      <c r="I1142">
        <f>IF(PNL!A1142="","",IF(_CALC_PNL!E1142=1,H1142-G1142,""))</f>
        <v/>
      </c>
    </row>
    <row r="1143">
      <c r="A1143" s="1" t="inlineStr">
        <is>
          <t>PIGIER_LYO</t>
        </is>
      </c>
      <c r="B1143" s="1" t="inlineStr">
        <is>
          <t>621</t>
        </is>
      </c>
      <c r="C1143" s="1" t="inlineStr">
        <is>
          <t>2027</t>
        </is>
      </c>
      <c r="D1143" s="1" t="inlineStr">
        <is>
          <t>V03</t>
        </is>
      </c>
      <c r="E1143" s="1" t="inlineStr">
        <is>
          <t>2027BUD_V1</t>
        </is>
      </c>
      <c r="F1143" s="1" t="inlineStr">
        <is>
          <t>12</t>
        </is>
      </c>
      <c r="G1143" t="n">
        <v>94711.422264387</v>
      </c>
      <c r="H1143">
        <f>IF(PNL!A1143="","",_CALC_PNL!P1143)</f>
        <v/>
      </c>
      <c r="I1143">
        <f>IF(PNL!A1143="","",IF(_CALC_PNL!E1143=1,H1143-G1143,""))</f>
        <v/>
      </c>
    </row>
    <row r="1144">
      <c r="A1144" s="1" t="inlineStr">
        <is>
          <t>PIGIER_BOR</t>
        </is>
      </c>
      <c r="B1144" s="1" t="inlineStr">
        <is>
          <t>621</t>
        </is>
      </c>
      <c r="C1144" s="1" t="inlineStr">
        <is>
          <t>2027</t>
        </is>
      </c>
      <c r="D1144" s="1" t="inlineStr">
        <is>
          <t>V01</t>
        </is>
      </c>
      <c r="E1144" s="1" t="inlineStr">
        <is>
          <t>2027BUD_V1</t>
        </is>
      </c>
      <c r="F1144" s="1" t="inlineStr">
        <is>
          <t>12</t>
        </is>
      </c>
      <c r="G1144" t="n">
        <v>99444.792351618</v>
      </c>
      <c r="H1144">
        <f>IF(PNL!A1144="","",_CALC_PNL!P1144)</f>
        <v/>
      </c>
      <c r="I1144">
        <f>IF(PNL!A1144="","",IF(_CALC_PNL!E1144=1,H1144-G1144,""))</f>
        <v/>
      </c>
    </row>
    <row r="1145">
      <c r="A1145" s="1" t="inlineStr">
        <is>
          <t>PIGIER_BOR</t>
        </is>
      </c>
      <c r="B1145" s="1" t="inlineStr">
        <is>
          <t>621</t>
        </is>
      </c>
      <c r="C1145" s="1" t="inlineStr">
        <is>
          <t>2027</t>
        </is>
      </c>
      <c r="D1145" s="1" t="inlineStr">
        <is>
          <t>V02</t>
        </is>
      </c>
      <c r="E1145" s="1" t="inlineStr">
        <is>
          <t>2027BUD_V1</t>
        </is>
      </c>
      <c r="F1145" s="1" t="inlineStr">
        <is>
          <t>12</t>
        </is>
      </c>
      <c r="G1145" t="n">
        <v>108753.655948303</v>
      </c>
      <c r="H1145">
        <f>IF(PNL!A1145="","",_CALC_PNL!P1145)</f>
        <v/>
      </c>
      <c r="I1145">
        <f>IF(PNL!A1145="","",IF(_CALC_PNL!E1145=1,H1145-G1145,""))</f>
        <v/>
      </c>
    </row>
    <row r="1146">
      <c r="A1146" s="1" t="inlineStr">
        <is>
          <t>PIGIER_BOR</t>
        </is>
      </c>
      <c r="B1146" s="1" t="inlineStr">
        <is>
          <t>621</t>
        </is>
      </c>
      <c r="C1146" s="1" t="inlineStr">
        <is>
          <t>2027</t>
        </is>
      </c>
      <c r="D1146" s="1" t="inlineStr">
        <is>
          <t>V03</t>
        </is>
      </c>
      <c r="E1146" s="1" t="inlineStr">
        <is>
          <t>2027BUD_V1</t>
        </is>
      </c>
      <c r="F1146" s="1" t="inlineStr">
        <is>
          <t>12</t>
        </is>
      </c>
      <c r="G1146" t="n">
        <v>94711.422264387</v>
      </c>
      <c r="H1146">
        <f>IF(PNL!A1146="","",_CALC_PNL!P1146)</f>
        <v/>
      </c>
      <c r="I1146">
        <f>IF(PNL!A1146="","",IF(_CALC_PNL!E1146=1,H1146-G1146,""))</f>
        <v/>
      </c>
    </row>
    <row r="1147">
      <c r="A1147" s="1" t="inlineStr">
        <is>
          <t>TUNON_PAR</t>
        </is>
      </c>
      <c r="B1147" s="1" t="inlineStr">
        <is>
          <t>621</t>
        </is>
      </c>
      <c r="C1147" s="1" t="inlineStr">
        <is>
          <t>2027</t>
        </is>
      </c>
      <c r="D1147" s="1" t="inlineStr">
        <is>
          <t>V01</t>
        </is>
      </c>
      <c r="E1147" s="1" t="inlineStr">
        <is>
          <t>2027BUD_V1</t>
        </is>
      </c>
      <c r="F1147" s="1" t="inlineStr">
        <is>
          <t>12</t>
        </is>
      </c>
      <c r="G1147" t="n">
        <v>74584.366486509</v>
      </c>
      <c r="H1147">
        <f>IF(PNL!A1147="","",_CALC_PNL!P1147)</f>
        <v/>
      </c>
      <c r="I1147">
        <f>IF(PNL!A1147="","",IF(_CALC_PNL!E1147=1,H1147-G1147,""))</f>
        <v/>
      </c>
    </row>
    <row r="1148">
      <c r="A1148" s="1" t="inlineStr">
        <is>
          <t>TUNON_PAR</t>
        </is>
      </c>
      <c r="B1148" s="1" t="inlineStr">
        <is>
          <t>621</t>
        </is>
      </c>
      <c r="C1148" s="1" t="inlineStr">
        <is>
          <t>2027</t>
        </is>
      </c>
      <c r="D1148" s="1" t="inlineStr">
        <is>
          <t>V02</t>
        </is>
      </c>
      <c r="E1148" s="1" t="inlineStr">
        <is>
          <t>2027BUD_V1</t>
        </is>
      </c>
      <c r="F1148" s="1" t="inlineStr">
        <is>
          <t>12</t>
        </is>
      </c>
      <c r="G1148" t="n">
        <v>81566.08647053</v>
      </c>
      <c r="H1148">
        <f>IF(PNL!A1148="","",_CALC_PNL!P1148)</f>
        <v/>
      </c>
      <c r="I1148">
        <f>IF(PNL!A1148="","",IF(_CALC_PNL!E1148=1,H1148-G1148,""))</f>
        <v/>
      </c>
    </row>
    <row r="1149">
      <c r="A1149" s="1" t="inlineStr">
        <is>
          <t>TUNON_PAR</t>
        </is>
      </c>
      <c r="B1149" s="1" t="inlineStr">
        <is>
          <t>621</t>
        </is>
      </c>
      <c r="C1149" s="1" t="inlineStr">
        <is>
          <t>2027</t>
        </is>
      </c>
      <c r="D1149" s="1" t="inlineStr">
        <is>
          <t>V03</t>
        </is>
      </c>
      <c r="E1149" s="1" t="inlineStr">
        <is>
          <t>2027BUD_V1</t>
        </is>
      </c>
      <c r="F1149" s="1" t="inlineStr">
        <is>
          <t>12</t>
        </is>
      </c>
      <c r="G1149" t="n">
        <v>71034.30216485</v>
      </c>
      <c r="H1149">
        <f>IF(PNL!A1149="","",_CALC_PNL!P1149)</f>
        <v/>
      </c>
      <c r="I1149">
        <f>IF(PNL!A1149="","",IF(_CALC_PNL!E1149=1,H1149-G1149,""))</f>
        <v/>
      </c>
    </row>
    <row r="1150">
      <c r="A1150" s="1" t="inlineStr">
        <is>
          <t>TUNON_LYO</t>
        </is>
      </c>
      <c r="B1150" s="1" t="inlineStr">
        <is>
          <t>621</t>
        </is>
      </c>
      <c r="C1150" s="1" t="inlineStr">
        <is>
          <t>2027</t>
        </is>
      </c>
      <c r="D1150" s="1" t="inlineStr">
        <is>
          <t>V01</t>
        </is>
      </c>
      <c r="E1150" s="1" t="inlineStr">
        <is>
          <t>2027BUD_V1</t>
        </is>
      </c>
      <c r="F1150" s="1" t="inlineStr">
        <is>
          <t>12</t>
        </is>
      </c>
      <c r="G1150" t="n">
        <v>74584.366486509</v>
      </c>
      <c r="H1150">
        <f>IF(PNL!A1150="","",_CALC_PNL!P1150)</f>
        <v/>
      </c>
      <c r="I1150">
        <f>IF(PNL!A1150="","",IF(_CALC_PNL!E1150=1,H1150-G1150,""))</f>
        <v/>
      </c>
    </row>
    <row r="1151">
      <c r="A1151" s="1" t="inlineStr">
        <is>
          <t>TUNON_LYO</t>
        </is>
      </c>
      <c r="B1151" s="1" t="inlineStr">
        <is>
          <t>621</t>
        </is>
      </c>
      <c r="C1151" s="1" t="inlineStr">
        <is>
          <t>2027</t>
        </is>
      </c>
      <c r="D1151" s="1" t="inlineStr">
        <is>
          <t>V02</t>
        </is>
      </c>
      <c r="E1151" s="1" t="inlineStr">
        <is>
          <t>2027BUD_V1</t>
        </is>
      </c>
      <c r="F1151" s="1" t="inlineStr">
        <is>
          <t>12</t>
        </is>
      </c>
      <c r="G1151" t="n">
        <v>81566.08647053</v>
      </c>
      <c r="H1151">
        <f>IF(PNL!A1151="","",_CALC_PNL!P1151)</f>
        <v/>
      </c>
      <c r="I1151">
        <f>IF(PNL!A1151="","",IF(_CALC_PNL!E1151=1,H1151-G1151,""))</f>
        <v/>
      </c>
    </row>
    <row r="1152">
      <c r="A1152" s="1" t="inlineStr">
        <is>
          <t>TUNON_LYO</t>
        </is>
      </c>
      <c r="B1152" s="1" t="inlineStr">
        <is>
          <t>621</t>
        </is>
      </c>
      <c r="C1152" s="1" t="inlineStr">
        <is>
          <t>2027</t>
        </is>
      </c>
      <c r="D1152" s="1" t="inlineStr">
        <is>
          <t>V03</t>
        </is>
      </c>
      <c r="E1152" s="1" t="inlineStr">
        <is>
          <t>2027BUD_V1</t>
        </is>
      </c>
      <c r="F1152" s="1" t="inlineStr">
        <is>
          <t>12</t>
        </is>
      </c>
      <c r="G1152" t="n">
        <v>71034.30216485</v>
      </c>
      <c r="H1152">
        <f>IF(PNL!A1152="","",_CALC_PNL!P1152)</f>
        <v/>
      </c>
      <c r="I1152">
        <f>IF(PNL!A1152="","",IF(_CALC_PNL!E1152=1,H1152-G1152,""))</f>
        <v/>
      </c>
    </row>
    <row r="1153">
      <c r="A1153" s="1" t="inlineStr">
        <is>
          <t>MBWAY_PAR</t>
        </is>
      </c>
      <c r="B1153" s="1" t="inlineStr">
        <is>
          <t>604</t>
        </is>
      </c>
      <c r="C1153" s="1" t="inlineStr">
        <is>
          <t>2027</t>
        </is>
      </c>
      <c r="D1153" s="1" t="inlineStr">
        <is>
          <t>V01</t>
        </is>
      </c>
      <c r="E1153" s="1" t="inlineStr">
        <is>
          <t>2027BUD_V1</t>
        </is>
      </c>
      <c r="F1153" s="1" t="inlineStr">
        <is>
          <t>12</t>
        </is>
      </c>
      <c r="G1153" t="n">
        <v>87810.998528886</v>
      </c>
      <c r="H1153">
        <f>IF(PNL!A1153="","",_CALC_PNL!P1153)</f>
        <v/>
      </c>
      <c r="I1153">
        <f>IF(PNL!A1153="","",IF(_CALC_PNL!E1153=1,H1153-G1153,""))</f>
        <v/>
      </c>
    </row>
    <row r="1154">
      <c r="A1154" s="1" t="inlineStr">
        <is>
          <t>MBWAY_PAR</t>
        </is>
      </c>
      <c r="B1154" s="1" t="inlineStr">
        <is>
          <t>604</t>
        </is>
      </c>
      <c r="C1154" s="1" t="inlineStr">
        <is>
          <t>2027</t>
        </is>
      </c>
      <c r="D1154" s="1" t="inlineStr">
        <is>
          <t>V02</t>
        </is>
      </c>
      <c r="E1154" s="1" t="inlineStr">
        <is>
          <t>2027BUD_V1</t>
        </is>
      </c>
      <c r="F1154" s="1" t="inlineStr">
        <is>
          <t>12</t>
        </is>
      </c>
      <c r="G1154" t="n">
        <v>96030.84180337199</v>
      </c>
      <c r="H1154">
        <f>IF(PNL!A1154="","",_CALC_PNL!P1154)</f>
        <v/>
      </c>
      <c r="I1154">
        <f>IF(PNL!A1154="","",IF(_CALC_PNL!E1154=1,H1154-G1154,""))</f>
        <v/>
      </c>
    </row>
    <row r="1155">
      <c r="A1155" s="1" t="inlineStr">
        <is>
          <t>MBWAY_PAR</t>
        </is>
      </c>
      <c r="B1155" s="1" t="inlineStr">
        <is>
          <t>604</t>
        </is>
      </c>
      <c r="C1155" s="1" t="inlineStr">
        <is>
          <t>2027</t>
        </is>
      </c>
      <c r="D1155" s="1" t="inlineStr">
        <is>
          <t>V03</t>
        </is>
      </c>
      <c r="E1155" s="1" t="inlineStr">
        <is>
          <t>2027BUD_V1</t>
        </is>
      </c>
      <c r="F1155" s="1" t="inlineStr">
        <is>
          <t>12</t>
        </is>
      </c>
      <c r="G1155" t="n">
        <v>83631.373392792</v>
      </c>
      <c r="H1155">
        <f>IF(PNL!A1155="","",_CALC_PNL!P1155)</f>
        <v/>
      </c>
      <c r="I1155">
        <f>IF(PNL!A1155="","",IF(_CALC_PNL!E1155=1,H1155-G1155,""))</f>
        <v/>
      </c>
    </row>
    <row r="1156">
      <c r="A1156" s="1" t="inlineStr">
        <is>
          <t>MBWAY_LYO</t>
        </is>
      </c>
      <c r="B1156" s="1" t="inlineStr">
        <is>
          <t>604</t>
        </is>
      </c>
      <c r="C1156" s="1" t="inlineStr">
        <is>
          <t>2027</t>
        </is>
      </c>
      <c r="D1156" s="1" t="inlineStr">
        <is>
          <t>V01</t>
        </is>
      </c>
      <c r="E1156" s="1" t="inlineStr">
        <is>
          <t>2027BUD_V1</t>
        </is>
      </c>
      <c r="F1156" s="1" t="inlineStr">
        <is>
          <t>12</t>
        </is>
      </c>
      <c r="G1156" t="n">
        <v>74478.314555919</v>
      </c>
      <c r="H1156">
        <f>IF(PNL!A1156="","",_CALC_PNL!P1156)</f>
        <v/>
      </c>
      <c r="I1156">
        <f>IF(PNL!A1156="","",IF(_CALC_PNL!E1156=1,H1156-G1156,""))</f>
        <v/>
      </c>
    </row>
    <row r="1157">
      <c r="A1157" s="1" t="inlineStr">
        <is>
          <t>MBWAY_LYO</t>
        </is>
      </c>
      <c r="B1157" s="1" t="inlineStr">
        <is>
          <t>604</t>
        </is>
      </c>
      <c r="C1157" s="1" t="inlineStr">
        <is>
          <t>2027</t>
        </is>
      </c>
      <c r="D1157" s="1" t="inlineStr">
        <is>
          <t>V02</t>
        </is>
      </c>
      <c r="E1157" s="1" t="inlineStr">
        <is>
          <t>2027BUD_V1</t>
        </is>
      </c>
      <c r="F1157" s="1" t="inlineStr">
        <is>
          <t>12</t>
        </is>
      </c>
      <c r="G1157" t="n">
        <v>81450.107192989</v>
      </c>
      <c r="H1157">
        <f>IF(PNL!A1157="","",_CALC_PNL!P1157)</f>
        <v/>
      </c>
      <c r="I1157">
        <f>IF(PNL!A1157="","",IF(_CALC_PNL!E1157=1,H1157-G1157,""))</f>
        <v/>
      </c>
    </row>
    <row r="1158">
      <c r="A1158" s="1" t="inlineStr">
        <is>
          <t>MBWAY_LYO</t>
        </is>
      </c>
      <c r="B1158" s="1" t="inlineStr">
        <is>
          <t>604</t>
        </is>
      </c>
      <c r="C1158" s="1" t="inlineStr">
        <is>
          <t>2027</t>
        </is>
      </c>
      <c r="D1158" s="1" t="inlineStr">
        <is>
          <t>V03</t>
        </is>
      </c>
      <c r="E1158" s="1" t="inlineStr">
        <is>
          <t>2027BUD_V1</t>
        </is>
      </c>
      <c r="F1158" s="1" t="inlineStr">
        <is>
          <t>12</t>
        </is>
      </c>
      <c r="G1158" t="n">
        <v>70933.298090704</v>
      </c>
      <c r="H1158">
        <f>IF(PNL!A1158="","",_CALC_PNL!P1158)</f>
        <v/>
      </c>
      <c r="I1158">
        <f>IF(PNL!A1158="","",IF(_CALC_PNL!E1158=1,H1158-G1158,""))</f>
        <v/>
      </c>
    </row>
    <row r="1159">
      <c r="A1159" s="1" t="inlineStr">
        <is>
          <t>MBWAY_NAN</t>
        </is>
      </c>
      <c r="B1159" s="1" t="inlineStr">
        <is>
          <t>604</t>
        </is>
      </c>
      <c r="C1159" s="1" t="inlineStr">
        <is>
          <t>2027</t>
        </is>
      </c>
      <c r="D1159" s="1" t="inlineStr">
        <is>
          <t>V01</t>
        </is>
      </c>
      <c r="E1159" s="1" t="inlineStr">
        <is>
          <t>2027BUD_V1</t>
        </is>
      </c>
      <c r="F1159" s="1" t="inlineStr">
        <is>
          <t>12</t>
        </is>
      </c>
      <c r="G1159" t="n">
        <v>67582.879806752</v>
      </c>
      <c r="H1159">
        <f>IF(PNL!A1159="","",_CALC_PNL!P1159)</f>
        <v/>
      </c>
      <c r="I1159">
        <f>IF(PNL!A1159="","",IF(_CALC_PNL!E1159=1,H1159-G1159,""))</f>
        <v/>
      </c>
    </row>
    <row r="1160">
      <c r="A1160" s="1" t="inlineStr">
        <is>
          <t>MBWAY_NAN</t>
        </is>
      </c>
      <c r="B1160" s="1" t="inlineStr">
        <is>
          <t>604</t>
        </is>
      </c>
      <c r="C1160" s="1" t="inlineStr">
        <is>
          <t>2027</t>
        </is>
      </c>
      <c r="D1160" s="1" t="inlineStr">
        <is>
          <t>V02</t>
        </is>
      </c>
      <c r="E1160" s="1" t="inlineStr">
        <is>
          <t>2027BUD_V1</t>
        </is>
      </c>
      <c r="F1160" s="1" t="inlineStr">
        <is>
          <t>12</t>
        </is>
      </c>
      <c r="G1160" t="n">
        <v>73909.202128063</v>
      </c>
      <c r="H1160">
        <f>IF(PNL!A1160="","",_CALC_PNL!P1160)</f>
        <v/>
      </c>
      <c r="I1160">
        <f>IF(PNL!A1160="","",IF(_CALC_PNL!E1160=1,H1160-G1160,""))</f>
        <v/>
      </c>
    </row>
    <row r="1161">
      <c r="A1161" s="1" t="inlineStr">
        <is>
          <t>MBWAY_NAN</t>
        </is>
      </c>
      <c r="B1161" s="1" t="inlineStr">
        <is>
          <t>604</t>
        </is>
      </c>
      <c r="C1161" s="1" t="inlineStr">
        <is>
          <t>2027</t>
        </is>
      </c>
      <c r="D1161" s="1" t="inlineStr">
        <is>
          <t>V03</t>
        </is>
      </c>
      <c r="E1161" s="1" t="inlineStr">
        <is>
          <t>2027BUD_V1</t>
        </is>
      </c>
      <c r="F1161" s="1" t="inlineStr">
        <is>
          <t>12</t>
        </is>
      </c>
      <c r="G1161" t="n">
        <v>64366.072027063</v>
      </c>
      <c r="H1161">
        <f>IF(PNL!A1161="","",_CALC_PNL!P1161)</f>
        <v/>
      </c>
      <c r="I1161">
        <f>IF(PNL!A1161="","",IF(_CALC_PNL!E1161=1,H1161-G1161,""))</f>
        <v/>
      </c>
    </row>
    <row r="1162">
      <c r="A1162" s="1" t="inlineStr">
        <is>
          <t>MBWAY_BOR</t>
        </is>
      </c>
      <c r="B1162" s="1" t="inlineStr">
        <is>
          <t>604</t>
        </is>
      </c>
      <c r="C1162" s="1" t="inlineStr">
        <is>
          <t>2027</t>
        </is>
      </c>
      <c r="D1162" s="1" t="inlineStr">
        <is>
          <t>V01</t>
        </is>
      </c>
      <c r="E1162" s="1" t="inlineStr">
        <is>
          <t>2027BUD_V1</t>
        </is>
      </c>
      <c r="F1162" s="1" t="inlineStr">
        <is>
          <t>12</t>
        </is>
      </c>
      <c r="G1162" t="n">
        <v>57238.18323741</v>
      </c>
      <c r="H1162">
        <f>IF(PNL!A1162="","",_CALC_PNL!P1162)</f>
        <v/>
      </c>
      <c r="I1162">
        <f>IF(PNL!A1162="","",IF(_CALC_PNL!E1162=1,H1162-G1162,""))</f>
        <v/>
      </c>
    </row>
    <row r="1163">
      <c r="A1163" s="1" t="inlineStr">
        <is>
          <t>MBWAY_BOR</t>
        </is>
      </c>
      <c r="B1163" s="1" t="inlineStr">
        <is>
          <t>604</t>
        </is>
      </c>
      <c r="C1163" s="1" t="inlineStr">
        <is>
          <t>2027</t>
        </is>
      </c>
      <c r="D1163" s="1" t="inlineStr">
        <is>
          <t>V02</t>
        </is>
      </c>
      <c r="E1163" s="1" t="inlineStr">
        <is>
          <t>2027BUD_V1</t>
        </is>
      </c>
      <c r="F1163" s="1" t="inlineStr">
        <is>
          <t>12</t>
        </is>
      </c>
      <c r="G1163" t="n">
        <v>62596.155512068</v>
      </c>
      <c r="H1163">
        <f>IF(PNL!A1163="","",_CALC_PNL!P1163)</f>
        <v/>
      </c>
      <c r="I1163">
        <f>IF(PNL!A1163="","",IF(_CALC_PNL!E1163=1,H1163-G1163,""))</f>
        <v/>
      </c>
    </row>
    <row r="1164">
      <c r="A1164" s="1" t="inlineStr">
        <is>
          <t>MBWAY_BOR</t>
        </is>
      </c>
      <c r="B1164" s="1" t="inlineStr">
        <is>
          <t>604</t>
        </is>
      </c>
      <c r="C1164" s="1" t="inlineStr">
        <is>
          <t>2027</t>
        </is>
      </c>
      <c r="D1164" s="1" t="inlineStr">
        <is>
          <t>V03</t>
        </is>
      </c>
      <c r="E1164" s="1" t="inlineStr">
        <is>
          <t>2027BUD_V1</t>
        </is>
      </c>
      <c r="F1164" s="1" t="inlineStr">
        <is>
          <t>12</t>
        </is>
      </c>
      <c r="G1164" t="n">
        <v>54513.761998484</v>
      </c>
      <c r="H1164">
        <f>IF(PNL!A1164="","",_CALC_PNL!P1164)</f>
        <v/>
      </c>
      <c r="I1164">
        <f>IF(PNL!A1164="","",IF(_CALC_PNL!E1164=1,H1164-G1164,""))</f>
        <v/>
      </c>
    </row>
    <row r="1165">
      <c r="A1165" s="1" t="inlineStr">
        <is>
          <t>ISCOM_PAR</t>
        </is>
      </c>
      <c r="B1165" s="1" t="inlineStr">
        <is>
          <t>604</t>
        </is>
      </c>
      <c r="C1165" s="1" t="inlineStr">
        <is>
          <t>2027</t>
        </is>
      </c>
      <c r="D1165" s="1" t="inlineStr">
        <is>
          <t>V01</t>
        </is>
      </c>
      <c r="E1165" s="1" t="inlineStr">
        <is>
          <t>2027BUD_V1</t>
        </is>
      </c>
      <c r="F1165" s="1" t="inlineStr">
        <is>
          <t>12</t>
        </is>
      </c>
      <c r="G1165" t="n">
        <v>81374.77893548</v>
      </c>
      <c r="H1165">
        <f>IF(PNL!A1165="","",_CALC_PNL!P1165)</f>
        <v/>
      </c>
      <c r="I1165">
        <f>IF(PNL!A1165="","",IF(_CALC_PNL!E1165=1,H1165-G1165,""))</f>
        <v/>
      </c>
    </row>
    <row r="1166">
      <c r="A1166" s="1" t="inlineStr">
        <is>
          <t>ISCOM_PAR</t>
        </is>
      </c>
      <c r="B1166" s="1" t="inlineStr">
        <is>
          <t>604</t>
        </is>
      </c>
      <c r="C1166" s="1" t="inlineStr">
        <is>
          <t>2027</t>
        </is>
      </c>
      <c r="D1166" s="1" t="inlineStr">
        <is>
          <t>V02</t>
        </is>
      </c>
      <c r="E1166" s="1" t="inlineStr">
        <is>
          <t>2027BUD_V1</t>
        </is>
      </c>
      <c r="F1166" s="1" t="inlineStr">
        <is>
          <t>12</t>
        </is>
      </c>
      <c r="G1166" t="n">
        <v>88992.138270319</v>
      </c>
      <c r="H1166">
        <f>IF(PNL!A1166="","",_CALC_PNL!P1166)</f>
        <v/>
      </c>
      <c r="I1166">
        <f>IF(PNL!A1166="","",IF(_CALC_PNL!E1166=1,H1166-G1166,""))</f>
        <v/>
      </c>
    </row>
    <row r="1167">
      <c r="A1167" s="1" t="inlineStr">
        <is>
          <t>ISCOM_PAR</t>
        </is>
      </c>
      <c r="B1167" s="1" t="inlineStr">
        <is>
          <t>604</t>
        </is>
      </c>
      <c r="C1167" s="1" t="inlineStr">
        <is>
          <t>2027</t>
        </is>
      </c>
      <c r="D1167" s="1" t="inlineStr">
        <is>
          <t>V03</t>
        </is>
      </c>
      <c r="E1167" s="1" t="inlineStr">
        <is>
          <t>2027BUD_V1</t>
        </is>
      </c>
      <c r="F1167" s="1" t="inlineStr">
        <is>
          <t>12</t>
        </is>
      </c>
      <c r="G1167" t="n">
        <v>77501.504776423</v>
      </c>
      <c r="H1167">
        <f>IF(PNL!A1167="","",_CALC_PNL!P1167)</f>
        <v/>
      </c>
      <c r="I1167">
        <f>IF(PNL!A1167="","",IF(_CALC_PNL!E1167=1,H1167-G1167,""))</f>
        <v/>
      </c>
    </row>
    <row r="1168">
      <c r="A1168" s="1" t="inlineStr">
        <is>
          <t>ISCOM_LIL</t>
        </is>
      </c>
      <c r="B1168" s="1" t="inlineStr">
        <is>
          <t>604</t>
        </is>
      </c>
      <c r="C1168" s="1" t="inlineStr">
        <is>
          <t>2027</t>
        </is>
      </c>
      <c r="D1168" s="1" t="inlineStr">
        <is>
          <t>V01</t>
        </is>
      </c>
      <c r="E1168" s="1" t="inlineStr">
        <is>
          <t>2027BUD_V1</t>
        </is>
      </c>
      <c r="F1168" s="1" t="inlineStr">
        <is>
          <t>12</t>
        </is>
      </c>
      <c r="G1168" t="n">
        <v>56089.115717615</v>
      </c>
      <c r="H1168">
        <f>IF(PNL!A1168="","",_CALC_PNL!P1168)</f>
        <v/>
      </c>
      <c r="I1168">
        <f>IF(PNL!A1168="","",IF(_CALC_PNL!E1168=1,H1168-G1168,""))</f>
        <v/>
      </c>
    </row>
    <row r="1169">
      <c r="A1169" s="1" t="inlineStr">
        <is>
          <t>ISCOM_LIL</t>
        </is>
      </c>
      <c r="B1169" s="1" t="inlineStr">
        <is>
          <t>604</t>
        </is>
      </c>
      <c r="C1169" s="1" t="inlineStr">
        <is>
          <t>2027</t>
        </is>
      </c>
      <c r="D1169" s="1" t="inlineStr">
        <is>
          <t>V02</t>
        </is>
      </c>
      <c r="E1169" s="1" t="inlineStr">
        <is>
          <t>2027BUD_V1</t>
        </is>
      </c>
      <c r="F1169" s="1" t="inlineStr">
        <is>
          <t>12</t>
        </is>
      </c>
      <c r="G1169" t="n">
        <v>61339.525669981</v>
      </c>
      <c r="H1169">
        <f>IF(PNL!A1169="","",_CALC_PNL!P1169)</f>
        <v/>
      </c>
      <c r="I1169">
        <f>IF(PNL!A1169="","",IF(_CALC_PNL!E1169=1,H1169-G1169,""))</f>
        <v/>
      </c>
    </row>
    <row r="1170">
      <c r="A1170" s="1" t="inlineStr">
        <is>
          <t>ISCOM_LIL</t>
        </is>
      </c>
      <c r="B1170" s="1" t="inlineStr">
        <is>
          <t>604</t>
        </is>
      </c>
      <c r="C1170" s="1" t="inlineStr">
        <is>
          <t>2027</t>
        </is>
      </c>
      <c r="D1170" s="1" t="inlineStr">
        <is>
          <t>V03</t>
        </is>
      </c>
      <c r="E1170" s="1" t="inlineStr">
        <is>
          <t>2027BUD_V1</t>
        </is>
      </c>
      <c r="F1170" s="1" t="inlineStr">
        <is>
          <t>12</t>
        </is>
      </c>
      <c r="G1170" t="n">
        <v>53419.387758223</v>
      </c>
      <c r="H1170">
        <f>IF(PNL!A1170="","",_CALC_PNL!P1170)</f>
        <v/>
      </c>
      <c r="I1170">
        <f>IF(PNL!A1170="","",IF(_CALC_PNL!E1170=1,H1170-G1170,""))</f>
        <v/>
      </c>
    </row>
    <row r="1171">
      <c r="A1171" s="1" t="inlineStr">
        <is>
          <t>ISCOM_TLS</t>
        </is>
      </c>
      <c r="B1171" s="1" t="inlineStr">
        <is>
          <t>604</t>
        </is>
      </c>
      <c r="C1171" s="1" t="inlineStr">
        <is>
          <t>2027</t>
        </is>
      </c>
      <c r="D1171" s="1" t="inlineStr">
        <is>
          <t>V01</t>
        </is>
      </c>
      <c r="E1171" s="1" t="inlineStr">
        <is>
          <t>2027BUD_V1</t>
        </is>
      </c>
      <c r="F1171" s="1" t="inlineStr">
        <is>
          <t>12</t>
        </is>
      </c>
      <c r="G1171" t="n">
        <v>53100.098683595</v>
      </c>
      <c r="H1171">
        <f>IF(PNL!A1171="","",_CALC_PNL!P1171)</f>
        <v/>
      </c>
      <c r="I1171">
        <f>IF(PNL!A1171="","",IF(_CALC_PNL!E1171=1,H1171-G1171,""))</f>
        <v/>
      </c>
    </row>
    <row r="1172">
      <c r="A1172" s="1" t="inlineStr">
        <is>
          <t>ISCOM_TLS</t>
        </is>
      </c>
      <c r="B1172" s="1" t="inlineStr">
        <is>
          <t>604</t>
        </is>
      </c>
      <c r="C1172" s="1" t="inlineStr">
        <is>
          <t>2027</t>
        </is>
      </c>
      <c r="D1172" s="1" t="inlineStr">
        <is>
          <t>V02</t>
        </is>
      </c>
      <c r="E1172" s="1" t="inlineStr">
        <is>
          <t>2027BUD_V1</t>
        </is>
      </c>
      <c r="F1172" s="1" t="inlineStr">
        <is>
          <t>12</t>
        </is>
      </c>
      <c r="G1172" t="n">
        <v>58070.71166319</v>
      </c>
      <c r="H1172">
        <f>IF(PNL!A1172="","",_CALC_PNL!P1172)</f>
        <v/>
      </c>
      <c r="I1172">
        <f>IF(PNL!A1172="","",IF(_CALC_PNL!E1172=1,H1172-G1172,""))</f>
        <v/>
      </c>
    </row>
    <row r="1173">
      <c r="A1173" s="1" t="inlineStr">
        <is>
          <t>ISCOM_TLS</t>
        </is>
      </c>
      <c r="B1173" s="1" t="inlineStr">
        <is>
          <t>604</t>
        </is>
      </c>
      <c r="C1173" s="1" t="inlineStr">
        <is>
          <t>2027</t>
        </is>
      </c>
      <c r="D1173" s="1" t="inlineStr">
        <is>
          <t>V03</t>
        </is>
      </c>
      <c r="E1173" s="1" t="inlineStr">
        <is>
          <t>2027BUD_V1</t>
        </is>
      </c>
      <c r="F1173" s="1" t="inlineStr">
        <is>
          <t>12</t>
        </is>
      </c>
      <c r="G1173" t="n">
        <v>50572.641862636</v>
      </c>
      <c r="H1173">
        <f>IF(PNL!A1173="","",_CALC_PNL!P1173)</f>
        <v/>
      </c>
      <c r="I1173">
        <f>IF(PNL!A1173="","",IF(_CALC_PNL!E1173=1,H1173-G1173,""))</f>
        <v/>
      </c>
    </row>
    <row r="1174">
      <c r="A1174" s="1" t="inlineStr">
        <is>
          <t>IPAC_NAN</t>
        </is>
      </c>
      <c r="B1174" s="1" t="inlineStr">
        <is>
          <t>604</t>
        </is>
      </c>
      <c r="C1174" s="1" t="inlineStr">
        <is>
          <t>2027</t>
        </is>
      </c>
      <c r="D1174" s="1" t="inlineStr">
        <is>
          <t>V01</t>
        </is>
      </c>
      <c r="E1174" s="1" t="inlineStr">
        <is>
          <t>2027BUD_V1</t>
        </is>
      </c>
      <c r="F1174" s="1" t="inlineStr">
        <is>
          <t>12</t>
        </is>
      </c>
      <c r="G1174" t="n">
        <v>33331.195117221</v>
      </c>
      <c r="H1174">
        <f>IF(PNL!A1174="","",_CALC_PNL!P1174)</f>
        <v/>
      </c>
      <c r="I1174">
        <f>IF(PNL!A1174="","",IF(_CALC_PNL!E1174=1,H1174-G1174,""))</f>
        <v/>
      </c>
    </row>
    <row r="1175">
      <c r="A1175" s="1" t="inlineStr">
        <is>
          <t>IPAC_NAN</t>
        </is>
      </c>
      <c r="B1175" s="1" t="inlineStr">
        <is>
          <t>604</t>
        </is>
      </c>
      <c r="C1175" s="1" t="inlineStr">
        <is>
          <t>2027</t>
        </is>
      </c>
      <c r="D1175" s="1" t="inlineStr">
        <is>
          <t>V02</t>
        </is>
      </c>
      <c r="E1175" s="1" t="inlineStr">
        <is>
          <t>2027BUD_V1</t>
        </is>
      </c>
      <c r="F1175" s="1" t="inlineStr">
        <is>
          <t>12</t>
        </is>
      </c>
      <c r="G1175" t="n">
        <v>36451.273519755</v>
      </c>
      <c r="H1175">
        <f>IF(PNL!A1175="","",_CALC_PNL!P1175)</f>
        <v/>
      </c>
      <c r="I1175">
        <f>IF(PNL!A1175="","",IF(_CALC_PNL!E1175=1,H1175-G1175,""))</f>
        <v/>
      </c>
    </row>
    <row r="1176">
      <c r="A1176" s="1" t="inlineStr">
        <is>
          <t>IPAC_NAN</t>
        </is>
      </c>
      <c r="B1176" s="1" t="inlineStr">
        <is>
          <t>604</t>
        </is>
      </c>
      <c r="C1176" s="1" t="inlineStr">
        <is>
          <t>2027</t>
        </is>
      </c>
      <c r="D1176" s="1" t="inlineStr">
        <is>
          <t>V03</t>
        </is>
      </c>
      <c r="E1176" s="1" t="inlineStr">
        <is>
          <t>2027BUD_V1</t>
        </is>
      </c>
      <c r="F1176" s="1" t="inlineStr">
        <is>
          <t>12</t>
        </is>
      </c>
      <c r="G1176" t="n">
        <v>31744.69794418</v>
      </c>
      <c r="H1176">
        <f>IF(PNL!A1176="","",_CALC_PNL!P1176)</f>
        <v/>
      </c>
      <c r="I1176">
        <f>IF(PNL!A1176="","",IF(_CALC_PNL!E1176=1,H1176-G1176,""))</f>
        <v/>
      </c>
    </row>
    <row r="1177">
      <c r="A1177" s="1" t="inlineStr">
        <is>
          <t>IPAC_REN</t>
        </is>
      </c>
      <c r="B1177" s="1" t="inlineStr">
        <is>
          <t>604</t>
        </is>
      </c>
      <c r="C1177" s="1" t="inlineStr">
        <is>
          <t>2027</t>
        </is>
      </c>
      <c r="D1177" s="1" t="inlineStr">
        <is>
          <t>V01</t>
        </is>
      </c>
      <c r="E1177" s="1" t="inlineStr">
        <is>
          <t>2027BUD_V1</t>
        </is>
      </c>
      <c r="F1177" s="1" t="inlineStr">
        <is>
          <t>12</t>
        </is>
      </c>
      <c r="G1177" t="n">
        <v>26894.975523815</v>
      </c>
      <c r="H1177">
        <f>IF(PNL!A1177="","",_CALC_PNL!P1177)</f>
        <v/>
      </c>
      <c r="I1177">
        <f>IF(PNL!A1177="","",IF(_CALC_PNL!E1177=1,H1177-G1177,""))</f>
        <v/>
      </c>
    </row>
    <row r="1178">
      <c r="A1178" s="1" t="inlineStr">
        <is>
          <t>IPAC_REN</t>
        </is>
      </c>
      <c r="B1178" s="1" t="inlineStr">
        <is>
          <t>604</t>
        </is>
      </c>
      <c r="C1178" s="1" t="inlineStr">
        <is>
          <t>2027</t>
        </is>
      </c>
      <c r="D1178" s="1" t="inlineStr">
        <is>
          <t>V02</t>
        </is>
      </c>
      <c r="E1178" s="1" t="inlineStr">
        <is>
          <t>2027BUD_V1</t>
        </is>
      </c>
      <c r="F1178" s="1" t="inlineStr">
        <is>
          <t>12</t>
        </is>
      </c>
      <c r="G1178" t="n">
        <v>29412.569986702</v>
      </c>
      <c r="H1178">
        <f>IF(PNL!A1178="","",_CALC_PNL!P1178)</f>
        <v/>
      </c>
      <c r="I1178">
        <f>IF(PNL!A1178="","",IF(_CALC_PNL!E1178=1,H1178-G1178,""))</f>
        <v/>
      </c>
    </row>
    <row r="1179">
      <c r="A1179" s="1" t="inlineStr">
        <is>
          <t>IPAC_REN</t>
        </is>
      </c>
      <c r="B1179" s="1" t="inlineStr">
        <is>
          <t>604</t>
        </is>
      </c>
      <c r="C1179" s="1" t="inlineStr">
        <is>
          <t>2027</t>
        </is>
      </c>
      <c r="D1179" s="1" t="inlineStr">
        <is>
          <t>V03</t>
        </is>
      </c>
      <c r="E1179" s="1" t="inlineStr">
        <is>
          <t>2027BUD_V1</t>
        </is>
      </c>
      <c r="F1179" s="1" t="inlineStr">
        <is>
          <t>12</t>
        </is>
      </c>
      <c r="G1179" t="n">
        <v>25614.829327812</v>
      </c>
      <c r="H1179">
        <f>IF(PNL!A1179="","",_CALC_PNL!P1179)</f>
        <v/>
      </c>
      <c r="I1179">
        <f>IF(PNL!A1179="","",IF(_CALC_PNL!E1179=1,H1179-G1179,""))</f>
        <v/>
      </c>
    </row>
    <row r="1180">
      <c r="A1180" s="1" t="inlineStr">
        <is>
          <t>IPAC_MTP</t>
        </is>
      </c>
      <c r="B1180" s="1" t="inlineStr">
        <is>
          <t>604</t>
        </is>
      </c>
      <c r="C1180" s="1" t="inlineStr">
        <is>
          <t>2027</t>
        </is>
      </c>
      <c r="D1180" s="1" t="inlineStr">
        <is>
          <t>V01</t>
        </is>
      </c>
      <c r="E1180" s="1" t="inlineStr">
        <is>
          <t>2027BUD_V1</t>
        </is>
      </c>
      <c r="F1180" s="1" t="inlineStr">
        <is>
          <t>12</t>
        </is>
      </c>
      <c r="G1180" t="n">
        <v>26894.975523815</v>
      </c>
      <c r="H1180">
        <f>IF(PNL!A1180="","",_CALC_PNL!P1180)</f>
        <v/>
      </c>
      <c r="I1180">
        <f>IF(PNL!A1180="","",IF(_CALC_PNL!E1180=1,H1180-G1180,""))</f>
        <v/>
      </c>
    </row>
    <row r="1181">
      <c r="A1181" s="1" t="inlineStr">
        <is>
          <t>IPAC_MTP</t>
        </is>
      </c>
      <c r="B1181" s="1" t="inlineStr">
        <is>
          <t>604</t>
        </is>
      </c>
      <c r="C1181" s="1" t="inlineStr">
        <is>
          <t>2027</t>
        </is>
      </c>
      <c r="D1181" s="1" t="inlineStr">
        <is>
          <t>V02</t>
        </is>
      </c>
      <c r="E1181" s="1" t="inlineStr">
        <is>
          <t>2027BUD_V1</t>
        </is>
      </c>
      <c r="F1181" s="1" t="inlineStr">
        <is>
          <t>12</t>
        </is>
      </c>
      <c r="G1181" t="n">
        <v>29412.569986702</v>
      </c>
      <c r="H1181">
        <f>IF(PNL!A1181="","",_CALC_PNL!P1181)</f>
        <v/>
      </c>
      <c r="I1181">
        <f>IF(PNL!A1181="","",IF(_CALC_PNL!E1181=1,H1181-G1181,""))</f>
        <v/>
      </c>
    </row>
    <row r="1182">
      <c r="A1182" s="1" t="inlineStr">
        <is>
          <t>IPAC_MTP</t>
        </is>
      </c>
      <c r="B1182" s="1" t="inlineStr">
        <is>
          <t>604</t>
        </is>
      </c>
      <c r="C1182" s="1" t="inlineStr">
        <is>
          <t>2027</t>
        </is>
      </c>
      <c r="D1182" s="1" t="inlineStr">
        <is>
          <t>V03</t>
        </is>
      </c>
      <c r="E1182" s="1" t="inlineStr">
        <is>
          <t>2027BUD_V1</t>
        </is>
      </c>
      <c r="F1182" s="1" t="inlineStr">
        <is>
          <t>12</t>
        </is>
      </c>
      <c r="G1182" t="n">
        <v>25614.829327812</v>
      </c>
      <c r="H1182">
        <f>IF(PNL!A1182="","",_CALC_PNL!P1182)</f>
        <v/>
      </c>
      <c r="I1182">
        <f>IF(PNL!A1182="","",IF(_CALC_PNL!E1182=1,H1182-G1182,""))</f>
        <v/>
      </c>
    </row>
    <row r="1183">
      <c r="A1183" s="1" t="inlineStr">
        <is>
          <t>PIGIER_LYO</t>
        </is>
      </c>
      <c r="B1183" s="1" t="inlineStr">
        <is>
          <t>604</t>
        </is>
      </c>
      <c r="C1183" s="1" t="inlineStr">
        <is>
          <t>2027</t>
        </is>
      </c>
      <c r="D1183" s="1" t="inlineStr">
        <is>
          <t>V01</t>
        </is>
      </c>
      <c r="E1183" s="1" t="inlineStr">
        <is>
          <t>2027BUD_V1</t>
        </is>
      </c>
      <c r="F1183" s="1" t="inlineStr">
        <is>
          <t>12</t>
        </is>
      </c>
      <c r="G1183" t="n">
        <v>41836.971802732</v>
      </c>
      <c r="H1183">
        <f>IF(PNL!A1183="","",_CALC_PNL!P1183)</f>
        <v/>
      </c>
      <c r="I1183">
        <f>IF(PNL!A1183="","",IF(_CALC_PNL!E1183=1,H1183-G1183,""))</f>
        <v/>
      </c>
    </row>
    <row r="1184">
      <c r="A1184" s="1" t="inlineStr">
        <is>
          <t>PIGIER_LYO</t>
        </is>
      </c>
      <c r="B1184" s="1" t="inlineStr">
        <is>
          <t>604</t>
        </is>
      </c>
      <c r="C1184" s="1" t="inlineStr">
        <is>
          <t>2027</t>
        </is>
      </c>
      <c r="D1184" s="1" t="inlineStr">
        <is>
          <t>V02</t>
        </is>
      </c>
      <c r="E1184" s="1" t="inlineStr">
        <is>
          <t>2027BUD_V1</t>
        </is>
      </c>
      <c r="F1184" s="1" t="inlineStr">
        <is>
          <t>12</t>
        </is>
      </c>
      <c r="G1184" t="n">
        <v>45753.261983448</v>
      </c>
      <c r="H1184">
        <f>IF(PNL!A1184="","",_CALC_PNL!P1184)</f>
        <v/>
      </c>
      <c r="I1184">
        <f>IF(PNL!A1184="","",IF(_CALC_PNL!E1184=1,H1184-G1184,""))</f>
        <v/>
      </c>
    </row>
    <row r="1185">
      <c r="A1185" s="1" t="inlineStr">
        <is>
          <t>PIGIER_LYO</t>
        </is>
      </c>
      <c r="B1185" s="1" t="inlineStr">
        <is>
          <t>604</t>
        </is>
      </c>
      <c r="C1185" s="1" t="inlineStr">
        <is>
          <t>2027</t>
        </is>
      </c>
      <c r="D1185" s="1" t="inlineStr">
        <is>
          <t>V03</t>
        </is>
      </c>
      <c r="E1185" s="1" t="inlineStr">
        <is>
          <t>2027BUD_V1</t>
        </is>
      </c>
      <c r="F1185" s="1" t="inlineStr">
        <is>
          <t>12</t>
        </is>
      </c>
      <c r="G1185" t="n">
        <v>39845.616939512</v>
      </c>
      <c r="H1185">
        <f>IF(PNL!A1185="","",_CALC_PNL!P1185)</f>
        <v/>
      </c>
      <c r="I1185">
        <f>IF(PNL!A1185="","",IF(_CALC_PNL!E1185=1,H1185-G1185,""))</f>
        <v/>
      </c>
    </row>
    <row r="1186">
      <c r="A1186" s="1" t="inlineStr">
        <is>
          <t>PIGIER_BOR</t>
        </is>
      </c>
      <c r="B1186" s="1" t="inlineStr">
        <is>
          <t>604</t>
        </is>
      </c>
      <c r="C1186" s="1" t="inlineStr">
        <is>
          <t>2027</t>
        </is>
      </c>
      <c r="D1186" s="1" t="inlineStr">
        <is>
          <t>V01</t>
        </is>
      </c>
      <c r="E1186" s="1" t="inlineStr">
        <is>
          <t>2027BUD_V1</t>
        </is>
      </c>
      <c r="F1186" s="1" t="inlineStr">
        <is>
          <t>12</t>
        </is>
      </c>
      <c r="G1186" t="n">
        <v>32642.372383581</v>
      </c>
      <c r="H1186">
        <f>IF(PNL!A1186="","",_CALC_PNL!P1186)</f>
        <v/>
      </c>
      <c r="I1186">
        <f>IF(PNL!A1186="","",IF(_CALC_PNL!E1186=1,H1186-G1186,""))</f>
        <v/>
      </c>
    </row>
    <row r="1187">
      <c r="A1187" s="1" t="inlineStr">
        <is>
          <t>PIGIER_BOR</t>
        </is>
      </c>
      <c r="B1187" s="1" t="inlineStr">
        <is>
          <t>604</t>
        </is>
      </c>
      <c r="C1187" s="1" t="inlineStr">
        <is>
          <t>2027</t>
        </is>
      </c>
      <c r="D1187" s="1" t="inlineStr">
        <is>
          <t>V02</t>
        </is>
      </c>
      <c r="E1187" s="1" t="inlineStr">
        <is>
          <t>2027BUD_V1</t>
        </is>
      </c>
      <c r="F1187" s="1" t="inlineStr">
        <is>
          <t>12</t>
        </is>
      </c>
      <c r="G1187" t="n">
        <v>35697.971221944</v>
      </c>
      <c r="H1187">
        <f>IF(PNL!A1187="","",_CALC_PNL!P1187)</f>
        <v/>
      </c>
      <c r="I1187">
        <f>IF(PNL!A1187="","",IF(_CALC_PNL!E1187=1,H1187-G1187,""))</f>
        <v/>
      </c>
    </row>
    <row r="1188">
      <c r="A1188" s="1" t="inlineStr">
        <is>
          <t>PIGIER_BOR</t>
        </is>
      </c>
      <c r="B1188" s="1" t="inlineStr">
        <is>
          <t>604</t>
        </is>
      </c>
      <c r="C1188" s="1" t="inlineStr">
        <is>
          <t>2027</t>
        </is>
      </c>
      <c r="D1188" s="1" t="inlineStr">
        <is>
          <t>V03</t>
        </is>
      </c>
      <c r="E1188" s="1" t="inlineStr">
        <is>
          <t>2027BUD_V1</t>
        </is>
      </c>
      <c r="F1188" s="1" t="inlineStr">
        <is>
          <t>12</t>
        </is>
      </c>
      <c r="G1188" t="n">
        <v>31088.661773271</v>
      </c>
      <c r="H1188">
        <f>IF(PNL!A1188="","",_CALC_PNL!P1188)</f>
        <v/>
      </c>
      <c r="I1188">
        <f>IF(PNL!A1188="","",IF(_CALC_PNL!E1188=1,H1188-G1188,""))</f>
        <v/>
      </c>
    </row>
    <row r="1189">
      <c r="A1189" s="1" t="inlineStr">
        <is>
          <t>TUNON_PAR</t>
        </is>
      </c>
      <c r="B1189" s="1" t="inlineStr">
        <is>
          <t>604</t>
        </is>
      </c>
      <c r="C1189" s="1" t="inlineStr">
        <is>
          <t>2027</t>
        </is>
      </c>
      <c r="D1189" s="1" t="inlineStr">
        <is>
          <t>V01</t>
        </is>
      </c>
      <c r="E1189" s="1" t="inlineStr">
        <is>
          <t>2027BUD_V1</t>
        </is>
      </c>
      <c r="F1189" s="1" t="inlineStr">
        <is>
          <t>12</t>
        </is>
      </c>
      <c r="G1189" t="n">
        <v>31721.882811271</v>
      </c>
      <c r="H1189">
        <f>IF(PNL!A1189="","",_CALC_PNL!P1189)</f>
        <v/>
      </c>
      <c r="I1189">
        <f>IF(PNL!A1189="","",IF(_CALC_PNL!E1189=1,H1189-G1189,""))</f>
        <v/>
      </c>
    </row>
    <row r="1190">
      <c r="A1190" s="1" t="inlineStr">
        <is>
          <t>TUNON_PAR</t>
        </is>
      </c>
      <c r="B1190" s="1" t="inlineStr">
        <is>
          <t>604</t>
        </is>
      </c>
      <c r="C1190" s="1" t="inlineStr">
        <is>
          <t>2027</t>
        </is>
      </c>
      <c r="D1190" s="1" t="inlineStr">
        <is>
          <t>V02</t>
        </is>
      </c>
      <c r="E1190" s="1" t="inlineStr">
        <is>
          <t>2027BUD_V1</t>
        </is>
      </c>
      <c r="F1190" s="1" t="inlineStr">
        <is>
          <t>12</t>
        </is>
      </c>
      <c r="G1190" t="n">
        <v>34691.316133391</v>
      </c>
      <c r="H1190">
        <f>IF(PNL!A1190="","",_CALC_PNL!P1190)</f>
        <v/>
      </c>
      <c r="I1190">
        <f>IF(PNL!A1190="","",IF(_CALC_PNL!E1190=1,H1190-G1190,""))</f>
        <v/>
      </c>
    </row>
    <row r="1191">
      <c r="A1191" s="1" t="inlineStr">
        <is>
          <t>TUNON_PAR</t>
        </is>
      </c>
      <c r="B1191" s="1" t="inlineStr">
        <is>
          <t>604</t>
        </is>
      </c>
      <c r="C1191" s="1" t="inlineStr">
        <is>
          <t>2027</t>
        </is>
      </c>
      <c r="D1191" s="1" t="inlineStr">
        <is>
          <t>V03</t>
        </is>
      </c>
      <c r="E1191" s="1" t="inlineStr">
        <is>
          <t>2027BUD_V1</t>
        </is>
      </c>
      <c r="F1191" s="1" t="inlineStr">
        <is>
          <t>12</t>
        </is>
      </c>
      <c r="G1191" t="n">
        <v>30211.985634568</v>
      </c>
      <c r="H1191">
        <f>IF(PNL!A1191="","",_CALC_PNL!P1191)</f>
        <v/>
      </c>
      <c r="I1191">
        <f>IF(PNL!A1191="","",IF(_CALC_PNL!E1191=1,H1191-G1191,""))</f>
        <v/>
      </c>
    </row>
    <row r="1192">
      <c r="A1192" s="1" t="inlineStr">
        <is>
          <t>TUNON_LYO</t>
        </is>
      </c>
      <c r="B1192" s="1" t="inlineStr">
        <is>
          <t>604</t>
        </is>
      </c>
      <c r="C1192" s="1" t="inlineStr">
        <is>
          <t>2027</t>
        </is>
      </c>
      <c r="D1192" s="1" t="inlineStr">
        <is>
          <t>V01</t>
        </is>
      </c>
      <c r="E1192" s="1" t="inlineStr">
        <is>
          <t>2027BUD_V1</t>
        </is>
      </c>
      <c r="F1192" s="1" t="inlineStr">
        <is>
          <t>12</t>
        </is>
      </c>
      <c r="G1192" t="n">
        <v>26894.975523815</v>
      </c>
      <c r="H1192">
        <f>IF(PNL!A1192="","",_CALC_PNL!P1192)</f>
        <v/>
      </c>
      <c r="I1192">
        <f>IF(PNL!A1192="","",IF(_CALC_PNL!E1192=1,H1192-G1192,""))</f>
        <v/>
      </c>
    </row>
    <row r="1193">
      <c r="A1193" s="1" t="inlineStr">
        <is>
          <t>TUNON_LYO</t>
        </is>
      </c>
      <c r="B1193" s="1" t="inlineStr">
        <is>
          <t>604</t>
        </is>
      </c>
      <c r="C1193" s="1" t="inlineStr">
        <is>
          <t>2027</t>
        </is>
      </c>
      <c r="D1193" s="1" t="inlineStr">
        <is>
          <t>V02</t>
        </is>
      </c>
      <c r="E1193" s="1" t="inlineStr">
        <is>
          <t>2027BUD_V1</t>
        </is>
      </c>
      <c r="F1193" s="1" t="inlineStr">
        <is>
          <t>12</t>
        </is>
      </c>
      <c r="G1193" t="n">
        <v>29412.569986702</v>
      </c>
      <c r="H1193">
        <f>IF(PNL!A1193="","",_CALC_PNL!P1193)</f>
        <v/>
      </c>
      <c r="I1193">
        <f>IF(PNL!A1193="","",IF(_CALC_PNL!E1193=1,H1193-G1193,""))</f>
        <v/>
      </c>
    </row>
    <row r="1194">
      <c r="A1194" s="1" t="inlineStr">
        <is>
          <t>TUNON_LYO</t>
        </is>
      </c>
      <c r="B1194" s="1" t="inlineStr">
        <is>
          <t>604</t>
        </is>
      </c>
      <c r="C1194" s="1" t="inlineStr">
        <is>
          <t>2027</t>
        </is>
      </c>
      <c r="D1194" s="1" t="inlineStr">
        <is>
          <t>V03</t>
        </is>
      </c>
      <c r="E1194" s="1" t="inlineStr">
        <is>
          <t>2027BUD_V1</t>
        </is>
      </c>
      <c r="F1194" s="1" t="inlineStr">
        <is>
          <t>12</t>
        </is>
      </c>
      <c r="G1194" t="n">
        <v>25614.829327812</v>
      </c>
      <c r="H1194">
        <f>IF(PNL!A1194="","",_CALC_PNL!P1194)</f>
        <v/>
      </c>
      <c r="I1194">
        <f>IF(PNL!A1194="","",IF(_CALC_PNL!E1194=1,H1194-G1194,""))</f>
        <v/>
      </c>
    </row>
    <row r="1195">
      <c r="A1195" s="1" t="inlineStr">
        <is>
          <t>MBWAY_PAR</t>
        </is>
      </c>
      <c r="B1195" s="1" t="inlineStr">
        <is>
          <t>6063</t>
        </is>
      </c>
      <c r="C1195" s="1" t="inlineStr">
        <is>
          <t>2027</t>
        </is>
      </c>
      <c r="D1195" s="1" t="inlineStr">
        <is>
          <t>V01</t>
        </is>
      </c>
      <c r="E1195" s="1" t="inlineStr">
        <is>
          <t>2027BUD_V1</t>
        </is>
      </c>
      <c r="F1195" s="1" t="inlineStr">
        <is>
          <t>12</t>
        </is>
      </c>
      <c r="G1195" t="n">
        <v>58540.665685924</v>
      </c>
      <c r="H1195">
        <f>IF(PNL!A1195="","",_CALC_PNL!P1195)</f>
        <v/>
      </c>
      <c r="I1195">
        <f>IF(PNL!A1195="","",IF(_CALC_PNL!E1195=1,H1195-G1195,""))</f>
        <v/>
      </c>
    </row>
    <row r="1196">
      <c r="A1196" s="1" t="inlineStr">
        <is>
          <t>MBWAY_PAR</t>
        </is>
      </c>
      <c r="B1196" s="1" t="inlineStr">
        <is>
          <t>6063</t>
        </is>
      </c>
      <c r="C1196" s="1" t="inlineStr">
        <is>
          <t>2027</t>
        </is>
      </c>
      <c r="D1196" s="1" t="inlineStr">
        <is>
          <t>V02</t>
        </is>
      </c>
      <c r="E1196" s="1" t="inlineStr">
        <is>
          <t>2027BUD_V1</t>
        </is>
      </c>
      <c r="F1196" s="1" t="inlineStr">
        <is>
          <t>12</t>
        </is>
      </c>
      <c r="G1196" t="n">
        <v>64020.561202248</v>
      </c>
      <c r="H1196">
        <f>IF(PNL!A1196="","",_CALC_PNL!P1196)</f>
        <v/>
      </c>
      <c r="I1196">
        <f>IF(PNL!A1196="","",IF(_CALC_PNL!E1196=1,H1196-G1196,""))</f>
        <v/>
      </c>
    </row>
    <row r="1197">
      <c r="A1197" s="1" t="inlineStr">
        <is>
          <t>MBWAY_PAR</t>
        </is>
      </c>
      <c r="B1197" s="1" t="inlineStr">
        <is>
          <t>6063</t>
        </is>
      </c>
      <c r="C1197" s="1" t="inlineStr">
        <is>
          <t>2027</t>
        </is>
      </c>
      <c r="D1197" s="1" t="inlineStr">
        <is>
          <t>V03</t>
        </is>
      </c>
      <c r="E1197" s="1" t="inlineStr">
        <is>
          <t>2027BUD_V1</t>
        </is>
      </c>
      <c r="F1197" s="1" t="inlineStr">
        <is>
          <t>12</t>
        </is>
      </c>
      <c r="G1197" t="n">
        <v>55754.248928528</v>
      </c>
      <c r="H1197">
        <f>IF(PNL!A1197="","",_CALC_PNL!P1197)</f>
        <v/>
      </c>
      <c r="I1197">
        <f>IF(PNL!A1197="","",IF(_CALC_PNL!E1197=1,H1197-G1197,""))</f>
        <v/>
      </c>
    </row>
    <row r="1198">
      <c r="A1198" s="1" t="inlineStr">
        <is>
          <t>MBWAY_LYO</t>
        </is>
      </c>
      <c r="B1198" s="1" t="inlineStr">
        <is>
          <t>6063</t>
        </is>
      </c>
      <c r="C1198" s="1" t="inlineStr">
        <is>
          <t>2027</t>
        </is>
      </c>
      <c r="D1198" s="1" t="inlineStr">
        <is>
          <t>V01</t>
        </is>
      </c>
      <c r="E1198" s="1" t="inlineStr">
        <is>
          <t>2027BUD_V1</t>
        </is>
      </c>
      <c r="F1198" s="1" t="inlineStr">
        <is>
          <t>12</t>
        </is>
      </c>
      <c r="G1198" t="n">
        <v>49652.896124209</v>
      </c>
      <c r="H1198">
        <f>IF(PNL!A1198="","",_CALC_PNL!P1198)</f>
        <v/>
      </c>
      <c r="I1198">
        <f>IF(PNL!A1198="","",IF(_CALC_PNL!E1198=1,H1198-G1198,""))</f>
        <v/>
      </c>
    </row>
    <row r="1199">
      <c r="A1199" s="1" t="inlineStr">
        <is>
          <t>MBWAY_LYO</t>
        </is>
      </c>
      <c r="B1199" s="1" t="inlineStr">
        <is>
          <t>6063</t>
        </is>
      </c>
      <c r="C1199" s="1" t="inlineStr">
        <is>
          <t>2027</t>
        </is>
      </c>
      <c r="D1199" s="1" t="inlineStr">
        <is>
          <t>V02</t>
        </is>
      </c>
      <c r="E1199" s="1" t="inlineStr">
        <is>
          <t>2027BUD_V1</t>
        </is>
      </c>
      <c r="F1199" s="1" t="inlineStr">
        <is>
          <t>12</t>
        </is>
      </c>
      <c r="G1199" t="n">
        <v>54300.822136928</v>
      </c>
      <c r="H1199">
        <f>IF(PNL!A1199="","",_CALC_PNL!P1199)</f>
        <v/>
      </c>
      <c r="I1199">
        <f>IF(PNL!A1199="","",IF(_CALC_PNL!E1199=1,H1199-G1199,""))</f>
        <v/>
      </c>
    </row>
    <row r="1200">
      <c r="A1200" s="1" t="inlineStr">
        <is>
          <t>MBWAY_LYO</t>
        </is>
      </c>
      <c r="B1200" s="1" t="inlineStr">
        <is>
          <t>6063</t>
        </is>
      </c>
      <c r="C1200" s="1" t="inlineStr">
        <is>
          <t>2027</t>
        </is>
      </c>
      <c r="D1200" s="1" t="inlineStr">
        <is>
          <t>V03</t>
        </is>
      </c>
      <c r="E1200" s="1" t="inlineStr">
        <is>
          <t>2027BUD_V1</t>
        </is>
      </c>
      <c r="F1200" s="1" t="inlineStr">
        <is>
          <t>12</t>
        </is>
      </c>
      <c r="G1200" t="n">
        <v>47289.519141855</v>
      </c>
      <c r="H1200">
        <f>IF(PNL!A1200="","",_CALC_PNL!P1200)</f>
        <v/>
      </c>
      <c r="I1200">
        <f>IF(PNL!A1200="","",IF(_CALC_PNL!E1200=1,H1200-G1200,""))</f>
        <v/>
      </c>
    </row>
    <row r="1201">
      <c r="A1201" s="1" t="inlineStr">
        <is>
          <t>MBWAY_NAN</t>
        </is>
      </c>
      <c r="B1201" s="1" t="inlineStr">
        <is>
          <t>6063</t>
        </is>
      </c>
      <c r="C1201" s="1" t="inlineStr">
        <is>
          <t>2027</t>
        </is>
      </c>
      <c r="D1201" s="1" t="inlineStr">
        <is>
          <t>V01</t>
        </is>
      </c>
      <c r="E1201" s="1" t="inlineStr">
        <is>
          <t>2027BUD_V1</t>
        </is>
      </c>
      <c r="F1201" s="1" t="inlineStr">
        <is>
          <t>12</t>
        </is>
      </c>
      <c r="G1201" t="n">
        <v>45054.566784239</v>
      </c>
      <c r="H1201">
        <f>IF(PNL!A1201="","",_CALC_PNL!P1201)</f>
        <v/>
      </c>
      <c r="I1201">
        <f>IF(PNL!A1201="","",IF(_CALC_PNL!E1201=1,H1201-G1201,""))</f>
        <v/>
      </c>
    </row>
    <row r="1202">
      <c r="A1202" s="1" t="inlineStr">
        <is>
          <t>MBWAY_NAN</t>
        </is>
      </c>
      <c r="B1202" s="1" t="inlineStr">
        <is>
          <t>6063</t>
        </is>
      </c>
      <c r="C1202" s="1" t="inlineStr">
        <is>
          <t>2027</t>
        </is>
      </c>
      <c r="D1202" s="1" t="inlineStr">
        <is>
          <t>V02</t>
        </is>
      </c>
      <c r="E1202" s="1" t="inlineStr">
        <is>
          <t>2027BUD_V1</t>
        </is>
      </c>
      <c r="F1202" s="1" t="inlineStr">
        <is>
          <t>12</t>
        </is>
      </c>
      <c r="G1202" t="n">
        <v>49272.050743773</v>
      </c>
      <c r="H1202">
        <f>IF(PNL!A1202="","",_CALC_PNL!P1202)</f>
        <v/>
      </c>
      <c r="I1202">
        <f>IF(PNL!A1202="","",IF(_CALC_PNL!E1202=1,H1202-G1202,""))</f>
        <v/>
      </c>
    </row>
    <row r="1203">
      <c r="A1203" s="1" t="inlineStr">
        <is>
          <t>MBWAY_NAN</t>
        </is>
      </c>
      <c r="B1203" s="1" t="inlineStr">
        <is>
          <t>6063</t>
        </is>
      </c>
      <c r="C1203" s="1" t="inlineStr">
        <is>
          <t>2027</t>
        </is>
      </c>
      <c r="D1203" s="1" t="inlineStr">
        <is>
          <t>V03</t>
        </is>
      </c>
      <c r="E1203" s="1" t="inlineStr">
        <is>
          <t>2027BUD_V1</t>
        </is>
      </c>
      <c r="F1203" s="1" t="inlineStr">
        <is>
          <t>12</t>
        </is>
      </c>
      <c r="G1203" t="n">
        <v>42910.060936656</v>
      </c>
      <c r="H1203">
        <f>IF(PNL!A1203="","",_CALC_PNL!P1203)</f>
        <v/>
      </c>
      <c r="I1203">
        <f>IF(PNL!A1203="","",IF(_CALC_PNL!E1203=1,H1203-G1203,""))</f>
        <v/>
      </c>
    </row>
    <row r="1204">
      <c r="A1204" s="1" t="inlineStr">
        <is>
          <t>MBWAY_BOR</t>
        </is>
      </c>
      <c r="B1204" s="1" t="inlineStr">
        <is>
          <t>6063</t>
        </is>
      </c>
      <c r="C1204" s="1" t="inlineStr">
        <is>
          <t>2027</t>
        </is>
      </c>
      <c r="D1204" s="1" t="inlineStr">
        <is>
          <t>V01</t>
        </is>
      </c>
      <c r="E1204" s="1" t="inlineStr">
        <is>
          <t>2027BUD_V1</t>
        </is>
      </c>
      <c r="F1204" s="1" t="inlineStr">
        <is>
          <t>12</t>
        </is>
      </c>
      <c r="G1204" t="n">
        <v>38159.132035072</v>
      </c>
      <c r="H1204">
        <f>IF(PNL!A1204="","",_CALC_PNL!P1204)</f>
        <v/>
      </c>
      <c r="I1204">
        <f>IF(PNL!A1204="","",IF(_CALC_PNL!E1204=1,H1204-G1204,""))</f>
        <v/>
      </c>
    </row>
    <row r="1205">
      <c r="A1205" s="1" t="inlineStr">
        <is>
          <t>MBWAY_BOR</t>
        </is>
      </c>
      <c r="B1205" s="1" t="inlineStr">
        <is>
          <t>6063</t>
        </is>
      </c>
      <c r="C1205" s="1" t="inlineStr">
        <is>
          <t>2027</t>
        </is>
      </c>
      <c r="D1205" s="1" t="inlineStr">
        <is>
          <t>V02</t>
        </is>
      </c>
      <c r="E1205" s="1" t="inlineStr">
        <is>
          <t>2027BUD_V1</t>
        </is>
      </c>
      <c r="F1205" s="1" t="inlineStr">
        <is>
          <t>12</t>
        </is>
      </c>
      <c r="G1205" t="n">
        <v>41731.145678847</v>
      </c>
      <c r="H1205">
        <f>IF(PNL!A1205="","",_CALC_PNL!P1205)</f>
        <v/>
      </c>
      <c r="I1205">
        <f>IF(PNL!A1205="","",IF(_CALC_PNL!E1205=1,H1205-G1205,""))</f>
        <v/>
      </c>
    </row>
    <row r="1206">
      <c r="A1206" s="1" t="inlineStr">
        <is>
          <t>MBWAY_BOR</t>
        </is>
      </c>
      <c r="B1206" s="1" t="inlineStr">
        <is>
          <t>6063</t>
        </is>
      </c>
      <c r="C1206" s="1" t="inlineStr">
        <is>
          <t>2027</t>
        </is>
      </c>
      <c r="D1206" s="1" t="inlineStr">
        <is>
          <t>V03</t>
        </is>
      </c>
      <c r="E1206" s="1" t="inlineStr">
        <is>
          <t>2027BUD_V1</t>
        </is>
      </c>
      <c r="F1206" s="1" t="inlineStr">
        <is>
          <t>12</t>
        </is>
      </c>
      <c r="G1206" t="n">
        <v>36342.834873015</v>
      </c>
      <c r="H1206">
        <f>IF(PNL!A1206="","",_CALC_PNL!P1206)</f>
        <v/>
      </c>
      <c r="I1206">
        <f>IF(PNL!A1206="","",IF(_CALC_PNL!E1206=1,H1206-G1206,""))</f>
        <v/>
      </c>
    </row>
    <row r="1207">
      <c r="A1207" s="1" t="inlineStr">
        <is>
          <t>ISCOM_PAR</t>
        </is>
      </c>
      <c r="B1207" s="1" t="inlineStr">
        <is>
          <t>6063</t>
        </is>
      </c>
      <c r="C1207" s="1" t="inlineStr">
        <is>
          <t>2027</t>
        </is>
      </c>
      <c r="D1207" s="1" t="inlineStr">
        <is>
          <t>V01</t>
        </is>
      </c>
      <c r="E1207" s="1" t="inlineStr">
        <is>
          <t>2027BUD_V1</t>
        </is>
      </c>
      <c r="F1207" s="1" t="inlineStr">
        <is>
          <t>12</t>
        </is>
      </c>
      <c r="G1207" t="n">
        <v>54250.195833785</v>
      </c>
      <c r="H1207">
        <f>IF(PNL!A1207="","",_CALC_PNL!P1207)</f>
        <v/>
      </c>
      <c r="I1207">
        <f>IF(PNL!A1207="","",IF(_CALC_PNL!E1207=1,H1207-G1207,""))</f>
        <v/>
      </c>
    </row>
    <row r="1208">
      <c r="A1208" s="1" t="inlineStr">
        <is>
          <t>ISCOM_PAR</t>
        </is>
      </c>
      <c r="B1208" s="1" t="inlineStr">
        <is>
          <t>6063</t>
        </is>
      </c>
      <c r="C1208" s="1" t="inlineStr">
        <is>
          <t>2027</t>
        </is>
      </c>
      <c r="D1208" s="1" t="inlineStr">
        <is>
          <t>V02</t>
        </is>
      </c>
      <c r="E1208" s="1" t="inlineStr">
        <is>
          <t>2027BUD_V1</t>
        </is>
      </c>
      <c r="F1208" s="1" t="inlineStr">
        <is>
          <t>12</t>
        </is>
      </c>
      <c r="G1208" t="n">
        <v>59328.467517681</v>
      </c>
      <c r="H1208">
        <f>IF(PNL!A1208="","",_CALC_PNL!P1208)</f>
        <v/>
      </c>
      <c r="I1208">
        <f>IF(PNL!A1208="","",IF(_CALC_PNL!E1208=1,H1208-G1208,""))</f>
        <v/>
      </c>
    </row>
    <row r="1209">
      <c r="A1209" s="1" t="inlineStr">
        <is>
          <t>ISCOM_PAR</t>
        </is>
      </c>
      <c r="B1209" s="1" t="inlineStr">
        <is>
          <t>6063</t>
        </is>
      </c>
      <c r="C1209" s="1" t="inlineStr">
        <is>
          <t>2027</t>
        </is>
      </c>
      <c r="D1209" s="1" t="inlineStr">
        <is>
          <t>V03</t>
        </is>
      </c>
      <c r="E1209" s="1" t="inlineStr">
        <is>
          <t>2027BUD_V1</t>
        </is>
      </c>
      <c r="F1209" s="1" t="inlineStr">
        <is>
          <t>12</t>
        </is>
      </c>
      <c r="G1209" t="n">
        <v>51667.996724975</v>
      </c>
      <c r="H1209">
        <f>IF(PNL!A1209="","",_CALC_PNL!P1209)</f>
        <v/>
      </c>
      <c r="I1209">
        <f>IF(PNL!A1209="","",IF(_CALC_PNL!E1209=1,H1209-G1209,""))</f>
        <v/>
      </c>
    </row>
    <row r="1210">
      <c r="A1210" s="1" t="inlineStr">
        <is>
          <t>ISCOM_LIL</t>
        </is>
      </c>
      <c r="B1210" s="1" t="inlineStr">
        <is>
          <t>6063</t>
        </is>
      </c>
      <c r="C1210" s="1" t="inlineStr">
        <is>
          <t>2027</t>
        </is>
      </c>
      <c r="D1210" s="1" t="inlineStr">
        <is>
          <t>V01</t>
        </is>
      </c>
      <c r="E1210" s="1" t="inlineStr">
        <is>
          <t>2027BUD_V1</t>
        </is>
      </c>
      <c r="F1210" s="1" t="inlineStr">
        <is>
          <t>12</t>
        </is>
      </c>
      <c r="G1210" t="n">
        <v>37392.057391481</v>
      </c>
      <c r="H1210">
        <f>IF(PNL!A1210="","",_CALC_PNL!P1210)</f>
        <v/>
      </c>
      <c r="I1210">
        <f>IF(PNL!A1210="","",IF(_CALC_PNL!E1210=1,H1210-G1210,""))</f>
        <v/>
      </c>
    </row>
    <row r="1211">
      <c r="A1211" s="1" t="inlineStr">
        <is>
          <t>ISCOM_LIL</t>
        </is>
      </c>
      <c r="B1211" s="1" t="inlineStr">
        <is>
          <t>6063</t>
        </is>
      </c>
      <c r="C1211" s="1" t="inlineStr">
        <is>
          <t>2027</t>
        </is>
      </c>
      <c r="D1211" s="1" t="inlineStr">
        <is>
          <t>V02</t>
        </is>
      </c>
      <c r="E1211" s="1" t="inlineStr">
        <is>
          <t>2027BUD_V1</t>
        </is>
      </c>
      <c r="F1211" s="1" t="inlineStr">
        <is>
          <t>12</t>
        </is>
      </c>
      <c r="G1211" t="n">
        <v>40892.266438385</v>
      </c>
      <c r="H1211">
        <f>IF(PNL!A1211="","",_CALC_PNL!P1211)</f>
        <v/>
      </c>
      <c r="I1211">
        <f>IF(PNL!A1211="","",IF(_CALC_PNL!E1211=1,H1211-G1211,""))</f>
        <v/>
      </c>
    </row>
    <row r="1212">
      <c r="A1212" s="1" t="inlineStr">
        <is>
          <t>ISCOM_LIL</t>
        </is>
      </c>
      <c r="B1212" s="1" t="inlineStr">
        <is>
          <t>6063</t>
        </is>
      </c>
      <c r="C1212" s="1" t="inlineStr">
        <is>
          <t>2027</t>
        </is>
      </c>
      <c r="D1212" s="1" t="inlineStr">
        <is>
          <t>V03</t>
        </is>
      </c>
      <c r="E1212" s="1" t="inlineStr">
        <is>
          <t>2027BUD_V1</t>
        </is>
      </c>
      <c r="F1212" s="1" t="inlineStr">
        <is>
          <t>12</t>
        </is>
      </c>
      <c r="G1212" t="n">
        <v>35612.271424096</v>
      </c>
      <c r="H1212">
        <f>IF(PNL!A1212="","",_CALC_PNL!P1212)</f>
        <v/>
      </c>
      <c r="I1212">
        <f>IF(PNL!A1212="","",IF(_CALC_PNL!E1212=1,H1212-G1212,""))</f>
        <v/>
      </c>
    </row>
    <row r="1213">
      <c r="A1213" s="1" t="inlineStr">
        <is>
          <t>ISCOM_TLS</t>
        </is>
      </c>
      <c r="B1213" s="1" t="inlineStr">
        <is>
          <t>6063</t>
        </is>
      </c>
      <c r="C1213" s="1" t="inlineStr">
        <is>
          <t>2027</t>
        </is>
      </c>
      <c r="D1213" s="1" t="inlineStr">
        <is>
          <t>V01</t>
        </is>
      </c>
      <c r="E1213" s="1" t="inlineStr">
        <is>
          <t>2027BUD_V1</t>
        </is>
      </c>
      <c r="F1213" s="1" t="inlineStr">
        <is>
          <t>12</t>
        </is>
      </c>
      <c r="G1213" t="n">
        <v>35400.752209326</v>
      </c>
      <c r="H1213">
        <f>IF(PNL!A1213="","",_CALC_PNL!P1213)</f>
        <v/>
      </c>
      <c r="I1213">
        <f>IF(PNL!A1213="","",IF(_CALC_PNL!E1213=1,H1213-G1213,""))</f>
        <v/>
      </c>
    </row>
    <row r="1214">
      <c r="A1214" s="1" t="inlineStr">
        <is>
          <t>ISCOM_TLS</t>
        </is>
      </c>
      <c r="B1214" s="1" t="inlineStr">
        <is>
          <t>6063</t>
        </is>
      </c>
      <c r="C1214" s="1" t="inlineStr">
        <is>
          <t>2027</t>
        </is>
      </c>
      <c r="D1214" s="1" t="inlineStr">
        <is>
          <t>V02</t>
        </is>
      </c>
      <c r="E1214" s="1" t="inlineStr">
        <is>
          <t>2027BUD_V1</t>
        </is>
      </c>
      <c r="F1214" s="1" t="inlineStr">
        <is>
          <t>12</t>
        </is>
      </c>
      <c r="G1214" t="n">
        <v>38714.558450396</v>
      </c>
      <c r="H1214">
        <f>IF(PNL!A1214="","",_CALC_PNL!P1214)</f>
        <v/>
      </c>
      <c r="I1214">
        <f>IF(PNL!A1214="","",IF(_CALC_PNL!E1214=1,H1214-G1214,""))</f>
        <v/>
      </c>
    </row>
    <row r="1215">
      <c r="A1215" s="1" t="inlineStr">
        <is>
          <t>ISCOM_TLS</t>
        </is>
      </c>
      <c r="B1215" s="1" t="inlineStr">
        <is>
          <t>6063</t>
        </is>
      </c>
      <c r="C1215" s="1" t="inlineStr">
        <is>
          <t>2027</t>
        </is>
      </c>
      <c r="D1215" s="1" t="inlineStr">
        <is>
          <t>V03</t>
        </is>
      </c>
      <c r="E1215" s="1" t="inlineStr">
        <is>
          <t>2027BUD_V1</t>
        </is>
      </c>
      <c r="F1215" s="1" t="inlineStr">
        <is>
          <t>12</t>
        </is>
      </c>
      <c r="G1215" t="n">
        <v>33715.748323143</v>
      </c>
      <c r="H1215">
        <f>IF(PNL!A1215="","",_CALC_PNL!P1215)</f>
        <v/>
      </c>
      <c r="I1215">
        <f>IF(PNL!A1215="","",IF(_CALC_PNL!E1215=1,H1215-G1215,""))</f>
        <v/>
      </c>
    </row>
    <row r="1216">
      <c r="A1216" s="1" t="inlineStr">
        <is>
          <t>IPAC_NAN</t>
        </is>
      </c>
      <c r="B1216" s="1" t="inlineStr">
        <is>
          <t>6063</t>
        </is>
      </c>
      <c r="C1216" s="1" t="inlineStr">
        <is>
          <t>2027</t>
        </is>
      </c>
      <c r="D1216" s="1" t="inlineStr">
        <is>
          <t>V01</t>
        </is>
      </c>
      <c r="E1216" s="1" t="inlineStr">
        <is>
          <t>2027BUD_V1</t>
        </is>
      </c>
      <c r="F1216" s="1" t="inlineStr">
        <is>
          <t>12</t>
        </is>
      </c>
      <c r="G1216" t="n">
        <v>22221.483165077</v>
      </c>
      <c r="H1216">
        <f>IF(PNL!A1216="","",_CALC_PNL!P1216)</f>
        <v/>
      </c>
      <c r="I1216">
        <f>IF(PNL!A1216="","",IF(_CALC_PNL!E1216=1,H1216-G1216,""))</f>
        <v/>
      </c>
    </row>
    <row r="1217">
      <c r="A1217" s="1" t="inlineStr">
        <is>
          <t>IPAC_NAN</t>
        </is>
      </c>
      <c r="B1217" s="1" t="inlineStr">
        <is>
          <t>6063</t>
        </is>
      </c>
      <c r="C1217" s="1" t="inlineStr">
        <is>
          <t>2027</t>
        </is>
      </c>
      <c r="D1217" s="1" t="inlineStr">
        <is>
          <t>V02</t>
        </is>
      </c>
      <c r="E1217" s="1" t="inlineStr">
        <is>
          <t>2027BUD_V1</t>
        </is>
      </c>
      <c r="F1217" s="1" t="inlineStr">
        <is>
          <t>12</t>
        </is>
      </c>
      <c r="G1217" t="n">
        <v>24301.599688105</v>
      </c>
      <c r="H1217">
        <f>IF(PNL!A1217="","",_CALC_PNL!P1217)</f>
        <v/>
      </c>
      <c r="I1217">
        <f>IF(PNL!A1217="","",IF(_CALC_PNL!E1217=1,H1217-G1217,""))</f>
        <v/>
      </c>
    </row>
    <row r="1218">
      <c r="A1218" s="1" t="inlineStr">
        <is>
          <t>IPAC_NAN</t>
        </is>
      </c>
      <c r="B1218" s="1" t="inlineStr">
        <is>
          <t>6063</t>
        </is>
      </c>
      <c r="C1218" s="1" t="inlineStr">
        <is>
          <t>2027</t>
        </is>
      </c>
      <c r="D1218" s="1" t="inlineStr">
        <is>
          <t>V03</t>
        </is>
      </c>
      <c r="E1218" s="1" t="inlineStr">
        <is>
          <t>2027BUD_V1</t>
        </is>
      </c>
      <c r="F1218" s="1" t="inlineStr">
        <is>
          <t>12</t>
        </is>
      </c>
      <c r="G1218" t="n">
        <v>21163.785710839</v>
      </c>
      <c r="H1218">
        <f>IF(PNL!A1218="","",_CALC_PNL!P1218)</f>
        <v/>
      </c>
      <c r="I1218">
        <f>IF(PNL!A1218="","",IF(_CALC_PNL!E1218=1,H1218-G1218,""))</f>
        <v/>
      </c>
    </row>
    <row r="1219">
      <c r="A1219" s="1" t="inlineStr">
        <is>
          <t>IPAC_REN</t>
        </is>
      </c>
      <c r="B1219" s="1" t="inlineStr">
        <is>
          <t>6063</t>
        </is>
      </c>
      <c r="C1219" s="1" t="inlineStr">
        <is>
          <t>2027</t>
        </is>
      </c>
      <c r="D1219" s="1" t="inlineStr">
        <is>
          <t>V01</t>
        </is>
      </c>
      <c r="E1219" s="1" t="inlineStr">
        <is>
          <t>2027BUD_V1</t>
        </is>
      </c>
      <c r="F1219" s="1" t="inlineStr">
        <is>
          <t>12</t>
        </is>
      </c>
      <c r="G1219" t="n">
        <v>17929.983682543</v>
      </c>
      <c r="H1219">
        <f>IF(PNL!A1219="","",_CALC_PNL!P1219)</f>
        <v/>
      </c>
      <c r="I1219">
        <f>IF(PNL!A1219="","",IF(_CALC_PNL!E1219=1,H1219-G1219,""))</f>
        <v/>
      </c>
    </row>
    <row r="1220">
      <c r="A1220" s="1" t="inlineStr">
        <is>
          <t>IPAC_REN</t>
        </is>
      </c>
      <c r="B1220" s="1" t="inlineStr">
        <is>
          <t>6063</t>
        </is>
      </c>
      <c r="C1220" s="1" t="inlineStr">
        <is>
          <t>2027</t>
        </is>
      </c>
      <c r="D1220" s="1" t="inlineStr">
        <is>
          <t>V02</t>
        </is>
      </c>
      <c r="E1220" s="1" t="inlineStr">
        <is>
          <t>2027BUD_V1</t>
        </is>
      </c>
      <c r="F1220" s="1" t="inlineStr">
        <is>
          <t>12</t>
        </is>
      </c>
      <c r="G1220" t="n">
        <v>19608.379991135</v>
      </c>
      <c r="H1220">
        <f>IF(PNL!A1220="","",_CALC_PNL!P1220)</f>
        <v/>
      </c>
      <c r="I1220">
        <f>IF(PNL!A1220="","",IF(_CALC_PNL!E1220=1,H1220-G1220,""))</f>
        <v/>
      </c>
    </row>
    <row r="1221">
      <c r="A1221" s="1" t="inlineStr">
        <is>
          <t>IPAC_REN</t>
        </is>
      </c>
      <c r="B1221" s="1" t="inlineStr">
        <is>
          <t>6063</t>
        </is>
      </c>
      <c r="C1221" s="1" t="inlineStr">
        <is>
          <t>2027</t>
        </is>
      </c>
      <c r="D1221" s="1" t="inlineStr">
        <is>
          <t>V03</t>
        </is>
      </c>
      <c r="E1221" s="1" t="inlineStr">
        <is>
          <t>2027BUD_V1</t>
        </is>
      </c>
      <c r="F1221" s="1" t="inlineStr">
        <is>
          <t>12</t>
        </is>
      </c>
      <c r="G1221" t="n">
        <v>17076.552885208</v>
      </c>
      <c r="H1221">
        <f>IF(PNL!A1221="","",_CALC_PNL!P1221)</f>
        <v/>
      </c>
      <c r="I1221">
        <f>IF(PNL!A1221="","",IF(_CALC_PNL!E1221=1,H1221-G1221,""))</f>
        <v/>
      </c>
    </row>
    <row r="1222">
      <c r="A1222" s="1" t="inlineStr">
        <is>
          <t>IPAC_MTP</t>
        </is>
      </c>
      <c r="B1222" s="1" t="inlineStr">
        <is>
          <t>6063</t>
        </is>
      </c>
      <c r="C1222" s="1" t="inlineStr">
        <is>
          <t>2027</t>
        </is>
      </c>
      <c r="D1222" s="1" t="inlineStr">
        <is>
          <t>V01</t>
        </is>
      </c>
      <c r="E1222" s="1" t="inlineStr">
        <is>
          <t>2027BUD_V1</t>
        </is>
      </c>
      <c r="F1222" s="1" t="inlineStr">
        <is>
          <t>12</t>
        </is>
      </c>
      <c r="G1222" t="n">
        <v>17929.983682543</v>
      </c>
      <c r="H1222">
        <f>IF(PNL!A1222="","",_CALC_PNL!P1222)</f>
        <v/>
      </c>
      <c r="I1222">
        <f>IF(PNL!A1222="","",IF(_CALC_PNL!E1222=1,H1222-G1222,""))</f>
        <v/>
      </c>
    </row>
    <row r="1223">
      <c r="A1223" s="1" t="inlineStr">
        <is>
          <t>IPAC_MTP</t>
        </is>
      </c>
      <c r="B1223" s="1" t="inlineStr">
        <is>
          <t>6063</t>
        </is>
      </c>
      <c r="C1223" s="1" t="inlineStr">
        <is>
          <t>2027</t>
        </is>
      </c>
      <c r="D1223" s="1" t="inlineStr">
        <is>
          <t>V02</t>
        </is>
      </c>
      <c r="E1223" s="1" t="inlineStr">
        <is>
          <t>2027BUD_V1</t>
        </is>
      </c>
      <c r="F1223" s="1" t="inlineStr">
        <is>
          <t>12</t>
        </is>
      </c>
      <c r="G1223" t="n">
        <v>19608.379991135</v>
      </c>
      <c r="H1223">
        <f>IF(PNL!A1223="","",_CALC_PNL!P1223)</f>
        <v/>
      </c>
      <c r="I1223">
        <f>IF(PNL!A1223="","",IF(_CALC_PNL!E1223=1,H1223-G1223,""))</f>
        <v/>
      </c>
    </row>
    <row r="1224">
      <c r="A1224" s="1" t="inlineStr">
        <is>
          <t>IPAC_MTP</t>
        </is>
      </c>
      <c r="B1224" s="1" t="inlineStr">
        <is>
          <t>6063</t>
        </is>
      </c>
      <c r="C1224" s="1" t="inlineStr">
        <is>
          <t>2027</t>
        </is>
      </c>
      <c r="D1224" s="1" t="inlineStr">
        <is>
          <t>V03</t>
        </is>
      </c>
      <c r="E1224" s="1" t="inlineStr">
        <is>
          <t>2027BUD_V1</t>
        </is>
      </c>
      <c r="F1224" s="1" t="inlineStr">
        <is>
          <t>12</t>
        </is>
      </c>
      <c r="G1224" t="n">
        <v>17076.552885208</v>
      </c>
      <c r="H1224">
        <f>IF(PNL!A1224="","",_CALC_PNL!P1224)</f>
        <v/>
      </c>
      <c r="I1224">
        <f>IF(PNL!A1224="","",IF(_CALC_PNL!E1224=1,H1224-G1224,""))</f>
        <v/>
      </c>
    </row>
    <row r="1225">
      <c r="A1225" s="1" t="inlineStr">
        <is>
          <t>PIGIER_LYO</t>
        </is>
      </c>
      <c r="B1225" s="1" t="inlineStr">
        <is>
          <t>6063</t>
        </is>
      </c>
      <c r="C1225" s="1" t="inlineStr">
        <is>
          <t>2027</t>
        </is>
      </c>
      <c r="D1225" s="1" t="inlineStr">
        <is>
          <t>V01</t>
        </is>
      </c>
      <c r="E1225" s="1" t="inlineStr">
        <is>
          <t>2027BUD_V1</t>
        </is>
      </c>
      <c r="F1225" s="1" t="inlineStr">
        <is>
          <t>12</t>
        </is>
      </c>
      <c r="G1225" t="n">
        <v>27891.657745286</v>
      </c>
      <c r="H1225">
        <f>IF(PNL!A1225="","",_CALC_PNL!P1225)</f>
        <v/>
      </c>
      <c r="I1225">
        <f>IF(PNL!A1225="","",IF(_CALC_PNL!E1225=1,H1225-G1225,""))</f>
        <v/>
      </c>
    </row>
    <row r="1226">
      <c r="A1226" s="1" t="inlineStr">
        <is>
          <t>PIGIER_LYO</t>
        </is>
      </c>
      <c r="B1226" s="1" t="inlineStr">
        <is>
          <t>6063</t>
        </is>
      </c>
      <c r="C1226" s="1" t="inlineStr">
        <is>
          <t>2027</t>
        </is>
      </c>
      <c r="D1226" s="1" t="inlineStr">
        <is>
          <t>V02</t>
        </is>
      </c>
      <c r="E1226" s="1" t="inlineStr">
        <is>
          <t>2027BUD_V1</t>
        </is>
      </c>
      <c r="F1226" s="1" t="inlineStr">
        <is>
          <t>12</t>
        </is>
      </c>
      <c r="G1226" t="n">
        <v>30502.5499931</v>
      </c>
      <c r="H1226">
        <f>IF(PNL!A1226="","",_CALC_PNL!P1226)</f>
        <v/>
      </c>
      <c r="I1226">
        <f>IF(PNL!A1226="","",IF(_CALC_PNL!E1226=1,H1226-G1226,""))</f>
        <v/>
      </c>
    </row>
    <row r="1227">
      <c r="A1227" s="1" t="inlineStr">
        <is>
          <t>PIGIER_LYO</t>
        </is>
      </c>
      <c r="B1227" s="1" t="inlineStr">
        <is>
          <t>6063</t>
        </is>
      </c>
      <c r="C1227" s="1" t="inlineStr">
        <is>
          <t>2027</t>
        </is>
      </c>
      <c r="D1227" s="1" t="inlineStr">
        <is>
          <t>V03</t>
        </is>
      </c>
      <c r="E1227" s="1" t="inlineStr">
        <is>
          <t>2027BUD_V1</t>
        </is>
      </c>
      <c r="F1227" s="1" t="inlineStr">
        <is>
          <t>12</t>
        </is>
      </c>
      <c r="G1227" t="n">
        <v>26564.071500367</v>
      </c>
      <c r="H1227">
        <f>IF(PNL!A1227="","",_CALC_PNL!P1227)</f>
        <v/>
      </c>
      <c r="I1227">
        <f>IF(PNL!A1227="","",IF(_CALC_PNL!E1227=1,H1227-G1227,""))</f>
        <v/>
      </c>
    </row>
    <row r="1228">
      <c r="A1228" s="1" t="inlineStr">
        <is>
          <t>PIGIER_BOR</t>
        </is>
      </c>
      <c r="B1228" s="1" t="inlineStr">
        <is>
          <t>6063</t>
        </is>
      </c>
      <c r="C1228" s="1" t="inlineStr">
        <is>
          <t>2027</t>
        </is>
      </c>
      <c r="D1228" s="1" t="inlineStr">
        <is>
          <t>V01</t>
        </is>
      </c>
      <c r="E1228" s="1" t="inlineStr">
        <is>
          <t>2027BUD_V1</t>
        </is>
      </c>
      <c r="F1228" s="1" t="inlineStr">
        <is>
          <t>12</t>
        </is>
      </c>
      <c r="G1228" t="n">
        <v>21761.238378922</v>
      </c>
      <c r="H1228">
        <f>IF(PNL!A1228="","",_CALC_PNL!P1228)</f>
        <v/>
      </c>
      <c r="I1228">
        <f>IF(PNL!A1228="","",IF(_CALC_PNL!E1228=1,H1228-G1228,""))</f>
        <v/>
      </c>
    </row>
    <row r="1229">
      <c r="A1229" s="1" t="inlineStr">
        <is>
          <t>PIGIER_BOR</t>
        </is>
      </c>
      <c r="B1229" s="1" t="inlineStr">
        <is>
          <t>6063</t>
        </is>
      </c>
      <c r="C1229" s="1" t="inlineStr">
        <is>
          <t>2027</t>
        </is>
      </c>
      <c r="D1229" s="1" t="inlineStr">
        <is>
          <t>V02</t>
        </is>
      </c>
      <c r="E1229" s="1" t="inlineStr">
        <is>
          <t>2027BUD_V1</t>
        </is>
      </c>
      <c r="F1229" s="1" t="inlineStr">
        <is>
          <t>12</t>
        </is>
      </c>
      <c r="G1229" t="n">
        <v>23798.272143828</v>
      </c>
      <c r="H1229">
        <f>IF(PNL!A1229="","",_CALC_PNL!P1229)</f>
        <v/>
      </c>
      <c r="I1229">
        <f>IF(PNL!A1229="","",IF(_CALC_PNL!E1229=1,H1229-G1229,""))</f>
        <v/>
      </c>
    </row>
    <row r="1230">
      <c r="A1230" s="1" t="inlineStr">
        <is>
          <t>PIGIER_BOR</t>
        </is>
      </c>
      <c r="B1230" s="1" t="inlineStr">
        <is>
          <t>6063</t>
        </is>
      </c>
      <c r="C1230" s="1" t="inlineStr">
        <is>
          <t>2027</t>
        </is>
      </c>
      <c r="D1230" s="1" t="inlineStr">
        <is>
          <t>V03</t>
        </is>
      </c>
      <c r="E1230" s="1" t="inlineStr">
        <is>
          <t>2027BUD_V1</t>
        </is>
      </c>
      <c r="F1230" s="1" t="inlineStr">
        <is>
          <t>12</t>
        </is>
      </c>
      <c r="G1230" t="n">
        <v>20725.447641488</v>
      </c>
      <c r="H1230">
        <f>IF(PNL!A1230="","",_CALC_PNL!P1230)</f>
        <v/>
      </c>
      <c r="I1230">
        <f>IF(PNL!A1230="","",IF(_CALC_PNL!E1230=1,H1230-G1230,""))</f>
        <v/>
      </c>
    </row>
    <row r="1231">
      <c r="A1231" s="1" t="inlineStr">
        <is>
          <t>TUNON_PAR</t>
        </is>
      </c>
      <c r="B1231" s="1" t="inlineStr">
        <is>
          <t>6063</t>
        </is>
      </c>
      <c r="C1231" s="1" t="inlineStr">
        <is>
          <t>2027</t>
        </is>
      </c>
      <c r="D1231" s="1" t="inlineStr">
        <is>
          <t>V01</t>
        </is>
      </c>
      <c r="E1231" s="1" t="inlineStr">
        <is>
          <t>2027BUD_V1</t>
        </is>
      </c>
      <c r="F1231" s="1" t="inlineStr">
        <is>
          <t>12</t>
        </is>
      </c>
      <c r="G1231" t="n">
        <v>21148.608294444</v>
      </c>
      <c r="H1231">
        <f>IF(PNL!A1231="","",_CALC_PNL!P1231)</f>
        <v/>
      </c>
      <c r="I1231">
        <f>IF(PNL!A1231="","",IF(_CALC_PNL!E1231=1,H1231-G1231,""))</f>
        <v/>
      </c>
    </row>
    <row r="1232">
      <c r="A1232" s="1" t="inlineStr">
        <is>
          <t>TUNON_PAR</t>
        </is>
      </c>
      <c r="B1232" s="1" t="inlineStr">
        <is>
          <t>6063</t>
        </is>
      </c>
      <c r="C1232" s="1" t="inlineStr">
        <is>
          <t>2027</t>
        </is>
      </c>
      <c r="D1232" s="1" t="inlineStr">
        <is>
          <t>V02</t>
        </is>
      </c>
      <c r="E1232" s="1" t="inlineStr">
        <is>
          <t>2027BUD_V1</t>
        </is>
      </c>
      <c r="F1232" s="1" t="inlineStr">
        <is>
          <t>12</t>
        </is>
      </c>
      <c r="G1232" t="n">
        <v>23128.294763863</v>
      </c>
      <c r="H1232">
        <f>IF(PNL!A1232="","",_CALC_PNL!P1232)</f>
        <v/>
      </c>
      <c r="I1232">
        <f>IF(PNL!A1232="","",IF(_CALC_PNL!E1232=1,H1232-G1232,""))</f>
        <v/>
      </c>
    </row>
    <row r="1233">
      <c r="A1233" s="1" t="inlineStr">
        <is>
          <t>TUNON_PAR</t>
        </is>
      </c>
      <c r="B1233" s="1" t="inlineStr">
        <is>
          <t>6063</t>
        </is>
      </c>
      <c r="C1233" s="1" t="inlineStr">
        <is>
          <t>2027</t>
        </is>
      </c>
      <c r="D1233" s="1" t="inlineStr">
        <is>
          <t>V03</t>
        </is>
      </c>
      <c r="E1233" s="1" t="inlineStr">
        <is>
          <t>2027BUD_V1</t>
        </is>
      </c>
      <c r="F1233" s="1" t="inlineStr">
        <is>
          <t>12</t>
        </is>
      </c>
      <c r="G1233" t="n">
        <v>20141.977504432</v>
      </c>
      <c r="H1233">
        <f>IF(PNL!A1233="","",_CALC_PNL!P1233)</f>
        <v/>
      </c>
      <c r="I1233">
        <f>IF(PNL!A1233="","",IF(_CALC_PNL!E1233=1,H1233-G1233,""))</f>
        <v/>
      </c>
    </row>
    <row r="1234">
      <c r="A1234" s="1" t="inlineStr">
        <is>
          <t>TUNON_LYO</t>
        </is>
      </c>
      <c r="B1234" s="1" t="inlineStr">
        <is>
          <t>6063</t>
        </is>
      </c>
      <c r="C1234" s="1" t="inlineStr">
        <is>
          <t>2027</t>
        </is>
      </c>
      <c r="D1234" s="1" t="inlineStr">
        <is>
          <t>V01</t>
        </is>
      </c>
      <c r="E1234" s="1" t="inlineStr">
        <is>
          <t>2027BUD_V1</t>
        </is>
      </c>
      <c r="F1234" s="1" t="inlineStr">
        <is>
          <t>12</t>
        </is>
      </c>
      <c r="G1234" t="n">
        <v>17929.983682543</v>
      </c>
      <c r="H1234">
        <f>IF(PNL!A1234="","",_CALC_PNL!P1234)</f>
        <v/>
      </c>
      <c r="I1234">
        <f>IF(PNL!A1234="","",IF(_CALC_PNL!E1234=1,H1234-G1234,""))</f>
        <v/>
      </c>
    </row>
    <row r="1235">
      <c r="A1235" s="1" t="inlineStr">
        <is>
          <t>TUNON_LYO</t>
        </is>
      </c>
      <c r="B1235" s="1" t="inlineStr">
        <is>
          <t>6063</t>
        </is>
      </c>
      <c r="C1235" s="1" t="inlineStr">
        <is>
          <t>2027</t>
        </is>
      </c>
      <c r="D1235" s="1" t="inlineStr">
        <is>
          <t>V02</t>
        </is>
      </c>
      <c r="E1235" s="1" t="inlineStr">
        <is>
          <t>2027BUD_V1</t>
        </is>
      </c>
      <c r="F1235" s="1" t="inlineStr">
        <is>
          <t>12</t>
        </is>
      </c>
      <c r="G1235" t="n">
        <v>19608.379991135</v>
      </c>
      <c r="H1235">
        <f>IF(PNL!A1235="","",_CALC_PNL!P1235)</f>
        <v/>
      </c>
      <c r="I1235">
        <f>IF(PNL!A1235="","",IF(_CALC_PNL!E1235=1,H1235-G1235,""))</f>
        <v/>
      </c>
    </row>
    <row r="1236">
      <c r="A1236" s="1" t="inlineStr">
        <is>
          <t>TUNON_LYO</t>
        </is>
      </c>
      <c r="B1236" s="1" t="inlineStr">
        <is>
          <t>6063</t>
        </is>
      </c>
      <c r="C1236" s="1" t="inlineStr">
        <is>
          <t>2027</t>
        </is>
      </c>
      <c r="D1236" s="1" t="inlineStr">
        <is>
          <t>V03</t>
        </is>
      </c>
      <c r="E1236" s="1" t="inlineStr">
        <is>
          <t>2027BUD_V1</t>
        </is>
      </c>
      <c r="F1236" s="1" t="inlineStr">
        <is>
          <t>12</t>
        </is>
      </c>
      <c r="G1236" t="n">
        <v>17076.552885208</v>
      </c>
      <c r="H1236">
        <f>IF(PNL!A1236="","",_CALC_PNL!P1236)</f>
        <v/>
      </c>
      <c r="I1236">
        <f>IF(PNL!A1236="","",IF(_CALC_PNL!E1236=1,H1236-G1236,""))</f>
        <v/>
      </c>
    </row>
    <row r="1237">
      <c r="A1237" s="1" t="inlineStr">
        <is>
          <t>MBWAY_PAR</t>
        </is>
      </c>
      <c r="B1237" s="1" t="inlineStr">
        <is>
          <t>6231</t>
        </is>
      </c>
      <c r="C1237" s="1" t="inlineStr">
        <is>
          <t>2027</t>
        </is>
      </c>
      <c r="D1237" s="1" t="inlineStr">
        <is>
          <t>V01</t>
        </is>
      </c>
      <c r="E1237" s="1" t="inlineStr">
        <is>
          <t>2027BUD_V1</t>
        </is>
      </c>
      <c r="F1237" s="1" t="inlineStr">
        <is>
          <t>12</t>
        </is>
      </c>
      <c r="G1237" t="n">
        <v>73754.28</v>
      </c>
      <c r="H1237">
        <f>IF(PNL!A1237="","",_CALC_PNL!P1237)</f>
        <v/>
      </c>
      <c r="I1237">
        <f>IF(PNL!A1237="","",IF(_CALC_PNL!E1237=1,H1237-G1237,""))</f>
        <v/>
      </c>
    </row>
    <row r="1238">
      <c r="A1238" s="1" t="inlineStr">
        <is>
          <t>MBWAY_PAR</t>
        </is>
      </c>
      <c r="B1238" s="1" t="inlineStr">
        <is>
          <t>6231</t>
        </is>
      </c>
      <c r="C1238" s="1" t="inlineStr">
        <is>
          <t>2027</t>
        </is>
      </c>
      <c r="D1238" s="1" t="inlineStr">
        <is>
          <t>V02</t>
        </is>
      </c>
      <c r="E1238" s="1" t="inlineStr">
        <is>
          <t>2027BUD_V1</t>
        </is>
      </c>
      <c r="F1238" s="1" t="inlineStr">
        <is>
          <t>12</t>
        </is>
      </c>
      <c r="G1238" t="n">
        <v>78534.64999999999</v>
      </c>
      <c r="H1238">
        <f>IF(PNL!A1238="","",_CALC_PNL!P1238)</f>
        <v/>
      </c>
      <c r="I1238">
        <f>IF(PNL!A1238="","",IF(_CALC_PNL!E1238=1,H1238-G1238,""))</f>
        <v/>
      </c>
    </row>
    <row r="1239">
      <c r="A1239" s="1" t="inlineStr">
        <is>
          <t>MBWAY_PAR</t>
        </is>
      </c>
      <c r="B1239" s="1" t="inlineStr">
        <is>
          <t>6231</t>
        </is>
      </c>
      <c r="C1239" s="1" t="inlineStr">
        <is>
          <t>2027</t>
        </is>
      </c>
      <c r="D1239" s="1" t="inlineStr">
        <is>
          <t>V03</t>
        </is>
      </c>
      <c r="E1239" s="1" t="inlineStr">
        <is>
          <t>2027BUD_V1</t>
        </is>
      </c>
      <c r="F1239" s="1" t="inlineStr">
        <is>
          <t>12</t>
        </is>
      </c>
      <c r="G1239" t="n">
        <v>64876.45</v>
      </c>
      <c r="H1239">
        <f>IF(PNL!A1239="","",_CALC_PNL!P1239)</f>
        <v/>
      </c>
      <c r="I1239">
        <f>IF(PNL!A1239="","",IF(_CALC_PNL!E1239=1,H1239-G1239,""))</f>
        <v/>
      </c>
    </row>
    <row r="1240">
      <c r="A1240" s="1" t="inlineStr">
        <is>
          <t>MBWAY_LYO</t>
        </is>
      </c>
      <c r="B1240" s="1" t="inlineStr">
        <is>
          <t>6231</t>
        </is>
      </c>
      <c r="C1240" s="1" t="inlineStr">
        <is>
          <t>2027</t>
        </is>
      </c>
      <c r="D1240" s="1" t="inlineStr">
        <is>
          <t>V01</t>
        </is>
      </c>
      <c r="E1240" s="1" t="inlineStr">
        <is>
          <t>2027BUD_V1</t>
        </is>
      </c>
      <c r="F1240" s="1" t="inlineStr">
        <is>
          <t>12</t>
        </is>
      </c>
      <c r="G1240" t="n">
        <v>45125.64</v>
      </c>
      <c r="H1240">
        <f>IF(PNL!A1240="","",_CALC_PNL!P1240)</f>
        <v/>
      </c>
      <c r="I1240">
        <f>IF(PNL!A1240="","",IF(_CALC_PNL!E1240=1,H1240-G1240,""))</f>
        <v/>
      </c>
    </row>
    <row r="1241">
      <c r="A1241" s="1" t="inlineStr">
        <is>
          <t>MBWAY_LYO</t>
        </is>
      </c>
      <c r="B1241" s="1" t="inlineStr">
        <is>
          <t>6231</t>
        </is>
      </c>
      <c r="C1241" s="1" t="inlineStr">
        <is>
          <t>2027</t>
        </is>
      </c>
      <c r="D1241" s="1" t="inlineStr">
        <is>
          <t>V02</t>
        </is>
      </c>
      <c r="E1241" s="1" t="inlineStr">
        <is>
          <t>2027BUD_V1</t>
        </is>
      </c>
      <c r="F1241" s="1" t="inlineStr">
        <is>
          <t>12</t>
        </is>
      </c>
      <c r="G1241" t="n">
        <v>48050.45</v>
      </c>
      <c r="H1241">
        <f>IF(PNL!A1241="","",_CALC_PNL!P1241)</f>
        <v/>
      </c>
      <c r="I1241">
        <f>IF(PNL!A1241="","",IF(_CALC_PNL!E1241=1,H1241-G1241,""))</f>
        <v/>
      </c>
    </row>
    <row r="1242">
      <c r="A1242" s="1" t="inlineStr">
        <is>
          <t>MBWAY_LYO</t>
        </is>
      </c>
      <c r="B1242" s="1" t="inlineStr">
        <is>
          <t>6231</t>
        </is>
      </c>
      <c r="C1242" s="1" t="inlineStr">
        <is>
          <t>2027</t>
        </is>
      </c>
      <c r="D1242" s="1" t="inlineStr">
        <is>
          <t>V03</t>
        </is>
      </c>
      <c r="E1242" s="1" t="inlineStr">
        <is>
          <t>2027BUD_V1</t>
        </is>
      </c>
      <c r="F1242" s="1" t="inlineStr">
        <is>
          <t>12</t>
        </is>
      </c>
      <c r="G1242" t="n">
        <v>39693.85</v>
      </c>
      <c r="H1242">
        <f>IF(PNL!A1242="","",_CALC_PNL!P1242)</f>
        <v/>
      </c>
      <c r="I1242">
        <f>IF(PNL!A1242="","",IF(_CALC_PNL!E1242=1,H1242-G1242,""))</f>
        <v/>
      </c>
    </row>
    <row r="1243">
      <c r="A1243" s="1" t="inlineStr">
        <is>
          <t>MBWAY_NAN</t>
        </is>
      </c>
      <c r="B1243" s="1" t="inlineStr">
        <is>
          <t>6231</t>
        </is>
      </c>
      <c r="C1243" s="1" t="inlineStr">
        <is>
          <t>2027</t>
        </is>
      </c>
      <c r="D1243" s="1" t="inlineStr">
        <is>
          <t>V01</t>
        </is>
      </c>
      <c r="E1243" s="1" t="inlineStr">
        <is>
          <t>2027BUD_V1</t>
        </is>
      </c>
      <c r="F1243" s="1" t="inlineStr">
        <is>
          <t>12</t>
        </is>
      </c>
      <c r="G1243" t="n">
        <v>34055.64</v>
      </c>
      <c r="H1243">
        <f>IF(PNL!A1243="","",_CALC_PNL!P1243)</f>
        <v/>
      </c>
      <c r="I1243">
        <f>IF(PNL!A1243="","",IF(_CALC_PNL!E1243=1,H1243-G1243,""))</f>
        <v/>
      </c>
    </row>
    <row r="1244">
      <c r="A1244" s="1" t="inlineStr">
        <is>
          <t>MBWAY_NAN</t>
        </is>
      </c>
      <c r="B1244" s="1" t="inlineStr">
        <is>
          <t>6231</t>
        </is>
      </c>
      <c r="C1244" s="1" t="inlineStr">
        <is>
          <t>2027</t>
        </is>
      </c>
      <c r="D1244" s="1" t="inlineStr">
        <is>
          <t>V02</t>
        </is>
      </c>
      <c r="E1244" s="1" t="inlineStr">
        <is>
          <t>2027BUD_V1</t>
        </is>
      </c>
      <c r="F1244" s="1" t="inlineStr">
        <is>
          <t>12</t>
        </is>
      </c>
      <c r="G1244" t="n">
        <v>36262.95</v>
      </c>
      <c r="H1244">
        <f>IF(PNL!A1244="","",_CALC_PNL!P1244)</f>
        <v/>
      </c>
      <c r="I1244">
        <f>IF(PNL!A1244="","",IF(_CALC_PNL!E1244=1,H1244-G1244,""))</f>
        <v/>
      </c>
    </row>
    <row r="1245">
      <c r="A1245" s="1" t="inlineStr">
        <is>
          <t>MBWAY_NAN</t>
        </is>
      </c>
      <c r="B1245" s="1" t="inlineStr">
        <is>
          <t>6231</t>
        </is>
      </c>
      <c r="C1245" s="1" t="inlineStr">
        <is>
          <t>2027</t>
        </is>
      </c>
      <c r="D1245" s="1" t="inlineStr">
        <is>
          <t>V03</t>
        </is>
      </c>
      <c r="E1245" s="1" t="inlineStr">
        <is>
          <t>2027BUD_V1</t>
        </is>
      </c>
      <c r="F1245" s="1" t="inlineStr">
        <is>
          <t>12</t>
        </is>
      </c>
      <c r="G1245" t="n">
        <v>29956.35</v>
      </c>
      <c r="H1245">
        <f>IF(PNL!A1245="","",_CALC_PNL!P1245)</f>
        <v/>
      </c>
      <c r="I1245">
        <f>IF(PNL!A1245="","",IF(_CALC_PNL!E1245=1,H1245-G1245,""))</f>
        <v/>
      </c>
    </row>
    <row r="1246">
      <c r="A1246" s="1" t="inlineStr">
        <is>
          <t>MBWAY_BOR</t>
        </is>
      </c>
      <c r="B1246" s="1" t="inlineStr">
        <is>
          <t>6231</t>
        </is>
      </c>
      <c r="C1246" s="1" t="inlineStr">
        <is>
          <t>2027</t>
        </is>
      </c>
      <c r="D1246" s="1" t="inlineStr">
        <is>
          <t>V01</t>
        </is>
      </c>
      <c r="E1246" s="1" t="inlineStr">
        <is>
          <t>2027BUD_V1</t>
        </is>
      </c>
      <c r="F1246" s="1" t="inlineStr">
        <is>
          <t>12</t>
        </is>
      </c>
      <c r="G1246" t="n">
        <v>26916.84</v>
      </c>
      <c r="H1246">
        <f>IF(PNL!A1246="","",_CALC_PNL!P1246)</f>
        <v/>
      </c>
      <c r="I1246">
        <f>IF(PNL!A1246="","",IF(_CALC_PNL!E1246=1,H1246-G1246,""))</f>
        <v/>
      </c>
    </row>
    <row r="1247">
      <c r="A1247" s="1" t="inlineStr">
        <is>
          <t>MBWAY_BOR</t>
        </is>
      </c>
      <c r="B1247" s="1" t="inlineStr">
        <is>
          <t>6231</t>
        </is>
      </c>
      <c r="C1247" s="1" t="inlineStr">
        <is>
          <t>2027</t>
        </is>
      </c>
      <c r="D1247" s="1" t="inlineStr">
        <is>
          <t>V02</t>
        </is>
      </c>
      <c r="E1247" s="1" t="inlineStr">
        <is>
          <t>2027BUD_V1</t>
        </is>
      </c>
      <c r="F1247" s="1" t="inlineStr">
        <is>
          <t>12</t>
        </is>
      </c>
      <c r="G1247" t="n">
        <v>28661.45</v>
      </c>
      <c r="H1247">
        <f>IF(PNL!A1247="","",_CALC_PNL!P1247)</f>
        <v/>
      </c>
      <c r="I1247">
        <f>IF(PNL!A1247="","",IF(_CALC_PNL!E1247=1,H1247-G1247,""))</f>
        <v/>
      </c>
    </row>
    <row r="1248">
      <c r="A1248" s="1" t="inlineStr">
        <is>
          <t>MBWAY_BOR</t>
        </is>
      </c>
      <c r="B1248" s="1" t="inlineStr">
        <is>
          <t>6231</t>
        </is>
      </c>
      <c r="C1248" s="1" t="inlineStr">
        <is>
          <t>2027</t>
        </is>
      </c>
      <c r="D1248" s="1" t="inlineStr">
        <is>
          <t>V03</t>
        </is>
      </c>
      <c r="E1248" s="1" t="inlineStr">
        <is>
          <t>2027BUD_V1</t>
        </is>
      </c>
      <c r="F1248" s="1" t="inlineStr">
        <is>
          <t>12</t>
        </is>
      </c>
      <c r="G1248" t="n">
        <v>23676.85</v>
      </c>
      <c r="H1248">
        <f>IF(PNL!A1248="","",_CALC_PNL!P1248)</f>
        <v/>
      </c>
      <c r="I1248">
        <f>IF(PNL!A1248="","",IF(_CALC_PNL!E1248=1,H1248-G1248,""))</f>
        <v/>
      </c>
    </row>
    <row r="1249">
      <c r="A1249" s="1" t="inlineStr">
        <is>
          <t>ISCOM_PAR</t>
        </is>
      </c>
      <c r="B1249" s="1" t="inlineStr">
        <is>
          <t>6231</t>
        </is>
      </c>
      <c r="C1249" s="1" t="inlineStr">
        <is>
          <t>2027</t>
        </is>
      </c>
      <c r="D1249" s="1" t="inlineStr">
        <is>
          <t>V01</t>
        </is>
      </c>
      <c r="E1249" s="1" t="inlineStr">
        <is>
          <t>2027BUD_V1</t>
        </is>
      </c>
      <c r="F1249" s="1" t="inlineStr">
        <is>
          <t>12</t>
        </is>
      </c>
      <c r="G1249" t="n">
        <v>65664</v>
      </c>
      <c r="H1249">
        <f>IF(PNL!A1249="","",_CALC_PNL!P1249)</f>
        <v/>
      </c>
      <c r="I1249">
        <f>IF(PNL!A1249="","",IF(_CALC_PNL!E1249=1,H1249-G1249,""))</f>
        <v/>
      </c>
    </row>
    <row r="1250">
      <c r="A1250" s="1" t="inlineStr">
        <is>
          <t>ISCOM_PAR</t>
        </is>
      </c>
      <c r="B1250" s="1" t="inlineStr">
        <is>
          <t>6231</t>
        </is>
      </c>
      <c r="C1250" s="1" t="inlineStr">
        <is>
          <t>2027</t>
        </is>
      </c>
      <c r="D1250" s="1" t="inlineStr">
        <is>
          <t>V02</t>
        </is>
      </c>
      <c r="E1250" s="1" t="inlineStr">
        <is>
          <t>2027BUD_V1</t>
        </is>
      </c>
      <c r="F1250" s="1" t="inlineStr">
        <is>
          <t>12</t>
        </is>
      </c>
      <c r="G1250" t="n">
        <v>69920</v>
      </c>
      <c r="H1250">
        <f>IF(PNL!A1250="","",_CALC_PNL!P1250)</f>
        <v/>
      </c>
      <c r="I1250">
        <f>IF(PNL!A1250="","",IF(_CALC_PNL!E1250=1,H1250-G1250,""))</f>
        <v/>
      </c>
    </row>
    <row r="1251">
      <c r="A1251" s="1" t="inlineStr">
        <is>
          <t>ISCOM_PAR</t>
        </is>
      </c>
      <c r="B1251" s="1" t="inlineStr">
        <is>
          <t>6231</t>
        </is>
      </c>
      <c r="C1251" s="1" t="inlineStr">
        <is>
          <t>2027</t>
        </is>
      </c>
      <c r="D1251" s="1" t="inlineStr">
        <is>
          <t>V03</t>
        </is>
      </c>
      <c r="E1251" s="1" t="inlineStr">
        <is>
          <t>2027BUD_V1</t>
        </is>
      </c>
      <c r="F1251" s="1" t="inlineStr">
        <is>
          <t>12</t>
        </is>
      </c>
      <c r="G1251" t="n">
        <v>57760</v>
      </c>
      <c r="H1251">
        <f>IF(PNL!A1251="","",_CALC_PNL!P1251)</f>
        <v/>
      </c>
      <c r="I1251">
        <f>IF(PNL!A1251="","",IF(_CALC_PNL!E1251=1,H1251-G1251,""))</f>
        <v/>
      </c>
    </row>
    <row r="1252">
      <c r="A1252" s="1" t="inlineStr">
        <is>
          <t>ISCOM_LIL</t>
        </is>
      </c>
      <c r="B1252" s="1" t="inlineStr">
        <is>
          <t>6231</t>
        </is>
      </c>
      <c r="C1252" s="1" t="inlineStr">
        <is>
          <t>2027</t>
        </is>
      </c>
      <c r="D1252" s="1" t="inlineStr">
        <is>
          <t>V01</t>
        </is>
      </c>
      <c r="E1252" s="1" t="inlineStr">
        <is>
          <t>2027BUD_V1</t>
        </is>
      </c>
      <c r="F1252" s="1" t="inlineStr">
        <is>
          <t>12</t>
        </is>
      </c>
      <c r="G1252" t="n">
        <v>27237.6</v>
      </c>
      <c r="H1252">
        <f>IF(PNL!A1252="","",_CALC_PNL!P1252)</f>
        <v/>
      </c>
      <c r="I1252">
        <f>IF(PNL!A1252="","",IF(_CALC_PNL!E1252=1,H1252-G1252,""))</f>
        <v/>
      </c>
    </row>
    <row r="1253">
      <c r="A1253" s="1" t="inlineStr">
        <is>
          <t>ISCOM_LIL</t>
        </is>
      </c>
      <c r="B1253" s="1" t="inlineStr">
        <is>
          <t>6231</t>
        </is>
      </c>
      <c r="C1253" s="1" t="inlineStr">
        <is>
          <t>2027</t>
        </is>
      </c>
      <c r="D1253" s="1" t="inlineStr">
        <is>
          <t>V02</t>
        </is>
      </c>
      <c r="E1253" s="1" t="inlineStr">
        <is>
          <t>2027BUD_V1</t>
        </is>
      </c>
      <c r="F1253" s="1" t="inlineStr">
        <is>
          <t>12</t>
        </is>
      </c>
      <c r="G1253" t="n">
        <v>29003</v>
      </c>
      <c r="H1253">
        <f>IF(PNL!A1253="","",_CALC_PNL!P1253)</f>
        <v/>
      </c>
      <c r="I1253">
        <f>IF(PNL!A1253="","",IF(_CALC_PNL!E1253=1,H1253-G1253,""))</f>
        <v/>
      </c>
    </row>
    <row r="1254">
      <c r="A1254" s="1" t="inlineStr">
        <is>
          <t>ISCOM_LIL</t>
        </is>
      </c>
      <c r="B1254" s="1" t="inlineStr">
        <is>
          <t>6231</t>
        </is>
      </c>
      <c r="C1254" s="1" t="inlineStr">
        <is>
          <t>2027</t>
        </is>
      </c>
      <c r="D1254" s="1" t="inlineStr">
        <is>
          <t>V03</t>
        </is>
      </c>
      <c r="E1254" s="1" t="inlineStr">
        <is>
          <t>2027BUD_V1</t>
        </is>
      </c>
      <c r="F1254" s="1" t="inlineStr">
        <is>
          <t>12</t>
        </is>
      </c>
      <c r="G1254" t="n">
        <v>23959</v>
      </c>
      <c r="H1254">
        <f>IF(PNL!A1254="","",_CALC_PNL!P1254)</f>
        <v/>
      </c>
      <c r="I1254">
        <f>IF(PNL!A1254="","",IF(_CALC_PNL!E1254=1,H1254-G1254,""))</f>
        <v/>
      </c>
    </row>
    <row r="1255">
      <c r="A1255" s="1" t="inlineStr">
        <is>
          <t>ISCOM_TLS</t>
        </is>
      </c>
      <c r="B1255" s="1" t="inlineStr">
        <is>
          <t>6231</t>
        </is>
      </c>
      <c r="C1255" s="1" t="inlineStr">
        <is>
          <t>2027</t>
        </is>
      </c>
      <c r="D1255" s="1" t="inlineStr">
        <is>
          <t>V01</t>
        </is>
      </c>
      <c r="E1255" s="1" t="inlineStr">
        <is>
          <t>2027BUD_V1</t>
        </is>
      </c>
      <c r="F1255" s="1" t="inlineStr">
        <is>
          <t>12</t>
        </is>
      </c>
      <c r="G1255" t="n">
        <v>23849.64</v>
      </c>
      <c r="H1255">
        <f>IF(PNL!A1255="","",_CALC_PNL!P1255)</f>
        <v/>
      </c>
      <c r="I1255">
        <f>IF(PNL!A1255="","",IF(_CALC_PNL!E1255=1,H1255-G1255,""))</f>
        <v/>
      </c>
    </row>
    <row r="1256">
      <c r="A1256" s="1" t="inlineStr">
        <is>
          <t>ISCOM_TLS</t>
        </is>
      </c>
      <c r="B1256" s="1" t="inlineStr">
        <is>
          <t>6231</t>
        </is>
      </c>
      <c r="C1256" s="1" t="inlineStr">
        <is>
          <t>2027</t>
        </is>
      </c>
      <c r="D1256" s="1" t="inlineStr">
        <is>
          <t>V02</t>
        </is>
      </c>
      <c r="E1256" s="1" t="inlineStr">
        <is>
          <t>2027BUD_V1</t>
        </is>
      </c>
      <c r="F1256" s="1" t="inlineStr">
        <is>
          <t>12</t>
        </is>
      </c>
      <c r="G1256" t="n">
        <v>25395.45</v>
      </c>
      <c r="H1256">
        <f>IF(PNL!A1256="","",_CALC_PNL!P1256)</f>
        <v/>
      </c>
      <c r="I1256">
        <f>IF(PNL!A1256="","",IF(_CALC_PNL!E1256=1,H1256-G1256,""))</f>
        <v/>
      </c>
    </row>
    <row r="1257">
      <c r="A1257" s="1" t="inlineStr">
        <is>
          <t>ISCOM_TLS</t>
        </is>
      </c>
      <c r="B1257" s="1" t="inlineStr">
        <is>
          <t>6231</t>
        </is>
      </c>
      <c r="C1257" s="1" t="inlineStr">
        <is>
          <t>2027</t>
        </is>
      </c>
      <c r="D1257" s="1" t="inlineStr">
        <is>
          <t>V03</t>
        </is>
      </c>
      <c r="E1257" s="1" t="inlineStr">
        <is>
          <t>2027BUD_V1</t>
        </is>
      </c>
      <c r="F1257" s="1" t="inlineStr">
        <is>
          <t>12</t>
        </is>
      </c>
      <c r="G1257" t="n">
        <v>20978.85</v>
      </c>
      <c r="H1257">
        <f>IF(PNL!A1257="","",_CALC_PNL!P1257)</f>
        <v/>
      </c>
      <c r="I1257">
        <f>IF(PNL!A1257="","",IF(_CALC_PNL!E1257=1,H1257-G1257,""))</f>
        <v/>
      </c>
    </row>
    <row r="1258">
      <c r="A1258" s="1" t="inlineStr">
        <is>
          <t>IPAC_NAN</t>
        </is>
      </c>
      <c r="B1258" s="1" t="inlineStr">
        <is>
          <t>6231</t>
        </is>
      </c>
      <c r="C1258" s="1" t="inlineStr">
        <is>
          <t>2027</t>
        </is>
      </c>
      <c r="D1258" s="1" t="inlineStr">
        <is>
          <t>V01</t>
        </is>
      </c>
      <c r="E1258" s="1" t="inlineStr">
        <is>
          <t>2027BUD_V1</t>
        </is>
      </c>
      <c r="F1258" s="1" t="inlineStr">
        <is>
          <t>12</t>
        </is>
      </c>
      <c r="G1258" t="n">
        <v>23500.8</v>
      </c>
      <c r="H1258">
        <f>IF(PNL!A1258="","",_CALC_PNL!P1258)</f>
        <v/>
      </c>
      <c r="I1258">
        <f>IF(PNL!A1258="","",IF(_CALC_PNL!E1258=1,H1258-G1258,""))</f>
        <v/>
      </c>
    </row>
    <row r="1259">
      <c r="A1259" s="1" t="inlineStr">
        <is>
          <t>IPAC_NAN</t>
        </is>
      </c>
      <c r="B1259" s="1" t="inlineStr">
        <is>
          <t>6231</t>
        </is>
      </c>
      <c r="C1259" s="1" t="inlineStr">
        <is>
          <t>2027</t>
        </is>
      </c>
      <c r="D1259" s="1" t="inlineStr">
        <is>
          <t>V02</t>
        </is>
      </c>
      <c r="E1259" s="1" t="inlineStr">
        <is>
          <t>2027BUD_V1</t>
        </is>
      </c>
      <c r="F1259" s="1" t="inlineStr">
        <is>
          <t>12</t>
        </is>
      </c>
      <c r="G1259" t="n">
        <v>25024</v>
      </c>
      <c r="H1259">
        <f>IF(PNL!A1259="","",_CALC_PNL!P1259)</f>
        <v/>
      </c>
      <c r="I1259">
        <f>IF(PNL!A1259="","",IF(_CALC_PNL!E1259=1,H1259-G1259,""))</f>
        <v/>
      </c>
    </row>
    <row r="1260">
      <c r="A1260" s="1" t="inlineStr">
        <is>
          <t>IPAC_NAN</t>
        </is>
      </c>
      <c r="B1260" s="1" t="inlineStr">
        <is>
          <t>6231</t>
        </is>
      </c>
      <c r="C1260" s="1" t="inlineStr">
        <is>
          <t>2027</t>
        </is>
      </c>
      <c r="D1260" s="1" t="inlineStr">
        <is>
          <t>V03</t>
        </is>
      </c>
      <c r="E1260" s="1" t="inlineStr">
        <is>
          <t>2027BUD_V1</t>
        </is>
      </c>
      <c r="F1260" s="1" t="inlineStr">
        <is>
          <t>12</t>
        </is>
      </c>
      <c r="G1260" t="n">
        <v>20672</v>
      </c>
      <c r="H1260">
        <f>IF(PNL!A1260="","",_CALC_PNL!P1260)</f>
        <v/>
      </c>
      <c r="I1260">
        <f>IF(PNL!A1260="","",IF(_CALC_PNL!E1260=1,H1260-G1260,""))</f>
        <v/>
      </c>
    </row>
    <row r="1261">
      <c r="A1261" s="1" t="inlineStr">
        <is>
          <t>IPAC_REN</t>
        </is>
      </c>
      <c r="B1261" s="1" t="inlineStr">
        <is>
          <t>6231</t>
        </is>
      </c>
      <c r="C1261" s="1" t="inlineStr">
        <is>
          <t>2027</t>
        </is>
      </c>
      <c r="D1261" s="1" t="inlineStr">
        <is>
          <t>V01</t>
        </is>
      </c>
      <c r="E1261" s="1" t="inlineStr">
        <is>
          <t>2027BUD_V1</t>
        </is>
      </c>
      <c r="F1261" s="1" t="inlineStr">
        <is>
          <t>12</t>
        </is>
      </c>
      <c r="G1261" t="n">
        <v>16127.64</v>
      </c>
      <c r="H1261">
        <f>IF(PNL!A1261="","",_CALC_PNL!P1261)</f>
        <v/>
      </c>
      <c r="I1261">
        <f>IF(PNL!A1261="","",IF(_CALC_PNL!E1261=1,H1261-G1261,""))</f>
        <v/>
      </c>
    </row>
    <row r="1262">
      <c r="A1262" s="1" t="inlineStr">
        <is>
          <t>IPAC_REN</t>
        </is>
      </c>
      <c r="B1262" s="1" t="inlineStr">
        <is>
          <t>6231</t>
        </is>
      </c>
      <c r="C1262" s="1" t="inlineStr">
        <is>
          <t>2027</t>
        </is>
      </c>
      <c r="D1262" s="1" t="inlineStr">
        <is>
          <t>V02</t>
        </is>
      </c>
      <c r="E1262" s="1" t="inlineStr">
        <is>
          <t>2027BUD_V1</t>
        </is>
      </c>
      <c r="F1262" s="1" t="inlineStr">
        <is>
          <t>12</t>
        </is>
      </c>
      <c r="G1262" t="n">
        <v>17172.95</v>
      </c>
      <c r="H1262">
        <f>IF(PNL!A1262="","",_CALC_PNL!P1262)</f>
        <v/>
      </c>
      <c r="I1262">
        <f>IF(PNL!A1262="","",IF(_CALC_PNL!E1262=1,H1262-G1262,""))</f>
        <v/>
      </c>
    </row>
    <row r="1263">
      <c r="A1263" s="1" t="inlineStr">
        <is>
          <t>IPAC_REN</t>
        </is>
      </c>
      <c r="B1263" s="1" t="inlineStr">
        <is>
          <t>6231</t>
        </is>
      </c>
      <c r="C1263" s="1" t="inlineStr">
        <is>
          <t>2027</t>
        </is>
      </c>
      <c r="D1263" s="1" t="inlineStr">
        <is>
          <t>V03</t>
        </is>
      </c>
      <c r="E1263" s="1" t="inlineStr">
        <is>
          <t>2027BUD_V1</t>
        </is>
      </c>
      <c r="F1263" s="1" t="inlineStr">
        <is>
          <t>12</t>
        </is>
      </c>
      <c r="G1263" t="n">
        <v>14186.35</v>
      </c>
      <c r="H1263">
        <f>IF(PNL!A1263="","",_CALC_PNL!P1263)</f>
        <v/>
      </c>
      <c r="I1263">
        <f>IF(PNL!A1263="","",IF(_CALC_PNL!E1263=1,H1263-G1263,""))</f>
        <v/>
      </c>
    </row>
    <row r="1264">
      <c r="A1264" s="1" t="inlineStr">
        <is>
          <t>IPAC_MTP</t>
        </is>
      </c>
      <c r="B1264" s="1" t="inlineStr">
        <is>
          <t>6231</t>
        </is>
      </c>
      <c r="C1264" s="1" t="inlineStr">
        <is>
          <t>2027</t>
        </is>
      </c>
      <c r="D1264" s="1" t="inlineStr">
        <is>
          <t>V01</t>
        </is>
      </c>
      <c r="E1264" s="1" t="inlineStr">
        <is>
          <t>2027BUD_V1</t>
        </is>
      </c>
      <c r="F1264" s="1" t="inlineStr">
        <is>
          <t>12</t>
        </is>
      </c>
      <c r="G1264" t="n">
        <v>16392.24</v>
      </c>
      <c r="H1264">
        <f>IF(PNL!A1264="","",_CALC_PNL!P1264)</f>
        <v/>
      </c>
      <c r="I1264">
        <f>IF(PNL!A1264="","",IF(_CALC_PNL!E1264=1,H1264-G1264,""))</f>
        <v/>
      </c>
    </row>
    <row r="1265">
      <c r="A1265" s="1" t="inlineStr">
        <is>
          <t>IPAC_MTP</t>
        </is>
      </c>
      <c r="B1265" s="1" t="inlineStr">
        <is>
          <t>6231</t>
        </is>
      </c>
      <c r="C1265" s="1" t="inlineStr">
        <is>
          <t>2027</t>
        </is>
      </c>
      <c r="D1265" s="1" t="inlineStr">
        <is>
          <t>V02</t>
        </is>
      </c>
      <c r="E1265" s="1" t="inlineStr">
        <is>
          <t>2027BUD_V1</t>
        </is>
      </c>
      <c r="F1265" s="1" t="inlineStr">
        <is>
          <t>12</t>
        </is>
      </c>
      <c r="G1265" t="n">
        <v>17454.7</v>
      </c>
      <c r="H1265">
        <f>IF(PNL!A1265="","",_CALC_PNL!P1265)</f>
        <v/>
      </c>
      <c r="I1265">
        <f>IF(PNL!A1265="","",IF(_CALC_PNL!E1265=1,H1265-G1265,""))</f>
        <v/>
      </c>
    </row>
    <row r="1266">
      <c r="A1266" s="1" t="inlineStr">
        <is>
          <t>IPAC_MTP</t>
        </is>
      </c>
      <c r="B1266" s="1" t="inlineStr">
        <is>
          <t>6231</t>
        </is>
      </c>
      <c r="C1266" s="1" t="inlineStr">
        <is>
          <t>2027</t>
        </is>
      </c>
      <c r="D1266" s="1" t="inlineStr">
        <is>
          <t>V03</t>
        </is>
      </c>
      <c r="E1266" s="1" t="inlineStr">
        <is>
          <t>2027BUD_V1</t>
        </is>
      </c>
      <c r="F1266" s="1" t="inlineStr">
        <is>
          <t>12</t>
        </is>
      </c>
      <c r="G1266" t="n">
        <v>14419.1</v>
      </c>
      <c r="H1266">
        <f>IF(PNL!A1266="","",_CALC_PNL!P1266)</f>
        <v/>
      </c>
      <c r="I1266">
        <f>IF(PNL!A1266="","",IF(_CALC_PNL!E1266=1,H1266-G1266,""))</f>
        <v/>
      </c>
    </row>
    <row r="1267">
      <c r="A1267" s="1" t="inlineStr">
        <is>
          <t>PIGIER_LYO</t>
        </is>
      </c>
      <c r="B1267" s="1" t="inlineStr">
        <is>
          <t>6231</t>
        </is>
      </c>
      <c r="C1267" s="1" t="inlineStr">
        <is>
          <t>2027</t>
        </is>
      </c>
      <c r="D1267" s="1" t="inlineStr">
        <is>
          <t>V01</t>
        </is>
      </c>
      <c r="E1267" s="1" t="inlineStr">
        <is>
          <t>2027BUD_V1</t>
        </is>
      </c>
      <c r="F1267" s="1" t="inlineStr">
        <is>
          <t>12</t>
        </is>
      </c>
      <c r="G1267" t="n">
        <v>39540.96</v>
      </c>
      <c r="H1267">
        <f>IF(PNL!A1267="","",_CALC_PNL!P1267)</f>
        <v/>
      </c>
      <c r="I1267">
        <f>IF(PNL!A1267="","",IF(_CALC_PNL!E1267=1,H1267-G1267,""))</f>
        <v/>
      </c>
    </row>
    <row r="1268">
      <c r="A1268" s="1" t="inlineStr">
        <is>
          <t>PIGIER_LYO</t>
        </is>
      </c>
      <c r="B1268" s="1" t="inlineStr">
        <is>
          <t>6231</t>
        </is>
      </c>
      <c r="C1268" s="1" t="inlineStr">
        <is>
          <t>2027</t>
        </is>
      </c>
      <c r="D1268" s="1" t="inlineStr">
        <is>
          <t>V02</t>
        </is>
      </c>
      <c r="E1268" s="1" t="inlineStr">
        <is>
          <t>2027BUD_V1</t>
        </is>
      </c>
      <c r="F1268" s="1" t="inlineStr">
        <is>
          <t>12</t>
        </is>
      </c>
      <c r="G1268" t="n">
        <v>42103.8</v>
      </c>
      <c r="H1268">
        <f>IF(PNL!A1268="","",_CALC_PNL!P1268)</f>
        <v/>
      </c>
      <c r="I1268">
        <f>IF(PNL!A1268="","",IF(_CALC_PNL!E1268=1,H1268-G1268,""))</f>
        <v/>
      </c>
    </row>
    <row r="1269">
      <c r="A1269" s="1" t="inlineStr">
        <is>
          <t>PIGIER_LYO</t>
        </is>
      </c>
      <c r="B1269" s="1" t="inlineStr">
        <is>
          <t>6231</t>
        </is>
      </c>
      <c r="C1269" s="1" t="inlineStr">
        <is>
          <t>2027</t>
        </is>
      </c>
      <c r="D1269" s="1" t="inlineStr">
        <is>
          <t>V03</t>
        </is>
      </c>
      <c r="E1269" s="1" t="inlineStr">
        <is>
          <t>2027BUD_V1</t>
        </is>
      </c>
      <c r="F1269" s="1" t="inlineStr">
        <is>
          <t>12</t>
        </is>
      </c>
      <c r="G1269" t="n">
        <v>34781.4</v>
      </c>
      <c r="H1269">
        <f>IF(PNL!A1269="","",_CALC_PNL!P1269)</f>
        <v/>
      </c>
      <c r="I1269">
        <f>IF(PNL!A1269="","",IF(_CALC_PNL!E1269=1,H1269-G1269,""))</f>
        <v/>
      </c>
    </row>
    <row r="1270">
      <c r="A1270" s="1" t="inlineStr">
        <is>
          <t>PIGIER_BOR</t>
        </is>
      </c>
      <c r="B1270" s="1" t="inlineStr">
        <is>
          <t>6231</t>
        </is>
      </c>
      <c r="C1270" s="1" t="inlineStr">
        <is>
          <t>2027</t>
        </is>
      </c>
      <c r="D1270" s="1" t="inlineStr">
        <is>
          <t>V01</t>
        </is>
      </c>
      <c r="E1270" s="1" t="inlineStr">
        <is>
          <t>2027BUD_V1</t>
        </is>
      </c>
      <c r="F1270" s="1" t="inlineStr">
        <is>
          <t>12</t>
        </is>
      </c>
      <c r="G1270" t="n">
        <v>23725.44</v>
      </c>
      <c r="H1270">
        <f>IF(PNL!A1270="","",_CALC_PNL!P1270)</f>
        <v/>
      </c>
      <c r="I1270">
        <f>IF(PNL!A1270="","",IF(_CALC_PNL!E1270=1,H1270-G1270,""))</f>
        <v/>
      </c>
    </row>
    <row r="1271">
      <c r="A1271" s="1" t="inlineStr">
        <is>
          <t>PIGIER_BOR</t>
        </is>
      </c>
      <c r="B1271" s="1" t="inlineStr">
        <is>
          <t>6231</t>
        </is>
      </c>
      <c r="C1271" s="1" t="inlineStr">
        <is>
          <t>2027</t>
        </is>
      </c>
      <c r="D1271" s="1" t="inlineStr">
        <is>
          <t>V02</t>
        </is>
      </c>
      <c r="E1271" s="1" t="inlineStr">
        <is>
          <t>2027BUD_V1</t>
        </is>
      </c>
      <c r="F1271" s="1" t="inlineStr">
        <is>
          <t>12</t>
        </is>
      </c>
      <c r="G1271" t="n">
        <v>25263.2</v>
      </c>
      <c r="H1271">
        <f>IF(PNL!A1271="","",_CALC_PNL!P1271)</f>
        <v/>
      </c>
      <c r="I1271">
        <f>IF(PNL!A1271="","",IF(_CALC_PNL!E1271=1,H1271-G1271,""))</f>
        <v/>
      </c>
    </row>
    <row r="1272">
      <c r="A1272" s="1" t="inlineStr">
        <is>
          <t>PIGIER_BOR</t>
        </is>
      </c>
      <c r="B1272" s="1" t="inlineStr">
        <is>
          <t>6231</t>
        </is>
      </c>
      <c r="C1272" s="1" t="inlineStr">
        <is>
          <t>2027</t>
        </is>
      </c>
      <c r="D1272" s="1" t="inlineStr">
        <is>
          <t>V03</t>
        </is>
      </c>
      <c r="E1272" s="1" t="inlineStr">
        <is>
          <t>2027BUD_V1</t>
        </is>
      </c>
      <c r="F1272" s="1" t="inlineStr">
        <is>
          <t>12</t>
        </is>
      </c>
      <c r="G1272" t="n">
        <v>20869.6</v>
      </c>
      <c r="H1272">
        <f>IF(PNL!A1272="","",_CALC_PNL!P1272)</f>
        <v/>
      </c>
      <c r="I1272">
        <f>IF(PNL!A1272="","",IF(_CALC_PNL!E1272=1,H1272-G1272,""))</f>
        <v/>
      </c>
    </row>
    <row r="1273">
      <c r="A1273" s="1" t="inlineStr">
        <is>
          <t>TUNON_PAR</t>
        </is>
      </c>
      <c r="B1273" s="1" t="inlineStr">
        <is>
          <t>6231</t>
        </is>
      </c>
      <c r="C1273" s="1" t="inlineStr">
        <is>
          <t>2027</t>
        </is>
      </c>
      <c r="D1273" s="1" t="inlineStr">
        <is>
          <t>V01</t>
        </is>
      </c>
      <c r="E1273" s="1" t="inlineStr">
        <is>
          <t>2027BUD_V1</t>
        </is>
      </c>
      <c r="F1273" s="1" t="inlineStr">
        <is>
          <t>12</t>
        </is>
      </c>
      <c r="G1273" t="n">
        <v>32659.2</v>
      </c>
      <c r="H1273">
        <f>IF(PNL!A1273="","",_CALC_PNL!P1273)</f>
        <v/>
      </c>
      <c r="I1273">
        <f>IF(PNL!A1273="","",IF(_CALC_PNL!E1273=1,H1273-G1273,""))</f>
        <v/>
      </c>
    </row>
    <row r="1274">
      <c r="A1274" s="1" t="inlineStr">
        <is>
          <t>TUNON_PAR</t>
        </is>
      </c>
      <c r="B1274" s="1" t="inlineStr">
        <is>
          <t>6231</t>
        </is>
      </c>
      <c r="C1274" s="1" t="inlineStr">
        <is>
          <t>2027</t>
        </is>
      </c>
      <c r="D1274" s="1" t="inlineStr">
        <is>
          <t>V02</t>
        </is>
      </c>
      <c r="E1274" s="1" t="inlineStr">
        <is>
          <t>2027BUD_V1</t>
        </is>
      </c>
      <c r="F1274" s="1" t="inlineStr">
        <is>
          <t>12</t>
        </is>
      </c>
      <c r="G1274" t="n">
        <v>34776</v>
      </c>
      <c r="H1274">
        <f>IF(PNL!A1274="","",_CALC_PNL!P1274)</f>
        <v/>
      </c>
      <c r="I1274">
        <f>IF(PNL!A1274="","",IF(_CALC_PNL!E1274=1,H1274-G1274,""))</f>
        <v/>
      </c>
    </row>
    <row r="1275">
      <c r="A1275" s="1" t="inlineStr">
        <is>
          <t>TUNON_PAR</t>
        </is>
      </c>
      <c r="B1275" s="1" t="inlineStr">
        <is>
          <t>6231</t>
        </is>
      </c>
      <c r="C1275" s="1" t="inlineStr">
        <is>
          <t>2027</t>
        </is>
      </c>
      <c r="D1275" s="1" t="inlineStr">
        <is>
          <t>V03</t>
        </is>
      </c>
      <c r="E1275" s="1" t="inlineStr">
        <is>
          <t>2027BUD_V1</t>
        </is>
      </c>
      <c r="F1275" s="1" t="inlineStr">
        <is>
          <t>12</t>
        </is>
      </c>
      <c r="G1275" t="n">
        <v>28728</v>
      </c>
      <c r="H1275">
        <f>IF(PNL!A1275="","",_CALC_PNL!P1275)</f>
        <v/>
      </c>
      <c r="I1275">
        <f>IF(PNL!A1275="","",IF(_CALC_PNL!E1275=1,H1275-G1275,""))</f>
        <v/>
      </c>
    </row>
    <row r="1276">
      <c r="A1276" s="1" t="inlineStr">
        <is>
          <t>TUNON_LYO</t>
        </is>
      </c>
      <c r="B1276" s="1" t="inlineStr">
        <is>
          <t>6231</t>
        </is>
      </c>
      <c r="C1276" s="1" t="inlineStr">
        <is>
          <t>2027</t>
        </is>
      </c>
      <c r="D1276" s="1" t="inlineStr">
        <is>
          <t>V01</t>
        </is>
      </c>
      <c r="E1276" s="1" t="inlineStr">
        <is>
          <t>2027BUD_V1</t>
        </is>
      </c>
      <c r="F1276" s="1" t="inlineStr">
        <is>
          <t>12</t>
        </is>
      </c>
      <c r="G1276" t="n">
        <v>20358</v>
      </c>
      <c r="H1276">
        <f>IF(PNL!A1276="","",_CALC_PNL!P1276)</f>
        <v/>
      </c>
      <c r="I1276">
        <f>IF(PNL!A1276="","",IF(_CALC_PNL!E1276=1,H1276-G1276,""))</f>
        <v/>
      </c>
    </row>
    <row r="1277">
      <c r="A1277" s="1" t="inlineStr">
        <is>
          <t>TUNON_LYO</t>
        </is>
      </c>
      <c r="B1277" s="1" t="inlineStr">
        <is>
          <t>6231</t>
        </is>
      </c>
      <c r="C1277" s="1" t="inlineStr">
        <is>
          <t>2027</t>
        </is>
      </c>
      <c r="D1277" s="1" t="inlineStr">
        <is>
          <t>V02</t>
        </is>
      </c>
      <c r="E1277" s="1" t="inlineStr">
        <is>
          <t>2027BUD_V1</t>
        </is>
      </c>
      <c r="F1277" s="1" t="inlineStr">
        <is>
          <t>12</t>
        </is>
      </c>
      <c r="G1277" t="n">
        <v>21677.5</v>
      </c>
      <c r="H1277">
        <f>IF(PNL!A1277="","",_CALC_PNL!P1277)</f>
        <v/>
      </c>
      <c r="I1277">
        <f>IF(PNL!A1277="","",IF(_CALC_PNL!E1277=1,H1277-G1277,""))</f>
        <v/>
      </c>
    </row>
    <row r="1278">
      <c r="A1278" s="1" t="inlineStr">
        <is>
          <t>TUNON_LYO</t>
        </is>
      </c>
      <c r="B1278" s="1" t="inlineStr">
        <is>
          <t>6231</t>
        </is>
      </c>
      <c r="C1278" s="1" t="inlineStr">
        <is>
          <t>2027</t>
        </is>
      </c>
      <c r="D1278" s="1" t="inlineStr">
        <is>
          <t>V03</t>
        </is>
      </c>
      <c r="E1278" s="1" t="inlineStr">
        <is>
          <t>2027BUD_V1</t>
        </is>
      </c>
      <c r="F1278" s="1" t="inlineStr">
        <is>
          <t>12</t>
        </is>
      </c>
      <c r="G1278" t="n">
        <v>17907.5</v>
      </c>
      <c r="H1278">
        <f>IF(PNL!A1278="","",_CALC_PNL!P1278)</f>
        <v/>
      </c>
      <c r="I1278">
        <f>IF(PNL!A1278="","",IF(_CALC_PNL!E1278=1,H1278-G1278,""))</f>
        <v/>
      </c>
    </row>
    <row r="1279">
      <c r="A1279" s="1" t="inlineStr">
        <is>
          <t>MBWAY_PAR</t>
        </is>
      </c>
      <c r="B1279" s="1" t="inlineStr">
        <is>
          <t>6411</t>
        </is>
      </c>
      <c r="C1279" s="1" t="inlineStr">
        <is>
          <t>2027</t>
        </is>
      </c>
      <c r="D1279" s="1" t="inlineStr">
        <is>
          <t>V01</t>
        </is>
      </c>
      <c r="E1279" s="1" t="inlineStr">
        <is>
          <t>2027BUD_V1</t>
        </is>
      </c>
      <c r="F1279" s="1" t="inlineStr">
        <is>
          <t>12</t>
        </is>
      </c>
      <c r="G1279" t="n">
        <v>645145.3320000001</v>
      </c>
      <c r="H1279">
        <f>IF(PNL!A1279="","",_CALC_PNL!P1279)</f>
        <v/>
      </c>
      <c r="I1279">
        <f>IF(PNL!A1279="","",IF(_CALC_PNL!E1279=1,H1279-G1279,""))</f>
        <v/>
      </c>
    </row>
    <row r="1280">
      <c r="A1280" s="1" t="inlineStr">
        <is>
          <t>MBWAY_PAR</t>
        </is>
      </c>
      <c r="B1280" s="1" t="inlineStr">
        <is>
          <t>6411</t>
        </is>
      </c>
      <c r="C1280" s="1" t="inlineStr">
        <is>
          <t>2027</t>
        </is>
      </c>
      <c r="D1280" s="1" t="inlineStr">
        <is>
          <t>V02</t>
        </is>
      </c>
      <c r="E1280" s="1" t="inlineStr">
        <is>
          <t>2027BUD_V1</t>
        </is>
      </c>
      <c r="F1280" s="1" t="inlineStr">
        <is>
          <t>12</t>
        </is>
      </c>
      <c r="G1280" t="n">
        <v>635825.2212</v>
      </c>
      <c r="H1280">
        <f>IF(PNL!A1280="","",_CALC_PNL!P1280)</f>
        <v/>
      </c>
      <c r="I1280">
        <f>IF(PNL!A1280="","",IF(_CALC_PNL!E1280=1,H1280-G1280,""))</f>
        <v/>
      </c>
    </row>
    <row r="1281">
      <c r="A1281" s="1" t="inlineStr">
        <is>
          <t>MBWAY_PAR</t>
        </is>
      </c>
      <c r="B1281" s="1" t="inlineStr">
        <is>
          <t>6411</t>
        </is>
      </c>
      <c r="C1281" s="1" t="inlineStr">
        <is>
          <t>2027</t>
        </is>
      </c>
      <c r="D1281" s="1" t="inlineStr">
        <is>
          <t>V03</t>
        </is>
      </c>
      <c r="E1281" s="1" t="inlineStr">
        <is>
          <t>2027BUD_V1</t>
        </is>
      </c>
      <c r="F1281" s="1" t="inlineStr">
        <is>
          <t>12</t>
        </is>
      </c>
      <c r="G1281" t="n">
        <v>654525.963</v>
      </c>
      <c r="H1281">
        <f>IF(PNL!A1281="","",_CALC_PNL!P1281)</f>
        <v/>
      </c>
      <c r="I1281">
        <f>IF(PNL!A1281="","",IF(_CALC_PNL!E1281=1,H1281-G1281,""))</f>
        <v/>
      </c>
    </row>
    <row r="1282">
      <c r="A1282" s="1" t="inlineStr">
        <is>
          <t>MBWAY_LYO</t>
        </is>
      </c>
      <c r="B1282" s="1" t="inlineStr">
        <is>
          <t>6411</t>
        </is>
      </c>
      <c r="C1282" s="1" t="inlineStr">
        <is>
          <t>2027</t>
        </is>
      </c>
      <c r="D1282" s="1" t="inlineStr">
        <is>
          <t>V01</t>
        </is>
      </c>
      <c r="E1282" s="1" t="inlineStr">
        <is>
          <t>2027BUD_V1</t>
        </is>
      </c>
      <c r="F1282" s="1" t="inlineStr">
        <is>
          <t>12</t>
        </is>
      </c>
      <c r="G1282" t="n">
        <v>386556.118</v>
      </c>
      <c r="H1282">
        <f>IF(PNL!A1282="","",_CALC_PNL!P1282)</f>
        <v/>
      </c>
      <c r="I1282">
        <f>IF(PNL!A1282="","",IF(_CALC_PNL!E1282=1,H1282-G1282,""))</f>
        <v/>
      </c>
    </row>
    <row r="1283">
      <c r="A1283" s="1" t="inlineStr">
        <is>
          <t>MBWAY_LYO</t>
        </is>
      </c>
      <c r="B1283" s="1" t="inlineStr">
        <is>
          <t>6411</t>
        </is>
      </c>
      <c r="C1283" s="1" t="inlineStr">
        <is>
          <t>2027</t>
        </is>
      </c>
      <c r="D1283" s="1" t="inlineStr">
        <is>
          <t>V02</t>
        </is>
      </c>
      <c r="E1283" s="1" t="inlineStr">
        <is>
          <t>2027BUD_V1</t>
        </is>
      </c>
      <c r="F1283" s="1" t="inlineStr">
        <is>
          <t>12</t>
        </is>
      </c>
      <c r="G1283" t="n">
        <v>380971.7238</v>
      </c>
      <c r="H1283">
        <f>IF(PNL!A1283="","",_CALC_PNL!P1283)</f>
        <v/>
      </c>
      <c r="I1283">
        <f>IF(PNL!A1283="","",IF(_CALC_PNL!E1283=1,H1283-G1283,""))</f>
        <v/>
      </c>
    </row>
    <row r="1284">
      <c r="A1284" s="1" t="inlineStr">
        <is>
          <t>MBWAY_LYO</t>
        </is>
      </c>
      <c r="B1284" s="1" t="inlineStr">
        <is>
          <t>6411</t>
        </is>
      </c>
      <c r="C1284" s="1" t="inlineStr">
        <is>
          <t>2027</t>
        </is>
      </c>
      <c r="D1284" s="1" t="inlineStr">
        <is>
          <t>V03</t>
        </is>
      </c>
      <c r="E1284" s="1" t="inlineStr">
        <is>
          <t>2027BUD_V1</t>
        </is>
      </c>
      <c r="F1284" s="1" t="inlineStr">
        <is>
          <t>12</t>
        </is>
      </c>
      <c r="G1284" t="n">
        <v>392176.7745</v>
      </c>
      <c r="H1284">
        <f>IF(PNL!A1284="","",_CALC_PNL!P1284)</f>
        <v/>
      </c>
      <c r="I1284">
        <f>IF(PNL!A1284="","",IF(_CALC_PNL!E1284=1,H1284-G1284,""))</f>
        <v/>
      </c>
    </row>
    <row r="1285">
      <c r="A1285" s="1" t="inlineStr">
        <is>
          <t>MBWAY_NAN</t>
        </is>
      </c>
      <c r="B1285" s="1" t="inlineStr">
        <is>
          <t>6411</t>
        </is>
      </c>
      <c r="C1285" s="1" t="inlineStr">
        <is>
          <t>2027</t>
        </is>
      </c>
      <c r="D1285" s="1" t="inlineStr">
        <is>
          <t>V01</t>
        </is>
      </c>
      <c r="E1285" s="1" t="inlineStr">
        <is>
          <t>2027BUD_V1</t>
        </is>
      </c>
      <c r="F1285" s="1" t="inlineStr">
        <is>
          <t>12</t>
        </is>
      </c>
      <c r="G1285" t="n">
        <v>318590.09</v>
      </c>
      <c r="H1285">
        <f>IF(PNL!A1285="","",_CALC_PNL!P1285)</f>
        <v/>
      </c>
      <c r="I1285">
        <f>IF(PNL!A1285="","",IF(_CALC_PNL!E1285=1,H1285-G1285,""))</f>
        <v/>
      </c>
    </row>
    <row r="1286">
      <c r="A1286" s="1" t="inlineStr">
        <is>
          <t>MBWAY_NAN</t>
        </is>
      </c>
      <c r="B1286" s="1" t="inlineStr">
        <is>
          <t>6411</t>
        </is>
      </c>
      <c r="C1286" s="1" t="inlineStr">
        <is>
          <t>2027</t>
        </is>
      </c>
      <c r="D1286" s="1" t="inlineStr">
        <is>
          <t>V02</t>
        </is>
      </c>
      <c r="E1286" s="1" t="inlineStr">
        <is>
          <t>2027BUD_V1</t>
        </is>
      </c>
      <c r="F1286" s="1" t="inlineStr">
        <is>
          <t>12</t>
        </is>
      </c>
      <c r="G1286" t="n">
        <v>313987.569</v>
      </c>
      <c r="H1286">
        <f>IF(PNL!A1286="","",_CALC_PNL!P1286)</f>
        <v/>
      </c>
      <c r="I1286">
        <f>IF(PNL!A1286="","",IF(_CALC_PNL!E1286=1,H1286-G1286,""))</f>
        <v/>
      </c>
    </row>
    <row r="1287">
      <c r="A1287" s="1" t="inlineStr">
        <is>
          <t>MBWAY_NAN</t>
        </is>
      </c>
      <c r="B1287" s="1" t="inlineStr">
        <is>
          <t>6411</t>
        </is>
      </c>
      <c r="C1287" s="1" t="inlineStr">
        <is>
          <t>2027</t>
        </is>
      </c>
      <c r="D1287" s="1" t="inlineStr">
        <is>
          <t>V03</t>
        </is>
      </c>
      <c r="E1287" s="1" t="inlineStr">
        <is>
          <t>2027BUD_V1</t>
        </is>
      </c>
      <c r="F1287" s="1" t="inlineStr">
        <is>
          <t>12</t>
        </is>
      </c>
      <c r="G1287" t="n">
        <v>323222.4975</v>
      </c>
      <c r="H1287">
        <f>IF(PNL!A1287="","",_CALC_PNL!P1287)</f>
        <v/>
      </c>
      <c r="I1287">
        <f>IF(PNL!A1287="","",IF(_CALC_PNL!E1287=1,H1287-G1287,""))</f>
        <v/>
      </c>
    </row>
    <row r="1288">
      <c r="A1288" s="1" t="inlineStr">
        <is>
          <t>MBWAY_BOR</t>
        </is>
      </c>
      <c r="B1288" s="1" t="inlineStr">
        <is>
          <t>6411</t>
        </is>
      </c>
      <c r="C1288" s="1" t="inlineStr">
        <is>
          <t>2027</t>
        </is>
      </c>
      <c r="D1288" s="1" t="inlineStr">
        <is>
          <t>V01</t>
        </is>
      </c>
      <c r="E1288" s="1" t="inlineStr">
        <is>
          <t>2027BUD_V1</t>
        </is>
      </c>
      <c r="F1288" s="1" t="inlineStr">
        <is>
          <t>12</t>
        </is>
      </c>
      <c r="G1288" t="n">
        <v>278766.462</v>
      </c>
      <c r="H1288">
        <f>IF(PNL!A1288="","",_CALC_PNL!P1288)</f>
        <v/>
      </c>
      <c r="I1288">
        <f>IF(PNL!A1288="","",IF(_CALC_PNL!E1288=1,H1288-G1288,""))</f>
        <v/>
      </c>
    </row>
    <row r="1289">
      <c r="A1289" s="1" t="inlineStr">
        <is>
          <t>MBWAY_BOR</t>
        </is>
      </c>
      <c r="B1289" s="1" t="inlineStr">
        <is>
          <t>6411</t>
        </is>
      </c>
      <c r="C1289" s="1" t="inlineStr">
        <is>
          <t>2027</t>
        </is>
      </c>
      <c r="D1289" s="1" t="inlineStr">
        <is>
          <t>V02</t>
        </is>
      </c>
      <c r="E1289" s="1" t="inlineStr">
        <is>
          <t>2027BUD_V1</t>
        </is>
      </c>
      <c r="F1289" s="1" t="inlineStr">
        <is>
          <t>12</t>
        </is>
      </c>
      <c r="G1289" t="n">
        <v>274739.2542</v>
      </c>
      <c r="H1289">
        <f>IF(PNL!A1289="","",_CALC_PNL!P1289)</f>
        <v/>
      </c>
      <c r="I1289">
        <f>IF(PNL!A1289="","",IF(_CALC_PNL!E1289=1,H1289-G1289,""))</f>
        <v/>
      </c>
    </row>
    <row r="1290">
      <c r="A1290" s="1" t="inlineStr">
        <is>
          <t>MBWAY_BOR</t>
        </is>
      </c>
      <c r="B1290" s="1" t="inlineStr">
        <is>
          <t>6411</t>
        </is>
      </c>
      <c r="C1290" s="1" t="inlineStr">
        <is>
          <t>2027</t>
        </is>
      </c>
      <c r="D1290" s="1" t="inlineStr">
        <is>
          <t>V03</t>
        </is>
      </c>
      <c r="E1290" s="1" t="inlineStr">
        <is>
          <t>2027BUD_V1</t>
        </is>
      </c>
      <c r="F1290" s="1" t="inlineStr">
        <is>
          <t>12</t>
        </is>
      </c>
      <c r="G1290" t="n">
        <v>282819.8205</v>
      </c>
      <c r="H1290">
        <f>IF(PNL!A1290="","",_CALC_PNL!P1290)</f>
        <v/>
      </c>
      <c r="I1290">
        <f>IF(PNL!A1290="","",IF(_CALC_PNL!E1290=1,H1290-G1290,""))</f>
        <v/>
      </c>
    </row>
    <row r="1291">
      <c r="A1291" s="1" t="inlineStr">
        <is>
          <t>ISCOM_PAR</t>
        </is>
      </c>
      <c r="B1291" s="1" t="inlineStr">
        <is>
          <t>6411</t>
        </is>
      </c>
      <c r="C1291" s="1" t="inlineStr">
        <is>
          <t>2027</t>
        </is>
      </c>
      <c r="D1291" s="1" t="inlineStr">
        <is>
          <t>V01</t>
        </is>
      </c>
      <c r="E1291" s="1" t="inlineStr">
        <is>
          <t>2027BUD_V1</t>
        </is>
      </c>
      <c r="F1291" s="1" t="inlineStr">
        <is>
          <t>12</t>
        </is>
      </c>
      <c r="G1291" t="n">
        <v>645145.3320000001</v>
      </c>
      <c r="H1291">
        <f>IF(PNL!A1291="","",_CALC_PNL!P1291)</f>
        <v/>
      </c>
      <c r="I1291">
        <f>IF(PNL!A1291="","",IF(_CALC_PNL!E1291=1,H1291-G1291,""))</f>
        <v/>
      </c>
    </row>
    <row r="1292">
      <c r="A1292" s="1" t="inlineStr">
        <is>
          <t>ISCOM_PAR</t>
        </is>
      </c>
      <c r="B1292" s="1" t="inlineStr">
        <is>
          <t>6411</t>
        </is>
      </c>
      <c r="C1292" s="1" t="inlineStr">
        <is>
          <t>2027</t>
        </is>
      </c>
      <c r="D1292" s="1" t="inlineStr">
        <is>
          <t>V02</t>
        </is>
      </c>
      <c r="E1292" s="1" t="inlineStr">
        <is>
          <t>2027BUD_V1</t>
        </is>
      </c>
      <c r="F1292" s="1" t="inlineStr">
        <is>
          <t>12</t>
        </is>
      </c>
      <c r="G1292" t="n">
        <v>635825.2212</v>
      </c>
      <c r="H1292">
        <f>IF(PNL!A1292="","",_CALC_PNL!P1292)</f>
        <v/>
      </c>
      <c r="I1292">
        <f>IF(PNL!A1292="","",IF(_CALC_PNL!E1292=1,H1292-G1292,""))</f>
        <v/>
      </c>
    </row>
    <row r="1293">
      <c r="A1293" s="1" t="inlineStr">
        <is>
          <t>ISCOM_PAR</t>
        </is>
      </c>
      <c r="B1293" s="1" t="inlineStr">
        <is>
          <t>6411</t>
        </is>
      </c>
      <c r="C1293" s="1" t="inlineStr">
        <is>
          <t>2027</t>
        </is>
      </c>
      <c r="D1293" s="1" t="inlineStr">
        <is>
          <t>V03</t>
        </is>
      </c>
      <c r="E1293" s="1" t="inlineStr">
        <is>
          <t>2027BUD_V1</t>
        </is>
      </c>
      <c r="F1293" s="1" t="inlineStr">
        <is>
          <t>12</t>
        </is>
      </c>
      <c r="G1293" t="n">
        <v>654525.963</v>
      </c>
      <c r="H1293">
        <f>IF(PNL!A1293="","",_CALC_PNL!P1293)</f>
        <v/>
      </c>
      <c r="I1293">
        <f>IF(PNL!A1293="","",IF(_CALC_PNL!E1293=1,H1293-G1293,""))</f>
        <v/>
      </c>
    </row>
    <row r="1294">
      <c r="A1294" s="1" t="inlineStr">
        <is>
          <t>ISCOM_LIL</t>
        </is>
      </c>
      <c r="B1294" s="1" t="inlineStr">
        <is>
          <t>6411</t>
        </is>
      </c>
      <c r="C1294" s="1" t="inlineStr">
        <is>
          <t>2027</t>
        </is>
      </c>
      <c r="D1294" s="1" t="inlineStr">
        <is>
          <t>V01</t>
        </is>
      </c>
      <c r="E1294" s="1" t="inlineStr">
        <is>
          <t>2027BUD_V1</t>
        </is>
      </c>
      <c r="F1294" s="1" t="inlineStr">
        <is>
          <t>12</t>
        </is>
      </c>
      <c r="G1294" t="n">
        <v>244252.58</v>
      </c>
      <c r="H1294">
        <f>IF(PNL!A1294="","",_CALC_PNL!P1294)</f>
        <v/>
      </c>
      <c r="I1294">
        <f>IF(PNL!A1294="","",IF(_CALC_PNL!E1294=1,H1294-G1294,""))</f>
        <v/>
      </c>
    </row>
    <row r="1295">
      <c r="A1295" s="1" t="inlineStr">
        <is>
          <t>ISCOM_LIL</t>
        </is>
      </c>
      <c r="B1295" s="1" t="inlineStr">
        <is>
          <t>6411</t>
        </is>
      </c>
      <c r="C1295" s="1" t="inlineStr">
        <is>
          <t>2027</t>
        </is>
      </c>
      <c r="D1295" s="1" t="inlineStr">
        <is>
          <t>V02</t>
        </is>
      </c>
      <c r="E1295" s="1" t="inlineStr">
        <is>
          <t>2027BUD_V1</t>
        </is>
      </c>
      <c r="F1295" s="1" t="inlineStr">
        <is>
          <t>12</t>
        </is>
      </c>
      <c r="G1295" t="n">
        <v>240723.978</v>
      </c>
      <c r="H1295">
        <f>IF(PNL!A1295="","",_CALC_PNL!P1295)</f>
        <v/>
      </c>
      <c r="I1295">
        <f>IF(PNL!A1295="","",IF(_CALC_PNL!E1295=1,H1295-G1295,""))</f>
        <v/>
      </c>
    </row>
    <row r="1296">
      <c r="A1296" s="1" t="inlineStr">
        <is>
          <t>ISCOM_LIL</t>
        </is>
      </c>
      <c r="B1296" s="1" t="inlineStr">
        <is>
          <t>6411</t>
        </is>
      </c>
      <c r="C1296" s="1" t="inlineStr">
        <is>
          <t>2027</t>
        </is>
      </c>
      <c r="D1296" s="1" t="inlineStr">
        <is>
          <t>V03</t>
        </is>
      </c>
      <c r="E1296" s="1" t="inlineStr">
        <is>
          <t>2027BUD_V1</t>
        </is>
      </c>
      <c r="F1296" s="1" t="inlineStr">
        <is>
          <t>12</t>
        </is>
      </c>
      <c r="G1296" t="n">
        <v>247804.095</v>
      </c>
      <c r="H1296">
        <f>IF(PNL!A1296="","",_CALC_PNL!P1296)</f>
        <v/>
      </c>
      <c r="I1296">
        <f>IF(PNL!A1296="","",IF(_CALC_PNL!E1296=1,H1296-G1296,""))</f>
        <v/>
      </c>
    </row>
    <row r="1297">
      <c r="A1297" s="1" t="inlineStr">
        <is>
          <t>ISCOM_TLS</t>
        </is>
      </c>
      <c r="B1297" s="1" t="inlineStr">
        <is>
          <t>6411</t>
        </is>
      </c>
      <c r="C1297" s="1" t="inlineStr">
        <is>
          <t>2027</t>
        </is>
      </c>
      <c r="D1297" s="1" t="inlineStr">
        <is>
          <t>V01</t>
        </is>
      </c>
      <c r="E1297" s="1" t="inlineStr">
        <is>
          <t>2027BUD_V1</t>
        </is>
      </c>
      <c r="F1297" s="1" t="inlineStr">
        <is>
          <t>12</t>
        </is>
      </c>
      <c r="G1297" t="n">
        <v>238942.834</v>
      </c>
      <c r="H1297">
        <f>IF(PNL!A1297="","",_CALC_PNL!P1297)</f>
        <v/>
      </c>
      <c r="I1297">
        <f>IF(PNL!A1297="","",IF(_CALC_PNL!E1297=1,H1297-G1297,""))</f>
        <v/>
      </c>
    </row>
    <row r="1298">
      <c r="A1298" s="1" t="inlineStr">
        <is>
          <t>ISCOM_TLS</t>
        </is>
      </c>
      <c r="B1298" s="1" t="inlineStr">
        <is>
          <t>6411</t>
        </is>
      </c>
      <c r="C1298" s="1" t="inlineStr">
        <is>
          <t>2027</t>
        </is>
      </c>
      <c r="D1298" s="1" t="inlineStr">
        <is>
          <t>V02</t>
        </is>
      </c>
      <c r="E1298" s="1" t="inlineStr">
        <is>
          <t>2027BUD_V1</t>
        </is>
      </c>
      <c r="F1298" s="1" t="inlineStr">
        <is>
          <t>12</t>
        </is>
      </c>
      <c r="G1298" t="n">
        <v>235490.9394</v>
      </c>
      <c r="H1298">
        <f>IF(PNL!A1298="","",_CALC_PNL!P1298)</f>
        <v/>
      </c>
      <c r="I1298">
        <f>IF(PNL!A1298="","",IF(_CALC_PNL!E1298=1,H1298-G1298,""))</f>
        <v/>
      </c>
    </row>
    <row r="1299">
      <c r="A1299" s="1" t="inlineStr">
        <is>
          <t>ISCOM_TLS</t>
        </is>
      </c>
      <c r="B1299" s="1" t="inlineStr">
        <is>
          <t>6411</t>
        </is>
      </c>
      <c r="C1299" s="1" t="inlineStr">
        <is>
          <t>2027</t>
        </is>
      </c>
      <c r="D1299" s="1" t="inlineStr">
        <is>
          <t>V03</t>
        </is>
      </c>
      <c r="E1299" s="1" t="inlineStr">
        <is>
          <t>2027BUD_V1</t>
        </is>
      </c>
      <c r="F1299" s="1" t="inlineStr">
        <is>
          <t>12</t>
        </is>
      </c>
      <c r="G1299" t="n">
        <v>242417.1435</v>
      </c>
      <c r="H1299">
        <f>IF(PNL!A1299="","",_CALC_PNL!P1299)</f>
        <v/>
      </c>
      <c r="I1299">
        <f>IF(PNL!A1299="","",IF(_CALC_PNL!E1299=1,H1299-G1299,""))</f>
        <v/>
      </c>
    </row>
    <row r="1300">
      <c r="A1300" s="1" t="inlineStr">
        <is>
          <t>IPAC_NAN</t>
        </is>
      </c>
      <c r="B1300" s="1" t="inlineStr">
        <is>
          <t>6411</t>
        </is>
      </c>
      <c r="C1300" s="1" t="inlineStr">
        <is>
          <t>2027</t>
        </is>
      </c>
      <c r="D1300" s="1" t="inlineStr">
        <is>
          <t>V01</t>
        </is>
      </c>
      <c r="E1300" s="1" t="inlineStr">
        <is>
          <t>2027BUD_V1</t>
        </is>
      </c>
      <c r="F1300" s="1" t="inlineStr">
        <is>
          <t>12</t>
        </is>
      </c>
      <c r="G1300" t="n">
        <v>159295.578</v>
      </c>
      <c r="H1300">
        <f>IF(PNL!A1300="","",_CALC_PNL!P1300)</f>
        <v/>
      </c>
      <c r="I1300">
        <f>IF(PNL!A1300="","",IF(_CALC_PNL!E1300=1,H1300-G1300,""))</f>
        <v/>
      </c>
    </row>
    <row r="1301">
      <c r="A1301" s="1" t="inlineStr">
        <is>
          <t>IPAC_NAN</t>
        </is>
      </c>
      <c r="B1301" s="1" t="inlineStr">
        <is>
          <t>6411</t>
        </is>
      </c>
      <c r="C1301" s="1" t="inlineStr">
        <is>
          <t>2027</t>
        </is>
      </c>
      <c r="D1301" s="1" t="inlineStr">
        <is>
          <t>V02</t>
        </is>
      </c>
      <c r="E1301" s="1" t="inlineStr">
        <is>
          <t>2027BUD_V1</t>
        </is>
      </c>
      <c r="F1301" s="1" t="inlineStr">
        <is>
          <t>12</t>
        </is>
      </c>
      <c r="G1301" t="n">
        <v>156994.3098</v>
      </c>
      <c r="H1301">
        <f>IF(PNL!A1301="","",_CALC_PNL!P1301)</f>
        <v/>
      </c>
      <c r="I1301">
        <f>IF(PNL!A1301="","",IF(_CALC_PNL!E1301=1,H1301-G1301,""))</f>
        <v/>
      </c>
    </row>
    <row r="1302">
      <c r="A1302" s="1" t="inlineStr">
        <is>
          <t>IPAC_NAN</t>
        </is>
      </c>
      <c r="B1302" s="1" t="inlineStr">
        <is>
          <t>6411</t>
        </is>
      </c>
      <c r="C1302" s="1" t="inlineStr">
        <is>
          <t>2027</t>
        </is>
      </c>
      <c r="D1302" s="1" t="inlineStr">
        <is>
          <t>V03</t>
        </is>
      </c>
      <c r="E1302" s="1" t="inlineStr">
        <is>
          <t>2027BUD_V1</t>
        </is>
      </c>
      <c r="F1302" s="1" t="inlineStr">
        <is>
          <t>12</t>
        </is>
      </c>
      <c r="G1302" t="n">
        <v>161611.7895</v>
      </c>
      <c r="H1302">
        <f>IF(PNL!A1302="","",_CALC_PNL!P1302)</f>
        <v/>
      </c>
      <c r="I1302">
        <f>IF(PNL!A1302="","",IF(_CALC_PNL!E1302=1,H1302-G1302,""))</f>
        <v/>
      </c>
    </row>
    <row r="1303">
      <c r="A1303" s="1" t="inlineStr">
        <is>
          <t>IPAC_REN</t>
        </is>
      </c>
      <c r="B1303" s="1" t="inlineStr">
        <is>
          <t>6411</t>
        </is>
      </c>
      <c r="C1303" s="1" t="inlineStr">
        <is>
          <t>2027</t>
        </is>
      </c>
      <c r="D1303" s="1" t="inlineStr">
        <is>
          <t>V01</t>
        </is>
      </c>
      <c r="E1303" s="1" t="inlineStr">
        <is>
          <t>2027BUD_V1</t>
        </is>
      </c>
      <c r="F1303" s="1" t="inlineStr">
        <is>
          <t>12</t>
        </is>
      </c>
      <c r="G1303" t="n">
        <v>140180.066</v>
      </c>
      <c r="H1303">
        <f>IF(PNL!A1303="","",_CALC_PNL!P1303)</f>
        <v/>
      </c>
      <c r="I1303">
        <f>IF(PNL!A1303="","",IF(_CALC_PNL!E1303=1,H1303-G1303,""))</f>
        <v/>
      </c>
    </row>
    <row r="1304">
      <c r="A1304" s="1" t="inlineStr">
        <is>
          <t>IPAC_REN</t>
        </is>
      </c>
      <c r="B1304" s="1" t="inlineStr">
        <is>
          <t>6411</t>
        </is>
      </c>
      <c r="C1304" s="1" t="inlineStr">
        <is>
          <t>2027</t>
        </is>
      </c>
      <c r="D1304" s="1" t="inlineStr">
        <is>
          <t>V02</t>
        </is>
      </c>
      <c r="E1304" s="1" t="inlineStr">
        <is>
          <t>2027BUD_V1</t>
        </is>
      </c>
      <c r="F1304" s="1" t="inlineStr">
        <is>
          <t>12</t>
        </is>
      </c>
      <c r="G1304" t="n">
        <v>138154.9506</v>
      </c>
      <c r="H1304">
        <f>IF(PNL!A1304="","",_CALC_PNL!P1304)</f>
        <v/>
      </c>
      <c r="I1304">
        <f>IF(PNL!A1304="","",IF(_CALC_PNL!E1304=1,H1304-G1304,""))</f>
        <v/>
      </c>
    </row>
    <row r="1305">
      <c r="A1305" s="1" t="inlineStr">
        <is>
          <t>IPAC_REN</t>
        </is>
      </c>
      <c r="B1305" s="1" t="inlineStr">
        <is>
          <t>6411</t>
        </is>
      </c>
      <c r="C1305" s="1" t="inlineStr">
        <is>
          <t>2027</t>
        </is>
      </c>
      <c r="D1305" s="1" t="inlineStr">
        <is>
          <t>V03</t>
        </is>
      </c>
      <c r="E1305" s="1" t="inlineStr">
        <is>
          <t>2027BUD_V1</t>
        </is>
      </c>
      <c r="F1305" s="1" t="inlineStr">
        <is>
          <t>12</t>
        </is>
      </c>
      <c r="G1305" t="n">
        <v>142218.3315</v>
      </c>
      <c r="H1305">
        <f>IF(PNL!A1305="","",_CALC_PNL!P1305)</f>
        <v/>
      </c>
      <c r="I1305">
        <f>IF(PNL!A1305="","",IF(_CALC_PNL!E1305=1,H1305-G1305,""))</f>
        <v/>
      </c>
    </row>
    <row r="1306">
      <c r="A1306" s="1" t="inlineStr">
        <is>
          <t>IPAC_MTP</t>
        </is>
      </c>
      <c r="B1306" s="1" t="inlineStr">
        <is>
          <t>6411</t>
        </is>
      </c>
      <c r="C1306" s="1" t="inlineStr">
        <is>
          <t>2027</t>
        </is>
      </c>
      <c r="D1306" s="1" t="inlineStr">
        <is>
          <t>V01</t>
        </is>
      </c>
      <c r="E1306" s="1" t="inlineStr">
        <is>
          <t>2027BUD_V1</t>
        </is>
      </c>
      <c r="F1306" s="1" t="inlineStr">
        <is>
          <t>12</t>
        </is>
      </c>
      <c r="G1306" t="n">
        <v>140180.066</v>
      </c>
      <c r="H1306">
        <f>IF(PNL!A1306="","",_CALC_PNL!P1306)</f>
        <v/>
      </c>
      <c r="I1306">
        <f>IF(PNL!A1306="","",IF(_CALC_PNL!E1306=1,H1306-G1306,""))</f>
        <v/>
      </c>
    </row>
    <row r="1307">
      <c r="A1307" s="1" t="inlineStr">
        <is>
          <t>IPAC_MTP</t>
        </is>
      </c>
      <c r="B1307" s="1" t="inlineStr">
        <is>
          <t>6411</t>
        </is>
      </c>
      <c r="C1307" s="1" t="inlineStr">
        <is>
          <t>2027</t>
        </is>
      </c>
      <c r="D1307" s="1" t="inlineStr">
        <is>
          <t>V02</t>
        </is>
      </c>
      <c r="E1307" s="1" t="inlineStr">
        <is>
          <t>2027BUD_V1</t>
        </is>
      </c>
      <c r="F1307" s="1" t="inlineStr">
        <is>
          <t>12</t>
        </is>
      </c>
      <c r="G1307" t="n">
        <v>138154.9506</v>
      </c>
      <c r="H1307">
        <f>IF(PNL!A1307="","",_CALC_PNL!P1307)</f>
        <v/>
      </c>
      <c r="I1307">
        <f>IF(PNL!A1307="","",IF(_CALC_PNL!E1307=1,H1307-G1307,""))</f>
        <v/>
      </c>
    </row>
    <row r="1308">
      <c r="A1308" s="1" t="inlineStr">
        <is>
          <t>IPAC_MTP</t>
        </is>
      </c>
      <c r="B1308" s="1" t="inlineStr">
        <is>
          <t>6411</t>
        </is>
      </c>
      <c r="C1308" s="1" t="inlineStr">
        <is>
          <t>2027</t>
        </is>
      </c>
      <c r="D1308" s="1" t="inlineStr">
        <is>
          <t>V03</t>
        </is>
      </c>
      <c r="E1308" s="1" t="inlineStr">
        <is>
          <t>2027BUD_V1</t>
        </is>
      </c>
      <c r="F1308" s="1" t="inlineStr">
        <is>
          <t>12</t>
        </is>
      </c>
      <c r="G1308" t="n">
        <v>142218.3315</v>
      </c>
      <c r="H1308">
        <f>IF(PNL!A1308="","",_CALC_PNL!P1308)</f>
        <v/>
      </c>
      <c r="I1308">
        <f>IF(PNL!A1308="","",IF(_CALC_PNL!E1308=1,H1308-G1308,""))</f>
        <v/>
      </c>
    </row>
    <row r="1309">
      <c r="A1309" s="1" t="inlineStr">
        <is>
          <t>PIGIER_LYO</t>
        </is>
      </c>
      <c r="B1309" s="1" t="inlineStr">
        <is>
          <t>6411</t>
        </is>
      </c>
      <c r="C1309" s="1" t="inlineStr">
        <is>
          <t>2027</t>
        </is>
      </c>
      <c r="D1309" s="1" t="inlineStr">
        <is>
          <t>V01</t>
        </is>
      </c>
      <c r="E1309" s="1" t="inlineStr">
        <is>
          <t>2027BUD_V1</t>
        </is>
      </c>
      <c r="F1309" s="1" t="inlineStr">
        <is>
          <t>12</t>
        </is>
      </c>
      <c r="G1309" t="n">
        <v>237881.098</v>
      </c>
      <c r="H1309">
        <f>IF(PNL!A1309="","",_CALC_PNL!P1309)</f>
        <v/>
      </c>
      <c r="I1309">
        <f>IF(PNL!A1309="","",IF(_CALC_PNL!E1309=1,H1309-G1309,""))</f>
        <v/>
      </c>
    </row>
    <row r="1310">
      <c r="A1310" s="1" t="inlineStr">
        <is>
          <t>PIGIER_LYO</t>
        </is>
      </c>
      <c r="B1310" s="1" t="inlineStr">
        <is>
          <t>6411</t>
        </is>
      </c>
      <c r="C1310" s="1" t="inlineStr">
        <is>
          <t>2027</t>
        </is>
      </c>
      <c r="D1310" s="1" t="inlineStr">
        <is>
          <t>V02</t>
        </is>
      </c>
      <c r="E1310" s="1" t="inlineStr">
        <is>
          <t>2027BUD_V1</t>
        </is>
      </c>
      <c r="F1310" s="1" t="inlineStr">
        <is>
          <t>12</t>
        </is>
      </c>
      <c r="G1310" t="n">
        <v>234444.5418</v>
      </c>
      <c r="H1310">
        <f>IF(PNL!A1310="","",_CALC_PNL!P1310)</f>
        <v/>
      </c>
      <c r="I1310">
        <f>IF(PNL!A1310="","",IF(_CALC_PNL!E1310=1,H1310-G1310,""))</f>
        <v/>
      </c>
    </row>
    <row r="1311">
      <c r="A1311" s="1" t="inlineStr">
        <is>
          <t>PIGIER_LYO</t>
        </is>
      </c>
      <c r="B1311" s="1" t="inlineStr">
        <is>
          <t>6411</t>
        </is>
      </c>
      <c r="C1311" s="1" t="inlineStr">
        <is>
          <t>2027</t>
        </is>
      </c>
      <c r="D1311" s="1" t="inlineStr">
        <is>
          <t>V03</t>
        </is>
      </c>
      <c r="E1311" s="1" t="inlineStr">
        <is>
          <t>2027BUD_V1</t>
        </is>
      </c>
      <c r="F1311" s="1" t="inlineStr">
        <is>
          <t>12</t>
        </is>
      </c>
      <c r="G1311" t="n">
        <v>241339.9695</v>
      </c>
      <c r="H1311">
        <f>IF(PNL!A1311="","",_CALC_PNL!P1311)</f>
        <v/>
      </c>
      <c r="I1311">
        <f>IF(PNL!A1311="","",IF(_CALC_PNL!E1311=1,H1311-G1311,""))</f>
        <v/>
      </c>
    </row>
    <row r="1312">
      <c r="A1312" s="1" t="inlineStr">
        <is>
          <t>PIGIER_BOR</t>
        </is>
      </c>
      <c r="B1312" s="1" t="inlineStr">
        <is>
          <t>6411</t>
        </is>
      </c>
      <c r="C1312" s="1" t="inlineStr">
        <is>
          <t>2027</t>
        </is>
      </c>
      <c r="D1312" s="1" t="inlineStr">
        <is>
          <t>V01</t>
        </is>
      </c>
      <c r="E1312" s="1" t="inlineStr">
        <is>
          <t>2027BUD_V1</t>
        </is>
      </c>
      <c r="F1312" s="1" t="inlineStr">
        <is>
          <t>12</t>
        </is>
      </c>
      <c r="G1312" t="n">
        <v>223013.596</v>
      </c>
      <c r="H1312">
        <f>IF(PNL!A1312="","",_CALC_PNL!P1312)</f>
        <v/>
      </c>
      <c r="I1312">
        <f>IF(PNL!A1312="","",IF(_CALC_PNL!E1312=1,H1312-G1312,""))</f>
        <v/>
      </c>
    </row>
    <row r="1313">
      <c r="A1313" s="1" t="inlineStr">
        <is>
          <t>PIGIER_BOR</t>
        </is>
      </c>
      <c r="B1313" s="1" t="inlineStr">
        <is>
          <t>6411</t>
        </is>
      </c>
      <c r="C1313" s="1" t="inlineStr">
        <is>
          <t>2027</t>
        </is>
      </c>
      <c r="D1313" s="1" t="inlineStr">
        <is>
          <t>V02</t>
        </is>
      </c>
      <c r="E1313" s="1" t="inlineStr">
        <is>
          <t>2027BUD_V1</t>
        </is>
      </c>
      <c r="F1313" s="1" t="inlineStr">
        <is>
          <t>12</t>
        </is>
      </c>
      <c r="G1313" t="n">
        <v>219791.8236</v>
      </c>
      <c r="H1313">
        <f>IF(PNL!A1313="","",_CALC_PNL!P1313)</f>
        <v/>
      </c>
      <c r="I1313">
        <f>IF(PNL!A1313="","",IF(_CALC_PNL!E1313=1,H1313-G1313,""))</f>
        <v/>
      </c>
    </row>
    <row r="1314">
      <c r="A1314" s="1" t="inlineStr">
        <is>
          <t>PIGIER_BOR</t>
        </is>
      </c>
      <c r="B1314" s="1" t="inlineStr">
        <is>
          <t>6411</t>
        </is>
      </c>
      <c r="C1314" s="1" t="inlineStr">
        <is>
          <t>2027</t>
        </is>
      </c>
      <c r="D1314" s="1" t="inlineStr">
        <is>
          <t>V03</t>
        </is>
      </c>
      <c r="E1314" s="1" t="inlineStr">
        <is>
          <t>2027BUD_V1</t>
        </is>
      </c>
      <c r="F1314" s="1" t="inlineStr">
        <is>
          <t>12</t>
        </is>
      </c>
      <c r="G1314" t="n">
        <v>226256.289</v>
      </c>
      <c r="H1314">
        <f>IF(PNL!A1314="","",_CALC_PNL!P1314)</f>
        <v/>
      </c>
      <c r="I1314">
        <f>IF(PNL!A1314="","",IF(_CALC_PNL!E1314=1,H1314-G1314,""))</f>
        <v/>
      </c>
    </row>
    <row r="1315">
      <c r="A1315" s="1" t="inlineStr">
        <is>
          <t>TUNON_PAR</t>
        </is>
      </c>
      <c r="B1315" s="1" t="inlineStr">
        <is>
          <t>6411</t>
        </is>
      </c>
      <c r="C1315" s="1" t="inlineStr">
        <is>
          <t>2027</t>
        </is>
      </c>
      <c r="D1315" s="1" t="inlineStr">
        <is>
          <t>V01</t>
        </is>
      </c>
      <c r="E1315" s="1" t="inlineStr">
        <is>
          <t>2027BUD_V1</t>
        </is>
      </c>
      <c r="F1315" s="1" t="inlineStr">
        <is>
          <t>12</t>
        </is>
      </c>
      <c r="G1315" t="n">
        <v>258058.346</v>
      </c>
      <c r="H1315">
        <f>IF(PNL!A1315="","",_CALC_PNL!P1315)</f>
        <v/>
      </c>
      <c r="I1315">
        <f>IF(PNL!A1315="","",IF(_CALC_PNL!E1315=1,H1315-G1315,""))</f>
        <v/>
      </c>
    </row>
    <row r="1316">
      <c r="A1316" s="1" t="inlineStr">
        <is>
          <t>TUNON_PAR</t>
        </is>
      </c>
      <c r="B1316" s="1" t="inlineStr">
        <is>
          <t>6411</t>
        </is>
      </c>
      <c r="C1316" s="1" t="inlineStr">
        <is>
          <t>2027</t>
        </is>
      </c>
      <c r="D1316" s="1" t="inlineStr">
        <is>
          <t>V02</t>
        </is>
      </c>
      <c r="E1316" s="1" t="inlineStr">
        <is>
          <t>2027BUD_V1</t>
        </is>
      </c>
      <c r="F1316" s="1" t="inlineStr">
        <is>
          <t>12</t>
        </is>
      </c>
      <c r="G1316" t="n">
        <v>254330.2986</v>
      </c>
      <c r="H1316">
        <f>IF(PNL!A1316="","",_CALC_PNL!P1316)</f>
        <v/>
      </c>
      <c r="I1316">
        <f>IF(PNL!A1316="","",IF(_CALC_PNL!E1316=1,H1316-G1316,""))</f>
        <v/>
      </c>
    </row>
    <row r="1317">
      <c r="A1317" s="1" t="inlineStr">
        <is>
          <t>TUNON_PAR</t>
        </is>
      </c>
      <c r="B1317" s="1" t="inlineStr">
        <is>
          <t>6411</t>
        </is>
      </c>
      <c r="C1317" s="1" t="inlineStr">
        <is>
          <t>2027</t>
        </is>
      </c>
      <c r="D1317" s="1" t="inlineStr">
        <is>
          <t>V03</t>
        </is>
      </c>
      <c r="E1317" s="1" t="inlineStr">
        <is>
          <t>2027BUD_V1</t>
        </is>
      </c>
      <c r="F1317" s="1" t="inlineStr">
        <is>
          <t>12</t>
        </is>
      </c>
      <c r="G1317" t="n">
        <v>261810.6015</v>
      </c>
      <c r="H1317">
        <f>IF(PNL!A1317="","",_CALC_PNL!P1317)</f>
        <v/>
      </c>
      <c r="I1317">
        <f>IF(PNL!A1317="","",IF(_CALC_PNL!E1317=1,H1317-G1317,""))</f>
        <v/>
      </c>
    </row>
    <row r="1318">
      <c r="A1318" s="1" t="inlineStr">
        <is>
          <t>TUNON_LYO</t>
        </is>
      </c>
      <c r="B1318" s="1" t="inlineStr">
        <is>
          <t>6411</t>
        </is>
      </c>
      <c r="C1318" s="1" t="inlineStr">
        <is>
          <t>2027</t>
        </is>
      </c>
      <c r="D1318" s="1" t="inlineStr">
        <is>
          <t>V01</t>
        </is>
      </c>
      <c r="E1318" s="1" t="inlineStr">
        <is>
          <t>2027BUD_V1</t>
        </is>
      </c>
      <c r="F1318" s="1" t="inlineStr">
        <is>
          <t>12</t>
        </is>
      </c>
      <c r="G1318" t="n">
        <v>178410.024</v>
      </c>
      <c r="H1318">
        <f>IF(PNL!A1318="","",_CALC_PNL!P1318)</f>
        <v/>
      </c>
      <c r="I1318">
        <f>IF(PNL!A1318="","",IF(_CALC_PNL!E1318=1,H1318-G1318,""))</f>
        <v/>
      </c>
    </row>
    <row r="1319">
      <c r="A1319" s="1" t="inlineStr">
        <is>
          <t>TUNON_LYO</t>
        </is>
      </c>
      <c r="B1319" s="1" t="inlineStr">
        <is>
          <t>6411</t>
        </is>
      </c>
      <c r="C1319" s="1" t="inlineStr">
        <is>
          <t>2027</t>
        </is>
      </c>
      <c r="D1319" s="1" t="inlineStr">
        <is>
          <t>V02</t>
        </is>
      </c>
      <c r="E1319" s="1" t="inlineStr">
        <is>
          <t>2027BUD_V1</t>
        </is>
      </c>
      <c r="F1319" s="1" t="inlineStr">
        <is>
          <t>12</t>
        </is>
      </c>
      <c r="G1319" t="n">
        <v>175832.6184</v>
      </c>
      <c r="H1319">
        <f>IF(PNL!A1319="","",_CALC_PNL!P1319)</f>
        <v/>
      </c>
      <c r="I1319">
        <f>IF(PNL!A1319="","",IF(_CALC_PNL!E1319=1,H1319-G1319,""))</f>
        <v/>
      </c>
    </row>
    <row r="1320">
      <c r="A1320" s="1" t="inlineStr">
        <is>
          <t>TUNON_LYO</t>
        </is>
      </c>
      <c r="B1320" s="1" t="inlineStr">
        <is>
          <t>6411</t>
        </is>
      </c>
      <c r="C1320" s="1" t="inlineStr">
        <is>
          <t>2027</t>
        </is>
      </c>
      <c r="D1320" s="1" t="inlineStr">
        <is>
          <t>V03</t>
        </is>
      </c>
      <c r="E1320" s="1" t="inlineStr">
        <is>
          <t>2027BUD_V1</t>
        </is>
      </c>
      <c r="F1320" s="1" t="inlineStr">
        <is>
          <t>12</t>
        </is>
      </c>
      <c r="G1320" t="n">
        <v>181004.166</v>
      </c>
      <c r="H1320">
        <f>IF(PNL!A1320="","",_CALC_PNL!P1320)</f>
        <v/>
      </c>
      <c r="I1320">
        <f>IF(PNL!A1320="","",IF(_CALC_PNL!E1320=1,H1320-G1320,""))</f>
        <v/>
      </c>
    </row>
    <row r="1321">
      <c r="A1321" s="1" t="inlineStr">
        <is>
          <t>MBWAY_PAR</t>
        </is>
      </c>
      <c r="B1321" s="1" t="inlineStr">
        <is>
          <t>6413</t>
        </is>
      </c>
      <c r="C1321" s="1" t="inlineStr">
        <is>
          <t>2027</t>
        </is>
      </c>
      <c r="D1321" s="1" t="inlineStr">
        <is>
          <t>V01</t>
        </is>
      </c>
      <c r="E1321" s="1" t="inlineStr">
        <is>
          <t>2027BUD_V1</t>
        </is>
      </c>
      <c r="F1321" s="1" t="inlineStr">
        <is>
          <t>12</t>
        </is>
      </c>
      <c r="G1321" t="n">
        <v>372461.466</v>
      </c>
      <c r="H1321">
        <f>IF(PNL!A1321="","",_CALC_PNL!P1321)</f>
        <v/>
      </c>
      <c r="I1321">
        <f>IF(PNL!A1321="","",IF(_CALC_PNL!E1321=1,H1321-G1321,""))</f>
        <v/>
      </c>
    </row>
    <row r="1322">
      <c r="A1322" s="1" t="inlineStr">
        <is>
          <t>MBWAY_PAR</t>
        </is>
      </c>
      <c r="B1322" s="1" t="inlineStr">
        <is>
          <t>6413</t>
        </is>
      </c>
      <c r="C1322" s="1" t="inlineStr">
        <is>
          <t>2027</t>
        </is>
      </c>
      <c r="D1322" s="1" t="inlineStr">
        <is>
          <t>V02</t>
        </is>
      </c>
      <c r="E1322" s="1" t="inlineStr">
        <is>
          <t>2027BUD_V1</t>
        </is>
      </c>
      <c r="F1322" s="1" t="inlineStr">
        <is>
          <t>12</t>
        </is>
      </c>
      <c r="G1322" t="n">
        <v>367080.6906</v>
      </c>
      <c r="H1322">
        <f>IF(PNL!A1322="","",_CALC_PNL!P1322)</f>
        <v/>
      </c>
      <c r="I1322">
        <f>IF(PNL!A1322="","",IF(_CALC_PNL!E1322=1,H1322-G1322,""))</f>
        <v/>
      </c>
    </row>
    <row r="1323">
      <c r="A1323" s="1" t="inlineStr">
        <is>
          <t>MBWAY_PAR</t>
        </is>
      </c>
      <c r="B1323" s="1" t="inlineStr">
        <is>
          <t>6413</t>
        </is>
      </c>
      <c r="C1323" s="1" t="inlineStr">
        <is>
          <t>2027</t>
        </is>
      </c>
      <c r="D1323" s="1" t="inlineStr">
        <is>
          <t>V03</t>
        </is>
      </c>
      <c r="E1323" s="1" t="inlineStr">
        <is>
          <t>2027BUD_V1</t>
        </is>
      </c>
      <c r="F1323" s="1" t="inlineStr">
        <is>
          <t>12</t>
        </is>
      </c>
      <c r="G1323" t="n">
        <v>377877.1815</v>
      </c>
      <c r="H1323">
        <f>IF(PNL!A1323="","",_CALC_PNL!P1323)</f>
        <v/>
      </c>
      <c r="I1323">
        <f>IF(PNL!A1323="","",IF(_CALC_PNL!E1323=1,H1323-G1323,""))</f>
        <v/>
      </c>
    </row>
    <row r="1324">
      <c r="A1324" s="1" t="inlineStr">
        <is>
          <t>MBWAY_LYO</t>
        </is>
      </c>
      <c r="B1324" s="1" t="inlineStr">
        <is>
          <t>6413</t>
        </is>
      </c>
      <c r="C1324" s="1" t="inlineStr">
        <is>
          <t>2027</t>
        </is>
      </c>
      <c r="D1324" s="1" t="inlineStr">
        <is>
          <t>V01</t>
        </is>
      </c>
      <c r="E1324" s="1" t="inlineStr">
        <is>
          <t>2027BUD_V1</t>
        </is>
      </c>
      <c r="F1324" s="1" t="inlineStr">
        <is>
          <t>12</t>
        </is>
      </c>
      <c r="G1324" t="n">
        <v>218407.41</v>
      </c>
      <c r="H1324">
        <f>IF(PNL!A1324="","",_CALC_PNL!P1324)</f>
        <v/>
      </c>
      <c r="I1324">
        <f>IF(PNL!A1324="","",IF(_CALC_PNL!E1324=1,H1324-G1324,""))</f>
        <v/>
      </c>
    </row>
    <row r="1325">
      <c r="A1325" s="1" t="inlineStr">
        <is>
          <t>MBWAY_LYO</t>
        </is>
      </c>
      <c r="B1325" s="1" t="inlineStr">
        <is>
          <t>6413</t>
        </is>
      </c>
      <c r="C1325" s="1" t="inlineStr">
        <is>
          <t>2027</t>
        </is>
      </c>
      <c r="D1325" s="1" t="inlineStr">
        <is>
          <t>V02</t>
        </is>
      </c>
      <c r="E1325" s="1" t="inlineStr">
        <is>
          <t>2027BUD_V1</t>
        </is>
      </c>
      <c r="F1325" s="1" t="inlineStr">
        <is>
          <t>12</t>
        </is>
      </c>
      <c r="G1325" t="n">
        <v>215252.181</v>
      </c>
      <c r="H1325">
        <f>IF(PNL!A1325="","",_CALC_PNL!P1325)</f>
        <v/>
      </c>
      <c r="I1325">
        <f>IF(PNL!A1325="","",IF(_CALC_PNL!E1325=1,H1325-G1325,""))</f>
        <v/>
      </c>
    </row>
    <row r="1326">
      <c r="A1326" s="1" t="inlineStr">
        <is>
          <t>MBWAY_LYO</t>
        </is>
      </c>
      <c r="B1326" s="1" t="inlineStr">
        <is>
          <t>6413</t>
        </is>
      </c>
      <c r="C1326" s="1" t="inlineStr">
        <is>
          <t>2027</t>
        </is>
      </c>
      <c r="D1326" s="1" t="inlineStr">
        <is>
          <t>V03</t>
        </is>
      </c>
      <c r="E1326" s="1" t="inlineStr">
        <is>
          <t>2027BUD_V1</t>
        </is>
      </c>
      <c r="F1326" s="1" t="inlineStr">
        <is>
          <t>12</t>
        </is>
      </c>
      <c r="G1326" t="n">
        <v>221583.1275</v>
      </c>
      <c r="H1326">
        <f>IF(PNL!A1326="","",_CALC_PNL!P1326)</f>
        <v/>
      </c>
      <c r="I1326">
        <f>IF(PNL!A1326="","",IF(_CALC_PNL!E1326=1,H1326-G1326,""))</f>
        <v/>
      </c>
    </row>
    <row r="1327">
      <c r="A1327" s="1" t="inlineStr">
        <is>
          <t>MBWAY_NAN</t>
        </is>
      </c>
      <c r="B1327" s="1" t="inlineStr">
        <is>
          <t>6413</t>
        </is>
      </c>
      <c r="C1327" s="1" t="inlineStr">
        <is>
          <t>2027</t>
        </is>
      </c>
      <c r="D1327" s="1" t="inlineStr">
        <is>
          <t>V01</t>
        </is>
      </c>
      <c r="E1327" s="1" t="inlineStr">
        <is>
          <t>2027BUD_V1</t>
        </is>
      </c>
      <c r="F1327" s="1" t="inlineStr">
        <is>
          <t>12</t>
        </is>
      </c>
      <c r="G1327" t="n">
        <v>176949.604</v>
      </c>
      <c r="H1327">
        <f>IF(PNL!A1327="","",_CALC_PNL!P1327)</f>
        <v/>
      </c>
      <c r="I1327">
        <f>IF(PNL!A1327="","",IF(_CALC_PNL!E1327=1,H1327-G1327,""))</f>
        <v/>
      </c>
    </row>
    <row r="1328">
      <c r="A1328" s="1" t="inlineStr">
        <is>
          <t>MBWAY_NAN</t>
        </is>
      </c>
      <c r="B1328" s="1" t="inlineStr">
        <is>
          <t>6413</t>
        </is>
      </c>
      <c r="C1328" s="1" t="inlineStr">
        <is>
          <t>2027</t>
        </is>
      </c>
      <c r="D1328" s="1" t="inlineStr">
        <is>
          <t>V02</t>
        </is>
      </c>
      <c r="E1328" s="1" t="inlineStr">
        <is>
          <t>2027BUD_V1</t>
        </is>
      </c>
      <c r="F1328" s="1" t="inlineStr">
        <is>
          <t>12</t>
        </is>
      </c>
      <c r="G1328" t="n">
        <v>174393.2964</v>
      </c>
      <c r="H1328">
        <f>IF(PNL!A1328="","",_CALC_PNL!P1328)</f>
        <v/>
      </c>
      <c r="I1328">
        <f>IF(PNL!A1328="","",IF(_CALC_PNL!E1328=1,H1328-G1328,""))</f>
        <v/>
      </c>
    </row>
    <row r="1329">
      <c r="A1329" s="1" t="inlineStr">
        <is>
          <t>MBWAY_NAN</t>
        </is>
      </c>
      <c r="B1329" s="1" t="inlineStr">
        <is>
          <t>6413</t>
        </is>
      </c>
      <c r="C1329" s="1" t="inlineStr">
        <is>
          <t>2027</t>
        </is>
      </c>
      <c r="D1329" s="1" t="inlineStr">
        <is>
          <t>V03</t>
        </is>
      </c>
      <c r="E1329" s="1" t="inlineStr">
        <is>
          <t>2027BUD_V1</t>
        </is>
      </c>
      <c r="F1329" s="1" t="inlineStr">
        <is>
          <t>12</t>
        </is>
      </c>
      <c r="G1329" t="n">
        <v>179522.511</v>
      </c>
      <c r="H1329">
        <f>IF(PNL!A1329="","",_CALC_PNL!P1329)</f>
        <v/>
      </c>
      <c r="I1329">
        <f>IF(PNL!A1329="","",IF(_CALC_PNL!E1329=1,H1329-G1329,""))</f>
        <v/>
      </c>
    </row>
    <row r="1330">
      <c r="A1330" s="1" t="inlineStr">
        <is>
          <t>MBWAY_BOR</t>
        </is>
      </c>
      <c r="B1330" s="1" t="inlineStr">
        <is>
          <t>6413</t>
        </is>
      </c>
      <c r="C1330" s="1" t="inlineStr">
        <is>
          <t>2027</t>
        </is>
      </c>
      <c r="D1330" s="1" t="inlineStr">
        <is>
          <t>V01</t>
        </is>
      </c>
      <c r="E1330" s="1" t="inlineStr">
        <is>
          <t>2027BUD_V1</t>
        </is>
      </c>
      <c r="F1330" s="1" t="inlineStr">
        <is>
          <t>12</t>
        </is>
      </c>
      <c r="G1330" t="n">
        <v>157358.656</v>
      </c>
      <c r="H1330">
        <f>IF(PNL!A1330="","",_CALC_PNL!P1330)</f>
        <v/>
      </c>
      <c r="I1330">
        <f>IF(PNL!A1330="","",IF(_CALC_PNL!E1330=1,H1330-G1330,""))</f>
        <v/>
      </c>
    </row>
    <row r="1331">
      <c r="A1331" s="1" t="inlineStr">
        <is>
          <t>MBWAY_BOR</t>
        </is>
      </c>
      <c r="B1331" s="1" t="inlineStr">
        <is>
          <t>6413</t>
        </is>
      </c>
      <c r="C1331" s="1" t="inlineStr">
        <is>
          <t>2027</t>
        </is>
      </c>
      <c r="D1331" s="1" t="inlineStr">
        <is>
          <t>V02</t>
        </is>
      </c>
      <c r="E1331" s="1" t="inlineStr">
        <is>
          <t>2027BUD_V1</t>
        </is>
      </c>
      <c r="F1331" s="1" t="inlineStr">
        <is>
          <t>12</t>
        </is>
      </c>
      <c r="G1331" t="n">
        <v>155085.3696</v>
      </c>
      <c r="H1331">
        <f>IF(PNL!A1331="","",_CALC_PNL!P1331)</f>
        <v/>
      </c>
      <c r="I1331">
        <f>IF(PNL!A1331="","",IF(_CALC_PNL!E1331=1,H1331-G1331,""))</f>
        <v/>
      </c>
    </row>
    <row r="1332">
      <c r="A1332" s="1" t="inlineStr">
        <is>
          <t>MBWAY_BOR</t>
        </is>
      </c>
      <c r="B1332" s="1" t="inlineStr">
        <is>
          <t>6413</t>
        </is>
      </c>
      <c r="C1332" s="1" t="inlineStr">
        <is>
          <t>2027</t>
        </is>
      </c>
      <c r="D1332" s="1" t="inlineStr">
        <is>
          <t>V03</t>
        </is>
      </c>
      <c r="E1332" s="1" t="inlineStr">
        <is>
          <t>2027BUD_V1</t>
        </is>
      </c>
      <c r="F1332" s="1" t="inlineStr">
        <is>
          <t>12</t>
        </is>
      </c>
      <c r="G1332" t="n">
        <v>159646.704</v>
      </c>
      <c r="H1332">
        <f>IF(PNL!A1332="","",_CALC_PNL!P1332)</f>
        <v/>
      </c>
      <c r="I1332">
        <f>IF(PNL!A1332="","",IF(_CALC_PNL!E1332=1,H1332-G1332,""))</f>
        <v/>
      </c>
    </row>
    <row r="1333">
      <c r="A1333" s="1" t="inlineStr">
        <is>
          <t>ISCOM_PAR</t>
        </is>
      </c>
      <c r="B1333" s="1" t="inlineStr">
        <is>
          <t>6413</t>
        </is>
      </c>
      <c r="C1333" s="1" t="inlineStr">
        <is>
          <t>2027</t>
        </is>
      </c>
      <c r="D1333" s="1" t="inlineStr">
        <is>
          <t>V01</t>
        </is>
      </c>
      <c r="E1333" s="1" t="inlineStr">
        <is>
          <t>2027BUD_V1</t>
        </is>
      </c>
      <c r="F1333" s="1" t="inlineStr">
        <is>
          <t>12</t>
        </is>
      </c>
      <c r="G1333" t="n">
        <v>345161.206</v>
      </c>
      <c r="H1333">
        <f>IF(PNL!A1333="","",_CALC_PNL!P1333)</f>
        <v/>
      </c>
      <c r="I1333">
        <f>IF(PNL!A1333="","",IF(_CALC_PNL!E1333=1,H1333-G1333,""))</f>
        <v/>
      </c>
    </row>
    <row r="1334">
      <c r="A1334" s="1" t="inlineStr">
        <is>
          <t>ISCOM_PAR</t>
        </is>
      </c>
      <c r="B1334" s="1" t="inlineStr">
        <is>
          <t>6413</t>
        </is>
      </c>
      <c r="C1334" s="1" t="inlineStr">
        <is>
          <t>2027</t>
        </is>
      </c>
      <c r="D1334" s="1" t="inlineStr">
        <is>
          <t>V02</t>
        </is>
      </c>
      <c r="E1334" s="1" t="inlineStr">
        <is>
          <t>2027BUD_V1</t>
        </is>
      </c>
      <c r="F1334" s="1" t="inlineStr">
        <is>
          <t>12</t>
        </is>
      </c>
      <c r="G1334" t="n">
        <v>340174.8246</v>
      </c>
      <c r="H1334">
        <f>IF(PNL!A1334="","",_CALC_PNL!P1334)</f>
        <v/>
      </c>
      <c r="I1334">
        <f>IF(PNL!A1334="","",IF(_CALC_PNL!E1334=1,H1334-G1334,""))</f>
        <v/>
      </c>
    </row>
    <row r="1335">
      <c r="A1335" s="1" t="inlineStr">
        <is>
          <t>ISCOM_PAR</t>
        </is>
      </c>
      <c r="B1335" s="1" t="inlineStr">
        <is>
          <t>6413</t>
        </is>
      </c>
      <c r="C1335" s="1" t="inlineStr">
        <is>
          <t>2027</t>
        </is>
      </c>
      <c r="D1335" s="1" t="inlineStr">
        <is>
          <t>V03</t>
        </is>
      </c>
      <c r="E1335" s="1" t="inlineStr">
        <is>
          <t>2027BUD_V1</t>
        </is>
      </c>
      <c r="F1335" s="1" t="inlineStr">
        <is>
          <t>12</t>
        </is>
      </c>
      <c r="G1335" t="n">
        <v>350179.9665</v>
      </c>
      <c r="H1335">
        <f>IF(PNL!A1335="","",_CALC_PNL!P1335)</f>
        <v/>
      </c>
      <c r="I1335">
        <f>IF(PNL!A1335="","",IF(_CALC_PNL!E1335=1,H1335-G1335,""))</f>
        <v/>
      </c>
    </row>
    <row r="1336">
      <c r="A1336" s="1" t="inlineStr">
        <is>
          <t>ISCOM_LIL</t>
        </is>
      </c>
      <c r="B1336" s="1" t="inlineStr">
        <is>
          <t>6413</t>
        </is>
      </c>
      <c r="C1336" s="1" t="inlineStr">
        <is>
          <t>2027</t>
        </is>
      </c>
      <c r="D1336" s="1" t="inlineStr">
        <is>
          <t>V01</t>
        </is>
      </c>
      <c r="E1336" s="1" t="inlineStr">
        <is>
          <t>2027BUD_V1</t>
        </is>
      </c>
      <c r="F1336" s="1" t="inlineStr">
        <is>
          <t>12</t>
        </is>
      </c>
      <c r="G1336" t="n">
        <v>135108.038</v>
      </c>
      <c r="H1336">
        <f>IF(PNL!A1336="","",_CALC_PNL!P1336)</f>
        <v/>
      </c>
      <c r="I1336">
        <f>IF(PNL!A1336="","",IF(_CALC_PNL!E1336=1,H1336-G1336,""))</f>
        <v/>
      </c>
    </row>
    <row r="1337">
      <c r="A1337" s="1" t="inlineStr">
        <is>
          <t>ISCOM_LIL</t>
        </is>
      </c>
      <c r="B1337" s="1" t="inlineStr">
        <is>
          <t>6413</t>
        </is>
      </c>
      <c r="C1337" s="1" t="inlineStr">
        <is>
          <t>2027</t>
        </is>
      </c>
      <c r="D1337" s="1" t="inlineStr">
        <is>
          <t>V02</t>
        </is>
      </c>
      <c r="E1337" s="1" t="inlineStr">
        <is>
          <t>2027BUD_V1</t>
        </is>
      </c>
      <c r="F1337" s="1" t="inlineStr">
        <is>
          <t>12</t>
        </is>
      </c>
      <c r="G1337" t="n">
        <v>133156.1958</v>
      </c>
      <c r="H1337">
        <f>IF(PNL!A1337="","",_CALC_PNL!P1337)</f>
        <v/>
      </c>
      <c r="I1337">
        <f>IF(PNL!A1337="","",IF(_CALC_PNL!E1337=1,H1337-G1337,""))</f>
        <v/>
      </c>
    </row>
    <row r="1338">
      <c r="A1338" s="1" t="inlineStr">
        <is>
          <t>ISCOM_LIL</t>
        </is>
      </c>
      <c r="B1338" s="1" t="inlineStr">
        <is>
          <t>6413</t>
        </is>
      </c>
      <c r="C1338" s="1" t="inlineStr">
        <is>
          <t>2027</t>
        </is>
      </c>
      <c r="D1338" s="1" t="inlineStr">
        <is>
          <t>V03</t>
        </is>
      </c>
      <c r="E1338" s="1" t="inlineStr">
        <is>
          <t>2027BUD_V1</t>
        </is>
      </c>
      <c r="F1338" s="1" t="inlineStr">
        <is>
          <t>12</t>
        </is>
      </c>
      <c r="G1338" t="n">
        <v>137072.5545</v>
      </c>
      <c r="H1338">
        <f>IF(PNL!A1338="","",_CALC_PNL!P1338)</f>
        <v/>
      </c>
      <c r="I1338">
        <f>IF(PNL!A1338="","",IF(_CALC_PNL!E1338=1,H1338-G1338,""))</f>
        <v/>
      </c>
    </row>
    <row r="1339">
      <c r="A1339" s="1" t="inlineStr">
        <is>
          <t>ISCOM_TLS</t>
        </is>
      </c>
      <c r="B1339" s="1" t="inlineStr">
        <is>
          <t>6413</t>
        </is>
      </c>
      <c r="C1339" s="1" t="inlineStr">
        <is>
          <t>2027</t>
        </is>
      </c>
      <c r="D1339" s="1" t="inlineStr">
        <is>
          <t>V01</t>
        </is>
      </c>
      <c r="E1339" s="1" t="inlineStr">
        <is>
          <t>2027BUD_V1</t>
        </is>
      </c>
      <c r="F1339" s="1" t="inlineStr">
        <is>
          <t>12</t>
        </is>
      </c>
      <c r="G1339" t="n">
        <v>125129.212</v>
      </c>
      <c r="H1339">
        <f>IF(PNL!A1339="","",_CALC_PNL!P1339)</f>
        <v/>
      </c>
      <c r="I1339">
        <f>IF(PNL!A1339="","",IF(_CALC_PNL!E1339=1,H1339-G1339,""))</f>
        <v/>
      </c>
    </row>
    <row r="1340">
      <c r="A1340" s="1" t="inlineStr">
        <is>
          <t>ISCOM_TLS</t>
        </is>
      </c>
      <c r="B1340" s="1" t="inlineStr">
        <is>
          <t>6413</t>
        </is>
      </c>
      <c r="C1340" s="1" t="inlineStr">
        <is>
          <t>2027</t>
        </is>
      </c>
      <c r="D1340" s="1" t="inlineStr">
        <is>
          <t>V02</t>
        </is>
      </c>
      <c r="E1340" s="1" t="inlineStr">
        <is>
          <t>2027BUD_V1</t>
        </is>
      </c>
      <c r="F1340" s="1" t="inlineStr">
        <is>
          <t>12</t>
        </is>
      </c>
      <c r="G1340" t="n">
        <v>123321.5292</v>
      </c>
      <c r="H1340">
        <f>IF(PNL!A1340="","",_CALC_PNL!P1340)</f>
        <v/>
      </c>
      <c r="I1340">
        <f>IF(PNL!A1340="","",IF(_CALC_PNL!E1340=1,H1340-G1340,""))</f>
        <v/>
      </c>
    </row>
    <row r="1341">
      <c r="A1341" s="1" t="inlineStr">
        <is>
          <t>ISCOM_TLS</t>
        </is>
      </c>
      <c r="B1341" s="1" t="inlineStr">
        <is>
          <t>6413</t>
        </is>
      </c>
      <c r="C1341" s="1" t="inlineStr">
        <is>
          <t>2027</t>
        </is>
      </c>
      <c r="D1341" s="1" t="inlineStr">
        <is>
          <t>V03</t>
        </is>
      </c>
      <c r="E1341" s="1" t="inlineStr">
        <is>
          <t>2027BUD_V1</t>
        </is>
      </c>
      <c r="F1341" s="1" t="inlineStr">
        <is>
          <t>12</t>
        </is>
      </c>
      <c r="G1341" t="n">
        <v>126948.633</v>
      </c>
      <c r="H1341">
        <f>IF(PNL!A1341="","",_CALC_PNL!P1341)</f>
        <v/>
      </c>
      <c r="I1341">
        <f>IF(PNL!A1341="","",IF(_CALC_PNL!E1341=1,H1341-G1341,""))</f>
        <v/>
      </c>
    </row>
    <row r="1342">
      <c r="A1342" s="1" t="inlineStr">
        <is>
          <t>IPAC_NAN</t>
        </is>
      </c>
      <c r="B1342" s="1" t="inlineStr">
        <is>
          <t>6413</t>
        </is>
      </c>
      <c r="C1342" s="1" t="inlineStr">
        <is>
          <t>2027</t>
        </is>
      </c>
      <c r="D1342" s="1" t="inlineStr">
        <is>
          <t>V01</t>
        </is>
      </c>
      <c r="E1342" s="1" t="inlineStr">
        <is>
          <t>2027BUD_V1</t>
        </is>
      </c>
      <c r="F1342" s="1" t="inlineStr">
        <is>
          <t>12</t>
        </is>
      </c>
      <c r="G1342" t="n">
        <v>87271.288</v>
      </c>
      <c r="H1342">
        <f>IF(PNL!A1342="","",_CALC_PNL!P1342)</f>
        <v/>
      </c>
      <c r="I1342">
        <f>IF(PNL!A1342="","",IF(_CALC_PNL!E1342=1,H1342-G1342,""))</f>
        <v/>
      </c>
    </row>
    <row r="1343">
      <c r="A1343" s="1" t="inlineStr">
        <is>
          <t>IPAC_NAN</t>
        </is>
      </c>
      <c r="B1343" s="1" t="inlineStr">
        <is>
          <t>6413</t>
        </is>
      </c>
      <c r="C1343" s="1" t="inlineStr">
        <is>
          <t>2027</t>
        </is>
      </c>
      <c r="D1343" s="1" t="inlineStr">
        <is>
          <t>V02</t>
        </is>
      </c>
      <c r="E1343" s="1" t="inlineStr">
        <is>
          <t>2027BUD_V1</t>
        </is>
      </c>
      <c r="F1343" s="1" t="inlineStr">
        <is>
          <t>12</t>
        </is>
      </c>
      <c r="G1343" t="n">
        <v>86010.5208</v>
      </c>
      <c r="H1343">
        <f>IF(PNL!A1343="","",_CALC_PNL!P1343)</f>
        <v/>
      </c>
      <c r="I1343">
        <f>IF(PNL!A1343="","",IF(_CALC_PNL!E1343=1,H1343-G1343,""))</f>
        <v/>
      </c>
    </row>
    <row r="1344">
      <c r="A1344" s="1" t="inlineStr">
        <is>
          <t>IPAC_NAN</t>
        </is>
      </c>
      <c r="B1344" s="1" t="inlineStr">
        <is>
          <t>6413</t>
        </is>
      </c>
      <c r="C1344" s="1" t="inlineStr">
        <is>
          <t>2027</t>
        </is>
      </c>
      <c r="D1344" s="1" t="inlineStr">
        <is>
          <t>V03</t>
        </is>
      </c>
      <c r="E1344" s="1" t="inlineStr">
        <is>
          <t>2027BUD_V1</t>
        </is>
      </c>
      <c r="F1344" s="1" t="inlineStr">
        <is>
          <t>12</t>
        </is>
      </c>
      <c r="G1344" t="n">
        <v>88540.242</v>
      </c>
      <c r="H1344">
        <f>IF(PNL!A1344="","",_CALC_PNL!P1344)</f>
        <v/>
      </c>
      <c r="I1344">
        <f>IF(PNL!A1344="","",IF(_CALC_PNL!E1344=1,H1344-G1344,""))</f>
        <v/>
      </c>
    </row>
    <row r="1345">
      <c r="A1345" s="1" t="inlineStr">
        <is>
          <t>IPAC_REN</t>
        </is>
      </c>
      <c r="B1345" s="1" t="inlineStr">
        <is>
          <t>6413</t>
        </is>
      </c>
      <c r="C1345" s="1" t="inlineStr">
        <is>
          <t>2027</t>
        </is>
      </c>
      <c r="D1345" s="1" t="inlineStr">
        <is>
          <t>V01</t>
        </is>
      </c>
      <c r="E1345" s="1" t="inlineStr">
        <is>
          <t>2027BUD_V1</t>
        </is>
      </c>
      <c r="F1345" s="1" t="inlineStr">
        <is>
          <t>12</t>
        </is>
      </c>
      <c r="G1345" t="n">
        <v>61968.712</v>
      </c>
      <c r="H1345">
        <f>IF(PNL!A1345="","",_CALC_PNL!P1345)</f>
        <v/>
      </c>
      <c r="I1345">
        <f>IF(PNL!A1345="","",IF(_CALC_PNL!E1345=1,H1345-G1345,""))</f>
        <v/>
      </c>
    </row>
    <row r="1346">
      <c r="A1346" s="1" t="inlineStr">
        <is>
          <t>IPAC_REN</t>
        </is>
      </c>
      <c r="B1346" s="1" t="inlineStr">
        <is>
          <t>6413</t>
        </is>
      </c>
      <c r="C1346" s="1" t="inlineStr">
        <is>
          <t>2027</t>
        </is>
      </c>
      <c r="D1346" s="1" t="inlineStr">
        <is>
          <t>V02</t>
        </is>
      </c>
      <c r="E1346" s="1" t="inlineStr">
        <is>
          <t>2027BUD_V1</t>
        </is>
      </c>
      <c r="F1346" s="1" t="inlineStr">
        <is>
          <t>12</t>
        </is>
      </c>
      <c r="G1346" t="n">
        <v>61073.4792</v>
      </c>
      <c r="H1346">
        <f>IF(PNL!A1346="","",_CALC_PNL!P1346)</f>
        <v/>
      </c>
      <c r="I1346">
        <f>IF(PNL!A1346="","",IF(_CALC_PNL!E1346=1,H1346-G1346,""))</f>
        <v/>
      </c>
    </row>
    <row r="1347">
      <c r="A1347" s="1" t="inlineStr">
        <is>
          <t>IPAC_REN</t>
        </is>
      </c>
      <c r="B1347" s="1" t="inlineStr">
        <is>
          <t>6413</t>
        </is>
      </c>
      <c r="C1347" s="1" t="inlineStr">
        <is>
          <t>2027</t>
        </is>
      </c>
      <c r="D1347" s="1" t="inlineStr">
        <is>
          <t>V03</t>
        </is>
      </c>
      <c r="E1347" s="1" t="inlineStr">
        <is>
          <t>2027BUD_V1</t>
        </is>
      </c>
      <c r="F1347" s="1" t="inlineStr">
        <is>
          <t>12</t>
        </is>
      </c>
      <c r="G1347" t="n">
        <v>62869.758</v>
      </c>
      <c r="H1347">
        <f>IF(PNL!A1347="","",_CALC_PNL!P1347)</f>
        <v/>
      </c>
      <c r="I1347">
        <f>IF(PNL!A1347="","",IF(_CALC_PNL!E1347=1,H1347-G1347,""))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90"/>
  <sheetViews>
    <sheetView workbookViewId="0">
      <selection activeCell="A2" sqref="A2"/>
    </sheetView>
  </sheetViews>
  <sheetFormatPr baseColWidth="10" defaultColWidth="9.06640625" defaultRowHeight="14.25"/>
  <sheetData>
    <row r="1">
      <c r="A1" t="inlineStr">
        <is>
          <t>KENT</t>
        </is>
      </c>
      <c r="B1" t="inlineStr">
        <is>
          <t>KVER</t>
        </is>
      </c>
      <c r="C1" t="inlineStr">
        <is>
          <t>KPROG</t>
        </is>
      </c>
      <c r="D1" t="inlineStr">
        <is>
          <t>KAN</t>
        </is>
      </c>
      <c r="E1" t="inlineStr">
        <is>
          <t>KMOD</t>
        </is>
      </c>
      <c r="F1" t="inlineStr">
        <is>
          <t>KMARQ</t>
        </is>
      </c>
      <c r="G1" t="inlineStr">
        <is>
          <t>VOL_LEAD</t>
        </is>
      </c>
      <c r="H1" t="inlineStr">
        <is>
          <t>VOL_EFF_INF</t>
        </is>
      </c>
      <c r="I1" t="inlineStr">
        <is>
          <t>REV_STUD</t>
        </is>
      </c>
      <c r="J1" t="inlineStr">
        <is>
          <t>RLC</t>
        </is>
      </c>
      <c r="K1" t="inlineStr">
        <is>
          <t>RCA</t>
        </is>
      </c>
      <c r="L1" t="inlineStr">
        <is>
          <t>YLD</t>
        </is>
      </c>
      <c r="M1" t="inlineStr">
        <is>
          <t>PASSAGE</t>
        </is>
      </c>
      <c r="N1" t="inlineStr">
        <is>
          <t>IS_ENTRY</t>
        </is>
      </c>
      <c r="O1" t="inlineStr">
        <is>
          <t>ORG_REF</t>
        </is>
      </c>
      <c r="P1" t="inlineStr">
        <is>
          <t>PAID_REF</t>
        </is>
      </c>
      <c r="Q1" t="inlineStr">
        <is>
          <t>LEAD_REF</t>
        </is>
      </c>
      <c r="R1" t="inlineStr">
        <is>
          <t>REND_ACQ</t>
        </is>
      </c>
      <c r="S1" t="inlineStr">
        <is>
          <t>REND_BRAND</t>
        </is>
      </c>
      <c r="T1" t="inlineStr">
        <is>
          <t>REJOUE</t>
        </is>
      </c>
      <c r="U1" t="inlineStr">
        <is>
          <t>BUD_REF</t>
        </is>
      </c>
      <c r="V1" t="inlineStr">
        <is>
          <t>ACQ</t>
        </is>
      </c>
      <c r="W1" t="inlineStr">
        <is>
          <t>BRAND</t>
        </is>
      </c>
      <c r="X1" t="inlineStr">
        <is>
          <t>PRICE</t>
        </is>
      </c>
      <c r="Y1" t="inlineStr">
        <is>
          <t>GLC</t>
        </is>
      </c>
      <c r="Z1" t="inlineStr">
        <is>
          <t>GCV</t>
        </is>
      </c>
      <c r="AA1" t="inlineStr">
        <is>
          <t>PASS</t>
        </is>
      </c>
      <c r="AB1" t="inlineStr">
        <is>
          <t>FEE</t>
        </is>
      </c>
      <c r="AC1" t="inlineStr">
        <is>
          <t>PRICE_COEF</t>
        </is>
      </c>
      <c r="AD1" t="inlineStr">
        <is>
          <t>NOUV_CALC</t>
        </is>
      </c>
      <c r="AE1" t="inlineStr">
        <is>
          <t>NOUVEAUX</t>
        </is>
      </c>
      <c r="AF1" t="inlineStr">
        <is>
          <t>EFFECTIF</t>
        </is>
      </c>
      <c r="AG1" t="inlineStr">
        <is>
          <t>PRIX</t>
        </is>
      </c>
      <c r="AH1" t="inlineStr">
        <is>
          <t>CA</t>
        </is>
      </c>
      <c r="AJ1" t="inlineStr">
        <is>
          <t>■ VIOLET = colonne branchee sur une saisie (cad / Pilotage / 3_Allocation) -&gt; a recabler cote Tagetik</t>
        </is>
      </c>
    </row>
    <row r="2">
      <c r="A2">
        <f>IF(Moteur!D2="","",Moteur!D2)</f>
        <v/>
      </c>
      <c r="B2">
        <f>IF(Moteur!B2="","",Moteur!B2)</f>
        <v/>
      </c>
      <c r="C2">
        <f>IF(Moteur!F2="","",Moteur!F2)</f>
        <v/>
      </c>
      <c r="D2">
        <f>IF(Moteur!G2="","",Moteur!G2)</f>
        <v/>
      </c>
      <c r="E2">
        <f>IF(Moteur!H2="","",Moteur!H2)</f>
        <v/>
      </c>
      <c r="F2">
        <f>IF(Moteur!E2="","",Moteur!E2)</f>
        <v/>
      </c>
      <c r="G2">
        <f>IF($A2="","",SUMIFS(Socle!$H$1:$H$379,Socle!$C$1:$C$379,$A2,Socle!$D$1:$D$379,$C2,Socle!$E$1:$E$379,$D2,Socle!$F$1:$F$379,$E2,Socle!$G$1:$G$379,"2026"))</f>
        <v/>
      </c>
      <c r="H2">
        <f>IF($A2="","",SUMIFS(Socle!$N$1:$N$379,Socle!$C$1:$C$379,$A2,Socle!$D$1:$D$379,$C2,Socle!$E$1:$E$379,$D2,Socle!$F$1:$F$379,$E2,Socle!$G$1:$G$379,"2026"))</f>
        <v/>
      </c>
      <c r="I2">
        <f>IF($A2="","",SUMIFS(Socle!$P$1:$P$379,Socle!$C$1:$C$379,$A2,Socle!$D$1:$D$379,$C2,Socle!$E$1:$E$379,$D2,Socle!$F$1:$F$379,$E2,Socle!$G$1:$G$379,"2026"))</f>
        <v/>
      </c>
      <c r="J2">
        <f>IF($A2="","",SUMIFS(Socle!$W$1:$W$379,Socle!$C$1:$C$379,$A2,Socle!$D$1:$D$379,$C2,Socle!$E$1:$E$379,$D2,Socle!$F$1:$F$379,$E2,Socle!$G$1:$G$379,"2026"))</f>
        <v/>
      </c>
      <c r="K2">
        <f>IF($A2="","",SUMIFS(Socle!$X$1:$X$379,Socle!$C$1:$C$379,$A2,Socle!$D$1:$D$379,$C2,Socle!$E$1:$E$379,$D2,Socle!$F$1:$F$379,$E2,Socle!$G$1:$G$379,"2026"))</f>
        <v/>
      </c>
      <c r="L2">
        <f>IF($A2="","",SUMIFS(Socle!$Y$1:$Y$379,Socle!$C$1:$C$379,$A2,Socle!$D$1:$D$379,$C2,Socle!$E$1:$E$379,$D2,Socle!$F$1:$F$379,$E2,Socle!$G$1:$G$379,"2026"))</f>
        <v/>
      </c>
      <c r="M2">
        <f>IF($A2="","",SUMIFS(Socle!$V$1:$V$379,Socle!$C$1:$C$379,$A2,Socle!$D$1:$D$379,$C2,Socle!$E$1:$E$379,$D2,Socle!$F$1:$F$379,$E2,Socle!$G$1:$G$379,"2026"))</f>
        <v/>
      </c>
      <c r="N2">
        <f>IF($A2="","",IF(OR($D2="B1",$D2="M1",$D2="BTS1"),1,0))</f>
        <v/>
      </c>
      <c r="O2">
        <f>IF($A2="","",SUMIFS(Campagne!$D$1:$D$28,Campagne!$C$1:$C$28,$A2))</f>
        <v/>
      </c>
      <c r="P2">
        <f>IF($A2="","",SUMIFS(Campagne!$E$1:$E$28,Campagne!$C$1:$C$28,$A2))</f>
        <v/>
      </c>
      <c r="Q2">
        <f>IF($A2="","",SUMIFS(Campagne!$F$1:$F$28,Campagne!$C$1:$C$28,$A2))</f>
        <v/>
      </c>
      <c r="R2">
        <f>IF($A2="","",SUMIFS(Campagne!$K$1:$K$28,Campagne!$C$1:$C$28,$A2))</f>
        <v/>
      </c>
      <c r="S2">
        <f>IF($A2="","",SUMIFS(Campagne!$M$1:$M$28,Campagne!$C$1:$C$28,$A2))</f>
        <v/>
      </c>
      <c r="T2">
        <f>IF($A2="","",SUMIFS(Pilotage!$K$19:$K$32,Pilotage!$A$19:$A$32,$A2)*SUMIFS(Pilotage!$J$19:$J$32,Pilotage!$A$19:$A$32,$A2)*(SUM(Pilotage!$K$19:$K$32)/SUMPRODUCT(Pilotage!$K$19:$K$32,Pilotage!$J$19:$J$32)))</f>
        <v/>
      </c>
      <c r="U2">
        <f>IF($A2="","",SUMIFS(Pilotage!$K$19:$K$32,Pilotage!$A$19:$A$32,$A2))</f>
        <v/>
      </c>
      <c r="V2">
        <f>IF($A2="","",IF($B2="V01",Cadrage!$C$22,IF($B2="V02",Cadrage!$D$22,Cadrage!$E$22)))</f>
        <v/>
      </c>
      <c r="W2">
        <f>IF($A2="","",IF($B2="V01",Cadrage!$C$23,IF($B2="V02",Cadrage!$D$23,Cadrage!$E$23)))</f>
        <v/>
      </c>
      <c r="X2">
        <f>IF($A2="","",IF($B2="V01",Cadrage!$C$24,IF($B2="V02",Cadrage!$D$24,Cadrage!$E$24)))</f>
        <v/>
      </c>
      <c r="Y2">
        <f>IF($A2="","",IF($B2="V01",Cadrage!$C$25,IF($B2="V02",Cadrage!$D$25,Cadrage!$E$25)))</f>
        <v/>
      </c>
      <c r="Z2">
        <f>IF($A2="","",IF($B2="V01",Cadrage!$C$26,IF($B2="V02",Cadrage!$D$26,Cadrage!$E$26)))</f>
        <v/>
      </c>
      <c r="AA2">
        <f>IF($A2="","",IF($B2="V01",Cadrage!$C$27,IF($B2="V02",Cadrage!$D$27,Cadrage!$E$27)))</f>
        <v/>
      </c>
      <c r="AB2">
        <f>IF($A2="","",IF($B2="V01",Cadrage!$C$39,IF($B2="V02",Cadrage!$D$39,Cadrage!$E$39)))</f>
        <v/>
      </c>
      <c r="AC2">
        <f>IF($A2="","",IF($F2="MBWAY",Cadrage!$K$11,IF($F2="ISCOM",Cadrage!$K$12,IF($F2="IPAC",Cadrage!$K$13,IF($F2="PIGIER",Cadrage!$K$14,Cadrage!$K$15)))))</f>
        <v/>
      </c>
      <c r="AD2">
        <f>IF($A2="","",($O2*(1+$W2)^$S2+$P2*IFERROR((($T2/$U2)*(1+$V2))^$R2,0))*IFERROR($G2/$Q2,0)*($J2+$Y2)*$K2*($L2+$Z2))</f>
        <v/>
      </c>
      <c r="AE2">
        <f>IF($A2="","",IF($N2=1,$AD2,0))</f>
        <v/>
      </c>
      <c r="AF2">
        <f>IF($A2="","",IF($N2=1,$AD2,$H2*($M2+$AA2)))</f>
        <v/>
      </c>
      <c r="AG2">
        <f>IF($A2="","",$I2*(1+$X2*$AC2))</f>
        <v/>
      </c>
      <c r="AH2">
        <f>IF($A2="","",$AF2*$AG2+$AE2*$AB2)</f>
        <v/>
      </c>
    </row>
    <row r="3">
      <c r="A3">
        <f>IF(Moteur!D3="","",Moteur!D3)</f>
        <v/>
      </c>
      <c r="B3">
        <f>IF(Moteur!B3="","",Moteur!B3)</f>
        <v/>
      </c>
      <c r="C3">
        <f>IF(Moteur!F3="","",Moteur!F3)</f>
        <v/>
      </c>
      <c r="D3">
        <f>IF(Moteur!G3="","",Moteur!G3)</f>
        <v/>
      </c>
      <c r="E3">
        <f>IF(Moteur!H3="","",Moteur!H3)</f>
        <v/>
      </c>
      <c r="F3">
        <f>IF(Moteur!E3="","",Moteur!E3)</f>
        <v/>
      </c>
      <c r="G3">
        <f>IF($A3="","",SUMIFS(Socle!$H$1:$H$379,Socle!$C$1:$C$379,$A3,Socle!$D$1:$D$379,$C3,Socle!$E$1:$E$379,$D3,Socle!$F$1:$F$379,$E3,Socle!$G$1:$G$379,"2026"))</f>
        <v/>
      </c>
      <c r="H3">
        <f>IF($A3="","",SUMIFS(Socle!$N$1:$N$379,Socle!$C$1:$C$379,$A3,Socle!$D$1:$D$379,$C3,Socle!$E$1:$E$379,$D3,Socle!$F$1:$F$379,$E3,Socle!$G$1:$G$379,"2026"))</f>
        <v/>
      </c>
      <c r="I3">
        <f>IF($A3="","",SUMIFS(Socle!$P$1:$P$379,Socle!$C$1:$C$379,$A3,Socle!$D$1:$D$379,$C3,Socle!$E$1:$E$379,$D3,Socle!$F$1:$F$379,$E3,Socle!$G$1:$G$379,"2026"))</f>
        <v/>
      </c>
      <c r="J3">
        <f>IF($A3="","",SUMIFS(Socle!$W$1:$W$379,Socle!$C$1:$C$379,$A3,Socle!$D$1:$D$379,$C3,Socle!$E$1:$E$379,$D3,Socle!$F$1:$F$379,$E3,Socle!$G$1:$G$379,"2026"))</f>
        <v/>
      </c>
      <c r="K3">
        <f>IF($A3="","",SUMIFS(Socle!$X$1:$X$379,Socle!$C$1:$C$379,$A3,Socle!$D$1:$D$379,$C3,Socle!$E$1:$E$379,$D3,Socle!$F$1:$F$379,$E3,Socle!$G$1:$G$379,"2026"))</f>
        <v/>
      </c>
      <c r="L3">
        <f>IF($A3="","",SUMIFS(Socle!$Y$1:$Y$379,Socle!$C$1:$C$379,$A3,Socle!$D$1:$D$379,$C3,Socle!$E$1:$E$379,$D3,Socle!$F$1:$F$379,$E3,Socle!$G$1:$G$379,"2026"))</f>
        <v/>
      </c>
      <c r="M3">
        <f>IF($A3="","",SUMIFS(Socle!$V$1:$V$379,Socle!$C$1:$C$379,$A3,Socle!$D$1:$D$379,$C3,Socle!$E$1:$E$379,$D3,Socle!$F$1:$F$379,$E3,Socle!$G$1:$G$379,"2026"))</f>
        <v/>
      </c>
      <c r="N3">
        <f>IF($A3="","",IF(OR($D3="B1",$D3="M1",$D3="BTS1"),1,0))</f>
        <v/>
      </c>
      <c r="O3">
        <f>IF($A3="","",SUMIFS(Campagne!$D$1:$D$28,Campagne!$C$1:$C$28,$A3))</f>
        <v/>
      </c>
      <c r="P3">
        <f>IF($A3="","",SUMIFS(Campagne!$E$1:$E$28,Campagne!$C$1:$C$28,$A3))</f>
        <v/>
      </c>
      <c r="Q3">
        <f>IF($A3="","",SUMIFS(Campagne!$F$1:$F$28,Campagne!$C$1:$C$28,$A3))</f>
        <v/>
      </c>
      <c r="R3">
        <f>IF($A3="","",SUMIFS(Campagne!$K$1:$K$28,Campagne!$C$1:$C$28,$A3))</f>
        <v/>
      </c>
      <c r="S3">
        <f>IF($A3="","",SUMIFS(Campagne!$M$1:$M$28,Campagne!$C$1:$C$28,$A3))</f>
        <v/>
      </c>
      <c r="T3">
        <f>IF($A3="","",SUMIFS(Pilotage!$K$19:$K$32,Pilotage!$A$19:$A$32,$A3)*SUMIFS(Pilotage!$J$19:$J$32,Pilotage!$A$19:$A$32,$A3)*(SUM(Pilotage!$K$19:$K$32)/SUMPRODUCT(Pilotage!$K$19:$K$32,Pilotage!$J$19:$J$32)))</f>
        <v/>
      </c>
      <c r="U3">
        <f>IF($A3="","",SUMIFS(Pilotage!$K$19:$K$32,Pilotage!$A$19:$A$32,$A3))</f>
        <v/>
      </c>
      <c r="V3">
        <f>IF($A3="","",IF($B3="V01",Cadrage!$C$22,IF($B3="V02",Cadrage!$D$22,Cadrage!$E$22)))</f>
        <v/>
      </c>
      <c r="W3">
        <f>IF($A3="","",IF($B3="V01",Cadrage!$C$23,IF($B3="V02",Cadrage!$D$23,Cadrage!$E$23)))</f>
        <v/>
      </c>
      <c r="X3">
        <f>IF($A3="","",IF($B3="V01",Cadrage!$C$24,IF($B3="V02",Cadrage!$D$24,Cadrage!$E$24)))</f>
        <v/>
      </c>
      <c r="Y3">
        <f>IF($A3="","",IF($B3="V01",Cadrage!$C$25,IF($B3="V02",Cadrage!$D$25,Cadrage!$E$25)))</f>
        <v/>
      </c>
      <c r="Z3">
        <f>IF($A3="","",IF($B3="V01",Cadrage!$C$26,IF($B3="V02",Cadrage!$D$26,Cadrage!$E$26)))</f>
        <v/>
      </c>
      <c r="AA3">
        <f>IF($A3="","",IF($B3="V01",Cadrage!$C$27,IF($B3="V02",Cadrage!$D$27,Cadrage!$E$27)))</f>
        <v/>
      </c>
      <c r="AB3">
        <f>IF($A3="","",IF($B3="V01",Cadrage!$C$39,IF($B3="V02",Cadrage!$D$39,Cadrage!$E$39)))</f>
        <v/>
      </c>
      <c r="AC3">
        <f>IF($A3="","",IF($F3="MBWAY",Cadrage!$K$11,IF($F3="ISCOM",Cadrage!$K$12,IF($F3="IPAC",Cadrage!$K$13,IF($F3="PIGIER",Cadrage!$K$14,Cadrage!$K$15)))))</f>
        <v/>
      </c>
      <c r="AD3">
        <f>IF($A3="","",($O3*(1+$W3)^$S3+$P3*IFERROR((($T3/$U3)*(1+$V3))^$R3,0))*IFERROR($G3/$Q3,0)*($J3+$Y3)*$K3*($L3+$Z3))</f>
        <v/>
      </c>
      <c r="AE3">
        <f>IF($A3="","",IF($N3=1,$AD3,0))</f>
        <v/>
      </c>
      <c r="AF3">
        <f>IF($A3="","",IF($N3=1,$AD3,$H3*($M3+$AA3)))</f>
        <v/>
      </c>
      <c r="AG3">
        <f>IF($A3="","",$I3*(1+$X3*$AC3))</f>
        <v/>
      </c>
      <c r="AH3">
        <f>IF($A3="","",$AF3*$AG3+$AE3*$AB3)</f>
        <v/>
      </c>
    </row>
    <row r="4">
      <c r="A4">
        <f>IF(Moteur!D4="","",Moteur!D4)</f>
        <v/>
      </c>
      <c r="B4">
        <f>IF(Moteur!B4="","",Moteur!B4)</f>
        <v/>
      </c>
      <c r="C4">
        <f>IF(Moteur!F4="","",Moteur!F4)</f>
        <v/>
      </c>
      <c r="D4">
        <f>IF(Moteur!G4="","",Moteur!G4)</f>
        <v/>
      </c>
      <c r="E4">
        <f>IF(Moteur!H4="","",Moteur!H4)</f>
        <v/>
      </c>
      <c r="F4">
        <f>IF(Moteur!E4="","",Moteur!E4)</f>
        <v/>
      </c>
      <c r="G4">
        <f>IF($A4="","",SUMIFS(Socle!$H$1:$H$379,Socle!$C$1:$C$379,$A4,Socle!$D$1:$D$379,$C4,Socle!$E$1:$E$379,$D4,Socle!$F$1:$F$379,$E4,Socle!$G$1:$G$379,"2026"))</f>
        <v/>
      </c>
      <c r="H4">
        <f>IF($A4="","",SUMIFS(Socle!$N$1:$N$379,Socle!$C$1:$C$379,$A4,Socle!$D$1:$D$379,$C4,Socle!$E$1:$E$379,$D4,Socle!$F$1:$F$379,$E4,Socle!$G$1:$G$379,"2026"))</f>
        <v/>
      </c>
      <c r="I4">
        <f>IF($A4="","",SUMIFS(Socle!$P$1:$P$379,Socle!$C$1:$C$379,$A4,Socle!$D$1:$D$379,$C4,Socle!$E$1:$E$379,$D4,Socle!$F$1:$F$379,$E4,Socle!$G$1:$G$379,"2026"))</f>
        <v/>
      </c>
      <c r="J4">
        <f>IF($A4="","",SUMIFS(Socle!$W$1:$W$379,Socle!$C$1:$C$379,$A4,Socle!$D$1:$D$379,$C4,Socle!$E$1:$E$379,$D4,Socle!$F$1:$F$379,$E4,Socle!$G$1:$G$379,"2026"))</f>
        <v/>
      </c>
      <c r="K4">
        <f>IF($A4="","",SUMIFS(Socle!$X$1:$X$379,Socle!$C$1:$C$379,$A4,Socle!$D$1:$D$379,$C4,Socle!$E$1:$E$379,$D4,Socle!$F$1:$F$379,$E4,Socle!$G$1:$G$379,"2026"))</f>
        <v/>
      </c>
      <c r="L4">
        <f>IF($A4="","",SUMIFS(Socle!$Y$1:$Y$379,Socle!$C$1:$C$379,$A4,Socle!$D$1:$D$379,$C4,Socle!$E$1:$E$379,$D4,Socle!$F$1:$F$379,$E4,Socle!$G$1:$G$379,"2026"))</f>
        <v/>
      </c>
      <c r="M4">
        <f>IF($A4="","",SUMIFS(Socle!$V$1:$V$379,Socle!$C$1:$C$379,$A4,Socle!$D$1:$D$379,$C4,Socle!$E$1:$E$379,$D4,Socle!$F$1:$F$379,$E4,Socle!$G$1:$G$379,"2026"))</f>
        <v/>
      </c>
      <c r="N4">
        <f>IF($A4="","",IF(OR($D4="B1",$D4="M1",$D4="BTS1"),1,0))</f>
        <v/>
      </c>
      <c r="O4">
        <f>IF($A4="","",SUMIFS(Campagne!$D$1:$D$28,Campagne!$C$1:$C$28,$A4))</f>
        <v/>
      </c>
      <c r="P4">
        <f>IF($A4="","",SUMIFS(Campagne!$E$1:$E$28,Campagne!$C$1:$C$28,$A4))</f>
        <v/>
      </c>
      <c r="Q4">
        <f>IF($A4="","",SUMIFS(Campagne!$F$1:$F$28,Campagne!$C$1:$C$28,$A4))</f>
        <v/>
      </c>
      <c r="R4">
        <f>IF($A4="","",SUMIFS(Campagne!$K$1:$K$28,Campagne!$C$1:$C$28,$A4))</f>
        <v/>
      </c>
      <c r="S4">
        <f>IF($A4="","",SUMIFS(Campagne!$M$1:$M$28,Campagne!$C$1:$C$28,$A4))</f>
        <v/>
      </c>
      <c r="T4">
        <f>IF($A4="","",SUMIFS(Pilotage!$K$19:$K$32,Pilotage!$A$19:$A$32,$A4)*SUMIFS(Pilotage!$J$19:$J$32,Pilotage!$A$19:$A$32,$A4)*(SUM(Pilotage!$K$19:$K$32)/SUMPRODUCT(Pilotage!$K$19:$K$32,Pilotage!$J$19:$J$32)))</f>
        <v/>
      </c>
      <c r="U4">
        <f>IF($A4="","",SUMIFS(Pilotage!$K$19:$K$32,Pilotage!$A$19:$A$32,$A4))</f>
        <v/>
      </c>
      <c r="V4">
        <f>IF($A4="","",IF($B4="V01",Cadrage!$C$22,IF($B4="V02",Cadrage!$D$22,Cadrage!$E$22)))</f>
        <v/>
      </c>
      <c r="W4">
        <f>IF($A4="","",IF($B4="V01",Cadrage!$C$23,IF($B4="V02",Cadrage!$D$23,Cadrage!$E$23)))</f>
        <v/>
      </c>
      <c r="X4">
        <f>IF($A4="","",IF($B4="V01",Cadrage!$C$24,IF($B4="V02",Cadrage!$D$24,Cadrage!$E$24)))</f>
        <v/>
      </c>
      <c r="Y4">
        <f>IF($A4="","",IF($B4="V01",Cadrage!$C$25,IF($B4="V02",Cadrage!$D$25,Cadrage!$E$25)))</f>
        <v/>
      </c>
      <c r="Z4">
        <f>IF($A4="","",IF($B4="V01",Cadrage!$C$26,IF($B4="V02",Cadrage!$D$26,Cadrage!$E$26)))</f>
        <v/>
      </c>
      <c r="AA4">
        <f>IF($A4="","",IF($B4="V01",Cadrage!$C$27,IF($B4="V02",Cadrage!$D$27,Cadrage!$E$27)))</f>
        <v/>
      </c>
      <c r="AB4">
        <f>IF($A4="","",IF($B4="V01",Cadrage!$C$39,IF($B4="V02",Cadrage!$D$39,Cadrage!$E$39)))</f>
        <v/>
      </c>
      <c r="AC4">
        <f>IF($A4="","",IF($F4="MBWAY",Cadrage!$K$11,IF($F4="ISCOM",Cadrage!$K$12,IF($F4="IPAC",Cadrage!$K$13,IF($F4="PIGIER",Cadrage!$K$14,Cadrage!$K$15)))))</f>
        <v/>
      </c>
      <c r="AD4">
        <f>IF($A4="","",($O4*(1+$W4)^$S4+$P4*IFERROR((($T4/$U4)*(1+$V4))^$R4,0))*IFERROR($G4/$Q4,0)*($J4+$Y4)*$K4*($L4+$Z4))</f>
        <v/>
      </c>
      <c r="AE4">
        <f>IF($A4="","",IF($N4=1,$AD4,0))</f>
        <v/>
      </c>
      <c r="AF4">
        <f>IF($A4="","",IF($N4=1,$AD4,$H4*($M4+$AA4)))</f>
        <v/>
      </c>
      <c r="AG4">
        <f>IF($A4="","",$I4*(1+$X4*$AC4))</f>
        <v/>
      </c>
      <c r="AH4">
        <f>IF($A4="","",$AF4*$AG4+$AE4*$AB4)</f>
        <v/>
      </c>
    </row>
    <row r="5">
      <c r="A5">
        <f>IF(Moteur!D5="","",Moteur!D5)</f>
        <v/>
      </c>
      <c r="B5">
        <f>IF(Moteur!B5="","",Moteur!B5)</f>
        <v/>
      </c>
      <c r="C5">
        <f>IF(Moteur!F5="","",Moteur!F5)</f>
        <v/>
      </c>
      <c r="D5">
        <f>IF(Moteur!G5="","",Moteur!G5)</f>
        <v/>
      </c>
      <c r="E5">
        <f>IF(Moteur!H5="","",Moteur!H5)</f>
        <v/>
      </c>
      <c r="F5">
        <f>IF(Moteur!E5="","",Moteur!E5)</f>
        <v/>
      </c>
      <c r="G5">
        <f>IF($A5="","",SUMIFS(Socle!$H$1:$H$379,Socle!$C$1:$C$379,$A5,Socle!$D$1:$D$379,$C5,Socle!$E$1:$E$379,$D5,Socle!$F$1:$F$379,$E5,Socle!$G$1:$G$379,"2026"))</f>
        <v/>
      </c>
      <c r="H5">
        <f>IF($A5="","",SUMIFS(Socle!$N$1:$N$379,Socle!$C$1:$C$379,$A5,Socle!$D$1:$D$379,$C5,Socle!$E$1:$E$379,$D5,Socle!$F$1:$F$379,$E5,Socle!$G$1:$G$379,"2026"))</f>
        <v/>
      </c>
      <c r="I5">
        <f>IF($A5="","",SUMIFS(Socle!$P$1:$P$379,Socle!$C$1:$C$379,$A5,Socle!$D$1:$D$379,$C5,Socle!$E$1:$E$379,$D5,Socle!$F$1:$F$379,$E5,Socle!$G$1:$G$379,"2026"))</f>
        <v/>
      </c>
      <c r="J5">
        <f>IF($A5="","",SUMIFS(Socle!$W$1:$W$379,Socle!$C$1:$C$379,$A5,Socle!$D$1:$D$379,$C5,Socle!$E$1:$E$379,$D5,Socle!$F$1:$F$379,$E5,Socle!$G$1:$G$379,"2026"))</f>
        <v/>
      </c>
      <c r="K5">
        <f>IF($A5="","",SUMIFS(Socle!$X$1:$X$379,Socle!$C$1:$C$379,$A5,Socle!$D$1:$D$379,$C5,Socle!$E$1:$E$379,$D5,Socle!$F$1:$F$379,$E5,Socle!$G$1:$G$379,"2026"))</f>
        <v/>
      </c>
      <c r="L5">
        <f>IF($A5="","",SUMIFS(Socle!$Y$1:$Y$379,Socle!$C$1:$C$379,$A5,Socle!$D$1:$D$379,$C5,Socle!$E$1:$E$379,$D5,Socle!$F$1:$F$379,$E5,Socle!$G$1:$G$379,"2026"))</f>
        <v/>
      </c>
      <c r="M5">
        <f>IF($A5="","",SUMIFS(Socle!$V$1:$V$379,Socle!$C$1:$C$379,$A5,Socle!$D$1:$D$379,$C5,Socle!$E$1:$E$379,$D5,Socle!$F$1:$F$379,$E5,Socle!$G$1:$G$379,"2026"))</f>
        <v/>
      </c>
      <c r="N5">
        <f>IF($A5="","",IF(OR($D5="B1",$D5="M1",$D5="BTS1"),1,0))</f>
        <v/>
      </c>
      <c r="O5">
        <f>IF($A5="","",SUMIFS(Campagne!$D$1:$D$28,Campagne!$C$1:$C$28,$A5))</f>
        <v/>
      </c>
      <c r="P5">
        <f>IF($A5="","",SUMIFS(Campagne!$E$1:$E$28,Campagne!$C$1:$C$28,$A5))</f>
        <v/>
      </c>
      <c r="Q5">
        <f>IF($A5="","",SUMIFS(Campagne!$F$1:$F$28,Campagne!$C$1:$C$28,$A5))</f>
        <v/>
      </c>
      <c r="R5">
        <f>IF($A5="","",SUMIFS(Campagne!$K$1:$K$28,Campagne!$C$1:$C$28,$A5))</f>
        <v/>
      </c>
      <c r="S5">
        <f>IF($A5="","",SUMIFS(Campagne!$M$1:$M$28,Campagne!$C$1:$C$28,$A5))</f>
        <v/>
      </c>
      <c r="T5">
        <f>IF($A5="","",SUMIFS(Pilotage!$K$19:$K$32,Pilotage!$A$19:$A$32,$A5)*SUMIFS(Pilotage!$J$19:$J$32,Pilotage!$A$19:$A$32,$A5)*(SUM(Pilotage!$K$19:$K$32)/SUMPRODUCT(Pilotage!$K$19:$K$32,Pilotage!$J$19:$J$32)))</f>
        <v/>
      </c>
      <c r="U5">
        <f>IF($A5="","",SUMIFS(Pilotage!$K$19:$K$32,Pilotage!$A$19:$A$32,$A5))</f>
        <v/>
      </c>
      <c r="V5">
        <f>IF($A5="","",IF($B5="V01",Cadrage!$C$22,IF($B5="V02",Cadrage!$D$22,Cadrage!$E$22)))</f>
        <v/>
      </c>
      <c r="W5">
        <f>IF($A5="","",IF($B5="V01",Cadrage!$C$23,IF($B5="V02",Cadrage!$D$23,Cadrage!$E$23)))</f>
        <v/>
      </c>
      <c r="X5">
        <f>IF($A5="","",IF($B5="V01",Cadrage!$C$24,IF($B5="V02",Cadrage!$D$24,Cadrage!$E$24)))</f>
        <v/>
      </c>
      <c r="Y5">
        <f>IF($A5="","",IF($B5="V01",Cadrage!$C$25,IF($B5="V02",Cadrage!$D$25,Cadrage!$E$25)))</f>
        <v/>
      </c>
      <c r="Z5">
        <f>IF($A5="","",IF($B5="V01",Cadrage!$C$26,IF($B5="V02",Cadrage!$D$26,Cadrage!$E$26)))</f>
        <v/>
      </c>
      <c r="AA5">
        <f>IF($A5="","",IF($B5="V01",Cadrage!$C$27,IF($B5="V02",Cadrage!$D$27,Cadrage!$E$27)))</f>
        <v/>
      </c>
      <c r="AB5">
        <f>IF($A5="","",IF($B5="V01",Cadrage!$C$39,IF($B5="V02",Cadrage!$D$39,Cadrage!$E$39)))</f>
        <v/>
      </c>
      <c r="AC5">
        <f>IF($A5="","",IF($F5="MBWAY",Cadrage!$K$11,IF($F5="ISCOM",Cadrage!$K$12,IF($F5="IPAC",Cadrage!$K$13,IF($F5="PIGIER",Cadrage!$K$14,Cadrage!$K$15)))))</f>
        <v/>
      </c>
      <c r="AD5">
        <f>IF($A5="","",($O5*(1+$W5)^$S5+$P5*IFERROR((($T5/$U5)*(1+$V5))^$R5,0))*IFERROR($G5/$Q5,0)*($J5+$Y5)*$K5*($L5+$Z5))</f>
        <v/>
      </c>
      <c r="AE5">
        <f>IF($A5="","",IF($N5=1,$AD5,0))</f>
        <v/>
      </c>
      <c r="AF5">
        <f>IF($A5="","",IF($N5=1,$AD5,$H5*($M5+$AA5)))</f>
        <v/>
      </c>
      <c r="AG5">
        <f>IF($A5="","",$I5*(1+$X5*$AC5))</f>
        <v/>
      </c>
      <c r="AH5">
        <f>IF($A5="","",$AF5*$AG5+$AE5*$AB5)</f>
        <v/>
      </c>
    </row>
    <row r="6">
      <c r="A6">
        <f>IF(Moteur!D6="","",Moteur!D6)</f>
        <v/>
      </c>
      <c r="B6">
        <f>IF(Moteur!B6="","",Moteur!B6)</f>
        <v/>
      </c>
      <c r="C6">
        <f>IF(Moteur!F6="","",Moteur!F6)</f>
        <v/>
      </c>
      <c r="D6">
        <f>IF(Moteur!G6="","",Moteur!G6)</f>
        <v/>
      </c>
      <c r="E6">
        <f>IF(Moteur!H6="","",Moteur!H6)</f>
        <v/>
      </c>
      <c r="F6">
        <f>IF(Moteur!E6="","",Moteur!E6)</f>
        <v/>
      </c>
      <c r="G6">
        <f>IF($A6="","",SUMIFS(Socle!$H$1:$H$379,Socle!$C$1:$C$379,$A6,Socle!$D$1:$D$379,$C6,Socle!$E$1:$E$379,$D6,Socle!$F$1:$F$379,$E6,Socle!$G$1:$G$379,"2026"))</f>
        <v/>
      </c>
      <c r="H6">
        <f>IF($A6="","",SUMIFS(Socle!$N$1:$N$379,Socle!$C$1:$C$379,$A6,Socle!$D$1:$D$379,$C6,Socle!$E$1:$E$379,$D6,Socle!$F$1:$F$379,$E6,Socle!$G$1:$G$379,"2026"))</f>
        <v/>
      </c>
      <c r="I6">
        <f>IF($A6="","",SUMIFS(Socle!$P$1:$P$379,Socle!$C$1:$C$379,$A6,Socle!$D$1:$D$379,$C6,Socle!$E$1:$E$379,$D6,Socle!$F$1:$F$379,$E6,Socle!$G$1:$G$379,"2026"))</f>
        <v/>
      </c>
      <c r="J6">
        <f>IF($A6="","",SUMIFS(Socle!$W$1:$W$379,Socle!$C$1:$C$379,$A6,Socle!$D$1:$D$379,$C6,Socle!$E$1:$E$379,$D6,Socle!$F$1:$F$379,$E6,Socle!$G$1:$G$379,"2026"))</f>
        <v/>
      </c>
      <c r="K6">
        <f>IF($A6="","",SUMIFS(Socle!$X$1:$X$379,Socle!$C$1:$C$379,$A6,Socle!$D$1:$D$379,$C6,Socle!$E$1:$E$379,$D6,Socle!$F$1:$F$379,$E6,Socle!$G$1:$G$379,"2026"))</f>
        <v/>
      </c>
      <c r="L6">
        <f>IF($A6="","",SUMIFS(Socle!$Y$1:$Y$379,Socle!$C$1:$C$379,$A6,Socle!$D$1:$D$379,$C6,Socle!$E$1:$E$379,$D6,Socle!$F$1:$F$379,$E6,Socle!$G$1:$G$379,"2026"))</f>
        <v/>
      </c>
      <c r="M6">
        <f>IF($A6="","",SUMIFS(Socle!$V$1:$V$379,Socle!$C$1:$C$379,$A6,Socle!$D$1:$D$379,$C6,Socle!$E$1:$E$379,$D6,Socle!$F$1:$F$379,$E6,Socle!$G$1:$G$379,"2026"))</f>
        <v/>
      </c>
      <c r="N6">
        <f>IF($A6="","",IF(OR($D6="B1",$D6="M1",$D6="BTS1"),1,0))</f>
        <v/>
      </c>
      <c r="O6">
        <f>IF($A6="","",SUMIFS(Campagne!$D$1:$D$28,Campagne!$C$1:$C$28,$A6))</f>
        <v/>
      </c>
      <c r="P6">
        <f>IF($A6="","",SUMIFS(Campagne!$E$1:$E$28,Campagne!$C$1:$C$28,$A6))</f>
        <v/>
      </c>
      <c r="Q6">
        <f>IF($A6="","",SUMIFS(Campagne!$F$1:$F$28,Campagne!$C$1:$C$28,$A6))</f>
        <v/>
      </c>
      <c r="R6">
        <f>IF($A6="","",SUMIFS(Campagne!$K$1:$K$28,Campagne!$C$1:$C$28,$A6))</f>
        <v/>
      </c>
      <c r="S6">
        <f>IF($A6="","",SUMIFS(Campagne!$M$1:$M$28,Campagne!$C$1:$C$28,$A6))</f>
        <v/>
      </c>
      <c r="T6">
        <f>IF($A6="","",SUMIFS(Pilotage!$K$19:$K$32,Pilotage!$A$19:$A$32,$A6)*SUMIFS(Pilotage!$J$19:$J$32,Pilotage!$A$19:$A$32,$A6)*(SUM(Pilotage!$K$19:$K$32)/SUMPRODUCT(Pilotage!$K$19:$K$32,Pilotage!$J$19:$J$32)))</f>
        <v/>
      </c>
      <c r="U6">
        <f>IF($A6="","",SUMIFS(Pilotage!$K$19:$K$32,Pilotage!$A$19:$A$32,$A6))</f>
        <v/>
      </c>
      <c r="V6">
        <f>IF($A6="","",IF($B6="V01",Cadrage!$C$22,IF($B6="V02",Cadrage!$D$22,Cadrage!$E$22)))</f>
        <v/>
      </c>
      <c r="W6">
        <f>IF($A6="","",IF($B6="V01",Cadrage!$C$23,IF($B6="V02",Cadrage!$D$23,Cadrage!$E$23)))</f>
        <v/>
      </c>
      <c r="X6">
        <f>IF($A6="","",IF($B6="V01",Cadrage!$C$24,IF($B6="V02",Cadrage!$D$24,Cadrage!$E$24)))</f>
        <v/>
      </c>
      <c r="Y6">
        <f>IF($A6="","",IF($B6="V01",Cadrage!$C$25,IF($B6="V02",Cadrage!$D$25,Cadrage!$E$25)))</f>
        <v/>
      </c>
      <c r="Z6">
        <f>IF($A6="","",IF($B6="V01",Cadrage!$C$26,IF($B6="V02",Cadrage!$D$26,Cadrage!$E$26)))</f>
        <v/>
      </c>
      <c r="AA6">
        <f>IF($A6="","",IF($B6="V01",Cadrage!$C$27,IF($B6="V02",Cadrage!$D$27,Cadrage!$E$27)))</f>
        <v/>
      </c>
      <c r="AB6">
        <f>IF($A6="","",IF($B6="V01",Cadrage!$C$39,IF($B6="V02",Cadrage!$D$39,Cadrage!$E$39)))</f>
        <v/>
      </c>
      <c r="AC6">
        <f>IF($A6="","",IF($F6="MBWAY",Cadrage!$K$11,IF($F6="ISCOM",Cadrage!$K$12,IF($F6="IPAC",Cadrage!$K$13,IF($F6="PIGIER",Cadrage!$K$14,Cadrage!$K$15)))))</f>
        <v/>
      </c>
      <c r="AD6">
        <f>IF($A6="","",($O6*(1+$W6)^$S6+$P6*IFERROR((($T6/$U6)*(1+$V6))^$R6,0))*IFERROR($G6/$Q6,0)*($J6+$Y6)*$K6*($L6+$Z6))</f>
        <v/>
      </c>
      <c r="AE6">
        <f>IF($A6="","",IF($N6=1,$AD6,0))</f>
        <v/>
      </c>
      <c r="AF6">
        <f>IF($A6="","",IF($N6=1,$AD6,$H6*($M6+$AA6)))</f>
        <v/>
      </c>
      <c r="AG6">
        <f>IF($A6="","",$I6*(1+$X6*$AC6))</f>
        <v/>
      </c>
      <c r="AH6">
        <f>IF($A6="","",$AF6*$AG6+$AE6*$AB6)</f>
        <v/>
      </c>
    </row>
    <row r="7">
      <c r="A7">
        <f>IF(Moteur!D7="","",Moteur!D7)</f>
        <v/>
      </c>
      <c r="B7">
        <f>IF(Moteur!B7="","",Moteur!B7)</f>
        <v/>
      </c>
      <c r="C7">
        <f>IF(Moteur!F7="","",Moteur!F7)</f>
        <v/>
      </c>
      <c r="D7">
        <f>IF(Moteur!G7="","",Moteur!G7)</f>
        <v/>
      </c>
      <c r="E7">
        <f>IF(Moteur!H7="","",Moteur!H7)</f>
        <v/>
      </c>
      <c r="F7">
        <f>IF(Moteur!E7="","",Moteur!E7)</f>
        <v/>
      </c>
      <c r="G7">
        <f>IF($A7="","",SUMIFS(Socle!$H$1:$H$379,Socle!$C$1:$C$379,$A7,Socle!$D$1:$D$379,$C7,Socle!$E$1:$E$379,$D7,Socle!$F$1:$F$379,$E7,Socle!$G$1:$G$379,"2026"))</f>
        <v/>
      </c>
      <c r="H7">
        <f>IF($A7="","",SUMIFS(Socle!$N$1:$N$379,Socle!$C$1:$C$379,$A7,Socle!$D$1:$D$379,$C7,Socle!$E$1:$E$379,$D7,Socle!$F$1:$F$379,$E7,Socle!$G$1:$G$379,"2026"))</f>
        <v/>
      </c>
      <c r="I7">
        <f>IF($A7="","",SUMIFS(Socle!$P$1:$P$379,Socle!$C$1:$C$379,$A7,Socle!$D$1:$D$379,$C7,Socle!$E$1:$E$379,$D7,Socle!$F$1:$F$379,$E7,Socle!$G$1:$G$379,"2026"))</f>
        <v/>
      </c>
      <c r="J7">
        <f>IF($A7="","",SUMIFS(Socle!$W$1:$W$379,Socle!$C$1:$C$379,$A7,Socle!$D$1:$D$379,$C7,Socle!$E$1:$E$379,$D7,Socle!$F$1:$F$379,$E7,Socle!$G$1:$G$379,"2026"))</f>
        <v/>
      </c>
      <c r="K7">
        <f>IF($A7="","",SUMIFS(Socle!$X$1:$X$379,Socle!$C$1:$C$379,$A7,Socle!$D$1:$D$379,$C7,Socle!$E$1:$E$379,$D7,Socle!$F$1:$F$379,$E7,Socle!$G$1:$G$379,"2026"))</f>
        <v/>
      </c>
      <c r="L7">
        <f>IF($A7="","",SUMIFS(Socle!$Y$1:$Y$379,Socle!$C$1:$C$379,$A7,Socle!$D$1:$D$379,$C7,Socle!$E$1:$E$379,$D7,Socle!$F$1:$F$379,$E7,Socle!$G$1:$G$379,"2026"))</f>
        <v/>
      </c>
      <c r="M7">
        <f>IF($A7="","",SUMIFS(Socle!$V$1:$V$379,Socle!$C$1:$C$379,$A7,Socle!$D$1:$D$379,$C7,Socle!$E$1:$E$379,$D7,Socle!$F$1:$F$379,$E7,Socle!$G$1:$G$379,"2026"))</f>
        <v/>
      </c>
      <c r="N7">
        <f>IF($A7="","",IF(OR($D7="B1",$D7="M1",$D7="BTS1"),1,0))</f>
        <v/>
      </c>
      <c r="O7">
        <f>IF($A7="","",SUMIFS(Campagne!$D$1:$D$28,Campagne!$C$1:$C$28,$A7))</f>
        <v/>
      </c>
      <c r="P7">
        <f>IF($A7="","",SUMIFS(Campagne!$E$1:$E$28,Campagne!$C$1:$C$28,$A7))</f>
        <v/>
      </c>
      <c r="Q7">
        <f>IF($A7="","",SUMIFS(Campagne!$F$1:$F$28,Campagne!$C$1:$C$28,$A7))</f>
        <v/>
      </c>
      <c r="R7">
        <f>IF($A7="","",SUMIFS(Campagne!$K$1:$K$28,Campagne!$C$1:$C$28,$A7))</f>
        <v/>
      </c>
      <c r="S7">
        <f>IF($A7="","",SUMIFS(Campagne!$M$1:$M$28,Campagne!$C$1:$C$28,$A7))</f>
        <v/>
      </c>
      <c r="T7">
        <f>IF($A7="","",SUMIFS(Pilotage!$K$19:$K$32,Pilotage!$A$19:$A$32,$A7)*SUMIFS(Pilotage!$J$19:$J$32,Pilotage!$A$19:$A$32,$A7)*(SUM(Pilotage!$K$19:$K$32)/SUMPRODUCT(Pilotage!$K$19:$K$32,Pilotage!$J$19:$J$32)))</f>
        <v/>
      </c>
      <c r="U7">
        <f>IF($A7="","",SUMIFS(Pilotage!$K$19:$K$32,Pilotage!$A$19:$A$32,$A7))</f>
        <v/>
      </c>
      <c r="V7">
        <f>IF($A7="","",IF($B7="V01",Cadrage!$C$22,IF($B7="V02",Cadrage!$D$22,Cadrage!$E$22)))</f>
        <v/>
      </c>
      <c r="W7">
        <f>IF($A7="","",IF($B7="V01",Cadrage!$C$23,IF($B7="V02",Cadrage!$D$23,Cadrage!$E$23)))</f>
        <v/>
      </c>
      <c r="X7">
        <f>IF($A7="","",IF($B7="V01",Cadrage!$C$24,IF($B7="V02",Cadrage!$D$24,Cadrage!$E$24)))</f>
        <v/>
      </c>
      <c r="Y7">
        <f>IF($A7="","",IF($B7="V01",Cadrage!$C$25,IF($B7="V02",Cadrage!$D$25,Cadrage!$E$25)))</f>
        <v/>
      </c>
      <c r="Z7">
        <f>IF($A7="","",IF($B7="V01",Cadrage!$C$26,IF($B7="V02",Cadrage!$D$26,Cadrage!$E$26)))</f>
        <v/>
      </c>
      <c r="AA7">
        <f>IF($A7="","",IF($B7="V01",Cadrage!$C$27,IF($B7="V02",Cadrage!$D$27,Cadrage!$E$27)))</f>
        <v/>
      </c>
      <c r="AB7">
        <f>IF($A7="","",IF($B7="V01",Cadrage!$C$39,IF($B7="V02",Cadrage!$D$39,Cadrage!$E$39)))</f>
        <v/>
      </c>
      <c r="AC7">
        <f>IF($A7="","",IF($F7="MBWAY",Cadrage!$K$11,IF($F7="ISCOM",Cadrage!$K$12,IF($F7="IPAC",Cadrage!$K$13,IF($F7="PIGIER",Cadrage!$K$14,Cadrage!$K$15)))))</f>
        <v/>
      </c>
      <c r="AD7">
        <f>IF($A7="","",($O7*(1+$W7)^$S7+$P7*IFERROR((($T7/$U7)*(1+$V7))^$R7,0))*IFERROR($G7/$Q7,0)*($J7+$Y7)*$K7*($L7+$Z7))</f>
        <v/>
      </c>
      <c r="AE7">
        <f>IF($A7="","",IF($N7=1,$AD7,0))</f>
        <v/>
      </c>
      <c r="AF7">
        <f>IF($A7="","",IF($N7=1,$AD7,$H7*($M7+$AA7)))</f>
        <v/>
      </c>
      <c r="AG7">
        <f>IF($A7="","",$I7*(1+$X7*$AC7))</f>
        <v/>
      </c>
      <c r="AH7">
        <f>IF($A7="","",$AF7*$AG7+$AE7*$AB7)</f>
        <v/>
      </c>
    </row>
    <row r="8">
      <c r="A8">
        <f>IF(Moteur!D8="","",Moteur!D8)</f>
        <v/>
      </c>
      <c r="B8">
        <f>IF(Moteur!B8="","",Moteur!B8)</f>
        <v/>
      </c>
      <c r="C8">
        <f>IF(Moteur!F8="","",Moteur!F8)</f>
        <v/>
      </c>
      <c r="D8">
        <f>IF(Moteur!G8="","",Moteur!G8)</f>
        <v/>
      </c>
      <c r="E8">
        <f>IF(Moteur!H8="","",Moteur!H8)</f>
        <v/>
      </c>
      <c r="F8">
        <f>IF(Moteur!E8="","",Moteur!E8)</f>
        <v/>
      </c>
      <c r="G8">
        <f>IF($A8="","",SUMIFS(Socle!$H$1:$H$379,Socle!$C$1:$C$379,$A8,Socle!$D$1:$D$379,$C8,Socle!$E$1:$E$379,$D8,Socle!$F$1:$F$379,$E8,Socle!$G$1:$G$379,"2026"))</f>
        <v/>
      </c>
      <c r="H8">
        <f>IF($A8="","",SUMIFS(Socle!$N$1:$N$379,Socle!$C$1:$C$379,$A8,Socle!$D$1:$D$379,$C8,Socle!$E$1:$E$379,$D8,Socle!$F$1:$F$379,$E8,Socle!$G$1:$G$379,"2026"))</f>
        <v/>
      </c>
      <c r="I8">
        <f>IF($A8="","",SUMIFS(Socle!$P$1:$P$379,Socle!$C$1:$C$379,$A8,Socle!$D$1:$D$379,$C8,Socle!$E$1:$E$379,$D8,Socle!$F$1:$F$379,$E8,Socle!$G$1:$G$379,"2026"))</f>
        <v/>
      </c>
      <c r="J8">
        <f>IF($A8="","",SUMIFS(Socle!$W$1:$W$379,Socle!$C$1:$C$379,$A8,Socle!$D$1:$D$379,$C8,Socle!$E$1:$E$379,$D8,Socle!$F$1:$F$379,$E8,Socle!$G$1:$G$379,"2026"))</f>
        <v/>
      </c>
      <c r="K8">
        <f>IF($A8="","",SUMIFS(Socle!$X$1:$X$379,Socle!$C$1:$C$379,$A8,Socle!$D$1:$D$379,$C8,Socle!$E$1:$E$379,$D8,Socle!$F$1:$F$379,$E8,Socle!$G$1:$G$379,"2026"))</f>
        <v/>
      </c>
      <c r="L8">
        <f>IF($A8="","",SUMIFS(Socle!$Y$1:$Y$379,Socle!$C$1:$C$379,$A8,Socle!$D$1:$D$379,$C8,Socle!$E$1:$E$379,$D8,Socle!$F$1:$F$379,$E8,Socle!$G$1:$G$379,"2026"))</f>
        <v/>
      </c>
      <c r="M8">
        <f>IF($A8="","",SUMIFS(Socle!$V$1:$V$379,Socle!$C$1:$C$379,$A8,Socle!$D$1:$D$379,$C8,Socle!$E$1:$E$379,$D8,Socle!$F$1:$F$379,$E8,Socle!$G$1:$G$379,"2026"))</f>
        <v/>
      </c>
      <c r="N8">
        <f>IF($A8="","",IF(OR($D8="B1",$D8="M1",$D8="BTS1"),1,0))</f>
        <v/>
      </c>
      <c r="O8">
        <f>IF($A8="","",SUMIFS(Campagne!$D$1:$D$28,Campagne!$C$1:$C$28,$A8))</f>
        <v/>
      </c>
      <c r="P8">
        <f>IF($A8="","",SUMIFS(Campagne!$E$1:$E$28,Campagne!$C$1:$C$28,$A8))</f>
        <v/>
      </c>
      <c r="Q8">
        <f>IF($A8="","",SUMIFS(Campagne!$F$1:$F$28,Campagne!$C$1:$C$28,$A8))</f>
        <v/>
      </c>
      <c r="R8">
        <f>IF($A8="","",SUMIFS(Campagne!$K$1:$K$28,Campagne!$C$1:$C$28,$A8))</f>
        <v/>
      </c>
      <c r="S8">
        <f>IF($A8="","",SUMIFS(Campagne!$M$1:$M$28,Campagne!$C$1:$C$28,$A8))</f>
        <v/>
      </c>
      <c r="T8">
        <f>IF($A8="","",SUMIFS(Pilotage!$K$19:$K$32,Pilotage!$A$19:$A$32,$A8)*SUMIFS(Pilotage!$J$19:$J$32,Pilotage!$A$19:$A$32,$A8)*(SUM(Pilotage!$K$19:$K$32)/SUMPRODUCT(Pilotage!$K$19:$K$32,Pilotage!$J$19:$J$32)))</f>
        <v/>
      </c>
      <c r="U8">
        <f>IF($A8="","",SUMIFS(Pilotage!$K$19:$K$32,Pilotage!$A$19:$A$32,$A8))</f>
        <v/>
      </c>
      <c r="V8">
        <f>IF($A8="","",IF($B8="V01",Cadrage!$C$22,IF($B8="V02",Cadrage!$D$22,Cadrage!$E$22)))</f>
        <v/>
      </c>
      <c r="W8">
        <f>IF($A8="","",IF($B8="V01",Cadrage!$C$23,IF($B8="V02",Cadrage!$D$23,Cadrage!$E$23)))</f>
        <v/>
      </c>
      <c r="X8">
        <f>IF($A8="","",IF($B8="V01",Cadrage!$C$24,IF($B8="V02",Cadrage!$D$24,Cadrage!$E$24)))</f>
        <v/>
      </c>
      <c r="Y8">
        <f>IF($A8="","",IF($B8="V01",Cadrage!$C$25,IF($B8="V02",Cadrage!$D$25,Cadrage!$E$25)))</f>
        <v/>
      </c>
      <c r="Z8">
        <f>IF($A8="","",IF($B8="V01",Cadrage!$C$26,IF($B8="V02",Cadrage!$D$26,Cadrage!$E$26)))</f>
        <v/>
      </c>
      <c r="AA8">
        <f>IF($A8="","",IF($B8="V01",Cadrage!$C$27,IF($B8="V02",Cadrage!$D$27,Cadrage!$E$27)))</f>
        <v/>
      </c>
      <c r="AB8">
        <f>IF($A8="","",IF($B8="V01",Cadrage!$C$39,IF($B8="V02",Cadrage!$D$39,Cadrage!$E$39)))</f>
        <v/>
      </c>
      <c r="AC8">
        <f>IF($A8="","",IF($F8="MBWAY",Cadrage!$K$11,IF($F8="ISCOM",Cadrage!$K$12,IF($F8="IPAC",Cadrage!$K$13,IF($F8="PIGIER",Cadrage!$K$14,Cadrage!$K$15)))))</f>
        <v/>
      </c>
      <c r="AD8">
        <f>IF($A8="","",($O8*(1+$W8)^$S8+$P8*IFERROR((($T8/$U8)*(1+$V8))^$R8,0))*IFERROR($G8/$Q8,0)*($J8+$Y8)*$K8*($L8+$Z8))</f>
        <v/>
      </c>
      <c r="AE8">
        <f>IF($A8="","",IF($N8=1,$AD8,0))</f>
        <v/>
      </c>
      <c r="AF8">
        <f>IF($A8="","",IF($N8=1,$AD8,$H8*($M8+$AA8)))</f>
        <v/>
      </c>
      <c r="AG8">
        <f>IF($A8="","",$I8*(1+$X8*$AC8))</f>
        <v/>
      </c>
      <c r="AH8">
        <f>IF($A8="","",$AF8*$AG8+$AE8*$AB8)</f>
        <v/>
      </c>
    </row>
    <row r="9">
      <c r="A9">
        <f>IF(Moteur!D9="","",Moteur!D9)</f>
        <v/>
      </c>
      <c r="B9">
        <f>IF(Moteur!B9="","",Moteur!B9)</f>
        <v/>
      </c>
      <c r="C9">
        <f>IF(Moteur!F9="","",Moteur!F9)</f>
        <v/>
      </c>
      <c r="D9">
        <f>IF(Moteur!G9="","",Moteur!G9)</f>
        <v/>
      </c>
      <c r="E9">
        <f>IF(Moteur!H9="","",Moteur!H9)</f>
        <v/>
      </c>
      <c r="F9">
        <f>IF(Moteur!E9="","",Moteur!E9)</f>
        <v/>
      </c>
      <c r="G9">
        <f>IF($A9="","",SUMIFS(Socle!$H$1:$H$379,Socle!$C$1:$C$379,$A9,Socle!$D$1:$D$379,$C9,Socle!$E$1:$E$379,$D9,Socle!$F$1:$F$379,$E9,Socle!$G$1:$G$379,"2026"))</f>
        <v/>
      </c>
      <c r="H9">
        <f>IF($A9="","",SUMIFS(Socle!$N$1:$N$379,Socle!$C$1:$C$379,$A9,Socle!$D$1:$D$379,$C9,Socle!$E$1:$E$379,$D9,Socle!$F$1:$F$379,$E9,Socle!$G$1:$G$379,"2026"))</f>
        <v/>
      </c>
      <c r="I9">
        <f>IF($A9="","",SUMIFS(Socle!$P$1:$P$379,Socle!$C$1:$C$379,$A9,Socle!$D$1:$D$379,$C9,Socle!$E$1:$E$379,$D9,Socle!$F$1:$F$379,$E9,Socle!$G$1:$G$379,"2026"))</f>
        <v/>
      </c>
      <c r="J9">
        <f>IF($A9="","",SUMIFS(Socle!$W$1:$W$379,Socle!$C$1:$C$379,$A9,Socle!$D$1:$D$379,$C9,Socle!$E$1:$E$379,$D9,Socle!$F$1:$F$379,$E9,Socle!$G$1:$G$379,"2026"))</f>
        <v/>
      </c>
      <c r="K9">
        <f>IF($A9="","",SUMIFS(Socle!$X$1:$X$379,Socle!$C$1:$C$379,$A9,Socle!$D$1:$D$379,$C9,Socle!$E$1:$E$379,$D9,Socle!$F$1:$F$379,$E9,Socle!$G$1:$G$379,"2026"))</f>
        <v/>
      </c>
      <c r="L9">
        <f>IF($A9="","",SUMIFS(Socle!$Y$1:$Y$379,Socle!$C$1:$C$379,$A9,Socle!$D$1:$D$379,$C9,Socle!$E$1:$E$379,$D9,Socle!$F$1:$F$379,$E9,Socle!$G$1:$G$379,"2026"))</f>
        <v/>
      </c>
      <c r="M9">
        <f>IF($A9="","",SUMIFS(Socle!$V$1:$V$379,Socle!$C$1:$C$379,$A9,Socle!$D$1:$D$379,$C9,Socle!$E$1:$E$379,$D9,Socle!$F$1:$F$379,$E9,Socle!$G$1:$G$379,"2026"))</f>
        <v/>
      </c>
      <c r="N9">
        <f>IF($A9="","",IF(OR($D9="B1",$D9="M1",$D9="BTS1"),1,0))</f>
        <v/>
      </c>
      <c r="O9">
        <f>IF($A9="","",SUMIFS(Campagne!$D$1:$D$28,Campagne!$C$1:$C$28,$A9))</f>
        <v/>
      </c>
      <c r="P9">
        <f>IF($A9="","",SUMIFS(Campagne!$E$1:$E$28,Campagne!$C$1:$C$28,$A9))</f>
        <v/>
      </c>
      <c r="Q9">
        <f>IF($A9="","",SUMIFS(Campagne!$F$1:$F$28,Campagne!$C$1:$C$28,$A9))</f>
        <v/>
      </c>
      <c r="R9">
        <f>IF($A9="","",SUMIFS(Campagne!$K$1:$K$28,Campagne!$C$1:$C$28,$A9))</f>
        <v/>
      </c>
      <c r="S9">
        <f>IF($A9="","",SUMIFS(Campagne!$M$1:$M$28,Campagne!$C$1:$C$28,$A9))</f>
        <v/>
      </c>
      <c r="T9">
        <f>IF($A9="","",SUMIFS(Pilotage!$K$19:$K$32,Pilotage!$A$19:$A$32,$A9)*SUMIFS(Pilotage!$J$19:$J$32,Pilotage!$A$19:$A$32,$A9)*(SUM(Pilotage!$K$19:$K$32)/SUMPRODUCT(Pilotage!$K$19:$K$32,Pilotage!$J$19:$J$32)))</f>
        <v/>
      </c>
      <c r="U9">
        <f>IF($A9="","",SUMIFS(Pilotage!$K$19:$K$32,Pilotage!$A$19:$A$32,$A9))</f>
        <v/>
      </c>
      <c r="V9">
        <f>IF($A9="","",IF($B9="V01",Cadrage!$C$22,IF($B9="V02",Cadrage!$D$22,Cadrage!$E$22)))</f>
        <v/>
      </c>
      <c r="W9">
        <f>IF($A9="","",IF($B9="V01",Cadrage!$C$23,IF($B9="V02",Cadrage!$D$23,Cadrage!$E$23)))</f>
        <v/>
      </c>
      <c r="X9">
        <f>IF($A9="","",IF($B9="V01",Cadrage!$C$24,IF($B9="V02",Cadrage!$D$24,Cadrage!$E$24)))</f>
        <v/>
      </c>
      <c r="Y9">
        <f>IF($A9="","",IF($B9="V01",Cadrage!$C$25,IF($B9="V02",Cadrage!$D$25,Cadrage!$E$25)))</f>
        <v/>
      </c>
      <c r="Z9">
        <f>IF($A9="","",IF($B9="V01",Cadrage!$C$26,IF($B9="V02",Cadrage!$D$26,Cadrage!$E$26)))</f>
        <v/>
      </c>
      <c r="AA9">
        <f>IF($A9="","",IF($B9="V01",Cadrage!$C$27,IF($B9="V02",Cadrage!$D$27,Cadrage!$E$27)))</f>
        <v/>
      </c>
      <c r="AB9">
        <f>IF($A9="","",IF($B9="V01",Cadrage!$C$39,IF($B9="V02",Cadrage!$D$39,Cadrage!$E$39)))</f>
        <v/>
      </c>
      <c r="AC9">
        <f>IF($A9="","",IF($F9="MBWAY",Cadrage!$K$11,IF($F9="ISCOM",Cadrage!$K$12,IF($F9="IPAC",Cadrage!$K$13,IF($F9="PIGIER",Cadrage!$K$14,Cadrage!$K$15)))))</f>
        <v/>
      </c>
      <c r="AD9">
        <f>IF($A9="","",($O9*(1+$W9)^$S9+$P9*IFERROR((($T9/$U9)*(1+$V9))^$R9,0))*IFERROR($G9/$Q9,0)*($J9+$Y9)*$K9*($L9+$Z9))</f>
        <v/>
      </c>
      <c r="AE9">
        <f>IF($A9="","",IF($N9=1,$AD9,0))</f>
        <v/>
      </c>
      <c r="AF9">
        <f>IF($A9="","",IF($N9=1,$AD9,$H9*($M9+$AA9)))</f>
        <v/>
      </c>
      <c r="AG9">
        <f>IF($A9="","",$I9*(1+$X9*$AC9))</f>
        <v/>
      </c>
      <c r="AH9">
        <f>IF($A9="","",$AF9*$AG9+$AE9*$AB9)</f>
        <v/>
      </c>
    </row>
    <row r="10">
      <c r="A10">
        <f>IF(Moteur!D10="","",Moteur!D10)</f>
        <v/>
      </c>
      <c r="B10">
        <f>IF(Moteur!B10="","",Moteur!B10)</f>
        <v/>
      </c>
      <c r="C10">
        <f>IF(Moteur!F10="","",Moteur!F10)</f>
        <v/>
      </c>
      <c r="D10">
        <f>IF(Moteur!G10="","",Moteur!G10)</f>
        <v/>
      </c>
      <c r="E10">
        <f>IF(Moteur!H10="","",Moteur!H10)</f>
        <v/>
      </c>
      <c r="F10">
        <f>IF(Moteur!E10="","",Moteur!E10)</f>
        <v/>
      </c>
      <c r="G10">
        <f>IF($A10="","",SUMIFS(Socle!$H$1:$H$379,Socle!$C$1:$C$379,$A10,Socle!$D$1:$D$379,$C10,Socle!$E$1:$E$379,$D10,Socle!$F$1:$F$379,$E10,Socle!$G$1:$G$379,"2026"))</f>
        <v/>
      </c>
      <c r="H10">
        <f>IF($A10="","",SUMIFS(Socle!$N$1:$N$379,Socle!$C$1:$C$379,$A10,Socle!$D$1:$D$379,$C10,Socle!$E$1:$E$379,$D10,Socle!$F$1:$F$379,$E10,Socle!$G$1:$G$379,"2026"))</f>
        <v/>
      </c>
      <c r="I10">
        <f>IF($A10="","",SUMIFS(Socle!$P$1:$P$379,Socle!$C$1:$C$379,$A10,Socle!$D$1:$D$379,$C10,Socle!$E$1:$E$379,$D10,Socle!$F$1:$F$379,$E10,Socle!$G$1:$G$379,"2026"))</f>
        <v/>
      </c>
      <c r="J10">
        <f>IF($A10="","",SUMIFS(Socle!$W$1:$W$379,Socle!$C$1:$C$379,$A10,Socle!$D$1:$D$379,$C10,Socle!$E$1:$E$379,$D10,Socle!$F$1:$F$379,$E10,Socle!$G$1:$G$379,"2026"))</f>
        <v/>
      </c>
      <c r="K10">
        <f>IF($A10="","",SUMIFS(Socle!$X$1:$X$379,Socle!$C$1:$C$379,$A10,Socle!$D$1:$D$379,$C10,Socle!$E$1:$E$379,$D10,Socle!$F$1:$F$379,$E10,Socle!$G$1:$G$379,"2026"))</f>
        <v/>
      </c>
      <c r="L10">
        <f>IF($A10="","",SUMIFS(Socle!$Y$1:$Y$379,Socle!$C$1:$C$379,$A10,Socle!$D$1:$D$379,$C10,Socle!$E$1:$E$379,$D10,Socle!$F$1:$F$379,$E10,Socle!$G$1:$G$379,"2026"))</f>
        <v/>
      </c>
      <c r="M10">
        <f>IF($A10="","",SUMIFS(Socle!$V$1:$V$379,Socle!$C$1:$C$379,$A10,Socle!$D$1:$D$379,$C10,Socle!$E$1:$E$379,$D10,Socle!$F$1:$F$379,$E10,Socle!$G$1:$G$379,"2026"))</f>
        <v/>
      </c>
      <c r="N10">
        <f>IF($A10="","",IF(OR($D10="B1",$D10="M1",$D10="BTS1"),1,0))</f>
        <v/>
      </c>
      <c r="O10">
        <f>IF($A10="","",SUMIFS(Campagne!$D$1:$D$28,Campagne!$C$1:$C$28,$A10))</f>
        <v/>
      </c>
      <c r="P10">
        <f>IF($A10="","",SUMIFS(Campagne!$E$1:$E$28,Campagne!$C$1:$C$28,$A10))</f>
        <v/>
      </c>
      <c r="Q10">
        <f>IF($A10="","",SUMIFS(Campagne!$F$1:$F$28,Campagne!$C$1:$C$28,$A10))</f>
        <v/>
      </c>
      <c r="R10">
        <f>IF($A10="","",SUMIFS(Campagne!$K$1:$K$28,Campagne!$C$1:$C$28,$A10))</f>
        <v/>
      </c>
      <c r="S10">
        <f>IF($A10="","",SUMIFS(Campagne!$M$1:$M$28,Campagne!$C$1:$C$28,$A10))</f>
        <v/>
      </c>
      <c r="T10">
        <f>IF($A10="","",SUMIFS(Pilotage!$K$19:$K$32,Pilotage!$A$19:$A$32,$A10)*SUMIFS(Pilotage!$J$19:$J$32,Pilotage!$A$19:$A$32,$A10)*(SUM(Pilotage!$K$19:$K$32)/SUMPRODUCT(Pilotage!$K$19:$K$32,Pilotage!$J$19:$J$32)))</f>
        <v/>
      </c>
      <c r="U10">
        <f>IF($A10="","",SUMIFS(Pilotage!$K$19:$K$32,Pilotage!$A$19:$A$32,$A10))</f>
        <v/>
      </c>
      <c r="V10">
        <f>IF($A10="","",IF($B10="V01",Cadrage!$C$22,IF($B10="V02",Cadrage!$D$22,Cadrage!$E$22)))</f>
        <v/>
      </c>
      <c r="W10">
        <f>IF($A10="","",IF($B10="V01",Cadrage!$C$23,IF($B10="V02",Cadrage!$D$23,Cadrage!$E$23)))</f>
        <v/>
      </c>
      <c r="X10">
        <f>IF($A10="","",IF($B10="V01",Cadrage!$C$24,IF($B10="V02",Cadrage!$D$24,Cadrage!$E$24)))</f>
        <v/>
      </c>
      <c r="Y10">
        <f>IF($A10="","",IF($B10="V01",Cadrage!$C$25,IF($B10="V02",Cadrage!$D$25,Cadrage!$E$25)))</f>
        <v/>
      </c>
      <c r="Z10">
        <f>IF($A10="","",IF($B10="V01",Cadrage!$C$26,IF($B10="V02",Cadrage!$D$26,Cadrage!$E$26)))</f>
        <v/>
      </c>
      <c r="AA10">
        <f>IF($A10="","",IF($B10="V01",Cadrage!$C$27,IF($B10="V02",Cadrage!$D$27,Cadrage!$E$27)))</f>
        <v/>
      </c>
      <c r="AB10">
        <f>IF($A10="","",IF($B10="V01",Cadrage!$C$39,IF($B10="V02",Cadrage!$D$39,Cadrage!$E$39)))</f>
        <v/>
      </c>
      <c r="AC10">
        <f>IF($A10="","",IF($F10="MBWAY",Cadrage!$K$11,IF($F10="ISCOM",Cadrage!$K$12,IF($F10="IPAC",Cadrage!$K$13,IF($F10="PIGIER",Cadrage!$K$14,Cadrage!$K$15)))))</f>
        <v/>
      </c>
      <c r="AD10">
        <f>IF($A10="","",($O10*(1+$W10)^$S10+$P10*IFERROR((($T10/$U10)*(1+$V10))^$R10,0))*IFERROR($G10/$Q10,0)*($J10+$Y10)*$K10*($L10+$Z10))</f>
        <v/>
      </c>
      <c r="AE10">
        <f>IF($A10="","",IF($N10=1,$AD10,0))</f>
        <v/>
      </c>
      <c r="AF10">
        <f>IF($A10="","",IF($N10=1,$AD10,$H10*($M10+$AA10)))</f>
        <v/>
      </c>
      <c r="AG10">
        <f>IF($A10="","",$I10*(1+$X10*$AC10))</f>
        <v/>
      </c>
      <c r="AH10">
        <f>IF($A10="","",$AF10*$AG10+$AE10*$AB10)</f>
        <v/>
      </c>
    </row>
    <row r="11">
      <c r="A11">
        <f>IF(Moteur!D11="","",Moteur!D11)</f>
        <v/>
      </c>
      <c r="B11">
        <f>IF(Moteur!B11="","",Moteur!B11)</f>
        <v/>
      </c>
      <c r="C11">
        <f>IF(Moteur!F11="","",Moteur!F11)</f>
        <v/>
      </c>
      <c r="D11">
        <f>IF(Moteur!G11="","",Moteur!G11)</f>
        <v/>
      </c>
      <c r="E11">
        <f>IF(Moteur!H11="","",Moteur!H11)</f>
        <v/>
      </c>
      <c r="F11">
        <f>IF(Moteur!E11="","",Moteur!E11)</f>
        <v/>
      </c>
      <c r="G11">
        <f>IF($A11="","",SUMIFS(Socle!$H$1:$H$379,Socle!$C$1:$C$379,$A11,Socle!$D$1:$D$379,$C11,Socle!$E$1:$E$379,$D11,Socle!$F$1:$F$379,$E11,Socle!$G$1:$G$379,"2026"))</f>
        <v/>
      </c>
      <c r="H11">
        <f>IF($A11="","",SUMIFS(Socle!$N$1:$N$379,Socle!$C$1:$C$379,$A11,Socle!$D$1:$D$379,$C11,Socle!$E$1:$E$379,$D11,Socle!$F$1:$F$379,$E11,Socle!$G$1:$G$379,"2026"))</f>
        <v/>
      </c>
      <c r="I11">
        <f>IF($A11="","",SUMIFS(Socle!$P$1:$P$379,Socle!$C$1:$C$379,$A11,Socle!$D$1:$D$379,$C11,Socle!$E$1:$E$379,$D11,Socle!$F$1:$F$379,$E11,Socle!$G$1:$G$379,"2026"))</f>
        <v/>
      </c>
      <c r="J11">
        <f>IF($A11="","",SUMIFS(Socle!$W$1:$W$379,Socle!$C$1:$C$379,$A11,Socle!$D$1:$D$379,$C11,Socle!$E$1:$E$379,$D11,Socle!$F$1:$F$379,$E11,Socle!$G$1:$G$379,"2026"))</f>
        <v/>
      </c>
      <c r="K11">
        <f>IF($A11="","",SUMIFS(Socle!$X$1:$X$379,Socle!$C$1:$C$379,$A11,Socle!$D$1:$D$379,$C11,Socle!$E$1:$E$379,$D11,Socle!$F$1:$F$379,$E11,Socle!$G$1:$G$379,"2026"))</f>
        <v/>
      </c>
      <c r="L11">
        <f>IF($A11="","",SUMIFS(Socle!$Y$1:$Y$379,Socle!$C$1:$C$379,$A11,Socle!$D$1:$D$379,$C11,Socle!$E$1:$E$379,$D11,Socle!$F$1:$F$379,$E11,Socle!$G$1:$G$379,"2026"))</f>
        <v/>
      </c>
      <c r="M11">
        <f>IF($A11="","",SUMIFS(Socle!$V$1:$V$379,Socle!$C$1:$C$379,$A11,Socle!$D$1:$D$379,$C11,Socle!$E$1:$E$379,$D11,Socle!$F$1:$F$379,$E11,Socle!$G$1:$G$379,"2026"))</f>
        <v/>
      </c>
      <c r="N11">
        <f>IF($A11="","",IF(OR($D11="B1",$D11="M1",$D11="BTS1"),1,0))</f>
        <v/>
      </c>
      <c r="O11">
        <f>IF($A11="","",SUMIFS(Campagne!$D$1:$D$28,Campagne!$C$1:$C$28,$A11))</f>
        <v/>
      </c>
      <c r="P11">
        <f>IF($A11="","",SUMIFS(Campagne!$E$1:$E$28,Campagne!$C$1:$C$28,$A11))</f>
        <v/>
      </c>
      <c r="Q11">
        <f>IF($A11="","",SUMIFS(Campagne!$F$1:$F$28,Campagne!$C$1:$C$28,$A11))</f>
        <v/>
      </c>
      <c r="R11">
        <f>IF($A11="","",SUMIFS(Campagne!$K$1:$K$28,Campagne!$C$1:$C$28,$A11))</f>
        <v/>
      </c>
      <c r="S11">
        <f>IF($A11="","",SUMIFS(Campagne!$M$1:$M$28,Campagne!$C$1:$C$28,$A11))</f>
        <v/>
      </c>
      <c r="T11">
        <f>IF($A11="","",SUMIFS(Pilotage!$K$19:$K$32,Pilotage!$A$19:$A$32,$A11)*SUMIFS(Pilotage!$J$19:$J$32,Pilotage!$A$19:$A$32,$A11)*(SUM(Pilotage!$K$19:$K$32)/SUMPRODUCT(Pilotage!$K$19:$K$32,Pilotage!$J$19:$J$32)))</f>
        <v/>
      </c>
      <c r="U11">
        <f>IF($A11="","",SUMIFS(Pilotage!$K$19:$K$32,Pilotage!$A$19:$A$32,$A11))</f>
        <v/>
      </c>
      <c r="V11">
        <f>IF($A11="","",IF($B11="V01",Cadrage!$C$22,IF($B11="V02",Cadrage!$D$22,Cadrage!$E$22)))</f>
        <v/>
      </c>
      <c r="W11">
        <f>IF($A11="","",IF($B11="V01",Cadrage!$C$23,IF($B11="V02",Cadrage!$D$23,Cadrage!$E$23)))</f>
        <v/>
      </c>
      <c r="X11">
        <f>IF($A11="","",IF($B11="V01",Cadrage!$C$24,IF($B11="V02",Cadrage!$D$24,Cadrage!$E$24)))</f>
        <v/>
      </c>
      <c r="Y11">
        <f>IF($A11="","",IF($B11="V01",Cadrage!$C$25,IF($B11="V02",Cadrage!$D$25,Cadrage!$E$25)))</f>
        <v/>
      </c>
      <c r="Z11">
        <f>IF($A11="","",IF($B11="V01",Cadrage!$C$26,IF($B11="V02",Cadrage!$D$26,Cadrage!$E$26)))</f>
        <v/>
      </c>
      <c r="AA11">
        <f>IF($A11="","",IF($B11="V01",Cadrage!$C$27,IF($B11="V02",Cadrage!$D$27,Cadrage!$E$27)))</f>
        <v/>
      </c>
      <c r="AB11">
        <f>IF($A11="","",IF($B11="V01",Cadrage!$C$39,IF($B11="V02",Cadrage!$D$39,Cadrage!$E$39)))</f>
        <v/>
      </c>
      <c r="AC11">
        <f>IF($A11="","",IF($F11="MBWAY",Cadrage!$K$11,IF($F11="ISCOM",Cadrage!$K$12,IF($F11="IPAC",Cadrage!$K$13,IF($F11="PIGIER",Cadrage!$K$14,Cadrage!$K$15)))))</f>
        <v/>
      </c>
      <c r="AD11">
        <f>IF($A11="","",($O11*(1+$W11)^$S11+$P11*IFERROR((($T11/$U11)*(1+$V11))^$R11,0))*IFERROR($G11/$Q11,0)*($J11+$Y11)*$K11*($L11+$Z11))</f>
        <v/>
      </c>
      <c r="AE11">
        <f>IF($A11="","",IF($N11=1,$AD11,0))</f>
        <v/>
      </c>
      <c r="AF11">
        <f>IF($A11="","",IF($N11=1,$AD11,$H11*($M11+$AA11)))</f>
        <v/>
      </c>
      <c r="AG11">
        <f>IF($A11="","",$I11*(1+$X11*$AC11))</f>
        <v/>
      </c>
      <c r="AH11">
        <f>IF($A11="","",$AF11*$AG11+$AE11*$AB11)</f>
        <v/>
      </c>
    </row>
    <row r="12">
      <c r="A12">
        <f>IF(Moteur!D12="","",Moteur!D12)</f>
        <v/>
      </c>
      <c r="B12">
        <f>IF(Moteur!B12="","",Moteur!B12)</f>
        <v/>
      </c>
      <c r="C12">
        <f>IF(Moteur!F12="","",Moteur!F12)</f>
        <v/>
      </c>
      <c r="D12">
        <f>IF(Moteur!G12="","",Moteur!G12)</f>
        <v/>
      </c>
      <c r="E12">
        <f>IF(Moteur!H12="","",Moteur!H12)</f>
        <v/>
      </c>
      <c r="F12">
        <f>IF(Moteur!E12="","",Moteur!E12)</f>
        <v/>
      </c>
      <c r="G12">
        <f>IF($A12="","",SUMIFS(Socle!$H$1:$H$379,Socle!$C$1:$C$379,$A12,Socle!$D$1:$D$379,$C12,Socle!$E$1:$E$379,$D12,Socle!$F$1:$F$379,$E12,Socle!$G$1:$G$379,"2026"))</f>
        <v/>
      </c>
      <c r="H12">
        <f>IF($A12="","",SUMIFS(Socle!$N$1:$N$379,Socle!$C$1:$C$379,$A12,Socle!$D$1:$D$379,$C12,Socle!$E$1:$E$379,$D12,Socle!$F$1:$F$379,$E12,Socle!$G$1:$G$379,"2026"))</f>
        <v/>
      </c>
      <c r="I12">
        <f>IF($A12="","",SUMIFS(Socle!$P$1:$P$379,Socle!$C$1:$C$379,$A12,Socle!$D$1:$D$379,$C12,Socle!$E$1:$E$379,$D12,Socle!$F$1:$F$379,$E12,Socle!$G$1:$G$379,"2026"))</f>
        <v/>
      </c>
      <c r="J12">
        <f>IF($A12="","",SUMIFS(Socle!$W$1:$W$379,Socle!$C$1:$C$379,$A12,Socle!$D$1:$D$379,$C12,Socle!$E$1:$E$379,$D12,Socle!$F$1:$F$379,$E12,Socle!$G$1:$G$379,"2026"))</f>
        <v/>
      </c>
      <c r="K12">
        <f>IF($A12="","",SUMIFS(Socle!$X$1:$X$379,Socle!$C$1:$C$379,$A12,Socle!$D$1:$D$379,$C12,Socle!$E$1:$E$379,$D12,Socle!$F$1:$F$379,$E12,Socle!$G$1:$G$379,"2026"))</f>
        <v/>
      </c>
      <c r="L12">
        <f>IF($A12="","",SUMIFS(Socle!$Y$1:$Y$379,Socle!$C$1:$C$379,$A12,Socle!$D$1:$D$379,$C12,Socle!$E$1:$E$379,$D12,Socle!$F$1:$F$379,$E12,Socle!$G$1:$G$379,"2026"))</f>
        <v/>
      </c>
      <c r="M12">
        <f>IF($A12="","",SUMIFS(Socle!$V$1:$V$379,Socle!$C$1:$C$379,$A12,Socle!$D$1:$D$379,$C12,Socle!$E$1:$E$379,$D12,Socle!$F$1:$F$379,$E12,Socle!$G$1:$G$379,"2026"))</f>
        <v/>
      </c>
      <c r="N12">
        <f>IF($A12="","",IF(OR($D12="B1",$D12="M1",$D12="BTS1"),1,0))</f>
        <v/>
      </c>
      <c r="O12">
        <f>IF($A12="","",SUMIFS(Campagne!$D$1:$D$28,Campagne!$C$1:$C$28,$A12))</f>
        <v/>
      </c>
      <c r="P12">
        <f>IF($A12="","",SUMIFS(Campagne!$E$1:$E$28,Campagne!$C$1:$C$28,$A12))</f>
        <v/>
      </c>
      <c r="Q12">
        <f>IF($A12="","",SUMIFS(Campagne!$F$1:$F$28,Campagne!$C$1:$C$28,$A12))</f>
        <v/>
      </c>
      <c r="R12">
        <f>IF($A12="","",SUMIFS(Campagne!$K$1:$K$28,Campagne!$C$1:$C$28,$A12))</f>
        <v/>
      </c>
      <c r="S12">
        <f>IF($A12="","",SUMIFS(Campagne!$M$1:$M$28,Campagne!$C$1:$C$28,$A12))</f>
        <v/>
      </c>
      <c r="T12">
        <f>IF($A12="","",SUMIFS(Pilotage!$K$19:$K$32,Pilotage!$A$19:$A$32,$A12)*SUMIFS(Pilotage!$J$19:$J$32,Pilotage!$A$19:$A$32,$A12)*(SUM(Pilotage!$K$19:$K$32)/SUMPRODUCT(Pilotage!$K$19:$K$32,Pilotage!$J$19:$J$32)))</f>
        <v/>
      </c>
      <c r="U12">
        <f>IF($A12="","",SUMIFS(Pilotage!$K$19:$K$32,Pilotage!$A$19:$A$32,$A12))</f>
        <v/>
      </c>
      <c r="V12">
        <f>IF($A12="","",IF($B12="V01",Cadrage!$C$22,IF($B12="V02",Cadrage!$D$22,Cadrage!$E$22)))</f>
        <v/>
      </c>
      <c r="W12">
        <f>IF($A12="","",IF($B12="V01",Cadrage!$C$23,IF($B12="V02",Cadrage!$D$23,Cadrage!$E$23)))</f>
        <v/>
      </c>
      <c r="X12">
        <f>IF($A12="","",IF($B12="V01",Cadrage!$C$24,IF($B12="V02",Cadrage!$D$24,Cadrage!$E$24)))</f>
        <v/>
      </c>
      <c r="Y12">
        <f>IF($A12="","",IF($B12="V01",Cadrage!$C$25,IF($B12="V02",Cadrage!$D$25,Cadrage!$E$25)))</f>
        <v/>
      </c>
      <c r="Z12">
        <f>IF($A12="","",IF($B12="V01",Cadrage!$C$26,IF($B12="V02",Cadrage!$D$26,Cadrage!$E$26)))</f>
        <v/>
      </c>
      <c r="AA12">
        <f>IF($A12="","",IF($B12="V01",Cadrage!$C$27,IF($B12="V02",Cadrage!$D$27,Cadrage!$E$27)))</f>
        <v/>
      </c>
      <c r="AB12">
        <f>IF($A12="","",IF($B12="V01",Cadrage!$C$39,IF($B12="V02",Cadrage!$D$39,Cadrage!$E$39)))</f>
        <v/>
      </c>
      <c r="AC12">
        <f>IF($A12="","",IF($F12="MBWAY",Cadrage!$K$11,IF($F12="ISCOM",Cadrage!$K$12,IF($F12="IPAC",Cadrage!$K$13,IF($F12="PIGIER",Cadrage!$K$14,Cadrage!$K$15)))))</f>
        <v/>
      </c>
      <c r="AD12">
        <f>IF($A12="","",($O12*(1+$W12)^$S12+$P12*IFERROR((($T12/$U12)*(1+$V12))^$R12,0))*IFERROR($G12/$Q12,0)*($J12+$Y12)*$K12*($L12+$Z12))</f>
        <v/>
      </c>
      <c r="AE12">
        <f>IF($A12="","",IF($N12=1,$AD12,0))</f>
        <v/>
      </c>
      <c r="AF12">
        <f>IF($A12="","",IF($N12=1,$AD12,$H12*($M12+$AA12)))</f>
        <v/>
      </c>
      <c r="AG12">
        <f>IF($A12="","",$I12*(1+$X12*$AC12))</f>
        <v/>
      </c>
      <c r="AH12">
        <f>IF($A12="","",$AF12*$AG12+$AE12*$AB12)</f>
        <v/>
      </c>
    </row>
    <row r="13">
      <c r="A13">
        <f>IF(Moteur!D13="","",Moteur!D13)</f>
        <v/>
      </c>
      <c r="B13">
        <f>IF(Moteur!B13="","",Moteur!B13)</f>
        <v/>
      </c>
      <c r="C13">
        <f>IF(Moteur!F13="","",Moteur!F13)</f>
        <v/>
      </c>
      <c r="D13">
        <f>IF(Moteur!G13="","",Moteur!G13)</f>
        <v/>
      </c>
      <c r="E13">
        <f>IF(Moteur!H13="","",Moteur!H13)</f>
        <v/>
      </c>
      <c r="F13">
        <f>IF(Moteur!E13="","",Moteur!E13)</f>
        <v/>
      </c>
      <c r="G13">
        <f>IF($A13="","",SUMIFS(Socle!$H$1:$H$379,Socle!$C$1:$C$379,$A13,Socle!$D$1:$D$379,$C13,Socle!$E$1:$E$379,$D13,Socle!$F$1:$F$379,$E13,Socle!$G$1:$G$379,"2026"))</f>
        <v/>
      </c>
      <c r="H13">
        <f>IF($A13="","",SUMIFS(Socle!$N$1:$N$379,Socle!$C$1:$C$379,$A13,Socle!$D$1:$D$379,$C13,Socle!$E$1:$E$379,$D13,Socle!$F$1:$F$379,$E13,Socle!$G$1:$G$379,"2026"))</f>
        <v/>
      </c>
      <c r="I13">
        <f>IF($A13="","",SUMIFS(Socle!$P$1:$P$379,Socle!$C$1:$C$379,$A13,Socle!$D$1:$D$379,$C13,Socle!$E$1:$E$379,$D13,Socle!$F$1:$F$379,$E13,Socle!$G$1:$G$379,"2026"))</f>
        <v/>
      </c>
      <c r="J13">
        <f>IF($A13="","",SUMIFS(Socle!$W$1:$W$379,Socle!$C$1:$C$379,$A13,Socle!$D$1:$D$379,$C13,Socle!$E$1:$E$379,$D13,Socle!$F$1:$F$379,$E13,Socle!$G$1:$G$379,"2026"))</f>
        <v/>
      </c>
      <c r="K13">
        <f>IF($A13="","",SUMIFS(Socle!$X$1:$X$379,Socle!$C$1:$C$379,$A13,Socle!$D$1:$D$379,$C13,Socle!$E$1:$E$379,$D13,Socle!$F$1:$F$379,$E13,Socle!$G$1:$G$379,"2026"))</f>
        <v/>
      </c>
      <c r="L13">
        <f>IF($A13="","",SUMIFS(Socle!$Y$1:$Y$379,Socle!$C$1:$C$379,$A13,Socle!$D$1:$D$379,$C13,Socle!$E$1:$E$379,$D13,Socle!$F$1:$F$379,$E13,Socle!$G$1:$G$379,"2026"))</f>
        <v/>
      </c>
      <c r="M13">
        <f>IF($A13="","",SUMIFS(Socle!$V$1:$V$379,Socle!$C$1:$C$379,$A13,Socle!$D$1:$D$379,$C13,Socle!$E$1:$E$379,$D13,Socle!$F$1:$F$379,$E13,Socle!$G$1:$G$379,"2026"))</f>
        <v/>
      </c>
      <c r="N13">
        <f>IF($A13="","",IF(OR($D13="B1",$D13="M1",$D13="BTS1"),1,0))</f>
        <v/>
      </c>
      <c r="O13">
        <f>IF($A13="","",SUMIFS(Campagne!$D$1:$D$28,Campagne!$C$1:$C$28,$A13))</f>
        <v/>
      </c>
      <c r="P13">
        <f>IF($A13="","",SUMIFS(Campagne!$E$1:$E$28,Campagne!$C$1:$C$28,$A13))</f>
        <v/>
      </c>
      <c r="Q13">
        <f>IF($A13="","",SUMIFS(Campagne!$F$1:$F$28,Campagne!$C$1:$C$28,$A13))</f>
        <v/>
      </c>
      <c r="R13">
        <f>IF($A13="","",SUMIFS(Campagne!$K$1:$K$28,Campagne!$C$1:$C$28,$A13))</f>
        <v/>
      </c>
      <c r="S13">
        <f>IF($A13="","",SUMIFS(Campagne!$M$1:$M$28,Campagne!$C$1:$C$28,$A13))</f>
        <v/>
      </c>
      <c r="T13">
        <f>IF($A13="","",SUMIFS(Pilotage!$K$19:$K$32,Pilotage!$A$19:$A$32,$A13)*SUMIFS(Pilotage!$J$19:$J$32,Pilotage!$A$19:$A$32,$A13)*(SUM(Pilotage!$K$19:$K$32)/SUMPRODUCT(Pilotage!$K$19:$K$32,Pilotage!$J$19:$J$32)))</f>
        <v/>
      </c>
      <c r="U13">
        <f>IF($A13="","",SUMIFS(Pilotage!$K$19:$K$32,Pilotage!$A$19:$A$32,$A13))</f>
        <v/>
      </c>
      <c r="V13">
        <f>IF($A13="","",IF($B13="V01",Cadrage!$C$22,IF($B13="V02",Cadrage!$D$22,Cadrage!$E$22)))</f>
        <v/>
      </c>
      <c r="W13">
        <f>IF($A13="","",IF($B13="V01",Cadrage!$C$23,IF($B13="V02",Cadrage!$D$23,Cadrage!$E$23)))</f>
        <v/>
      </c>
      <c r="X13">
        <f>IF($A13="","",IF($B13="V01",Cadrage!$C$24,IF($B13="V02",Cadrage!$D$24,Cadrage!$E$24)))</f>
        <v/>
      </c>
      <c r="Y13">
        <f>IF($A13="","",IF($B13="V01",Cadrage!$C$25,IF($B13="V02",Cadrage!$D$25,Cadrage!$E$25)))</f>
        <v/>
      </c>
      <c r="Z13">
        <f>IF($A13="","",IF($B13="V01",Cadrage!$C$26,IF($B13="V02",Cadrage!$D$26,Cadrage!$E$26)))</f>
        <v/>
      </c>
      <c r="AA13">
        <f>IF($A13="","",IF($B13="V01",Cadrage!$C$27,IF($B13="V02",Cadrage!$D$27,Cadrage!$E$27)))</f>
        <v/>
      </c>
      <c r="AB13">
        <f>IF($A13="","",IF($B13="V01",Cadrage!$C$39,IF($B13="V02",Cadrage!$D$39,Cadrage!$E$39)))</f>
        <v/>
      </c>
      <c r="AC13">
        <f>IF($A13="","",IF($F13="MBWAY",Cadrage!$K$11,IF($F13="ISCOM",Cadrage!$K$12,IF($F13="IPAC",Cadrage!$K$13,IF($F13="PIGIER",Cadrage!$K$14,Cadrage!$K$15)))))</f>
        <v/>
      </c>
      <c r="AD13">
        <f>IF($A13="","",($O13*(1+$W13)^$S13+$P13*IFERROR((($T13/$U13)*(1+$V13))^$R13,0))*IFERROR($G13/$Q13,0)*($J13+$Y13)*$K13*($L13+$Z13))</f>
        <v/>
      </c>
      <c r="AE13">
        <f>IF($A13="","",IF($N13=1,$AD13,0))</f>
        <v/>
      </c>
      <c r="AF13">
        <f>IF($A13="","",IF($N13=1,$AD13,$H13*($M13+$AA13)))</f>
        <v/>
      </c>
      <c r="AG13">
        <f>IF($A13="","",$I13*(1+$X13*$AC13))</f>
        <v/>
      </c>
      <c r="AH13">
        <f>IF($A13="","",$AF13*$AG13+$AE13*$AB13)</f>
        <v/>
      </c>
    </row>
    <row r="14">
      <c r="A14">
        <f>IF(Moteur!D14="","",Moteur!D14)</f>
        <v/>
      </c>
      <c r="B14">
        <f>IF(Moteur!B14="","",Moteur!B14)</f>
        <v/>
      </c>
      <c r="C14">
        <f>IF(Moteur!F14="","",Moteur!F14)</f>
        <v/>
      </c>
      <c r="D14">
        <f>IF(Moteur!G14="","",Moteur!G14)</f>
        <v/>
      </c>
      <c r="E14">
        <f>IF(Moteur!H14="","",Moteur!H14)</f>
        <v/>
      </c>
      <c r="F14">
        <f>IF(Moteur!E14="","",Moteur!E14)</f>
        <v/>
      </c>
      <c r="G14">
        <f>IF($A14="","",SUMIFS(Socle!$H$1:$H$379,Socle!$C$1:$C$379,$A14,Socle!$D$1:$D$379,$C14,Socle!$E$1:$E$379,$D14,Socle!$F$1:$F$379,$E14,Socle!$G$1:$G$379,"2026"))</f>
        <v/>
      </c>
      <c r="H14">
        <f>IF($A14="","",SUMIFS(Socle!$N$1:$N$379,Socle!$C$1:$C$379,$A14,Socle!$D$1:$D$379,$C14,Socle!$E$1:$E$379,$D14,Socle!$F$1:$F$379,$E14,Socle!$G$1:$G$379,"2026"))</f>
        <v/>
      </c>
      <c r="I14">
        <f>IF($A14="","",SUMIFS(Socle!$P$1:$P$379,Socle!$C$1:$C$379,$A14,Socle!$D$1:$D$379,$C14,Socle!$E$1:$E$379,$D14,Socle!$F$1:$F$379,$E14,Socle!$G$1:$G$379,"2026"))</f>
        <v/>
      </c>
      <c r="J14">
        <f>IF($A14="","",SUMIFS(Socle!$W$1:$W$379,Socle!$C$1:$C$379,$A14,Socle!$D$1:$D$379,$C14,Socle!$E$1:$E$379,$D14,Socle!$F$1:$F$379,$E14,Socle!$G$1:$G$379,"2026"))</f>
        <v/>
      </c>
      <c r="K14">
        <f>IF($A14="","",SUMIFS(Socle!$X$1:$X$379,Socle!$C$1:$C$379,$A14,Socle!$D$1:$D$379,$C14,Socle!$E$1:$E$379,$D14,Socle!$F$1:$F$379,$E14,Socle!$G$1:$G$379,"2026"))</f>
        <v/>
      </c>
      <c r="L14">
        <f>IF($A14="","",SUMIFS(Socle!$Y$1:$Y$379,Socle!$C$1:$C$379,$A14,Socle!$D$1:$D$379,$C14,Socle!$E$1:$E$379,$D14,Socle!$F$1:$F$379,$E14,Socle!$G$1:$G$379,"2026"))</f>
        <v/>
      </c>
      <c r="M14">
        <f>IF($A14="","",SUMIFS(Socle!$V$1:$V$379,Socle!$C$1:$C$379,$A14,Socle!$D$1:$D$379,$C14,Socle!$E$1:$E$379,$D14,Socle!$F$1:$F$379,$E14,Socle!$G$1:$G$379,"2026"))</f>
        <v/>
      </c>
      <c r="N14">
        <f>IF($A14="","",IF(OR($D14="B1",$D14="M1",$D14="BTS1"),1,0))</f>
        <v/>
      </c>
      <c r="O14">
        <f>IF($A14="","",SUMIFS(Campagne!$D$1:$D$28,Campagne!$C$1:$C$28,$A14))</f>
        <v/>
      </c>
      <c r="P14">
        <f>IF($A14="","",SUMIFS(Campagne!$E$1:$E$28,Campagne!$C$1:$C$28,$A14))</f>
        <v/>
      </c>
      <c r="Q14">
        <f>IF($A14="","",SUMIFS(Campagne!$F$1:$F$28,Campagne!$C$1:$C$28,$A14))</f>
        <v/>
      </c>
      <c r="R14">
        <f>IF($A14="","",SUMIFS(Campagne!$K$1:$K$28,Campagne!$C$1:$C$28,$A14))</f>
        <v/>
      </c>
      <c r="S14">
        <f>IF($A14="","",SUMIFS(Campagne!$M$1:$M$28,Campagne!$C$1:$C$28,$A14))</f>
        <v/>
      </c>
      <c r="T14">
        <f>IF($A14="","",SUMIFS(Pilotage!$K$19:$K$32,Pilotage!$A$19:$A$32,$A14)*SUMIFS(Pilotage!$J$19:$J$32,Pilotage!$A$19:$A$32,$A14)*(SUM(Pilotage!$K$19:$K$32)/SUMPRODUCT(Pilotage!$K$19:$K$32,Pilotage!$J$19:$J$32)))</f>
        <v/>
      </c>
      <c r="U14">
        <f>IF($A14="","",SUMIFS(Pilotage!$K$19:$K$32,Pilotage!$A$19:$A$32,$A14))</f>
        <v/>
      </c>
      <c r="V14">
        <f>IF($A14="","",IF($B14="V01",Cadrage!$C$22,IF($B14="V02",Cadrage!$D$22,Cadrage!$E$22)))</f>
        <v/>
      </c>
      <c r="W14">
        <f>IF($A14="","",IF($B14="V01",Cadrage!$C$23,IF($B14="V02",Cadrage!$D$23,Cadrage!$E$23)))</f>
        <v/>
      </c>
      <c r="X14">
        <f>IF($A14="","",IF($B14="V01",Cadrage!$C$24,IF($B14="V02",Cadrage!$D$24,Cadrage!$E$24)))</f>
        <v/>
      </c>
      <c r="Y14">
        <f>IF($A14="","",IF($B14="V01",Cadrage!$C$25,IF($B14="V02",Cadrage!$D$25,Cadrage!$E$25)))</f>
        <v/>
      </c>
      <c r="Z14">
        <f>IF($A14="","",IF($B14="V01",Cadrage!$C$26,IF($B14="V02",Cadrage!$D$26,Cadrage!$E$26)))</f>
        <v/>
      </c>
      <c r="AA14">
        <f>IF($A14="","",IF($B14="V01",Cadrage!$C$27,IF($B14="V02",Cadrage!$D$27,Cadrage!$E$27)))</f>
        <v/>
      </c>
      <c r="AB14">
        <f>IF($A14="","",IF($B14="V01",Cadrage!$C$39,IF($B14="V02",Cadrage!$D$39,Cadrage!$E$39)))</f>
        <v/>
      </c>
      <c r="AC14">
        <f>IF($A14="","",IF($F14="MBWAY",Cadrage!$K$11,IF($F14="ISCOM",Cadrage!$K$12,IF($F14="IPAC",Cadrage!$K$13,IF($F14="PIGIER",Cadrage!$K$14,Cadrage!$K$15)))))</f>
        <v/>
      </c>
      <c r="AD14">
        <f>IF($A14="","",($O14*(1+$W14)^$S14+$P14*IFERROR((($T14/$U14)*(1+$V14))^$R14,0))*IFERROR($G14/$Q14,0)*($J14+$Y14)*$K14*($L14+$Z14))</f>
        <v/>
      </c>
      <c r="AE14">
        <f>IF($A14="","",IF($N14=1,$AD14,0))</f>
        <v/>
      </c>
      <c r="AF14">
        <f>IF($A14="","",IF($N14=1,$AD14,$H14*($M14+$AA14)))</f>
        <v/>
      </c>
      <c r="AG14">
        <f>IF($A14="","",$I14*(1+$X14*$AC14))</f>
        <v/>
      </c>
      <c r="AH14">
        <f>IF($A14="","",$AF14*$AG14+$AE14*$AB14)</f>
        <v/>
      </c>
    </row>
    <row r="15">
      <c r="A15">
        <f>IF(Moteur!D15="","",Moteur!D15)</f>
        <v/>
      </c>
      <c r="B15">
        <f>IF(Moteur!B15="","",Moteur!B15)</f>
        <v/>
      </c>
      <c r="C15">
        <f>IF(Moteur!F15="","",Moteur!F15)</f>
        <v/>
      </c>
      <c r="D15">
        <f>IF(Moteur!G15="","",Moteur!G15)</f>
        <v/>
      </c>
      <c r="E15">
        <f>IF(Moteur!H15="","",Moteur!H15)</f>
        <v/>
      </c>
      <c r="F15">
        <f>IF(Moteur!E15="","",Moteur!E15)</f>
        <v/>
      </c>
      <c r="G15">
        <f>IF($A15="","",SUMIFS(Socle!$H$1:$H$379,Socle!$C$1:$C$379,$A15,Socle!$D$1:$D$379,$C15,Socle!$E$1:$E$379,$D15,Socle!$F$1:$F$379,$E15,Socle!$G$1:$G$379,"2026"))</f>
        <v/>
      </c>
      <c r="H15">
        <f>IF($A15="","",SUMIFS(Socle!$N$1:$N$379,Socle!$C$1:$C$379,$A15,Socle!$D$1:$D$379,$C15,Socle!$E$1:$E$379,$D15,Socle!$F$1:$F$379,$E15,Socle!$G$1:$G$379,"2026"))</f>
        <v/>
      </c>
      <c r="I15">
        <f>IF($A15="","",SUMIFS(Socle!$P$1:$P$379,Socle!$C$1:$C$379,$A15,Socle!$D$1:$D$379,$C15,Socle!$E$1:$E$379,$D15,Socle!$F$1:$F$379,$E15,Socle!$G$1:$G$379,"2026"))</f>
        <v/>
      </c>
      <c r="J15">
        <f>IF($A15="","",SUMIFS(Socle!$W$1:$W$379,Socle!$C$1:$C$379,$A15,Socle!$D$1:$D$379,$C15,Socle!$E$1:$E$379,$D15,Socle!$F$1:$F$379,$E15,Socle!$G$1:$G$379,"2026"))</f>
        <v/>
      </c>
      <c r="K15">
        <f>IF($A15="","",SUMIFS(Socle!$X$1:$X$379,Socle!$C$1:$C$379,$A15,Socle!$D$1:$D$379,$C15,Socle!$E$1:$E$379,$D15,Socle!$F$1:$F$379,$E15,Socle!$G$1:$G$379,"2026"))</f>
        <v/>
      </c>
      <c r="L15">
        <f>IF($A15="","",SUMIFS(Socle!$Y$1:$Y$379,Socle!$C$1:$C$379,$A15,Socle!$D$1:$D$379,$C15,Socle!$E$1:$E$379,$D15,Socle!$F$1:$F$379,$E15,Socle!$G$1:$G$379,"2026"))</f>
        <v/>
      </c>
      <c r="M15">
        <f>IF($A15="","",SUMIFS(Socle!$V$1:$V$379,Socle!$C$1:$C$379,$A15,Socle!$D$1:$D$379,$C15,Socle!$E$1:$E$379,$D15,Socle!$F$1:$F$379,$E15,Socle!$G$1:$G$379,"2026"))</f>
        <v/>
      </c>
      <c r="N15">
        <f>IF($A15="","",IF(OR($D15="B1",$D15="M1",$D15="BTS1"),1,0))</f>
        <v/>
      </c>
      <c r="O15">
        <f>IF($A15="","",SUMIFS(Campagne!$D$1:$D$28,Campagne!$C$1:$C$28,$A15))</f>
        <v/>
      </c>
      <c r="P15">
        <f>IF($A15="","",SUMIFS(Campagne!$E$1:$E$28,Campagne!$C$1:$C$28,$A15))</f>
        <v/>
      </c>
      <c r="Q15">
        <f>IF($A15="","",SUMIFS(Campagne!$F$1:$F$28,Campagne!$C$1:$C$28,$A15))</f>
        <v/>
      </c>
      <c r="R15">
        <f>IF($A15="","",SUMIFS(Campagne!$K$1:$K$28,Campagne!$C$1:$C$28,$A15))</f>
        <v/>
      </c>
      <c r="S15">
        <f>IF($A15="","",SUMIFS(Campagne!$M$1:$M$28,Campagne!$C$1:$C$28,$A15))</f>
        <v/>
      </c>
      <c r="T15">
        <f>IF($A15="","",SUMIFS(Pilotage!$K$19:$K$32,Pilotage!$A$19:$A$32,$A15)*SUMIFS(Pilotage!$J$19:$J$32,Pilotage!$A$19:$A$32,$A15)*(SUM(Pilotage!$K$19:$K$32)/SUMPRODUCT(Pilotage!$K$19:$K$32,Pilotage!$J$19:$J$32)))</f>
        <v/>
      </c>
      <c r="U15">
        <f>IF($A15="","",SUMIFS(Pilotage!$K$19:$K$32,Pilotage!$A$19:$A$32,$A15))</f>
        <v/>
      </c>
      <c r="V15">
        <f>IF($A15="","",IF($B15="V01",Cadrage!$C$22,IF($B15="V02",Cadrage!$D$22,Cadrage!$E$22)))</f>
        <v/>
      </c>
      <c r="W15">
        <f>IF($A15="","",IF($B15="V01",Cadrage!$C$23,IF($B15="V02",Cadrage!$D$23,Cadrage!$E$23)))</f>
        <v/>
      </c>
      <c r="X15">
        <f>IF($A15="","",IF($B15="V01",Cadrage!$C$24,IF($B15="V02",Cadrage!$D$24,Cadrage!$E$24)))</f>
        <v/>
      </c>
      <c r="Y15">
        <f>IF($A15="","",IF($B15="V01",Cadrage!$C$25,IF($B15="V02",Cadrage!$D$25,Cadrage!$E$25)))</f>
        <v/>
      </c>
      <c r="Z15">
        <f>IF($A15="","",IF($B15="V01",Cadrage!$C$26,IF($B15="V02",Cadrage!$D$26,Cadrage!$E$26)))</f>
        <v/>
      </c>
      <c r="AA15">
        <f>IF($A15="","",IF($B15="V01",Cadrage!$C$27,IF($B15="V02",Cadrage!$D$27,Cadrage!$E$27)))</f>
        <v/>
      </c>
      <c r="AB15">
        <f>IF($A15="","",IF($B15="V01",Cadrage!$C$39,IF($B15="V02",Cadrage!$D$39,Cadrage!$E$39)))</f>
        <v/>
      </c>
      <c r="AC15">
        <f>IF($A15="","",IF($F15="MBWAY",Cadrage!$K$11,IF($F15="ISCOM",Cadrage!$K$12,IF($F15="IPAC",Cadrage!$K$13,IF($F15="PIGIER",Cadrage!$K$14,Cadrage!$K$15)))))</f>
        <v/>
      </c>
      <c r="AD15">
        <f>IF($A15="","",($O15*(1+$W15)^$S15+$P15*IFERROR((($T15/$U15)*(1+$V15))^$R15,0))*IFERROR($G15/$Q15,0)*($J15+$Y15)*$K15*($L15+$Z15))</f>
        <v/>
      </c>
      <c r="AE15">
        <f>IF($A15="","",IF($N15=1,$AD15,0))</f>
        <v/>
      </c>
      <c r="AF15">
        <f>IF($A15="","",IF($N15=1,$AD15,$H15*($M15+$AA15)))</f>
        <v/>
      </c>
      <c r="AG15">
        <f>IF($A15="","",$I15*(1+$X15*$AC15))</f>
        <v/>
      </c>
      <c r="AH15">
        <f>IF($A15="","",$AF15*$AG15+$AE15*$AB15)</f>
        <v/>
      </c>
    </row>
    <row r="16">
      <c r="A16">
        <f>IF(Moteur!D16="","",Moteur!D16)</f>
        <v/>
      </c>
      <c r="B16">
        <f>IF(Moteur!B16="","",Moteur!B16)</f>
        <v/>
      </c>
      <c r="C16">
        <f>IF(Moteur!F16="","",Moteur!F16)</f>
        <v/>
      </c>
      <c r="D16">
        <f>IF(Moteur!G16="","",Moteur!G16)</f>
        <v/>
      </c>
      <c r="E16">
        <f>IF(Moteur!H16="","",Moteur!H16)</f>
        <v/>
      </c>
      <c r="F16">
        <f>IF(Moteur!E16="","",Moteur!E16)</f>
        <v/>
      </c>
      <c r="G16">
        <f>IF($A16="","",SUMIFS(Socle!$H$1:$H$379,Socle!$C$1:$C$379,$A16,Socle!$D$1:$D$379,$C16,Socle!$E$1:$E$379,$D16,Socle!$F$1:$F$379,$E16,Socle!$G$1:$G$379,"2026"))</f>
        <v/>
      </c>
      <c r="H16">
        <f>IF($A16="","",SUMIFS(Socle!$N$1:$N$379,Socle!$C$1:$C$379,$A16,Socle!$D$1:$D$379,$C16,Socle!$E$1:$E$379,$D16,Socle!$F$1:$F$379,$E16,Socle!$G$1:$G$379,"2026"))</f>
        <v/>
      </c>
      <c r="I16">
        <f>IF($A16="","",SUMIFS(Socle!$P$1:$P$379,Socle!$C$1:$C$379,$A16,Socle!$D$1:$D$379,$C16,Socle!$E$1:$E$379,$D16,Socle!$F$1:$F$379,$E16,Socle!$G$1:$G$379,"2026"))</f>
        <v/>
      </c>
      <c r="J16">
        <f>IF($A16="","",SUMIFS(Socle!$W$1:$W$379,Socle!$C$1:$C$379,$A16,Socle!$D$1:$D$379,$C16,Socle!$E$1:$E$379,$D16,Socle!$F$1:$F$379,$E16,Socle!$G$1:$G$379,"2026"))</f>
        <v/>
      </c>
      <c r="K16">
        <f>IF($A16="","",SUMIFS(Socle!$X$1:$X$379,Socle!$C$1:$C$379,$A16,Socle!$D$1:$D$379,$C16,Socle!$E$1:$E$379,$D16,Socle!$F$1:$F$379,$E16,Socle!$G$1:$G$379,"2026"))</f>
        <v/>
      </c>
      <c r="L16">
        <f>IF($A16="","",SUMIFS(Socle!$Y$1:$Y$379,Socle!$C$1:$C$379,$A16,Socle!$D$1:$D$379,$C16,Socle!$E$1:$E$379,$D16,Socle!$F$1:$F$379,$E16,Socle!$G$1:$G$379,"2026"))</f>
        <v/>
      </c>
      <c r="M16">
        <f>IF($A16="","",SUMIFS(Socle!$V$1:$V$379,Socle!$C$1:$C$379,$A16,Socle!$D$1:$D$379,$C16,Socle!$E$1:$E$379,$D16,Socle!$F$1:$F$379,$E16,Socle!$G$1:$G$379,"2026"))</f>
        <v/>
      </c>
      <c r="N16">
        <f>IF($A16="","",IF(OR($D16="B1",$D16="M1",$D16="BTS1"),1,0))</f>
        <v/>
      </c>
      <c r="O16">
        <f>IF($A16="","",SUMIFS(Campagne!$D$1:$D$28,Campagne!$C$1:$C$28,$A16))</f>
        <v/>
      </c>
      <c r="P16">
        <f>IF($A16="","",SUMIFS(Campagne!$E$1:$E$28,Campagne!$C$1:$C$28,$A16))</f>
        <v/>
      </c>
      <c r="Q16">
        <f>IF($A16="","",SUMIFS(Campagne!$F$1:$F$28,Campagne!$C$1:$C$28,$A16))</f>
        <v/>
      </c>
      <c r="R16">
        <f>IF($A16="","",SUMIFS(Campagne!$K$1:$K$28,Campagne!$C$1:$C$28,$A16))</f>
        <v/>
      </c>
      <c r="S16">
        <f>IF($A16="","",SUMIFS(Campagne!$M$1:$M$28,Campagne!$C$1:$C$28,$A16))</f>
        <v/>
      </c>
      <c r="T16">
        <f>IF($A16="","",SUMIFS(Pilotage!$K$19:$K$32,Pilotage!$A$19:$A$32,$A16)*SUMIFS(Pilotage!$J$19:$J$32,Pilotage!$A$19:$A$32,$A16)*(SUM(Pilotage!$K$19:$K$32)/SUMPRODUCT(Pilotage!$K$19:$K$32,Pilotage!$J$19:$J$32)))</f>
        <v/>
      </c>
      <c r="U16">
        <f>IF($A16="","",SUMIFS(Pilotage!$K$19:$K$32,Pilotage!$A$19:$A$32,$A16))</f>
        <v/>
      </c>
      <c r="V16">
        <f>IF($A16="","",IF($B16="V01",Cadrage!$C$22,IF($B16="V02",Cadrage!$D$22,Cadrage!$E$22)))</f>
        <v/>
      </c>
      <c r="W16">
        <f>IF($A16="","",IF($B16="V01",Cadrage!$C$23,IF($B16="V02",Cadrage!$D$23,Cadrage!$E$23)))</f>
        <v/>
      </c>
      <c r="X16">
        <f>IF($A16="","",IF($B16="V01",Cadrage!$C$24,IF($B16="V02",Cadrage!$D$24,Cadrage!$E$24)))</f>
        <v/>
      </c>
      <c r="Y16">
        <f>IF($A16="","",IF($B16="V01",Cadrage!$C$25,IF($B16="V02",Cadrage!$D$25,Cadrage!$E$25)))</f>
        <v/>
      </c>
      <c r="Z16">
        <f>IF($A16="","",IF($B16="V01",Cadrage!$C$26,IF($B16="V02",Cadrage!$D$26,Cadrage!$E$26)))</f>
        <v/>
      </c>
      <c r="AA16">
        <f>IF($A16="","",IF($B16="V01",Cadrage!$C$27,IF($B16="V02",Cadrage!$D$27,Cadrage!$E$27)))</f>
        <v/>
      </c>
      <c r="AB16">
        <f>IF($A16="","",IF($B16="V01",Cadrage!$C$39,IF($B16="V02",Cadrage!$D$39,Cadrage!$E$39)))</f>
        <v/>
      </c>
      <c r="AC16">
        <f>IF($A16="","",IF($F16="MBWAY",Cadrage!$K$11,IF($F16="ISCOM",Cadrage!$K$12,IF($F16="IPAC",Cadrage!$K$13,IF($F16="PIGIER",Cadrage!$K$14,Cadrage!$K$15)))))</f>
        <v/>
      </c>
      <c r="AD16">
        <f>IF($A16="","",($O16*(1+$W16)^$S16+$P16*IFERROR((($T16/$U16)*(1+$V16))^$R16,0))*IFERROR($G16/$Q16,0)*($J16+$Y16)*$K16*($L16+$Z16))</f>
        <v/>
      </c>
      <c r="AE16">
        <f>IF($A16="","",IF($N16=1,$AD16,0))</f>
        <v/>
      </c>
      <c r="AF16">
        <f>IF($A16="","",IF($N16=1,$AD16,$H16*($M16+$AA16)))</f>
        <v/>
      </c>
      <c r="AG16">
        <f>IF($A16="","",$I16*(1+$X16*$AC16))</f>
        <v/>
      </c>
      <c r="AH16">
        <f>IF($A16="","",$AF16*$AG16+$AE16*$AB16)</f>
        <v/>
      </c>
    </row>
    <row r="17">
      <c r="A17">
        <f>IF(Moteur!D17="","",Moteur!D17)</f>
        <v/>
      </c>
      <c r="B17">
        <f>IF(Moteur!B17="","",Moteur!B17)</f>
        <v/>
      </c>
      <c r="C17">
        <f>IF(Moteur!F17="","",Moteur!F17)</f>
        <v/>
      </c>
      <c r="D17">
        <f>IF(Moteur!G17="","",Moteur!G17)</f>
        <v/>
      </c>
      <c r="E17">
        <f>IF(Moteur!H17="","",Moteur!H17)</f>
        <v/>
      </c>
      <c r="F17">
        <f>IF(Moteur!E17="","",Moteur!E17)</f>
        <v/>
      </c>
      <c r="G17">
        <f>IF($A17="","",SUMIFS(Socle!$H$1:$H$379,Socle!$C$1:$C$379,$A17,Socle!$D$1:$D$379,$C17,Socle!$E$1:$E$379,$D17,Socle!$F$1:$F$379,$E17,Socle!$G$1:$G$379,"2026"))</f>
        <v/>
      </c>
      <c r="H17">
        <f>IF($A17="","",SUMIFS(Socle!$N$1:$N$379,Socle!$C$1:$C$379,$A17,Socle!$D$1:$D$379,$C17,Socle!$E$1:$E$379,$D17,Socle!$F$1:$F$379,$E17,Socle!$G$1:$G$379,"2026"))</f>
        <v/>
      </c>
      <c r="I17">
        <f>IF($A17="","",SUMIFS(Socle!$P$1:$P$379,Socle!$C$1:$C$379,$A17,Socle!$D$1:$D$379,$C17,Socle!$E$1:$E$379,$D17,Socle!$F$1:$F$379,$E17,Socle!$G$1:$G$379,"2026"))</f>
        <v/>
      </c>
      <c r="J17">
        <f>IF($A17="","",SUMIFS(Socle!$W$1:$W$379,Socle!$C$1:$C$379,$A17,Socle!$D$1:$D$379,$C17,Socle!$E$1:$E$379,$D17,Socle!$F$1:$F$379,$E17,Socle!$G$1:$G$379,"2026"))</f>
        <v/>
      </c>
      <c r="K17">
        <f>IF($A17="","",SUMIFS(Socle!$X$1:$X$379,Socle!$C$1:$C$379,$A17,Socle!$D$1:$D$379,$C17,Socle!$E$1:$E$379,$D17,Socle!$F$1:$F$379,$E17,Socle!$G$1:$G$379,"2026"))</f>
        <v/>
      </c>
      <c r="L17">
        <f>IF($A17="","",SUMIFS(Socle!$Y$1:$Y$379,Socle!$C$1:$C$379,$A17,Socle!$D$1:$D$379,$C17,Socle!$E$1:$E$379,$D17,Socle!$F$1:$F$379,$E17,Socle!$G$1:$G$379,"2026"))</f>
        <v/>
      </c>
      <c r="M17">
        <f>IF($A17="","",SUMIFS(Socle!$V$1:$V$379,Socle!$C$1:$C$379,$A17,Socle!$D$1:$D$379,$C17,Socle!$E$1:$E$379,$D17,Socle!$F$1:$F$379,$E17,Socle!$G$1:$G$379,"2026"))</f>
        <v/>
      </c>
      <c r="N17">
        <f>IF($A17="","",IF(OR($D17="B1",$D17="M1",$D17="BTS1"),1,0))</f>
        <v/>
      </c>
      <c r="O17">
        <f>IF($A17="","",SUMIFS(Campagne!$D$1:$D$28,Campagne!$C$1:$C$28,$A17))</f>
        <v/>
      </c>
      <c r="P17">
        <f>IF($A17="","",SUMIFS(Campagne!$E$1:$E$28,Campagne!$C$1:$C$28,$A17))</f>
        <v/>
      </c>
      <c r="Q17">
        <f>IF($A17="","",SUMIFS(Campagne!$F$1:$F$28,Campagne!$C$1:$C$28,$A17))</f>
        <v/>
      </c>
      <c r="R17">
        <f>IF($A17="","",SUMIFS(Campagne!$K$1:$K$28,Campagne!$C$1:$C$28,$A17))</f>
        <v/>
      </c>
      <c r="S17">
        <f>IF($A17="","",SUMIFS(Campagne!$M$1:$M$28,Campagne!$C$1:$C$28,$A17))</f>
        <v/>
      </c>
      <c r="T17">
        <f>IF($A17="","",SUMIFS(Pilotage!$K$19:$K$32,Pilotage!$A$19:$A$32,$A17)*SUMIFS(Pilotage!$J$19:$J$32,Pilotage!$A$19:$A$32,$A17)*(SUM(Pilotage!$K$19:$K$32)/SUMPRODUCT(Pilotage!$K$19:$K$32,Pilotage!$J$19:$J$32)))</f>
        <v/>
      </c>
      <c r="U17">
        <f>IF($A17="","",SUMIFS(Pilotage!$K$19:$K$32,Pilotage!$A$19:$A$32,$A17))</f>
        <v/>
      </c>
      <c r="V17">
        <f>IF($A17="","",IF($B17="V01",Cadrage!$C$22,IF($B17="V02",Cadrage!$D$22,Cadrage!$E$22)))</f>
        <v/>
      </c>
      <c r="W17">
        <f>IF($A17="","",IF($B17="V01",Cadrage!$C$23,IF($B17="V02",Cadrage!$D$23,Cadrage!$E$23)))</f>
        <v/>
      </c>
      <c r="X17">
        <f>IF($A17="","",IF($B17="V01",Cadrage!$C$24,IF($B17="V02",Cadrage!$D$24,Cadrage!$E$24)))</f>
        <v/>
      </c>
      <c r="Y17">
        <f>IF($A17="","",IF($B17="V01",Cadrage!$C$25,IF($B17="V02",Cadrage!$D$25,Cadrage!$E$25)))</f>
        <v/>
      </c>
      <c r="Z17">
        <f>IF($A17="","",IF($B17="V01",Cadrage!$C$26,IF($B17="V02",Cadrage!$D$26,Cadrage!$E$26)))</f>
        <v/>
      </c>
      <c r="AA17">
        <f>IF($A17="","",IF($B17="V01",Cadrage!$C$27,IF($B17="V02",Cadrage!$D$27,Cadrage!$E$27)))</f>
        <v/>
      </c>
      <c r="AB17">
        <f>IF($A17="","",IF($B17="V01",Cadrage!$C$39,IF($B17="V02",Cadrage!$D$39,Cadrage!$E$39)))</f>
        <v/>
      </c>
      <c r="AC17">
        <f>IF($A17="","",IF($F17="MBWAY",Cadrage!$K$11,IF($F17="ISCOM",Cadrage!$K$12,IF($F17="IPAC",Cadrage!$K$13,IF($F17="PIGIER",Cadrage!$K$14,Cadrage!$K$15)))))</f>
        <v/>
      </c>
      <c r="AD17">
        <f>IF($A17="","",($O17*(1+$W17)^$S17+$P17*IFERROR((($T17/$U17)*(1+$V17))^$R17,0))*IFERROR($G17/$Q17,0)*($J17+$Y17)*$K17*($L17+$Z17))</f>
        <v/>
      </c>
      <c r="AE17">
        <f>IF($A17="","",IF($N17=1,$AD17,0))</f>
        <v/>
      </c>
      <c r="AF17">
        <f>IF($A17="","",IF($N17=1,$AD17,$H17*($M17+$AA17)))</f>
        <v/>
      </c>
      <c r="AG17">
        <f>IF($A17="","",$I17*(1+$X17*$AC17))</f>
        <v/>
      </c>
      <c r="AH17">
        <f>IF($A17="","",$AF17*$AG17+$AE17*$AB17)</f>
        <v/>
      </c>
    </row>
    <row r="18">
      <c r="A18">
        <f>IF(Moteur!D18="","",Moteur!D18)</f>
        <v/>
      </c>
      <c r="B18">
        <f>IF(Moteur!B18="","",Moteur!B18)</f>
        <v/>
      </c>
      <c r="C18">
        <f>IF(Moteur!F18="","",Moteur!F18)</f>
        <v/>
      </c>
      <c r="D18">
        <f>IF(Moteur!G18="","",Moteur!G18)</f>
        <v/>
      </c>
      <c r="E18">
        <f>IF(Moteur!H18="","",Moteur!H18)</f>
        <v/>
      </c>
      <c r="F18">
        <f>IF(Moteur!E18="","",Moteur!E18)</f>
        <v/>
      </c>
      <c r="G18">
        <f>IF($A18="","",SUMIFS(Socle!$H$1:$H$379,Socle!$C$1:$C$379,$A18,Socle!$D$1:$D$379,$C18,Socle!$E$1:$E$379,$D18,Socle!$F$1:$F$379,$E18,Socle!$G$1:$G$379,"2026"))</f>
        <v/>
      </c>
      <c r="H18">
        <f>IF($A18="","",SUMIFS(Socle!$N$1:$N$379,Socle!$C$1:$C$379,$A18,Socle!$D$1:$D$379,$C18,Socle!$E$1:$E$379,$D18,Socle!$F$1:$F$379,$E18,Socle!$G$1:$G$379,"2026"))</f>
        <v/>
      </c>
      <c r="I18">
        <f>IF($A18="","",SUMIFS(Socle!$P$1:$P$379,Socle!$C$1:$C$379,$A18,Socle!$D$1:$D$379,$C18,Socle!$E$1:$E$379,$D18,Socle!$F$1:$F$379,$E18,Socle!$G$1:$G$379,"2026"))</f>
        <v/>
      </c>
      <c r="J18">
        <f>IF($A18="","",SUMIFS(Socle!$W$1:$W$379,Socle!$C$1:$C$379,$A18,Socle!$D$1:$D$379,$C18,Socle!$E$1:$E$379,$D18,Socle!$F$1:$F$379,$E18,Socle!$G$1:$G$379,"2026"))</f>
        <v/>
      </c>
      <c r="K18">
        <f>IF($A18="","",SUMIFS(Socle!$X$1:$X$379,Socle!$C$1:$C$379,$A18,Socle!$D$1:$D$379,$C18,Socle!$E$1:$E$379,$D18,Socle!$F$1:$F$379,$E18,Socle!$G$1:$G$379,"2026"))</f>
        <v/>
      </c>
      <c r="L18">
        <f>IF($A18="","",SUMIFS(Socle!$Y$1:$Y$379,Socle!$C$1:$C$379,$A18,Socle!$D$1:$D$379,$C18,Socle!$E$1:$E$379,$D18,Socle!$F$1:$F$379,$E18,Socle!$G$1:$G$379,"2026"))</f>
        <v/>
      </c>
      <c r="M18">
        <f>IF($A18="","",SUMIFS(Socle!$V$1:$V$379,Socle!$C$1:$C$379,$A18,Socle!$D$1:$D$379,$C18,Socle!$E$1:$E$379,$D18,Socle!$F$1:$F$379,$E18,Socle!$G$1:$G$379,"2026"))</f>
        <v/>
      </c>
      <c r="N18">
        <f>IF($A18="","",IF(OR($D18="B1",$D18="M1",$D18="BTS1"),1,0))</f>
        <v/>
      </c>
      <c r="O18">
        <f>IF($A18="","",SUMIFS(Campagne!$D$1:$D$28,Campagne!$C$1:$C$28,$A18))</f>
        <v/>
      </c>
      <c r="P18">
        <f>IF($A18="","",SUMIFS(Campagne!$E$1:$E$28,Campagne!$C$1:$C$28,$A18))</f>
        <v/>
      </c>
      <c r="Q18">
        <f>IF($A18="","",SUMIFS(Campagne!$F$1:$F$28,Campagne!$C$1:$C$28,$A18))</f>
        <v/>
      </c>
      <c r="R18">
        <f>IF($A18="","",SUMIFS(Campagne!$K$1:$K$28,Campagne!$C$1:$C$28,$A18))</f>
        <v/>
      </c>
      <c r="S18">
        <f>IF($A18="","",SUMIFS(Campagne!$M$1:$M$28,Campagne!$C$1:$C$28,$A18))</f>
        <v/>
      </c>
      <c r="T18">
        <f>IF($A18="","",SUMIFS(Pilotage!$K$19:$K$32,Pilotage!$A$19:$A$32,$A18)*SUMIFS(Pilotage!$J$19:$J$32,Pilotage!$A$19:$A$32,$A18)*(SUM(Pilotage!$K$19:$K$32)/SUMPRODUCT(Pilotage!$K$19:$K$32,Pilotage!$J$19:$J$32)))</f>
        <v/>
      </c>
      <c r="U18">
        <f>IF($A18="","",SUMIFS(Pilotage!$K$19:$K$32,Pilotage!$A$19:$A$32,$A18))</f>
        <v/>
      </c>
      <c r="V18">
        <f>IF($A18="","",IF($B18="V01",Cadrage!$C$22,IF($B18="V02",Cadrage!$D$22,Cadrage!$E$22)))</f>
        <v/>
      </c>
      <c r="W18">
        <f>IF($A18="","",IF($B18="V01",Cadrage!$C$23,IF($B18="V02",Cadrage!$D$23,Cadrage!$E$23)))</f>
        <v/>
      </c>
      <c r="X18">
        <f>IF($A18="","",IF($B18="V01",Cadrage!$C$24,IF($B18="V02",Cadrage!$D$24,Cadrage!$E$24)))</f>
        <v/>
      </c>
      <c r="Y18">
        <f>IF($A18="","",IF($B18="V01",Cadrage!$C$25,IF($B18="V02",Cadrage!$D$25,Cadrage!$E$25)))</f>
        <v/>
      </c>
      <c r="Z18">
        <f>IF($A18="","",IF($B18="V01",Cadrage!$C$26,IF($B18="V02",Cadrage!$D$26,Cadrage!$E$26)))</f>
        <v/>
      </c>
      <c r="AA18">
        <f>IF($A18="","",IF($B18="V01",Cadrage!$C$27,IF($B18="V02",Cadrage!$D$27,Cadrage!$E$27)))</f>
        <v/>
      </c>
      <c r="AB18">
        <f>IF($A18="","",IF($B18="V01",Cadrage!$C$39,IF($B18="V02",Cadrage!$D$39,Cadrage!$E$39)))</f>
        <v/>
      </c>
      <c r="AC18">
        <f>IF($A18="","",IF($F18="MBWAY",Cadrage!$K$11,IF($F18="ISCOM",Cadrage!$K$12,IF($F18="IPAC",Cadrage!$K$13,IF($F18="PIGIER",Cadrage!$K$14,Cadrage!$K$15)))))</f>
        <v/>
      </c>
      <c r="AD18">
        <f>IF($A18="","",($O18*(1+$W18)^$S18+$P18*IFERROR((($T18/$U18)*(1+$V18))^$R18,0))*IFERROR($G18/$Q18,0)*($J18+$Y18)*$K18*($L18+$Z18))</f>
        <v/>
      </c>
      <c r="AE18">
        <f>IF($A18="","",IF($N18=1,$AD18,0))</f>
        <v/>
      </c>
      <c r="AF18">
        <f>IF($A18="","",IF($N18=1,$AD18,$H18*($M18+$AA18)))</f>
        <v/>
      </c>
      <c r="AG18">
        <f>IF($A18="","",$I18*(1+$X18*$AC18))</f>
        <v/>
      </c>
      <c r="AH18">
        <f>IF($A18="","",$AF18*$AG18+$AE18*$AB18)</f>
        <v/>
      </c>
    </row>
    <row r="19">
      <c r="A19">
        <f>IF(Moteur!D19="","",Moteur!D19)</f>
        <v/>
      </c>
      <c r="B19">
        <f>IF(Moteur!B19="","",Moteur!B19)</f>
        <v/>
      </c>
      <c r="C19">
        <f>IF(Moteur!F19="","",Moteur!F19)</f>
        <v/>
      </c>
      <c r="D19">
        <f>IF(Moteur!G19="","",Moteur!G19)</f>
        <v/>
      </c>
      <c r="E19">
        <f>IF(Moteur!H19="","",Moteur!H19)</f>
        <v/>
      </c>
      <c r="F19">
        <f>IF(Moteur!E19="","",Moteur!E19)</f>
        <v/>
      </c>
      <c r="G19">
        <f>IF($A19="","",SUMIFS(Socle!$H$1:$H$379,Socle!$C$1:$C$379,$A19,Socle!$D$1:$D$379,$C19,Socle!$E$1:$E$379,$D19,Socle!$F$1:$F$379,$E19,Socle!$G$1:$G$379,"2026"))</f>
        <v/>
      </c>
      <c r="H19">
        <f>IF($A19="","",SUMIFS(Socle!$N$1:$N$379,Socle!$C$1:$C$379,$A19,Socle!$D$1:$D$379,$C19,Socle!$E$1:$E$379,$D19,Socle!$F$1:$F$379,$E19,Socle!$G$1:$G$379,"2026"))</f>
        <v/>
      </c>
      <c r="I19">
        <f>IF($A19="","",SUMIFS(Socle!$P$1:$P$379,Socle!$C$1:$C$379,$A19,Socle!$D$1:$D$379,$C19,Socle!$E$1:$E$379,$D19,Socle!$F$1:$F$379,$E19,Socle!$G$1:$G$379,"2026"))</f>
        <v/>
      </c>
      <c r="J19">
        <f>IF($A19="","",SUMIFS(Socle!$W$1:$W$379,Socle!$C$1:$C$379,$A19,Socle!$D$1:$D$379,$C19,Socle!$E$1:$E$379,$D19,Socle!$F$1:$F$379,$E19,Socle!$G$1:$G$379,"2026"))</f>
        <v/>
      </c>
      <c r="K19">
        <f>IF($A19="","",SUMIFS(Socle!$X$1:$X$379,Socle!$C$1:$C$379,$A19,Socle!$D$1:$D$379,$C19,Socle!$E$1:$E$379,$D19,Socle!$F$1:$F$379,$E19,Socle!$G$1:$G$379,"2026"))</f>
        <v/>
      </c>
      <c r="L19">
        <f>IF($A19="","",SUMIFS(Socle!$Y$1:$Y$379,Socle!$C$1:$C$379,$A19,Socle!$D$1:$D$379,$C19,Socle!$E$1:$E$379,$D19,Socle!$F$1:$F$379,$E19,Socle!$G$1:$G$379,"2026"))</f>
        <v/>
      </c>
      <c r="M19">
        <f>IF($A19="","",SUMIFS(Socle!$V$1:$V$379,Socle!$C$1:$C$379,$A19,Socle!$D$1:$D$379,$C19,Socle!$E$1:$E$379,$D19,Socle!$F$1:$F$379,$E19,Socle!$G$1:$G$379,"2026"))</f>
        <v/>
      </c>
      <c r="N19">
        <f>IF($A19="","",IF(OR($D19="B1",$D19="M1",$D19="BTS1"),1,0))</f>
        <v/>
      </c>
      <c r="O19">
        <f>IF($A19="","",SUMIFS(Campagne!$D$1:$D$28,Campagne!$C$1:$C$28,$A19))</f>
        <v/>
      </c>
      <c r="P19">
        <f>IF($A19="","",SUMIFS(Campagne!$E$1:$E$28,Campagne!$C$1:$C$28,$A19))</f>
        <v/>
      </c>
      <c r="Q19">
        <f>IF($A19="","",SUMIFS(Campagne!$F$1:$F$28,Campagne!$C$1:$C$28,$A19))</f>
        <v/>
      </c>
      <c r="R19">
        <f>IF($A19="","",SUMIFS(Campagne!$K$1:$K$28,Campagne!$C$1:$C$28,$A19))</f>
        <v/>
      </c>
      <c r="S19">
        <f>IF($A19="","",SUMIFS(Campagne!$M$1:$M$28,Campagne!$C$1:$C$28,$A19))</f>
        <v/>
      </c>
      <c r="T19">
        <f>IF($A19="","",SUMIFS(Pilotage!$K$19:$K$32,Pilotage!$A$19:$A$32,$A19)*SUMIFS(Pilotage!$J$19:$J$32,Pilotage!$A$19:$A$32,$A19)*(SUM(Pilotage!$K$19:$K$32)/SUMPRODUCT(Pilotage!$K$19:$K$32,Pilotage!$J$19:$J$32)))</f>
        <v/>
      </c>
      <c r="U19">
        <f>IF($A19="","",SUMIFS(Pilotage!$K$19:$K$32,Pilotage!$A$19:$A$32,$A19))</f>
        <v/>
      </c>
      <c r="V19">
        <f>IF($A19="","",IF($B19="V01",Cadrage!$C$22,IF($B19="V02",Cadrage!$D$22,Cadrage!$E$22)))</f>
        <v/>
      </c>
      <c r="W19">
        <f>IF($A19="","",IF($B19="V01",Cadrage!$C$23,IF($B19="V02",Cadrage!$D$23,Cadrage!$E$23)))</f>
        <v/>
      </c>
      <c r="X19">
        <f>IF($A19="","",IF($B19="V01",Cadrage!$C$24,IF($B19="V02",Cadrage!$D$24,Cadrage!$E$24)))</f>
        <v/>
      </c>
      <c r="Y19">
        <f>IF($A19="","",IF($B19="V01",Cadrage!$C$25,IF($B19="V02",Cadrage!$D$25,Cadrage!$E$25)))</f>
        <v/>
      </c>
      <c r="Z19">
        <f>IF($A19="","",IF($B19="V01",Cadrage!$C$26,IF($B19="V02",Cadrage!$D$26,Cadrage!$E$26)))</f>
        <v/>
      </c>
      <c r="AA19">
        <f>IF($A19="","",IF($B19="V01",Cadrage!$C$27,IF($B19="V02",Cadrage!$D$27,Cadrage!$E$27)))</f>
        <v/>
      </c>
      <c r="AB19">
        <f>IF($A19="","",IF($B19="V01",Cadrage!$C$39,IF($B19="V02",Cadrage!$D$39,Cadrage!$E$39)))</f>
        <v/>
      </c>
      <c r="AC19">
        <f>IF($A19="","",IF($F19="MBWAY",Cadrage!$K$11,IF($F19="ISCOM",Cadrage!$K$12,IF($F19="IPAC",Cadrage!$K$13,IF($F19="PIGIER",Cadrage!$K$14,Cadrage!$K$15)))))</f>
        <v/>
      </c>
      <c r="AD19">
        <f>IF($A19="","",($O19*(1+$W19)^$S19+$P19*IFERROR((($T19/$U19)*(1+$V19))^$R19,0))*IFERROR($G19/$Q19,0)*($J19+$Y19)*$K19*($L19+$Z19))</f>
        <v/>
      </c>
      <c r="AE19">
        <f>IF($A19="","",IF($N19=1,$AD19,0))</f>
        <v/>
      </c>
      <c r="AF19">
        <f>IF($A19="","",IF($N19=1,$AD19,$H19*($M19+$AA19)))</f>
        <v/>
      </c>
      <c r="AG19">
        <f>IF($A19="","",$I19*(1+$X19*$AC19))</f>
        <v/>
      </c>
      <c r="AH19">
        <f>IF($A19="","",$AF19*$AG19+$AE19*$AB19)</f>
        <v/>
      </c>
    </row>
    <row r="20">
      <c r="A20">
        <f>IF(Moteur!D20="","",Moteur!D20)</f>
        <v/>
      </c>
      <c r="B20">
        <f>IF(Moteur!B20="","",Moteur!B20)</f>
        <v/>
      </c>
      <c r="C20">
        <f>IF(Moteur!F20="","",Moteur!F20)</f>
        <v/>
      </c>
      <c r="D20">
        <f>IF(Moteur!G20="","",Moteur!G20)</f>
        <v/>
      </c>
      <c r="E20">
        <f>IF(Moteur!H20="","",Moteur!H20)</f>
        <v/>
      </c>
      <c r="F20">
        <f>IF(Moteur!E20="","",Moteur!E20)</f>
        <v/>
      </c>
      <c r="G20">
        <f>IF($A20="","",SUMIFS(Socle!$H$1:$H$379,Socle!$C$1:$C$379,$A20,Socle!$D$1:$D$379,$C20,Socle!$E$1:$E$379,$D20,Socle!$F$1:$F$379,$E20,Socle!$G$1:$G$379,"2026"))</f>
        <v/>
      </c>
      <c r="H20">
        <f>IF($A20="","",SUMIFS(Socle!$N$1:$N$379,Socle!$C$1:$C$379,$A20,Socle!$D$1:$D$379,$C20,Socle!$E$1:$E$379,$D20,Socle!$F$1:$F$379,$E20,Socle!$G$1:$G$379,"2026"))</f>
        <v/>
      </c>
      <c r="I20">
        <f>IF($A20="","",SUMIFS(Socle!$P$1:$P$379,Socle!$C$1:$C$379,$A20,Socle!$D$1:$D$379,$C20,Socle!$E$1:$E$379,$D20,Socle!$F$1:$F$379,$E20,Socle!$G$1:$G$379,"2026"))</f>
        <v/>
      </c>
      <c r="J20">
        <f>IF($A20="","",SUMIFS(Socle!$W$1:$W$379,Socle!$C$1:$C$379,$A20,Socle!$D$1:$D$379,$C20,Socle!$E$1:$E$379,$D20,Socle!$F$1:$F$379,$E20,Socle!$G$1:$G$379,"2026"))</f>
        <v/>
      </c>
      <c r="K20">
        <f>IF($A20="","",SUMIFS(Socle!$X$1:$X$379,Socle!$C$1:$C$379,$A20,Socle!$D$1:$D$379,$C20,Socle!$E$1:$E$379,$D20,Socle!$F$1:$F$379,$E20,Socle!$G$1:$G$379,"2026"))</f>
        <v/>
      </c>
      <c r="L20">
        <f>IF($A20="","",SUMIFS(Socle!$Y$1:$Y$379,Socle!$C$1:$C$379,$A20,Socle!$D$1:$D$379,$C20,Socle!$E$1:$E$379,$D20,Socle!$F$1:$F$379,$E20,Socle!$G$1:$G$379,"2026"))</f>
        <v/>
      </c>
      <c r="M20">
        <f>IF($A20="","",SUMIFS(Socle!$V$1:$V$379,Socle!$C$1:$C$379,$A20,Socle!$D$1:$D$379,$C20,Socle!$E$1:$E$379,$D20,Socle!$F$1:$F$379,$E20,Socle!$G$1:$G$379,"2026"))</f>
        <v/>
      </c>
      <c r="N20">
        <f>IF($A20="","",IF(OR($D20="B1",$D20="M1",$D20="BTS1"),1,0))</f>
        <v/>
      </c>
      <c r="O20">
        <f>IF($A20="","",SUMIFS(Campagne!$D$1:$D$28,Campagne!$C$1:$C$28,$A20))</f>
        <v/>
      </c>
      <c r="P20">
        <f>IF($A20="","",SUMIFS(Campagne!$E$1:$E$28,Campagne!$C$1:$C$28,$A20))</f>
        <v/>
      </c>
      <c r="Q20">
        <f>IF($A20="","",SUMIFS(Campagne!$F$1:$F$28,Campagne!$C$1:$C$28,$A20))</f>
        <v/>
      </c>
      <c r="R20">
        <f>IF($A20="","",SUMIFS(Campagne!$K$1:$K$28,Campagne!$C$1:$C$28,$A20))</f>
        <v/>
      </c>
      <c r="S20">
        <f>IF($A20="","",SUMIFS(Campagne!$M$1:$M$28,Campagne!$C$1:$C$28,$A20))</f>
        <v/>
      </c>
      <c r="T20">
        <f>IF($A20="","",SUMIFS(Pilotage!$K$19:$K$32,Pilotage!$A$19:$A$32,$A20)*SUMIFS(Pilotage!$J$19:$J$32,Pilotage!$A$19:$A$32,$A20)*(SUM(Pilotage!$K$19:$K$32)/SUMPRODUCT(Pilotage!$K$19:$K$32,Pilotage!$J$19:$J$32)))</f>
        <v/>
      </c>
      <c r="U20">
        <f>IF($A20="","",SUMIFS(Pilotage!$K$19:$K$32,Pilotage!$A$19:$A$32,$A20))</f>
        <v/>
      </c>
      <c r="V20">
        <f>IF($A20="","",IF($B20="V01",Cadrage!$C$22,IF($B20="V02",Cadrage!$D$22,Cadrage!$E$22)))</f>
        <v/>
      </c>
      <c r="W20">
        <f>IF($A20="","",IF($B20="V01",Cadrage!$C$23,IF($B20="V02",Cadrage!$D$23,Cadrage!$E$23)))</f>
        <v/>
      </c>
      <c r="X20">
        <f>IF($A20="","",IF($B20="V01",Cadrage!$C$24,IF($B20="V02",Cadrage!$D$24,Cadrage!$E$24)))</f>
        <v/>
      </c>
      <c r="Y20">
        <f>IF($A20="","",IF($B20="V01",Cadrage!$C$25,IF($B20="V02",Cadrage!$D$25,Cadrage!$E$25)))</f>
        <v/>
      </c>
      <c r="Z20">
        <f>IF($A20="","",IF($B20="V01",Cadrage!$C$26,IF($B20="V02",Cadrage!$D$26,Cadrage!$E$26)))</f>
        <v/>
      </c>
      <c r="AA20">
        <f>IF($A20="","",IF($B20="V01",Cadrage!$C$27,IF($B20="V02",Cadrage!$D$27,Cadrage!$E$27)))</f>
        <v/>
      </c>
      <c r="AB20">
        <f>IF($A20="","",IF($B20="V01",Cadrage!$C$39,IF($B20="V02",Cadrage!$D$39,Cadrage!$E$39)))</f>
        <v/>
      </c>
      <c r="AC20">
        <f>IF($A20="","",IF($F20="MBWAY",Cadrage!$K$11,IF($F20="ISCOM",Cadrage!$K$12,IF($F20="IPAC",Cadrage!$K$13,IF($F20="PIGIER",Cadrage!$K$14,Cadrage!$K$15)))))</f>
        <v/>
      </c>
      <c r="AD20">
        <f>IF($A20="","",($O20*(1+$W20)^$S20+$P20*IFERROR((($T20/$U20)*(1+$V20))^$R20,0))*IFERROR($G20/$Q20,0)*($J20+$Y20)*$K20*($L20+$Z20))</f>
        <v/>
      </c>
      <c r="AE20">
        <f>IF($A20="","",IF($N20=1,$AD20,0))</f>
        <v/>
      </c>
      <c r="AF20">
        <f>IF($A20="","",IF($N20=1,$AD20,$H20*($M20+$AA20)))</f>
        <v/>
      </c>
      <c r="AG20">
        <f>IF($A20="","",$I20*(1+$X20*$AC20))</f>
        <v/>
      </c>
      <c r="AH20">
        <f>IF($A20="","",$AF20*$AG20+$AE20*$AB20)</f>
        <v/>
      </c>
    </row>
    <row r="21">
      <c r="A21">
        <f>IF(Moteur!D21="","",Moteur!D21)</f>
        <v/>
      </c>
      <c r="B21">
        <f>IF(Moteur!B21="","",Moteur!B21)</f>
        <v/>
      </c>
      <c r="C21">
        <f>IF(Moteur!F21="","",Moteur!F21)</f>
        <v/>
      </c>
      <c r="D21">
        <f>IF(Moteur!G21="","",Moteur!G21)</f>
        <v/>
      </c>
      <c r="E21">
        <f>IF(Moteur!H21="","",Moteur!H21)</f>
        <v/>
      </c>
      <c r="F21">
        <f>IF(Moteur!E21="","",Moteur!E21)</f>
        <v/>
      </c>
      <c r="G21">
        <f>IF($A21="","",SUMIFS(Socle!$H$1:$H$379,Socle!$C$1:$C$379,$A21,Socle!$D$1:$D$379,$C21,Socle!$E$1:$E$379,$D21,Socle!$F$1:$F$379,$E21,Socle!$G$1:$G$379,"2026"))</f>
        <v/>
      </c>
      <c r="H21">
        <f>IF($A21="","",SUMIFS(Socle!$N$1:$N$379,Socle!$C$1:$C$379,$A21,Socle!$D$1:$D$379,$C21,Socle!$E$1:$E$379,$D21,Socle!$F$1:$F$379,$E21,Socle!$G$1:$G$379,"2026"))</f>
        <v/>
      </c>
      <c r="I21">
        <f>IF($A21="","",SUMIFS(Socle!$P$1:$P$379,Socle!$C$1:$C$379,$A21,Socle!$D$1:$D$379,$C21,Socle!$E$1:$E$379,$D21,Socle!$F$1:$F$379,$E21,Socle!$G$1:$G$379,"2026"))</f>
        <v/>
      </c>
      <c r="J21">
        <f>IF($A21="","",SUMIFS(Socle!$W$1:$W$379,Socle!$C$1:$C$379,$A21,Socle!$D$1:$D$379,$C21,Socle!$E$1:$E$379,$D21,Socle!$F$1:$F$379,$E21,Socle!$G$1:$G$379,"2026"))</f>
        <v/>
      </c>
      <c r="K21">
        <f>IF($A21="","",SUMIFS(Socle!$X$1:$X$379,Socle!$C$1:$C$379,$A21,Socle!$D$1:$D$379,$C21,Socle!$E$1:$E$379,$D21,Socle!$F$1:$F$379,$E21,Socle!$G$1:$G$379,"2026"))</f>
        <v/>
      </c>
      <c r="L21">
        <f>IF($A21="","",SUMIFS(Socle!$Y$1:$Y$379,Socle!$C$1:$C$379,$A21,Socle!$D$1:$D$379,$C21,Socle!$E$1:$E$379,$D21,Socle!$F$1:$F$379,$E21,Socle!$G$1:$G$379,"2026"))</f>
        <v/>
      </c>
      <c r="M21">
        <f>IF($A21="","",SUMIFS(Socle!$V$1:$V$379,Socle!$C$1:$C$379,$A21,Socle!$D$1:$D$379,$C21,Socle!$E$1:$E$379,$D21,Socle!$F$1:$F$379,$E21,Socle!$G$1:$G$379,"2026"))</f>
        <v/>
      </c>
      <c r="N21">
        <f>IF($A21="","",IF(OR($D21="B1",$D21="M1",$D21="BTS1"),1,0))</f>
        <v/>
      </c>
      <c r="O21">
        <f>IF($A21="","",SUMIFS(Campagne!$D$1:$D$28,Campagne!$C$1:$C$28,$A21))</f>
        <v/>
      </c>
      <c r="P21">
        <f>IF($A21="","",SUMIFS(Campagne!$E$1:$E$28,Campagne!$C$1:$C$28,$A21))</f>
        <v/>
      </c>
      <c r="Q21">
        <f>IF($A21="","",SUMIFS(Campagne!$F$1:$F$28,Campagne!$C$1:$C$28,$A21))</f>
        <v/>
      </c>
      <c r="R21">
        <f>IF($A21="","",SUMIFS(Campagne!$K$1:$K$28,Campagne!$C$1:$C$28,$A21))</f>
        <v/>
      </c>
      <c r="S21">
        <f>IF($A21="","",SUMIFS(Campagne!$M$1:$M$28,Campagne!$C$1:$C$28,$A21))</f>
        <v/>
      </c>
      <c r="T21">
        <f>IF($A21="","",SUMIFS(Pilotage!$K$19:$K$32,Pilotage!$A$19:$A$32,$A21)*SUMIFS(Pilotage!$J$19:$J$32,Pilotage!$A$19:$A$32,$A21)*(SUM(Pilotage!$K$19:$K$32)/SUMPRODUCT(Pilotage!$K$19:$K$32,Pilotage!$J$19:$J$32)))</f>
        <v/>
      </c>
      <c r="U21">
        <f>IF($A21="","",SUMIFS(Pilotage!$K$19:$K$32,Pilotage!$A$19:$A$32,$A21))</f>
        <v/>
      </c>
      <c r="V21">
        <f>IF($A21="","",IF($B21="V01",Cadrage!$C$22,IF($B21="V02",Cadrage!$D$22,Cadrage!$E$22)))</f>
        <v/>
      </c>
      <c r="W21">
        <f>IF($A21="","",IF($B21="V01",Cadrage!$C$23,IF($B21="V02",Cadrage!$D$23,Cadrage!$E$23)))</f>
        <v/>
      </c>
      <c r="X21">
        <f>IF($A21="","",IF($B21="V01",Cadrage!$C$24,IF($B21="V02",Cadrage!$D$24,Cadrage!$E$24)))</f>
        <v/>
      </c>
      <c r="Y21">
        <f>IF($A21="","",IF($B21="V01",Cadrage!$C$25,IF($B21="V02",Cadrage!$D$25,Cadrage!$E$25)))</f>
        <v/>
      </c>
      <c r="Z21">
        <f>IF($A21="","",IF($B21="V01",Cadrage!$C$26,IF($B21="V02",Cadrage!$D$26,Cadrage!$E$26)))</f>
        <v/>
      </c>
      <c r="AA21">
        <f>IF($A21="","",IF($B21="V01",Cadrage!$C$27,IF($B21="V02",Cadrage!$D$27,Cadrage!$E$27)))</f>
        <v/>
      </c>
      <c r="AB21">
        <f>IF($A21="","",IF($B21="V01",Cadrage!$C$39,IF($B21="V02",Cadrage!$D$39,Cadrage!$E$39)))</f>
        <v/>
      </c>
      <c r="AC21">
        <f>IF($A21="","",IF($F21="MBWAY",Cadrage!$K$11,IF($F21="ISCOM",Cadrage!$K$12,IF($F21="IPAC",Cadrage!$K$13,IF($F21="PIGIER",Cadrage!$K$14,Cadrage!$K$15)))))</f>
        <v/>
      </c>
      <c r="AD21">
        <f>IF($A21="","",($O21*(1+$W21)^$S21+$P21*IFERROR((($T21/$U21)*(1+$V21))^$R21,0))*IFERROR($G21/$Q21,0)*($J21+$Y21)*$K21*($L21+$Z21))</f>
        <v/>
      </c>
      <c r="AE21">
        <f>IF($A21="","",IF($N21=1,$AD21,0))</f>
        <v/>
      </c>
      <c r="AF21">
        <f>IF($A21="","",IF($N21=1,$AD21,$H21*($M21+$AA21)))</f>
        <v/>
      </c>
      <c r="AG21">
        <f>IF($A21="","",$I21*(1+$X21*$AC21))</f>
        <v/>
      </c>
      <c r="AH21">
        <f>IF($A21="","",$AF21*$AG21+$AE21*$AB21)</f>
        <v/>
      </c>
    </row>
    <row r="22">
      <c r="A22">
        <f>IF(Moteur!D22="","",Moteur!D22)</f>
        <v/>
      </c>
      <c r="B22">
        <f>IF(Moteur!B22="","",Moteur!B22)</f>
        <v/>
      </c>
      <c r="C22">
        <f>IF(Moteur!F22="","",Moteur!F22)</f>
        <v/>
      </c>
      <c r="D22">
        <f>IF(Moteur!G22="","",Moteur!G22)</f>
        <v/>
      </c>
      <c r="E22">
        <f>IF(Moteur!H22="","",Moteur!H22)</f>
        <v/>
      </c>
      <c r="F22">
        <f>IF(Moteur!E22="","",Moteur!E22)</f>
        <v/>
      </c>
      <c r="G22">
        <f>IF($A22="","",SUMIFS(Socle!$H$1:$H$379,Socle!$C$1:$C$379,$A22,Socle!$D$1:$D$379,$C22,Socle!$E$1:$E$379,$D22,Socle!$F$1:$F$379,$E22,Socle!$G$1:$G$379,"2026"))</f>
        <v/>
      </c>
      <c r="H22">
        <f>IF($A22="","",SUMIFS(Socle!$N$1:$N$379,Socle!$C$1:$C$379,$A22,Socle!$D$1:$D$379,$C22,Socle!$E$1:$E$379,$D22,Socle!$F$1:$F$379,$E22,Socle!$G$1:$G$379,"2026"))</f>
        <v/>
      </c>
      <c r="I22">
        <f>IF($A22="","",SUMIFS(Socle!$P$1:$P$379,Socle!$C$1:$C$379,$A22,Socle!$D$1:$D$379,$C22,Socle!$E$1:$E$379,$D22,Socle!$F$1:$F$379,$E22,Socle!$G$1:$G$379,"2026"))</f>
        <v/>
      </c>
      <c r="J22">
        <f>IF($A22="","",SUMIFS(Socle!$W$1:$W$379,Socle!$C$1:$C$379,$A22,Socle!$D$1:$D$379,$C22,Socle!$E$1:$E$379,$D22,Socle!$F$1:$F$379,$E22,Socle!$G$1:$G$379,"2026"))</f>
        <v/>
      </c>
      <c r="K22">
        <f>IF($A22="","",SUMIFS(Socle!$X$1:$X$379,Socle!$C$1:$C$379,$A22,Socle!$D$1:$D$379,$C22,Socle!$E$1:$E$379,$D22,Socle!$F$1:$F$379,$E22,Socle!$G$1:$G$379,"2026"))</f>
        <v/>
      </c>
      <c r="L22">
        <f>IF($A22="","",SUMIFS(Socle!$Y$1:$Y$379,Socle!$C$1:$C$379,$A22,Socle!$D$1:$D$379,$C22,Socle!$E$1:$E$379,$D22,Socle!$F$1:$F$379,$E22,Socle!$G$1:$G$379,"2026"))</f>
        <v/>
      </c>
      <c r="M22">
        <f>IF($A22="","",SUMIFS(Socle!$V$1:$V$379,Socle!$C$1:$C$379,$A22,Socle!$D$1:$D$379,$C22,Socle!$E$1:$E$379,$D22,Socle!$F$1:$F$379,$E22,Socle!$G$1:$G$379,"2026"))</f>
        <v/>
      </c>
      <c r="N22">
        <f>IF($A22="","",IF(OR($D22="B1",$D22="M1",$D22="BTS1"),1,0))</f>
        <v/>
      </c>
      <c r="O22">
        <f>IF($A22="","",SUMIFS(Campagne!$D$1:$D$28,Campagne!$C$1:$C$28,$A22))</f>
        <v/>
      </c>
      <c r="P22">
        <f>IF($A22="","",SUMIFS(Campagne!$E$1:$E$28,Campagne!$C$1:$C$28,$A22))</f>
        <v/>
      </c>
      <c r="Q22">
        <f>IF($A22="","",SUMIFS(Campagne!$F$1:$F$28,Campagne!$C$1:$C$28,$A22))</f>
        <v/>
      </c>
      <c r="R22">
        <f>IF($A22="","",SUMIFS(Campagne!$K$1:$K$28,Campagne!$C$1:$C$28,$A22))</f>
        <v/>
      </c>
      <c r="S22">
        <f>IF($A22="","",SUMIFS(Campagne!$M$1:$M$28,Campagne!$C$1:$C$28,$A22))</f>
        <v/>
      </c>
      <c r="T22">
        <f>IF($A22="","",SUMIFS(Pilotage!$K$19:$K$32,Pilotage!$A$19:$A$32,$A22)*SUMIFS(Pilotage!$J$19:$J$32,Pilotage!$A$19:$A$32,$A22)*(SUM(Pilotage!$K$19:$K$32)/SUMPRODUCT(Pilotage!$K$19:$K$32,Pilotage!$J$19:$J$32)))</f>
        <v/>
      </c>
      <c r="U22">
        <f>IF($A22="","",SUMIFS(Pilotage!$K$19:$K$32,Pilotage!$A$19:$A$32,$A22))</f>
        <v/>
      </c>
      <c r="V22">
        <f>IF($A22="","",IF($B22="V01",Cadrage!$C$22,IF($B22="V02",Cadrage!$D$22,Cadrage!$E$22)))</f>
        <v/>
      </c>
      <c r="W22">
        <f>IF($A22="","",IF($B22="V01",Cadrage!$C$23,IF($B22="V02",Cadrage!$D$23,Cadrage!$E$23)))</f>
        <v/>
      </c>
      <c r="X22">
        <f>IF($A22="","",IF($B22="V01",Cadrage!$C$24,IF($B22="V02",Cadrage!$D$24,Cadrage!$E$24)))</f>
        <v/>
      </c>
      <c r="Y22">
        <f>IF($A22="","",IF($B22="V01",Cadrage!$C$25,IF($B22="V02",Cadrage!$D$25,Cadrage!$E$25)))</f>
        <v/>
      </c>
      <c r="Z22">
        <f>IF($A22="","",IF($B22="V01",Cadrage!$C$26,IF($B22="V02",Cadrage!$D$26,Cadrage!$E$26)))</f>
        <v/>
      </c>
      <c r="AA22">
        <f>IF($A22="","",IF($B22="V01",Cadrage!$C$27,IF($B22="V02",Cadrage!$D$27,Cadrage!$E$27)))</f>
        <v/>
      </c>
      <c r="AB22">
        <f>IF($A22="","",IF($B22="V01",Cadrage!$C$39,IF($B22="V02",Cadrage!$D$39,Cadrage!$E$39)))</f>
        <v/>
      </c>
      <c r="AC22">
        <f>IF($A22="","",IF($F22="MBWAY",Cadrage!$K$11,IF($F22="ISCOM",Cadrage!$K$12,IF($F22="IPAC",Cadrage!$K$13,IF($F22="PIGIER",Cadrage!$K$14,Cadrage!$K$15)))))</f>
        <v/>
      </c>
      <c r="AD22">
        <f>IF($A22="","",($O22*(1+$W22)^$S22+$P22*IFERROR((($T22/$U22)*(1+$V22))^$R22,0))*IFERROR($G22/$Q22,0)*($J22+$Y22)*$K22*($L22+$Z22))</f>
        <v/>
      </c>
      <c r="AE22">
        <f>IF($A22="","",IF($N22=1,$AD22,0))</f>
        <v/>
      </c>
      <c r="AF22">
        <f>IF($A22="","",IF($N22=1,$AD22,$H22*($M22+$AA22)))</f>
        <v/>
      </c>
      <c r="AG22">
        <f>IF($A22="","",$I22*(1+$X22*$AC22))</f>
        <v/>
      </c>
      <c r="AH22">
        <f>IF($A22="","",$AF22*$AG22+$AE22*$AB22)</f>
        <v/>
      </c>
    </row>
    <row r="23">
      <c r="A23">
        <f>IF(Moteur!D23="","",Moteur!D23)</f>
        <v/>
      </c>
      <c r="B23">
        <f>IF(Moteur!B23="","",Moteur!B23)</f>
        <v/>
      </c>
      <c r="C23">
        <f>IF(Moteur!F23="","",Moteur!F23)</f>
        <v/>
      </c>
      <c r="D23">
        <f>IF(Moteur!G23="","",Moteur!G23)</f>
        <v/>
      </c>
      <c r="E23">
        <f>IF(Moteur!H23="","",Moteur!H23)</f>
        <v/>
      </c>
      <c r="F23">
        <f>IF(Moteur!E23="","",Moteur!E23)</f>
        <v/>
      </c>
      <c r="G23">
        <f>IF($A23="","",SUMIFS(Socle!$H$1:$H$379,Socle!$C$1:$C$379,$A23,Socle!$D$1:$D$379,$C23,Socle!$E$1:$E$379,$D23,Socle!$F$1:$F$379,$E23,Socle!$G$1:$G$379,"2026"))</f>
        <v/>
      </c>
      <c r="H23">
        <f>IF($A23="","",SUMIFS(Socle!$N$1:$N$379,Socle!$C$1:$C$379,$A23,Socle!$D$1:$D$379,$C23,Socle!$E$1:$E$379,$D23,Socle!$F$1:$F$379,$E23,Socle!$G$1:$G$379,"2026"))</f>
        <v/>
      </c>
      <c r="I23">
        <f>IF($A23="","",SUMIFS(Socle!$P$1:$P$379,Socle!$C$1:$C$379,$A23,Socle!$D$1:$D$379,$C23,Socle!$E$1:$E$379,$D23,Socle!$F$1:$F$379,$E23,Socle!$G$1:$G$379,"2026"))</f>
        <v/>
      </c>
      <c r="J23">
        <f>IF($A23="","",SUMIFS(Socle!$W$1:$W$379,Socle!$C$1:$C$379,$A23,Socle!$D$1:$D$379,$C23,Socle!$E$1:$E$379,$D23,Socle!$F$1:$F$379,$E23,Socle!$G$1:$G$379,"2026"))</f>
        <v/>
      </c>
      <c r="K23">
        <f>IF($A23="","",SUMIFS(Socle!$X$1:$X$379,Socle!$C$1:$C$379,$A23,Socle!$D$1:$D$379,$C23,Socle!$E$1:$E$379,$D23,Socle!$F$1:$F$379,$E23,Socle!$G$1:$G$379,"2026"))</f>
        <v/>
      </c>
      <c r="L23">
        <f>IF($A23="","",SUMIFS(Socle!$Y$1:$Y$379,Socle!$C$1:$C$379,$A23,Socle!$D$1:$D$379,$C23,Socle!$E$1:$E$379,$D23,Socle!$F$1:$F$379,$E23,Socle!$G$1:$G$379,"2026"))</f>
        <v/>
      </c>
      <c r="M23">
        <f>IF($A23="","",SUMIFS(Socle!$V$1:$V$379,Socle!$C$1:$C$379,$A23,Socle!$D$1:$D$379,$C23,Socle!$E$1:$E$379,$D23,Socle!$F$1:$F$379,$E23,Socle!$G$1:$G$379,"2026"))</f>
        <v/>
      </c>
      <c r="N23">
        <f>IF($A23="","",IF(OR($D23="B1",$D23="M1",$D23="BTS1"),1,0))</f>
        <v/>
      </c>
      <c r="O23">
        <f>IF($A23="","",SUMIFS(Campagne!$D$1:$D$28,Campagne!$C$1:$C$28,$A23))</f>
        <v/>
      </c>
      <c r="P23">
        <f>IF($A23="","",SUMIFS(Campagne!$E$1:$E$28,Campagne!$C$1:$C$28,$A23))</f>
        <v/>
      </c>
      <c r="Q23">
        <f>IF($A23="","",SUMIFS(Campagne!$F$1:$F$28,Campagne!$C$1:$C$28,$A23))</f>
        <v/>
      </c>
      <c r="R23">
        <f>IF($A23="","",SUMIFS(Campagne!$K$1:$K$28,Campagne!$C$1:$C$28,$A23))</f>
        <v/>
      </c>
      <c r="S23">
        <f>IF($A23="","",SUMIFS(Campagne!$M$1:$M$28,Campagne!$C$1:$C$28,$A23))</f>
        <v/>
      </c>
      <c r="T23">
        <f>IF($A23="","",SUMIFS(Pilotage!$K$19:$K$32,Pilotage!$A$19:$A$32,$A23)*SUMIFS(Pilotage!$J$19:$J$32,Pilotage!$A$19:$A$32,$A23)*(SUM(Pilotage!$K$19:$K$32)/SUMPRODUCT(Pilotage!$K$19:$K$32,Pilotage!$J$19:$J$32)))</f>
        <v/>
      </c>
      <c r="U23">
        <f>IF($A23="","",SUMIFS(Pilotage!$K$19:$K$32,Pilotage!$A$19:$A$32,$A23))</f>
        <v/>
      </c>
      <c r="V23">
        <f>IF($A23="","",IF($B23="V01",Cadrage!$C$22,IF($B23="V02",Cadrage!$D$22,Cadrage!$E$22)))</f>
        <v/>
      </c>
      <c r="W23">
        <f>IF($A23="","",IF($B23="V01",Cadrage!$C$23,IF($B23="V02",Cadrage!$D$23,Cadrage!$E$23)))</f>
        <v/>
      </c>
      <c r="X23">
        <f>IF($A23="","",IF($B23="V01",Cadrage!$C$24,IF($B23="V02",Cadrage!$D$24,Cadrage!$E$24)))</f>
        <v/>
      </c>
      <c r="Y23">
        <f>IF($A23="","",IF($B23="V01",Cadrage!$C$25,IF($B23="V02",Cadrage!$D$25,Cadrage!$E$25)))</f>
        <v/>
      </c>
      <c r="Z23">
        <f>IF($A23="","",IF($B23="V01",Cadrage!$C$26,IF($B23="V02",Cadrage!$D$26,Cadrage!$E$26)))</f>
        <v/>
      </c>
      <c r="AA23">
        <f>IF($A23="","",IF($B23="V01",Cadrage!$C$27,IF($B23="V02",Cadrage!$D$27,Cadrage!$E$27)))</f>
        <v/>
      </c>
      <c r="AB23">
        <f>IF($A23="","",IF($B23="V01",Cadrage!$C$39,IF($B23="V02",Cadrage!$D$39,Cadrage!$E$39)))</f>
        <v/>
      </c>
      <c r="AC23">
        <f>IF($A23="","",IF($F23="MBWAY",Cadrage!$K$11,IF($F23="ISCOM",Cadrage!$K$12,IF($F23="IPAC",Cadrage!$K$13,IF($F23="PIGIER",Cadrage!$K$14,Cadrage!$K$15)))))</f>
        <v/>
      </c>
      <c r="AD23">
        <f>IF($A23="","",($O23*(1+$W23)^$S23+$P23*IFERROR((($T23/$U23)*(1+$V23))^$R23,0))*IFERROR($G23/$Q23,0)*($J23+$Y23)*$K23*($L23+$Z23))</f>
        <v/>
      </c>
      <c r="AE23">
        <f>IF($A23="","",IF($N23=1,$AD23,0))</f>
        <v/>
      </c>
      <c r="AF23">
        <f>IF($A23="","",IF($N23=1,$AD23,$H23*($M23+$AA23)))</f>
        <v/>
      </c>
      <c r="AG23">
        <f>IF($A23="","",$I23*(1+$X23*$AC23))</f>
        <v/>
      </c>
      <c r="AH23">
        <f>IF($A23="","",$AF23*$AG23+$AE23*$AB23)</f>
        <v/>
      </c>
    </row>
    <row r="24">
      <c r="A24">
        <f>IF(Moteur!D24="","",Moteur!D24)</f>
        <v/>
      </c>
      <c r="B24">
        <f>IF(Moteur!B24="","",Moteur!B24)</f>
        <v/>
      </c>
      <c r="C24">
        <f>IF(Moteur!F24="","",Moteur!F24)</f>
        <v/>
      </c>
      <c r="D24">
        <f>IF(Moteur!G24="","",Moteur!G24)</f>
        <v/>
      </c>
      <c r="E24">
        <f>IF(Moteur!H24="","",Moteur!H24)</f>
        <v/>
      </c>
      <c r="F24">
        <f>IF(Moteur!E24="","",Moteur!E24)</f>
        <v/>
      </c>
      <c r="G24">
        <f>IF($A24="","",SUMIFS(Socle!$H$1:$H$379,Socle!$C$1:$C$379,$A24,Socle!$D$1:$D$379,$C24,Socle!$E$1:$E$379,$D24,Socle!$F$1:$F$379,$E24,Socle!$G$1:$G$379,"2026"))</f>
        <v/>
      </c>
      <c r="H24">
        <f>IF($A24="","",SUMIFS(Socle!$N$1:$N$379,Socle!$C$1:$C$379,$A24,Socle!$D$1:$D$379,$C24,Socle!$E$1:$E$379,$D24,Socle!$F$1:$F$379,$E24,Socle!$G$1:$G$379,"2026"))</f>
        <v/>
      </c>
      <c r="I24">
        <f>IF($A24="","",SUMIFS(Socle!$P$1:$P$379,Socle!$C$1:$C$379,$A24,Socle!$D$1:$D$379,$C24,Socle!$E$1:$E$379,$D24,Socle!$F$1:$F$379,$E24,Socle!$G$1:$G$379,"2026"))</f>
        <v/>
      </c>
      <c r="J24">
        <f>IF($A24="","",SUMIFS(Socle!$W$1:$W$379,Socle!$C$1:$C$379,$A24,Socle!$D$1:$D$379,$C24,Socle!$E$1:$E$379,$D24,Socle!$F$1:$F$379,$E24,Socle!$G$1:$G$379,"2026"))</f>
        <v/>
      </c>
      <c r="K24">
        <f>IF($A24="","",SUMIFS(Socle!$X$1:$X$379,Socle!$C$1:$C$379,$A24,Socle!$D$1:$D$379,$C24,Socle!$E$1:$E$379,$D24,Socle!$F$1:$F$379,$E24,Socle!$G$1:$G$379,"2026"))</f>
        <v/>
      </c>
      <c r="L24">
        <f>IF($A24="","",SUMIFS(Socle!$Y$1:$Y$379,Socle!$C$1:$C$379,$A24,Socle!$D$1:$D$379,$C24,Socle!$E$1:$E$379,$D24,Socle!$F$1:$F$379,$E24,Socle!$G$1:$G$379,"2026"))</f>
        <v/>
      </c>
      <c r="M24">
        <f>IF($A24="","",SUMIFS(Socle!$V$1:$V$379,Socle!$C$1:$C$379,$A24,Socle!$D$1:$D$379,$C24,Socle!$E$1:$E$379,$D24,Socle!$F$1:$F$379,$E24,Socle!$G$1:$G$379,"2026"))</f>
        <v/>
      </c>
      <c r="N24">
        <f>IF($A24="","",IF(OR($D24="B1",$D24="M1",$D24="BTS1"),1,0))</f>
        <v/>
      </c>
      <c r="O24">
        <f>IF($A24="","",SUMIFS(Campagne!$D$1:$D$28,Campagne!$C$1:$C$28,$A24))</f>
        <v/>
      </c>
      <c r="P24">
        <f>IF($A24="","",SUMIFS(Campagne!$E$1:$E$28,Campagne!$C$1:$C$28,$A24))</f>
        <v/>
      </c>
      <c r="Q24">
        <f>IF($A24="","",SUMIFS(Campagne!$F$1:$F$28,Campagne!$C$1:$C$28,$A24))</f>
        <v/>
      </c>
      <c r="R24">
        <f>IF($A24="","",SUMIFS(Campagne!$K$1:$K$28,Campagne!$C$1:$C$28,$A24))</f>
        <v/>
      </c>
      <c r="S24">
        <f>IF($A24="","",SUMIFS(Campagne!$M$1:$M$28,Campagne!$C$1:$C$28,$A24))</f>
        <v/>
      </c>
      <c r="T24">
        <f>IF($A24="","",SUMIFS(Pilotage!$K$19:$K$32,Pilotage!$A$19:$A$32,$A24)*SUMIFS(Pilotage!$J$19:$J$32,Pilotage!$A$19:$A$32,$A24)*(SUM(Pilotage!$K$19:$K$32)/SUMPRODUCT(Pilotage!$K$19:$K$32,Pilotage!$J$19:$J$32)))</f>
        <v/>
      </c>
      <c r="U24">
        <f>IF($A24="","",SUMIFS(Pilotage!$K$19:$K$32,Pilotage!$A$19:$A$32,$A24))</f>
        <v/>
      </c>
      <c r="V24">
        <f>IF($A24="","",IF($B24="V01",Cadrage!$C$22,IF($B24="V02",Cadrage!$D$22,Cadrage!$E$22)))</f>
        <v/>
      </c>
      <c r="W24">
        <f>IF($A24="","",IF($B24="V01",Cadrage!$C$23,IF($B24="V02",Cadrage!$D$23,Cadrage!$E$23)))</f>
        <v/>
      </c>
      <c r="X24">
        <f>IF($A24="","",IF($B24="V01",Cadrage!$C$24,IF($B24="V02",Cadrage!$D$24,Cadrage!$E$24)))</f>
        <v/>
      </c>
      <c r="Y24">
        <f>IF($A24="","",IF($B24="V01",Cadrage!$C$25,IF($B24="V02",Cadrage!$D$25,Cadrage!$E$25)))</f>
        <v/>
      </c>
      <c r="Z24">
        <f>IF($A24="","",IF($B24="V01",Cadrage!$C$26,IF($B24="V02",Cadrage!$D$26,Cadrage!$E$26)))</f>
        <v/>
      </c>
      <c r="AA24">
        <f>IF($A24="","",IF($B24="V01",Cadrage!$C$27,IF($B24="V02",Cadrage!$D$27,Cadrage!$E$27)))</f>
        <v/>
      </c>
      <c r="AB24">
        <f>IF($A24="","",IF($B24="V01",Cadrage!$C$39,IF($B24="V02",Cadrage!$D$39,Cadrage!$E$39)))</f>
        <v/>
      </c>
      <c r="AC24">
        <f>IF($A24="","",IF($F24="MBWAY",Cadrage!$K$11,IF($F24="ISCOM",Cadrage!$K$12,IF($F24="IPAC",Cadrage!$K$13,IF($F24="PIGIER",Cadrage!$K$14,Cadrage!$K$15)))))</f>
        <v/>
      </c>
      <c r="AD24">
        <f>IF($A24="","",($O24*(1+$W24)^$S24+$P24*IFERROR((($T24/$U24)*(1+$V24))^$R24,0))*IFERROR($G24/$Q24,0)*($J24+$Y24)*$K24*($L24+$Z24))</f>
        <v/>
      </c>
      <c r="AE24">
        <f>IF($A24="","",IF($N24=1,$AD24,0))</f>
        <v/>
      </c>
      <c r="AF24">
        <f>IF($A24="","",IF($N24=1,$AD24,$H24*($M24+$AA24)))</f>
        <v/>
      </c>
      <c r="AG24">
        <f>IF($A24="","",$I24*(1+$X24*$AC24))</f>
        <v/>
      </c>
      <c r="AH24">
        <f>IF($A24="","",$AF24*$AG24+$AE24*$AB24)</f>
        <v/>
      </c>
    </row>
    <row r="25">
      <c r="A25">
        <f>IF(Moteur!D25="","",Moteur!D25)</f>
        <v/>
      </c>
      <c r="B25">
        <f>IF(Moteur!B25="","",Moteur!B25)</f>
        <v/>
      </c>
      <c r="C25">
        <f>IF(Moteur!F25="","",Moteur!F25)</f>
        <v/>
      </c>
      <c r="D25">
        <f>IF(Moteur!G25="","",Moteur!G25)</f>
        <v/>
      </c>
      <c r="E25">
        <f>IF(Moteur!H25="","",Moteur!H25)</f>
        <v/>
      </c>
      <c r="F25">
        <f>IF(Moteur!E25="","",Moteur!E25)</f>
        <v/>
      </c>
      <c r="G25">
        <f>IF($A25="","",SUMIFS(Socle!$H$1:$H$379,Socle!$C$1:$C$379,$A25,Socle!$D$1:$D$379,$C25,Socle!$E$1:$E$379,$D25,Socle!$F$1:$F$379,$E25,Socle!$G$1:$G$379,"2026"))</f>
        <v/>
      </c>
      <c r="H25">
        <f>IF($A25="","",SUMIFS(Socle!$N$1:$N$379,Socle!$C$1:$C$379,$A25,Socle!$D$1:$D$379,$C25,Socle!$E$1:$E$379,$D25,Socle!$F$1:$F$379,$E25,Socle!$G$1:$G$379,"2026"))</f>
        <v/>
      </c>
      <c r="I25">
        <f>IF($A25="","",SUMIFS(Socle!$P$1:$P$379,Socle!$C$1:$C$379,$A25,Socle!$D$1:$D$379,$C25,Socle!$E$1:$E$379,$D25,Socle!$F$1:$F$379,$E25,Socle!$G$1:$G$379,"2026"))</f>
        <v/>
      </c>
      <c r="J25">
        <f>IF($A25="","",SUMIFS(Socle!$W$1:$W$379,Socle!$C$1:$C$379,$A25,Socle!$D$1:$D$379,$C25,Socle!$E$1:$E$379,$D25,Socle!$F$1:$F$379,$E25,Socle!$G$1:$G$379,"2026"))</f>
        <v/>
      </c>
      <c r="K25">
        <f>IF($A25="","",SUMIFS(Socle!$X$1:$X$379,Socle!$C$1:$C$379,$A25,Socle!$D$1:$D$379,$C25,Socle!$E$1:$E$379,$D25,Socle!$F$1:$F$379,$E25,Socle!$G$1:$G$379,"2026"))</f>
        <v/>
      </c>
      <c r="L25">
        <f>IF($A25="","",SUMIFS(Socle!$Y$1:$Y$379,Socle!$C$1:$C$379,$A25,Socle!$D$1:$D$379,$C25,Socle!$E$1:$E$379,$D25,Socle!$F$1:$F$379,$E25,Socle!$G$1:$G$379,"2026"))</f>
        <v/>
      </c>
      <c r="M25">
        <f>IF($A25="","",SUMIFS(Socle!$V$1:$V$379,Socle!$C$1:$C$379,$A25,Socle!$D$1:$D$379,$C25,Socle!$E$1:$E$379,$D25,Socle!$F$1:$F$379,$E25,Socle!$G$1:$G$379,"2026"))</f>
        <v/>
      </c>
      <c r="N25">
        <f>IF($A25="","",IF(OR($D25="B1",$D25="M1",$D25="BTS1"),1,0))</f>
        <v/>
      </c>
      <c r="O25">
        <f>IF($A25="","",SUMIFS(Campagne!$D$1:$D$28,Campagne!$C$1:$C$28,$A25))</f>
        <v/>
      </c>
      <c r="P25">
        <f>IF($A25="","",SUMIFS(Campagne!$E$1:$E$28,Campagne!$C$1:$C$28,$A25))</f>
        <v/>
      </c>
      <c r="Q25">
        <f>IF($A25="","",SUMIFS(Campagne!$F$1:$F$28,Campagne!$C$1:$C$28,$A25))</f>
        <v/>
      </c>
      <c r="R25">
        <f>IF($A25="","",SUMIFS(Campagne!$K$1:$K$28,Campagne!$C$1:$C$28,$A25))</f>
        <v/>
      </c>
      <c r="S25">
        <f>IF($A25="","",SUMIFS(Campagne!$M$1:$M$28,Campagne!$C$1:$C$28,$A25))</f>
        <v/>
      </c>
      <c r="T25">
        <f>IF($A25="","",SUMIFS(Pilotage!$K$19:$K$32,Pilotage!$A$19:$A$32,$A25)*SUMIFS(Pilotage!$J$19:$J$32,Pilotage!$A$19:$A$32,$A25)*(SUM(Pilotage!$K$19:$K$32)/SUMPRODUCT(Pilotage!$K$19:$K$32,Pilotage!$J$19:$J$32)))</f>
        <v/>
      </c>
      <c r="U25">
        <f>IF($A25="","",SUMIFS(Pilotage!$K$19:$K$32,Pilotage!$A$19:$A$32,$A25))</f>
        <v/>
      </c>
      <c r="V25">
        <f>IF($A25="","",IF($B25="V01",Cadrage!$C$22,IF($B25="V02",Cadrage!$D$22,Cadrage!$E$22)))</f>
        <v/>
      </c>
      <c r="W25">
        <f>IF($A25="","",IF($B25="V01",Cadrage!$C$23,IF($B25="V02",Cadrage!$D$23,Cadrage!$E$23)))</f>
        <v/>
      </c>
      <c r="X25">
        <f>IF($A25="","",IF($B25="V01",Cadrage!$C$24,IF($B25="V02",Cadrage!$D$24,Cadrage!$E$24)))</f>
        <v/>
      </c>
      <c r="Y25">
        <f>IF($A25="","",IF($B25="V01",Cadrage!$C$25,IF($B25="V02",Cadrage!$D$25,Cadrage!$E$25)))</f>
        <v/>
      </c>
      <c r="Z25">
        <f>IF($A25="","",IF($B25="V01",Cadrage!$C$26,IF($B25="V02",Cadrage!$D$26,Cadrage!$E$26)))</f>
        <v/>
      </c>
      <c r="AA25">
        <f>IF($A25="","",IF($B25="V01",Cadrage!$C$27,IF($B25="V02",Cadrage!$D$27,Cadrage!$E$27)))</f>
        <v/>
      </c>
      <c r="AB25">
        <f>IF($A25="","",IF($B25="V01",Cadrage!$C$39,IF($B25="V02",Cadrage!$D$39,Cadrage!$E$39)))</f>
        <v/>
      </c>
      <c r="AC25">
        <f>IF($A25="","",IF($F25="MBWAY",Cadrage!$K$11,IF($F25="ISCOM",Cadrage!$K$12,IF($F25="IPAC",Cadrage!$K$13,IF($F25="PIGIER",Cadrage!$K$14,Cadrage!$K$15)))))</f>
        <v/>
      </c>
      <c r="AD25">
        <f>IF($A25="","",($O25*(1+$W25)^$S25+$P25*IFERROR((($T25/$U25)*(1+$V25))^$R25,0))*IFERROR($G25/$Q25,0)*($J25+$Y25)*$K25*($L25+$Z25))</f>
        <v/>
      </c>
      <c r="AE25">
        <f>IF($A25="","",IF($N25=1,$AD25,0))</f>
        <v/>
      </c>
      <c r="AF25">
        <f>IF($A25="","",IF($N25=1,$AD25,$H25*($M25+$AA25)))</f>
        <v/>
      </c>
      <c r="AG25">
        <f>IF($A25="","",$I25*(1+$X25*$AC25))</f>
        <v/>
      </c>
      <c r="AH25">
        <f>IF($A25="","",$AF25*$AG25+$AE25*$AB25)</f>
        <v/>
      </c>
    </row>
    <row r="26">
      <c r="A26">
        <f>IF(Moteur!D26="","",Moteur!D26)</f>
        <v/>
      </c>
      <c r="B26">
        <f>IF(Moteur!B26="","",Moteur!B26)</f>
        <v/>
      </c>
      <c r="C26">
        <f>IF(Moteur!F26="","",Moteur!F26)</f>
        <v/>
      </c>
      <c r="D26">
        <f>IF(Moteur!G26="","",Moteur!G26)</f>
        <v/>
      </c>
      <c r="E26">
        <f>IF(Moteur!H26="","",Moteur!H26)</f>
        <v/>
      </c>
      <c r="F26">
        <f>IF(Moteur!E26="","",Moteur!E26)</f>
        <v/>
      </c>
      <c r="G26">
        <f>IF($A26="","",SUMIFS(Socle!$H$1:$H$379,Socle!$C$1:$C$379,$A26,Socle!$D$1:$D$379,$C26,Socle!$E$1:$E$379,$D26,Socle!$F$1:$F$379,$E26,Socle!$G$1:$G$379,"2026"))</f>
        <v/>
      </c>
      <c r="H26">
        <f>IF($A26="","",SUMIFS(Socle!$N$1:$N$379,Socle!$C$1:$C$379,$A26,Socle!$D$1:$D$379,$C26,Socle!$E$1:$E$379,$D26,Socle!$F$1:$F$379,$E26,Socle!$G$1:$G$379,"2026"))</f>
        <v/>
      </c>
      <c r="I26">
        <f>IF($A26="","",SUMIFS(Socle!$P$1:$P$379,Socle!$C$1:$C$379,$A26,Socle!$D$1:$D$379,$C26,Socle!$E$1:$E$379,$D26,Socle!$F$1:$F$379,$E26,Socle!$G$1:$G$379,"2026"))</f>
        <v/>
      </c>
      <c r="J26">
        <f>IF($A26="","",SUMIFS(Socle!$W$1:$W$379,Socle!$C$1:$C$379,$A26,Socle!$D$1:$D$379,$C26,Socle!$E$1:$E$379,$D26,Socle!$F$1:$F$379,$E26,Socle!$G$1:$G$379,"2026"))</f>
        <v/>
      </c>
      <c r="K26">
        <f>IF($A26="","",SUMIFS(Socle!$X$1:$X$379,Socle!$C$1:$C$379,$A26,Socle!$D$1:$D$379,$C26,Socle!$E$1:$E$379,$D26,Socle!$F$1:$F$379,$E26,Socle!$G$1:$G$379,"2026"))</f>
        <v/>
      </c>
      <c r="L26">
        <f>IF($A26="","",SUMIFS(Socle!$Y$1:$Y$379,Socle!$C$1:$C$379,$A26,Socle!$D$1:$D$379,$C26,Socle!$E$1:$E$379,$D26,Socle!$F$1:$F$379,$E26,Socle!$G$1:$G$379,"2026"))</f>
        <v/>
      </c>
      <c r="M26">
        <f>IF($A26="","",SUMIFS(Socle!$V$1:$V$379,Socle!$C$1:$C$379,$A26,Socle!$D$1:$D$379,$C26,Socle!$E$1:$E$379,$D26,Socle!$F$1:$F$379,$E26,Socle!$G$1:$G$379,"2026"))</f>
        <v/>
      </c>
      <c r="N26">
        <f>IF($A26="","",IF(OR($D26="B1",$D26="M1",$D26="BTS1"),1,0))</f>
        <v/>
      </c>
      <c r="O26">
        <f>IF($A26="","",SUMIFS(Campagne!$D$1:$D$28,Campagne!$C$1:$C$28,$A26))</f>
        <v/>
      </c>
      <c r="P26">
        <f>IF($A26="","",SUMIFS(Campagne!$E$1:$E$28,Campagne!$C$1:$C$28,$A26))</f>
        <v/>
      </c>
      <c r="Q26">
        <f>IF($A26="","",SUMIFS(Campagne!$F$1:$F$28,Campagne!$C$1:$C$28,$A26))</f>
        <v/>
      </c>
      <c r="R26">
        <f>IF($A26="","",SUMIFS(Campagne!$K$1:$K$28,Campagne!$C$1:$C$28,$A26))</f>
        <v/>
      </c>
      <c r="S26">
        <f>IF($A26="","",SUMIFS(Campagne!$M$1:$M$28,Campagne!$C$1:$C$28,$A26))</f>
        <v/>
      </c>
      <c r="T26">
        <f>IF($A26="","",SUMIFS(Pilotage!$K$19:$K$32,Pilotage!$A$19:$A$32,$A26)*SUMIFS(Pilotage!$J$19:$J$32,Pilotage!$A$19:$A$32,$A26)*(SUM(Pilotage!$K$19:$K$32)/SUMPRODUCT(Pilotage!$K$19:$K$32,Pilotage!$J$19:$J$32)))</f>
        <v/>
      </c>
      <c r="U26">
        <f>IF($A26="","",SUMIFS(Pilotage!$K$19:$K$32,Pilotage!$A$19:$A$32,$A26))</f>
        <v/>
      </c>
      <c r="V26">
        <f>IF($A26="","",IF($B26="V01",Cadrage!$C$22,IF($B26="V02",Cadrage!$D$22,Cadrage!$E$22)))</f>
        <v/>
      </c>
      <c r="W26">
        <f>IF($A26="","",IF($B26="V01",Cadrage!$C$23,IF($B26="V02",Cadrage!$D$23,Cadrage!$E$23)))</f>
        <v/>
      </c>
      <c r="X26">
        <f>IF($A26="","",IF($B26="V01",Cadrage!$C$24,IF($B26="V02",Cadrage!$D$24,Cadrage!$E$24)))</f>
        <v/>
      </c>
      <c r="Y26">
        <f>IF($A26="","",IF($B26="V01",Cadrage!$C$25,IF($B26="V02",Cadrage!$D$25,Cadrage!$E$25)))</f>
        <v/>
      </c>
      <c r="Z26">
        <f>IF($A26="","",IF($B26="V01",Cadrage!$C$26,IF($B26="V02",Cadrage!$D$26,Cadrage!$E$26)))</f>
        <v/>
      </c>
      <c r="AA26">
        <f>IF($A26="","",IF($B26="V01",Cadrage!$C$27,IF($B26="V02",Cadrage!$D$27,Cadrage!$E$27)))</f>
        <v/>
      </c>
      <c r="AB26">
        <f>IF($A26="","",IF($B26="V01",Cadrage!$C$39,IF($B26="V02",Cadrage!$D$39,Cadrage!$E$39)))</f>
        <v/>
      </c>
      <c r="AC26">
        <f>IF($A26="","",IF($F26="MBWAY",Cadrage!$K$11,IF($F26="ISCOM",Cadrage!$K$12,IF($F26="IPAC",Cadrage!$K$13,IF($F26="PIGIER",Cadrage!$K$14,Cadrage!$K$15)))))</f>
        <v/>
      </c>
      <c r="AD26">
        <f>IF($A26="","",($O26*(1+$W26)^$S26+$P26*IFERROR((($T26/$U26)*(1+$V26))^$R26,0))*IFERROR($G26/$Q26,0)*($J26+$Y26)*$K26*($L26+$Z26))</f>
        <v/>
      </c>
      <c r="AE26">
        <f>IF($A26="","",IF($N26=1,$AD26,0))</f>
        <v/>
      </c>
      <c r="AF26">
        <f>IF($A26="","",IF($N26=1,$AD26,$H26*($M26+$AA26)))</f>
        <v/>
      </c>
      <c r="AG26">
        <f>IF($A26="","",$I26*(1+$X26*$AC26))</f>
        <v/>
      </c>
      <c r="AH26">
        <f>IF($A26="","",$AF26*$AG26+$AE26*$AB26)</f>
        <v/>
      </c>
    </row>
    <row r="27">
      <c r="A27">
        <f>IF(Moteur!D27="","",Moteur!D27)</f>
        <v/>
      </c>
      <c r="B27">
        <f>IF(Moteur!B27="","",Moteur!B27)</f>
        <v/>
      </c>
      <c r="C27">
        <f>IF(Moteur!F27="","",Moteur!F27)</f>
        <v/>
      </c>
      <c r="D27">
        <f>IF(Moteur!G27="","",Moteur!G27)</f>
        <v/>
      </c>
      <c r="E27">
        <f>IF(Moteur!H27="","",Moteur!H27)</f>
        <v/>
      </c>
      <c r="F27">
        <f>IF(Moteur!E27="","",Moteur!E27)</f>
        <v/>
      </c>
      <c r="G27">
        <f>IF($A27="","",SUMIFS(Socle!$H$1:$H$379,Socle!$C$1:$C$379,$A27,Socle!$D$1:$D$379,$C27,Socle!$E$1:$E$379,$D27,Socle!$F$1:$F$379,$E27,Socle!$G$1:$G$379,"2026"))</f>
        <v/>
      </c>
      <c r="H27">
        <f>IF($A27="","",SUMIFS(Socle!$N$1:$N$379,Socle!$C$1:$C$379,$A27,Socle!$D$1:$D$379,$C27,Socle!$E$1:$E$379,$D27,Socle!$F$1:$F$379,$E27,Socle!$G$1:$G$379,"2026"))</f>
        <v/>
      </c>
      <c r="I27">
        <f>IF($A27="","",SUMIFS(Socle!$P$1:$P$379,Socle!$C$1:$C$379,$A27,Socle!$D$1:$D$379,$C27,Socle!$E$1:$E$379,$D27,Socle!$F$1:$F$379,$E27,Socle!$G$1:$G$379,"2026"))</f>
        <v/>
      </c>
      <c r="J27">
        <f>IF($A27="","",SUMIFS(Socle!$W$1:$W$379,Socle!$C$1:$C$379,$A27,Socle!$D$1:$D$379,$C27,Socle!$E$1:$E$379,$D27,Socle!$F$1:$F$379,$E27,Socle!$G$1:$G$379,"2026"))</f>
        <v/>
      </c>
      <c r="K27">
        <f>IF($A27="","",SUMIFS(Socle!$X$1:$X$379,Socle!$C$1:$C$379,$A27,Socle!$D$1:$D$379,$C27,Socle!$E$1:$E$379,$D27,Socle!$F$1:$F$379,$E27,Socle!$G$1:$G$379,"2026"))</f>
        <v/>
      </c>
      <c r="L27">
        <f>IF($A27="","",SUMIFS(Socle!$Y$1:$Y$379,Socle!$C$1:$C$379,$A27,Socle!$D$1:$D$379,$C27,Socle!$E$1:$E$379,$D27,Socle!$F$1:$F$379,$E27,Socle!$G$1:$G$379,"2026"))</f>
        <v/>
      </c>
      <c r="M27">
        <f>IF($A27="","",SUMIFS(Socle!$V$1:$V$379,Socle!$C$1:$C$379,$A27,Socle!$D$1:$D$379,$C27,Socle!$E$1:$E$379,$D27,Socle!$F$1:$F$379,$E27,Socle!$G$1:$G$379,"2026"))</f>
        <v/>
      </c>
      <c r="N27">
        <f>IF($A27="","",IF(OR($D27="B1",$D27="M1",$D27="BTS1"),1,0))</f>
        <v/>
      </c>
      <c r="O27">
        <f>IF($A27="","",SUMIFS(Campagne!$D$1:$D$28,Campagne!$C$1:$C$28,$A27))</f>
        <v/>
      </c>
      <c r="P27">
        <f>IF($A27="","",SUMIFS(Campagne!$E$1:$E$28,Campagne!$C$1:$C$28,$A27))</f>
        <v/>
      </c>
      <c r="Q27">
        <f>IF($A27="","",SUMIFS(Campagne!$F$1:$F$28,Campagne!$C$1:$C$28,$A27))</f>
        <v/>
      </c>
      <c r="R27">
        <f>IF($A27="","",SUMIFS(Campagne!$K$1:$K$28,Campagne!$C$1:$C$28,$A27))</f>
        <v/>
      </c>
      <c r="S27">
        <f>IF($A27="","",SUMIFS(Campagne!$M$1:$M$28,Campagne!$C$1:$C$28,$A27))</f>
        <v/>
      </c>
      <c r="T27">
        <f>IF($A27="","",SUMIFS(Pilotage!$K$19:$K$32,Pilotage!$A$19:$A$32,$A27)*SUMIFS(Pilotage!$J$19:$J$32,Pilotage!$A$19:$A$32,$A27)*(SUM(Pilotage!$K$19:$K$32)/SUMPRODUCT(Pilotage!$K$19:$K$32,Pilotage!$J$19:$J$32)))</f>
        <v/>
      </c>
      <c r="U27">
        <f>IF($A27="","",SUMIFS(Pilotage!$K$19:$K$32,Pilotage!$A$19:$A$32,$A27))</f>
        <v/>
      </c>
      <c r="V27">
        <f>IF($A27="","",IF($B27="V01",Cadrage!$C$22,IF($B27="V02",Cadrage!$D$22,Cadrage!$E$22)))</f>
        <v/>
      </c>
      <c r="W27">
        <f>IF($A27="","",IF($B27="V01",Cadrage!$C$23,IF($B27="V02",Cadrage!$D$23,Cadrage!$E$23)))</f>
        <v/>
      </c>
      <c r="X27">
        <f>IF($A27="","",IF($B27="V01",Cadrage!$C$24,IF($B27="V02",Cadrage!$D$24,Cadrage!$E$24)))</f>
        <v/>
      </c>
      <c r="Y27">
        <f>IF($A27="","",IF($B27="V01",Cadrage!$C$25,IF($B27="V02",Cadrage!$D$25,Cadrage!$E$25)))</f>
        <v/>
      </c>
      <c r="Z27">
        <f>IF($A27="","",IF($B27="V01",Cadrage!$C$26,IF($B27="V02",Cadrage!$D$26,Cadrage!$E$26)))</f>
        <v/>
      </c>
      <c r="AA27">
        <f>IF($A27="","",IF($B27="V01",Cadrage!$C$27,IF($B27="V02",Cadrage!$D$27,Cadrage!$E$27)))</f>
        <v/>
      </c>
      <c r="AB27">
        <f>IF($A27="","",IF($B27="V01",Cadrage!$C$39,IF($B27="V02",Cadrage!$D$39,Cadrage!$E$39)))</f>
        <v/>
      </c>
      <c r="AC27">
        <f>IF($A27="","",IF($F27="MBWAY",Cadrage!$K$11,IF($F27="ISCOM",Cadrage!$K$12,IF($F27="IPAC",Cadrage!$K$13,IF($F27="PIGIER",Cadrage!$K$14,Cadrage!$K$15)))))</f>
        <v/>
      </c>
      <c r="AD27">
        <f>IF($A27="","",($O27*(1+$W27)^$S27+$P27*IFERROR((($T27/$U27)*(1+$V27))^$R27,0))*IFERROR($G27/$Q27,0)*($J27+$Y27)*$K27*($L27+$Z27))</f>
        <v/>
      </c>
      <c r="AE27">
        <f>IF($A27="","",IF($N27=1,$AD27,0))</f>
        <v/>
      </c>
      <c r="AF27">
        <f>IF($A27="","",IF($N27=1,$AD27,$H27*($M27+$AA27)))</f>
        <v/>
      </c>
      <c r="AG27">
        <f>IF($A27="","",$I27*(1+$X27*$AC27))</f>
        <v/>
      </c>
      <c r="AH27">
        <f>IF($A27="","",$AF27*$AG27+$AE27*$AB27)</f>
        <v/>
      </c>
    </row>
    <row r="28">
      <c r="A28">
        <f>IF(Moteur!D28="","",Moteur!D28)</f>
        <v/>
      </c>
      <c r="B28">
        <f>IF(Moteur!B28="","",Moteur!B28)</f>
        <v/>
      </c>
      <c r="C28">
        <f>IF(Moteur!F28="","",Moteur!F28)</f>
        <v/>
      </c>
      <c r="D28">
        <f>IF(Moteur!G28="","",Moteur!G28)</f>
        <v/>
      </c>
      <c r="E28">
        <f>IF(Moteur!H28="","",Moteur!H28)</f>
        <v/>
      </c>
      <c r="F28">
        <f>IF(Moteur!E28="","",Moteur!E28)</f>
        <v/>
      </c>
      <c r="G28">
        <f>IF($A28="","",SUMIFS(Socle!$H$1:$H$379,Socle!$C$1:$C$379,$A28,Socle!$D$1:$D$379,$C28,Socle!$E$1:$E$379,$D28,Socle!$F$1:$F$379,$E28,Socle!$G$1:$G$379,"2026"))</f>
        <v/>
      </c>
      <c r="H28">
        <f>IF($A28="","",SUMIFS(Socle!$N$1:$N$379,Socle!$C$1:$C$379,$A28,Socle!$D$1:$D$379,$C28,Socle!$E$1:$E$379,$D28,Socle!$F$1:$F$379,$E28,Socle!$G$1:$G$379,"2026"))</f>
        <v/>
      </c>
      <c r="I28">
        <f>IF($A28="","",SUMIFS(Socle!$P$1:$P$379,Socle!$C$1:$C$379,$A28,Socle!$D$1:$D$379,$C28,Socle!$E$1:$E$379,$D28,Socle!$F$1:$F$379,$E28,Socle!$G$1:$G$379,"2026"))</f>
        <v/>
      </c>
      <c r="J28">
        <f>IF($A28="","",SUMIFS(Socle!$W$1:$W$379,Socle!$C$1:$C$379,$A28,Socle!$D$1:$D$379,$C28,Socle!$E$1:$E$379,$D28,Socle!$F$1:$F$379,$E28,Socle!$G$1:$G$379,"2026"))</f>
        <v/>
      </c>
      <c r="K28">
        <f>IF($A28="","",SUMIFS(Socle!$X$1:$X$379,Socle!$C$1:$C$379,$A28,Socle!$D$1:$D$379,$C28,Socle!$E$1:$E$379,$D28,Socle!$F$1:$F$379,$E28,Socle!$G$1:$G$379,"2026"))</f>
        <v/>
      </c>
      <c r="L28">
        <f>IF($A28="","",SUMIFS(Socle!$Y$1:$Y$379,Socle!$C$1:$C$379,$A28,Socle!$D$1:$D$379,$C28,Socle!$E$1:$E$379,$D28,Socle!$F$1:$F$379,$E28,Socle!$G$1:$G$379,"2026"))</f>
        <v/>
      </c>
      <c r="M28">
        <f>IF($A28="","",SUMIFS(Socle!$V$1:$V$379,Socle!$C$1:$C$379,$A28,Socle!$D$1:$D$379,$C28,Socle!$E$1:$E$379,$D28,Socle!$F$1:$F$379,$E28,Socle!$G$1:$G$379,"2026"))</f>
        <v/>
      </c>
      <c r="N28">
        <f>IF($A28="","",IF(OR($D28="B1",$D28="M1",$D28="BTS1"),1,0))</f>
        <v/>
      </c>
      <c r="O28">
        <f>IF($A28="","",SUMIFS(Campagne!$D$1:$D$28,Campagne!$C$1:$C$28,$A28))</f>
        <v/>
      </c>
      <c r="P28">
        <f>IF($A28="","",SUMIFS(Campagne!$E$1:$E$28,Campagne!$C$1:$C$28,$A28))</f>
        <v/>
      </c>
      <c r="Q28">
        <f>IF($A28="","",SUMIFS(Campagne!$F$1:$F$28,Campagne!$C$1:$C$28,$A28))</f>
        <v/>
      </c>
      <c r="R28">
        <f>IF($A28="","",SUMIFS(Campagne!$K$1:$K$28,Campagne!$C$1:$C$28,$A28))</f>
        <v/>
      </c>
      <c r="S28">
        <f>IF($A28="","",SUMIFS(Campagne!$M$1:$M$28,Campagne!$C$1:$C$28,$A28))</f>
        <v/>
      </c>
      <c r="T28">
        <f>IF($A28="","",SUMIFS(Pilotage!$K$19:$K$32,Pilotage!$A$19:$A$32,$A28)*SUMIFS(Pilotage!$J$19:$J$32,Pilotage!$A$19:$A$32,$A28)*(SUM(Pilotage!$K$19:$K$32)/SUMPRODUCT(Pilotage!$K$19:$K$32,Pilotage!$J$19:$J$32)))</f>
        <v/>
      </c>
      <c r="U28">
        <f>IF($A28="","",SUMIFS(Pilotage!$K$19:$K$32,Pilotage!$A$19:$A$32,$A28))</f>
        <v/>
      </c>
      <c r="V28">
        <f>IF($A28="","",IF($B28="V01",Cadrage!$C$22,IF($B28="V02",Cadrage!$D$22,Cadrage!$E$22)))</f>
        <v/>
      </c>
      <c r="W28">
        <f>IF($A28="","",IF($B28="V01",Cadrage!$C$23,IF($B28="V02",Cadrage!$D$23,Cadrage!$E$23)))</f>
        <v/>
      </c>
      <c r="X28">
        <f>IF($A28="","",IF($B28="V01",Cadrage!$C$24,IF($B28="V02",Cadrage!$D$24,Cadrage!$E$24)))</f>
        <v/>
      </c>
      <c r="Y28">
        <f>IF($A28="","",IF($B28="V01",Cadrage!$C$25,IF($B28="V02",Cadrage!$D$25,Cadrage!$E$25)))</f>
        <v/>
      </c>
      <c r="Z28">
        <f>IF($A28="","",IF($B28="V01",Cadrage!$C$26,IF($B28="V02",Cadrage!$D$26,Cadrage!$E$26)))</f>
        <v/>
      </c>
      <c r="AA28">
        <f>IF($A28="","",IF($B28="V01",Cadrage!$C$27,IF($B28="V02",Cadrage!$D$27,Cadrage!$E$27)))</f>
        <v/>
      </c>
      <c r="AB28">
        <f>IF($A28="","",IF($B28="V01",Cadrage!$C$39,IF($B28="V02",Cadrage!$D$39,Cadrage!$E$39)))</f>
        <v/>
      </c>
      <c r="AC28">
        <f>IF($A28="","",IF($F28="MBWAY",Cadrage!$K$11,IF($F28="ISCOM",Cadrage!$K$12,IF($F28="IPAC",Cadrage!$K$13,IF($F28="PIGIER",Cadrage!$K$14,Cadrage!$K$15)))))</f>
        <v/>
      </c>
      <c r="AD28">
        <f>IF($A28="","",($O28*(1+$W28)^$S28+$P28*IFERROR((($T28/$U28)*(1+$V28))^$R28,0))*IFERROR($G28/$Q28,0)*($J28+$Y28)*$K28*($L28+$Z28))</f>
        <v/>
      </c>
      <c r="AE28">
        <f>IF($A28="","",IF($N28=1,$AD28,0))</f>
        <v/>
      </c>
      <c r="AF28">
        <f>IF($A28="","",IF($N28=1,$AD28,$H28*($M28+$AA28)))</f>
        <v/>
      </c>
      <c r="AG28">
        <f>IF($A28="","",$I28*(1+$X28*$AC28))</f>
        <v/>
      </c>
      <c r="AH28">
        <f>IF($A28="","",$AF28*$AG28+$AE28*$AB28)</f>
        <v/>
      </c>
    </row>
    <row r="29">
      <c r="A29">
        <f>IF(Moteur!D29="","",Moteur!D29)</f>
        <v/>
      </c>
      <c r="B29">
        <f>IF(Moteur!B29="","",Moteur!B29)</f>
        <v/>
      </c>
      <c r="C29">
        <f>IF(Moteur!F29="","",Moteur!F29)</f>
        <v/>
      </c>
      <c r="D29">
        <f>IF(Moteur!G29="","",Moteur!G29)</f>
        <v/>
      </c>
      <c r="E29">
        <f>IF(Moteur!H29="","",Moteur!H29)</f>
        <v/>
      </c>
      <c r="F29">
        <f>IF(Moteur!E29="","",Moteur!E29)</f>
        <v/>
      </c>
      <c r="G29">
        <f>IF($A29="","",SUMIFS(Socle!$H$1:$H$379,Socle!$C$1:$C$379,$A29,Socle!$D$1:$D$379,$C29,Socle!$E$1:$E$379,$D29,Socle!$F$1:$F$379,$E29,Socle!$G$1:$G$379,"2026"))</f>
        <v/>
      </c>
      <c r="H29">
        <f>IF($A29="","",SUMIFS(Socle!$N$1:$N$379,Socle!$C$1:$C$379,$A29,Socle!$D$1:$D$379,$C29,Socle!$E$1:$E$379,$D29,Socle!$F$1:$F$379,$E29,Socle!$G$1:$G$379,"2026"))</f>
        <v/>
      </c>
      <c r="I29">
        <f>IF($A29="","",SUMIFS(Socle!$P$1:$P$379,Socle!$C$1:$C$379,$A29,Socle!$D$1:$D$379,$C29,Socle!$E$1:$E$379,$D29,Socle!$F$1:$F$379,$E29,Socle!$G$1:$G$379,"2026"))</f>
        <v/>
      </c>
      <c r="J29">
        <f>IF($A29="","",SUMIFS(Socle!$W$1:$W$379,Socle!$C$1:$C$379,$A29,Socle!$D$1:$D$379,$C29,Socle!$E$1:$E$379,$D29,Socle!$F$1:$F$379,$E29,Socle!$G$1:$G$379,"2026"))</f>
        <v/>
      </c>
      <c r="K29">
        <f>IF($A29="","",SUMIFS(Socle!$X$1:$X$379,Socle!$C$1:$C$379,$A29,Socle!$D$1:$D$379,$C29,Socle!$E$1:$E$379,$D29,Socle!$F$1:$F$379,$E29,Socle!$G$1:$G$379,"2026"))</f>
        <v/>
      </c>
      <c r="L29">
        <f>IF($A29="","",SUMIFS(Socle!$Y$1:$Y$379,Socle!$C$1:$C$379,$A29,Socle!$D$1:$D$379,$C29,Socle!$E$1:$E$379,$D29,Socle!$F$1:$F$379,$E29,Socle!$G$1:$G$379,"2026"))</f>
        <v/>
      </c>
      <c r="M29">
        <f>IF($A29="","",SUMIFS(Socle!$V$1:$V$379,Socle!$C$1:$C$379,$A29,Socle!$D$1:$D$379,$C29,Socle!$E$1:$E$379,$D29,Socle!$F$1:$F$379,$E29,Socle!$G$1:$G$379,"2026"))</f>
        <v/>
      </c>
      <c r="N29">
        <f>IF($A29="","",IF(OR($D29="B1",$D29="M1",$D29="BTS1"),1,0))</f>
        <v/>
      </c>
      <c r="O29">
        <f>IF($A29="","",SUMIFS(Campagne!$D$1:$D$28,Campagne!$C$1:$C$28,$A29))</f>
        <v/>
      </c>
      <c r="P29">
        <f>IF($A29="","",SUMIFS(Campagne!$E$1:$E$28,Campagne!$C$1:$C$28,$A29))</f>
        <v/>
      </c>
      <c r="Q29">
        <f>IF($A29="","",SUMIFS(Campagne!$F$1:$F$28,Campagne!$C$1:$C$28,$A29))</f>
        <v/>
      </c>
      <c r="R29">
        <f>IF($A29="","",SUMIFS(Campagne!$K$1:$K$28,Campagne!$C$1:$C$28,$A29))</f>
        <v/>
      </c>
      <c r="S29">
        <f>IF($A29="","",SUMIFS(Campagne!$M$1:$M$28,Campagne!$C$1:$C$28,$A29))</f>
        <v/>
      </c>
      <c r="T29">
        <f>IF($A29="","",SUMIFS(Pilotage!$K$19:$K$32,Pilotage!$A$19:$A$32,$A29)*SUMIFS(Pilotage!$J$19:$J$32,Pilotage!$A$19:$A$32,$A29)*(SUM(Pilotage!$K$19:$K$32)/SUMPRODUCT(Pilotage!$K$19:$K$32,Pilotage!$J$19:$J$32)))</f>
        <v/>
      </c>
      <c r="U29">
        <f>IF($A29="","",SUMIFS(Pilotage!$K$19:$K$32,Pilotage!$A$19:$A$32,$A29))</f>
        <v/>
      </c>
      <c r="V29">
        <f>IF($A29="","",IF($B29="V01",Cadrage!$C$22,IF($B29="V02",Cadrage!$D$22,Cadrage!$E$22)))</f>
        <v/>
      </c>
      <c r="W29">
        <f>IF($A29="","",IF($B29="V01",Cadrage!$C$23,IF($B29="V02",Cadrage!$D$23,Cadrage!$E$23)))</f>
        <v/>
      </c>
      <c r="X29">
        <f>IF($A29="","",IF($B29="V01",Cadrage!$C$24,IF($B29="V02",Cadrage!$D$24,Cadrage!$E$24)))</f>
        <v/>
      </c>
      <c r="Y29">
        <f>IF($A29="","",IF($B29="V01",Cadrage!$C$25,IF($B29="V02",Cadrage!$D$25,Cadrage!$E$25)))</f>
        <v/>
      </c>
      <c r="Z29">
        <f>IF($A29="","",IF($B29="V01",Cadrage!$C$26,IF($B29="V02",Cadrage!$D$26,Cadrage!$E$26)))</f>
        <v/>
      </c>
      <c r="AA29">
        <f>IF($A29="","",IF($B29="V01",Cadrage!$C$27,IF($B29="V02",Cadrage!$D$27,Cadrage!$E$27)))</f>
        <v/>
      </c>
      <c r="AB29">
        <f>IF($A29="","",IF($B29="V01",Cadrage!$C$39,IF($B29="V02",Cadrage!$D$39,Cadrage!$E$39)))</f>
        <v/>
      </c>
      <c r="AC29">
        <f>IF($A29="","",IF($F29="MBWAY",Cadrage!$K$11,IF($F29="ISCOM",Cadrage!$K$12,IF($F29="IPAC",Cadrage!$K$13,IF($F29="PIGIER",Cadrage!$K$14,Cadrage!$K$15)))))</f>
        <v/>
      </c>
      <c r="AD29">
        <f>IF($A29="","",($O29*(1+$W29)^$S29+$P29*IFERROR((($T29/$U29)*(1+$V29))^$R29,0))*IFERROR($G29/$Q29,0)*($J29+$Y29)*$K29*($L29+$Z29))</f>
        <v/>
      </c>
      <c r="AE29">
        <f>IF($A29="","",IF($N29=1,$AD29,0))</f>
        <v/>
      </c>
      <c r="AF29">
        <f>IF($A29="","",IF($N29=1,$AD29,$H29*($M29+$AA29)))</f>
        <v/>
      </c>
      <c r="AG29">
        <f>IF($A29="","",$I29*(1+$X29*$AC29))</f>
        <v/>
      </c>
      <c r="AH29">
        <f>IF($A29="","",$AF29*$AG29+$AE29*$AB29)</f>
        <v/>
      </c>
    </row>
    <row r="30">
      <c r="A30">
        <f>IF(Moteur!D30="","",Moteur!D30)</f>
        <v/>
      </c>
      <c r="B30">
        <f>IF(Moteur!B30="","",Moteur!B30)</f>
        <v/>
      </c>
      <c r="C30">
        <f>IF(Moteur!F30="","",Moteur!F30)</f>
        <v/>
      </c>
      <c r="D30">
        <f>IF(Moteur!G30="","",Moteur!G30)</f>
        <v/>
      </c>
      <c r="E30">
        <f>IF(Moteur!H30="","",Moteur!H30)</f>
        <v/>
      </c>
      <c r="F30">
        <f>IF(Moteur!E30="","",Moteur!E30)</f>
        <v/>
      </c>
      <c r="G30">
        <f>IF($A30="","",SUMIFS(Socle!$H$1:$H$379,Socle!$C$1:$C$379,$A30,Socle!$D$1:$D$379,$C30,Socle!$E$1:$E$379,$D30,Socle!$F$1:$F$379,$E30,Socle!$G$1:$G$379,"2026"))</f>
        <v/>
      </c>
      <c r="H30">
        <f>IF($A30="","",SUMIFS(Socle!$N$1:$N$379,Socle!$C$1:$C$379,$A30,Socle!$D$1:$D$379,$C30,Socle!$E$1:$E$379,$D30,Socle!$F$1:$F$379,$E30,Socle!$G$1:$G$379,"2026"))</f>
        <v/>
      </c>
      <c r="I30">
        <f>IF($A30="","",SUMIFS(Socle!$P$1:$P$379,Socle!$C$1:$C$379,$A30,Socle!$D$1:$D$379,$C30,Socle!$E$1:$E$379,$D30,Socle!$F$1:$F$379,$E30,Socle!$G$1:$G$379,"2026"))</f>
        <v/>
      </c>
      <c r="J30">
        <f>IF($A30="","",SUMIFS(Socle!$W$1:$W$379,Socle!$C$1:$C$379,$A30,Socle!$D$1:$D$379,$C30,Socle!$E$1:$E$379,$D30,Socle!$F$1:$F$379,$E30,Socle!$G$1:$G$379,"2026"))</f>
        <v/>
      </c>
      <c r="K30">
        <f>IF($A30="","",SUMIFS(Socle!$X$1:$X$379,Socle!$C$1:$C$379,$A30,Socle!$D$1:$D$379,$C30,Socle!$E$1:$E$379,$D30,Socle!$F$1:$F$379,$E30,Socle!$G$1:$G$379,"2026"))</f>
        <v/>
      </c>
      <c r="L30">
        <f>IF($A30="","",SUMIFS(Socle!$Y$1:$Y$379,Socle!$C$1:$C$379,$A30,Socle!$D$1:$D$379,$C30,Socle!$E$1:$E$379,$D30,Socle!$F$1:$F$379,$E30,Socle!$G$1:$G$379,"2026"))</f>
        <v/>
      </c>
      <c r="M30">
        <f>IF($A30="","",SUMIFS(Socle!$V$1:$V$379,Socle!$C$1:$C$379,$A30,Socle!$D$1:$D$379,$C30,Socle!$E$1:$E$379,$D30,Socle!$F$1:$F$379,$E30,Socle!$G$1:$G$379,"2026"))</f>
        <v/>
      </c>
      <c r="N30">
        <f>IF($A30="","",IF(OR($D30="B1",$D30="M1",$D30="BTS1"),1,0))</f>
        <v/>
      </c>
      <c r="O30">
        <f>IF($A30="","",SUMIFS(Campagne!$D$1:$D$28,Campagne!$C$1:$C$28,$A30))</f>
        <v/>
      </c>
      <c r="P30">
        <f>IF($A30="","",SUMIFS(Campagne!$E$1:$E$28,Campagne!$C$1:$C$28,$A30))</f>
        <v/>
      </c>
      <c r="Q30">
        <f>IF($A30="","",SUMIFS(Campagne!$F$1:$F$28,Campagne!$C$1:$C$28,$A30))</f>
        <v/>
      </c>
      <c r="R30">
        <f>IF($A30="","",SUMIFS(Campagne!$K$1:$K$28,Campagne!$C$1:$C$28,$A30))</f>
        <v/>
      </c>
      <c r="S30">
        <f>IF($A30="","",SUMIFS(Campagne!$M$1:$M$28,Campagne!$C$1:$C$28,$A30))</f>
        <v/>
      </c>
      <c r="T30">
        <f>IF($A30="","",SUMIFS(Pilotage!$K$19:$K$32,Pilotage!$A$19:$A$32,$A30)*SUMIFS(Pilotage!$J$19:$J$32,Pilotage!$A$19:$A$32,$A30)*(SUM(Pilotage!$K$19:$K$32)/SUMPRODUCT(Pilotage!$K$19:$K$32,Pilotage!$J$19:$J$32)))</f>
        <v/>
      </c>
      <c r="U30">
        <f>IF($A30="","",SUMIFS(Pilotage!$K$19:$K$32,Pilotage!$A$19:$A$32,$A30))</f>
        <v/>
      </c>
      <c r="V30">
        <f>IF($A30="","",IF($B30="V01",Cadrage!$C$22,IF($B30="V02",Cadrage!$D$22,Cadrage!$E$22)))</f>
        <v/>
      </c>
      <c r="W30">
        <f>IF($A30="","",IF($B30="V01",Cadrage!$C$23,IF($B30="V02",Cadrage!$D$23,Cadrage!$E$23)))</f>
        <v/>
      </c>
      <c r="X30">
        <f>IF($A30="","",IF($B30="V01",Cadrage!$C$24,IF($B30="V02",Cadrage!$D$24,Cadrage!$E$24)))</f>
        <v/>
      </c>
      <c r="Y30">
        <f>IF($A30="","",IF($B30="V01",Cadrage!$C$25,IF($B30="V02",Cadrage!$D$25,Cadrage!$E$25)))</f>
        <v/>
      </c>
      <c r="Z30">
        <f>IF($A30="","",IF($B30="V01",Cadrage!$C$26,IF($B30="V02",Cadrage!$D$26,Cadrage!$E$26)))</f>
        <v/>
      </c>
      <c r="AA30">
        <f>IF($A30="","",IF($B30="V01",Cadrage!$C$27,IF($B30="V02",Cadrage!$D$27,Cadrage!$E$27)))</f>
        <v/>
      </c>
      <c r="AB30">
        <f>IF($A30="","",IF($B30="V01",Cadrage!$C$39,IF($B30="V02",Cadrage!$D$39,Cadrage!$E$39)))</f>
        <v/>
      </c>
      <c r="AC30">
        <f>IF($A30="","",IF($F30="MBWAY",Cadrage!$K$11,IF($F30="ISCOM",Cadrage!$K$12,IF($F30="IPAC",Cadrage!$K$13,IF($F30="PIGIER",Cadrage!$K$14,Cadrage!$K$15)))))</f>
        <v/>
      </c>
      <c r="AD30">
        <f>IF($A30="","",($O30*(1+$W30)^$S30+$P30*IFERROR((($T30/$U30)*(1+$V30))^$R30,0))*IFERROR($G30/$Q30,0)*($J30+$Y30)*$K30*($L30+$Z30))</f>
        <v/>
      </c>
      <c r="AE30">
        <f>IF($A30="","",IF($N30=1,$AD30,0))</f>
        <v/>
      </c>
      <c r="AF30">
        <f>IF($A30="","",IF($N30=1,$AD30,$H30*($M30+$AA30)))</f>
        <v/>
      </c>
      <c r="AG30">
        <f>IF($A30="","",$I30*(1+$X30*$AC30))</f>
        <v/>
      </c>
      <c r="AH30">
        <f>IF($A30="","",$AF30*$AG30+$AE30*$AB30)</f>
        <v/>
      </c>
    </row>
    <row r="31">
      <c r="A31">
        <f>IF(Moteur!D31="","",Moteur!D31)</f>
        <v/>
      </c>
      <c r="B31">
        <f>IF(Moteur!B31="","",Moteur!B31)</f>
        <v/>
      </c>
      <c r="C31">
        <f>IF(Moteur!F31="","",Moteur!F31)</f>
        <v/>
      </c>
      <c r="D31">
        <f>IF(Moteur!G31="","",Moteur!G31)</f>
        <v/>
      </c>
      <c r="E31">
        <f>IF(Moteur!H31="","",Moteur!H31)</f>
        <v/>
      </c>
      <c r="F31">
        <f>IF(Moteur!E31="","",Moteur!E31)</f>
        <v/>
      </c>
      <c r="G31">
        <f>IF($A31="","",SUMIFS(Socle!$H$1:$H$379,Socle!$C$1:$C$379,$A31,Socle!$D$1:$D$379,$C31,Socle!$E$1:$E$379,$D31,Socle!$F$1:$F$379,$E31,Socle!$G$1:$G$379,"2026"))</f>
        <v/>
      </c>
      <c r="H31">
        <f>IF($A31="","",SUMIFS(Socle!$N$1:$N$379,Socle!$C$1:$C$379,$A31,Socle!$D$1:$D$379,$C31,Socle!$E$1:$E$379,$D31,Socle!$F$1:$F$379,$E31,Socle!$G$1:$G$379,"2026"))</f>
        <v/>
      </c>
      <c r="I31">
        <f>IF($A31="","",SUMIFS(Socle!$P$1:$P$379,Socle!$C$1:$C$379,$A31,Socle!$D$1:$D$379,$C31,Socle!$E$1:$E$379,$D31,Socle!$F$1:$F$379,$E31,Socle!$G$1:$G$379,"2026"))</f>
        <v/>
      </c>
      <c r="J31">
        <f>IF($A31="","",SUMIFS(Socle!$W$1:$W$379,Socle!$C$1:$C$379,$A31,Socle!$D$1:$D$379,$C31,Socle!$E$1:$E$379,$D31,Socle!$F$1:$F$379,$E31,Socle!$G$1:$G$379,"2026"))</f>
        <v/>
      </c>
      <c r="K31">
        <f>IF($A31="","",SUMIFS(Socle!$X$1:$X$379,Socle!$C$1:$C$379,$A31,Socle!$D$1:$D$379,$C31,Socle!$E$1:$E$379,$D31,Socle!$F$1:$F$379,$E31,Socle!$G$1:$G$379,"2026"))</f>
        <v/>
      </c>
      <c r="L31">
        <f>IF($A31="","",SUMIFS(Socle!$Y$1:$Y$379,Socle!$C$1:$C$379,$A31,Socle!$D$1:$D$379,$C31,Socle!$E$1:$E$379,$D31,Socle!$F$1:$F$379,$E31,Socle!$G$1:$G$379,"2026"))</f>
        <v/>
      </c>
      <c r="M31">
        <f>IF($A31="","",SUMIFS(Socle!$V$1:$V$379,Socle!$C$1:$C$379,$A31,Socle!$D$1:$D$379,$C31,Socle!$E$1:$E$379,$D31,Socle!$F$1:$F$379,$E31,Socle!$G$1:$G$379,"2026"))</f>
        <v/>
      </c>
      <c r="N31">
        <f>IF($A31="","",IF(OR($D31="B1",$D31="M1",$D31="BTS1"),1,0))</f>
        <v/>
      </c>
      <c r="O31">
        <f>IF($A31="","",SUMIFS(Campagne!$D$1:$D$28,Campagne!$C$1:$C$28,$A31))</f>
        <v/>
      </c>
      <c r="P31">
        <f>IF($A31="","",SUMIFS(Campagne!$E$1:$E$28,Campagne!$C$1:$C$28,$A31))</f>
        <v/>
      </c>
      <c r="Q31">
        <f>IF($A31="","",SUMIFS(Campagne!$F$1:$F$28,Campagne!$C$1:$C$28,$A31))</f>
        <v/>
      </c>
      <c r="R31">
        <f>IF($A31="","",SUMIFS(Campagne!$K$1:$K$28,Campagne!$C$1:$C$28,$A31))</f>
        <v/>
      </c>
      <c r="S31">
        <f>IF($A31="","",SUMIFS(Campagne!$M$1:$M$28,Campagne!$C$1:$C$28,$A31))</f>
        <v/>
      </c>
      <c r="T31">
        <f>IF($A31="","",SUMIFS(Pilotage!$K$19:$K$32,Pilotage!$A$19:$A$32,$A31)*SUMIFS(Pilotage!$J$19:$J$32,Pilotage!$A$19:$A$32,$A31)*(SUM(Pilotage!$K$19:$K$32)/SUMPRODUCT(Pilotage!$K$19:$K$32,Pilotage!$J$19:$J$32)))</f>
        <v/>
      </c>
      <c r="U31">
        <f>IF($A31="","",SUMIFS(Pilotage!$K$19:$K$32,Pilotage!$A$19:$A$32,$A31))</f>
        <v/>
      </c>
      <c r="V31">
        <f>IF($A31="","",IF($B31="V01",Cadrage!$C$22,IF($B31="V02",Cadrage!$D$22,Cadrage!$E$22)))</f>
        <v/>
      </c>
      <c r="W31">
        <f>IF($A31="","",IF($B31="V01",Cadrage!$C$23,IF($B31="V02",Cadrage!$D$23,Cadrage!$E$23)))</f>
        <v/>
      </c>
      <c r="X31">
        <f>IF($A31="","",IF($B31="V01",Cadrage!$C$24,IF($B31="V02",Cadrage!$D$24,Cadrage!$E$24)))</f>
        <v/>
      </c>
      <c r="Y31">
        <f>IF($A31="","",IF($B31="V01",Cadrage!$C$25,IF($B31="V02",Cadrage!$D$25,Cadrage!$E$25)))</f>
        <v/>
      </c>
      <c r="Z31">
        <f>IF($A31="","",IF($B31="V01",Cadrage!$C$26,IF($B31="V02",Cadrage!$D$26,Cadrage!$E$26)))</f>
        <v/>
      </c>
      <c r="AA31">
        <f>IF($A31="","",IF($B31="V01",Cadrage!$C$27,IF($B31="V02",Cadrage!$D$27,Cadrage!$E$27)))</f>
        <v/>
      </c>
      <c r="AB31">
        <f>IF($A31="","",IF($B31="V01",Cadrage!$C$39,IF($B31="V02",Cadrage!$D$39,Cadrage!$E$39)))</f>
        <v/>
      </c>
      <c r="AC31">
        <f>IF($A31="","",IF($F31="MBWAY",Cadrage!$K$11,IF($F31="ISCOM",Cadrage!$K$12,IF($F31="IPAC",Cadrage!$K$13,IF($F31="PIGIER",Cadrage!$K$14,Cadrage!$K$15)))))</f>
        <v/>
      </c>
      <c r="AD31">
        <f>IF($A31="","",($O31*(1+$W31)^$S31+$P31*IFERROR((($T31/$U31)*(1+$V31))^$R31,0))*IFERROR($G31/$Q31,0)*($J31+$Y31)*$K31*($L31+$Z31))</f>
        <v/>
      </c>
      <c r="AE31">
        <f>IF($A31="","",IF($N31=1,$AD31,0))</f>
        <v/>
      </c>
      <c r="AF31">
        <f>IF($A31="","",IF($N31=1,$AD31,$H31*($M31+$AA31)))</f>
        <v/>
      </c>
      <c r="AG31">
        <f>IF($A31="","",$I31*(1+$X31*$AC31))</f>
        <v/>
      </c>
      <c r="AH31">
        <f>IF($A31="","",$AF31*$AG31+$AE31*$AB31)</f>
        <v/>
      </c>
    </row>
    <row r="32">
      <c r="A32">
        <f>IF(Moteur!D32="","",Moteur!D32)</f>
        <v/>
      </c>
      <c r="B32">
        <f>IF(Moteur!B32="","",Moteur!B32)</f>
        <v/>
      </c>
      <c r="C32">
        <f>IF(Moteur!F32="","",Moteur!F32)</f>
        <v/>
      </c>
      <c r="D32">
        <f>IF(Moteur!G32="","",Moteur!G32)</f>
        <v/>
      </c>
      <c r="E32">
        <f>IF(Moteur!H32="","",Moteur!H32)</f>
        <v/>
      </c>
      <c r="F32">
        <f>IF(Moteur!E32="","",Moteur!E32)</f>
        <v/>
      </c>
      <c r="G32">
        <f>IF($A32="","",SUMIFS(Socle!$H$1:$H$379,Socle!$C$1:$C$379,$A32,Socle!$D$1:$D$379,$C32,Socle!$E$1:$E$379,$D32,Socle!$F$1:$F$379,$E32,Socle!$G$1:$G$379,"2026"))</f>
        <v/>
      </c>
      <c r="H32">
        <f>IF($A32="","",SUMIFS(Socle!$N$1:$N$379,Socle!$C$1:$C$379,$A32,Socle!$D$1:$D$379,$C32,Socle!$E$1:$E$379,$D32,Socle!$F$1:$F$379,$E32,Socle!$G$1:$G$379,"2026"))</f>
        <v/>
      </c>
      <c r="I32">
        <f>IF($A32="","",SUMIFS(Socle!$P$1:$P$379,Socle!$C$1:$C$379,$A32,Socle!$D$1:$D$379,$C32,Socle!$E$1:$E$379,$D32,Socle!$F$1:$F$379,$E32,Socle!$G$1:$G$379,"2026"))</f>
        <v/>
      </c>
      <c r="J32">
        <f>IF($A32="","",SUMIFS(Socle!$W$1:$W$379,Socle!$C$1:$C$379,$A32,Socle!$D$1:$D$379,$C32,Socle!$E$1:$E$379,$D32,Socle!$F$1:$F$379,$E32,Socle!$G$1:$G$379,"2026"))</f>
        <v/>
      </c>
      <c r="K32">
        <f>IF($A32="","",SUMIFS(Socle!$X$1:$X$379,Socle!$C$1:$C$379,$A32,Socle!$D$1:$D$379,$C32,Socle!$E$1:$E$379,$D32,Socle!$F$1:$F$379,$E32,Socle!$G$1:$G$379,"2026"))</f>
        <v/>
      </c>
      <c r="L32">
        <f>IF($A32="","",SUMIFS(Socle!$Y$1:$Y$379,Socle!$C$1:$C$379,$A32,Socle!$D$1:$D$379,$C32,Socle!$E$1:$E$379,$D32,Socle!$F$1:$F$379,$E32,Socle!$G$1:$G$379,"2026"))</f>
        <v/>
      </c>
      <c r="M32">
        <f>IF($A32="","",SUMIFS(Socle!$V$1:$V$379,Socle!$C$1:$C$379,$A32,Socle!$D$1:$D$379,$C32,Socle!$E$1:$E$379,$D32,Socle!$F$1:$F$379,$E32,Socle!$G$1:$G$379,"2026"))</f>
        <v/>
      </c>
      <c r="N32">
        <f>IF($A32="","",IF(OR($D32="B1",$D32="M1",$D32="BTS1"),1,0))</f>
        <v/>
      </c>
      <c r="O32">
        <f>IF($A32="","",SUMIFS(Campagne!$D$1:$D$28,Campagne!$C$1:$C$28,$A32))</f>
        <v/>
      </c>
      <c r="P32">
        <f>IF($A32="","",SUMIFS(Campagne!$E$1:$E$28,Campagne!$C$1:$C$28,$A32))</f>
        <v/>
      </c>
      <c r="Q32">
        <f>IF($A32="","",SUMIFS(Campagne!$F$1:$F$28,Campagne!$C$1:$C$28,$A32))</f>
        <v/>
      </c>
      <c r="R32">
        <f>IF($A32="","",SUMIFS(Campagne!$K$1:$K$28,Campagne!$C$1:$C$28,$A32))</f>
        <v/>
      </c>
      <c r="S32">
        <f>IF($A32="","",SUMIFS(Campagne!$M$1:$M$28,Campagne!$C$1:$C$28,$A32))</f>
        <v/>
      </c>
      <c r="T32">
        <f>IF($A32="","",SUMIFS(Pilotage!$K$19:$K$32,Pilotage!$A$19:$A$32,$A32)*SUMIFS(Pilotage!$J$19:$J$32,Pilotage!$A$19:$A$32,$A32)*(SUM(Pilotage!$K$19:$K$32)/SUMPRODUCT(Pilotage!$K$19:$K$32,Pilotage!$J$19:$J$32)))</f>
        <v/>
      </c>
      <c r="U32">
        <f>IF($A32="","",SUMIFS(Pilotage!$K$19:$K$32,Pilotage!$A$19:$A$32,$A32))</f>
        <v/>
      </c>
      <c r="V32">
        <f>IF($A32="","",IF($B32="V01",Cadrage!$C$22,IF($B32="V02",Cadrage!$D$22,Cadrage!$E$22)))</f>
        <v/>
      </c>
      <c r="W32">
        <f>IF($A32="","",IF($B32="V01",Cadrage!$C$23,IF($B32="V02",Cadrage!$D$23,Cadrage!$E$23)))</f>
        <v/>
      </c>
      <c r="X32">
        <f>IF($A32="","",IF($B32="V01",Cadrage!$C$24,IF($B32="V02",Cadrage!$D$24,Cadrage!$E$24)))</f>
        <v/>
      </c>
      <c r="Y32">
        <f>IF($A32="","",IF($B32="V01",Cadrage!$C$25,IF($B32="V02",Cadrage!$D$25,Cadrage!$E$25)))</f>
        <v/>
      </c>
      <c r="Z32">
        <f>IF($A32="","",IF($B32="V01",Cadrage!$C$26,IF($B32="V02",Cadrage!$D$26,Cadrage!$E$26)))</f>
        <v/>
      </c>
      <c r="AA32">
        <f>IF($A32="","",IF($B32="V01",Cadrage!$C$27,IF($B32="V02",Cadrage!$D$27,Cadrage!$E$27)))</f>
        <v/>
      </c>
      <c r="AB32">
        <f>IF($A32="","",IF($B32="V01",Cadrage!$C$39,IF($B32="V02",Cadrage!$D$39,Cadrage!$E$39)))</f>
        <v/>
      </c>
      <c r="AC32">
        <f>IF($A32="","",IF($F32="MBWAY",Cadrage!$K$11,IF($F32="ISCOM",Cadrage!$K$12,IF($F32="IPAC",Cadrage!$K$13,IF($F32="PIGIER",Cadrage!$K$14,Cadrage!$K$15)))))</f>
        <v/>
      </c>
      <c r="AD32">
        <f>IF($A32="","",($O32*(1+$W32)^$S32+$P32*IFERROR((($T32/$U32)*(1+$V32))^$R32,0))*IFERROR($G32/$Q32,0)*($J32+$Y32)*$K32*($L32+$Z32))</f>
        <v/>
      </c>
      <c r="AE32">
        <f>IF($A32="","",IF($N32=1,$AD32,0))</f>
        <v/>
      </c>
      <c r="AF32">
        <f>IF($A32="","",IF($N32=1,$AD32,$H32*($M32+$AA32)))</f>
        <v/>
      </c>
      <c r="AG32">
        <f>IF($A32="","",$I32*(1+$X32*$AC32))</f>
        <v/>
      </c>
      <c r="AH32">
        <f>IF($A32="","",$AF32*$AG32+$AE32*$AB32)</f>
        <v/>
      </c>
    </row>
    <row r="33">
      <c r="A33">
        <f>IF(Moteur!D33="","",Moteur!D33)</f>
        <v/>
      </c>
      <c r="B33">
        <f>IF(Moteur!B33="","",Moteur!B33)</f>
        <v/>
      </c>
      <c r="C33">
        <f>IF(Moteur!F33="","",Moteur!F33)</f>
        <v/>
      </c>
      <c r="D33">
        <f>IF(Moteur!G33="","",Moteur!G33)</f>
        <v/>
      </c>
      <c r="E33">
        <f>IF(Moteur!H33="","",Moteur!H33)</f>
        <v/>
      </c>
      <c r="F33">
        <f>IF(Moteur!E33="","",Moteur!E33)</f>
        <v/>
      </c>
      <c r="G33">
        <f>IF($A33="","",SUMIFS(Socle!$H$1:$H$379,Socle!$C$1:$C$379,$A33,Socle!$D$1:$D$379,$C33,Socle!$E$1:$E$379,$D33,Socle!$F$1:$F$379,$E33,Socle!$G$1:$G$379,"2026"))</f>
        <v/>
      </c>
      <c r="H33">
        <f>IF($A33="","",SUMIFS(Socle!$N$1:$N$379,Socle!$C$1:$C$379,$A33,Socle!$D$1:$D$379,$C33,Socle!$E$1:$E$379,$D33,Socle!$F$1:$F$379,$E33,Socle!$G$1:$G$379,"2026"))</f>
        <v/>
      </c>
      <c r="I33">
        <f>IF($A33="","",SUMIFS(Socle!$P$1:$P$379,Socle!$C$1:$C$379,$A33,Socle!$D$1:$D$379,$C33,Socle!$E$1:$E$379,$D33,Socle!$F$1:$F$379,$E33,Socle!$G$1:$G$379,"2026"))</f>
        <v/>
      </c>
      <c r="J33">
        <f>IF($A33="","",SUMIFS(Socle!$W$1:$W$379,Socle!$C$1:$C$379,$A33,Socle!$D$1:$D$379,$C33,Socle!$E$1:$E$379,$D33,Socle!$F$1:$F$379,$E33,Socle!$G$1:$G$379,"2026"))</f>
        <v/>
      </c>
      <c r="K33">
        <f>IF($A33="","",SUMIFS(Socle!$X$1:$X$379,Socle!$C$1:$C$379,$A33,Socle!$D$1:$D$379,$C33,Socle!$E$1:$E$379,$D33,Socle!$F$1:$F$379,$E33,Socle!$G$1:$G$379,"2026"))</f>
        <v/>
      </c>
      <c r="L33">
        <f>IF($A33="","",SUMIFS(Socle!$Y$1:$Y$379,Socle!$C$1:$C$379,$A33,Socle!$D$1:$D$379,$C33,Socle!$E$1:$E$379,$D33,Socle!$F$1:$F$379,$E33,Socle!$G$1:$G$379,"2026"))</f>
        <v/>
      </c>
      <c r="M33">
        <f>IF($A33="","",SUMIFS(Socle!$V$1:$V$379,Socle!$C$1:$C$379,$A33,Socle!$D$1:$D$379,$C33,Socle!$E$1:$E$379,$D33,Socle!$F$1:$F$379,$E33,Socle!$G$1:$G$379,"2026"))</f>
        <v/>
      </c>
      <c r="N33">
        <f>IF($A33="","",IF(OR($D33="B1",$D33="M1",$D33="BTS1"),1,0))</f>
        <v/>
      </c>
      <c r="O33">
        <f>IF($A33="","",SUMIFS(Campagne!$D$1:$D$28,Campagne!$C$1:$C$28,$A33))</f>
        <v/>
      </c>
      <c r="P33">
        <f>IF($A33="","",SUMIFS(Campagne!$E$1:$E$28,Campagne!$C$1:$C$28,$A33))</f>
        <v/>
      </c>
      <c r="Q33">
        <f>IF($A33="","",SUMIFS(Campagne!$F$1:$F$28,Campagne!$C$1:$C$28,$A33))</f>
        <v/>
      </c>
      <c r="R33">
        <f>IF($A33="","",SUMIFS(Campagne!$K$1:$K$28,Campagne!$C$1:$C$28,$A33))</f>
        <v/>
      </c>
      <c r="S33">
        <f>IF($A33="","",SUMIFS(Campagne!$M$1:$M$28,Campagne!$C$1:$C$28,$A33))</f>
        <v/>
      </c>
      <c r="T33">
        <f>IF($A33="","",SUMIFS(Pilotage!$K$19:$K$32,Pilotage!$A$19:$A$32,$A33)*SUMIFS(Pilotage!$J$19:$J$32,Pilotage!$A$19:$A$32,$A33)*(SUM(Pilotage!$K$19:$K$32)/SUMPRODUCT(Pilotage!$K$19:$K$32,Pilotage!$J$19:$J$32)))</f>
        <v/>
      </c>
      <c r="U33">
        <f>IF($A33="","",SUMIFS(Pilotage!$K$19:$K$32,Pilotage!$A$19:$A$32,$A33))</f>
        <v/>
      </c>
      <c r="V33">
        <f>IF($A33="","",IF($B33="V01",Cadrage!$C$22,IF($B33="V02",Cadrage!$D$22,Cadrage!$E$22)))</f>
        <v/>
      </c>
      <c r="W33">
        <f>IF($A33="","",IF($B33="V01",Cadrage!$C$23,IF($B33="V02",Cadrage!$D$23,Cadrage!$E$23)))</f>
        <v/>
      </c>
      <c r="X33">
        <f>IF($A33="","",IF($B33="V01",Cadrage!$C$24,IF($B33="V02",Cadrage!$D$24,Cadrage!$E$24)))</f>
        <v/>
      </c>
      <c r="Y33">
        <f>IF($A33="","",IF($B33="V01",Cadrage!$C$25,IF($B33="V02",Cadrage!$D$25,Cadrage!$E$25)))</f>
        <v/>
      </c>
      <c r="Z33">
        <f>IF($A33="","",IF($B33="V01",Cadrage!$C$26,IF($B33="V02",Cadrage!$D$26,Cadrage!$E$26)))</f>
        <v/>
      </c>
      <c r="AA33">
        <f>IF($A33="","",IF($B33="V01",Cadrage!$C$27,IF($B33="V02",Cadrage!$D$27,Cadrage!$E$27)))</f>
        <v/>
      </c>
      <c r="AB33">
        <f>IF($A33="","",IF($B33="V01",Cadrage!$C$39,IF($B33="V02",Cadrage!$D$39,Cadrage!$E$39)))</f>
        <v/>
      </c>
      <c r="AC33">
        <f>IF($A33="","",IF($F33="MBWAY",Cadrage!$K$11,IF($F33="ISCOM",Cadrage!$K$12,IF($F33="IPAC",Cadrage!$K$13,IF($F33="PIGIER",Cadrage!$K$14,Cadrage!$K$15)))))</f>
        <v/>
      </c>
      <c r="AD33">
        <f>IF($A33="","",($O33*(1+$W33)^$S33+$P33*IFERROR((($T33/$U33)*(1+$V33))^$R33,0))*IFERROR($G33/$Q33,0)*($J33+$Y33)*$K33*($L33+$Z33))</f>
        <v/>
      </c>
      <c r="AE33">
        <f>IF($A33="","",IF($N33=1,$AD33,0))</f>
        <v/>
      </c>
      <c r="AF33">
        <f>IF($A33="","",IF($N33=1,$AD33,$H33*($M33+$AA33)))</f>
        <v/>
      </c>
      <c r="AG33">
        <f>IF($A33="","",$I33*(1+$X33*$AC33))</f>
        <v/>
      </c>
      <c r="AH33">
        <f>IF($A33="","",$AF33*$AG33+$AE33*$AB33)</f>
        <v/>
      </c>
    </row>
    <row r="34">
      <c r="A34">
        <f>IF(Moteur!D34="","",Moteur!D34)</f>
        <v/>
      </c>
      <c r="B34">
        <f>IF(Moteur!B34="","",Moteur!B34)</f>
        <v/>
      </c>
      <c r="C34">
        <f>IF(Moteur!F34="","",Moteur!F34)</f>
        <v/>
      </c>
      <c r="D34">
        <f>IF(Moteur!G34="","",Moteur!G34)</f>
        <v/>
      </c>
      <c r="E34">
        <f>IF(Moteur!H34="","",Moteur!H34)</f>
        <v/>
      </c>
      <c r="F34">
        <f>IF(Moteur!E34="","",Moteur!E34)</f>
        <v/>
      </c>
      <c r="G34">
        <f>IF($A34="","",SUMIFS(Socle!$H$1:$H$379,Socle!$C$1:$C$379,$A34,Socle!$D$1:$D$379,$C34,Socle!$E$1:$E$379,$D34,Socle!$F$1:$F$379,$E34,Socle!$G$1:$G$379,"2026"))</f>
        <v/>
      </c>
      <c r="H34">
        <f>IF($A34="","",SUMIFS(Socle!$N$1:$N$379,Socle!$C$1:$C$379,$A34,Socle!$D$1:$D$379,$C34,Socle!$E$1:$E$379,$D34,Socle!$F$1:$F$379,$E34,Socle!$G$1:$G$379,"2026"))</f>
        <v/>
      </c>
      <c r="I34">
        <f>IF($A34="","",SUMIFS(Socle!$P$1:$P$379,Socle!$C$1:$C$379,$A34,Socle!$D$1:$D$379,$C34,Socle!$E$1:$E$379,$D34,Socle!$F$1:$F$379,$E34,Socle!$G$1:$G$379,"2026"))</f>
        <v/>
      </c>
      <c r="J34">
        <f>IF($A34="","",SUMIFS(Socle!$W$1:$W$379,Socle!$C$1:$C$379,$A34,Socle!$D$1:$D$379,$C34,Socle!$E$1:$E$379,$D34,Socle!$F$1:$F$379,$E34,Socle!$G$1:$G$379,"2026"))</f>
        <v/>
      </c>
      <c r="K34">
        <f>IF($A34="","",SUMIFS(Socle!$X$1:$X$379,Socle!$C$1:$C$379,$A34,Socle!$D$1:$D$379,$C34,Socle!$E$1:$E$379,$D34,Socle!$F$1:$F$379,$E34,Socle!$G$1:$G$379,"2026"))</f>
        <v/>
      </c>
      <c r="L34">
        <f>IF($A34="","",SUMIFS(Socle!$Y$1:$Y$379,Socle!$C$1:$C$379,$A34,Socle!$D$1:$D$379,$C34,Socle!$E$1:$E$379,$D34,Socle!$F$1:$F$379,$E34,Socle!$G$1:$G$379,"2026"))</f>
        <v/>
      </c>
      <c r="M34">
        <f>IF($A34="","",SUMIFS(Socle!$V$1:$V$379,Socle!$C$1:$C$379,$A34,Socle!$D$1:$D$379,$C34,Socle!$E$1:$E$379,$D34,Socle!$F$1:$F$379,$E34,Socle!$G$1:$G$379,"2026"))</f>
        <v/>
      </c>
      <c r="N34">
        <f>IF($A34="","",IF(OR($D34="B1",$D34="M1",$D34="BTS1"),1,0))</f>
        <v/>
      </c>
      <c r="O34">
        <f>IF($A34="","",SUMIFS(Campagne!$D$1:$D$28,Campagne!$C$1:$C$28,$A34))</f>
        <v/>
      </c>
      <c r="P34">
        <f>IF($A34="","",SUMIFS(Campagne!$E$1:$E$28,Campagne!$C$1:$C$28,$A34))</f>
        <v/>
      </c>
      <c r="Q34">
        <f>IF($A34="","",SUMIFS(Campagne!$F$1:$F$28,Campagne!$C$1:$C$28,$A34))</f>
        <v/>
      </c>
      <c r="R34">
        <f>IF($A34="","",SUMIFS(Campagne!$K$1:$K$28,Campagne!$C$1:$C$28,$A34))</f>
        <v/>
      </c>
      <c r="S34">
        <f>IF($A34="","",SUMIFS(Campagne!$M$1:$M$28,Campagne!$C$1:$C$28,$A34))</f>
        <v/>
      </c>
      <c r="T34">
        <f>IF($A34="","",SUMIFS(Pilotage!$K$19:$K$32,Pilotage!$A$19:$A$32,$A34)*SUMIFS(Pilotage!$J$19:$J$32,Pilotage!$A$19:$A$32,$A34)*(SUM(Pilotage!$K$19:$K$32)/SUMPRODUCT(Pilotage!$K$19:$K$32,Pilotage!$J$19:$J$32)))</f>
        <v/>
      </c>
      <c r="U34">
        <f>IF($A34="","",SUMIFS(Pilotage!$K$19:$K$32,Pilotage!$A$19:$A$32,$A34))</f>
        <v/>
      </c>
      <c r="V34">
        <f>IF($A34="","",IF($B34="V01",Cadrage!$C$22,IF($B34="V02",Cadrage!$D$22,Cadrage!$E$22)))</f>
        <v/>
      </c>
      <c r="W34">
        <f>IF($A34="","",IF($B34="V01",Cadrage!$C$23,IF($B34="V02",Cadrage!$D$23,Cadrage!$E$23)))</f>
        <v/>
      </c>
      <c r="X34">
        <f>IF($A34="","",IF($B34="V01",Cadrage!$C$24,IF($B34="V02",Cadrage!$D$24,Cadrage!$E$24)))</f>
        <v/>
      </c>
      <c r="Y34">
        <f>IF($A34="","",IF($B34="V01",Cadrage!$C$25,IF($B34="V02",Cadrage!$D$25,Cadrage!$E$25)))</f>
        <v/>
      </c>
      <c r="Z34">
        <f>IF($A34="","",IF($B34="V01",Cadrage!$C$26,IF($B34="V02",Cadrage!$D$26,Cadrage!$E$26)))</f>
        <v/>
      </c>
      <c r="AA34">
        <f>IF($A34="","",IF($B34="V01",Cadrage!$C$27,IF($B34="V02",Cadrage!$D$27,Cadrage!$E$27)))</f>
        <v/>
      </c>
      <c r="AB34">
        <f>IF($A34="","",IF($B34="V01",Cadrage!$C$39,IF($B34="V02",Cadrage!$D$39,Cadrage!$E$39)))</f>
        <v/>
      </c>
      <c r="AC34">
        <f>IF($A34="","",IF($F34="MBWAY",Cadrage!$K$11,IF($F34="ISCOM",Cadrage!$K$12,IF($F34="IPAC",Cadrage!$K$13,IF($F34="PIGIER",Cadrage!$K$14,Cadrage!$K$15)))))</f>
        <v/>
      </c>
      <c r="AD34">
        <f>IF($A34="","",($O34*(1+$W34)^$S34+$P34*IFERROR((($T34/$U34)*(1+$V34))^$R34,0))*IFERROR($G34/$Q34,0)*($J34+$Y34)*$K34*($L34+$Z34))</f>
        <v/>
      </c>
      <c r="AE34">
        <f>IF($A34="","",IF($N34=1,$AD34,0))</f>
        <v/>
      </c>
      <c r="AF34">
        <f>IF($A34="","",IF($N34=1,$AD34,$H34*($M34+$AA34)))</f>
        <v/>
      </c>
      <c r="AG34">
        <f>IF($A34="","",$I34*(1+$X34*$AC34))</f>
        <v/>
      </c>
      <c r="AH34">
        <f>IF($A34="","",$AF34*$AG34+$AE34*$AB34)</f>
        <v/>
      </c>
    </row>
    <row r="35">
      <c r="A35">
        <f>IF(Moteur!D35="","",Moteur!D35)</f>
        <v/>
      </c>
      <c r="B35">
        <f>IF(Moteur!B35="","",Moteur!B35)</f>
        <v/>
      </c>
      <c r="C35">
        <f>IF(Moteur!F35="","",Moteur!F35)</f>
        <v/>
      </c>
      <c r="D35">
        <f>IF(Moteur!G35="","",Moteur!G35)</f>
        <v/>
      </c>
      <c r="E35">
        <f>IF(Moteur!H35="","",Moteur!H35)</f>
        <v/>
      </c>
      <c r="F35">
        <f>IF(Moteur!E35="","",Moteur!E35)</f>
        <v/>
      </c>
      <c r="G35">
        <f>IF($A35="","",SUMIFS(Socle!$H$1:$H$379,Socle!$C$1:$C$379,$A35,Socle!$D$1:$D$379,$C35,Socle!$E$1:$E$379,$D35,Socle!$F$1:$F$379,$E35,Socle!$G$1:$G$379,"2026"))</f>
        <v/>
      </c>
      <c r="H35">
        <f>IF($A35="","",SUMIFS(Socle!$N$1:$N$379,Socle!$C$1:$C$379,$A35,Socle!$D$1:$D$379,$C35,Socle!$E$1:$E$379,$D35,Socle!$F$1:$F$379,$E35,Socle!$G$1:$G$379,"2026"))</f>
        <v/>
      </c>
      <c r="I35">
        <f>IF($A35="","",SUMIFS(Socle!$P$1:$P$379,Socle!$C$1:$C$379,$A35,Socle!$D$1:$D$379,$C35,Socle!$E$1:$E$379,$D35,Socle!$F$1:$F$379,$E35,Socle!$G$1:$G$379,"2026"))</f>
        <v/>
      </c>
      <c r="J35">
        <f>IF($A35="","",SUMIFS(Socle!$W$1:$W$379,Socle!$C$1:$C$379,$A35,Socle!$D$1:$D$379,$C35,Socle!$E$1:$E$379,$D35,Socle!$F$1:$F$379,$E35,Socle!$G$1:$G$379,"2026"))</f>
        <v/>
      </c>
      <c r="K35">
        <f>IF($A35="","",SUMIFS(Socle!$X$1:$X$379,Socle!$C$1:$C$379,$A35,Socle!$D$1:$D$379,$C35,Socle!$E$1:$E$379,$D35,Socle!$F$1:$F$379,$E35,Socle!$G$1:$G$379,"2026"))</f>
        <v/>
      </c>
      <c r="L35">
        <f>IF($A35="","",SUMIFS(Socle!$Y$1:$Y$379,Socle!$C$1:$C$379,$A35,Socle!$D$1:$D$379,$C35,Socle!$E$1:$E$379,$D35,Socle!$F$1:$F$379,$E35,Socle!$G$1:$G$379,"2026"))</f>
        <v/>
      </c>
      <c r="M35">
        <f>IF($A35="","",SUMIFS(Socle!$V$1:$V$379,Socle!$C$1:$C$379,$A35,Socle!$D$1:$D$379,$C35,Socle!$E$1:$E$379,$D35,Socle!$F$1:$F$379,$E35,Socle!$G$1:$G$379,"2026"))</f>
        <v/>
      </c>
      <c r="N35">
        <f>IF($A35="","",IF(OR($D35="B1",$D35="M1",$D35="BTS1"),1,0))</f>
        <v/>
      </c>
      <c r="O35">
        <f>IF($A35="","",SUMIFS(Campagne!$D$1:$D$28,Campagne!$C$1:$C$28,$A35))</f>
        <v/>
      </c>
      <c r="P35">
        <f>IF($A35="","",SUMIFS(Campagne!$E$1:$E$28,Campagne!$C$1:$C$28,$A35))</f>
        <v/>
      </c>
      <c r="Q35">
        <f>IF($A35="","",SUMIFS(Campagne!$F$1:$F$28,Campagne!$C$1:$C$28,$A35))</f>
        <v/>
      </c>
      <c r="R35">
        <f>IF($A35="","",SUMIFS(Campagne!$K$1:$K$28,Campagne!$C$1:$C$28,$A35))</f>
        <v/>
      </c>
      <c r="S35">
        <f>IF($A35="","",SUMIFS(Campagne!$M$1:$M$28,Campagne!$C$1:$C$28,$A35))</f>
        <v/>
      </c>
      <c r="T35">
        <f>IF($A35="","",SUMIFS(Pilotage!$K$19:$K$32,Pilotage!$A$19:$A$32,$A35)*SUMIFS(Pilotage!$J$19:$J$32,Pilotage!$A$19:$A$32,$A35)*(SUM(Pilotage!$K$19:$K$32)/SUMPRODUCT(Pilotage!$K$19:$K$32,Pilotage!$J$19:$J$32)))</f>
        <v/>
      </c>
      <c r="U35">
        <f>IF($A35="","",SUMIFS(Pilotage!$K$19:$K$32,Pilotage!$A$19:$A$32,$A35))</f>
        <v/>
      </c>
      <c r="V35">
        <f>IF($A35="","",IF($B35="V01",Cadrage!$C$22,IF($B35="V02",Cadrage!$D$22,Cadrage!$E$22)))</f>
        <v/>
      </c>
      <c r="W35">
        <f>IF($A35="","",IF($B35="V01",Cadrage!$C$23,IF($B35="V02",Cadrage!$D$23,Cadrage!$E$23)))</f>
        <v/>
      </c>
      <c r="X35">
        <f>IF($A35="","",IF($B35="V01",Cadrage!$C$24,IF($B35="V02",Cadrage!$D$24,Cadrage!$E$24)))</f>
        <v/>
      </c>
      <c r="Y35">
        <f>IF($A35="","",IF($B35="V01",Cadrage!$C$25,IF($B35="V02",Cadrage!$D$25,Cadrage!$E$25)))</f>
        <v/>
      </c>
      <c r="Z35">
        <f>IF($A35="","",IF($B35="V01",Cadrage!$C$26,IF($B35="V02",Cadrage!$D$26,Cadrage!$E$26)))</f>
        <v/>
      </c>
      <c r="AA35">
        <f>IF($A35="","",IF($B35="V01",Cadrage!$C$27,IF($B35="V02",Cadrage!$D$27,Cadrage!$E$27)))</f>
        <v/>
      </c>
      <c r="AB35">
        <f>IF($A35="","",IF($B35="V01",Cadrage!$C$39,IF($B35="V02",Cadrage!$D$39,Cadrage!$E$39)))</f>
        <v/>
      </c>
      <c r="AC35">
        <f>IF($A35="","",IF($F35="MBWAY",Cadrage!$K$11,IF($F35="ISCOM",Cadrage!$K$12,IF($F35="IPAC",Cadrage!$K$13,IF($F35="PIGIER",Cadrage!$K$14,Cadrage!$K$15)))))</f>
        <v/>
      </c>
      <c r="AD35">
        <f>IF($A35="","",($O35*(1+$W35)^$S35+$P35*IFERROR((($T35/$U35)*(1+$V35))^$R35,0))*IFERROR($G35/$Q35,0)*($J35+$Y35)*$K35*($L35+$Z35))</f>
        <v/>
      </c>
      <c r="AE35">
        <f>IF($A35="","",IF($N35=1,$AD35,0))</f>
        <v/>
      </c>
      <c r="AF35">
        <f>IF($A35="","",IF($N35=1,$AD35,$H35*($M35+$AA35)))</f>
        <v/>
      </c>
      <c r="AG35">
        <f>IF($A35="","",$I35*(1+$X35*$AC35))</f>
        <v/>
      </c>
      <c r="AH35">
        <f>IF($A35="","",$AF35*$AG35+$AE35*$AB35)</f>
        <v/>
      </c>
    </row>
    <row r="36">
      <c r="A36">
        <f>IF(Moteur!D36="","",Moteur!D36)</f>
        <v/>
      </c>
      <c r="B36">
        <f>IF(Moteur!B36="","",Moteur!B36)</f>
        <v/>
      </c>
      <c r="C36">
        <f>IF(Moteur!F36="","",Moteur!F36)</f>
        <v/>
      </c>
      <c r="D36">
        <f>IF(Moteur!G36="","",Moteur!G36)</f>
        <v/>
      </c>
      <c r="E36">
        <f>IF(Moteur!H36="","",Moteur!H36)</f>
        <v/>
      </c>
      <c r="F36">
        <f>IF(Moteur!E36="","",Moteur!E36)</f>
        <v/>
      </c>
      <c r="G36">
        <f>IF($A36="","",SUMIFS(Socle!$H$1:$H$379,Socle!$C$1:$C$379,$A36,Socle!$D$1:$D$379,$C36,Socle!$E$1:$E$379,$D36,Socle!$F$1:$F$379,$E36,Socle!$G$1:$G$379,"2026"))</f>
        <v/>
      </c>
      <c r="H36">
        <f>IF($A36="","",SUMIFS(Socle!$N$1:$N$379,Socle!$C$1:$C$379,$A36,Socle!$D$1:$D$379,$C36,Socle!$E$1:$E$379,$D36,Socle!$F$1:$F$379,$E36,Socle!$G$1:$G$379,"2026"))</f>
        <v/>
      </c>
      <c r="I36">
        <f>IF($A36="","",SUMIFS(Socle!$P$1:$P$379,Socle!$C$1:$C$379,$A36,Socle!$D$1:$D$379,$C36,Socle!$E$1:$E$379,$D36,Socle!$F$1:$F$379,$E36,Socle!$G$1:$G$379,"2026"))</f>
        <v/>
      </c>
      <c r="J36">
        <f>IF($A36="","",SUMIFS(Socle!$W$1:$W$379,Socle!$C$1:$C$379,$A36,Socle!$D$1:$D$379,$C36,Socle!$E$1:$E$379,$D36,Socle!$F$1:$F$379,$E36,Socle!$G$1:$G$379,"2026"))</f>
        <v/>
      </c>
      <c r="K36">
        <f>IF($A36="","",SUMIFS(Socle!$X$1:$X$379,Socle!$C$1:$C$379,$A36,Socle!$D$1:$D$379,$C36,Socle!$E$1:$E$379,$D36,Socle!$F$1:$F$379,$E36,Socle!$G$1:$G$379,"2026"))</f>
        <v/>
      </c>
      <c r="L36">
        <f>IF($A36="","",SUMIFS(Socle!$Y$1:$Y$379,Socle!$C$1:$C$379,$A36,Socle!$D$1:$D$379,$C36,Socle!$E$1:$E$379,$D36,Socle!$F$1:$F$379,$E36,Socle!$G$1:$G$379,"2026"))</f>
        <v/>
      </c>
      <c r="M36">
        <f>IF($A36="","",SUMIFS(Socle!$V$1:$V$379,Socle!$C$1:$C$379,$A36,Socle!$D$1:$D$379,$C36,Socle!$E$1:$E$379,$D36,Socle!$F$1:$F$379,$E36,Socle!$G$1:$G$379,"2026"))</f>
        <v/>
      </c>
      <c r="N36">
        <f>IF($A36="","",IF(OR($D36="B1",$D36="M1",$D36="BTS1"),1,0))</f>
        <v/>
      </c>
      <c r="O36">
        <f>IF($A36="","",SUMIFS(Campagne!$D$1:$D$28,Campagne!$C$1:$C$28,$A36))</f>
        <v/>
      </c>
      <c r="P36">
        <f>IF($A36="","",SUMIFS(Campagne!$E$1:$E$28,Campagne!$C$1:$C$28,$A36))</f>
        <v/>
      </c>
      <c r="Q36">
        <f>IF($A36="","",SUMIFS(Campagne!$F$1:$F$28,Campagne!$C$1:$C$28,$A36))</f>
        <v/>
      </c>
      <c r="R36">
        <f>IF($A36="","",SUMIFS(Campagne!$K$1:$K$28,Campagne!$C$1:$C$28,$A36))</f>
        <v/>
      </c>
      <c r="S36">
        <f>IF($A36="","",SUMIFS(Campagne!$M$1:$M$28,Campagne!$C$1:$C$28,$A36))</f>
        <v/>
      </c>
      <c r="T36">
        <f>IF($A36="","",SUMIFS(Pilotage!$K$19:$K$32,Pilotage!$A$19:$A$32,$A36)*SUMIFS(Pilotage!$J$19:$J$32,Pilotage!$A$19:$A$32,$A36)*(SUM(Pilotage!$K$19:$K$32)/SUMPRODUCT(Pilotage!$K$19:$K$32,Pilotage!$J$19:$J$32)))</f>
        <v/>
      </c>
      <c r="U36">
        <f>IF($A36="","",SUMIFS(Pilotage!$K$19:$K$32,Pilotage!$A$19:$A$32,$A36))</f>
        <v/>
      </c>
      <c r="V36">
        <f>IF($A36="","",IF($B36="V01",Cadrage!$C$22,IF($B36="V02",Cadrage!$D$22,Cadrage!$E$22)))</f>
        <v/>
      </c>
      <c r="W36">
        <f>IF($A36="","",IF($B36="V01",Cadrage!$C$23,IF($B36="V02",Cadrage!$D$23,Cadrage!$E$23)))</f>
        <v/>
      </c>
      <c r="X36">
        <f>IF($A36="","",IF($B36="V01",Cadrage!$C$24,IF($B36="V02",Cadrage!$D$24,Cadrage!$E$24)))</f>
        <v/>
      </c>
      <c r="Y36">
        <f>IF($A36="","",IF($B36="V01",Cadrage!$C$25,IF($B36="V02",Cadrage!$D$25,Cadrage!$E$25)))</f>
        <v/>
      </c>
      <c r="Z36">
        <f>IF($A36="","",IF($B36="V01",Cadrage!$C$26,IF($B36="V02",Cadrage!$D$26,Cadrage!$E$26)))</f>
        <v/>
      </c>
      <c r="AA36">
        <f>IF($A36="","",IF($B36="V01",Cadrage!$C$27,IF($B36="V02",Cadrage!$D$27,Cadrage!$E$27)))</f>
        <v/>
      </c>
      <c r="AB36">
        <f>IF($A36="","",IF($B36="V01",Cadrage!$C$39,IF($B36="V02",Cadrage!$D$39,Cadrage!$E$39)))</f>
        <v/>
      </c>
      <c r="AC36">
        <f>IF($A36="","",IF($F36="MBWAY",Cadrage!$K$11,IF($F36="ISCOM",Cadrage!$K$12,IF($F36="IPAC",Cadrage!$K$13,IF($F36="PIGIER",Cadrage!$K$14,Cadrage!$K$15)))))</f>
        <v/>
      </c>
      <c r="AD36">
        <f>IF($A36="","",($O36*(1+$W36)^$S36+$P36*IFERROR((($T36/$U36)*(1+$V36))^$R36,0))*IFERROR($G36/$Q36,0)*($J36+$Y36)*$K36*($L36+$Z36))</f>
        <v/>
      </c>
      <c r="AE36">
        <f>IF($A36="","",IF($N36=1,$AD36,0))</f>
        <v/>
      </c>
      <c r="AF36">
        <f>IF($A36="","",IF($N36=1,$AD36,$H36*($M36+$AA36)))</f>
        <v/>
      </c>
      <c r="AG36">
        <f>IF($A36="","",$I36*(1+$X36*$AC36))</f>
        <v/>
      </c>
      <c r="AH36">
        <f>IF($A36="","",$AF36*$AG36+$AE36*$AB36)</f>
        <v/>
      </c>
    </row>
    <row r="37">
      <c r="A37">
        <f>IF(Moteur!D37="","",Moteur!D37)</f>
        <v/>
      </c>
      <c r="B37">
        <f>IF(Moteur!B37="","",Moteur!B37)</f>
        <v/>
      </c>
      <c r="C37">
        <f>IF(Moteur!F37="","",Moteur!F37)</f>
        <v/>
      </c>
      <c r="D37">
        <f>IF(Moteur!G37="","",Moteur!G37)</f>
        <v/>
      </c>
      <c r="E37">
        <f>IF(Moteur!H37="","",Moteur!H37)</f>
        <v/>
      </c>
      <c r="F37">
        <f>IF(Moteur!E37="","",Moteur!E37)</f>
        <v/>
      </c>
      <c r="G37">
        <f>IF($A37="","",SUMIFS(Socle!$H$1:$H$379,Socle!$C$1:$C$379,$A37,Socle!$D$1:$D$379,$C37,Socle!$E$1:$E$379,$D37,Socle!$F$1:$F$379,$E37,Socle!$G$1:$G$379,"2026"))</f>
        <v/>
      </c>
      <c r="H37">
        <f>IF($A37="","",SUMIFS(Socle!$N$1:$N$379,Socle!$C$1:$C$379,$A37,Socle!$D$1:$D$379,$C37,Socle!$E$1:$E$379,$D37,Socle!$F$1:$F$379,$E37,Socle!$G$1:$G$379,"2026"))</f>
        <v/>
      </c>
      <c r="I37">
        <f>IF($A37="","",SUMIFS(Socle!$P$1:$P$379,Socle!$C$1:$C$379,$A37,Socle!$D$1:$D$379,$C37,Socle!$E$1:$E$379,$D37,Socle!$F$1:$F$379,$E37,Socle!$G$1:$G$379,"2026"))</f>
        <v/>
      </c>
      <c r="J37">
        <f>IF($A37="","",SUMIFS(Socle!$W$1:$W$379,Socle!$C$1:$C$379,$A37,Socle!$D$1:$D$379,$C37,Socle!$E$1:$E$379,$D37,Socle!$F$1:$F$379,$E37,Socle!$G$1:$G$379,"2026"))</f>
        <v/>
      </c>
      <c r="K37">
        <f>IF($A37="","",SUMIFS(Socle!$X$1:$X$379,Socle!$C$1:$C$379,$A37,Socle!$D$1:$D$379,$C37,Socle!$E$1:$E$379,$D37,Socle!$F$1:$F$379,$E37,Socle!$G$1:$G$379,"2026"))</f>
        <v/>
      </c>
      <c r="L37">
        <f>IF($A37="","",SUMIFS(Socle!$Y$1:$Y$379,Socle!$C$1:$C$379,$A37,Socle!$D$1:$D$379,$C37,Socle!$E$1:$E$379,$D37,Socle!$F$1:$F$379,$E37,Socle!$G$1:$G$379,"2026"))</f>
        <v/>
      </c>
      <c r="M37">
        <f>IF($A37="","",SUMIFS(Socle!$V$1:$V$379,Socle!$C$1:$C$379,$A37,Socle!$D$1:$D$379,$C37,Socle!$E$1:$E$379,$D37,Socle!$F$1:$F$379,$E37,Socle!$G$1:$G$379,"2026"))</f>
        <v/>
      </c>
      <c r="N37">
        <f>IF($A37="","",IF(OR($D37="B1",$D37="M1",$D37="BTS1"),1,0))</f>
        <v/>
      </c>
      <c r="O37">
        <f>IF($A37="","",SUMIFS(Campagne!$D$1:$D$28,Campagne!$C$1:$C$28,$A37))</f>
        <v/>
      </c>
      <c r="P37">
        <f>IF($A37="","",SUMIFS(Campagne!$E$1:$E$28,Campagne!$C$1:$C$28,$A37))</f>
        <v/>
      </c>
      <c r="Q37">
        <f>IF($A37="","",SUMIFS(Campagne!$F$1:$F$28,Campagne!$C$1:$C$28,$A37))</f>
        <v/>
      </c>
      <c r="R37">
        <f>IF($A37="","",SUMIFS(Campagne!$K$1:$K$28,Campagne!$C$1:$C$28,$A37))</f>
        <v/>
      </c>
      <c r="S37">
        <f>IF($A37="","",SUMIFS(Campagne!$M$1:$M$28,Campagne!$C$1:$C$28,$A37))</f>
        <v/>
      </c>
      <c r="T37">
        <f>IF($A37="","",SUMIFS(Pilotage!$K$19:$K$32,Pilotage!$A$19:$A$32,$A37)*SUMIFS(Pilotage!$J$19:$J$32,Pilotage!$A$19:$A$32,$A37)*(SUM(Pilotage!$K$19:$K$32)/SUMPRODUCT(Pilotage!$K$19:$K$32,Pilotage!$J$19:$J$32)))</f>
        <v/>
      </c>
      <c r="U37">
        <f>IF($A37="","",SUMIFS(Pilotage!$K$19:$K$32,Pilotage!$A$19:$A$32,$A37))</f>
        <v/>
      </c>
      <c r="V37">
        <f>IF($A37="","",IF($B37="V01",Cadrage!$C$22,IF($B37="V02",Cadrage!$D$22,Cadrage!$E$22)))</f>
        <v/>
      </c>
      <c r="W37">
        <f>IF($A37="","",IF($B37="V01",Cadrage!$C$23,IF($B37="V02",Cadrage!$D$23,Cadrage!$E$23)))</f>
        <v/>
      </c>
      <c r="X37">
        <f>IF($A37="","",IF($B37="V01",Cadrage!$C$24,IF($B37="V02",Cadrage!$D$24,Cadrage!$E$24)))</f>
        <v/>
      </c>
      <c r="Y37">
        <f>IF($A37="","",IF($B37="V01",Cadrage!$C$25,IF($B37="V02",Cadrage!$D$25,Cadrage!$E$25)))</f>
        <v/>
      </c>
      <c r="Z37">
        <f>IF($A37="","",IF($B37="V01",Cadrage!$C$26,IF($B37="V02",Cadrage!$D$26,Cadrage!$E$26)))</f>
        <v/>
      </c>
      <c r="AA37">
        <f>IF($A37="","",IF($B37="V01",Cadrage!$C$27,IF($B37="V02",Cadrage!$D$27,Cadrage!$E$27)))</f>
        <v/>
      </c>
      <c r="AB37">
        <f>IF($A37="","",IF($B37="V01",Cadrage!$C$39,IF($B37="V02",Cadrage!$D$39,Cadrage!$E$39)))</f>
        <v/>
      </c>
      <c r="AC37">
        <f>IF($A37="","",IF($F37="MBWAY",Cadrage!$K$11,IF($F37="ISCOM",Cadrage!$K$12,IF($F37="IPAC",Cadrage!$K$13,IF($F37="PIGIER",Cadrage!$K$14,Cadrage!$K$15)))))</f>
        <v/>
      </c>
      <c r="AD37">
        <f>IF($A37="","",($O37*(1+$W37)^$S37+$P37*IFERROR((($T37/$U37)*(1+$V37))^$R37,0))*IFERROR($G37/$Q37,0)*($J37+$Y37)*$K37*($L37+$Z37))</f>
        <v/>
      </c>
      <c r="AE37">
        <f>IF($A37="","",IF($N37=1,$AD37,0))</f>
        <v/>
      </c>
      <c r="AF37">
        <f>IF($A37="","",IF($N37=1,$AD37,$H37*($M37+$AA37)))</f>
        <v/>
      </c>
      <c r="AG37">
        <f>IF($A37="","",$I37*(1+$X37*$AC37))</f>
        <v/>
      </c>
      <c r="AH37">
        <f>IF($A37="","",$AF37*$AG37+$AE37*$AB37)</f>
        <v/>
      </c>
    </row>
    <row r="38">
      <c r="A38">
        <f>IF(Moteur!D38="","",Moteur!D38)</f>
        <v/>
      </c>
      <c r="B38">
        <f>IF(Moteur!B38="","",Moteur!B38)</f>
        <v/>
      </c>
      <c r="C38">
        <f>IF(Moteur!F38="","",Moteur!F38)</f>
        <v/>
      </c>
      <c r="D38">
        <f>IF(Moteur!G38="","",Moteur!G38)</f>
        <v/>
      </c>
      <c r="E38">
        <f>IF(Moteur!H38="","",Moteur!H38)</f>
        <v/>
      </c>
      <c r="F38">
        <f>IF(Moteur!E38="","",Moteur!E38)</f>
        <v/>
      </c>
      <c r="G38">
        <f>IF($A38="","",SUMIFS(Socle!$H$1:$H$379,Socle!$C$1:$C$379,$A38,Socle!$D$1:$D$379,$C38,Socle!$E$1:$E$379,$D38,Socle!$F$1:$F$379,$E38,Socle!$G$1:$G$379,"2026"))</f>
        <v/>
      </c>
      <c r="H38">
        <f>IF($A38="","",SUMIFS(Socle!$N$1:$N$379,Socle!$C$1:$C$379,$A38,Socle!$D$1:$D$379,$C38,Socle!$E$1:$E$379,$D38,Socle!$F$1:$F$379,$E38,Socle!$G$1:$G$379,"2026"))</f>
        <v/>
      </c>
      <c r="I38">
        <f>IF($A38="","",SUMIFS(Socle!$P$1:$P$379,Socle!$C$1:$C$379,$A38,Socle!$D$1:$D$379,$C38,Socle!$E$1:$E$379,$D38,Socle!$F$1:$F$379,$E38,Socle!$G$1:$G$379,"2026"))</f>
        <v/>
      </c>
      <c r="J38">
        <f>IF($A38="","",SUMIFS(Socle!$W$1:$W$379,Socle!$C$1:$C$379,$A38,Socle!$D$1:$D$379,$C38,Socle!$E$1:$E$379,$D38,Socle!$F$1:$F$379,$E38,Socle!$G$1:$G$379,"2026"))</f>
        <v/>
      </c>
      <c r="K38">
        <f>IF($A38="","",SUMIFS(Socle!$X$1:$X$379,Socle!$C$1:$C$379,$A38,Socle!$D$1:$D$379,$C38,Socle!$E$1:$E$379,$D38,Socle!$F$1:$F$379,$E38,Socle!$G$1:$G$379,"2026"))</f>
        <v/>
      </c>
      <c r="L38">
        <f>IF($A38="","",SUMIFS(Socle!$Y$1:$Y$379,Socle!$C$1:$C$379,$A38,Socle!$D$1:$D$379,$C38,Socle!$E$1:$E$379,$D38,Socle!$F$1:$F$379,$E38,Socle!$G$1:$G$379,"2026"))</f>
        <v/>
      </c>
      <c r="M38">
        <f>IF($A38="","",SUMIFS(Socle!$V$1:$V$379,Socle!$C$1:$C$379,$A38,Socle!$D$1:$D$379,$C38,Socle!$E$1:$E$379,$D38,Socle!$F$1:$F$379,$E38,Socle!$G$1:$G$379,"2026"))</f>
        <v/>
      </c>
      <c r="N38">
        <f>IF($A38="","",IF(OR($D38="B1",$D38="M1",$D38="BTS1"),1,0))</f>
        <v/>
      </c>
      <c r="O38">
        <f>IF($A38="","",SUMIFS(Campagne!$D$1:$D$28,Campagne!$C$1:$C$28,$A38))</f>
        <v/>
      </c>
      <c r="P38">
        <f>IF($A38="","",SUMIFS(Campagne!$E$1:$E$28,Campagne!$C$1:$C$28,$A38))</f>
        <v/>
      </c>
      <c r="Q38">
        <f>IF($A38="","",SUMIFS(Campagne!$F$1:$F$28,Campagne!$C$1:$C$28,$A38))</f>
        <v/>
      </c>
      <c r="R38">
        <f>IF($A38="","",SUMIFS(Campagne!$K$1:$K$28,Campagne!$C$1:$C$28,$A38))</f>
        <v/>
      </c>
      <c r="S38">
        <f>IF($A38="","",SUMIFS(Campagne!$M$1:$M$28,Campagne!$C$1:$C$28,$A38))</f>
        <v/>
      </c>
      <c r="T38">
        <f>IF($A38="","",SUMIFS(Pilotage!$K$19:$K$32,Pilotage!$A$19:$A$32,$A38)*SUMIFS(Pilotage!$J$19:$J$32,Pilotage!$A$19:$A$32,$A38)*(SUM(Pilotage!$K$19:$K$32)/SUMPRODUCT(Pilotage!$K$19:$K$32,Pilotage!$J$19:$J$32)))</f>
        <v/>
      </c>
      <c r="U38">
        <f>IF($A38="","",SUMIFS(Pilotage!$K$19:$K$32,Pilotage!$A$19:$A$32,$A38))</f>
        <v/>
      </c>
      <c r="V38">
        <f>IF($A38="","",IF($B38="V01",Cadrage!$C$22,IF($B38="V02",Cadrage!$D$22,Cadrage!$E$22)))</f>
        <v/>
      </c>
      <c r="W38">
        <f>IF($A38="","",IF($B38="V01",Cadrage!$C$23,IF($B38="V02",Cadrage!$D$23,Cadrage!$E$23)))</f>
        <v/>
      </c>
      <c r="X38">
        <f>IF($A38="","",IF($B38="V01",Cadrage!$C$24,IF($B38="V02",Cadrage!$D$24,Cadrage!$E$24)))</f>
        <v/>
      </c>
      <c r="Y38">
        <f>IF($A38="","",IF($B38="V01",Cadrage!$C$25,IF($B38="V02",Cadrage!$D$25,Cadrage!$E$25)))</f>
        <v/>
      </c>
      <c r="Z38">
        <f>IF($A38="","",IF($B38="V01",Cadrage!$C$26,IF($B38="V02",Cadrage!$D$26,Cadrage!$E$26)))</f>
        <v/>
      </c>
      <c r="AA38">
        <f>IF($A38="","",IF($B38="V01",Cadrage!$C$27,IF($B38="V02",Cadrage!$D$27,Cadrage!$E$27)))</f>
        <v/>
      </c>
      <c r="AB38">
        <f>IF($A38="","",IF($B38="V01",Cadrage!$C$39,IF($B38="V02",Cadrage!$D$39,Cadrage!$E$39)))</f>
        <v/>
      </c>
      <c r="AC38">
        <f>IF($A38="","",IF($F38="MBWAY",Cadrage!$K$11,IF($F38="ISCOM",Cadrage!$K$12,IF($F38="IPAC",Cadrage!$K$13,IF($F38="PIGIER",Cadrage!$K$14,Cadrage!$K$15)))))</f>
        <v/>
      </c>
      <c r="AD38">
        <f>IF($A38="","",($O38*(1+$W38)^$S38+$P38*IFERROR((($T38/$U38)*(1+$V38))^$R38,0))*IFERROR($G38/$Q38,0)*($J38+$Y38)*$K38*($L38+$Z38))</f>
        <v/>
      </c>
      <c r="AE38">
        <f>IF($A38="","",IF($N38=1,$AD38,0))</f>
        <v/>
      </c>
      <c r="AF38">
        <f>IF($A38="","",IF($N38=1,$AD38,$H38*($M38+$AA38)))</f>
        <v/>
      </c>
      <c r="AG38">
        <f>IF($A38="","",$I38*(1+$X38*$AC38))</f>
        <v/>
      </c>
      <c r="AH38">
        <f>IF($A38="","",$AF38*$AG38+$AE38*$AB38)</f>
        <v/>
      </c>
    </row>
    <row r="39">
      <c r="A39">
        <f>IF(Moteur!D39="","",Moteur!D39)</f>
        <v/>
      </c>
      <c r="B39">
        <f>IF(Moteur!B39="","",Moteur!B39)</f>
        <v/>
      </c>
      <c r="C39">
        <f>IF(Moteur!F39="","",Moteur!F39)</f>
        <v/>
      </c>
      <c r="D39">
        <f>IF(Moteur!G39="","",Moteur!G39)</f>
        <v/>
      </c>
      <c r="E39">
        <f>IF(Moteur!H39="","",Moteur!H39)</f>
        <v/>
      </c>
      <c r="F39">
        <f>IF(Moteur!E39="","",Moteur!E39)</f>
        <v/>
      </c>
      <c r="G39">
        <f>IF($A39="","",SUMIFS(Socle!$H$1:$H$379,Socle!$C$1:$C$379,$A39,Socle!$D$1:$D$379,$C39,Socle!$E$1:$E$379,$D39,Socle!$F$1:$F$379,$E39,Socle!$G$1:$G$379,"2026"))</f>
        <v/>
      </c>
      <c r="H39">
        <f>IF($A39="","",SUMIFS(Socle!$N$1:$N$379,Socle!$C$1:$C$379,$A39,Socle!$D$1:$D$379,$C39,Socle!$E$1:$E$379,$D39,Socle!$F$1:$F$379,$E39,Socle!$G$1:$G$379,"2026"))</f>
        <v/>
      </c>
      <c r="I39">
        <f>IF($A39="","",SUMIFS(Socle!$P$1:$P$379,Socle!$C$1:$C$379,$A39,Socle!$D$1:$D$379,$C39,Socle!$E$1:$E$379,$D39,Socle!$F$1:$F$379,$E39,Socle!$G$1:$G$379,"2026"))</f>
        <v/>
      </c>
      <c r="J39">
        <f>IF($A39="","",SUMIFS(Socle!$W$1:$W$379,Socle!$C$1:$C$379,$A39,Socle!$D$1:$D$379,$C39,Socle!$E$1:$E$379,$D39,Socle!$F$1:$F$379,$E39,Socle!$G$1:$G$379,"2026"))</f>
        <v/>
      </c>
      <c r="K39">
        <f>IF($A39="","",SUMIFS(Socle!$X$1:$X$379,Socle!$C$1:$C$379,$A39,Socle!$D$1:$D$379,$C39,Socle!$E$1:$E$379,$D39,Socle!$F$1:$F$379,$E39,Socle!$G$1:$G$379,"2026"))</f>
        <v/>
      </c>
      <c r="L39">
        <f>IF($A39="","",SUMIFS(Socle!$Y$1:$Y$379,Socle!$C$1:$C$379,$A39,Socle!$D$1:$D$379,$C39,Socle!$E$1:$E$379,$D39,Socle!$F$1:$F$379,$E39,Socle!$G$1:$G$379,"2026"))</f>
        <v/>
      </c>
      <c r="M39">
        <f>IF($A39="","",SUMIFS(Socle!$V$1:$V$379,Socle!$C$1:$C$379,$A39,Socle!$D$1:$D$379,$C39,Socle!$E$1:$E$379,$D39,Socle!$F$1:$F$379,$E39,Socle!$G$1:$G$379,"2026"))</f>
        <v/>
      </c>
      <c r="N39">
        <f>IF($A39="","",IF(OR($D39="B1",$D39="M1",$D39="BTS1"),1,0))</f>
        <v/>
      </c>
      <c r="O39">
        <f>IF($A39="","",SUMIFS(Campagne!$D$1:$D$28,Campagne!$C$1:$C$28,$A39))</f>
        <v/>
      </c>
      <c r="P39">
        <f>IF($A39="","",SUMIFS(Campagne!$E$1:$E$28,Campagne!$C$1:$C$28,$A39))</f>
        <v/>
      </c>
      <c r="Q39">
        <f>IF($A39="","",SUMIFS(Campagne!$F$1:$F$28,Campagne!$C$1:$C$28,$A39))</f>
        <v/>
      </c>
      <c r="R39">
        <f>IF($A39="","",SUMIFS(Campagne!$K$1:$K$28,Campagne!$C$1:$C$28,$A39))</f>
        <v/>
      </c>
      <c r="S39">
        <f>IF($A39="","",SUMIFS(Campagne!$M$1:$M$28,Campagne!$C$1:$C$28,$A39))</f>
        <v/>
      </c>
      <c r="T39">
        <f>IF($A39="","",SUMIFS(Pilotage!$K$19:$K$32,Pilotage!$A$19:$A$32,$A39)*SUMIFS(Pilotage!$J$19:$J$32,Pilotage!$A$19:$A$32,$A39)*(SUM(Pilotage!$K$19:$K$32)/SUMPRODUCT(Pilotage!$K$19:$K$32,Pilotage!$J$19:$J$32)))</f>
        <v/>
      </c>
      <c r="U39">
        <f>IF($A39="","",SUMIFS(Pilotage!$K$19:$K$32,Pilotage!$A$19:$A$32,$A39))</f>
        <v/>
      </c>
      <c r="V39">
        <f>IF($A39="","",IF($B39="V01",Cadrage!$C$22,IF($B39="V02",Cadrage!$D$22,Cadrage!$E$22)))</f>
        <v/>
      </c>
      <c r="W39">
        <f>IF($A39="","",IF($B39="V01",Cadrage!$C$23,IF($B39="V02",Cadrage!$D$23,Cadrage!$E$23)))</f>
        <v/>
      </c>
      <c r="X39">
        <f>IF($A39="","",IF($B39="V01",Cadrage!$C$24,IF($B39="V02",Cadrage!$D$24,Cadrage!$E$24)))</f>
        <v/>
      </c>
      <c r="Y39">
        <f>IF($A39="","",IF($B39="V01",Cadrage!$C$25,IF($B39="V02",Cadrage!$D$25,Cadrage!$E$25)))</f>
        <v/>
      </c>
      <c r="Z39">
        <f>IF($A39="","",IF($B39="V01",Cadrage!$C$26,IF($B39="V02",Cadrage!$D$26,Cadrage!$E$26)))</f>
        <v/>
      </c>
      <c r="AA39">
        <f>IF($A39="","",IF($B39="V01",Cadrage!$C$27,IF($B39="V02",Cadrage!$D$27,Cadrage!$E$27)))</f>
        <v/>
      </c>
      <c r="AB39">
        <f>IF($A39="","",IF($B39="V01",Cadrage!$C$39,IF($B39="V02",Cadrage!$D$39,Cadrage!$E$39)))</f>
        <v/>
      </c>
      <c r="AC39">
        <f>IF($A39="","",IF($F39="MBWAY",Cadrage!$K$11,IF($F39="ISCOM",Cadrage!$K$12,IF($F39="IPAC",Cadrage!$K$13,IF($F39="PIGIER",Cadrage!$K$14,Cadrage!$K$15)))))</f>
        <v/>
      </c>
      <c r="AD39">
        <f>IF($A39="","",($O39*(1+$W39)^$S39+$P39*IFERROR((($T39/$U39)*(1+$V39))^$R39,0))*IFERROR($G39/$Q39,0)*($J39+$Y39)*$K39*($L39+$Z39))</f>
        <v/>
      </c>
      <c r="AE39">
        <f>IF($A39="","",IF($N39=1,$AD39,0))</f>
        <v/>
      </c>
      <c r="AF39">
        <f>IF($A39="","",IF($N39=1,$AD39,$H39*($M39+$AA39)))</f>
        <v/>
      </c>
      <c r="AG39">
        <f>IF($A39="","",$I39*(1+$X39*$AC39))</f>
        <v/>
      </c>
      <c r="AH39">
        <f>IF($A39="","",$AF39*$AG39+$AE39*$AB39)</f>
        <v/>
      </c>
    </row>
    <row r="40">
      <c r="A40">
        <f>IF(Moteur!D40="","",Moteur!D40)</f>
        <v/>
      </c>
      <c r="B40">
        <f>IF(Moteur!B40="","",Moteur!B40)</f>
        <v/>
      </c>
      <c r="C40">
        <f>IF(Moteur!F40="","",Moteur!F40)</f>
        <v/>
      </c>
      <c r="D40">
        <f>IF(Moteur!G40="","",Moteur!G40)</f>
        <v/>
      </c>
      <c r="E40">
        <f>IF(Moteur!H40="","",Moteur!H40)</f>
        <v/>
      </c>
      <c r="F40">
        <f>IF(Moteur!E40="","",Moteur!E40)</f>
        <v/>
      </c>
      <c r="G40">
        <f>IF($A40="","",SUMIFS(Socle!$H$1:$H$379,Socle!$C$1:$C$379,$A40,Socle!$D$1:$D$379,$C40,Socle!$E$1:$E$379,$D40,Socle!$F$1:$F$379,$E40,Socle!$G$1:$G$379,"2026"))</f>
        <v/>
      </c>
      <c r="H40">
        <f>IF($A40="","",SUMIFS(Socle!$N$1:$N$379,Socle!$C$1:$C$379,$A40,Socle!$D$1:$D$379,$C40,Socle!$E$1:$E$379,$D40,Socle!$F$1:$F$379,$E40,Socle!$G$1:$G$379,"2026"))</f>
        <v/>
      </c>
      <c r="I40">
        <f>IF($A40="","",SUMIFS(Socle!$P$1:$P$379,Socle!$C$1:$C$379,$A40,Socle!$D$1:$D$379,$C40,Socle!$E$1:$E$379,$D40,Socle!$F$1:$F$379,$E40,Socle!$G$1:$G$379,"2026"))</f>
        <v/>
      </c>
      <c r="J40">
        <f>IF($A40="","",SUMIFS(Socle!$W$1:$W$379,Socle!$C$1:$C$379,$A40,Socle!$D$1:$D$379,$C40,Socle!$E$1:$E$379,$D40,Socle!$F$1:$F$379,$E40,Socle!$G$1:$G$379,"2026"))</f>
        <v/>
      </c>
      <c r="K40">
        <f>IF($A40="","",SUMIFS(Socle!$X$1:$X$379,Socle!$C$1:$C$379,$A40,Socle!$D$1:$D$379,$C40,Socle!$E$1:$E$379,$D40,Socle!$F$1:$F$379,$E40,Socle!$G$1:$G$379,"2026"))</f>
        <v/>
      </c>
      <c r="L40">
        <f>IF($A40="","",SUMIFS(Socle!$Y$1:$Y$379,Socle!$C$1:$C$379,$A40,Socle!$D$1:$D$379,$C40,Socle!$E$1:$E$379,$D40,Socle!$F$1:$F$379,$E40,Socle!$G$1:$G$379,"2026"))</f>
        <v/>
      </c>
      <c r="M40">
        <f>IF($A40="","",SUMIFS(Socle!$V$1:$V$379,Socle!$C$1:$C$379,$A40,Socle!$D$1:$D$379,$C40,Socle!$E$1:$E$379,$D40,Socle!$F$1:$F$379,$E40,Socle!$G$1:$G$379,"2026"))</f>
        <v/>
      </c>
      <c r="N40">
        <f>IF($A40="","",IF(OR($D40="B1",$D40="M1",$D40="BTS1"),1,0))</f>
        <v/>
      </c>
      <c r="O40">
        <f>IF($A40="","",SUMIFS(Campagne!$D$1:$D$28,Campagne!$C$1:$C$28,$A40))</f>
        <v/>
      </c>
      <c r="P40">
        <f>IF($A40="","",SUMIFS(Campagne!$E$1:$E$28,Campagne!$C$1:$C$28,$A40))</f>
        <v/>
      </c>
      <c r="Q40">
        <f>IF($A40="","",SUMIFS(Campagne!$F$1:$F$28,Campagne!$C$1:$C$28,$A40))</f>
        <v/>
      </c>
      <c r="R40">
        <f>IF($A40="","",SUMIFS(Campagne!$K$1:$K$28,Campagne!$C$1:$C$28,$A40))</f>
        <v/>
      </c>
      <c r="S40">
        <f>IF($A40="","",SUMIFS(Campagne!$M$1:$M$28,Campagne!$C$1:$C$28,$A40))</f>
        <v/>
      </c>
      <c r="T40">
        <f>IF($A40="","",SUMIFS(Pilotage!$K$19:$K$32,Pilotage!$A$19:$A$32,$A40)*SUMIFS(Pilotage!$J$19:$J$32,Pilotage!$A$19:$A$32,$A40)*(SUM(Pilotage!$K$19:$K$32)/SUMPRODUCT(Pilotage!$K$19:$K$32,Pilotage!$J$19:$J$32)))</f>
        <v/>
      </c>
      <c r="U40">
        <f>IF($A40="","",SUMIFS(Pilotage!$K$19:$K$32,Pilotage!$A$19:$A$32,$A40))</f>
        <v/>
      </c>
      <c r="V40">
        <f>IF($A40="","",IF($B40="V01",Cadrage!$C$22,IF($B40="V02",Cadrage!$D$22,Cadrage!$E$22)))</f>
        <v/>
      </c>
      <c r="W40">
        <f>IF($A40="","",IF($B40="V01",Cadrage!$C$23,IF($B40="V02",Cadrage!$D$23,Cadrage!$E$23)))</f>
        <v/>
      </c>
      <c r="X40">
        <f>IF($A40="","",IF($B40="V01",Cadrage!$C$24,IF($B40="V02",Cadrage!$D$24,Cadrage!$E$24)))</f>
        <v/>
      </c>
      <c r="Y40">
        <f>IF($A40="","",IF($B40="V01",Cadrage!$C$25,IF($B40="V02",Cadrage!$D$25,Cadrage!$E$25)))</f>
        <v/>
      </c>
      <c r="Z40">
        <f>IF($A40="","",IF($B40="V01",Cadrage!$C$26,IF($B40="V02",Cadrage!$D$26,Cadrage!$E$26)))</f>
        <v/>
      </c>
      <c r="AA40">
        <f>IF($A40="","",IF($B40="V01",Cadrage!$C$27,IF($B40="V02",Cadrage!$D$27,Cadrage!$E$27)))</f>
        <v/>
      </c>
      <c r="AB40">
        <f>IF($A40="","",IF($B40="V01",Cadrage!$C$39,IF($B40="V02",Cadrage!$D$39,Cadrage!$E$39)))</f>
        <v/>
      </c>
      <c r="AC40">
        <f>IF($A40="","",IF($F40="MBWAY",Cadrage!$K$11,IF($F40="ISCOM",Cadrage!$K$12,IF($F40="IPAC",Cadrage!$K$13,IF($F40="PIGIER",Cadrage!$K$14,Cadrage!$K$15)))))</f>
        <v/>
      </c>
      <c r="AD40">
        <f>IF($A40="","",($O40*(1+$W40)^$S40+$P40*IFERROR((($T40/$U40)*(1+$V40))^$R40,0))*IFERROR($G40/$Q40,0)*($J40+$Y40)*$K40*($L40+$Z40))</f>
        <v/>
      </c>
      <c r="AE40">
        <f>IF($A40="","",IF($N40=1,$AD40,0))</f>
        <v/>
      </c>
      <c r="AF40">
        <f>IF($A40="","",IF($N40=1,$AD40,$H40*($M40+$AA40)))</f>
        <v/>
      </c>
      <c r="AG40">
        <f>IF($A40="","",$I40*(1+$X40*$AC40))</f>
        <v/>
      </c>
      <c r="AH40">
        <f>IF($A40="","",$AF40*$AG40+$AE40*$AB40)</f>
        <v/>
      </c>
    </row>
    <row r="41">
      <c r="A41">
        <f>IF(Moteur!D41="","",Moteur!D41)</f>
        <v/>
      </c>
      <c r="B41">
        <f>IF(Moteur!B41="","",Moteur!B41)</f>
        <v/>
      </c>
      <c r="C41">
        <f>IF(Moteur!F41="","",Moteur!F41)</f>
        <v/>
      </c>
      <c r="D41">
        <f>IF(Moteur!G41="","",Moteur!G41)</f>
        <v/>
      </c>
      <c r="E41">
        <f>IF(Moteur!H41="","",Moteur!H41)</f>
        <v/>
      </c>
      <c r="F41">
        <f>IF(Moteur!E41="","",Moteur!E41)</f>
        <v/>
      </c>
      <c r="G41">
        <f>IF($A41="","",SUMIFS(Socle!$H$1:$H$379,Socle!$C$1:$C$379,$A41,Socle!$D$1:$D$379,$C41,Socle!$E$1:$E$379,$D41,Socle!$F$1:$F$379,$E41,Socle!$G$1:$G$379,"2026"))</f>
        <v/>
      </c>
      <c r="H41">
        <f>IF($A41="","",SUMIFS(Socle!$N$1:$N$379,Socle!$C$1:$C$379,$A41,Socle!$D$1:$D$379,$C41,Socle!$E$1:$E$379,$D41,Socle!$F$1:$F$379,$E41,Socle!$G$1:$G$379,"2026"))</f>
        <v/>
      </c>
      <c r="I41">
        <f>IF($A41="","",SUMIFS(Socle!$P$1:$P$379,Socle!$C$1:$C$379,$A41,Socle!$D$1:$D$379,$C41,Socle!$E$1:$E$379,$D41,Socle!$F$1:$F$379,$E41,Socle!$G$1:$G$379,"2026"))</f>
        <v/>
      </c>
      <c r="J41">
        <f>IF($A41="","",SUMIFS(Socle!$W$1:$W$379,Socle!$C$1:$C$379,$A41,Socle!$D$1:$D$379,$C41,Socle!$E$1:$E$379,$D41,Socle!$F$1:$F$379,$E41,Socle!$G$1:$G$379,"2026"))</f>
        <v/>
      </c>
      <c r="K41">
        <f>IF($A41="","",SUMIFS(Socle!$X$1:$X$379,Socle!$C$1:$C$379,$A41,Socle!$D$1:$D$379,$C41,Socle!$E$1:$E$379,$D41,Socle!$F$1:$F$379,$E41,Socle!$G$1:$G$379,"2026"))</f>
        <v/>
      </c>
      <c r="L41">
        <f>IF($A41="","",SUMIFS(Socle!$Y$1:$Y$379,Socle!$C$1:$C$379,$A41,Socle!$D$1:$D$379,$C41,Socle!$E$1:$E$379,$D41,Socle!$F$1:$F$379,$E41,Socle!$G$1:$G$379,"2026"))</f>
        <v/>
      </c>
      <c r="M41">
        <f>IF($A41="","",SUMIFS(Socle!$V$1:$V$379,Socle!$C$1:$C$379,$A41,Socle!$D$1:$D$379,$C41,Socle!$E$1:$E$379,$D41,Socle!$F$1:$F$379,$E41,Socle!$G$1:$G$379,"2026"))</f>
        <v/>
      </c>
      <c r="N41">
        <f>IF($A41="","",IF(OR($D41="B1",$D41="M1",$D41="BTS1"),1,0))</f>
        <v/>
      </c>
      <c r="O41">
        <f>IF($A41="","",SUMIFS(Campagne!$D$1:$D$28,Campagne!$C$1:$C$28,$A41))</f>
        <v/>
      </c>
      <c r="P41">
        <f>IF($A41="","",SUMIFS(Campagne!$E$1:$E$28,Campagne!$C$1:$C$28,$A41))</f>
        <v/>
      </c>
      <c r="Q41">
        <f>IF($A41="","",SUMIFS(Campagne!$F$1:$F$28,Campagne!$C$1:$C$28,$A41))</f>
        <v/>
      </c>
      <c r="R41">
        <f>IF($A41="","",SUMIFS(Campagne!$K$1:$K$28,Campagne!$C$1:$C$28,$A41))</f>
        <v/>
      </c>
      <c r="S41">
        <f>IF($A41="","",SUMIFS(Campagne!$M$1:$M$28,Campagne!$C$1:$C$28,$A41))</f>
        <v/>
      </c>
      <c r="T41">
        <f>IF($A41="","",SUMIFS(Pilotage!$K$19:$K$32,Pilotage!$A$19:$A$32,$A41)*SUMIFS(Pilotage!$J$19:$J$32,Pilotage!$A$19:$A$32,$A41)*(SUM(Pilotage!$K$19:$K$32)/SUMPRODUCT(Pilotage!$K$19:$K$32,Pilotage!$J$19:$J$32)))</f>
        <v/>
      </c>
      <c r="U41">
        <f>IF($A41="","",SUMIFS(Pilotage!$K$19:$K$32,Pilotage!$A$19:$A$32,$A41))</f>
        <v/>
      </c>
      <c r="V41">
        <f>IF($A41="","",IF($B41="V01",Cadrage!$C$22,IF($B41="V02",Cadrage!$D$22,Cadrage!$E$22)))</f>
        <v/>
      </c>
      <c r="W41">
        <f>IF($A41="","",IF($B41="V01",Cadrage!$C$23,IF($B41="V02",Cadrage!$D$23,Cadrage!$E$23)))</f>
        <v/>
      </c>
      <c r="X41">
        <f>IF($A41="","",IF($B41="V01",Cadrage!$C$24,IF($B41="V02",Cadrage!$D$24,Cadrage!$E$24)))</f>
        <v/>
      </c>
      <c r="Y41">
        <f>IF($A41="","",IF($B41="V01",Cadrage!$C$25,IF($B41="V02",Cadrage!$D$25,Cadrage!$E$25)))</f>
        <v/>
      </c>
      <c r="Z41">
        <f>IF($A41="","",IF($B41="V01",Cadrage!$C$26,IF($B41="V02",Cadrage!$D$26,Cadrage!$E$26)))</f>
        <v/>
      </c>
      <c r="AA41">
        <f>IF($A41="","",IF($B41="V01",Cadrage!$C$27,IF($B41="V02",Cadrage!$D$27,Cadrage!$E$27)))</f>
        <v/>
      </c>
      <c r="AB41">
        <f>IF($A41="","",IF($B41="V01",Cadrage!$C$39,IF($B41="V02",Cadrage!$D$39,Cadrage!$E$39)))</f>
        <v/>
      </c>
      <c r="AC41">
        <f>IF($A41="","",IF($F41="MBWAY",Cadrage!$K$11,IF($F41="ISCOM",Cadrage!$K$12,IF($F41="IPAC",Cadrage!$K$13,IF($F41="PIGIER",Cadrage!$K$14,Cadrage!$K$15)))))</f>
        <v/>
      </c>
      <c r="AD41">
        <f>IF($A41="","",($O41*(1+$W41)^$S41+$P41*IFERROR((($T41/$U41)*(1+$V41))^$R41,0))*IFERROR($G41/$Q41,0)*($J41+$Y41)*$K41*($L41+$Z41))</f>
        <v/>
      </c>
      <c r="AE41">
        <f>IF($A41="","",IF($N41=1,$AD41,0))</f>
        <v/>
      </c>
      <c r="AF41">
        <f>IF($A41="","",IF($N41=1,$AD41,$H41*($M41+$AA41)))</f>
        <v/>
      </c>
      <c r="AG41">
        <f>IF($A41="","",$I41*(1+$X41*$AC41))</f>
        <v/>
      </c>
      <c r="AH41">
        <f>IF($A41="","",$AF41*$AG41+$AE41*$AB41)</f>
        <v/>
      </c>
    </row>
    <row r="42">
      <c r="A42">
        <f>IF(Moteur!D42="","",Moteur!D42)</f>
        <v/>
      </c>
      <c r="B42">
        <f>IF(Moteur!B42="","",Moteur!B42)</f>
        <v/>
      </c>
      <c r="C42">
        <f>IF(Moteur!F42="","",Moteur!F42)</f>
        <v/>
      </c>
      <c r="D42">
        <f>IF(Moteur!G42="","",Moteur!G42)</f>
        <v/>
      </c>
      <c r="E42">
        <f>IF(Moteur!H42="","",Moteur!H42)</f>
        <v/>
      </c>
      <c r="F42">
        <f>IF(Moteur!E42="","",Moteur!E42)</f>
        <v/>
      </c>
      <c r="G42">
        <f>IF($A42="","",SUMIFS(Socle!$H$1:$H$379,Socle!$C$1:$C$379,$A42,Socle!$D$1:$D$379,$C42,Socle!$E$1:$E$379,$D42,Socle!$F$1:$F$379,$E42,Socle!$G$1:$G$379,"2026"))</f>
        <v/>
      </c>
      <c r="H42">
        <f>IF($A42="","",SUMIFS(Socle!$N$1:$N$379,Socle!$C$1:$C$379,$A42,Socle!$D$1:$D$379,$C42,Socle!$E$1:$E$379,$D42,Socle!$F$1:$F$379,$E42,Socle!$G$1:$G$379,"2026"))</f>
        <v/>
      </c>
      <c r="I42">
        <f>IF($A42="","",SUMIFS(Socle!$P$1:$P$379,Socle!$C$1:$C$379,$A42,Socle!$D$1:$D$379,$C42,Socle!$E$1:$E$379,$D42,Socle!$F$1:$F$379,$E42,Socle!$G$1:$G$379,"2026"))</f>
        <v/>
      </c>
      <c r="J42">
        <f>IF($A42="","",SUMIFS(Socle!$W$1:$W$379,Socle!$C$1:$C$379,$A42,Socle!$D$1:$D$379,$C42,Socle!$E$1:$E$379,$D42,Socle!$F$1:$F$379,$E42,Socle!$G$1:$G$379,"2026"))</f>
        <v/>
      </c>
      <c r="K42">
        <f>IF($A42="","",SUMIFS(Socle!$X$1:$X$379,Socle!$C$1:$C$379,$A42,Socle!$D$1:$D$379,$C42,Socle!$E$1:$E$379,$D42,Socle!$F$1:$F$379,$E42,Socle!$G$1:$G$379,"2026"))</f>
        <v/>
      </c>
      <c r="L42">
        <f>IF($A42="","",SUMIFS(Socle!$Y$1:$Y$379,Socle!$C$1:$C$379,$A42,Socle!$D$1:$D$379,$C42,Socle!$E$1:$E$379,$D42,Socle!$F$1:$F$379,$E42,Socle!$G$1:$G$379,"2026"))</f>
        <v/>
      </c>
      <c r="M42">
        <f>IF($A42="","",SUMIFS(Socle!$V$1:$V$379,Socle!$C$1:$C$379,$A42,Socle!$D$1:$D$379,$C42,Socle!$E$1:$E$379,$D42,Socle!$F$1:$F$379,$E42,Socle!$G$1:$G$379,"2026"))</f>
        <v/>
      </c>
      <c r="N42">
        <f>IF($A42="","",IF(OR($D42="B1",$D42="M1",$D42="BTS1"),1,0))</f>
        <v/>
      </c>
      <c r="O42">
        <f>IF($A42="","",SUMIFS(Campagne!$D$1:$D$28,Campagne!$C$1:$C$28,$A42))</f>
        <v/>
      </c>
      <c r="P42">
        <f>IF($A42="","",SUMIFS(Campagne!$E$1:$E$28,Campagne!$C$1:$C$28,$A42))</f>
        <v/>
      </c>
      <c r="Q42">
        <f>IF($A42="","",SUMIFS(Campagne!$F$1:$F$28,Campagne!$C$1:$C$28,$A42))</f>
        <v/>
      </c>
      <c r="R42">
        <f>IF($A42="","",SUMIFS(Campagne!$K$1:$K$28,Campagne!$C$1:$C$28,$A42))</f>
        <v/>
      </c>
      <c r="S42">
        <f>IF($A42="","",SUMIFS(Campagne!$M$1:$M$28,Campagne!$C$1:$C$28,$A42))</f>
        <v/>
      </c>
      <c r="T42">
        <f>IF($A42="","",SUMIFS(Pilotage!$K$19:$K$32,Pilotage!$A$19:$A$32,$A42)*SUMIFS(Pilotage!$J$19:$J$32,Pilotage!$A$19:$A$32,$A42)*(SUM(Pilotage!$K$19:$K$32)/SUMPRODUCT(Pilotage!$K$19:$K$32,Pilotage!$J$19:$J$32)))</f>
        <v/>
      </c>
      <c r="U42">
        <f>IF($A42="","",SUMIFS(Pilotage!$K$19:$K$32,Pilotage!$A$19:$A$32,$A42))</f>
        <v/>
      </c>
      <c r="V42">
        <f>IF($A42="","",IF($B42="V01",Cadrage!$C$22,IF($B42="V02",Cadrage!$D$22,Cadrage!$E$22)))</f>
        <v/>
      </c>
      <c r="W42">
        <f>IF($A42="","",IF($B42="V01",Cadrage!$C$23,IF($B42="V02",Cadrage!$D$23,Cadrage!$E$23)))</f>
        <v/>
      </c>
      <c r="X42">
        <f>IF($A42="","",IF($B42="V01",Cadrage!$C$24,IF($B42="V02",Cadrage!$D$24,Cadrage!$E$24)))</f>
        <v/>
      </c>
      <c r="Y42">
        <f>IF($A42="","",IF($B42="V01",Cadrage!$C$25,IF($B42="V02",Cadrage!$D$25,Cadrage!$E$25)))</f>
        <v/>
      </c>
      <c r="Z42">
        <f>IF($A42="","",IF($B42="V01",Cadrage!$C$26,IF($B42="V02",Cadrage!$D$26,Cadrage!$E$26)))</f>
        <v/>
      </c>
      <c r="AA42">
        <f>IF($A42="","",IF($B42="V01",Cadrage!$C$27,IF($B42="V02",Cadrage!$D$27,Cadrage!$E$27)))</f>
        <v/>
      </c>
      <c r="AB42">
        <f>IF($A42="","",IF($B42="V01",Cadrage!$C$39,IF($B42="V02",Cadrage!$D$39,Cadrage!$E$39)))</f>
        <v/>
      </c>
      <c r="AC42">
        <f>IF($A42="","",IF($F42="MBWAY",Cadrage!$K$11,IF($F42="ISCOM",Cadrage!$K$12,IF($F42="IPAC",Cadrage!$K$13,IF($F42="PIGIER",Cadrage!$K$14,Cadrage!$K$15)))))</f>
        <v/>
      </c>
      <c r="AD42">
        <f>IF($A42="","",($O42*(1+$W42)^$S42+$P42*IFERROR((($T42/$U42)*(1+$V42))^$R42,0))*IFERROR($G42/$Q42,0)*($J42+$Y42)*$K42*($L42+$Z42))</f>
        <v/>
      </c>
      <c r="AE42">
        <f>IF($A42="","",IF($N42=1,$AD42,0))</f>
        <v/>
      </c>
      <c r="AF42">
        <f>IF($A42="","",IF($N42=1,$AD42,$H42*($M42+$AA42)))</f>
        <v/>
      </c>
      <c r="AG42">
        <f>IF($A42="","",$I42*(1+$X42*$AC42))</f>
        <v/>
      </c>
      <c r="AH42">
        <f>IF($A42="","",$AF42*$AG42+$AE42*$AB42)</f>
        <v/>
      </c>
    </row>
    <row r="43">
      <c r="A43">
        <f>IF(Moteur!D43="","",Moteur!D43)</f>
        <v/>
      </c>
      <c r="B43">
        <f>IF(Moteur!B43="","",Moteur!B43)</f>
        <v/>
      </c>
      <c r="C43">
        <f>IF(Moteur!F43="","",Moteur!F43)</f>
        <v/>
      </c>
      <c r="D43">
        <f>IF(Moteur!G43="","",Moteur!G43)</f>
        <v/>
      </c>
      <c r="E43">
        <f>IF(Moteur!H43="","",Moteur!H43)</f>
        <v/>
      </c>
      <c r="F43">
        <f>IF(Moteur!E43="","",Moteur!E43)</f>
        <v/>
      </c>
      <c r="G43">
        <f>IF($A43="","",SUMIFS(Socle!$H$1:$H$379,Socle!$C$1:$C$379,$A43,Socle!$D$1:$D$379,$C43,Socle!$E$1:$E$379,$D43,Socle!$F$1:$F$379,$E43,Socle!$G$1:$G$379,"2026"))</f>
        <v/>
      </c>
      <c r="H43">
        <f>IF($A43="","",SUMIFS(Socle!$N$1:$N$379,Socle!$C$1:$C$379,$A43,Socle!$D$1:$D$379,$C43,Socle!$E$1:$E$379,$D43,Socle!$F$1:$F$379,$E43,Socle!$G$1:$G$379,"2026"))</f>
        <v/>
      </c>
      <c r="I43">
        <f>IF($A43="","",SUMIFS(Socle!$P$1:$P$379,Socle!$C$1:$C$379,$A43,Socle!$D$1:$D$379,$C43,Socle!$E$1:$E$379,$D43,Socle!$F$1:$F$379,$E43,Socle!$G$1:$G$379,"2026"))</f>
        <v/>
      </c>
      <c r="J43">
        <f>IF($A43="","",SUMIFS(Socle!$W$1:$W$379,Socle!$C$1:$C$379,$A43,Socle!$D$1:$D$379,$C43,Socle!$E$1:$E$379,$D43,Socle!$F$1:$F$379,$E43,Socle!$G$1:$G$379,"2026"))</f>
        <v/>
      </c>
      <c r="K43">
        <f>IF($A43="","",SUMIFS(Socle!$X$1:$X$379,Socle!$C$1:$C$379,$A43,Socle!$D$1:$D$379,$C43,Socle!$E$1:$E$379,$D43,Socle!$F$1:$F$379,$E43,Socle!$G$1:$G$379,"2026"))</f>
        <v/>
      </c>
      <c r="L43">
        <f>IF($A43="","",SUMIFS(Socle!$Y$1:$Y$379,Socle!$C$1:$C$379,$A43,Socle!$D$1:$D$379,$C43,Socle!$E$1:$E$379,$D43,Socle!$F$1:$F$379,$E43,Socle!$G$1:$G$379,"2026"))</f>
        <v/>
      </c>
      <c r="M43">
        <f>IF($A43="","",SUMIFS(Socle!$V$1:$V$379,Socle!$C$1:$C$379,$A43,Socle!$D$1:$D$379,$C43,Socle!$E$1:$E$379,$D43,Socle!$F$1:$F$379,$E43,Socle!$G$1:$G$379,"2026"))</f>
        <v/>
      </c>
      <c r="N43">
        <f>IF($A43="","",IF(OR($D43="B1",$D43="M1",$D43="BTS1"),1,0))</f>
        <v/>
      </c>
      <c r="O43">
        <f>IF($A43="","",SUMIFS(Campagne!$D$1:$D$28,Campagne!$C$1:$C$28,$A43))</f>
        <v/>
      </c>
      <c r="P43">
        <f>IF($A43="","",SUMIFS(Campagne!$E$1:$E$28,Campagne!$C$1:$C$28,$A43))</f>
        <v/>
      </c>
      <c r="Q43">
        <f>IF($A43="","",SUMIFS(Campagne!$F$1:$F$28,Campagne!$C$1:$C$28,$A43))</f>
        <v/>
      </c>
      <c r="R43">
        <f>IF($A43="","",SUMIFS(Campagne!$K$1:$K$28,Campagne!$C$1:$C$28,$A43))</f>
        <v/>
      </c>
      <c r="S43">
        <f>IF($A43="","",SUMIFS(Campagne!$M$1:$M$28,Campagne!$C$1:$C$28,$A43))</f>
        <v/>
      </c>
      <c r="T43">
        <f>IF($A43="","",SUMIFS(Pilotage!$K$19:$K$32,Pilotage!$A$19:$A$32,$A43)*SUMIFS(Pilotage!$J$19:$J$32,Pilotage!$A$19:$A$32,$A43)*(SUM(Pilotage!$K$19:$K$32)/SUMPRODUCT(Pilotage!$K$19:$K$32,Pilotage!$J$19:$J$32)))</f>
        <v/>
      </c>
      <c r="U43">
        <f>IF($A43="","",SUMIFS(Pilotage!$K$19:$K$32,Pilotage!$A$19:$A$32,$A43))</f>
        <v/>
      </c>
      <c r="V43">
        <f>IF($A43="","",IF($B43="V01",Cadrage!$C$22,IF($B43="V02",Cadrage!$D$22,Cadrage!$E$22)))</f>
        <v/>
      </c>
      <c r="W43">
        <f>IF($A43="","",IF($B43="V01",Cadrage!$C$23,IF($B43="V02",Cadrage!$D$23,Cadrage!$E$23)))</f>
        <v/>
      </c>
      <c r="X43">
        <f>IF($A43="","",IF($B43="V01",Cadrage!$C$24,IF($B43="V02",Cadrage!$D$24,Cadrage!$E$24)))</f>
        <v/>
      </c>
      <c r="Y43">
        <f>IF($A43="","",IF($B43="V01",Cadrage!$C$25,IF($B43="V02",Cadrage!$D$25,Cadrage!$E$25)))</f>
        <v/>
      </c>
      <c r="Z43">
        <f>IF($A43="","",IF($B43="V01",Cadrage!$C$26,IF($B43="V02",Cadrage!$D$26,Cadrage!$E$26)))</f>
        <v/>
      </c>
      <c r="AA43">
        <f>IF($A43="","",IF($B43="V01",Cadrage!$C$27,IF($B43="V02",Cadrage!$D$27,Cadrage!$E$27)))</f>
        <v/>
      </c>
      <c r="AB43">
        <f>IF($A43="","",IF($B43="V01",Cadrage!$C$39,IF($B43="V02",Cadrage!$D$39,Cadrage!$E$39)))</f>
        <v/>
      </c>
      <c r="AC43">
        <f>IF($A43="","",IF($F43="MBWAY",Cadrage!$K$11,IF($F43="ISCOM",Cadrage!$K$12,IF($F43="IPAC",Cadrage!$K$13,IF($F43="PIGIER",Cadrage!$K$14,Cadrage!$K$15)))))</f>
        <v/>
      </c>
      <c r="AD43">
        <f>IF($A43="","",($O43*(1+$W43)^$S43+$P43*IFERROR((($T43/$U43)*(1+$V43))^$R43,0))*IFERROR($G43/$Q43,0)*($J43+$Y43)*$K43*($L43+$Z43))</f>
        <v/>
      </c>
      <c r="AE43">
        <f>IF($A43="","",IF($N43=1,$AD43,0))</f>
        <v/>
      </c>
      <c r="AF43">
        <f>IF($A43="","",IF($N43=1,$AD43,$H43*($M43+$AA43)))</f>
        <v/>
      </c>
      <c r="AG43">
        <f>IF($A43="","",$I43*(1+$X43*$AC43))</f>
        <v/>
      </c>
      <c r="AH43">
        <f>IF($A43="","",$AF43*$AG43+$AE43*$AB43)</f>
        <v/>
      </c>
    </row>
    <row r="44">
      <c r="A44">
        <f>IF(Moteur!D44="","",Moteur!D44)</f>
        <v/>
      </c>
      <c r="B44">
        <f>IF(Moteur!B44="","",Moteur!B44)</f>
        <v/>
      </c>
      <c r="C44">
        <f>IF(Moteur!F44="","",Moteur!F44)</f>
        <v/>
      </c>
      <c r="D44">
        <f>IF(Moteur!G44="","",Moteur!G44)</f>
        <v/>
      </c>
      <c r="E44">
        <f>IF(Moteur!H44="","",Moteur!H44)</f>
        <v/>
      </c>
      <c r="F44">
        <f>IF(Moteur!E44="","",Moteur!E44)</f>
        <v/>
      </c>
      <c r="G44">
        <f>IF($A44="","",SUMIFS(Socle!$H$1:$H$379,Socle!$C$1:$C$379,$A44,Socle!$D$1:$D$379,$C44,Socle!$E$1:$E$379,$D44,Socle!$F$1:$F$379,$E44,Socle!$G$1:$G$379,"2026"))</f>
        <v/>
      </c>
      <c r="H44">
        <f>IF($A44="","",SUMIFS(Socle!$N$1:$N$379,Socle!$C$1:$C$379,$A44,Socle!$D$1:$D$379,$C44,Socle!$E$1:$E$379,$D44,Socle!$F$1:$F$379,$E44,Socle!$G$1:$G$379,"2026"))</f>
        <v/>
      </c>
      <c r="I44">
        <f>IF($A44="","",SUMIFS(Socle!$P$1:$P$379,Socle!$C$1:$C$379,$A44,Socle!$D$1:$D$379,$C44,Socle!$E$1:$E$379,$D44,Socle!$F$1:$F$379,$E44,Socle!$G$1:$G$379,"2026"))</f>
        <v/>
      </c>
      <c r="J44">
        <f>IF($A44="","",SUMIFS(Socle!$W$1:$W$379,Socle!$C$1:$C$379,$A44,Socle!$D$1:$D$379,$C44,Socle!$E$1:$E$379,$D44,Socle!$F$1:$F$379,$E44,Socle!$G$1:$G$379,"2026"))</f>
        <v/>
      </c>
      <c r="K44">
        <f>IF($A44="","",SUMIFS(Socle!$X$1:$X$379,Socle!$C$1:$C$379,$A44,Socle!$D$1:$D$379,$C44,Socle!$E$1:$E$379,$D44,Socle!$F$1:$F$379,$E44,Socle!$G$1:$G$379,"2026"))</f>
        <v/>
      </c>
      <c r="L44">
        <f>IF($A44="","",SUMIFS(Socle!$Y$1:$Y$379,Socle!$C$1:$C$379,$A44,Socle!$D$1:$D$379,$C44,Socle!$E$1:$E$379,$D44,Socle!$F$1:$F$379,$E44,Socle!$G$1:$G$379,"2026"))</f>
        <v/>
      </c>
      <c r="M44">
        <f>IF($A44="","",SUMIFS(Socle!$V$1:$V$379,Socle!$C$1:$C$379,$A44,Socle!$D$1:$D$379,$C44,Socle!$E$1:$E$379,$D44,Socle!$F$1:$F$379,$E44,Socle!$G$1:$G$379,"2026"))</f>
        <v/>
      </c>
      <c r="N44">
        <f>IF($A44="","",IF(OR($D44="B1",$D44="M1",$D44="BTS1"),1,0))</f>
        <v/>
      </c>
      <c r="O44">
        <f>IF($A44="","",SUMIFS(Campagne!$D$1:$D$28,Campagne!$C$1:$C$28,$A44))</f>
        <v/>
      </c>
      <c r="P44">
        <f>IF($A44="","",SUMIFS(Campagne!$E$1:$E$28,Campagne!$C$1:$C$28,$A44))</f>
        <v/>
      </c>
      <c r="Q44">
        <f>IF($A44="","",SUMIFS(Campagne!$F$1:$F$28,Campagne!$C$1:$C$28,$A44))</f>
        <v/>
      </c>
      <c r="R44">
        <f>IF($A44="","",SUMIFS(Campagne!$K$1:$K$28,Campagne!$C$1:$C$28,$A44))</f>
        <v/>
      </c>
      <c r="S44">
        <f>IF($A44="","",SUMIFS(Campagne!$M$1:$M$28,Campagne!$C$1:$C$28,$A44))</f>
        <v/>
      </c>
      <c r="T44">
        <f>IF($A44="","",SUMIFS(Pilotage!$K$19:$K$32,Pilotage!$A$19:$A$32,$A44)*SUMIFS(Pilotage!$J$19:$J$32,Pilotage!$A$19:$A$32,$A44)*(SUM(Pilotage!$K$19:$K$32)/SUMPRODUCT(Pilotage!$K$19:$K$32,Pilotage!$J$19:$J$32)))</f>
        <v/>
      </c>
      <c r="U44">
        <f>IF($A44="","",SUMIFS(Pilotage!$K$19:$K$32,Pilotage!$A$19:$A$32,$A44))</f>
        <v/>
      </c>
      <c r="V44">
        <f>IF($A44="","",IF($B44="V01",Cadrage!$C$22,IF($B44="V02",Cadrage!$D$22,Cadrage!$E$22)))</f>
        <v/>
      </c>
      <c r="W44">
        <f>IF($A44="","",IF($B44="V01",Cadrage!$C$23,IF($B44="V02",Cadrage!$D$23,Cadrage!$E$23)))</f>
        <v/>
      </c>
      <c r="X44">
        <f>IF($A44="","",IF($B44="V01",Cadrage!$C$24,IF($B44="V02",Cadrage!$D$24,Cadrage!$E$24)))</f>
        <v/>
      </c>
      <c r="Y44">
        <f>IF($A44="","",IF($B44="V01",Cadrage!$C$25,IF($B44="V02",Cadrage!$D$25,Cadrage!$E$25)))</f>
        <v/>
      </c>
      <c r="Z44">
        <f>IF($A44="","",IF($B44="V01",Cadrage!$C$26,IF($B44="V02",Cadrage!$D$26,Cadrage!$E$26)))</f>
        <v/>
      </c>
      <c r="AA44">
        <f>IF($A44="","",IF($B44="V01",Cadrage!$C$27,IF($B44="V02",Cadrage!$D$27,Cadrage!$E$27)))</f>
        <v/>
      </c>
      <c r="AB44">
        <f>IF($A44="","",IF($B44="V01",Cadrage!$C$39,IF($B44="V02",Cadrage!$D$39,Cadrage!$E$39)))</f>
        <v/>
      </c>
      <c r="AC44">
        <f>IF($A44="","",IF($F44="MBWAY",Cadrage!$K$11,IF($F44="ISCOM",Cadrage!$K$12,IF($F44="IPAC",Cadrage!$K$13,IF($F44="PIGIER",Cadrage!$K$14,Cadrage!$K$15)))))</f>
        <v/>
      </c>
      <c r="AD44">
        <f>IF($A44="","",($O44*(1+$W44)^$S44+$P44*IFERROR((($T44/$U44)*(1+$V44))^$R44,0))*IFERROR($G44/$Q44,0)*($J44+$Y44)*$K44*($L44+$Z44))</f>
        <v/>
      </c>
      <c r="AE44">
        <f>IF($A44="","",IF($N44=1,$AD44,0))</f>
        <v/>
      </c>
      <c r="AF44">
        <f>IF($A44="","",IF($N44=1,$AD44,$H44*($M44+$AA44)))</f>
        <v/>
      </c>
      <c r="AG44">
        <f>IF($A44="","",$I44*(1+$X44*$AC44))</f>
        <v/>
      </c>
      <c r="AH44">
        <f>IF($A44="","",$AF44*$AG44+$AE44*$AB44)</f>
        <v/>
      </c>
    </row>
    <row r="45">
      <c r="A45">
        <f>IF(Moteur!D45="","",Moteur!D45)</f>
        <v/>
      </c>
      <c r="B45">
        <f>IF(Moteur!B45="","",Moteur!B45)</f>
        <v/>
      </c>
      <c r="C45">
        <f>IF(Moteur!F45="","",Moteur!F45)</f>
        <v/>
      </c>
      <c r="D45">
        <f>IF(Moteur!G45="","",Moteur!G45)</f>
        <v/>
      </c>
      <c r="E45">
        <f>IF(Moteur!H45="","",Moteur!H45)</f>
        <v/>
      </c>
      <c r="F45">
        <f>IF(Moteur!E45="","",Moteur!E45)</f>
        <v/>
      </c>
      <c r="G45">
        <f>IF($A45="","",SUMIFS(Socle!$H$1:$H$379,Socle!$C$1:$C$379,$A45,Socle!$D$1:$D$379,$C45,Socle!$E$1:$E$379,$D45,Socle!$F$1:$F$379,$E45,Socle!$G$1:$G$379,"2026"))</f>
        <v/>
      </c>
      <c r="H45">
        <f>IF($A45="","",SUMIFS(Socle!$N$1:$N$379,Socle!$C$1:$C$379,$A45,Socle!$D$1:$D$379,$C45,Socle!$E$1:$E$379,$D45,Socle!$F$1:$F$379,$E45,Socle!$G$1:$G$379,"2026"))</f>
        <v/>
      </c>
      <c r="I45">
        <f>IF($A45="","",SUMIFS(Socle!$P$1:$P$379,Socle!$C$1:$C$379,$A45,Socle!$D$1:$D$379,$C45,Socle!$E$1:$E$379,$D45,Socle!$F$1:$F$379,$E45,Socle!$G$1:$G$379,"2026"))</f>
        <v/>
      </c>
      <c r="J45">
        <f>IF($A45="","",SUMIFS(Socle!$W$1:$W$379,Socle!$C$1:$C$379,$A45,Socle!$D$1:$D$379,$C45,Socle!$E$1:$E$379,$D45,Socle!$F$1:$F$379,$E45,Socle!$G$1:$G$379,"2026"))</f>
        <v/>
      </c>
      <c r="K45">
        <f>IF($A45="","",SUMIFS(Socle!$X$1:$X$379,Socle!$C$1:$C$379,$A45,Socle!$D$1:$D$379,$C45,Socle!$E$1:$E$379,$D45,Socle!$F$1:$F$379,$E45,Socle!$G$1:$G$379,"2026"))</f>
        <v/>
      </c>
      <c r="L45">
        <f>IF($A45="","",SUMIFS(Socle!$Y$1:$Y$379,Socle!$C$1:$C$379,$A45,Socle!$D$1:$D$379,$C45,Socle!$E$1:$E$379,$D45,Socle!$F$1:$F$379,$E45,Socle!$G$1:$G$379,"2026"))</f>
        <v/>
      </c>
      <c r="M45">
        <f>IF($A45="","",SUMIFS(Socle!$V$1:$V$379,Socle!$C$1:$C$379,$A45,Socle!$D$1:$D$379,$C45,Socle!$E$1:$E$379,$D45,Socle!$F$1:$F$379,$E45,Socle!$G$1:$G$379,"2026"))</f>
        <v/>
      </c>
      <c r="N45">
        <f>IF($A45="","",IF(OR($D45="B1",$D45="M1",$D45="BTS1"),1,0))</f>
        <v/>
      </c>
      <c r="O45">
        <f>IF($A45="","",SUMIFS(Campagne!$D$1:$D$28,Campagne!$C$1:$C$28,$A45))</f>
        <v/>
      </c>
      <c r="P45">
        <f>IF($A45="","",SUMIFS(Campagne!$E$1:$E$28,Campagne!$C$1:$C$28,$A45))</f>
        <v/>
      </c>
      <c r="Q45">
        <f>IF($A45="","",SUMIFS(Campagne!$F$1:$F$28,Campagne!$C$1:$C$28,$A45))</f>
        <v/>
      </c>
      <c r="R45">
        <f>IF($A45="","",SUMIFS(Campagne!$K$1:$K$28,Campagne!$C$1:$C$28,$A45))</f>
        <v/>
      </c>
      <c r="S45">
        <f>IF($A45="","",SUMIFS(Campagne!$M$1:$M$28,Campagne!$C$1:$C$28,$A45))</f>
        <v/>
      </c>
      <c r="T45">
        <f>IF($A45="","",SUMIFS(Pilotage!$K$19:$K$32,Pilotage!$A$19:$A$32,$A45)*SUMIFS(Pilotage!$J$19:$J$32,Pilotage!$A$19:$A$32,$A45)*(SUM(Pilotage!$K$19:$K$32)/SUMPRODUCT(Pilotage!$K$19:$K$32,Pilotage!$J$19:$J$32)))</f>
        <v/>
      </c>
      <c r="U45">
        <f>IF($A45="","",SUMIFS(Pilotage!$K$19:$K$32,Pilotage!$A$19:$A$32,$A45))</f>
        <v/>
      </c>
      <c r="V45">
        <f>IF($A45="","",IF($B45="V01",Cadrage!$C$22,IF($B45="V02",Cadrage!$D$22,Cadrage!$E$22)))</f>
        <v/>
      </c>
      <c r="W45">
        <f>IF($A45="","",IF($B45="V01",Cadrage!$C$23,IF($B45="V02",Cadrage!$D$23,Cadrage!$E$23)))</f>
        <v/>
      </c>
      <c r="X45">
        <f>IF($A45="","",IF($B45="V01",Cadrage!$C$24,IF($B45="V02",Cadrage!$D$24,Cadrage!$E$24)))</f>
        <v/>
      </c>
      <c r="Y45">
        <f>IF($A45="","",IF($B45="V01",Cadrage!$C$25,IF($B45="V02",Cadrage!$D$25,Cadrage!$E$25)))</f>
        <v/>
      </c>
      <c r="Z45">
        <f>IF($A45="","",IF($B45="V01",Cadrage!$C$26,IF($B45="V02",Cadrage!$D$26,Cadrage!$E$26)))</f>
        <v/>
      </c>
      <c r="AA45">
        <f>IF($A45="","",IF($B45="V01",Cadrage!$C$27,IF($B45="V02",Cadrage!$D$27,Cadrage!$E$27)))</f>
        <v/>
      </c>
      <c r="AB45">
        <f>IF($A45="","",IF($B45="V01",Cadrage!$C$39,IF($B45="V02",Cadrage!$D$39,Cadrage!$E$39)))</f>
        <v/>
      </c>
      <c r="AC45">
        <f>IF($A45="","",IF($F45="MBWAY",Cadrage!$K$11,IF($F45="ISCOM",Cadrage!$K$12,IF($F45="IPAC",Cadrage!$K$13,IF($F45="PIGIER",Cadrage!$K$14,Cadrage!$K$15)))))</f>
        <v/>
      </c>
      <c r="AD45">
        <f>IF($A45="","",($O45*(1+$W45)^$S45+$P45*IFERROR((($T45/$U45)*(1+$V45))^$R45,0))*IFERROR($G45/$Q45,0)*($J45+$Y45)*$K45*($L45+$Z45))</f>
        <v/>
      </c>
      <c r="AE45">
        <f>IF($A45="","",IF($N45=1,$AD45,0))</f>
        <v/>
      </c>
      <c r="AF45">
        <f>IF($A45="","",IF($N45=1,$AD45,$H45*($M45+$AA45)))</f>
        <v/>
      </c>
      <c r="AG45">
        <f>IF($A45="","",$I45*(1+$X45*$AC45))</f>
        <v/>
      </c>
      <c r="AH45">
        <f>IF($A45="","",$AF45*$AG45+$AE45*$AB45)</f>
        <v/>
      </c>
    </row>
    <row r="46">
      <c r="A46">
        <f>IF(Moteur!D46="","",Moteur!D46)</f>
        <v/>
      </c>
      <c r="B46">
        <f>IF(Moteur!B46="","",Moteur!B46)</f>
        <v/>
      </c>
      <c r="C46">
        <f>IF(Moteur!F46="","",Moteur!F46)</f>
        <v/>
      </c>
      <c r="D46">
        <f>IF(Moteur!G46="","",Moteur!G46)</f>
        <v/>
      </c>
      <c r="E46">
        <f>IF(Moteur!H46="","",Moteur!H46)</f>
        <v/>
      </c>
      <c r="F46">
        <f>IF(Moteur!E46="","",Moteur!E46)</f>
        <v/>
      </c>
      <c r="G46">
        <f>IF($A46="","",SUMIFS(Socle!$H$1:$H$379,Socle!$C$1:$C$379,$A46,Socle!$D$1:$D$379,$C46,Socle!$E$1:$E$379,$D46,Socle!$F$1:$F$379,$E46,Socle!$G$1:$G$379,"2026"))</f>
        <v/>
      </c>
      <c r="H46">
        <f>IF($A46="","",SUMIFS(Socle!$N$1:$N$379,Socle!$C$1:$C$379,$A46,Socle!$D$1:$D$379,$C46,Socle!$E$1:$E$379,$D46,Socle!$F$1:$F$379,$E46,Socle!$G$1:$G$379,"2026"))</f>
        <v/>
      </c>
      <c r="I46">
        <f>IF($A46="","",SUMIFS(Socle!$P$1:$P$379,Socle!$C$1:$C$379,$A46,Socle!$D$1:$D$379,$C46,Socle!$E$1:$E$379,$D46,Socle!$F$1:$F$379,$E46,Socle!$G$1:$G$379,"2026"))</f>
        <v/>
      </c>
      <c r="J46">
        <f>IF($A46="","",SUMIFS(Socle!$W$1:$W$379,Socle!$C$1:$C$379,$A46,Socle!$D$1:$D$379,$C46,Socle!$E$1:$E$379,$D46,Socle!$F$1:$F$379,$E46,Socle!$G$1:$G$379,"2026"))</f>
        <v/>
      </c>
      <c r="K46">
        <f>IF($A46="","",SUMIFS(Socle!$X$1:$X$379,Socle!$C$1:$C$379,$A46,Socle!$D$1:$D$379,$C46,Socle!$E$1:$E$379,$D46,Socle!$F$1:$F$379,$E46,Socle!$G$1:$G$379,"2026"))</f>
        <v/>
      </c>
      <c r="L46">
        <f>IF($A46="","",SUMIFS(Socle!$Y$1:$Y$379,Socle!$C$1:$C$379,$A46,Socle!$D$1:$D$379,$C46,Socle!$E$1:$E$379,$D46,Socle!$F$1:$F$379,$E46,Socle!$G$1:$G$379,"2026"))</f>
        <v/>
      </c>
      <c r="M46">
        <f>IF($A46="","",SUMIFS(Socle!$V$1:$V$379,Socle!$C$1:$C$379,$A46,Socle!$D$1:$D$379,$C46,Socle!$E$1:$E$379,$D46,Socle!$F$1:$F$379,$E46,Socle!$G$1:$G$379,"2026"))</f>
        <v/>
      </c>
      <c r="N46">
        <f>IF($A46="","",IF(OR($D46="B1",$D46="M1",$D46="BTS1"),1,0))</f>
        <v/>
      </c>
      <c r="O46">
        <f>IF($A46="","",SUMIFS(Campagne!$D$1:$D$28,Campagne!$C$1:$C$28,$A46))</f>
        <v/>
      </c>
      <c r="P46">
        <f>IF($A46="","",SUMIFS(Campagne!$E$1:$E$28,Campagne!$C$1:$C$28,$A46))</f>
        <v/>
      </c>
      <c r="Q46">
        <f>IF($A46="","",SUMIFS(Campagne!$F$1:$F$28,Campagne!$C$1:$C$28,$A46))</f>
        <v/>
      </c>
      <c r="R46">
        <f>IF($A46="","",SUMIFS(Campagne!$K$1:$K$28,Campagne!$C$1:$C$28,$A46))</f>
        <v/>
      </c>
      <c r="S46">
        <f>IF($A46="","",SUMIFS(Campagne!$M$1:$M$28,Campagne!$C$1:$C$28,$A46))</f>
        <v/>
      </c>
      <c r="T46">
        <f>IF($A46="","",SUMIFS(Pilotage!$K$19:$K$32,Pilotage!$A$19:$A$32,$A46)*SUMIFS(Pilotage!$J$19:$J$32,Pilotage!$A$19:$A$32,$A46)*(SUM(Pilotage!$K$19:$K$32)/SUMPRODUCT(Pilotage!$K$19:$K$32,Pilotage!$J$19:$J$32)))</f>
        <v/>
      </c>
      <c r="U46">
        <f>IF($A46="","",SUMIFS(Pilotage!$K$19:$K$32,Pilotage!$A$19:$A$32,$A46))</f>
        <v/>
      </c>
      <c r="V46">
        <f>IF($A46="","",IF($B46="V01",Cadrage!$C$22,IF($B46="V02",Cadrage!$D$22,Cadrage!$E$22)))</f>
        <v/>
      </c>
      <c r="W46">
        <f>IF($A46="","",IF($B46="V01",Cadrage!$C$23,IF($B46="V02",Cadrage!$D$23,Cadrage!$E$23)))</f>
        <v/>
      </c>
      <c r="X46">
        <f>IF($A46="","",IF($B46="V01",Cadrage!$C$24,IF($B46="V02",Cadrage!$D$24,Cadrage!$E$24)))</f>
        <v/>
      </c>
      <c r="Y46">
        <f>IF($A46="","",IF($B46="V01",Cadrage!$C$25,IF($B46="V02",Cadrage!$D$25,Cadrage!$E$25)))</f>
        <v/>
      </c>
      <c r="Z46">
        <f>IF($A46="","",IF($B46="V01",Cadrage!$C$26,IF($B46="V02",Cadrage!$D$26,Cadrage!$E$26)))</f>
        <v/>
      </c>
      <c r="AA46">
        <f>IF($A46="","",IF($B46="V01",Cadrage!$C$27,IF($B46="V02",Cadrage!$D$27,Cadrage!$E$27)))</f>
        <v/>
      </c>
      <c r="AB46">
        <f>IF($A46="","",IF($B46="V01",Cadrage!$C$39,IF($B46="V02",Cadrage!$D$39,Cadrage!$E$39)))</f>
        <v/>
      </c>
      <c r="AC46">
        <f>IF($A46="","",IF($F46="MBWAY",Cadrage!$K$11,IF($F46="ISCOM",Cadrage!$K$12,IF($F46="IPAC",Cadrage!$K$13,IF($F46="PIGIER",Cadrage!$K$14,Cadrage!$K$15)))))</f>
        <v/>
      </c>
      <c r="AD46">
        <f>IF($A46="","",($O46*(1+$W46)^$S46+$P46*IFERROR((($T46/$U46)*(1+$V46))^$R46,0))*IFERROR($G46/$Q46,0)*($J46+$Y46)*$K46*($L46+$Z46))</f>
        <v/>
      </c>
      <c r="AE46">
        <f>IF($A46="","",IF($N46=1,$AD46,0))</f>
        <v/>
      </c>
      <c r="AF46">
        <f>IF($A46="","",IF($N46=1,$AD46,$H46*($M46+$AA46)))</f>
        <v/>
      </c>
      <c r="AG46">
        <f>IF($A46="","",$I46*(1+$X46*$AC46))</f>
        <v/>
      </c>
      <c r="AH46">
        <f>IF($A46="","",$AF46*$AG46+$AE46*$AB46)</f>
        <v/>
      </c>
    </row>
    <row r="47">
      <c r="A47">
        <f>IF(Moteur!D47="","",Moteur!D47)</f>
        <v/>
      </c>
      <c r="B47">
        <f>IF(Moteur!B47="","",Moteur!B47)</f>
        <v/>
      </c>
      <c r="C47">
        <f>IF(Moteur!F47="","",Moteur!F47)</f>
        <v/>
      </c>
      <c r="D47">
        <f>IF(Moteur!G47="","",Moteur!G47)</f>
        <v/>
      </c>
      <c r="E47">
        <f>IF(Moteur!H47="","",Moteur!H47)</f>
        <v/>
      </c>
      <c r="F47">
        <f>IF(Moteur!E47="","",Moteur!E47)</f>
        <v/>
      </c>
      <c r="G47">
        <f>IF($A47="","",SUMIFS(Socle!$H$1:$H$379,Socle!$C$1:$C$379,$A47,Socle!$D$1:$D$379,$C47,Socle!$E$1:$E$379,$D47,Socle!$F$1:$F$379,$E47,Socle!$G$1:$G$379,"2026"))</f>
        <v/>
      </c>
      <c r="H47">
        <f>IF($A47="","",SUMIFS(Socle!$N$1:$N$379,Socle!$C$1:$C$379,$A47,Socle!$D$1:$D$379,$C47,Socle!$E$1:$E$379,$D47,Socle!$F$1:$F$379,$E47,Socle!$G$1:$G$379,"2026"))</f>
        <v/>
      </c>
      <c r="I47">
        <f>IF($A47="","",SUMIFS(Socle!$P$1:$P$379,Socle!$C$1:$C$379,$A47,Socle!$D$1:$D$379,$C47,Socle!$E$1:$E$379,$D47,Socle!$F$1:$F$379,$E47,Socle!$G$1:$G$379,"2026"))</f>
        <v/>
      </c>
      <c r="J47">
        <f>IF($A47="","",SUMIFS(Socle!$W$1:$W$379,Socle!$C$1:$C$379,$A47,Socle!$D$1:$D$379,$C47,Socle!$E$1:$E$379,$D47,Socle!$F$1:$F$379,$E47,Socle!$G$1:$G$379,"2026"))</f>
        <v/>
      </c>
      <c r="K47">
        <f>IF($A47="","",SUMIFS(Socle!$X$1:$X$379,Socle!$C$1:$C$379,$A47,Socle!$D$1:$D$379,$C47,Socle!$E$1:$E$379,$D47,Socle!$F$1:$F$379,$E47,Socle!$G$1:$G$379,"2026"))</f>
        <v/>
      </c>
      <c r="L47">
        <f>IF($A47="","",SUMIFS(Socle!$Y$1:$Y$379,Socle!$C$1:$C$379,$A47,Socle!$D$1:$D$379,$C47,Socle!$E$1:$E$379,$D47,Socle!$F$1:$F$379,$E47,Socle!$G$1:$G$379,"2026"))</f>
        <v/>
      </c>
      <c r="M47">
        <f>IF($A47="","",SUMIFS(Socle!$V$1:$V$379,Socle!$C$1:$C$379,$A47,Socle!$D$1:$D$379,$C47,Socle!$E$1:$E$379,$D47,Socle!$F$1:$F$379,$E47,Socle!$G$1:$G$379,"2026"))</f>
        <v/>
      </c>
      <c r="N47">
        <f>IF($A47="","",IF(OR($D47="B1",$D47="M1",$D47="BTS1"),1,0))</f>
        <v/>
      </c>
      <c r="O47">
        <f>IF($A47="","",SUMIFS(Campagne!$D$1:$D$28,Campagne!$C$1:$C$28,$A47))</f>
        <v/>
      </c>
      <c r="P47">
        <f>IF($A47="","",SUMIFS(Campagne!$E$1:$E$28,Campagne!$C$1:$C$28,$A47))</f>
        <v/>
      </c>
      <c r="Q47">
        <f>IF($A47="","",SUMIFS(Campagne!$F$1:$F$28,Campagne!$C$1:$C$28,$A47))</f>
        <v/>
      </c>
      <c r="R47">
        <f>IF($A47="","",SUMIFS(Campagne!$K$1:$K$28,Campagne!$C$1:$C$28,$A47))</f>
        <v/>
      </c>
      <c r="S47">
        <f>IF($A47="","",SUMIFS(Campagne!$M$1:$M$28,Campagne!$C$1:$C$28,$A47))</f>
        <v/>
      </c>
      <c r="T47">
        <f>IF($A47="","",SUMIFS(Pilotage!$K$19:$K$32,Pilotage!$A$19:$A$32,$A47)*SUMIFS(Pilotage!$J$19:$J$32,Pilotage!$A$19:$A$32,$A47)*(SUM(Pilotage!$K$19:$K$32)/SUMPRODUCT(Pilotage!$K$19:$K$32,Pilotage!$J$19:$J$32)))</f>
        <v/>
      </c>
      <c r="U47">
        <f>IF($A47="","",SUMIFS(Pilotage!$K$19:$K$32,Pilotage!$A$19:$A$32,$A47))</f>
        <v/>
      </c>
      <c r="V47">
        <f>IF($A47="","",IF($B47="V01",Cadrage!$C$22,IF($B47="V02",Cadrage!$D$22,Cadrage!$E$22)))</f>
        <v/>
      </c>
      <c r="W47">
        <f>IF($A47="","",IF($B47="V01",Cadrage!$C$23,IF($B47="V02",Cadrage!$D$23,Cadrage!$E$23)))</f>
        <v/>
      </c>
      <c r="X47">
        <f>IF($A47="","",IF($B47="V01",Cadrage!$C$24,IF($B47="V02",Cadrage!$D$24,Cadrage!$E$24)))</f>
        <v/>
      </c>
      <c r="Y47">
        <f>IF($A47="","",IF($B47="V01",Cadrage!$C$25,IF($B47="V02",Cadrage!$D$25,Cadrage!$E$25)))</f>
        <v/>
      </c>
      <c r="Z47">
        <f>IF($A47="","",IF($B47="V01",Cadrage!$C$26,IF($B47="V02",Cadrage!$D$26,Cadrage!$E$26)))</f>
        <v/>
      </c>
      <c r="AA47">
        <f>IF($A47="","",IF($B47="V01",Cadrage!$C$27,IF($B47="V02",Cadrage!$D$27,Cadrage!$E$27)))</f>
        <v/>
      </c>
      <c r="AB47">
        <f>IF($A47="","",IF($B47="V01",Cadrage!$C$39,IF($B47="V02",Cadrage!$D$39,Cadrage!$E$39)))</f>
        <v/>
      </c>
      <c r="AC47">
        <f>IF($A47="","",IF($F47="MBWAY",Cadrage!$K$11,IF($F47="ISCOM",Cadrage!$K$12,IF($F47="IPAC",Cadrage!$K$13,IF($F47="PIGIER",Cadrage!$K$14,Cadrage!$K$15)))))</f>
        <v/>
      </c>
      <c r="AD47">
        <f>IF($A47="","",($O47*(1+$W47)^$S47+$P47*IFERROR((($T47/$U47)*(1+$V47))^$R47,0))*IFERROR($G47/$Q47,0)*($J47+$Y47)*$K47*($L47+$Z47))</f>
        <v/>
      </c>
      <c r="AE47">
        <f>IF($A47="","",IF($N47=1,$AD47,0))</f>
        <v/>
      </c>
      <c r="AF47">
        <f>IF($A47="","",IF($N47=1,$AD47,$H47*($M47+$AA47)))</f>
        <v/>
      </c>
      <c r="AG47">
        <f>IF($A47="","",$I47*(1+$X47*$AC47))</f>
        <v/>
      </c>
      <c r="AH47">
        <f>IF($A47="","",$AF47*$AG47+$AE47*$AB47)</f>
        <v/>
      </c>
    </row>
    <row r="48">
      <c r="A48">
        <f>IF(Moteur!D48="","",Moteur!D48)</f>
        <v/>
      </c>
      <c r="B48">
        <f>IF(Moteur!B48="","",Moteur!B48)</f>
        <v/>
      </c>
      <c r="C48">
        <f>IF(Moteur!F48="","",Moteur!F48)</f>
        <v/>
      </c>
      <c r="D48">
        <f>IF(Moteur!G48="","",Moteur!G48)</f>
        <v/>
      </c>
      <c r="E48">
        <f>IF(Moteur!H48="","",Moteur!H48)</f>
        <v/>
      </c>
      <c r="F48">
        <f>IF(Moteur!E48="","",Moteur!E48)</f>
        <v/>
      </c>
      <c r="G48">
        <f>IF($A48="","",SUMIFS(Socle!$H$1:$H$379,Socle!$C$1:$C$379,$A48,Socle!$D$1:$D$379,$C48,Socle!$E$1:$E$379,$D48,Socle!$F$1:$F$379,$E48,Socle!$G$1:$G$379,"2026"))</f>
        <v/>
      </c>
      <c r="H48">
        <f>IF($A48="","",SUMIFS(Socle!$N$1:$N$379,Socle!$C$1:$C$379,$A48,Socle!$D$1:$D$379,$C48,Socle!$E$1:$E$379,$D48,Socle!$F$1:$F$379,$E48,Socle!$G$1:$G$379,"2026"))</f>
        <v/>
      </c>
      <c r="I48">
        <f>IF($A48="","",SUMIFS(Socle!$P$1:$P$379,Socle!$C$1:$C$379,$A48,Socle!$D$1:$D$379,$C48,Socle!$E$1:$E$379,$D48,Socle!$F$1:$F$379,$E48,Socle!$G$1:$G$379,"2026"))</f>
        <v/>
      </c>
      <c r="J48">
        <f>IF($A48="","",SUMIFS(Socle!$W$1:$W$379,Socle!$C$1:$C$379,$A48,Socle!$D$1:$D$379,$C48,Socle!$E$1:$E$379,$D48,Socle!$F$1:$F$379,$E48,Socle!$G$1:$G$379,"2026"))</f>
        <v/>
      </c>
      <c r="K48">
        <f>IF($A48="","",SUMIFS(Socle!$X$1:$X$379,Socle!$C$1:$C$379,$A48,Socle!$D$1:$D$379,$C48,Socle!$E$1:$E$379,$D48,Socle!$F$1:$F$379,$E48,Socle!$G$1:$G$379,"2026"))</f>
        <v/>
      </c>
      <c r="L48">
        <f>IF($A48="","",SUMIFS(Socle!$Y$1:$Y$379,Socle!$C$1:$C$379,$A48,Socle!$D$1:$D$379,$C48,Socle!$E$1:$E$379,$D48,Socle!$F$1:$F$379,$E48,Socle!$G$1:$G$379,"2026"))</f>
        <v/>
      </c>
      <c r="M48">
        <f>IF($A48="","",SUMIFS(Socle!$V$1:$V$379,Socle!$C$1:$C$379,$A48,Socle!$D$1:$D$379,$C48,Socle!$E$1:$E$379,$D48,Socle!$F$1:$F$379,$E48,Socle!$G$1:$G$379,"2026"))</f>
        <v/>
      </c>
      <c r="N48">
        <f>IF($A48="","",IF(OR($D48="B1",$D48="M1",$D48="BTS1"),1,0))</f>
        <v/>
      </c>
      <c r="O48">
        <f>IF($A48="","",SUMIFS(Campagne!$D$1:$D$28,Campagne!$C$1:$C$28,$A48))</f>
        <v/>
      </c>
      <c r="P48">
        <f>IF($A48="","",SUMIFS(Campagne!$E$1:$E$28,Campagne!$C$1:$C$28,$A48))</f>
        <v/>
      </c>
      <c r="Q48">
        <f>IF($A48="","",SUMIFS(Campagne!$F$1:$F$28,Campagne!$C$1:$C$28,$A48))</f>
        <v/>
      </c>
      <c r="R48">
        <f>IF($A48="","",SUMIFS(Campagne!$K$1:$K$28,Campagne!$C$1:$C$28,$A48))</f>
        <v/>
      </c>
      <c r="S48">
        <f>IF($A48="","",SUMIFS(Campagne!$M$1:$M$28,Campagne!$C$1:$C$28,$A48))</f>
        <v/>
      </c>
      <c r="T48">
        <f>IF($A48="","",SUMIFS(Pilotage!$K$19:$K$32,Pilotage!$A$19:$A$32,$A48)*SUMIFS(Pilotage!$J$19:$J$32,Pilotage!$A$19:$A$32,$A48)*(SUM(Pilotage!$K$19:$K$32)/SUMPRODUCT(Pilotage!$K$19:$K$32,Pilotage!$J$19:$J$32)))</f>
        <v/>
      </c>
      <c r="U48">
        <f>IF($A48="","",SUMIFS(Pilotage!$K$19:$K$32,Pilotage!$A$19:$A$32,$A48))</f>
        <v/>
      </c>
      <c r="V48">
        <f>IF($A48="","",IF($B48="V01",Cadrage!$C$22,IF($B48="V02",Cadrage!$D$22,Cadrage!$E$22)))</f>
        <v/>
      </c>
      <c r="W48">
        <f>IF($A48="","",IF($B48="V01",Cadrage!$C$23,IF($B48="V02",Cadrage!$D$23,Cadrage!$E$23)))</f>
        <v/>
      </c>
      <c r="X48">
        <f>IF($A48="","",IF($B48="V01",Cadrage!$C$24,IF($B48="V02",Cadrage!$D$24,Cadrage!$E$24)))</f>
        <v/>
      </c>
      <c r="Y48">
        <f>IF($A48="","",IF($B48="V01",Cadrage!$C$25,IF($B48="V02",Cadrage!$D$25,Cadrage!$E$25)))</f>
        <v/>
      </c>
      <c r="Z48">
        <f>IF($A48="","",IF($B48="V01",Cadrage!$C$26,IF($B48="V02",Cadrage!$D$26,Cadrage!$E$26)))</f>
        <v/>
      </c>
      <c r="AA48">
        <f>IF($A48="","",IF($B48="V01",Cadrage!$C$27,IF($B48="V02",Cadrage!$D$27,Cadrage!$E$27)))</f>
        <v/>
      </c>
      <c r="AB48">
        <f>IF($A48="","",IF($B48="V01",Cadrage!$C$39,IF($B48="V02",Cadrage!$D$39,Cadrage!$E$39)))</f>
        <v/>
      </c>
      <c r="AC48">
        <f>IF($A48="","",IF($F48="MBWAY",Cadrage!$K$11,IF($F48="ISCOM",Cadrage!$K$12,IF($F48="IPAC",Cadrage!$K$13,IF($F48="PIGIER",Cadrage!$K$14,Cadrage!$K$15)))))</f>
        <v/>
      </c>
      <c r="AD48">
        <f>IF($A48="","",($O48*(1+$W48)^$S48+$P48*IFERROR((($T48/$U48)*(1+$V48))^$R48,0))*IFERROR($G48/$Q48,0)*($J48+$Y48)*$K48*($L48+$Z48))</f>
        <v/>
      </c>
      <c r="AE48">
        <f>IF($A48="","",IF($N48=1,$AD48,0))</f>
        <v/>
      </c>
      <c r="AF48">
        <f>IF($A48="","",IF($N48=1,$AD48,$H48*($M48+$AA48)))</f>
        <v/>
      </c>
      <c r="AG48">
        <f>IF($A48="","",$I48*(1+$X48*$AC48))</f>
        <v/>
      </c>
      <c r="AH48">
        <f>IF($A48="","",$AF48*$AG48+$AE48*$AB48)</f>
        <v/>
      </c>
    </row>
    <row r="49">
      <c r="A49">
        <f>IF(Moteur!D49="","",Moteur!D49)</f>
        <v/>
      </c>
      <c r="B49">
        <f>IF(Moteur!B49="","",Moteur!B49)</f>
        <v/>
      </c>
      <c r="C49">
        <f>IF(Moteur!F49="","",Moteur!F49)</f>
        <v/>
      </c>
      <c r="D49">
        <f>IF(Moteur!G49="","",Moteur!G49)</f>
        <v/>
      </c>
      <c r="E49">
        <f>IF(Moteur!H49="","",Moteur!H49)</f>
        <v/>
      </c>
      <c r="F49">
        <f>IF(Moteur!E49="","",Moteur!E49)</f>
        <v/>
      </c>
      <c r="G49">
        <f>IF($A49="","",SUMIFS(Socle!$H$1:$H$379,Socle!$C$1:$C$379,$A49,Socle!$D$1:$D$379,$C49,Socle!$E$1:$E$379,$D49,Socle!$F$1:$F$379,$E49,Socle!$G$1:$G$379,"2026"))</f>
        <v/>
      </c>
      <c r="H49">
        <f>IF($A49="","",SUMIFS(Socle!$N$1:$N$379,Socle!$C$1:$C$379,$A49,Socle!$D$1:$D$379,$C49,Socle!$E$1:$E$379,$D49,Socle!$F$1:$F$379,$E49,Socle!$G$1:$G$379,"2026"))</f>
        <v/>
      </c>
      <c r="I49">
        <f>IF($A49="","",SUMIFS(Socle!$P$1:$P$379,Socle!$C$1:$C$379,$A49,Socle!$D$1:$D$379,$C49,Socle!$E$1:$E$379,$D49,Socle!$F$1:$F$379,$E49,Socle!$G$1:$G$379,"2026"))</f>
        <v/>
      </c>
      <c r="J49">
        <f>IF($A49="","",SUMIFS(Socle!$W$1:$W$379,Socle!$C$1:$C$379,$A49,Socle!$D$1:$D$379,$C49,Socle!$E$1:$E$379,$D49,Socle!$F$1:$F$379,$E49,Socle!$G$1:$G$379,"2026"))</f>
        <v/>
      </c>
      <c r="K49">
        <f>IF($A49="","",SUMIFS(Socle!$X$1:$X$379,Socle!$C$1:$C$379,$A49,Socle!$D$1:$D$379,$C49,Socle!$E$1:$E$379,$D49,Socle!$F$1:$F$379,$E49,Socle!$G$1:$G$379,"2026"))</f>
        <v/>
      </c>
      <c r="L49">
        <f>IF($A49="","",SUMIFS(Socle!$Y$1:$Y$379,Socle!$C$1:$C$379,$A49,Socle!$D$1:$D$379,$C49,Socle!$E$1:$E$379,$D49,Socle!$F$1:$F$379,$E49,Socle!$G$1:$G$379,"2026"))</f>
        <v/>
      </c>
      <c r="M49">
        <f>IF($A49="","",SUMIFS(Socle!$V$1:$V$379,Socle!$C$1:$C$379,$A49,Socle!$D$1:$D$379,$C49,Socle!$E$1:$E$379,$D49,Socle!$F$1:$F$379,$E49,Socle!$G$1:$G$379,"2026"))</f>
        <v/>
      </c>
      <c r="N49">
        <f>IF($A49="","",IF(OR($D49="B1",$D49="M1",$D49="BTS1"),1,0))</f>
        <v/>
      </c>
      <c r="O49">
        <f>IF($A49="","",SUMIFS(Campagne!$D$1:$D$28,Campagne!$C$1:$C$28,$A49))</f>
        <v/>
      </c>
      <c r="P49">
        <f>IF($A49="","",SUMIFS(Campagne!$E$1:$E$28,Campagne!$C$1:$C$28,$A49))</f>
        <v/>
      </c>
      <c r="Q49">
        <f>IF($A49="","",SUMIFS(Campagne!$F$1:$F$28,Campagne!$C$1:$C$28,$A49))</f>
        <v/>
      </c>
      <c r="R49">
        <f>IF($A49="","",SUMIFS(Campagne!$K$1:$K$28,Campagne!$C$1:$C$28,$A49))</f>
        <v/>
      </c>
      <c r="S49">
        <f>IF($A49="","",SUMIFS(Campagne!$M$1:$M$28,Campagne!$C$1:$C$28,$A49))</f>
        <v/>
      </c>
      <c r="T49">
        <f>IF($A49="","",SUMIFS(Pilotage!$K$19:$K$32,Pilotage!$A$19:$A$32,$A49)*SUMIFS(Pilotage!$J$19:$J$32,Pilotage!$A$19:$A$32,$A49)*(SUM(Pilotage!$K$19:$K$32)/SUMPRODUCT(Pilotage!$K$19:$K$32,Pilotage!$J$19:$J$32)))</f>
        <v/>
      </c>
      <c r="U49">
        <f>IF($A49="","",SUMIFS(Pilotage!$K$19:$K$32,Pilotage!$A$19:$A$32,$A49))</f>
        <v/>
      </c>
      <c r="V49">
        <f>IF($A49="","",IF($B49="V01",Cadrage!$C$22,IF($B49="V02",Cadrage!$D$22,Cadrage!$E$22)))</f>
        <v/>
      </c>
      <c r="W49">
        <f>IF($A49="","",IF($B49="V01",Cadrage!$C$23,IF($B49="V02",Cadrage!$D$23,Cadrage!$E$23)))</f>
        <v/>
      </c>
      <c r="X49">
        <f>IF($A49="","",IF($B49="V01",Cadrage!$C$24,IF($B49="V02",Cadrage!$D$24,Cadrage!$E$24)))</f>
        <v/>
      </c>
      <c r="Y49">
        <f>IF($A49="","",IF($B49="V01",Cadrage!$C$25,IF($B49="V02",Cadrage!$D$25,Cadrage!$E$25)))</f>
        <v/>
      </c>
      <c r="Z49">
        <f>IF($A49="","",IF($B49="V01",Cadrage!$C$26,IF($B49="V02",Cadrage!$D$26,Cadrage!$E$26)))</f>
        <v/>
      </c>
      <c r="AA49">
        <f>IF($A49="","",IF($B49="V01",Cadrage!$C$27,IF($B49="V02",Cadrage!$D$27,Cadrage!$E$27)))</f>
        <v/>
      </c>
      <c r="AB49">
        <f>IF($A49="","",IF($B49="V01",Cadrage!$C$39,IF($B49="V02",Cadrage!$D$39,Cadrage!$E$39)))</f>
        <v/>
      </c>
      <c r="AC49">
        <f>IF($A49="","",IF($F49="MBWAY",Cadrage!$K$11,IF($F49="ISCOM",Cadrage!$K$12,IF($F49="IPAC",Cadrage!$K$13,IF($F49="PIGIER",Cadrage!$K$14,Cadrage!$K$15)))))</f>
        <v/>
      </c>
      <c r="AD49">
        <f>IF($A49="","",($O49*(1+$W49)^$S49+$P49*IFERROR((($T49/$U49)*(1+$V49))^$R49,0))*IFERROR($G49/$Q49,0)*($J49+$Y49)*$K49*($L49+$Z49))</f>
        <v/>
      </c>
      <c r="AE49">
        <f>IF($A49="","",IF($N49=1,$AD49,0))</f>
        <v/>
      </c>
      <c r="AF49">
        <f>IF($A49="","",IF($N49=1,$AD49,$H49*($M49+$AA49)))</f>
        <v/>
      </c>
      <c r="AG49">
        <f>IF($A49="","",$I49*(1+$X49*$AC49))</f>
        <v/>
      </c>
      <c r="AH49">
        <f>IF($A49="","",$AF49*$AG49+$AE49*$AB49)</f>
        <v/>
      </c>
    </row>
    <row r="50">
      <c r="A50">
        <f>IF(Moteur!D50="","",Moteur!D50)</f>
        <v/>
      </c>
      <c r="B50">
        <f>IF(Moteur!B50="","",Moteur!B50)</f>
        <v/>
      </c>
      <c r="C50">
        <f>IF(Moteur!F50="","",Moteur!F50)</f>
        <v/>
      </c>
      <c r="D50">
        <f>IF(Moteur!G50="","",Moteur!G50)</f>
        <v/>
      </c>
      <c r="E50">
        <f>IF(Moteur!H50="","",Moteur!H50)</f>
        <v/>
      </c>
      <c r="F50">
        <f>IF(Moteur!E50="","",Moteur!E50)</f>
        <v/>
      </c>
      <c r="G50">
        <f>IF($A50="","",SUMIFS(Socle!$H$1:$H$379,Socle!$C$1:$C$379,$A50,Socle!$D$1:$D$379,$C50,Socle!$E$1:$E$379,$D50,Socle!$F$1:$F$379,$E50,Socle!$G$1:$G$379,"2026"))</f>
        <v/>
      </c>
      <c r="H50">
        <f>IF($A50="","",SUMIFS(Socle!$N$1:$N$379,Socle!$C$1:$C$379,$A50,Socle!$D$1:$D$379,$C50,Socle!$E$1:$E$379,$D50,Socle!$F$1:$F$379,$E50,Socle!$G$1:$G$379,"2026"))</f>
        <v/>
      </c>
      <c r="I50">
        <f>IF($A50="","",SUMIFS(Socle!$P$1:$P$379,Socle!$C$1:$C$379,$A50,Socle!$D$1:$D$379,$C50,Socle!$E$1:$E$379,$D50,Socle!$F$1:$F$379,$E50,Socle!$G$1:$G$379,"2026"))</f>
        <v/>
      </c>
      <c r="J50">
        <f>IF($A50="","",SUMIFS(Socle!$W$1:$W$379,Socle!$C$1:$C$379,$A50,Socle!$D$1:$D$379,$C50,Socle!$E$1:$E$379,$D50,Socle!$F$1:$F$379,$E50,Socle!$G$1:$G$379,"2026"))</f>
        <v/>
      </c>
      <c r="K50">
        <f>IF($A50="","",SUMIFS(Socle!$X$1:$X$379,Socle!$C$1:$C$379,$A50,Socle!$D$1:$D$379,$C50,Socle!$E$1:$E$379,$D50,Socle!$F$1:$F$379,$E50,Socle!$G$1:$G$379,"2026"))</f>
        <v/>
      </c>
      <c r="L50">
        <f>IF($A50="","",SUMIFS(Socle!$Y$1:$Y$379,Socle!$C$1:$C$379,$A50,Socle!$D$1:$D$379,$C50,Socle!$E$1:$E$379,$D50,Socle!$F$1:$F$379,$E50,Socle!$G$1:$G$379,"2026"))</f>
        <v/>
      </c>
      <c r="M50">
        <f>IF($A50="","",SUMIFS(Socle!$V$1:$V$379,Socle!$C$1:$C$379,$A50,Socle!$D$1:$D$379,$C50,Socle!$E$1:$E$379,$D50,Socle!$F$1:$F$379,$E50,Socle!$G$1:$G$379,"2026"))</f>
        <v/>
      </c>
      <c r="N50">
        <f>IF($A50="","",IF(OR($D50="B1",$D50="M1",$D50="BTS1"),1,0))</f>
        <v/>
      </c>
      <c r="O50">
        <f>IF($A50="","",SUMIFS(Campagne!$D$1:$D$28,Campagne!$C$1:$C$28,$A50))</f>
        <v/>
      </c>
      <c r="P50">
        <f>IF($A50="","",SUMIFS(Campagne!$E$1:$E$28,Campagne!$C$1:$C$28,$A50))</f>
        <v/>
      </c>
      <c r="Q50">
        <f>IF($A50="","",SUMIFS(Campagne!$F$1:$F$28,Campagne!$C$1:$C$28,$A50))</f>
        <v/>
      </c>
      <c r="R50">
        <f>IF($A50="","",SUMIFS(Campagne!$K$1:$K$28,Campagne!$C$1:$C$28,$A50))</f>
        <v/>
      </c>
      <c r="S50">
        <f>IF($A50="","",SUMIFS(Campagne!$M$1:$M$28,Campagne!$C$1:$C$28,$A50))</f>
        <v/>
      </c>
      <c r="T50">
        <f>IF($A50="","",SUMIFS(Pilotage!$K$19:$K$32,Pilotage!$A$19:$A$32,$A50)*SUMIFS(Pilotage!$J$19:$J$32,Pilotage!$A$19:$A$32,$A50)*(SUM(Pilotage!$K$19:$K$32)/SUMPRODUCT(Pilotage!$K$19:$K$32,Pilotage!$J$19:$J$32)))</f>
        <v/>
      </c>
      <c r="U50">
        <f>IF($A50="","",SUMIFS(Pilotage!$K$19:$K$32,Pilotage!$A$19:$A$32,$A50))</f>
        <v/>
      </c>
      <c r="V50">
        <f>IF($A50="","",IF($B50="V01",Cadrage!$C$22,IF($B50="V02",Cadrage!$D$22,Cadrage!$E$22)))</f>
        <v/>
      </c>
      <c r="W50">
        <f>IF($A50="","",IF($B50="V01",Cadrage!$C$23,IF($B50="V02",Cadrage!$D$23,Cadrage!$E$23)))</f>
        <v/>
      </c>
      <c r="X50">
        <f>IF($A50="","",IF($B50="V01",Cadrage!$C$24,IF($B50="V02",Cadrage!$D$24,Cadrage!$E$24)))</f>
        <v/>
      </c>
      <c r="Y50">
        <f>IF($A50="","",IF($B50="V01",Cadrage!$C$25,IF($B50="V02",Cadrage!$D$25,Cadrage!$E$25)))</f>
        <v/>
      </c>
      <c r="Z50">
        <f>IF($A50="","",IF($B50="V01",Cadrage!$C$26,IF($B50="V02",Cadrage!$D$26,Cadrage!$E$26)))</f>
        <v/>
      </c>
      <c r="AA50">
        <f>IF($A50="","",IF($B50="V01",Cadrage!$C$27,IF($B50="V02",Cadrage!$D$27,Cadrage!$E$27)))</f>
        <v/>
      </c>
      <c r="AB50">
        <f>IF($A50="","",IF($B50="V01",Cadrage!$C$39,IF($B50="V02",Cadrage!$D$39,Cadrage!$E$39)))</f>
        <v/>
      </c>
      <c r="AC50">
        <f>IF($A50="","",IF($F50="MBWAY",Cadrage!$K$11,IF($F50="ISCOM",Cadrage!$K$12,IF($F50="IPAC",Cadrage!$K$13,IF($F50="PIGIER",Cadrage!$K$14,Cadrage!$K$15)))))</f>
        <v/>
      </c>
      <c r="AD50">
        <f>IF($A50="","",($O50*(1+$W50)^$S50+$P50*IFERROR((($T50/$U50)*(1+$V50))^$R50,0))*IFERROR($G50/$Q50,0)*($J50+$Y50)*$K50*($L50+$Z50))</f>
        <v/>
      </c>
      <c r="AE50">
        <f>IF($A50="","",IF($N50=1,$AD50,0))</f>
        <v/>
      </c>
      <c r="AF50">
        <f>IF($A50="","",IF($N50=1,$AD50,$H50*($M50+$AA50)))</f>
        <v/>
      </c>
      <c r="AG50">
        <f>IF($A50="","",$I50*(1+$X50*$AC50))</f>
        <v/>
      </c>
      <c r="AH50">
        <f>IF($A50="","",$AF50*$AG50+$AE50*$AB50)</f>
        <v/>
      </c>
    </row>
    <row r="51">
      <c r="A51">
        <f>IF(Moteur!D51="","",Moteur!D51)</f>
        <v/>
      </c>
      <c r="B51">
        <f>IF(Moteur!B51="","",Moteur!B51)</f>
        <v/>
      </c>
      <c r="C51">
        <f>IF(Moteur!F51="","",Moteur!F51)</f>
        <v/>
      </c>
      <c r="D51">
        <f>IF(Moteur!G51="","",Moteur!G51)</f>
        <v/>
      </c>
      <c r="E51">
        <f>IF(Moteur!H51="","",Moteur!H51)</f>
        <v/>
      </c>
      <c r="F51">
        <f>IF(Moteur!E51="","",Moteur!E51)</f>
        <v/>
      </c>
      <c r="G51">
        <f>IF($A51="","",SUMIFS(Socle!$H$1:$H$379,Socle!$C$1:$C$379,$A51,Socle!$D$1:$D$379,$C51,Socle!$E$1:$E$379,$D51,Socle!$F$1:$F$379,$E51,Socle!$G$1:$G$379,"2026"))</f>
        <v/>
      </c>
      <c r="H51">
        <f>IF($A51="","",SUMIFS(Socle!$N$1:$N$379,Socle!$C$1:$C$379,$A51,Socle!$D$1:$D$379,$C51,Socle!$E$1:$E$379,$D51,Socle!$F$1:$F$379,$E51,Socle!$G$1:$G$379,"2026"))</f>
        <v/>
      </c>
      <c r="I51">
        <f>IF($A51="","",SUMIFS(Socle!$P$1:$P$379,Socle!$C$1:$C$379,$A51,Socle!$D$1:$D$379,$C51,Socle!$E$1:$E$379,$D51,Socle!$F$1:$F$379,$E51,Socle!$G$1:$G$379,"2026"))</f>
        <v/>
      </c>
      <c r="J51">
        <f>IF($A51="","",SUMIFS(Socle!$W$1:$W$379,Socle!$C$1:$C$379,$A51,Socle!$D$1:$D$379,$C51,Socle!$E$1:$E$379,$D51,Socle!$F$1:$F$379,$E51,Socle!$G$1:$G$379,"2026"))</f>
        <v/>
      </c>
      <c r="K51">
        <f>IF($A51="","",SUMIFS(Socle!$X$1:$X$379,Socle!$C$1:$C$379,$A51,Socle!$D$1:$D$379,$C51,Socle!$E$1:$E$379,$D51,Socle!$F$1:$F$379,$E51,Socle!$G$1:$G$379,"2026"))</f>
        <v/>
      </c>
      <c r="L51">
        <f>IF($A51="","",SUMIFS(Socle!$Y$1:$Y$379,Socle!$C$1:$C$379,$A51,Socle!$D$1:$D$379,$C51,Socle!$E$1:$E$379,$D51,Socle!$F$1:$F$379,$E51,Socle!$G$1:$G$379,"2026"))</f>
        <v/>
      </c>
      <c r="M51">
        <f>IF($A51="","",SUMIFS(Socle!$V$1:$V$379,Socle!$C$1:$C$379,$A51,Socle!$D$1:$D$379,$C51,Socle!$E$1:$E$379,$D51,Socle!$F$1:$F$379,$E51,Socle!$G$1:$G$379,"2026"))</f>
        <v/>
      </c>
      <c r="N51">
        <f>IF($A51="","",IF(OR($D51="B1",$D51="M1",$D51="BTS1"),1,0))</f>
        <v/>
      </c>
      <c r="O51">
        <f>IF($A51="","",SUMIFS(Campagne!$D$1:$D$28,Campagne!$C$1:$C$28,$A51))</f>
        <v/>
      </c>
      <c r="P51">
        <f>IF($A51="","",SUMIFS(Campagne!$E$1:$E$28,Campagne!$C$1:$C$28,$A51))</f>
        <v/>
      </c>
      <c r="Q51">
        <f>IF($A51="","",SUMIFS(Campagne!$F$1:$F$28,Campagne!$C$1:$C$28,$A51))</f>
        <v/>
      </c>
      <c r="R51">
        <f>IF($A51="","",SUMIFS(Campagne!$K$1:$K$28,Campagne!$C$1:$C$28,$A51))</f>
        <v/>
      </c>
      <c r="S51">
        <f>IF($A51="","",SUMIFS(Campagne!$M$1:$M$28,Campagne!$C$1:$C$28,$A51))</f>
        <v/>
      </c>
      <c r="T51">
        <f>IF($A51="","",SUMIFS(Pilotage!$K$19:$K$32,Pilotage!$A$19:$A$32,$A51)*SUMIFS(Pilotage!$J$19:$J$32,Pilotage!$A$19:$A$32,$A51)*(SUM(Pilotage!$K$19:$K$32)/SUMPRODUCT(Pilotage!$K$19:$K$32,Pilotage!$J$19:$J$32)))</f>
        <v/>
      </c>
      <c r="U51">
        <f>IF($A51="","",SUMIFS(Pilotage!$K$19:$K$32,Pilotage!$A$19:$A$32,$A51))</f>
        <v/>
      </c>
      <c r="V51">
        <f>IF($A51="","",IF($B51="V01",Cadrage!$C$22,IF($B51="V02",Cadrage!$D$22,Cadrage!$E$22)))</f>
        <v/>
      </c>
      <c r="W51">
        <f>IF($A51="","",IF($B51="V01",Cadrage!$C$23,IF($B51="V02",Cadrage!$D$23,Cadrage!$E$23)))</f>
        <v/>
      </c>
      <c r="X51">
        <f>IF($A51="","",IF($B51="V01",Cadrage!$C$24,IF($B51="V02",Cadrage!$D$24,Cadrage!$E$24)))</f>
        <v/>
      </c>
      <c r="Y51">
        <f>IF($A51="","",IF($B51="V01",Cadrage!$C$25,IF($B51="V02",Cadrage!$D$25,Cadrage!$E$25)))</f>
        <v/>
      </c>
      <c r="Z51">
        <f>IF($A51="","",IF($B51="V01",Cadrage!$C$26,IF($B51="V02",Cadrage!$D$26,Cadrage!$E$26)))</f>
        <v/>
      </c>
      <c r="AA51">
        <f>IF($A51="","",IF($B51="V01",Cadrage!$C$27,IF($B51="V02",Cadrage!$D$27,Cadrage!$E$27)))</f>
        <v/>
      </c>
      <c r="AB51">
        <f>IF($A51="","",IF($B51="V01",Cadrage!$C$39,IF($B51="V02",Cadrage!$D$39,Cadrage!$E$39)))</f>
        <v/>
      </c>
      <c r="AC51">
        <f>IF($A51="","",IF($F51="MBWAY",Cadrage!$K$11,IF($F51="ISCOM",Cadrage!$K$12,IF($F51="IPAC",Cadrage!$K$13,IF($F51="PIGIER",Cadrage!$K$14,Cadrage!$K$15)))))</f>
        <v/>
      </c>
      <c r="AD51">
        <f>IF($A51="","",($O51*(1+$W51)^$S51+$P51*IFERROR((($T51/$U51)*(1+$V51))^$R51,0))*IFERROR($G51/$Q51,0)*($J51+$Y51)*$K51*($L51+$Z51))</f>
        <v/>
      </c>
      <c r="AE51">
        <f>IF($A51="","",IF($N51=1,$AD51,0))</f>
        <v/>
      </c>
      <c r="AF51">
        <f>IF($A51="","",IF($N51=1,$AD51,$H51*($M51+$AA51)))</f>
        <v/>
      </c>
      <c r="AG51">
        <f>IF($A51="","",$I51*(1+$X51*$AC51))</f>
        <v/>
      </c>
      <c r="AH51">
        <f>IF($A51="","",$AF51*$AG51+$AE51*$AB51)</f>
        <v/>
      </c>
    </row>
    <row r="52">
      <c r="A52">
        <f>IF(Moteur!D52="","",Moteur!D52)</f>
        <v/>
      </c>
      <c r="B52">
        <f>IF(Moteur!B52="","",Moteur!B52)</f>
        <v/>
      </c>
      <c r="C52">
        <f>IF(Moteur!F52="","",Moteur!F52)</f>
        <v/>
      </c>
      <c r="D52">
        <f>IF(Moteur!G52="","",Moteur!G52)</f>
        <v/>
      </c>
      <c r="E52">
        <f>IF(Moteur!H52="","",Moteur!H52)</f>
        <v/>
      </c>
      <c r="F52">
        <f>IF(Moteur!E52="","",Moteur!E52)</f>
        <v/>
      </c>
      <c r="G52">
        <f>IF($A52="","",SUMIFS(Socle!$H$1:$H$379,Socle!$C$1:$C$379,$A52,Socle!$D$1:$D$379,$C52,Socle!$E$1:$E$379,$D52,Socle!$F$1:$F$379,$E52,Socle!$G$1:$G$379,"2026"))</f>
        <v/>
      </c>
      <c r="H52">
        <f>IF($A52="","",SUMIFS(Socle!$N$1:$N$379,Socle!$C$1:$C$379,$A52,Socle!$D$1:$D$379,$C52,Socle!$E$1:$E$379,$D52,Socle!$F$1:$F$379,$E52,Socle!$G$1:$G$379,"2026"))</f>
        <v/>
      </c>
      <c r="I52">
        <f>IF($A52="","",SUMIFS(Socle!$P$1:$P$379,Socle!$C$1:$C$379,$A52,Socle!$D$1:$D$379,$C52,Socle!$E$1:$E$379,$D52,Socle!$F$1:$F$379,$E52,Socle!$G$1:$G$379,"2026"))</f>
        <v/>
      </c>
      <c r="J52">
        <f>IF($A52="","",SUMIFS(Socle!$W$1:$W$379,Socle!$C$1:$C$379,$A52,Socle!$D$1:$D$379,$C52,Socle!$E$1:$E$379,$D52,Socle!$F$1:$F$379,$E52,Socle!$G$1:$G$379,"2026"))</f>
        <v/>
      </c>
      <c r="K52">
        <f>IF($A52="","",SUMIFS(Socle!$X$1:$X$379,Socle!$C$1:$C$379,$A52,Socle!$D$1:$D$379,$C52,Socle!$E$1:$E$379,$D52,Socle!$F$1:$F$379,$E52,Socle!$G$1:$G$379,"2026"))</f>
        <v/>
      </c>
      <c r="L52">
        <f>IF($A52="","",SUMIFS(Socle!$Y$1:$Y$379,Socle!$C$1:$C$379,$A52,Socle!$D$1:$D$379,$C52,Socle!$E$1:$E$379,$D52,Socle!$F$1:$F$379,$E52,Socle!$G$1:$G$379,"2026"))</f>
        <v/>
      </c>
      <c r="M52">
        <f>IF($A52="","",SUMIFS(Socle!$V$1:$V$379,Socle!$C$1:$C$379,$A52,Socle!$D$1:$D$379,$C52,Socle!$E$1:$E$379,$D52,Socle!$F$1:$F$379,$E52,Socle!$G$1:$G$379,"2026"))</f>
        <v/>
      </c>
      <c r="N52">
        <f>IF($A52="","",IF(OR($D52="B1",$D52="M1",$D52="BTS1"),1,0))</f>
        <v/>
      </c>
      <c r="O52">
        <f>IF($A52="","",SUMIFS(Campagne!$D$1:$D$28,Campagne!$C$1:$C$28,$A52))</f>
        <v/>
      </c>
      <c r="P52">
        <f>IF($A52="","",SUMIFS(Campagne!$E$1:$E$28,Campagne!$C$1:$C$28,$A52))</f>
        <v/>
      </c>
      <c r="Q52">
        <f>IF($A52="","",SUMIFS(Campagne!$F$1:$F$28,Campagne!$C$1:$C$28,$A52))</f>
        <v/>
      </c>
      <c r="R52">
        <f>IF($A52="","",SUMIFS(Campagne!$K$1:$K$28,Campagne!$C$1:$C$28,$A52))</f>
        <v/>
      </c>
      <c r="S52">
        <f>IF($A52="","",SUMIFS(Campagne!$M$1:$M$28,Campagne!$C$1:$C$28,$A52))</f>
        <v/>
      </c>
      <c r="T52">
        <f>IF($A52="","",SUMIFS(Pilotage!$K$19:$K$32,Pilotage!$A$19:$A$32,$A52)*SUMIFS(Pilotage!$J$19:$J$32,Pilotage!$A$19:$A$32,$A52)*(SUM(Pilotage!$K$19:$K$32)/SUMPRODUCT(Pilotage!$K$19:$K$32,Pilotage!$J$19:$J$32)))</f>
        <v/>
      </c>
      <c r="U52">
        <f>IF($A52="","",SUMIFS(Pilotage!$K$19:$K$32,Pilotage!$A$19:$A$32,$A52))</f>
        <v/>
      </c>
      <c r="V52">
        <f>IF($A52="","",IF($B52="V01",Cadrage!$C$22,IF($B52="V02",Cadrage!$D$22,Cadrage!$E$22)))</f>
        <v/>
      </c>
      <c r="W52">
        <f>IF($A52="","",IF($B52="V01",Cadrage!$C$23,IF($B52="V02",Cadrage!$D$23,Cadrage!$E$23)))</f>
        <v/>
      </c>
      <c r="X52">
        <f>IF($A52="","",IF($B52="V01",Cadrage!$C$24,IF($B52="V02",Cadrage!$D$24,Cadrage!$E$24)))</f>
        <v/>
      </c>
      <c r="Y52">
        <f>IF($A52="","",IF($B52="V01",Cadrage!$C$25,IF($B52="V02",Cadrage!$D$25,Cadrage!$E$25)))</f>
        <v/>
      </c>
      <c r="Z52">
        <f>IF($A52="","",IF($B52="V01",Cadrage!$C$26,IF($B52="V02",Cadrage!$D$26,Cadrage!$E$26)))</f>
        <v/>
      </c>
      <c r="AA52">
        <f>IF($A52="","",IF($B52="V01",Cadrage!$C$27,IF($B52="V02",Cadrage!$D$27,Cadrage!$E$27)))</f>
        <v/>
      </c>
      <c r="AB52">
        <f>IF($A52="","",IF($B52="V01",Cadrage!$C$39,IF($B52="V02",Cadrage!$D$39,Cadrage!$E$39)))</f>
        <v/>
      </c>
      <c r="AC52">
        <f>IF($A52="","",IF($F52="MBWAY",Cadrage!$K$11,IF($F52="ISCOM",Cadrage!$K$12,IF($F52="IPAC",Cadrage!$K$13,IF($F52="PIGIER",Cadrage!$K$14,Cadrage!$K$15)))))</f>
        <v/>
      </c>
      <c r="AD52">
        <f>IF($A52="","",($O52*(1+$W52)^$S52+$P52*IFERROR((($T52/$U52)*(1+$V52))^$R52,0))*IFERROR($G52/$Q52,0)*($J52+$Y52)*$K52*($L52+$Z52))</f>
        <v/>
      </c>
      <c r="AE52">
        <f>IF($A52="","",IF($N52=1,$AD52,0))</f>
        <v/>
      </c>
      <c r="AF52">
        <f>IF($A52="","",IF($N52=1,$AD52,$H52*($M52+$AA52)))</f>
        <v/>
      </c>
      <c r="AG52">
        <f>IF($A52="","",$I52*(1+$X52*$AC52))</f>
        <v/>
      </c>
      <c r="AH52">
        <f>IF($A52="","",$AF52*$AG52+$AE52*$AB52)</f>
        <v/>
      </c>
    </row>
    <row r="53">
      <c r="A53">
        <f>IF(Moteur!D53="","",Moteur!D53)</f>
        <v/>
      </c>
      <c r="B53">
        <f>IF(Moteur!B53="","",Moteur!B53)</f>
        <v/>
      </c>
      <c r="C53">
        <f>IF(Moteur!F53="","",Moteur!F53)</f>
        <v/>
      </c>
      <c r="D53">
        <f>IF(Moteur!G53="","",Moteur!G53)</f>
        <v/>
      </c>
      <c r="E53">
        <f>IF(Moteur!H53="","",Moteur!H53)</f>
        <v/>
      </c>
      <c r="F53">
        <f>IF(Moteur!E53="","",Moteur!E53)</f>
        <v/>
      </c>
      <c r="G53">
        <f>IF($A53="","",SUMIFS(Socle!$H$1:$H$379,Socle!$C$1:$C$379,$A53,Socle!$D$1:$D$379,$C53,Socle!$E$1:$E$379,$D53,Socle!$F$1:$F$379,$E53,Socle!$G$1:$G$379,"2026"))</f>
        <v/>
      </c>
      <c r="H53">
        <f>IF($A53="","",SUMIFS(Socle!$N$1:$N$379,Socle!$C$1:$C$379,$A53,Socle!$D$1:$D$379,$C53,Socle!$E$1:$E$379,$D53,Socle!$F$1:$F$379,$E53,Socle!$G$1:$G$379,"2026"))</f>
        <v/>
      </c>
      <c r="I53">
        <f>IF($A53="","",SUMIFS(Socle!$P$1:$P$379,Socle!$C$1:$C$379,$A53,Socle!$D$1:$D$379,$C53,Socle!$E$1:$E$379,$D53,Socle!$F$1:$F$379,$E53,Socle!$G$1:$G$379,"2026"))</f>
        <v/>
      </c>
      <c r="J53">
        <f>IF($A53="","",SUMIFS(Socle!$W$1:$W$379,Socle!$C$1:$C$379,$A53,Socle!$D$1:$D$379,$C53,Socle!$E$1:$E$379,$D53,Socle!$F$1:$F$379,$E53,Socle!$G$1:$G$379,"2026"))</f>
        <v/>
      </c>
      <c r="K53">
        <f>IF($A53="","",SUMIFS(Socle!$X$1:$X$379,Socle!$C$1:$C$379,$A53,Socle!$D$1:$D$379,$C53,Socle!$E$1:$E$379,$D53,Socle!$F$1:$F$379,$E53,Socle!$G$1:$G$379,"2026"))</f>
        <v/>
      </c>
      <c r="L53">
        <f>IF($A53="","",SUMIFS(Socle!$Y$1:$Y$379,Socle!$C$1:$C$379,$A53,Socle!$D$1:$D$379,$C53,Socle!$E$1:$E$379,$D53,Socle!$F$1:$F$379,$E53,Socle!$G$1:$G$379,"2026"))</f>
        <v/>
      </c>
      <c r="M53">
        <f>IF($A53="","",SUMIFS(Socle!$V$1:$V$379,Socle!$C$1:$C$379,$A53,Socle!$D$1:$D$379,$C53,Socle!$E$1:$E$379,$D53,Socle!$F$1:$F$379,$E53,Socle!$G$1:$G$379,"2026"))</f>
        <v/>
      </c>
      <c r="N53">
        <f>IF($A53="","",IF(OR($D53="B1",$D53="M1",$D53="BTS1"),1,0))</f>
        <v/>
      </c>
      <c r="O53">
        <f>IF($A53="","",SUMIFS(Campagne!$D$1:$D$28,Campagne!$C$1:$C$28,$A53))</f>
        <v/>
      </c>
      <c r="P53">
        <f>IF($A53="","",SUMIFS(Campagne!$E$1:$E$28,Campagne!$C$1:$C$28,$A53))</f>
        <v/>
      </c>
      <c r="Q53">
        <f>IF($A53="","",SUMIFS(Campagne!$F$1:$F$28,Campagne!$C$1:$C$28,$A53))</f>
        <v/>
      </c>
      <c r="R53">
        <f>IF($A53="","",SUMIFS(Campagne!$K$1:$K$28,Campagne!$C$1:$C$28,$A53))</f>
        <v/>
      </c>
      <c r="S53">
        <f>IF($A53="","",SUMIFS(Campagne!$M$1:$M$28,Campagne!$C$1:$C$28,$A53))</f>
        <v/>
      </c>
      <c r="T53">
        <f>IF($A53="","",SUMIFS(Pilotage!$K$19:$K$32,Pilotage!$A$19:$A$32,$A53)*SUMIFS(Pilotage!$J$19:$J$32,Pilotage!$A$19:$A$32,$A53)*(SUM(Pilotage!$K$19:$K$32)/SUMPRODUCT(Pilotage!$K$19:$K$32,Pilotage!$J$19:$J$32)))</f>
        <v/>
      </c>
      <c r="U53">
        <f>IF($A53="","",SUMIFS(Pilotage!$K$19:$K$32,Pilotage!$A$19:$A$32,$A53))</f>
        <v/>
      </c>
      <c r="V53">
        <f>IF($A53="","",IF($B53="V01",Cadrage!$C$22,IF($B53="V02",Cadrage!$D$22,Cadrage!$E$22)))</f>
        <v/>
      </c>
      <c r="W53">
        <f>IF($A53="","",IF($B53="V01",Cadrage!$C$23,IF($B53="V02",Cadrage!$D$23,Cadrage!$E$23)))</f>
        <v/>
      </c>
      <c r="X53">
        <f>IF($A53="","",IF($B53="V01",Cadrage!$C$24,IF($B53="V02",Cadrage!$D$24,Cadrage!$E$24)))</f>
        <v/>
      </c>
      <c r="Y53">
        <f>IF($A53="","",IF($B53="V01",Cadrage!$C$25,IF($B53="V02",Cadrage!$D$25,Cadrage!$E$25)))</f>
        <v/>
      </c>
      <c r="Z53">
        <f>IF($A53="","",IF($B53="V01",Cadrage!$C$26,IF($B53="V02",Cadrage!$D$26,Cadrage!$E$26)))</f>
        <v/>
      </c>
      <c r="AA53">
        <f>IF($A53="","",IF($B53="V01",Cadrage!$C$27,IF($B53="V02",Cadrage!$D$27,Cadrage!$E$27)))</f>
        <v/>
      </c>
      <c r="AB53">
        <f>IF($A53="","",IF($B53="V01",Cadrage!$C$39,IF($B53="V02",Cadrage!$D$39,Cadrage!$E$39)))</f>
        <v/>
      </c>
      <c r="AC53">
        <f>IF($A53="","",IF($F53="MBWAY",Cadrage!$K$11,IF($F53="ISCOM",Cadrage!$K$12,IF($F53="IPAC",Cadrage!$K$13,IF($F53="PIGIER",Cadrage!$K$14,Cadrage!$K$15)))))</f>
        <v/>
      </c>
      <c r="AD53">
        <f>IF($A53="","",($O53*(1+$W53)^$S53+$P53*IFERROR((($T53/$U53)*(1+$V53))^$R53,0))*IFERROR($G53/$Q53,0)*($J53+$Y53)*$K53*($L53+$Z53))</f>
        <v/>
      </c>
      <c r="AE53">
        <f>IF($A53="","",IF($N53=1,$AD53,0))</f>
        <v/>
      </c>
      <c r="AF53">
        <f>IF($A53="","",IF($N53=1,$AD53,$H53*($M53+$AA53)))</f>
        <v/>
      </c>
      <c r="AG53">
        <f>IF($A53="","",$I53*(1+$X53*$AC53))</f>
        <v/>
      </c>
      <c r="AH53">
        <f>IF($A53="","",$AF53*$AG53+$AE53*$AB53)</f>
        <v/>
      </c>
    </row>
    <row r="54">
      <c r="A54">
        <f>IF(Moteur!D54="","",Moteur!D54)</f>
        <v/>
      </c>
      <c r="B54">
        <f>IF(Moteur!B54="","",Moteur!B54)</f>
        <v/>
      </c>
      <c r="C54">
        <f>IF(Moteur!F54="","",Moteur!F54)</f>
        <v/>
      </c>
      <c r="D54">
        <f>IF(Moteur!G54="","",Moteur!G54)</f>
        <v/>
      </c>
      <c r="E54">
        <f>IF(Moteur!H54="","",Moteur!H54)</f>
        <v/>
      </c>
      <c r="F54">
        <f>IF(Moteur!E54="","",Moteur!E54)</f>
        <v/>
      </c>
      <c r="G54">
        <f>IF($A54="","",SUMIFS(Socle!$H$1:$H$379,Socle!$C$1:$C$379,$A54,Socle!$D$1:$D$379,$C54,Socle!$E$1:$E$379,$D54,Socle!$F$1:$F$379,$E54,Socle!$G$1:$G$379,"2026"))</f>
        <v/>
      </c>
      <c r="H54">
        <f>IF($A54="","",SUMIFS(Socle!$N$1:$N$379,Socle!$C$1:$C$379,$A54,Socle!$D$1:$D$379,$C54,Socle!$E$1:$E$379,$D54,Socle!$F$1:$F$379,$E54,Socle!$G$1:$G$379,"2026"))</f>
        <v/>
      </c>
      <c r="I54">
        <f>IF($A54="","",SUMIFS(Socle!$P$1:$P$379,Socle!$C$1:$C$379,$A54,Socle!$D$1:$D$379,$C54,Socle!$E$1:$E$379,$D54,Socle!$F$1:$F$379,$E54,Socle!$G$1:$G$379,"2026"))</f>
        <v/>
      </c>
      <c r="J54">
        <f>IF($A54="","",SUMIFS(Socle!$W$1:$W$379,Socle!$C$1:$C$379,$A54,Socle!$D$1:$D$379,$C54,Socle!$E$1:$E$379,$D54,Socle!$F$1:$F$379,$E54,Socle!$G$1:$G$379,"2026"))</f>
        <v/>
      </c>
      <c r="K54">
        <f>IF($A54="","",SUMIFS(Socle!$X$1:$X$379,Socle!$C$1:$C$379,$A54,Socle!$D$1:$D$379,$C54,Socle!$E$1:$E$379,$D54,Socle!$F$1:$F$379,$E54,Socle!$G$1:$G$379,"2026"))</f>
        <v/>
      </c>
      <c r="L54">
        <f>IF($A54="","",SUMIFS(Socle!$Y$1:$Y$379,Socle!$C$1:$C$379,$A54,Socle!$D$1:$D$379,$C54,Socle!$E$1:$E$379,$D54,Socle!$F$1:$F$379,$E54,Socle!$G$1:$G$379,"2026"))</f>
        <v/>
      </c>
      <c r="M54">
        <f>IF($A54="","",SUMIFS(Socle!$V$1:$V$379,Socle!$C$1:$C$379,$A54,Socle!$D$1:$D$379,$C54,Socle!$E$1:$E$379,$D54,Socle!$F$1:$F$379,$E54,Socle!$G$1:$G$379,"2026"))</f>
        <v/>
      </c>
      <c r="N54">
        <f>IF($A54="","",IF(OR($D54="B1",$D54="M1",$D54="BTS1"),1,0))</f>
        <v/>
      </c>
      <c r="O54">
        <f>IF($A54="","",SUMIFS(Campagne!$D$1:$D$28,Campagne!$C$1:$C$28,$A54))</f>
        <v/>
      </c>
      <c r="P54">
        <f>IF($A54="","",SUMIFS(Campagne!$E$1:$E$28,Campagne!$C$1:$C$28,$A54))</f>
        <v/>
      </c>
      <c r="Q54">
        <f>IF($A54="","",SUMIFS(Campagne!$F$1:$F$28,Campagne!$C$1:$C$28,$A54))</f>
        <v/>
      </c>
      <c r="R54">
        <f>IF($A54="","",SUMIFS(Campagne!$K$1:$K$28,Campagne!$C$1:$C$28,$A54))</f>
        <v/>
      </c>
      <c r="S54">
        <f>IF($A54="","",SUMIFS(Campagne!$M$1:$M$28,Campagne!$C$1:$C$28,$A54))</f>
        <v/>
      </c>
      <c r="T54">
        <f>IF($A54="","",SUMIFS(Pilotage!$K$19:$K$32,Pilotage!$A$19:$A$32,$A54)*SUMIFS(Pilotage!$J$19:$J$32,Pilotage!$A$19:$A$32,$A54)*(SUM(Pilotage!$K$19:$K$32)/SUMPRODUCT(Pilotage!$K$19:$K$32,Pilotage!$J$19:$J$32)))</f>
        <v/>
      </c>
      <c r="U54">
        <f>IF($A54="","",SUMIFS(Pilotage!$K$19:$K$32,Pilotage!$A$19:$A$32,$A54))</f>
        <v/>
      </c>
      <c r="V54">
        <f>IF($A54="","",IF($B54="V01",Cadrage!$C$22,IF($B54="V02",Cadrage!$D$22,Cadrage!$E$22)))</f>
        <v/>
      </c>
      <c r="W54">
        <f>IF($A54="","",IF($B54="V01",Cadrage!$C$23,IF($B54="V02",Cadrage!$D$23,Cadrage!$E$23)))</f>
        <v/>
      </c>
      <c r="X54">
        <f>IF($A54="","",IF($B54="V01",Cadrage!$C$24,IF($B54="V02",Cadrage!$D$24,Cadrage!$E$24)))</f>
        <v/>
      </c>
      <c r="Y54">
        <f>IF($A54="","",IF($B54="V01",Cadrage!$C$25,IF($B54="V02",Cadrage!$D$25,Cadrage!$E$25)))</f>
        <v/>
      </c>
      <c r="Z54">
        <f>IF($A54="","",IF($B54="V01",Cadrage!$C$26,IF($B54="V02",Cadrage!$D$26,Cadrage!$E$26)))</f>
        <v/>
      </c>
      <c r="AA54">
        <f>IF($A54="","",IF($B54="V01",Cadrage!$C$27,IF($B54="V02",Cadrage!$D$27,Cadrage!$E$27)))</f>
        <v/>
      </c>
      <c r="AB54">
        <f>IF($A54="","",IF($B54="V01",Cadrage!$C$39,IF($B54="V02",Cadrage!$D$39,Cadrage!$E$39)))</f>
        <v/>
      </c>
      <c r="AC54">
        <f>IF($A54="","",IF($F54="MBWAY",Cadrage!$K$11,IF($F54="ISCOM",Cadrage!$K$12,IF($F54="IPAC",Cadrage!$K$13,IF($F54="PIGIER",Cadrage!$K$14,Cadrage!$K$15)))))</f>
        <v/>
      </c>
      <c r="AD54">
        <f>IF($A54="","",($O54*(1+$W54)^$S54+$P54*IFERROR((($T54/$U54)*(1+$V54))^$R54,0))*IFERROR($G54/$Q54,0)*($J54+$Y54)*$K54*($L54+$Z54))</f>
        <v/>
      </c>
      <c r="AE54">
        <f>IF($A54="","",IF($N54=1,$AD54,0))</f>
        <v/>
      </c>
      <c r="AF54">
        <f>IF($A54="","",IF($N54=1,$AD54,$H54*($M54+$AA54)))</f>
        <v/>
      </c>
      <c r="AG54">
        <f>IF($A54="","",$I54*(1+$X54*$AC54))</f>
        <v/>
      </c>
      <c r="AH54">
        <f>IF($A54="","",$AF54*$AG54+$AE54*$AB54)</f>
        <v/>
      </c>
    </row>
    <row r="55">
      <c r="A55">
        <f>IF(Moteur!D55="","",Moteur!D55)</f>
        <v/>
      </c>
      <c r="B55">
        <f>IF(Moteur!B55="","",Moteur!B55)</f>
        <v/>
      </c>
      <c r="C55">
        <f>IF(Moteur!F55="","",Moteur!F55)</f>
        <v/>
      </c>
      <c r="D55">
        <f>IF(Moteur!G55="","",Moteur!G55)</f>
        <v/>
      </c>
      <c r="E55">
        <f>IF(Moteur!H55="","",Moteur!H55)</f>
        <v/>
      </c>
      <c r="F55">
        <f>IF(Moteur!E55="","",Moteur!E55)</f>
        <v/>
      </c>
      <c r="G55">
        <f>IF($A55="","",SUMIFS(Socle!$H$1:$H$379,Socle!$C$1:$C$379,$A55,Socle!$D$1:$D$379,$C55,Socle!$E$1:$E$379,$D55,Socle!$F$1:$F$379,$E55,Socle!$G$1:$G$379,"2026"))</f>
        <v/>
      </c>
      <c r="H55">
        <f>IF($A55="","",SUMIFS(Socle!$N$1:$N$379,Socle!$C$1:$C$379,$A55,Socle!$D$1:$D$379,$C55,Socle!$E$1:$E$379,$D55,Socle!$F$1:$F$379,$E55,Socle!$G$1:$G$379,"2026"))</f>
        <v/>
      </c>
      <c r="I55">
        <f>IF($A55="","",SUMIFS(Socle!$P$1:$P$379,Socle!$C$1:$C$379,$A55,Socle!$D$1:$D$379,$C55,Socle!$E$1:$E$379,$D55,Socle!$F$1:$F$379,$E55,Socle!$G$1:$G$379,"2026"))</f>
        <v/>
      </c>
      <c r="J55">
        <f>IF($A55="","",SUMIFS(Socle!$W$1:$W$379,Socle!$C$1:$C$379,$A55,Socle!$D$1:$D$379,$C55,Socle!$E$1:$E$379,$D55,Socle!$F$1:$F$379,$E55,Socle!$G$1:$G$379,"2026"))</f>
        <v/>
      </c>
      <c r="K55">
        <f>IF($A55="","",SUMIFS(Socle!$X$1:$X$379,Socle!$C$1:$C$379,$A55,Socle!$D$1:$D$379,$C55,Socle!$E$1:$E$379,$D55,Socle!$F$1:$F$379,$E55,Socle!$G$1:$G$379,"2026"))</f>
        <v/>
      </c>
      <c r="L55">
        <f>IF($A55="","",SUMIFS(Socle!$Y$1:$Y$379,Socle!$C$1:$C$379,$A55,Socle!$D$1:$D$379,$C55,Socle!$E$1:$E$379,$D55,Socle!$F$1:$F$379,$E55,Socle!$G$1:$G$379,"2026"))</f>
        <v/>
      </c>
      <c r="M55">
        <f>IF($A55="","",SUMIFS(Socle!$V$1:$V$379,Socle!$C$1:$C$379,$A55,Socle!$D$1:$D$379,$C55,Socle!$E$1:$E$379,$D55,Socle!$F$1:$F$379,$E55,Socle!$G$1:$G$379,"2026"))</f>
        <v/>
      </c>
      <c r="N55">
        <f>IF($A55="","",IF(OR($D55="B1",$D55="M1",$D55="BTS1"),1,0))</f>
        <v/>
      </c>
      <c r="O55">
        <f>IF($A55="","",SUMIFS(Campagne!$D$1:$D$28,Campagne!$C$1:$C$28,$A55))</f>
        <v/>
      </c>
      <c r="P55">
        <f>IF($A55="","",SUMIFS(Campagne!$E$1:$E$28,Campagne!$C$1:$C$28,$A55))</f>
        <v/>
      </c>
      <c r="Q55">
        <f>IF($A55="","",SUMIFS(Campagne!$F$1:$F$28,Campagne!$C$1:$C$28,$A55))</f>
        <v/>
      </c>
      <c r="R55">
        <f>IF($A55="","",SUMIFS(Campagne!$K$1:$K$28,Campagne!$C$1:$C$28,$A55))</f>
        <v/>
      </c>
      <c r="S55">
        <f>IF($A55="","",SUMIFS(Campagne!$M$1:$M$28,Campagne!$C$1:$C$28,$A55))</f>
        <v/>
      </c>
      <c r="T55">
        <f>IF($A55="","",SUMIFS(Pilotage!$K$19:$K$32,Pilotage!$A$19:$A$32,$A55)*SUMIFS(Pilotage!$J$19:$J$32,Pilotage!$A$19:$A$32,$A55)*(SUM(Pilotage!$K$19:$K$32)/SUMPRODUCT(Pilotage!$K$19:$K$32,Pilotage!$J$19:$J$32)))</f>
        <v/>
      </c>
      <c r="U55">
        <f>IF($A55="","",SUMIFS(Pilotage!$K$19:$K$32,Pilotage!$A$19:$A$32,$A55))</f>
        <v/>
      </c>
      <c r="V55">
        <f>IF($A55="","",IF($B55="V01",Cadrage!$C$22,IF($B55="V02",Cadrage!$D$22,Cadrage!$E$22)))</f>
        <v/>
      </c>
      <c r="W55">
        <f>IF($A55="","",IF($B55="V01",Cadrage!$C$23,IF($B55="V02",Cadrage!$D$23,Cadrage!$E$23)))</f>
        <v/>
      </c>
      <c r="X55">
        <f>IF($A55="","",IF($B55="V01",Cadrage!$C$24,IF($B55="V02",Cadrage!$D$24,Cadrage!$E$24)))</f>
        <v/>
      </c>
      <c r="Y55">
        <f>IF($A55="","",IF($B55="V01",Cadrage!$C$25,IF($B55="V02",Cadrage!$D$25,Cadrage!$E$25)))</f>
        <v/>
      </c>
      <c r="Z55">
        <f>IF($A55="","",IF($B55="V01",Cadrage!$C$26,IF($B55="V02",Cadrage!$D$26,Cadrage!$E$26)))</f>
        <v/>
      </c>
      <c r="AA55">
        <f>IF($A55="","",IF($B55="V01",Cadrage!$C$27,IF($B55="V02",Cadrage!$D$27,Cadrage!$E$27)))</f>
        <v/>
      </c>
      <c r="AB55">
        <f>IF($A55="","",IF($B55="V01",Cadrage!$C$39,IF($B55="V02",Cadrage!$D$39,Cadrage!$E$39)))</f>
        <v/>
      </c>
      <c r="AC55">
        <f>IF($A55="","",IF($F55="MBWAY",Cadrage!$K$11,IF($F55="ISCOM",Cadrage!$K$12,IF($F55="IPAC",Cadrage!$K$13,IF($F55="PIGIER",Cadrage!$K$14,Cadrage!$K$15)))))</f>
        <v/>
      </c>
      <c r="AD55">
        <f>IF($A55="","",($O55*(1+$W55)^$S55+$P55*IFERROR((($T55/$U55)*(1+$V55))^$R55,0))*IFERROR($G55/$Q55,0)*($J55+$Y55)*$K55*($L55+$Z55))</f>
        <v/>
      </c>
      <c r="AE55">
        <f>IF($A55="","",IF($N55=1,$AD55,0))</f>
        <v/>
      </c>
      <c r="AF55">
        <f>IF($A55="","",IF($N55=1,$AD55,$H55*($M55+$AA55)))</f>
        <v/>
      </c>
      <c r="AG55">
        <f>IF($A55="","",$I55*(1+$X55*$AC55))</f>
        <v/>
      </c>
      <c r="AH55">
        <f>IF($A55="","",$AF55*$AG55+$AE55*$AB55)</f>
        <v/>
      </c>
    </row>
    <row r="56">
      <c r="A56">
        <f>IF(Moteur!D56="","",Moteur!D56)</f>
        <v/>
      </c>
      <c r="B56">
        <f>IF(Moteur!B56="","",Moteur!B56)</f>
        <v/>
      </c>
      <c r="C56">
        <f>IF(Moteur!F56="","",Moteur!F56)</f>
        <v/>
      </c>
      <c r="D56">
        <f>IF(Moteur!G56="","",Moteur!G56)</f>
        <v/>
      </c>
      <c r="E56">
        <f>IF(Moteur!H56="","",Moteur!H56)</f>
        <v/>
      </c>
      <c r="F56">
        <f>IF(Moteur!E56="","",Moteur!E56)</f>
        <v/>
      </c>
      <c r="G56">
        <f>IF($A56="","",SUMIFS(Socle!$H$1:$H$379,Socle!$C$1:$C$379,$A56,Socle!$D$1:$D$379,$C56,Socle!$E$1:$E$379,$D56,Socle!$F$1:$F$379,$E56,Socle!$G$1:$G$379,"2026"))</f>
        <v/>
      </c>
      <c r="H56">
        <f>IF($A56="","",SUMIFS(Socle!$N$1:$N$379,Socle!$C$1:$C$379,$A56,Socle!$D$1:$D$379,$C56,Socle!$E$1:$E$379,$D56,Socle!$F$1:$F$379,$E56,Socle!$G$1:$G$379,"2026"))</f>
        <v/>
      </c>
      <c r="I56">
        <f>IF($A56="","",SUMIFS(Socle!$P$1:$P$379,Socle!$C$1:$C$379,$A56,Socle!$D$1:$D$379,$C56,Socle!$E$1:$E$379,$D56,Socle!$F$1:$F$379,$E56,Socle!$G$1:$G$379,"2026"))</f>
        <v/>
      </c>
      <c r="J56">
        <f>IF($A56="","",SUMIFS(Socle!$W$1:$W$379,Socle!$C$1:$C$379,$A56,Socle!$D$1:$D$379,$C56,Socle!$E$1:$E$379,$D56,Socle!$F$1:$F$379,$E56,Socle!$G$1:$G$379,"2026"))</f>
        <v/>
      </c>
      <c r="K56">
        <f>IF($A56="","",SUMIFS(Socle!$X$1:$X$379,Socle!$C$1:$C$379,$A56,Socle!$D$1:$D$379,$C56,Socle!$E$1:$E$379,$D56,Socle!$F$1:$F$379,$E56,Socle!$G$1:$G$379,"2026"))</f>
        <v/>
      </c>
      <c r="L56">
        <f>IF($A56="","",SUMIFS(Socle!$Y$1:$Y$379,Socle!$C$1:$C$379,$A56,Socle!$D$1:$D$379,$C56,Socle!$E$1:$E$379,$D56,Socle!$F$1:$F$379,$E56,Socle!$G$1:$G$379,"2026"))</f>
        <v/>
      </c>
      <c r="M56">
        <f>IF($A56="","",SUMIFS(Socle!$V$1:$V$379,Socle!$C$1:$C$379,$A56,Socle!$D$1:$D$379,$C56,Socle!$E$1:$E$379,$D56,Socle!$F$1:$F$379,$E56,Socle!$G$1:$G$379,"2026"))</f>
        <v/>
      </c>
      <c r="N56">
        <f>IF($A56="","",IF(OR($D56="B1",$D56="M1",$D56="BTS1"),1,0))</f>
        <v/>
      </c>
      <c r="O56">
        <f>IF($A56="","",SUMIFS(Campagne!$D$1:$D$28,Campagne!$C$1:$C$28,$A56))</f>
        <v/>
      </c>
      <c r="P56">
        <f>IF($A56="","",SUMIFS(Campagne!$E$1:$E$28,Campagne!$C$1:$C$28,$A56))</f>
        <v/>
      </c>
      <c r="Q56">
        <f>IF($A56="","",SUMIFS(Campagne!$F$1:$F$28,Campagne!$C$1:$C$28,$A56))</f>
        <v/>
      </c>
      <c r="R56">
        <f>IF($A56="","",SUMIFS(Campagne!$K$1:$K$28,Campagne!$C$1:$C$28,$A56))</f>
        <v/>
      </c>
      <c r="S56">
        <f>IF($A56="","",SUMIFS(Campagne!$M$1:$M$28,Campagne!$C$1:$C$28,$A56))</f>
        <v/>
      </c>
      <c r="T56">
        <f>IF($A56="","",SUMIFS(Pilotage!$K$19:$K$32,Pilotage!$A$19:$A$32,$A56)*SUMIFS(Pilotage!$J$19:$J$32,Pilotage!$A$19:$A$32,$A56)*(SUM(Pilotage!$K$19:$K$32)/SUMPRODUCT(Pilotage!$K$19:$K$32,Pilotage!$J$19:$J$32)))</f>
        <v/>
      </c>
      <c r="U56">
        <f>IF($A56="","",SUMIFS(Pilotage!$K$19:$K$32,Pilotage!$A$19:$A$32,$A56))</f>
        <v/>
      </c>
      <c r="V56">
        <f>IF($A56="","",IF($B56="V01",Cadrage!$C$22,IF($B56="V02",Cadrage!$D$22,Cadrage!$E$22)))</f>
        <v/>
      </c>
      <c r="W56">
        <f>IF($A56="","",IF($B56="V01",Cadrage!$C$23,IF($B56="V02",Cadrage!$D$23,Cadrage!$E$23)))</f>
        <v/>
      </c>
      <c r="X56">
        <f>IF($A56="","",IF($B56="V01",Cadrage!$C$24,IF($B56="V02",Cadrage!$D$24,Cadrage!$E$24)))</f>
        <v/>
      </c>
      <c r="Y56">
        <f>IF($A56="","",IF($B56="V01",Cadrage!$C$25,IF($B56="V02",Cadrage!$D$25,Cadrage!$E$25)))</f>
        <v/>
      </c>
      <c r="Z56">
        <f>IF($A56="","",IF($B56="V01",Cadrage!$C$26,IF($B56="V02",Cadrage!$D$26,Cadrage!$E$26)))</f>
        <v/>
      </c>
      <c r="AA56">
        <f>IF($A56="","",IF($B56="V01",Cadrage!$C$27,IF($B56="V02",Cadrage!$D$27,Cadrage!$E$27)))</f>
        <v/>
      </c>
      <c r="AB56">
        <f>IF($A56="","",IF($B56="V01",Cadrage!$C$39,IF($B56="V02",Cadrage!$D$39,Cadrage!$E$39)))</f>
        <v/>
      </c>
      <c r="AC56">
        <f>IF($A56="","",IF($F56="MBWAY",Cadrage!$K$11,IF($F56="ISCOM",Cadrage!$K$12,IF($F56="IPAC",Cadrage!$K$13,IF($F56="PIGIER",Cadrage!$K$14,Cadrage!$K$15)))))</f>
        <v/>
      </c>
      <c r="AD56">
        <f>IF($A56="","",($O56*(1+$W56)^$S56+$P56*IFERROR((($T56/$U56)*(1+$V56))^$R56,0))*IFERROR($G56/$Q56,0)*($J56+$Y56)*$K56*($L56+$Z56))</f>
        <v/>
      </c>
      <c r="AE56">
        <f>IF($A56="","",IF($N56=1,$AD56,0))</f>
        <v/>
      </c>
      <c r="AF56">
        <f>IF($A56="","",IF($N56=1,$AD56,$H56*($M56+$AA56)))</f>
        <v/>
      </c>
      <c r="AG56">
        <f>IF($A56="","",$I56*(1+$X56*$AC56))</f>
        <v/>
      </c>
      <c r="AH56">
        <f>IF($A56="","",$AF56*$AG56+$AE56*$AB56)</f>
        <v/>
      </c>
    </row>
    <row r="57">
      <c r="A57">
        <f>IF(Moteur!D57="","",Moteur!D57)</f>
        <v/>
      </c>
      <c r="B57">
        <f>IF(Moteur!B57="","",Moteur!B57)</f>
        <v/>
      </c>
      <c r="C57">
        <f>IF(Moteur!F57="","",Moteur!F57)</f>
        <v/>
      </c>
      <c r="D57">
        <f>IF(Moteur!G57="","",Moteur!G57)</f>
        <v/>
      </c>
      <c r="E57">
        <f>IF(Moteur!H57="","",Moteur!H57)</f>
        <v/>
      </c>
      <c r="F57">
        <f>IF(Moteur!E57="","",Moteur!E57)</f>
        <v/>
      </c>
      <c r="G57">
        <f>IF($A57="","",SUMIFS(Socle!$H$1:$H$379,Socle!$C$1:$C$379,$A57,Socle!$D$1:$D$379,$C57,Socle!$E$1:$E$379,$D57,Socle!$F$1:$F$379,$E57,Socle!$G$1:$G$379,"2026"))</f>
        <v/>
      </c>
      <c r="H57">
        <f>IF($A57="","",SUMIFS(Socle!$N$1:$N$379,Socle!$C$1:$C$379,$A57,Socle!$D$1:$D$379,$C57,Socle!$E$1:$E$379,$D57,Socle!$F$1:$F$379,$E57,Socle!$G$1:$G$379,"2026"))</f>
        <v/>
      </c>
      <c r="I57">
        <f>IF($A57="","",SUMIFS(Socle!$P$1:$P$379,Socle!$C$1:$C$379,$A57,Socle!$D$1:$D$379,$C57,Socle!$E$1:$E$379,$D57,Socle!$F$1:$F$379,$E57,Socle!$G$1:$G$379,"2026"))</f>
        <v/>
      </c>
      <c r="J57">
        <f>IF($A57="","",SUMIFS(Socle!$W$1:$W$379,Socle!$C$1:$C$379,$A57,Socle!$D$1:$D$379,$C57,Socle!$E$1:$E$379,$D57,Socle!$F$1:$F$379,$E57,Socle!$G$1:$G$379,"2026"))</f>
        <v/>
      </c>
      <c r="K57">
        <f>IF($A57="","",SUMIFS(Socle!$X$1:$X$379,Socle!$C$1:$C$379,$A57,Socle!$D$1:$D$379,$C57,Socle!$E$1:$E$379,$D57,Socle!$F$1:$F$379,$E57,Socle!$G$1:$G$379,"2026"))</f>
        <v/>
      </c>
      <c r="L57">
        <f>IF($A57="","",SUMIFS(Socle!$Y$1:$Y$379,Socle!$C$1:$C$379,$A57,Socle!$D$1:$D$379,$C57,Socle!$E$1:$E$379,$D57,Socle!$F$1:$F$379,$E57,Socle!$G$1:$G$379,"2026"))</f>
        <v/>
      </c>
      <c r="M57">
        <f>IF($A57="","",SUMIFS(Socle!$V$1:$V$379,Socle!$C$1:$C$379,$A57,Socle!$D$1:$D$379,$C57,Socle!$E$1:$E$379,$D57,Socle!$F$1:$F$379,$E57,Socle!$G$1:$G$379,"2026"))</f>
        <v/>
      </c>
      <c r="N57">
        <f>IF($A57="","",IF(OR($D57="B1",$D57="M1",$D57="BTS1"),1,0))</f>
        <v/>
      </c>
      <c r="O57">
        <f>IF($A57="","",SUMIFS(Campagne!$D$1:$D$28,Campagne!$C$1:$C$28,$A57))</f>
        <v/>
      </c>
      <c r="P57">
        <f>IF($A57="","",SUMIFS(Campagne!$E$1:$E$28,Campagne!$C$1:$C$28,$A57))</f>
        <v/>
      </c>
      <c r="Q57">
        <f>IF($A57="","",SUMIFS(Campagne!$F$1:$F$28,Campagne!$C$1:$C$28,$A57))</f>
        <v/>
      </c>
      <c r="R57">
        <f>IF($A57="","",SUMIFS(Campagne!$K$1:$K$28,Campagne!$C$1:$C$28,$A57))</f>
        <v/>
      </c>
      <c r="S57">
        <f>IF($A57="","",SUMIFS(Campagne!$M$1:$M$28,Campagne!$C$1:$C$28,$A57))</f>
        <v/>
      </c>
      <c r="T57">
        <f>IF($A57="","",SUMIFS(Pilotage!$K$19:$K$32,Pilotage!$A$19:$A$32,$A57)*SUMIFS(Pilotage!$J$19:$J$32,Pilotage!$A$19:$A$32,$A57)*(SUM(Pilotage!$K$19:$K$32)/SUMPRODUCT(Pilotage!$K$19:$K$32,Pilotage!$J$19:$J$32)))</f>
        <v/>
      </c>
      <c r="U57">
        <f>IF($A57="","",SUMIFS(Pilotage!$K$19:$K$32,Pilotage!$A$19:$A$32,$A57))</f>
        <v/>
      </c>
      <c r="V57">
        <f>IF($A57="","",IF($B57="V01",Cadrage!$C$22,IF($B57="V02",Cadrage!$D$22,Cadrage!$E$22)))</f>
        <v/>
      </c>
      <c r="W57">
        <f>IF($A57="","",IF($B57="V01",Cadrage!$C$23,IF($B57="V02",Cadrage!$D$23,Cadrage!$E$23)))</f>
        <v/>
      </c>
      <c r="X57">
        <f>IF($A57="","",IF($B57="V01",Cadrage!$C$24,IF($B57="V02",Cadrage!$D$24,Cadrage!$E$24)))</f>
        <v/>
      </c>
      <c r="Y57">
        <f>IF($A57="","",IF($B57="V01",Cadrage!$C$25,IF($B57="V02",Cadrage!$D$25,Cadrage!$E$25)))</f>
        <v/>
      </c>
      <c r="Z57">
        <f>IF($A57="","",IF($B57="V01",Cadrage!$C$26,IF($B57="V02",Cadrage!$D$26,Cadrage!$E$26)))</f>
        <v/>
      </c>
      <c r="AA57">
        <f>IF($A57="","",IF($B57="V01",Cadrage!$C$27,IF($B57="V02",Cadrage!$D$27,Cadrage!$E$27)))</f>
        <v/>
      </c>
      <c r="AB57">
        <f>IF($A57="","",IF($B57="V01",Cadrage!$C$39,IF($B57="V02",Cadrage!$D$39,Cadrage!$E$39)))</f>
        <v/>
      </c>
      <c r="AC57">
        <f>IF($A57="","",IF($F57="MBWAY",Cadrage!$K$11,IF($F57="ISCOM",Cadrage!$K$12,IF($F57="IPAC",Cadrage!$K$13,IF($F57="PIGIER",Cadrage!$K$14,Cadrage!$K$15)))))</f>
        <v/>
      </c>
      <c r="AD57">
        <f>IF($A57="","",($O57*(1+$W57)^$S57+$P57*IFERROR((($T57/$U57)*(1+$V57))^$R57,0))*IFERROR($G57/$Q57,0)*($J57+$Y57)*$K57*($L57+$Z57))</f>
        <v/>
      </c>
      <c r="AE57">
        <f>IF($A57="","",IF($N57=1,$AD57,0))</f>
        <v/>
      </c>
      <c r="AF57">
        <f>IF($A57="","",IF($N57=1,$AD57,$H57*($M57+$AA57)))</f>
        <v/>
      </c>
      <c r="AG57">
        <f>IF($A57="","",$I57*(1+$X57*$AC57))</f>
        <v/>
      </c>
      <c r="AH57">
        <f>IF($A57="","",$AF57*$AG57+$AE57*$AB57)</f>
        <v/>
      </c>
    </row>
    <row r="58">
      <c r="A58">
        <f>IF(Moteur!D58="","",Moteur!D58)</f>
        <v/>
      </c>
      <c r="B58">
        <f>IF(Moteur!B58="","",Moteur!B58)</f>
        <v/>
      </c>
      <c r="C58">
        <f>IF(Moteur!F58="","",Moteur!F58)</f>
        <v/>
      </c>
      <c r="D58">
        <f>IF(Moteur!G58="","",Moteur!G58)</f>
        <v/>
      </c>
      <c r="E58">
        <f>IF(Moteur!H58="","",Moteur!H58)</f>
        <v/>
      </c>
      <c r="F58">
        <f>IF(Moteur!E58="","",Moteur!E58)</f>
        <v/>
      </c>
      <c r="G58">
        <f>IF($A58="","",SUMIFS(Socle!$H$1:$H$379,Socle!$C$1:$C$379,$A58,Socle!$D$1:$D$379,$C58,Socle!$E$1:$E$379,$D58,Socle!$F$1:$F$379,$E58,Socle!$G$1:$G$379,"2026"))</f>
        <v/>
      </c>
      <c r="H58">
        <f>IF($A58="","",SUMIFS(Socle!$N$1:$N$379,Socle!$C$1:$C$379,$A58,Socle!$D$1:$D$379,$C58,Socle!$E$1:$E$379,$D58,Socle!$F$1:$F$379,$E58,Socle!$G$1:$G$379,"2026"))</f>
        <v/>
      </c>
      <c r="I58">
        <f>IF($A58="","",SUMIFS(Socle!$P$1:$P$379,Socle!$C$1:$C$379,$A58,Socle!$D$1:$D$379,$C58,Socle!$E$1:$E$379,$D58,Socle!$F$1:$F$379,$E58,Socle!$G$1:$G$379,"2026"))</f>
        <v/>
      </c>
      <c r="J58">
        <f>IF($A58="","",SUMIFS(Socle!$W$1:$W$379,Socle!$C$1:$C$379,$A58,Socle!$D$1:$D$379,$C58,Socle!$E$1:$E$379,$D58,Socle!$F$1:$F$379,$E58,Socle!$G$1:$G$379,"2026"))</f>
        <v/>
      </c>
      <c r="K58">
        <f>IF($A58="","",SUMIFS(Socle!$X$1:$X$379,Socle!$C$1:$C$379,$A58,Socle!$D$1:$D$379,$C58,Socle!$E$1:$E$379,$D58,Socle!$F$1:$F$379,$E58,Socle!$G$1:$G$379,"2026"))</f>
        <v/>
      </c>
      <c r="L58">
        <f>IF($A58="","",SUMIFS(Socle!$Y$1:$Y$379,Socle!$C$1:$C$379,$A58,Socle!$D$1:$D$379,$C58,Socle!$E$1:$E$379,$D58,Socle!$F$1:$F$379,$E58,Socle!$G$1:$G$379,"2026"))</f>
        <v/>
      </c>
      <c r="M58">
        <f>IF($A58="","",SUMIFS(Socle!$V$1:$V$379,Socle!$C$1:$C$379,$A58,Socle!$D$1:$D$379,$C58,Socle!$E$1:$E$379,$D58,Socle!$F$1:$F$379,$E58,Socle!$G$1:$G$379,"2026"))</f>
        <v/>
      </c>
      <c r="N58">
        <f>IF($A58="","",IF(OR($D58="B1",$D58="M1",$D58="BTS1"),1,0))</f>
        <v/>
      </c>
      <c r="O58">
        <f>IF($A58="","",SUMIFS(Campagne!$D$1:$D$28,Campagne!$C$1:$C$28,$A58))</f>
        <v/>
      </c>
      <c r="P58">
        <f>IF($A58="","",SUMIFS(Campagne!$E$1:$E$28,Campagne!$C$1:$C$28,$A58))</f>
        <v/>
      </c>
      <c r="Q58">
        <f>IF($A58="","",SUMIFS(Campagne!$F$1:$F$28,Campagne!$C$1:$C$28,$A58))</f>
        <v/>
      </c>
      <c r="R58">
        <f>IF($A58="","",SUMIFS(Campagne!$K$1:$K$28,Campagne!$C$1:$C$28,$A58))</f>
        <v/>
      </c>
      <c r="S58">
        <f>IF($A58="","",SUMIFS(Campagne!$M$1:$M$28,Campagne!$C$1:$C$28,$A58))</f>
        <v/>
      </c>
      <c r="T58">
        <f>IF($A58="","",SUMIFS(Pilotage!$K$19:$K$32,Pilotage!$A$19:$A$32,$A58)*SUMIFS(Pilotage!$J$19:$J$32,Pilotage!$A$19:$A$32,$A58)*(SUM(Pilotage!$K$19:$K$32)/SUMPRODUCT(Pilotage!$K$19:$K$32,Pilotage!$J$19:$J$32)))</f>
        <v/>
      </c>
      <c r="U58">
        <f>IF($A58="","",SUMIFS(Pilotage!$K$19:$K$32,Pilotage!$A$19:$A$32,$A58))</f>
        <v/>
      </c>
      <c r="V58">
        <f>IF($A58="","",IF($B58="V01",Cadrage!$C$22,IF($B58="V02",Cadrage!$D$22,Cadrage!$E$22)))</f>
        <v/>
      </c>
      <c r="W58">
        <f>IF($A58="","",IF($B58="V01",Cadrage!$C$23,IF($B58="V02",Cadrage!$D$23,Cadrage!$E$23)))</f>
        <v/>
      </c>
      <c r="X58">
        <f>IF($A58="","",IF($B58="V01",Cadrage!$C$24,IF($B58="V02",Cadrage!$D$24,Cadrage!$E$24)))</f>
        <v/>
      </c>
      <c r="Y58">
        <f>IF($A58="","",IF($B58="V01",Cadrage!$C$25,IF($B58="V02",Cadrage!$D$25,Cadrage!$E$25)))</f>
        <v/>
      </c>
      <c r="Z58">
        <f>IF($A58="","",IF($B58="V01",Cadrage!$C$26,IF($B58="V02",Cadrage!$D$26,Cadrage!$E$26)))</f>
        <v/>
      </c>
      <c r="AA58">
        <f>IF($A58="","",IF($B58="V01",Cadrage!$C$27,IF($B58="V02",Cadrage!$D$27,Cadrage!$E$27)))</f>
        <v/>
      </c>
      <c r="AB58">
        <f>IF($A58="","",IF($B58="V01",Cadrage!$C$39,IF($B58="V02",Cadrage!$D$39,Cadrage!$E$39)))</f>
        <v/>
      </c>
      <c r="AC58">
        <f>IF($A58="","",IF($F58="MBWAY",Cadrage!$K$11,IF($F58="ISCOM",Cadrage!$K$12,IF($F58="IPAC",Cadrage!$K$13,IF($F58="PIGIER",Cadrage!$K$14,Cadrage!$K$15)))))</f>
        <v/>
      </c>
      <c r="AD58">
        <f>IF($A58="","",($O58*(1+$W58)^$S58+$P58*IFERROR((($T58/$U58)*(1+$V58))^$R58,0))*IFERROR($G58/$Q58,0)*($J58+$Y58)*$K58*($L58+$Z58))</f>
        <v/>
      </c>
      <c r="AE58">
        <f>IF($A58="","",IF($N58=1,$AD58,0))</f>
        <v/>
      </c>
      <c r="AF58">
        <f>IF($A58="","",IF($N58=1,$AD58,$H58*($M58+$AA58)))</f>
        <v/>
      </c>
      <c r="AG58">
        <f>IF($A58="","",$I58*(1+$X58*$AC58))</f>
        <v/>
      </c>
      <c r="AH58">
        <f>IF($A58="","",$AF58*$AG58+$AE58*$AB58)</f>
        <v/>
      </c>
    </row>
    <row r="59">
      <c r="A59">
        <f>IF(Moteur!D59="","",Moteur!D59)</f>
        <v/>
      </c>
      <c r="B59">
        <f>IF(Moteur!B59="","",Moteur!B59)</f>
        <v/>
      </c>
      <c r="C59">
        <f>IF(Moteur!F59="","",Moteur!F59)</f>
        <v/>
      </c>
      <c r="D59">
        <f>IF(Moteur!G59="","",Moteur!G59)</f>
        <v/>
      </c>
      <c r="E59">
        <f>IF(Moteur!H59="","",Moteur!H59)</f>
        <v/>
      </c>
      <c r="F59">
        <f>IF(Moteur!E59="","",Moteur!E59)</f>
        <v/>
      </c>
      <c r="G59">
        <f>IF($A59="","",SUMIFS(Socle!$H$1:$H$379,Socle!$C$1:$C$379,$A59,Socle!$D$1:$D$379,$C59,Socle!$E$1:$E$379,$D59,Socle!$F$1:$F$379,$E59,Socle!$G$1:$G$379,"2026"))</f>
        <v/>
      </c>
      <c r="H59">
        <f>IF($A59="","",SUMIFS(Socle!$N$1:$N$379,Socle!$C$1:$C$379,$A59,Socle!$D$1:$D$379,$C59,Socle!$E$1:$E$379,$D59,Socle!$F$1:$F$379,$E59,Socle!$G$1:$G$379,"2026"))</f>
        <v/>
      </c>
      <c r="I59">
        <f>IF($A59="","",SUMIFS(Socle!$P$1:$P$379,Socle!$C$1:$C$379,$A59,Socle!$D$1:$D$379,$C59,Socle!$E$1:$E$379,$D59,Socle!$F$1:$F$379,$E59,Socle!$G$1:$G$379,"2026"))</f>
        <v/>
      </c>
      <c r="J59">
        <f>IF($A59="","",SUMIFS(Socle!$W$1:$W$379,Socle!$C$1:$C$379,$A59,Socle!$D$1:$D$379,$C59,Socle!$E$1:$E$379,$D59,Socle!$F$1:$F$379,$E59,Socle!$G$1:$G$379,"2026"))</f>
        <v/>
      </c>
      <c r="K59">
        <f>IF($A59="","",SUMIFS(Socle!$X$1:$X$379,Socle!$C$1:$C$379,$A59,Socle!$D$1:$D$379,$C59,Socle!$E$1:$E$379,$D59,Socle!$F$1:$F$379,$E59,Socle!$G$1:$G$379,"2026"))</f>
        <v/>
      </c>
      <c r="L59">
        <f>IF($A59="","",SUMIFS(Socle!$Y$1:$Y$379,Socle!$C$1:$C$379,$A59,Socle!$D$1:$D$379,$C59,Socle!$E$1:$E$379,$D59,Socle!$F$1:$F$379,$E59,Socle!$G$1:$G$379,"2026"))</f>
        <v/>
      </c>
      <c r="M59">
        <f>IF($A59="","",SUMIFS(Socle!$V$1:$V$379,Socle!$C$1:$C$379,$A59,Socle!$D$1:$D$379,$C59,Socle!$E$1:$E$379,$D59,Socle!$F$1:$F$379,$E59,Socle!$G$1:$G$379,"2026"))</f>
        <v/>
      </c>
      <c r="N59">
        <f>IF($A59="","",IF(OR($D59="B1",$D59="M1",$D59="BTS1"),1,0))</f>
        <v/>
      </c>
      <c r="O59">
        <f>IF($A59="","",SUMIFS(Campagne!$D$1:$D$28,Campagne!$C$1:$C$28,$A59))</f>
        <v/>
      </c>
      <c r="P59">
        <f>IF($A59="","",SUMIFS(Campagne!$E$1:$E$28,Campagne!$C$1:$C$28,$A59))</f>
        <v/>
      </c>
      <c r="Q59">
        <f>IF($A59="","",SUMIFS(Campagne!$F$1:$F$28,Campagne!$C$1:$C$28,$A59))</f>
        <v/>
      </c>
      <c r="R59">
        <f>IF($A59="","",SUMIFS(Campagne!$K$1:$K$28,Campagne!$C$1:$C$28,$A59))</f>
        <v/>
      </c>
      <c r="S59">
        <f>IF($A59="","",SUMIFS(Campagne!$M$1:$M$28,Campagne!$C$1:$C$28,$A59))</f>
        <v/>
      </c>
      <c r="T59">
        <f>IF($A59="","",SUMIFS(Pilotage!$K$19:$K$32,Pilotage!$A$19:$A$32,$A59)*SUMIFS(Pilotage!$J$19:$J$32,Pilotage!$A$19:$A$32,$A59)*(SUM(Pilotage!$K$19:$K$32)/SUMPRODUCT(Pilotage!$K$19:$K$32,Pilotage!$J$19:$J$32)))</f>
        <v/>
      </c>
      <c r="U59">
        <f>IF($A59="","",SUMIFS(Pilotage!$K$19:$K$32,Pilotage!$A$19:$A$32,$A59))</f>
        <v/>
      </c>
      <c r="V59">
        <f>IF($A59="","",IF($B59="V01",Cadrage!$C$22,IF($B59="V02",Cadrage!$D$22,Cadrage!$E$22)))</f>
        <v/>
      </c>
      <c r="W59">
        <f>IF($A59="","",IF($B59="V01",Cadrage!$C$23,IF($B59="V02",Cadrage!$D$23,Cadrage!$E$23)))</f>
        <v/>
      </c>
      <c r="X59">
        <f>IF($A59="","",IF($B59="V01",Cadrage!$C$24,IF($B59="V02",Cadrage!$D$24,Cadrage!$E$24)))</f>
        <v/>
      </c>
      <c r="Y59">
        <f>IF($A59="","",IF($B59="V01",Cadrage!$C$25,IF($B59="V02",Cadrage!$D$25,Cadrage!$E$25)))</f>
        <v/>
      </c>
      <c r="Z59">
        <f>IF($A59="","",IF($B59="V01",Cadrage!$C$26,IF($B59="V02",Cadrage!$D$26,Cadrage!$E$26)))</f>
        <v/>
      </c>
      <c r="AA59">
        <f>IF($A59="","",IF($B59="V01",Cadrage!$C$27,IF($B59="V02",Cadrage!$D$27,Cadrage!$E$27)))</f>
        <v/>
      </c>
      <c r="AB59">
        <f>IF($A59="","",IF($B59="V01",Cadrage!$C$39,IF($B59="V02",Cadrage!$D$39,Cadrage!$E$39)))</f>
        <v/>
      </c>
      <c r="AC59">
        <f>IF($A59="","",IF($F59="MBWAY",Cadrage!$K$11,IF($F59="ISCOM",Cadrage!$K$12,IF($F59="IPAC",Cadrage!$K$13,IF($F59="PIGIER",Cadrage!$K$14,Cadrage!$K$15)))))</f>
        <v/>
      </c>
      <c r="AD59">
        <f>IF($A59="","",($O59*(1+$W59)^$S59+$P59*IFERROR((($T59/$U59)*(1+$V59))^$R59,0))*IFERROR($G59/$Q59,0)*($J59+$Y59)*$K59*($L59+$Z59))</f>
        <v/>
      </c>
      <c r="AE59">
        <f>IF($A59="","",IF($N59=1,$AD59,0))</f>
        <v/>
      </c>
      <c r="AF59">
        <f>IF($A59="","",IF($N59=1,$AD59,$H59*($M59+$AA59)))</f>
        <v/>
      </c>
      <c r="AG59">
        <f>IF($A59="","",$I59*(1+$X59*$AC59))</f>
        <v/>
      </c>
      <c r="AH59">
        <f>IF($A59="","",$AF59*$AG59+$AE59*$AB59)</f>
        <v/>
      </c>
    </row>
    <row r="60">
      <c r="A60">
        <f>IF(Moteur!D60="","",Moteur!D60)</f>
        <v/>
      </c>
      <c r="B60">
        <f>IF(Moteur!B60="","",Moteur!B60)</f>
        <v/>
      </c>
      <c r="C60">
        <f>IF(Moteur!F60="","",Moteur!F60)</f>
        <v/>
      </c>
      <c r="D60">
        <f>IF(Moteur!G60="","",Moteur!G60)</f>
        <v/>
      </c>
      <c r="E60">
        <f>IF(Moteur!H60="","",Moteur!H60)</f>
        <v/>
      </c>
      <c r="F60">
        <f>IF(Moteur!E60="","",Moteur!E60)</f>
        <v/>
      </c>
      <c r="G60">
        <f>IF($A60="","",SUMIFS(Socle!$H$1:$H$379,Socle!$C$1:$C$379,$A60,Socle!$D$1:$D$379,$C60,Socle!$E$1:$E$379,$D60,Socle!$F$1:$F$379,$E60,Socle!$G$1:$G$379,"2026"))</f>
        <v/>
      </c>
      <c r="H60">
        <f>IF($A60="","",SUMIFS(Socle!$N$1:$N$379,Socle!$C$1:$C$379,$A60,Socle!$D$1:$D$379,$C60,Socle!$E$1:$E$379,$D60,Socle!$F$1:$F$379,$E60,Socle!$G$1:$G$379,"2026"))</f>
        <v/>
      </c>
      <c r="I60">
        <f>IF($A60="","",SUMIFS(Socle!$P$1:$P$379,Socle!$C$1:$C$379,$A60,Socle!$D$1:$D$379,$C60,Socle!$E$1:$E$379,$D60,Socle!$F$1:$F$379,$E60,Socle!$G$1:$G$379,"2026"))</f>
        <v/>
      </c>
      <c r="J60">
        <f>IF($A60="","",SUMIFS(Socle!$W$1:$W$379,Socle!$C$1:$C$379,$A60,Socle!$D$1:$D$379,$C60,Socle!$E$1:$E$379,$D60,Socle!$F$1:$F$379,$E60,Socle!$G$1:$G$379,"2026"))</f>
        <v/>
      </c>
      <c r="K60">
        <f>IF($A60="","",SUMIFS(Socle!$X$1:$X$379,Socle!$C$1:$C$379,$A60,Socle!$D$1:$D$379,$C60,Socle!$E$1:$E$379,$D60,Socle!$F$1:$F$379,$E60,Socle!$G$1:$G$379,"2026"))</f>
        <v/>
      </c>
      <c r="L60">
        <f>IF($A60="","",SUMIFS(Socle!$Y$1:$Y$379,Socle!$C$1:$C$379,$A60,Socle!$D$1:$D$379,$C60,Socle!$E$1:$E$379,$D60,Socle!$F$1:$F$379,$E60,Socle!$G$1:$G$379,"2026"))</f>
        <v/>
      </c>
      <c r="M60">
        <f>IF($A60="","",SUMIFS(Socle!$V$1:$V$379,Socle!$C$1:$C$379,$A60,Socle!$D$1:$D$379,$C60,Socle!$E$1:$E$379,$D60,Socle!$F$1:$F$379,$E60,Socle!$G$1:$G$379,"2026"))</f>
        <v/>
      </c>
      <c r="N60">
        <f>IF($A60="","",IF(OR($D60="B1",$D60="M1",$D60="BTS1"),1,0))</f>
        <v/>
      </c>
      <c r="O60">
        <f>IF($A60="","",SUMIFS(Campagne!$D$1:$D$28,Campagne!$C$1:$C$28,$A60))</f>
        <v/>
      </c>
      <c r="P60">
        <f>IF($A60="","",SUMIFS(Campagne!$E$1:$E$28,Campagne!$C$1:$C$28,$A60))</f>
        <v/>
      </c>
      <c r="Q60">
        <f>IF($A60="","",SUMIFS(Campagne!$F$1:$F$28,Campagne!$C$1:$C$28,$A60))</f>
        <v/>
      </c>
      <c r="R60">
        <f>IF($A60="","",SUMIFS(Campagne!$K$1:$K$28,Campagne!$C$1:$C$28,$A60))</f>
        <v/>
      </c>
      <c r="S60">
        <f>IF($A60="","",SUMIFS(Campagne!$M$1:$M$28,Campagne!$C$1:$C$28,$A60))</f>
        <v/>
      </c>
      <c r="T60">
        <f>IF($A60="","",SUMIFS(Pilotage!$K$19:$K$32,Pilotage!$A$19:$A$32,$A60)*SUMIFS(Pilotage!$J$19:$J$32,Pilotage!$A$19:$A$32,$A60)*(SUM(Pilotage!$K$19:$K$32)/SUMPRODUCT(Pilotage!$K$19:$K$32,Pilotage!$J$19:$J$32)))</f>
        <v/>
      </c>
      <c r="U60">
        <f>IF($A60="","",SUMIFS(Pilotage!$K$19:$K$32,Pilotage!$A$19:$A$32,$A60))</f>
        <v/>
      </c>
      <c r="V60">
        <f>IF($A60="","",IF($B60="V01",Cadrage!$C$22,IF($B60="V02",Cadrage!$D$22,Cadrage!$E$22)))</f>
        <v/>
      </c>
      <c r="W60">
        <f>IF($A60="","",IF($B60="V01",Cadrage!$C$23,IF($B60="V02",Cadrage!$D$23,Cadrage!$E$23)))</f>
        <v/>
      </c>
      <c r="X60">
        <f>IF($A60="","",IF($B60="V01",Cadrage!$C$24,IF($B60="V02",Cadrage!$D$24,Cadrage!$E$24)))</f>
        <v/>
      </c>
      <c r="Y60">
        <f>IF($A60="","",IF($B60="V01",Cadrage!$C$25,IF($B60="V02",Cadrage!$D$25,Cadrage!$E$25)))</f>
        <v/>
      </c>
      <c r="Z60">
        <f>IF($A60="","",IF($B60="V01",Cadrage!$C$26,IF($B60="V02",Cadrage!$D$26,Cadrage!$E$26)))</f>
        <v/>
      </c>
      <c r="AA60">
        <f>IF($A60="","",IF($B60="V01",Cadrage!$C$27,IF($B60="V02",Cadrage!$D$27,Cadrage!$E$27)))</f>
        <v/>
      </c>
      <c r="AB60">
        <f>IF($A60="","",IF($B60="V01",Cadrage!$C$39,IF($B60="V02",Cadrage!$D$39,Cadrage!$E$39)))</f>
        <v/>
      </c>
      <c r="AC60">
        <f>IF($A60="","",IF($F60="MBWAY",Cadrage!$K$11,IF($F60="ISCOM",Cadrage!$K$12,IF($F60="IPAC",Cadrage!$K$13,IF($F60="PIGIER",Cadrage!$K$14,Cadrage!$K$15)))))</f>
        <v/>
      </c>
      <c r="AD60">
        <f>IF($A60="","",($O60*(1+$W60)^$S60+$P60*IFERROR((($T60/$U60)*(1+$V60))^$R60,0))*IFERROR($G60/$Q60,0)*($J60+$Y60)*$K60*($L60+$Z60))</f>
        <v/>
      </c>
      <c r="AE60">
        <f>IF($A60="","",IF($N60=1,$AD60,0))</f>
        <v/>
      </c>
      <c r="AF60">
        <f>IF($A60="","",IF($N60=1,$AD60,$H60*($M60+$AA60)))</f>
        <v/>
      </c>
      <c r="AG60">
        <f>IF($A60="","",$I60*(1+$X60*$AC60))</f>
        <v/>
      </c>
      <c r="AH60">
        <f>IF($A60="","",$AF60*$AG60+$AE60*$AB60)</f>
        <v/>
      </c>
    </row>
    <row r="61">
      <c r="A61">
        <f>IF(Moteur!D61="","",Moteur!D61)</f>
        <v/>
      </c>
      <c r="B61">
        <f>IF(Moteur!B61="","",Moteur!B61)</f>
        <v/>
      </c>
      <c r="C61">
        <f>IF(Moteur!F61="","",Moteur!F61)</f>
        <v/>
      </c>
      <c r="D61">
        <f>IF(Moteur!G61="","",Moteur!G61)</f>
        <v/>
      </c>
      <c r="E61">
        <f>IF(Moteur!H61="","",Moteur!H61)</f>
        <v/>
      </c>
      <c r="F61">
        <f>IF(Moteur!E61="","",Moteur!E61)</f>
        <v/>
      </c>
      <c r="G61">
        <f>IF($A61="","",SUMIFS(Socle!$H$1:$H$379,Socle!$C$1:$C$379,$A61,Socle!$D$1:$D$379,$C61,Socle!$E$1:$E$379,$D61,Socle!$F$1:$F$379,$E61,Socle!$G$1:$G$379,"2026"))</f>
        <v/>
      </c>
      <c r="H61">
        <f>IF($A61="","",SUMIFS(Socle!$N$1:$N$379,Socle!$C$1:$C$379,$A61,Socle!$D$1:$D$379,$C61,Socle!$E$1:$E$379,$D61,Socle!$F$1:$F$379,$E61,Socle!$G$1:$G$379,"2026"))</f>
        <v/>
      </c>
      <c r="I61">
        <f>IF($A61="","",SUMIFS(Socle!$P$1:$P$379,Socle!$C$1:$C$379,$A61,Socle!$D$1:$D$379,$C61,Socle!$E$1:$E$379,$D61,Socle!$F$1:$F$379,$E61,Socle!$G$1:$G$379,"2026"))</f>
        <v/>
      </c>
      <c r="J61">
        <f>IF($A61="","",SUMIFS(Socle!$W$1:$W$379,Socle!$C$1:$C$379,$A61,Socle!$D$1:$D$379,$C61,Socle!$E$1:$E$379,$D61,Socle!$F$1:$F$379,$E61,Socle!$G$1:$G$379,"2026"))</f>
        <v/>
      </c>
      <c r="K61">
        <f>IF($A61="","",SUMIFS(Socle!$X$1:$X$379,Socle!$C$1:$C$379,$A61,Socle!$D$1:$D$379,$C61,Socle!$E$1:$E$379,$D61,Socle!$F$1:$F$379,$E61,Socle!$G$1:$G$379,"2026"))</f>
        <v/>
      </c>
      <c r="L61">
        <f>IF($A61="","",SUMIFS(Socle!$Y$1:$Y$379,Socle!$C$1:$C$379,$A61,Socle!$D$1:$D$379,$C61,Socle!$E$1:$E$379,$D61,Socle!$F$1:$F$379,$E61,Socle!$G$1:$G$379,"2026"))</f>
        <v/>
      </c>
      <c r="M61">
        <f>IF($A61="","",SUMIFS(Socle!$V$1:$V$379,Socle!$C$1:$C$379,$A61,Socle!$D$1:$D$379,$C61,Socle!$E$1:$E$379,$D61,Socle!$F$1:$F$379,$E61,Socle!$G$1:$G$379,"2026"))</f>
        <v/>
      </c>
      <c r="N61">
        <f>IF($A61="","",IF(OR($D61="B1",$D61="M1",$D61="BTS1"),1,0))</f>
        <v/>
      </c>
      <c r="O61">
        <f>IF($A61="","",SUMIFS(Campagne!$D$1:$D$28,Campagne!$C$1:$C$28,$A61))</f>
        <v/>
      </c>
      <c r="P61">
        <f>IF($A61="","",SUMIFS(Campagne!$E$1:$E$28,Campagne!$C$1:$C$28,$A61))</f>
        <v/>
      </c>
      <c r="Q61">
        <f>IF($A61="","",SUMIFS(Campagne!$F$1:$F$28,Campagne!$C$1:$C$28,$A61))</f>
        <v/>
      </c>
      <c r="R61">
        <f>IF($A61="","",SUMIFS(Campagne!$K$1:$K$28,Campagne!$C$1:$C$28,$A61))</f>
        <v/>
      </c>
      <c r="S61">
        <f>IF($A61="","",SUMIFS(Campagne!$M$1:$M$28,Campagne!$C$1:$C$28,$A61))</f>
        <v/>
      </c>
      <c r="T61">
        <f>IF($A61="","",SUMIFS(Pilotage!$K$19:$K$32,Pilotage!$A$19:$A$32,$A61)*SUMIFS(Pilotage!$J$19:$J$32,Pilotage!$A$19:$A$32,$A61)*(SUM(Pilotage!$K$19:$K$32)/SUMPRODUCT(Pilotage!$K$19:$K$32,Pilotage!$J$19:$J$32)))</f>
        <v/>
      </c>
      <c r="U61">
        <f>IF($A61="","",SUMIFS(Pilotage!$K$19:$K$32,Pilotage!$A$19:$A$32,$A61))</f>
        <v/>
      </c>
      <c r="V61">
        <f>IF($A61="","",IF($B61="V01",Cadrage!$C$22,IF($B61="V02",Cadrage!$D$22,Cadrage!$E$22)))</f>
        <v/>
      </c>
      <c r="W61">
        <f>IF($A61="","",IF($B61="V01",Cadrage!$C$23,IF($B61="V02",Cadrage!$D$23,Cadrage!$E$23)))</f>
        <v/>
      </c>
      <c r="X61">
        <f>IF($A61="","",IF($B61="V01",Cadrage!$C$24,IF($B61="V02",Cadrage!$D$24,Cadrage!$E$24)))</f>
        <v/>
      </c>
      <c r="Y61">
        <f>IF($A61="","",IF($B61="V01",Cadrage!$C$25,IF($B61="V02",Cadrage!$D$25,Cadrage!$E$25)))</f>
        <v/>
      </c>
      <c r="Z61">
        <f>IF($A61="","",IF($B61="V01",Cadrage!$C$26,IF($B61="V02",Cadrage!$D$26,Cadrage!$E$26)))</f>
        <v/>
      </c>
      <c r="AA61">
        <f>IF($A61="","",IF($B61="V01",Cadrage!$C$27,IF($B61="V02",Cadrage!$D$27,Cadrage!$E$27)))</f>
        <v/>
      </c>
      <c r="AB61">
        <f>IF($A61="","",IF($B61="V01",Cadrage!$C$39,IF($B61="V02",Cadrage!$D$39,Cadrage!$E$39)))</f>
        <v/>
      </c>
      <c r="AC61">
        <f>IF($A61="","",IF($F61="MBWAY",Cadrage!$K$11,IF($F61="ISCOM",Cadrage!$K$12,IF($F61="IPAC",Cadrage!$K$13,IF($F61="PIGIER",Cadrage!$K$14,Cadrage!$K$15)))))</f>
        <v/>
      </c>
      <c r="AD61">
        <f>IF($A61="","",($O61*(1+$W61)^$S61+$P61*IFERROR((($T61/$U61)*(1+$V61))^$R61,0))*IFERROR($G61/$Q61,0)*($J61+$Y61)*$K61*($L61+$Z61))</f>
        <v/>
      </c>
      <c r="AE61">
        <f>IF($A61="","",IF($N61=1,$AD61,0))</f>
        <v/>
      </c>
      <c r="AF61">
        <f>IF($A61="","",IF($N61=1,$AD61,$H61*($M61+$AA61)))</f>
        <v/>
      </c>
      <c r="AG61">
        <f>IF($A61="","",$I61*(1+$X61*$AC61))</f>
        <v/>
      </c>
      <c r="AH61">
        <f>IF($A61="","",$AF61*$AG61+$AE61*$AB61)</f>
        <v/>
      </c>
    </row>
    <row r="62">
      <c r="A62">
        <f>IF(Moteur!D62="","",Moteur!D62)</f>
        <v/>
      </c>
      <c r="B62">
        <f>IF(Moteur!B62="","",Moteur!B62)</f>
        <v/>
      </c>
      <c r="C62">
        <f>IF(Moteur!F62="","",Moteur!F62)</f>
        <v/>
      </c>
      <c r="D62">
        <f>IF(Moteur!G62="","",Moteur!G62)</f>
        <v/>
      </c>
      <c r="E62">
        <f>IF(Moteur!H62="","",Moteur!H62)</f>
        <v/>
      </c>
      <c r="F62">
        <f>IF(Moteur!E62="","",Moteur!E62)</f>
        <v/>
      </c>
      <c r="G62">
        <f>IF($A62="","",SUMIFS(Socle!$H$1:$H$379,Socle!$C$1:$C$379,$A62,Socle!$D$1:$D$379,$C62,Socle!$E$1:$E$379,$D62,Socle!$F$1:$F$379,$E62,Socle!$G$1:$G$379,"2026"))</f>
        <v/>
      </c>
      <c r="H62">
        <f>IF($A62="","",SUMIFS(Socle!$N$1:$N$379,Socle!$C$1:$C$379,$A62,Socle!$D$1:$D$379,$C62,Socle!$E$1:$E$379,$D62,Socle!$F$1:$F$379,$E62,Socle!$G$1:$G$379,"2026"))</f>
        <v/>
      </c>
      <c r="I62">
        <f>IF($A62="","",SUMIFS(Socle!$P$1:$P$379,Socle!$C$1:$C$379,$A62,Socle!$D$1:$D$379,$C62,Socle!$E$1:$E$379,$D62,Socle!$F$1:$F$379,$E62,Socle!$G$1:$G$379,"2026"))</f>
        <v/>
      </c>
      <c r="J62">
        <f>IF($A62="","",SUMIFS(Socle!$W$1:$W$379,Socle!$C$1:$C$379,$A62,Socle!$D$1:$D$379,$C62,Socle!$E$1:$E$379,$D62,Socle!$F$1:$F$379,$E62,Socle!$G$1:$G$379,"2026"))</f>
        <v/>
      </c>
      <c r="K62">
        <f>IF($A62="","",SUMIFS(Socle!$X$1:$X$379,Socle!$C$1:$C$379,$A62,Socle!$D$1:$D$379,$C62,Socle!$E$1:$E$379,$D62,Socle!$F$1:$F$379,$E62,Socle!$G$1:$G$379,"2026"))</f>
        <v/>
      </c>
      <c r="L62">
        <f>IF($A62="","",SUMIFS(Socle!$Y$1:$Y$379,Socle!$C$1:$C$379,$A62,Socle!$D$1:$D$379,$C62,Socle!$E$1:$E$379,$D62,Socle!$F$1:$F$379,$E62,Socle!$G$1:$G$379,"2026"))</f>
        <v/>
      </c>
      <c r="M62">
        <f>IF($A62="","",SUMIFS(Socle!$V$1:$V$379,Socle!$C$1:$C$379,$A62,Socle!$D$1:$D$379,$C62,Socle!$E$1:$E$379,$D62,Socle!$F$1:$F$379,$E62,Socle!$G$1:$G$379,"2026"))</f>
        <v/>
      </c>
      <c r="N62">
        <f>IF($A62="","",IF(OR($D62="B1",$D62="M1",$D62="BTS1"),1,0))</f>
        <v/>
      </c>
      <c r="O62">
        <f>IF($A62="","",SUMIFS(Campagne!$D$1:$D$28,Campagne!$C$1:$C$28,$A62))</f>
        <v/>
      </c>
      <c r="P62">
        <f>IF($A62="","",SUMIFS(Campagne!$E$1:$E$28,Campagne!$C$1:$C$28,$A62))</f>
        <v/>
      </c>
      <c r="Q62">
        <f>IF($A62="","",SUMIFS(Campagne!$F$1:$F$28,Campagne!$C$1:$C$28,$A62))</f>
        <v/>
      </c>
      <c r="R62">
        <f>IF($A62="","",SUMIFS(Campagne!$K$1:$K$28,Campagne!$C$1:$C$28,$A62))</f>
        <v/>
      </c>
      <c r="S62">
        <f>IF($A62="","",SUMIFS(Campagne!$M$1:$M$28,Campagne!$C$1:$C$28,$A62))</f>
        <v/>
      </c>
      <c r="T62">
        <f>IF($A62="","",SUMIFS(Pilotage!$K$19:$K$32,Pilotage!$A$19:$A$32,$A62)*SUMIFS(Pilotage!$J$19:$J$32,Pilotage!$A$19:$A$32,$A62)*(SUM(Pilotage!$K$19:$K$32)/SUMPRODUCT(Pilotage!$K$19:$K$32,Pilotage!$J$19:$J$32)))</f>
        <v/>
      </c>
      <c r="U62">
        <f>IF($A62="","",SUMIFS(Pilotage!$K$19:$K$32,Pilotage!$A$19:$A$32,$A62))</f>
        <v/>
      </c>
      <c r="V62">
        <f>IF($A62="","",IF($B62="V01",Cadrage!$C$22,IF($B62="V02",Cadrage!$D$22,Cadrage!$E$22)))</f>
        <v/>
      </c>
      <c r="W62">
        <f>IF($A62="","",IF($B62="V01",Cadrage!$C$23,IF($B62="V02",Cadrage!$D$23,Cadrage!$E$23)))</f>
        <v/>
      </c>
      <c r="X62">
        <f>IF($A62="","",IF($B62="V01",Cadrage!$C$24,IF($B62="V02",Cadrage!$D$24,Cadrage!$E$24)))</f>
        <v/>
      </c>
      <c r="Y62">
        <f>IF($A62="","",IF($B62="V01",Cadrage!$C$25,IF($B62="V02",Cadrage!$D$25,Cadrage!$E$25)))</f>
        <v/>
      </c>
      <c r="Z62">
        <f>IF($A62="","",IF($B62="V01",Cadrage!$C$26,IF($B62="V02",Cadrage!$D$26,Cadrage!$E$26)))</f>
        <v/>
      </c>
      <c r="AA62">
        <f>IF($A62="","",IF($B62="V01",Cadrage!$C$27,IF($B62="V02",Cadrage!$D$27,Cadrage!$E$27)))</f>
        <v/>
      </c>
      <c r="AB62">
        <f>IF($A62="","",IF($B62="V01",Cadrage!$C$39,IF($B62="V02",Cadrage!$D$39,Cadrage!$E$39)))</f>
        <v/>
      </c>
      <c r="AC62">
        <f>IF($A62="","",IF($F62="MBWAY",Cadrage!$K$11,IF($F62="ISCOM",Cadrage!$K$12,IF($F62="IPAC",Cadrage!$K$13,IF($F62="PIGIER",Cadrage!$K$14,Cadrage!$K$15)))))</f>
        <v/>
      </c>
      <c r="AD62">
        <f>IF($A62="","",($O62*(1+$W62)^$S62+$P62*IFERROR((($T62/$U62)*(1+$V62))^$R62,0))*IFERROR($G62/$Q62,0)*($J62+$Y62)*$K62*($L62+$Z62))</f>
        <v/>
      </c>
      <c r="AE62">
        <f>IF($A62="","",IF($N62=1,$AD62,0))</f>
        <v/>
      </c>
      <c r="AF62">
        <f>IF($A62="","",IF($N62=1,$AD62,$H62*($M62+$AA62)))</f>
        <v/>
      </c>
      <c r="AG62">
        <f>IF($A62="","",$I62*(1+$X62*$AC62))</f>
        <v/>
      </c>
      <c r="AH62">
        <f>IF($A62="","",$AF62*$AG62+$AE62*$AB62)</f>
        <v/>
      </c>
    </row>
    <row r="63">
      <c r="A63">
        <f>IF(Moteur!D63="","",Moteur!D63)</f>
        <v/>
      </c>
      <c r="B63">
        <f>IF(Moteur!B63="","",Moteur!B63)</f>
        <v/>
      </c>
      <c r="C63">
        <f>IF(Moteur!F63="","",Moteur!F63)</f>
        <v/>
      </c>
      <c r="D63">
        <f>IF(Moteur!G63="","",Moteur!G63)</f>
        <v/>
      </c>
      <c r="E63">
        <f>IF(Moteur!H63="","",Moteur!H63)</f>
        <v/>
      </c>
      <c r="F63">
        <f>IF(Moteur!E63="","",Moteur!E63)</f>
        <v/>
      </c>
      <c r="G63">
        <f>IF($A63="","",SUMIFS(Socle!$H$1:$H$379,Socle!$C$1:$C$379,$A63,Socle!$D$1:$D$379,$C63,Socle!$E$1:$E$379,$D63,Socle!$F$1:$F$379,$E63,Socle!$G$1:$G$379,"2026"))</f>
        <v/>
      </c>
      <c r="H63">
        <f>IF($A63="","",SUMIFS(Socle!$N$1:$N$379,Socle!$C$1:$C$379,$A63,Socle!$D$1:$D$379,$C63,Socle!$E$1:$E$379,$D63,Socle!$F$1:$F$379,$E63,Socle!$G$1:$G$379,"2026"))</f>
        <v/>
      </c>
      <c r="I63">
        <f>IF($A63="","",SUMIFS(Socle!$P$1:$P$379,Socle!$C$1:$C$379,$A63,Socle!$D$1:$D$379,$C63,Socle!$E$1:$E$379,$D63,Socle!$F$1:$F$379,$E63,Socle!$G$1:$G$379,"2026"))</f>
        <v/>
      </c>
      <c r="J63">
        <f>IF($A63="","",SUMIFS(Socle!$W$1:$W$379,Socle!$C$1:$C$379,$A63,Socle!$D$1:$D$379,$C63,Socle!$E$1:$E$379,$D63,Socle!$F$1:$F$379,$E63,Socle!$G$1:$G$379,"2026"))</f>
        <v/>
      </c>
      <c r="K63">
        <f>IF($A63="","",SUMIFS(Socle!$X$1:$X$379,Socle!$C$1:$C$379,$A63,Socle!$D$1:$D$379,$C63,Socle!$E$1:$E$379,$D63,Socle!$F$1:$F$379,$E63,Socle!$G$1:$G$379,"2026"))</f>
        <v/>
      </c>
      <c r="L63">
        <f>IF($A63="","",SUMIFS(Socle!$Y$1:$Y$379,Socle!$C$1:$C$379,$A63,Socle!$D$1:$D$379,$C63,Socle!$E$1:$E$379,$D63,Socle!$F$1:$F$379,$E63,Socle!$G$1:$G$379,"2026"))</f>
        <v/>
      </c>
      <c r="M63">
        <f>IF($A63="","",SUMIFS(Socle!$V$1:$V$379,Socle!$C$1:$C$379,$A63,Socle!$D$1:$D$379,$C63,Socle!$E$1:$E$379,$D63,Socle!$F$1:$F$379,$E63,Socle!$G$1:$G$379,"2026"))</f>
        <v/>
      </c>
      <c r="N63">
        <f>IF($A63="","",IF(OR($D63="B1",$D63="M1",$D63="BTS1"),1,0))</f>
        <v/>
      </c>
      <c r="O63">
        <f>IF($A63="","",SUMIFS(Campagne!$D$1:$D$28,Campagne!$C$1:$C$28,$A63))</f>
        <v/>
      </c>
      <c r="P63">
        <f>IF($A63="","",SUMIFS(Campagne!$E$1:$E$28,Campagne!$C$1:$C$28,$A63))</f>
        <v/>
      </c>
      <c r="Q63">
        <f>IF($A63="","",SUMIFS(Campagne!$F$1:$F$28,Campagne!$C$1:$C$28,$A63))</f>
        <v/>
      </c>
      <c r="R63">
        <f>IF($A63="","",SUMIFS(Campagne!$K$1:$K$28,Campagne!$C$1:$C$28,$A63))</f>
        <v/>
      </c>
      <c r="S63">
        <f>IF($A63="","",SUMIFS(Campagne!$M$1:$M$28,Campagne!$C$1:$C$28,$A63))</f>
        <v/>
      </c>
      <c r="T63">
        <f>IF($A63="","",SUMIFS(Pilotage!$K$19:$K$32,Pilotage!$A$19:$A$32,$A63)*SUMIFS(Pilotage!$J$19:$J$32,Pilotage!$A$19:$A$32,$A63)*(SUM(Pilotage!$K$19:$K$32)/SUMPRODUCT(Pilotage!$K$19:$K$32,Pilotage!$J$19:$J$32)))</f>
        <v/>
      </c>
      <c r="U63">
        <f>IF($A63="","",SUMIFS(Pilotage!$K$19:$K$32,Pilotage!$A$19:$A$32,$A63))</f>
        <v/>
      </c>
      <c r="V63">
        <f>IF($A63="","",IF($B63="V01",Cadrage!$C$22,IF($B63="V02",Cadrage!$D$22,Cadrage!$E$22)))</f>
        <v/>
      </c>
      <c r="W63">
        <f>IF($A63="","",IF($B63="V01",Cadrage!$C$23,IF($B63="V02",Cadrage!$D$23,Cadrage!$E$23)))</f>
        <v/>
      </c>
      <c r="X63">
        <f>IF($A63="","",IF($B63="V01",Cadrage!$C$24,IF($B63="V02",Cadrage!$D$24,Cadrage!$E$24)))</f>
        <v/>
      </c>
      <c r="Y63">
        <f>IF($A63="","",IF($B63="V01",Cadrage!$C$25,IF($B63="V02",Cadrage!$D$25,Cadrage!$E$25)))</f>
        <v/>
      </c>
      <c r="Z63">
        <f>IF($A63="","",IF($B63="V01",Cadrage!$C$26,IF($B63="V02",Cadrage!$D$26,Cadrage!$E$26)))</f>
        <v/>
      </c>
      <c r="AA63">
        <f>IF($A63="","",IF($B63="V01",Cadrage!$C$27,IF($B63="V02",Cadrage!$D$27,Cadrage!$E$27)))</f>
        <v/>
      </c>
      <c r="AB63">
        <f>IF($A63="","",IF($B63="V01",Cadrage!$C$39,IF($B63="V02",Cadrage!$D$39,Cadrage!$E$39)))</f>
        <v/>
      </c>
      <c r="AC63">
        <f>IF($A63="","",IF($F63="MBWAY",Cadrage!$K$11,IF($F63="ISCOM",Cadrage!$K$12,IF($F63="IPAC",Cadrage!$K$13,IF($F63="PIGIER",Cadrage!$K$14,Cadrage!$K$15)))))</f>
        <v/>
      </c>
      <c r="AD63">
        <f>IF($A63="","",($O63*(1+$W63)^$S63+$P63*IFERROR((($T63/$U63)*(1+$V63))^$R63,0))*IFERROR($G63/$Q63,0)*($J63+$Y63)*$K63*($L63+$Z63))</f>
        <v/>
      </c>
      <c r="AE63">
        <f>IF($A63="","",IF($N63=1,$AD63,0))</f>
        <v/>
      </c>
      <c r="AF63">
        <f>IF($A63="","",IF($N63=1,$AD63,$H63*($M63+$AA63)))</f>
        <v/>
      </c>
      <c r="AG63">
        <f>IF($A63="","",$I63*(1+$X63*$AC63))</f>
        <v/>
      </c>
      <c r="AH63">
        <f>IF($A63="","",$AF63*$AG63+$AE63*$AB63)</f>
        <v/>
      </c>
    </row>
    <row r="64">
      <c r="A64">
        <f>IF(Moteur!D64="","",Moteur!D64)</f>
        <v/>
      </c>
      <c r="B64">
        <f>IF(Moteur!B64="","",Moteur!B64)</f>
        <v/>
      </c>
      <c r="C64">
        <f>IF(Moteur!F64="","",Moteur!F64)</f>
        <v/>
      </c>
      <c r="D64">
        <f>IF(Moteur!G64="","",Moteur!G64)</f>
        <v/>
      </c>
      <c r="E64">
        <f>IF(Moteur!H64="","",Moteur!H64)</f>
        <v/>
      </c>
      <c r="F64">
        <f>IF(Moteur!E64="","",Moteur!E64)</f>
        <v/>
      </c>
      <c r="G64">
        <f>IF($A64="","",SUMIFS(Socle!$H$1:$H$379,Socle!$C$1:$C$379,$A64,Socle!$D$1:$D$379,$C64,Socle!$E$1:$E$379,$D64,Socle!$F$1:$F$379,$E64,Socle!$G$1:$G$379,"2026"))</f>
        <v/>
      </c>
      <c r="H64">
        <f>IF($A64="","",SUMIFS(Socle!$N$1:$N$379,Socle!$C$1:$C$379,$A64,Socle!$D$1:$D$379,$C64,Socle!$E$1:$E$379,$D64,Socle!$F$1:$F$379,$E64,Socle!$G$1:$G$379,"2026"))</f>
        <v/>
      </c>
      <c r="I64">
        <f>IF($A64="","",SUMIFS(Socle!$P$1:$P$379,Socle!$C$1:$C$379,$A64,Socle!$D$1:$D$379,$C64,Socle!$E$1:$E$379,$D64,Socle!$F$1:$F$379,$E64,Socle!$G$1:$G$379,"2026"))</f>
        <v/>
      </c>
      <c r="J64">
        <f>IF($A64="","",SUMIFS(Socle!$W$1:$W$379,Socle!$C$1:$C$379,$A64,Socle!$D$1:$D$379,$C64,Socle!$E$1:$E$379,$D64,Socle!$F$1:$F$379,$E64,Socle!$G$1:$G$379,"2026"))</f>
        <v/>
      </c>
      <c r="K64">
        <f>IF($A64="","",SUMIFS(Socle!$X$1:$X$379,Socle!$C$1:$C$379,$A64,Socle!$D$1:$D$379,$C64,Socle!$E$1:$E$379,$D64,Socle!$F$1:$F$379,$E64,Socle!$G$1:$G$379,"2026"))</f>
        <v/>
      </c>
      <c r="L64">
        <f>IF($A64="","",SUMIFS(Socle!$Y$1:$Y$379,Socle!$C$1:$C$379,$A64,Socle!$D$1:$D$379,$C64,Socle!$E$1:$E$379,$D64,Socle!$F$1:$F$379,$E64,Socle!$G$1:$G$379,"2026"))</f>
        <v/>
      </c>
      <c r="M64">
        <f>IF($A64="","",SUMIFS(Socle!$V$1:$V$379,Socle!$C$1:$C$379,$A64,Socle!$D$1:$D$379,$C64,Socle!$E$1:$E$379,$D64,Socle!$F$1:$F$379,$E64,Socle!$G$1:$G$379,"2026"))</f>
        <v/>
      </c>
      <c r="N64">
        <f>IF($A64="","",IF(OR($D64="B1",$D64="M1",$D64="BTS1"),1,0))</f>
        <v/>
      </c>
      <c r="O64">
        <f>IF($A64="","",SUMIFS(Campagne!$D$1:$D$28,Campagne!$C$1:$C$28,$A64))</f>
        <v/>
      </c>
      <c r="P64">
        <f>IF($A64="","",SUMIFS(Campagne!$E$1:$E$28,Campagne!$C$1:$C$28,$A64))</f>
        <v/>
      </c>
      <c r="Q64">
        <f>IF($A64="","",SUMIFS(Campagne!$F$1:$F$28,Campagne!$C$1:$C$28,$A64))</f>
        <v/>
      </c>
      <c r="R64">
        <f>IF($A64="","",SUMIFS(Campagne!$K$1:$K$28,Campagne!$C$1:$C$28,$A64))</f>
        <v/>
      </c>
      <c r="S64">
        <f>IF($A64="","",SUMIFS(Campagne!$M$1:$M$28,Campagne!$C$1:$C$28,$A64))</f>
        <v/>
      </c>
      <c r="T64">
        <f>IF($A64="","",SUMIFS(Pilotage!$K$19:$K$32,Pilotage!$A$19:$A$32,$A64)*SUMIFS(Pilotage!$J$19:$J$32,Pilotage!$A$19:$A$32,$A64)*(SUM(Pilotage!$K$19:$K$32)/SUMPRODUCT(Pilotage!$K$19:$K$32,Pilotage!$J$19:$J$32)))</f>
        <v/>
      </c>
      <c r="U64">
        <f>IF($A64="","",SUMIFS(Pilotage!$K$19:$K$32,Pilotage!$A$19:$A$32,$A64))</f>
        <v/>
      </c>
      <c r="V64">
        <f>IF($A64="","",IF($B64="V01",Cadrage!$C$22,IF($B64="V02",Cadrage!$D$22,Cadrage!$E$22)))</f>
        <v/>
      </c>
      <c r="W64">
        <f>IF($A64="","",IF($B64="V01",Cadrage!$C$23,IF($B64="V02",Cadrage!$D$23,Cadrage!$E$23)))</f>
        <v/>
      </c>
      <c r="X64">
        <f>IF($A64="","",IF($B64="V01",Cadrage!$C$24,IF($B64="V02",Cadrage!$D$24,Cadrage!$E$24)))</f>
        <v/>
      </c>
      <c r="Y64">
        <f>IF($A64="","",IF($B64="V01",Cadrage!$C$25,IF($B64="V02",Cadrage!$D$25,Cadrage!$E$25)))</f>
        <v/>
      </c>
      <c r="Z64">
        <f>IF($A64="","",IF($B64="V01",Cadrage!$C$26,IF($B64="V02",Cadrage!$D$26,Cadrage!$E$26)))</f>
        <v/>
      </c>
      <c r="AA64">
        <f>IF($A64="","",IF($B64="V01",Cadrage!$C$27,IF($B64="V02",Cadrage!$D$27,Cadrage!$E$27)))</f>
        <v/>
      </c>
      <c r="AB64">
        <f>IF($A64="","",IF($B64="V01",Cadrage!$C$39,IF($B64="V02",Cadrage!$D$39,Cadrage!$E$39)))</f>
        <v/>
      </c>
      <c r="AC64">
        <f>IF($A64="","",IF($F64="MBWAY",Cadrage!$K$11,IF($F64="ISCOM",Cadrage!$K$12,IF($F64="IPAC",Cadrage!$K$13,IF($F64="PIGIER",Cadrage!$K$14,Cadrage!$K$15)))))</f>
        <v/>
      </c>
      <c r="AD64">
        <f>IF($A64="","",($O64*(1+$W64)^$S64+$P64*IFERROR((($T64/$U64)*(1+$V64))^$R64,0))*IFERROR($G64/$Q64,0)*($J64+$Y64)*$K64*($L64+$Z64))</f>
        <v/>
      </c>
      <c r="AE64">
        <f>IF($A64="","",IF($N64=1,$AD64,0))</f>
        <v/>
      </c>
      <c r="AF64">
        <f>IF($A64="","",IF($N64=1,$AD64,$H64*($M64+$AA64)))</f>
        <v/>
      </c>
      <c r="AG64">
        <f>IF($A64="","",$I64*(1+$X64*$AC64))</f>
        <v/>
      </c>
      <c r="AH64">
        <f>IF($A64="","",$AF64*$AG64+$AE64*$AB64)</f>
        <v/>
      </c>
    </row>
    <row r="65">
      <c r="A65">
        <f>IF(Moteur!D65="","",Moteur!D65)</f>
        <v/>
      </c>
      <c r="B65">
        <f>IF(Moteur!B65="","",Moteur!B65)</f>
        <v/>
      </c>
      <c r="C65">
        <f>IF(Moteur!F65="","",Moteur!F65)</f>
        <v/>
      </c>
      <c r="D65">
        <f>IF(Moteur!G65="","",Moteur!G65)</f>
        <v/>
      </c>
      <c r="E65">
        <f>IF(Moteur!H65="","",Moteur!H65)</f>
        <v/>
      </c>
      <c r="F65">
        <f>IF(Moteur!E65="","",Moteur!E65)</f>
        <v/>
      </c>
      <c r="G65">
        <f>IF($A65="","",SUMIFS(Socle!$H$1:$H$379,Socle!$C$1:$C$379,$A65,Socle!$D$1:$D$379,$C65,Socle!$E$1:$E$379,$D65,Socle!$F$1:$F$379,$E65,Socle!$G$1:$G$379,"2026"))</f>
        <v/>
      </c>
      <c r="H65">
        <f>IF($A65="","",SUMIFS(Socle!$N$1:$N$379,Socle!$C$1:$C$379,$A65,Socle!$D$1:$D$379,$C65,Socle!$E$1:$E$379,$D65,Socle!$F$1:$F$379,$E65,Socle!$G$1:$G$379,"2026"))</f>
        <v/>
      </c>
      <c r="I65">
        <f>IF($A65="","",SUMIFS(Socle!$P$1:$P$379,Socle!$C$1:$C$379,$A65,Socle!$D$1:$D$379,$C65,Socle!$E$1:$E$379,$D65,Socle!$F$1:$F$379,$E65,Socle!$G$1:$G$379,"2026"))</f>
        <v/>
      </c>
      <c r="J65">
        <f>IF($A65="","",SUMIFS(Socle!$W$1:$W$379,Socle!$C$1:$C$379,$A65,Socle!$D$1:$D$379,$C65,Socle!$E$1:$E$379,$D65,Socle!$F$1:$F$379,$E65,Socle!$G$1:$G$379,"2026"))</f>
        <v/>
      </c>
      <c r="K65">
        <f>IF($A65="","",SUMIFS(Socle!$X$1:$X$379,Socle!$C$1:$C$379,$A65,Socle!$D$1:$D$379,$C65,Socle!$E$1:$E$379,$D65,Socle!$F$1:$F$379,$E65,Socle!$G$1:$G$379,"2026"))</f>
        <v/>
      </c>
      <c r="L65">
        <f>IF($A65="","",SUMIFS(Socle!$Y$1:$Y$379,Socle!$C$1:$C$379,$A65,Socle!$D$1:$D$379,$C65,Socle!$E$1:$E$379,$D65,Socle!$F$1:$F$379,$E65,Socle!$G$1:$G$379,"2026"))</f>
        <v/>
      </c>
      <c r="M65">
        <f>IF($A65="","",SUMIFS(Socle!$V$1:$V$379,Socle!$C$1:$C$379,$A65,Socle!$D$1:$D$379,$C65,Socle!$E$1:$E$379,$D65,Socle!$F$1:$F$379,$E65,Socle!$G$1:$G$379,"2026"))</f>
        <v/>
      </c>
      <c r="N65">
        <f>IF($A65="","",IF(OR($D65="B1",$D65="M1",$D65="BTS1"),1,0))</f>
        <v/>
      </c>
      <c r="O65">
        <f>IF($A65="","",SUMIFS(Campagne!$D$1:$D$28,Campagne!$C$1:$C$28,$A65))</f>
        <v/>
      </c>
      <c r="P65">
        <f>IF($A65="","",SUMIFS(Campagne!$E$1:$E$28,Campagne!$C$1:$C$28,$A65))</f>
        <v/>
      </c>
      <c r="Q65">
        <f>IF($A65="","",SUMIFS(Campagne!$F$1:$F$28,Campagne!$C$1:$C$28,$A65))</f>
        <v/>
      </c>
      <c r="R65">
        <f>IF($A65="","",SUMIFS(Campagne!$K$1:$K$28,Campagne!$C$1:$C$28,$A65))</f>
        <v/>
      </c>
      <c r="S65">
        <f>IF($A65="","",SUMIFS(Campagne!$M$1:$M$28,Campagne!$C$1:$C$28,$A65))</f>
        <v/>
      </c>
      <c r="T65">
        <f>IF($A65="","",SUMIFS(Pilotage!$K$19:$K$32,Pilotage!$A$19:$A$32,$A65)*SUMIFS(Pilotage!$J$19:$J$32,Pilotage!$A$19:$A$32,$A65)*(SUM(Pilotage!$K$19:$K$32)/SUMPRODUCT(Pilotage!$K$19:$K$32,Pilotage!$J$19:$J$32)))</f>
        <v/>
      </c>
      <c r="U65">
        <f>IF($A65="","",SUMIFS(Pilotage!$K$19:$K$32,Pilotage!$A$19:$A$32,$A65))</f>
        <v/>
      </c>
      <c r="V65">
        <f>IF($A65="","",IF($B65="V01",Cadrage!$C$22,IF($B65="V02",Cadrage!$D$22,Cadrage!$E$22)))</f>
        <v/>
      </c>
      <c r="W65">
        <f>IF($A65="","",IF($B65="V01",Cadrage!$C$23,IF($B65="V02",Cadrage!$D$23,Cadrage!$E$23)))</f>
        <v/>
      </c>
      <c r="X65">
        <f>IF($A65="","",IF($B65="V01",Cadrage!$C$24,IF($B65="V02",Cadrage!$D$24,Cadrage!$E$24)))</f>
        <v/>
      </c>
      <c r="Y65">
        <f>IF($A65="","",IF($B65="V01",Cadrage!$C$25,IF($B65="V02",Cadrage!$D$25,Cadrage!$E$25)))</f>
        <v/>
      </c>
      <c r="Z65">
        <f>IF($A65="","",IF($B65="V01",Cadrage!$C$26,IF($B65="V02",Cadrage!$D$26,Cadrage!$E$26)))</f>
        <v/>
      </c>
      <c r="AA65">
        <f>IF($A65="","",IF($B65="V01",Cadrage!$C$27,IF($B65="V02",Cadrage!$D$27,Cadrage!$E$27)))</f>
        <v/>
      </c>
      <c r="AB65">
        <f>IF($A65="","",IF($B65="V01",Cadrage!$C$39,IF($B65="V02",Cadrage!$D$39,Cadrage!$E$39)))</f>
        <v/>
      </c>
      <c r="AC65">
        <f>IF($A65="","",IF($F65="MBWAY",Cadrage!$K$11,IF($F65="ISCOM",Cadrage!$K$12,IF($F65="IPAC",Cadrage!$K$13,IF($F65="PIGIER",Cadrage!$K$14,Cadrage!$K$15)))))</f>
        <v/>
      </c>
      <c r="AD65">
        <f>IF($A65="","",($O65*(1+$W65)^$S65+$P65*IFERROR((($T65/$U65)*(1+$V65))^$R65,0))*IFERROR($G65/$Q65,0)*($J65+$Y65)*$K65*($L65+$Z65))</f>
        <v/>
      </c>
      <c r="AE65">
        <f>IF($A65="","",IF($N65=1,$AD65,0))</f>
        <v/>
      </c>
      <c r="AF65">
        <f>IF($A65="","",IF($N65=1,$AD65,$H65*($M65+$AA65)))</f>
        <v/>
      </c>
      <c r="AG65">
        <f>IF($A65="","",$I65*(1+$X65*$AC65))</f>
        <v/>
      </c>
      <c r="AH65">
        <f>IF($A65="","",$AF65*$AG65+$AE65*$AB65)</f>
        <v/>
      </c>
    </row>
    <row r="66">
      <c r="A66">
        <f>IF(Moteur!D66="","",Moteur!D66)</f>
        <v/>
      </c>
      <c r="B66">
        <f>IF(Moteur!B66="","",Moteur!B66)</f>
        <v/>
      </c>
      <c r="C66">
        <f>IF(Moteur!F66="","",Moteur!F66)</f>
        <v/>
      </c>
      <c r="D66">
        <f>IF(Moteur!G66="","",Moteur!G66)</f>
        <v/>
      </c>
      <c r="E66">
        <f>IF(Moteur!H66="","",Moteur!H66)</f>
        <v/>
      </c>
      <c r="F66">
        <f>IF(Moteur!E66="","",Moteur!E66)</f>
        <v/>
      </c>
      <c r="G66">
        <f>IF($A66="","",SUMIFS(Socle!$H$1:$H$379,Socle!$C$1:$C$379,$A66,Socle!$D$1:$D$379,$C66,Socle!$E$1:$E$379,$D66,Socle!$F$1:$F$379,$E66,Socle!$G$1:$G$379,"2026"))</f>
        <v/>
      </c>
      <c r="H66">
        <f>IF($A66="","",SUMIFS(Socle!$N$1:$N$379,Socle!$C$1:$C$379,$A66,Socle!$D$1:$D$379,$C66,Socle!$E$1:$E$379,$D66,Socle!$F$1:$F$379,$E66,Socle!$G$1:$G$379,"2026"))</f>
        <v/>
      </c>
      <c r="I66">
        <f>IF($A66="","",SUMIFS(Socle!$P$1:$P$379,Socle!$C$1:$C$379,$A66,Socle!$D$1:$D$379,$C66,Socle!$E$1:$E$379,$D66,Socle!$F$1:$F$379,$E66,Socle!$G$1:$G$379,"2026"))</f>
        <v/>
      </c>
      <c r="J66">
        <f>IF($A66="","",SUMIFS(Socle!$W$1:$W$379,Socle!$C$1:$C$379,$A66,Socle!$D$1:$D$379,$C66,Socle!$E$1:$E$379,$D66,Socle!$F$1:$F$379,$E66,Socle!$G$1:$G$379,"2026"))</f>
        <v/>
      </c>
      <c r="K66">
        <f>IF($A66="","",SUMIFS(Socle!$X$1:$X$379,Socle!$C$1:$C$379,$A66,Socle!$D$1:$D$379,$C66,Socle!$E$1:$E$379,$D66,Socle!$F$1:$F$379,$E66,Socle!$G$1:$G$379,"2026"))</f>
        <v/>
      </c>
      <c r="L66">
        <f>IF($A66="","",SUMIFS(Socle!$Y$1:$Y$379,Socle!$C$1:$C$379,$A66,Socle!$D$1:$D$379,$C66,Socle!$E$1:$E$379,$D66,Socle!$F$1:$F$379,$E66,Socle!$G$1:$G$379,"2026"))</f>
        <v/>
      </c>
      <c r="M66">
        <f>IF($A66="","",SUMIFS(Socle!$V$1:$V$379,Socle!$C$1:$C$379,$A66,Socle!$D$1:$D$379,$C66,Socle!$E$1:$E$379,$D66,Socle!$F$1:$F$379,$E66,Socle!$G$1:$G$379,"2026"))</f>
        <v/>
      </c>
      <c r="N66">
        <f>IF($A66="","",IF(OR($D66="B1",$D66="M1",$D66="BTS1"),1,0))</f>
        <v/>
      </c>
      <c r="O66">
        <f>IF($A66="","",SUMIFS(Campagne!$D$1:$D$28,Campagne!$C$1:$C$28,$A66))</f>
        <v/>
      </c>
      <c r="P66">
        <f>IF($A66="","",SUMIFS(Campagne!$E$1:$E$28,Campagne!$C$1:$C$28,$A66))</f>
        <v/>
      </c>
      <c r="Q66">
        <f>IF($A66="","",SUMIFS(Campagne!$F$1:$F$28,Campagne!$C$1:$C$28,$A66))</f>
        <v/>
      </c>
      <c r="R66">
        <f>IF($A66="","",SUMIFS(Campagne!$K$1:$K$28,Campagne!$C$1:$C$28,$A66))</f>
        <v/>
      </c>
      <c r="S66">
        <f>IF($A66="","",SUMIFS(Campagne!$M$1:$M$28,Campagne!$C$1:$C$28,$A66))</f>
        <v/>
      </c>
      <c r="T66">
        <f>IF($A66="","",SUMIFS(Pilotage!$K$19:$K$32,Pilotage!$A$19:$A$32,$A66)*SUMIFS(Pilotage!$J$19:$J$32,Pilotage!$A$19:$A$32,$A66)*(SUM(Pilotage!$K$19:$K$32)/SUMPRODUCT(Pilotage!$K$19:$K$32,Pilotage!$J$19:$J$32)))</f>
        <v/>
      </c>
      <c r="U66">
        <f>IF($A66="","",SUMIFS(Pilotage!$K$19:$K$32,Pilotage!$A$19:$A$32,$A66))</f>
        <v/>
      </c>
      <c r="V66">
        <f>IF($A66="","",IF($B66="V01",Cadrage!$C$22,IF($B66="V02",Cadrage!$D$22,Cadrage!$E$22)))</f>
        <v/>
      </c>
      <c r="W66">
        <f>IF($A66="","",IF($B66="V01",Cadrage!$C$23,IF($B66="V02",Cadrage!$D$23,Cadrage!$E$23)))</f>
        <v/>
      </c>
      <c r="X66">
        <f>IF($A66="","",IF($B66="V01",Cadrage!$C$24,IF($B66="V02",Cadrage!$D$24,Cadrage!$E$24)))</f>
        <v/>
      </c>
      <c r="Y66">
        <f>IF($A66="","",IF($B66="V01",Cadrage!$C$25,IF($B66="V02",Cadrage!$D$25,Cadrage!$E$25)))</f>
        <v/>
      </c>
      <c r="Z66">
        <f>IF($A66="","",IF($B66="V01",Cadrage!$C$26,IF($B66="V02",Cadrage!$D$26,Cadrage!$E$26)))</f>
        <v/>
      </c>
      <c r="AA66">
        <f>IF($A66="","",IF($B66="V01",Cadrage!$C$27,IF($B66="V02",Cadrage!$D$27,Cadrage!$E$27)))</f>
        <v/>
      </c>
      <c r="AB66">
        <f>IF($A66="","",IF($B66="V01",Cadrage!$C$39,IF($B66="V02",Cadrage!$D$39,Cadrage!$E$39)))</f>
        <v/>
      </c>
      <c r="AC66">
        <f>IF($A66="","",IF($F66="MBWAY",Cadrage!$K$11,IF($F66="ISCOM",Cadrage!$K$12,IF($F66="IPAC",Cadrage!$K$13,IF($F66="PIGIER",Cadrage!$K$14,Cadrage!$K$15)))))</f>
        <v/>
      </c>
      <c r="AD66">
        <f>IF($A66="","",($O66*(1+$W66)^$S66+$P66*IFERROR((($T66/$U66)*(1+$V66))^$R66,0))*IFERROR($G66/$Q66,0)*($J66+$Y66)*$K66*($L66+$Z66))</f>
        <v/>
      </c>
      <c r="AE66">
        <f>IF($A66="","",IF($N66=1,$AD66,0))</f>
        <v/>
      </c>
      <c r="AF66">
        <f>IF($A66="","",IF($N66=1,$AD66,$H66*($M66+$AA66)))</f>
        <v/>
      </c>
      <c r="AG66">
        <f>IF($A66="","",$I66*(1+$X66*$AC66))</f>
        <v/>
      </c>
      <c r="AH66">
        <f>IF($A66="","",$AF66*$AG66+$AE66*$AB66)</f>
        <v/>
      </c>
    </row>
    <row r="67">
      <c r="A67">
        <f>IF(Moteur!D67="","",Moteur!D67)</f>
        <v/>
      </c>
      <c r="B67">
        <f>IF(Moteur!B67="","",Moteur!B67)</f>
        <v/>
      </c>
      <c r="C67">
        <f>IF(Moteur!F67="","",Moteur!F67)</f>
        <v/>
      </c>
      <c r="D67">
        <f>IF(Moteur!G67="","",Moteur!G67)</f>
        <v/>
      </c>
      <c r="E67">
        <f>IF(Moteur!H67="","",Moteur!H67)</f>
        <v/>
      </c>
      <c r="F67">
        <f>IF(Moteur!E67="","",Moteur!E67)</f>
        <v/>
      </c>
      <c r="G67">
        <f>IF($A67="","",SUMIFS(Socle!$H$1:$H$379,Socle!$C$1:$C$379,$A67,Socle!$D$1:$D$379,$C67,Socle!$E$1:$E$379,$D67,Socle!$F$1:$F$379,$E67,Socle!$G$1:$G$379,"2026"))</f>
        <v/>
      </c>
      <c r="H67">
        <f>IF($A67="","",SUMIFS(Socle!$N$1:$N$379,Socle!$C$1:$C$379,$A67,Socle!$D$1:$D$379,$C67,Socle!$E$1:$E$379,$D67,Socle!$F$1:$F$379,$E67,Socle!$G$1:$G$379,"2026"))</f>
        <v/>
      </c>
      <c r="I67">
        <f>IF($A67="","",SUMIFS(Socle!$P$1:$P$379,Socle!$C$1:$C$379,$A67,Socle!$D$1:$D$379,$C67,Socle!$E$1:$E$379,$D67,Socle!$F$1:$F$379,$E67,Socle!$G$1:$G$379,"2026"))</f>
        <v/>
      </c>
      <c r="J67">
        <f>IF($A67="","",SUMIFS(Socle!$W$1:$W$379,Socle!$C$1:$C$379,$A67,Socle!$D$1:$D$379,$C67,Socle!$E$1:$E$379,$D67,Socle!$F$1:$F$379,$E67,Socle!$G$1:$G$379,"2026"))</f>
        <v/>
      </c>
      <c r="K67">
        <f>IF($A67="","",SUMIFS(Socle!$X$1:$X$379,Socle!$C$1:$C$379,$A67,Socle!$D$1:$D$379,$C67,Socle!$E$1:$E$379,$D67,Socle!$F$1:$F$379,$E67,Socle!$G$1:$G$379,"2026"))</f>
        <v/>
      </c>
      <c r="L67">
        <f>IF($A67="","",SUMIFS(Socle!$Y$1:$Y$379,Socle!$C$1:$C$379,$A67,Socle!$D$1:$D$379,$C67,Socle!$E$1:$E$379,$D67,Socle!$F$1:$F$379,$E67,Socle!$G$1:$G$379,"2026"))</f>
        <v/>
      </c>
      <c r="M67">
        <f>IF($A67="","",SUMIFS(Socle!$V$1:$V$379,Socle!$C$1:$C$379,$A67,Socle!$D$1:$D$379,$C67,Socle!$E$1:$E$379,$D67,Socle!$F$1:$F$379,$E67,Socle!$G$1:$G$379,"2026"))</f>
        <v/>
      </c>
      <c r="N67">
        <f>IF($A67="","",IF(OR($D67="B1",$D67="M1",$D67="BTS1"),1,0))</f>
        <v/>
      </c>
      <c r="O67">
        <f>IF($A67="","",SUMIFS(Campagne!$D$1:$D$28,Campagne!$C$1:$C$28,$A67))</f>
        <v/>
      </c>
      <c r="P67">
        <f>IF($A67="","",SUMIFS(Campagne!$E$1:$E$28,Campagne!$C$1:$C$28,$A67))</f>
        <v/>
      </c>
      <c r="Q67">
        <f>IF($A67="","",SUMIFS(Campagne!$F$1:$F$28,Campagne!$C$1:$C$28,$A67))</f>
        <v/>
      </c>
      <c r="R67">
        <f>IF($A67="","",SUMIFS(Campagne!$K$1:$K$28,Campagne!$C$1:$C$28,$A67))</f>
        <v/>
      </c>
      <c r="S67">
        <f>IF($A67="","",SUMIFS(Campagne!$M$1:$M$28,Campagne!$C$1:$C$28,$A67))</f>
        <v/>
      </c>
      <c r="T67">
        <f>IF($A67="","",SUMIFS(Pilotage!$K$19:$K$32,Pilotage!$A$19:$A$32,$A67)*SUMIFS(Pilotage!$J$19:$J$32,Pilotage!$A$19:$A$32,$A67)*(SUM(Pilotage!$K$19:$K$32)/SUMPRODUCT(Pilotage!$K$19:$K$32,Pilotage!$J$19:$J$32)))</f>
        <v/>
      </c>
      <c r="U67">
        <f>IF($A67="","",SUMIFS(Pilotage!$K$19:$K$32,Pilotage!$A$19:$A$32,$A67))</f>
        <v/>
      </c>
      <c r="V67">
        <f>IF($A67="","",IF($B67="V01",Cadrage!$C$22,IF($B67="V02",Cadrage!$D$22,Cadrage!$E$22)))</f>
        <v/>
      </c>
      <c r="W67">
        <f>IF($A67="","",IF($B67="V01",Cadrage!$C$23,IF($B67="V02",Cadrage!$D$23,Cadrage!$E$23)))</f>
        <v/>
      </c>
      <c r="X67">
        <f>IF($A67="","",IF($B67="V01",Cadrage!$C$24,IF($B67="V02",Cadrage!$D$24,Cadrage!$E$24)))</f>
        <v/>
      </c>
      <c r="Y67">
        <f>IF($A67="","",IF($B67="V01",Cadrage!$C$25,IF($B67="V02",Cadrage!$D$25,Cadrage!$E$25)))</f>
        <v/>
      </c>
      <c r="Z67">
        <f>IF($A67="","",IF($B67="V01",Cadrage!$C$26,IF($B67="V02",Cadrage!$D$26,Cadrage!$E$26)))</f>
        <v/>
      </c>
      <c r="AA67">
        <f>IF($A67="","",IF($B67="V01",Cadrage!$C$27,IF($B67="V02",Cadrage!$D$27,Cadrage!$E$27)))</f>
        <v/>
      </c>
      <c r="AB67">
        <f>IF($A67="","",IF($B67="V01",Cadrage!$C$39,IF($B67="V02",Cadrage!$D$39,Cadrage!$E$39)))</f>
        <v/>
      </c>
      <c r="AC67">
        <f>IF($A67="","",IF($F67="MBWAY",Cadrage!$K$11,IF($F67="ISCOM",Cadrage!$K$12,IF($F67="IPAC",Cadrage!$K$13,IF($F67="PIGIER",Cadrage!$K$14,Cadrage!$K$15)))))</f>
        <v/>
      </c>
      <c r="AD67">
        <f>IF($A67="","",($O67*(1+$W67)^$S67+$P67*IFERROR((($T67/$U67)*(1+$V67))^$R67,0))*IFERROR($G67/$Q67,0)*($J67+$Y67)*$K67*($L67+$Z67))</f>
        <v/>
      </c>
      <c r="AE67">
        <f>IF($A67="","",IF($N67=1,$AD67,0))</f>
        <v/>
      </c>
      <c r="AF67">
        <f>IF($A67="","",IF($N67=1,$AD67,$H67*($M67+$AA67)))</f>
        <v/>
      </c>
      <c r="AG67">
        <f>IF($A67="","",$I67*(1+$X67*$AC67))</f>
        <v/>
      </c>
      <c r="AH67">
        <f>IF($A67="","",$AF67*$AG67+$AE67*$AB67)</f>
        <v/>
      </c>
    </row>
    <row r="68">
      <c r="A68">
        <f>IF(Moteur!D68="","",Moteur!D68)</f>
        <v/>
      </c>
      <c r="B68">
        <f>IF(Moteur!B68="","",Moteur!B68)</f>
        <v/>
      </c>
      <c r="C68">
        <f>IF(Moteur!F68="","",Moteur!F68)</f>
        <v/>
      </c>
      <c r="D68">
        <f>IF(Moteur!G68="","",Moteur!G68)</f>
        <v/>
      </c>
      <c r="E68">
        <f>IF(Moteur!H68="","",Moteur!H68)</f>
        <v/>
      </c>
      <c r="F68">
        <f>IF(Moteur!E68="","",Moteur!E68)</f>
        <v/>
      </c>
      <c r="G68">
        <f>IF($A68="","",SUMIFS(Socle!$H$1:$H$379,Socle!$C$1:$C$379,$A68,Socle!$D$1:$D$379,$C68,Socle!$E$1:$E$379,$D68,Socle!$F$1:$F$379,$E68,Socle!$G$1:$G$379,"2026"))</f>
        <v/>
      </c>
      <c r="H68">
        <f>IF($A68="","",SUMIFS(Socle!$N$1:$N$379,Socle!$C$1:$C$379,$A68,Socle!$D$1:$D$379,$C68,Socle!$E$1:$E$379,$D68,Socle!$F$1:$F$379,$E68,Socle!$G$1:$G$379,"2026"))</f>
        <v/>
      </c>
      <c r="I68">
        <f>IF($A68="","",SUMIFS(Socle!$P$1:$P$379,Socle!$C$1:$C$379,$A68,Socle!$D$1:$D$379,$C68,Socle!$E$1:$E$379,$D68,Socle!$F$1:$F$379,$E68,Socle!$G$1:$G$379,"2026"))</f>
        <v/>
      </c>
      <c r="J68">
        <f>IF($A68="","",SUMIFS(Socle!$W$1:$W$379,Socle!$C$1:$C$379,$A68,Socle!$D$1:$D$379,$C68,Socle!$E$1:$E$379,$D68,Socle!$F$1:$F$379,$E68,Socle!$G$1:$G$379,"2026"))</f>
        <v/>
      </c>
      <c r="K68">
        <f>IF($A68="","",SUMIFS(Socle!$X$1:$X$379,Socle!$C$1:$C$379,$A68,Socle!$D$1:$D$379,$C68,Socle!$E$1:$E$379,$D68,Socle!$F$1:$F$379,$E68,Socle!$G$1:$G$379,"2026"))</f>
        <v/>
      </c>
      <c r="L68">
        <f>IF($A68="","",SUMIFS(Socle!$Y$1:$Y$379,Socle!$C$1:$C$379,$A68,Socle!$D$1:$D$379,$C68,Socle!$E$1:$E$379,$D68,Socle!$F$1:$F$379,$E68,Socle!$G$1:$G$379,"2026"))</f>
        <v/>
      </c>
      <c r="M68">
        <f>IF($A68="","",SUMIFS(Socle!$V$1:$V$379,Socle!$C$1:$C$379,$A68,Socle!$D$1:$D$379,$C68,Socle!$E$1:$E$379,$D68,Socle!$F$1:$F$379,$E68,Socle!$G$1:$G$379,"2026"))</f>
        <v/>
      </c>
      <c r="N68">
        <f>IF($A68="","",IF(OR($D68="B1",$D68="M1",$D68="BTS1"),1,0))</f>
        <v/>
      </c>
      <c r="O68">
        <f>IF($A68="","",SUMIFS(Campagne!$D$1:$D$28,Campagne!$C$1:$C$28,$A68))</f>
        <v/>
      </c>
      <c r="P68">
        <f>IF($A68="","",SUMIFS(Campagne!$E$1:$E$28,Campagne!$C$1:$C$28,$A68))</f>
        <v/>
      </c>
      <c r="Q68">
        <f>IF($A68="","",SUMIFS(Campagne!$F$1:$F$28,Campagne!$C$1:$C$28,$A68))</f>
        <v/>
      </c>
      <c r="R68">
        <f>IF($A68="","",SUMIFS(Campagne!$K$1:$K$28,Campagne!$C$1:$C$28,$A68))</f>
        <v/>
      </c>
      <c r="S68">
        <f>IF($A68="","",SUMIFS(Campagne!$M$1:$M$28,Campagne!$C$1:$C$28,$A68))</f>
        <v/>
      </c>
      <c r="T68">
        <f>IF($A68="","",SUMIFS(Pilotage!$K$19:$K$32,Pilotage!$A$19:$A$32,$A68)*SUMIFS(Pilotage!$J$19:$J$32,Pilotage!$A$19:$A$32,$A68)*(SUM(Pilotage!$K$19:$K$32)/SUMPRODUCT(Pilotage!$K$19:$K$32,Pilotage!$J$19:$J$32)))</f>
        <v/>
      </c>
      <c r="U68">
        <f>IF($A68="","",SUMIFS(Pilotage!$K$19:$K$32,Pilotage!$A$19:$A$32,$A68))</f>
        <v/>
      </c>
      <c r="V68">
        <f>IF($A68="","",IF($B68="V01",Cadrage!$C$22,IF($B68="V02",Cadrage!$D$22,Cadrage!$E$22)))</f>
        <v/>
      </c>
      <c r="W68">
        <f>IF($A68="","",IF($B68="V01",Cadrage!$C$23,IF($B68="V02",Cadrage!$D$23,Cadrage!$E$23)))</f>
        <v/>
      </c>
      <c r="X68">
        <f>IF($A68="","",IF($B68="V01",Cadrage!$C$24,IF($B68="V02",Cadrage!$D$24,Cadrage!$E$24)))</f>
        <v/>
      </c>
      <c r="Y68">
        <f>IF($A68="","",IF($B68="V01",Cadrage!$C$25,IF($B68="V02",Cadrage!$D$25,Cadrage!$E$25)))</f>
        <v/>
      </c>
      <c r="Z68">
        <f>IF($A68="","",IF($B68="V01",Cadrage!$C$26,IF($B68="V02",Cadrage!$D$26,Cadrage!$E$26)))</f>
        <v/>
      </c>
      <c r="AA68">
        <f>IF($A68="","",IF($B68="V01",Cadrage!$C$27,IF($B68="V02",Cadrage!$D$27,Cadrage!$E$27)))</f>
        <v/>
      </c>
      <c r="AB68">
        <f>IF($A68="","",IF($B68="V01",Cadrage!$C$39,IF($B68="V02",Cadrage!$D$39,Cadrage!$E$39)))</f>
        <v/>
      </c>
      <c r="AC68">
        <f>IF($A68="","",IF($F68="MBWAY",Cadrage!$K$11,IF($F68="ISCOM",Cadrage!$K$12,IF($F68="IPAC",Cadrage!$K$13,IF($F68="PIGIER",Cadrage!$K$14,Cadrage!$K$15)))))</f>
        <v/>
      </c>
      <c r="AD68">
        <f>IF($A68="","",($O68*(1+$W68)^$S68+$P68*IFERROR((($T68/$U68)*(1+$V68))^$R68,0))*IFERROR($G68/$Q68,0)*($J68+$Y68)*$K68*($L68+$Z68))</f>
        <v/>
      </c>
      <c r="AE68">
        <f>IF($A68="","",IF($N68=1,$AD68,0))</f>
        <v/>
      </c>
      <c r="AF68">
        <f>IF($A68="","",IF($N68=1,$AD68,$H68*($M68+$AA68)))</f>
        <v/>
      </c>
      <c r="AG68">
        <f>IF($A68="","",$I68*(1+$X68*$AC68))</f>
        <v/>
      </c>
      <c r="AH68">
        <f>IF($A68="","",$AF68*$AG68+$AE68*$AB68)</f>
        <v/>
      </c>
    </row>
    <row r="69">
      <c r="A69">
        <f>IF(Moteur!D69="","",Moteur!D69)</f>
        <v/>
      </c>
      <c r="B69">
        <f>IF(Moteur!B69="","",Moteur!B69)</f>
        <v/>
      </c>
      <c r="C69">
        <f>IF(Moteur!F69="","",Moteur!F69)</f>
        <v/>
      </c>
      <c r="D69">
        <f>IF(Moteur!G69="","",Moteur!G69)</f>
        <v/>
      </c>
      <c r="E69">
        <f>IF(Moteur!H69="","",Moteur!H69)</f>
        <v/>
      </c>
      <c r="F69">
        <f>IF(Moteur!E69="","",Moteur!E69)</f>
        <v/>
      </c>
      <c r="G69">
        <f>IF($A69="","",SUMIFS(Socle!$H$1:$H$379,Socle!$C$1:$C$379,$A69,Socle!$D$1:$D$379,$C69,Socle!$E$1:$E$379,$D69,Socle!$F$1:$F$379,$E69,Socle!$G$1:$G$379,"2026"))</f>
        <v/>
      </c>
      <c r="H69">
        <f>IF($A69="","",SUMIFS(Socle!$N$1:$N$379,Socle!$C$1:$C$379,$A69,Socle!$D$1:$D$379,$C69,Socle!$E$1:$E$379,$D69,Socle!$F$1:$F$379,$E69,Socle!$G$1:$G$379,"2026"))</f>
        <v/>
      </c>
      <c r="I69">
        <f>IF($A69="","",SUMIFS(Socle!$P$1:$P$379,Socle!$C$1:$C$379,$A69,Socle!$D$1:$D$379,$C69,Socle!$E$1:$E$379,$D69,Socle!$F$1:$F$379,$E69,Socle!$G$1:$G$379,"2026"))</f>
        <v/>
      </c>
      <c r="J69">
        <f>IF($A69="","",SUMIFS(Socle!$W$1:$W$379,Socle!$C$1:$C$379,$A69,Socle!$D$1:$D$379,$C69,Socle!$E$1:$E$379,$D69,Socle!$F$1:$F$379,$E69,Socle!$G$1:$G$379,"2026"))</f>
        <v/>
      </c>
      <c r="K69">
        <f>IF($A69="","",SUMIFS(Socle!$X$1:$X$379,Socle!$C$1:$C$379,$A69,Socle!$D$1:$D$379,$C69,Socle!$E$1:$E$379,$D69,Socle!$F$1:$F$379,$E69,Socle!$G$1:$G$379,"2026"))</f>
        <v/>
      </c>
      <c r="L69">
        <f>IF($A69="","",SUMIFS(Socle!$Y$1:$Y$379,Socle!$C$1:$C$379,$A69,Socle!$D$1:$D$379,$C69,Socle!$E$1:$E$379,$D69,Socle!$F$1:$F$379,$E69,Socle!$G$1:$G$379,"2026"))</f>
        <v/>
      </c>
      <c r="M69">
        <f>IF($A69="","",SUMIFS(Socle!$V$1:$V$379,Socle!$C$1:$C$379,$A69,Socle!$D$1:$D$379,$C69,Socle!$E$1:$E$379,$D69,Socle!$F$1:$F$379,$E69,Socle!$G$1:$G$379,"2026"))</f>
        <v/>
      </c>
      <c r="N69">
        <f>IF($A69="","",IF(OR($D69="B1",$D69="M1",$D69="BTS1"),1,0))</f>
        <v/>
      </c>
      <c r="O69">
        <f>IF($A69="","",SUMIFS(Campagne!$D$1:$D$28,Campagne!$C$1:$C$28,$A69))</f>
        <v/>
      </c>
      <c r="P69">
        <f>IF($A69="","",SUMIFS(Campagne!$E$1:$E$28,Campagne!$C$1:$C$28,$A69))</f>
        <v/>
      </c>
      <c r="Q69">
        <f>IF($A69="","",SUMIFS(Campagne!$F$1:$F$28,Campagne!$C$1:$C$28,$A69))</f>
        <v/>
      </c>
      <c r="R69">
        <f>IF($A69="","",SUMIFS(Campagne!$K$1:$K$28,Campagne!$C$1:$C$28,$A69))</f>
        <v/>
      </c>
      <c r="S69">
        <f>IF($A69="","",SUMIFS(Campagne!$M$1:$M$28,Campagne!$C$1:$C$28,$A69))</f>
        <v/>
      </c>
      <c r="T69">
        <f>IF($A69="","",SUMIFS(Pilotage!$K$19:$K$32,Pilotage!$A$19:$A$32,$A69)*SUMIFS(Pilotage!$J$19:$J$32,Pilotage!$A$19:$A$32,$A69)*(SUM(Pilotage!$K$19:$K$32)/SUMPRODUCT(Pilotage!$K$19:$K$32,Pilotage!$J$19:$J$32)))</f>
        <v/>
      </c>
      <c r="U69">
        <f>IF($A69="","",SUMIFS(Pilotage!$K$19:$K$32,Pilotage!$A$19:$A$32,$A69))</f>
        <v/>
      </c>
      <c r="V69">
        <f>IF($A69="","",IF($B69="V01",Cadrage!$C$22,IF($B69="V02",Cadrage!$D$22,Cadrage!$E$22)))</f>
        <v/>
      </c>
      <c r="W69">
        <f>IF($A69="","",IF($B69="V01",Cadrage!$C$23,IF($B69="V02",Cadrage!$D$23,Cadrage!$E$23)))</f>
        <v/>
      </c>
      <c r="X69">
        <f>IF($A69="","",IF($B69="V01",Cadrage!$C$24,IF($B69="V02",Cadrage!$D$24,Cadrage!$E$24)))</f>
        <v/>
      </c>
      <c r="Y69">
        <f>IF($A69="","",IF($B69="V01",Cadrage!$C$25,IF($B69="V02",Cadrage!$D$25,Cadrage!$E$25)))</f>
        <v/>
      </c>
      <c r="Z69">
        <f>IF($A69="","",IF($B69="V01",Cadrage!$C$26,IF($B69="V02",Cadrage!$D$26,Cadrage!$E$26)))</f>
        <v/>
      </c>
      <c r="AA69">
        <f>IF($A69="","",IF($B69="V01",Cadrage!$C$27,IF($B69="V02",Cadrage!$D$27,Cadrage!$E$27)))</f>
        <v/>
      </c>
      <c r="AB69">
        <f>IF($A69="","",IF($B69="V01",Cadrage!$C$39,IF($B69="V02",Cadrage!$D$39,Cadrage!$E$39)))</f>
        <v/>
      </c>
      <c r="AC69">
        <f>IF($A69="","",IF($F69="MBWAY",Cadrage!$K$11,IF($F69="ISCOM",Cadrage!$K$12,IF($F69="IPAC",Cadrage!$K$13,IF($F69="PIGIER",Cadrage!$K$14,Cadrage!$K$15)))))</f>
        <v/>
      </c>
      <c r="AD69">
        <f>IF($A69="","",($O69*(1+$W69)^$S69+$P69*IFERROR((($T69/$U69)*(1+$V69))^$R69,0))*IFERROR($G69/$Q69,0)*($J69+$Y69)*$K69*($L69+$Z69))</f>
        <v/>
      </c>
      <c r="AE69">
        <f>IF($A69="","",IF($N69=1,$AD69,0))</f>
        <v/>
      </c>
      <c r="AF69">
        <f>IF($A69="","",IF($N69=1,$AD69,$H69*($M69+$AA69)))</f>
        <v/>
      </c>
      <c r="AG69">
        <f>IF($A69="","",$I69*(1+$X69*$AC69))</f>
        <v/>
      </c>
      <c r="AH69">
        <f>IF($A69="","",$AF69*$AG69+$AE69*$AB69)</f>
        <v/>
      </c>
    </row>
    <row r="70">
      <c r="A70">
        <f>IF(Moteur!D70="","",Moteur!D70)</f>
        <v/>
      </c>
      <c r="B70">
        <f>IF(Moteur!B70="","",Moteur!B70)</f>
        <v/>
      </c>
      <c r="C70">
        <f>IF(Moteur!F70="","",Moteur!F70)</f>
        <v/>
      </c>
      <c r="D70">
        <f>IF(Moteur!G70="","",Moteur!G70)</f>
        <v/>
      </c>
      <c r="E70">
        <f>IF(Moteur!H70="","",Moteur!H70)</f>
        <v/>
      </c>
      <c r="F70">
        <f>IF(Moteur!E70="","",Moteur!E70)</f>
        <v/>
      </c>
      <c r="G70">
        <f>IF($A70="","",SUMIFS(Socle!$H$1:$H$379,Socle!$C$1:$C$379,$A70,Socle!$D$1:$D$379,$C70,Socle!$E$1:$E$379,$D70,Socle!$F$1:$F$379,$E70,Socle!$G$1:$G$379,"2026"))</f>
        <v/>
      </c>
      <c r="H70">
        <f>IF($A70="","",SUMIFS(Socle!$N$1:$N$379,Socle!$C$1:$C$379,$A70,Socle!$D$1:$D$379,$C70,Socle!$E$1:$E$379,$D70,Socle!$F$1:$F$379,$E70,Socle!$G$1:$G$379,"2026"))</f>
        <v/>
      </c>
      <c r="I70">
        <f>IF($A70="","",SUMIFS(Socle!$P$1:$P$379,Socle!$C$1:$C$379,$A70,Socle!$D$1:$D$379,$C70,Socle!$E$1:$E$379,$D70,Socle!$F$1:$F$379,$E70,Socle!$G$1:$G$379,"2026"))</f>
        <v/>
      </c>
      <c r="J70">
        <f>IF($A70="","",SUMIFS(Socle!$W$1:$W$379,Socle!$C$1:$C$379,$A70,Socle!$D$1:$D$379,$C70,Socle!$E$1:$E$379,$D70,Socle!$F$1:$F$379,$E70,Socle!$G$1:$G$379,"2026"))</f>
        <v/>
      </c>
      <c r="K70">
        <f>IF($A70="","",SUMIFS(Socle!$X$1:$X$379,Socle!$C$1:$C$379,$A70,Socle!$D$1:$D$379,$C70,Socle!$E$1:$E$379,$D70,Socle!$F$1:$F$379,$E70,Socle!$G$1:$G$379,"2026"))</f>
        <v/>
      </c>
      <c r="L70">
        <f>IF($A70="","",SUMIFS(Socle!$Y$1:$Y$379,Socle!$C$1:$C$379,$A70,Socle!$D$1:$D$379,$C70,Socle!$E$1:$E$379,$D70,Socle!$F$1:$F$379,$E70,Socle!$G$1:$G$379,"2026"))</f>
        <v/>
      </c>
      <c r="M70">
        <f>IF($A70="","",SUMIFS(Socle!$V$1:$V$379,Socle!$C$1:$C$379,$A70,Socle!$D$1:$D$379,$C70,Socle!$E$1:$E$379,$D70,Socle!$F$1:$F$379,$E70,Socle!$G$1:$G$379,"2026"))</f>
        <v/>
      </c>
      <c r="N70">
        <f>IF($A70="","",IF(OR($D70="B1",$D70="M1",$D70="BTS1"),1,0))</f>
        <v/>
      </c>
      <c r="O70">
        <f>IF($A70="","",SUMIFS(Campagne!$D$1:$D$28,Campagne!$C$1:$C$28,$A70))</f>
        <v/>
      </c>
      <c r="P70">
        <f>IF($A70="","",SUMIFS(Campagne!$E$1:$E$28,Campagne!$C$1:$C$28,$A70))</f>
        <v/>
      </c>
      <c r="Q70">
        <f>IF($A70="","",SUMIFS(Campagne!$F$1:$F$28,Campagne!$C$1:$C$28,$A70))</f>
        <v/>
      </c>
      <c r="R70">
        <f>IF($A70="","",SUMIFS(Campagne!$K$1:$K$28,Campagne!$C$1:$C$28,$A70))</f>
        <v/>
      </c>
      <c r="S70">
        <f>IF($A70="","",SUMIFS(Campagne!$M$1:$M$28,Campagne!$C$1:$C$28,$A70))</f>
        <v/>
      </c>
      <c r="T70">
        <f>IF($A70="","",SUMIFS(Pilotage!$K$19:$K$32,Pilotage!$A$19:$A$32,$A70)*SUMIFS(Pilotage!$J$19:$J$32,Pilotage!$A$19:$A$32,$A70)*(SUM(Pilotage!$K$19:$K$32)/SUMPRODUCT(Pilotage!$K$19:$K$32,Pilotage!$J$19:$J$32)))</f>
        <v/>
      </c>
      <c r="U70">
        <f>IF($A70="","",SUMIFS(Pilotage!$K$19:$K$32,Pilotage!$A$19:$A$32,$A70))</f>
        <v/>
      </c>
      <c r="V70">
        <f>IF($A70="","",IF($B70="V01",Cadrage!$C$22,IF($B70="V02",Cadrage!$D$22,Cadrage!$E$22)))</f>
        <v/>
      </c>
      <c r="W70">
        <f>IF($A70="","",IF($B70="V01",Cadrage!$C$23,IF($B70="V02",Cadrage!$D$23,Cadrage!$E$23)))</f>
        <v/>
      </c>
      <c r="X70">
        <f>IF($A70="","",IF($B70="V01",Cadrage!$C$24,IF($B70="V02",Cadrage!$D$24,Cadrage!$E$24)))</f>
        <v/>
      </c>
      <c r="Y70">
        <f>IF($A70="","",IF($B70="V01",Cadrage!$C$25,IF($B70="V02",Cadrage!$D$25,Cadrage!$E$25)))</f>
        <v/>
      </c>
      <c r="Z70">
        <f>IF($A70="","",IF($B70="V01",Cadrage!$C$26,IF($B70="V02",Cadrage!$D$26,Cadrage!$E$26)))</f>
        <v/>
      </c>
      <c r="AA70">
        <f>IF($A70="","",IF($B70="V01",Cadrage!$C$27,IF($B70="V02",Cadrage!$D$27,Cadrage!$E$27)))</f>
        <v/>
      </c>
      <c r="AB70">
        <f>IF($A70="","",IF($B70="V01",Cadrage!$C$39,IF($B70="V02",Cadrage!$D$39,Cadrage!$E$39)))</f>
        <v/>
      </c>
      <c r="AC70">
        <f>IF($A70="","",IF($F70="MBWAY",Cadrage!$K$11,IF($F70="ISCOM",Cadrage!$K$12,IF($F70="IPAC",Cadrage!$K$13,IF($F70="PIGIER",Cadrage!$K$14,Cadrage!$K$15)))))</f>
        <v/>
      </c>
      <c r="AD70">
        <f>IF($A70="","",($O70*(1+$W70)^$S70+$P70*IFERROR((($T70/$U70)*(1+$V70))^$R70,0))*IFERROR($G70/$Q70,0)*($J70+$Y70)*$K70*($L70+$Z70))</f>
        <v/>
      </c>
      <c r="AE70">
        <f>IF($A70="","",IF($N70=1,$AD70,0))</f>
        <v/>
      </c>
      <c r="AF70">
        <f>IF($A70="","",IF($N70=1,$AD70,$H70*($M70+$AA70)))</f>
        <v/>
      </c>
      <c r="AG70">
        <f>IF($A70="","",$I70*(1+$X70*$AC70))</f>
        <v/>
      </c>
      <c r="AH70">
        <f>IF($A70="","",$AF70*$AG70+$AE70*$AB70)</f>
        <v/>
      </c>
    </row>
    <row r="71">
      <c r="A71">
        <f>IF(Moteur!D71="","",Moteur!D71)</f>
        <v/>
      </c>
      <c r="B71">
        <f>IF(Moteur!B71="","",Moteur!B71)</f>
        <v/>
      </c>
      <c r="C71">
        <f>IF(Moteur!F71="","",Moteur!F71)</f>
        <v/>
      </c>
      <c r="D71">
        <f>IF(Moteur!G71="","",Moteur!G71)</f>
        <v/>
      </c>
      <c r="E71">
        <f>IF(Moteur!H71="","",Moteur!H71)</f>
        <v/>
      </c>
      <c r="F71">
        <f>IF(Moteur!E71="","",Moteur!E71)</f>
        <v/>
      </c>
      <c r="G71">
        <f>IF($A71="","",SUMIFS(Socle!$H$1:$H$379,Socle!$C$1:$C$379,$A71,Socle!$D$1:$D$379,$C71,Socle!$E$1:$E$379,$D71,Socle!$F$1:$F$379,$E71,Socle!$G$1:$G$379,"2026"))</f>
        <v/>
      </c>
      <c r="H71">
        <f>IF($A71="","",SUMIFS(Socle!$N$1:$N$379,Socle!$C$1:$C$379,$A71,Socle!$D$1:$D$379,$C71,Socle!$E$1:$E$379,$D71,Socle!$F$1:$F$379,$E71,Socle!$G$1:$G$379,"2026"))</f>
        <v/>
      </c>
      <c r="I71">
        <f>IF($A71="","",SUMIFS(Socle!$P$1:$P$379,Socle!$C$1:$C$379,$A71,Socle!$D$1:$D$379,$C71,Socle!$E$1:$E$379,$D71,Socle!$F$1:$F$379,$E71,Socle!$G$1:$G$379,"2026"))</f>
        <v/>
      </c>
      <c r="J71">
        <f>IF($A71="","",SUMIFS(Socle!$W$1:$W$379,Socle!$C$1:$C$379,$A71,Socle!$D$1:$D$379,$C71,Socle!$E$1:$E$379,$D71,Socle!$F$1:$F$379,$E71,Socle!$G$1:$G$379,"2026"))</f>
        <v/>
      </c>
      <c r="K71">
        <f>IF($A71="","",SUMIFS(Socle!$X$1:$X$379,Socle!$C$1:$C$379,$A71,Socle!$D$1:$D$379,$C71,Socle!$E$1:$E$379,$D71,Socle!$F$1:$F$379,$E71,Socle!$G$1:$G$379,"2026"))</f>
        <v/>
      </c>
      <c r="L71">
        <f>IF($A71="","",SUMIFS(Socle!$Y$1:$Y$379,Socle!$C$1:$C$379,$A71,Socle!$D$1:$D$379,$C71,Socle!$E$1:$E$379,$D71,Socle!$F$1:$F$379,$E71,Socle!$G$1:$G$379,"2026"))</f>
        <v/>
      </c>
      <c r="M71">
        <f>IF($A71="","",SUMIFS(Socle!$V$1:$V$379,Socle!$C$1:$C$379,$A71,Socle!$D$1:$D$379,$C71,Socle!$E$1:$E$379,$D71,Socle!$F$1:$F$379,$E71,Socle!$G$1:$G$379,"2026"))</f>
        <v/>
      </c>
      <c r="N71">
        <f>IF($A71="","",IF(OR($D71="B1",$D71="M1",$D71="BTS1"),1,0))</f>
        <v/>
      </c>
      <c r="O71">
        <f>IF($A71="","",SUMIFS(Campagne!$D$1:$D$28,Campagne!$C$1:$C$28,$A71))</f>
        <v/>
      </c>
      <c r="P71">
        <f>IF($A71="","",SUMIFS(Campagne!$E$1:$E$28,Campagne!$C$1:$C$28,$A71))</f>
        <v/>
      </c>
      <c r="Q71">
        <f>IF($A71="","",SUMIFS(Campagne!$F$1:$F$28,Campagne!$C$1:$C$28,$A71))</f>
        <v/>
      </c>
      <c r="R71">
        <f>IF($A71="","",SUMIFS(Campagne!$K$1:$K$28,Campagne!$C$1:$C$28,$A71))</f>
        <v/>
      </c>
      <c r="S71">
        <f>IF($A71="","",SUMIFS(Campagne!$M$1:$M$28,Campagne!$C$1:$C$28,$A71))</f>
        <v/>
      </c>
      <c r="T71">
        <f>IF($A71="","",SUMIFS(Pilotage!$K$19:$K$32,Pilotage!$A$19:$A$32,$A71)*SUMIFS(Pilotage!$J$19:$J$32,Pilotage!$A$19:$A$32,$A71)*(SUM(Pilotage!$K$19:$K$32)/SUMPRODUCT(Pilotage!$K$19:$K$32,Pilotage!$J$19:$J$32)))</f>
        <v/>
      </c>
      <c r="U71">
        <f>IF($A71="","",SUMIFS(Pilotage!$K$19:$K$32,Pilotage!$A$19:$A$32,$A71))</f>
        <v/>
      </c>
      <c r="V71">
        <f>IF($A71="","",IF($B71="V01",Cadrage!$C$22,IF($B71="V02",Cadrage!$D$22,Cadrage!$E$22)))</f>
        <v/>
      </c>
      <c r="W71">
        <f>IF($A71="","",IF($B71="V01",Cadrage!$C$23,IF($B71="V02",Cadrage!$D$23,Cadrage!$E$23)))</f>
        <v/>
      </c>
      <c r="X71">
        <f>IF($A71="","",IF($B71="V01",Cadrage!$C$24,IF($B71="V02",Cadrage!$D$24,Cadrage!$E$24)))</f>
        <v/>
      </c>
      <c r="Y71">
        <f>IF($A71="","",IF($B71="V01",Cadrage!$C$25,IF($B71="V02",Cadrage!$D$25,Cadrage!$E$25)))</f>
        <v/>
      </c>
      <c r="Z71">
        <f>IF($A71="","",IF($B71="V01",Cadrage!$C$26,IF($B71="V02",Cadrage!$D$26,Cadrage!$E$26)))</f>
        <v/>
      </c>
      <c r="AA71">
        <f>IF($A71="","",IF($B71="V01",Cadrage!$C$27,IF($B71="V02",Cadrage!$D$27,Cadrage!$E$27)))</f>
        <v/>
      </c>
      <c r="AB71">
        <f>IF($A71="","",IF($B71="V01",Cadrage!$C$39,IF($B71="V02",Cadrage!$D$39,Cadrage!$E$39)))</f>
        <v/>
      </c>
      <c r="AC71">
        <f>IF($A71="","",IF($F71="MBWAY",Cadrage!$K$11,IF($F71="ISCOM",Cadrage!$K$12,IF($F71="IPAC",Cadrage!$K$13,IF($F71="PIGIER",Cadrage!$K$14,Cadrage!$K$15)))))</f>
        <v/>
      </c>
      <c r="AD71">
        <f>IF($A71="","",($O71*(1+$W71)^$S71+$P71*IFERROR((($T71/$U71)*(1+$V71))^$R71,0))*IFERROR($G71/$Q71,0)*($J71+$Y71)*$K71*($L71+$Z71))</f>
        <v/>
      </c>
      <c r="AE71">
        <f>IF($A71="","",IF($N71=1,$AD71,0))</f>
        <v/>
      </c>
      <c r="AF71">
        <f>IF($A71="","",IF($N71=1,$AD71,$H71*($M71+$AA71)))</f>
        <v/>
      </c>
      <c r="AG71">
        <f>IF($A71="","",$I71*(1+$X71*$AC71))</f>
        <v/>
      </c>
      <c r="AH71">
        <f>IF($A71="","",$AF71*$AG71+$AE71*$AB71)</f>
        <v/>
      </c>
    </row>
    <row r="72">
      <c r="A72">
        <f>IF(Moteur!D72="","",Moteur!D72)</f>
        <v/>
      </c>
      <c r="B72">
        <f>IF(Moteur!B72="","",Moteur!B72)</f>
        <v/>
      </c>
      <c r="C72">
        <f>IF(Moteur!F72="","",Moteur!F72)</f>
        <v/>
      </c>
      <c r="D72">
        <f>IF(Moteur!G72="","",Moteur!G72)</f>
        <v/>
      </c>
      <c r="E72">
        <f>IF(Moteur!H72="","",Moteur!H72)</f>
        <v/>
      </c>
      <c r="F72">
        <f>IF(Moteur!E72="","",Moteur!E72)</f>
        <v/>
      </c>
      <c r="G72">
        <f>IF($A72="","",SUMIFS(Socle!$H$1:$H$379,Socle!$C$1:$C$379,$A72,Socle!$D$1:$D$379,$C72,Socle!$E$1:$E$379,$D72,Socle!$F$1:$F$379,$E72,Socle!$G$1:$G$379,"2026"))</f>
        <v/>
      </c>
      <c r="H72">
        <f>IF($A72="","",SUMIFS(Socle!$N$1:$N$379,Socle!$C$1:$C$379,$A72,Socle!$D$1:$D$379,$C72,Socle!$E$1:$E$379,$D72,Socle!$F$1:$F$379,$E72,Socle!$G$1:$G$379,"2026"))</f>
        <v/>
      </c>
      <c r="I72">
        <f>IF($A72="","",SUMIFS(Socle!$P$1:$P$379,Socle!$C$1:$C$379,$A72,Socle!$D$1:$D$379,$C72,Socle!$E$1:$E$379,$D72,Socle!$F$1:$F$379,$E72,Socle!$G$1:$G$379,"2026"))</f>
        <v/>
      </c>
      <c r="J72">
        <f>IF($A72="","",SUMIFS(Socle!$W$1:$W$379,Socle!$C$1:$C$379,$A72,Socle!$D$1:$D$379,$C72,Socle!$E$1:$E$379,$D72,Socle!$F$1:$F$379,$E72,Socle!$G$1:$G$379,"2026"))</f>
        <v/>
      </c>
      <c r="K72">
        <f>IF($A72="","",SUMIFS(Socle!$X$1:$X$379,Socle!$C$1:$C$379,$A72,Socle!$D$1:$D$379,$C72,Socle!$E$1:$E$379,$D72,Socle!$F$1:$F$379,$E72,Socle!$G$1:$G$379,"2026"))</f>
        <v/>
      </c>
      <c r="L72">
        <f>IF($A72="","",SUMIFS(Socle!$Y$1:$Y$379,Socle!$C$1:$C$379,$A72,Socle!$D$1:$D$379,$C72,Socle!$E$1:$E$379,$D72,Socle!$F$1:$F$379,$E72,Socle!$G$1:$G$379,"2026"))</f>
        <v/>
      </c>
      <c r="M72">
        <f>IF($A72="","",SUMIFS(Socle!$V$1:$V$379,Socle!$C$1:$C$379,$A72,Socle!$D$1:$D$379,$C72,Socle!$E$1:$E$379,$D72,Socle!$F$1:$F$379,$E72,Socle!$G$1:$G$379,"2026"))</f>
        <v/>
      </c>
      <c r="N72">
        <f>IF($A72="","",IF(OR($D72="B1",$D72="M1",$D72="BTS1"),1,0))</f>
        <v/>
      </c>
      <c r="O72">
        <f>IF($A72="","",SUMIFS(Campagne!$D$1:$D$28,Campagne!$C$1:$C$28,$A72))</f>
        <v/>
      </c>
      <c r="P72">
        <f>IF($A72="","",SUMIFS(Campagne!$E$1:$E$28,Campagne!$C$1:$C$28,$A72))</f>
        <v/>
      </c>
      <c r="Q72">
        <f>IF($A72="","",SUMIFS(Campagne!$F$1:$F$28,Campagne!$C$1:$C$28,$A72))</f>
        <v/>
      </c>
      <c r="R72">
        <f>IF($A72="","",SUMIFS(Campagne!$K$1:$K$28,Campagne!$C$1:$C$28,$A72))</f>
        <v/>
      </c>
      <c r="S72">
        <f>IF($A72="","",SUMIFS(Campagne!$M$1:$M$28,Campagne!$C$1:$C$28,$A72))</f>
        <v/>
      </c>
      <c r="T72">
        <f>IF($A72="","",SUMIFS(Pilotage!$K$19:$K$32,Pilotage!$A$19:$A$32,$A72)*SUMIFS(Pilotage!$J$19:$J$32,Pilotage!$A$19:$A$32,$A72)*(SUM(Pilotage!$K$19:$K$32)/SUMPRODUCT(Pilotage!$K$19:$K$32,Pilotage!$J$19:$J$32)))</f>
        <v/>
      </c>
      <c r="U72">
        <f>IF($A72="","",SUMIFS(Pilotage!$K$19:$K$32,Pilotage!$A$19:$A$32,$A72))</f>
        <v/>
      </c>
      <c r="V72">
        <f>IF($A72="","",IF($B72="V01",Cadrage!$C$22,IF($B72="V02",Cadrage!$D$22,Cadrage!$E$22)))</f>
        <v/>
      </c>
      <c r="W72">
        <f>IF($A72="","",IF($B72="V01",Cadrage!$C$23,IF($B72="V02",Cadrage!$D$23,Cadrage!$E$23)))</f>
        <v/>
      </c>
      <c r="X72">
        <f>IF($A72="","",IF($B72="V01",Cadrage!$C$24,IF($B72="V02",Cadrage!$D$24,Cadrage!$E$24)))</f>
        <v/>
      </c>
      <c r="Y72">
        <f>IF($A72="","",IF($B72="V01",Cadrage!$C$25,IF($B72="V02",Cadrage!$D$25,Cadrage!$E$25)))</f>
        <v/>
      </c>
      <c r="Z72">
        <f>IF($A72="","",IF($B72="V01",Cadrage!$C$26,IF($B72="V02",Cadrage!$D$26,Cadrage!$E$26)))</f>
        <v/>
      </c>
      <c r="AA72">
        <f>IF($A72="","",IF($B72="V01",Cadrage!$C$27,IF($B72="V02",Cadrage!$D$27,Cadrage!$E$27)))</f>
        <v/>
      </c>
      <c r="AB72">
        <f>IF($A72="","",IF($B72="V01",Cadrage!$C$39,IF($B72="V02",Cadrage!$D$39,Cadrage!$E$39)))</f>
        <v/>
      </c>
      <c r="AC72">
        <f>IF($A72="","",IF($F72="MBWAY",Cadrage!$K$11,IF($F72="ISCOM",Cadrage!$K$12,IF($F72="IPAC",Cadrage!$K$13,IF($F72="PIGIER",Cadrage!$K$14,Cadrage!$K$15)))))</f>
        <v/>
      </c>
      <c r="AD72">
        <f>IF($A72="","",($O72*(1+$W72)^$S72+$P72*IFERROR((($T72/$U72)*(1+$V72))^$R72,0))*IFERROR($G72/$Q72,0)*($J72+$Y72)*$K72*($L72+$Z72))</f>
        <v/>
      </c>
      <c r="AE72">
        <f>IF($A72="","",IF($N72=1,$AD72,0))</f>
        <v/>
      </c>
      <c r="AF72">
        <f>IF($A72="","",IF($N72=1,$AD72,$H72*($M72+$AA72)))</f>
        <v/>
      </c>
      <c r="AG72">
        <f>IF($A72="","",$I72*(1+$X72*$AC72))</f>
        <v/>
      </c>
      <c r="AH72">
        <f>IF($A72="","",$AF72*$AG72+$AE72*$AB72)</f>
        <v/>
      </c>
    </row>
    <row r="73">
      <c r="A73">
        <f>IF(Moteur!D73="","",Moteur!D73)</f>
        <v/>
      </c>
      <c r="B73">
        <f>IF(Moteur!B73="","",Moteur!B73)</f>
        <v/>
      </c>
      <c r="C73">
        <f>IF(Moteur!F73="","",Moteur!F73)</f>
        <v/>
      </c>
      <c r="D73">
        <f>IF(Moteur!G73="","",Moteur!G73)</f>
        <v/>
      </c>
      <c r="E73">
        <f>IF(Moteur!H73="","",Moteur!H73)</f>
        <v/>
      </c>
      <c r="F73">
        <f>IF(Moteur!E73="","",Moteur!E73)</f>
        <v/>
      </c>
      <c r="G73">
        <f>IF($A73="","",SUMIFS(Socle!$H$1:$H$379,Socle!$C$1:$C$379,$A73,Socle!$D$1:$D$379,$C73,Socle!$E$1:$E$379,$D73,Socle!$F$1:$F$379,$E73,Socle!$G$1:$G$379,"2026"))</f>
        <v/>
      </c>
      <c r="H73">
        <f>IF($A73="","",SUMIFS(Socle!$N$1:$N$379,Socle!$C$1:$C$379,$A73,Socle!$D$1:$D$379,$C73,Socle!$E$1:$E$379,$D73,Socle!$F$1:$F$379,$E73,Socle!$G$1:$G$379,"2026"))</f>
        <v/>
      </c>
      <c r="I73">
        <f>IF($A73="","",SUMIFS(Socle!$P$1:$P$379,Socle!$C$1:$C$379,$A73,Socle!$D$1:$D$379,$C73,Socle!$E$1:$E$379,$D73,Socle!$F$1:$F$379,$E73,Socle!$G$1:$G$379,"2026"))</f>
        <v/>
      </c>
      <c r="J73">
        <f>IF($A73="","",SUMIFS(Socle!$W$1:$W$379,Socle!$C$1:$C$379,$A73,Socle!$D$1:$D$379,$C73,Socle!$E$1:$E$379,$D73,Socle!$F$1:$F$379,$E73,Socle!$G$1:$G$379,"2026"))</f>
        <v/>
      </c>
      <c r="K73">
        <f>IF($A73="","",SUMIFS(Socle!$X$1:$X$379,Socle!$C$1:$C$379,$A73,Socle!$D$1:$D$379,$C73,Socle!$E$1:$E$379,$D73,Socle!$F$1:$F$379,$E73,Socle!$G$1:$G$379,"2026"))</f>
        <v/>
      </c>
      <c r="L73">
        <f>IF($A73="","",SUMIFS(Socle!$Y$1:$Y$379,Socle!$C$1:$C$379,$A73,Socle!$D$1:$D$379,$C73,Socle!$E$1:$E$379,$D73,Socle!$F$1:$F$379,$E73,Socle!$G$1:$G$379,"2026"))</f>
        <v/>
      </c>
      <c r="M73">
        <f>IF($A73="","",SUMIFS(Socle!$V$1:$V$379,Socle!$C$1:$C$379,$A73,Socle!$D$1:$D$379,$C73,Socle!$E$1:$E$379,$D73,Socle!$F$1:$F$379,$E73,Socle!$G$1:$G$379,"2026"))</f>
        <v/>
      </c>
      <c r="N73">
        <f>IF($A73="","",IF(OR($D73="B1",$D73="M1",$D73="BTS1"),1,0))</f>
        <v/>
      </c>
      <c r="O73">
        <f>IF($A73="","",SUMIFS(Campagne!$D$1:$D$28,Campagne!$C$1:$C$28,$A73))</f>
        <v/>
      </c>
      <c r="P73">
        <f>IF($A73="","",SUMIFS(Campagne!$E$1:$E$28,Campagne!$C$1:$C$28,$A73))</f>
        <v/>
      </c>
      <c r="Q73">
        <f>IF($A73="","",SUMIFS(Campagne!$F$1:$F$28,Campagne!$C$1:$C$28,$A73))</f>
        <v/>
      </c>
      <c r="R73">
        <f>IF($A73="","",SUMIFS(Campagne!$K$1:$K$28,Campagne!$C$1:$C$28,$A73))</f>
        <v/>
      </c>
      <c r="S73">
        <f>IF($A73="","",SUMIFS(Campagne!$M$1:$M$28,Campagne!$C$1:$C$28,$A73))</f>
        <v/>
      </c>
      <c r="T73">
        <f>IF($A73="","",SUMIFS(Pilotage!$K$19:$K$32,Pilotage!$A$19:$A$32,$A73)*SUMIFS(Pilotage!$J$19:$J$32,Pilotage!$A$19:$A$32,$A73)*(SUM(Pilotage!$K$19:$K$32)/SUMPRODUCT(Pilotage!$K$19:$K$32,Pilotage!$J$19:$J$32)))</f>
        <v/>
      </c>
      <c r="U73">
        <f>IF($A73="","",SUMIFS(Pilotage!$K$19:$K$32,Pilotage!$A$19:$A$32,$A73))</f>
        <v/>
      </c>
      <c r="V73">
        <f>IF($A73="","",IF($B73="V01",Cadrage!$C$22,IF($B73="V02",Cadrage!$D$22,Cadrage!$E$22)))</f>
        <v/>
      </c>
      <c r="W73">
        <f>IF($A73="","",IF($B73="V01",Cadrage!$C$23,IF($B73="V02",Cadrage!$D$23,Cadrage!$E$23)))</f>
        <v/>
      </c>
      <c r="X73">
        <f>IF($A73="","",IF($B73="V01",Cadrage!$C$24,IF($B73="V02",Cadrage!$D$24,Cadrage!$E$24)))</f>
        <v/>
      </c>
      <c r="Y73">
        <f>IF($A73="","",IF($B73="V01",Cadrage!$C$25,IF($B73="V02",Cadrage!$D$25,Cadrage!$E$25)))</f>
        <v/>
      </c>
      <c r="Z73">
        <f>IF($A73="","",IF($B73="V01",Cadrage!$C$26,IF($B73="V02",Cadrage!$D$26,Cadrage!$E$26)))</f>
        <v/>
      </c>
      <c r="AA73">
        <f>IF($A73="","",IF($B73="V01",Cadrage!$C$27,IF($B73="V02",Cadrage!$D$27,Cadrage!$E$27)))</f>
        <v/>
      </c>
      <c r="AB73">
        <f>IF($A73="","",IF($B73="V01",Cadrage!$C$39,IF($B73="V02",Cadrage!$D$39,Cadrage!$E$39)))</f>
        <v/>
      </c>
      <c r="AC73">
        <f>IF($A73="","",IF($F73="MBWAY",Cadrage!$K$11,IF($F73="ISCOM",Cadrage!$K$12,IF($F73="IPAC",Cadrage!$K$13,IF($F73="PIGIER",Cadrage!$K$14,Cadrage!$K$15)))))</f>
        <v/>
      </c>
      <c r="AD73">
        <f>IF($A73="","",($O73*(1+$W73)^$S73+$P73*IFERROR((($T73/$U73)*(1+$V73))^$R73,0))*IFERROR($G73/$Q73,0)*($J73+$Y73)*$K73*($L73+$Z73))</f>
        <v/>
      </c>
      <c r="AE73">
        <f>IF($A73="","",IF($N73=1,$AD73,0))</f>
        <v/>
      </c>
      <c r="AF73">
        <f>IF($A73="","",IF($N73=1,$AD73,$H73*($M73+$AA73)))</f>
        <v/>
      </c>
      <c r="AG73">
        <f>IF($A73="","",$I73*(1+$X73*$AC73))</f>
        <v/>
      </c>
      <c r="AH73">
        <f>IF($A73="","",$AF73*$AG73+$AE73*$AB73)</f>
        <v/>
      </c>
    </row>
    <row r="74">
      <c r="A74">
        <f>IF(Moteur!D74="","",Moteur!D74)</f>
        <v/>
      </c>
      <c r="B74">
        <f>IF(Moteur!B74="","",Moteur!B74)</f>
        <v/>
      </c>
      <c r="C74">
        <f>IF(Moteur!F74="","",Moteur!F74)</f>
        <v/>
      </c>
      <c r="D74">
        <f>IF(Moteur!G74="","",Moteur!G74)</f>
        <v/>
      </c>
      <c r="E74">
        <f>IF(Moteur!H74="","",Moteur!H74)</f>
        <v/>
      </c>
      <c r="F74">
        <f>IF(Moteur!E74="","",Moteur!E74)</f>
        <v/>
      </c>
      <c r="G74">
        <f>IF($A74="","",SUMIFS(Socle!$H$1:$H$379,Socle!$C$1:$C$379,$A74,Socle!$D$1:$D$379,$C74,Socle!$E$1:$E$379,$D74,Socle!$F$1:$F$379,$E74,Socle!$G$1:$G$379,"2026"))</f>
        <v/>
      </c>
      <c r="H74">
        <f>IF($A74="","",SUMIFS(Socle!$N$1:$N$379,Socle!$C$1:$C$379,$A74,Socle!$D$1:$D$379,$C74,Socle!$E$1:$E$379,$D74,Socle!$F$1:$F$379,$E74,Socle!$G$1:$G$379,"2026"))</f>
        <v/>
      </c>
      <c r="I74">
        <f>IF($A74="","",SUMIFS(Socle!$P$1:$P$379,Socle!$C$1:$C$379,$A74,Socle!$D$1:$D$379,$C74,Socle!$E$1:$E$379,$D74,Socle!$F$1:$F$379,$E74,Socle!$G$1:$G$379,"2026"))</f>
        <v/>
      </c>
      <c r="J74">
        <f>IF($A74="","",SUMIFS(Socle!$W$1:$W$379,Socle!$C$1:$C$379,$A74,Socle!$D$1:$D$379,$C74,Socle!$E$1:$E$379,$D74,Socle!$F$1:$F$379,$E74,Socle!$G$1:$G$379,"2026"))</f>
        <v/>
      </c>
      <c r="K74">
        <f>IF($A74="","",SUMIFS(Socle!$X$1:$X$379,Socle!$C$1:$C$379,$A74,Socle!$D$1:$D$379,$C74,Socle!$E$1:$E$379,$D74,Socle!$F$1:$F$379,$E74,Socle!$G$1:$G$379,"2026"))</f>
        <v/>
      </c>
      <c r="L74">
        <f>IF($A74="","",SUMIFS(Socle!$Y$1:$Y$379,Socle!$C$1:$C$379,$A74,Socle!$D$1:$D$379,$C74,Socle!$E$1:$E$379,$D74,Socle!$F$1:$F$379,$E74,Socle!$G$1:$G$379,"2026"))</f>
        <v/>
      </c>
      <c r="M74">
        <f>IF($A74="","",SUMIFS(Socle!$V$1:$V$379,Socle!$C$1:$C$379,$A74,Socle!$D$1:$D$379,$C74,Socle!$E$1:$E$379,$D74,Socle!$F$1:$F$379,$E74,Socle!$G$1:$G$379,"2026"))</f>
        <v/>
      </c>
      <c r="N74">
        <f>IF($A74="","",IF(OR($D74="B1",$D74="M1",$D74="BTS1"),1,0))</f>
        <v/>
      </c>
      <c r="O74">
        <f>IF($A74="","",SUMIFS(Campagne!$D$1:$D$28,Campagne!$C$1:$C$28,$A74))</f>
        <v/>
      </c>
      <c r="P74">
        <f>IF($A74="","",SUMIFS(Campagne!$E$1:$E$28,Campagne!$C$1:$C$28,$A74))</f>
        <v/>
      </c>
      <c r="Q74">
        <f>IF($A74="","",SUMIFS(Campagne!$F$1:$F$28,Campagne!$C$1:$C$28,$A74))</f>
        <v/>
      </c>
      <c r="R74">
        <f>IF($A74="","",SUMIFS(Campagne!$K$1:$K$28,Campagne!$C$1:$C$28,$A74))</f>
        <v/>
      </c>
      <c r="S74">
        <f>IF($A74="","",SUMIFS(Campagne!$M$1:$M$28,Campagne!$C$1:$C$28,$A74))</f>
        <v/>
      </c>
      <c r="T74">
        <f>IF($A74="","",SUMIFS(Pilotage!$K$19:$K$32,Pilotage!$A$19:$A$32,$A74)*SUMIFS(Pilotage!$J$19:$J$32,Pilotage!$A$19:$A$32,$A74)*(SUM(Pilotage!$K$19:$K$32)/SUMPRODUCT(Pilotage!$K$19:$K$32,Pilotage!$J$19:$J$32)))</f>
        <v/>
      </c>
      <c r="U74">
        <f>IF($A74="","",SUMIFS(Pilotage!$K$19:$K$32,Pilotage!$A$19:$A$32,$A74))</f>
        <v/>
      </c>
      <c r="V74">
        <f>IF($A74="","",IF($B74="V01",Cadrage!$C$22,IF($B74="V02",Cadrage!$D$22,Cadrage!$E$22)))</f>
        <v/>
      </c>
      <c r="W74">
        <f>IF($A74="","",IF($B74="V01",Cadrage!$C$23,IF($B74="V02",Cadrage!$D$23,Cadrage!$E$23)))</f>
        <v/>
      </c>
      <c r="X74">
        <f>IF($A74="","",IF($B74="V01",Cadrage!$C$24,IF($B74="V02",Cadrage!$D$24,Cadrage!$E$24)))</f>
        <v/>
      </c>
      <c r="Y74">
        <f>IF($A74="","",IF($B74="V01",Cadrage!$C$25,IF($B74="V02",Cadrage!$D$25,Cadrage!$E$25)))</f>
        <v/>
      </c>
      <c r="Z74">
        <f>IF($A74="","",IF($B74="V01",Cadrage!$C$26,IF($B74="V02",Cadrage!$D$26,Cadrage!$E$26)))</f>
        <v/>
      </c>
      <c r="AA74">
        <f>IF($A74="","",IF($B74="V01",Cadrage!$C$27,IF($B74="V02",Cadrage!$D$27,Cadrage!$E$27)))</f>
        <v/>
      </c>
      <c r="AB74">
        <f>IF($A74="","",IF($B74="V01",Cadrage!$C$39,IF($B74="V02",Cadrage!$D$39,Cadrage!$E$39)))</f>
        <v/>
      </c>
      <c r="AC74">
        <f>IF($A74="","",IF($F74="MBWAY",Cadrage!$K$11,IF($F74="ISCOM",Cadrage!$K$12,IF($F74="IPAC",Cadrage!$K$13,IF($F74="PIGIER",Cadrage!$K$14,Cadrage!$K$15)))))</f>
        <v/>
      </c>
      <c r="AD74">
        <f>IF($A74="","",($O74*(1+$W74)^$S74+$P74*IFERROR((($T74/$U74)*(1+$V74))^$R74,0))*IFERROR($G74/$Q74,0)*($J74+$Y74)*$K74*($L74+$Z74))</f>
        <v/>
      </c>
      <c r="AE74">
        <f>IF($A74="","",IF($N74=1,$AD74,0))</f>
        <v/>
      </c>
      <c r="AF74">
        <f>IF($A74="","",IF($N74=1,$AD74,$H74*($M74+$AA74)))</f>
        <v/>
      </c>
      <c r="AG74">
        <f>IF($A74="","",$I74*(1+$X74*$AC74))</f>
        <v/>
      </c>
      <c r="AH74">
        <f>IF($A74="","",$AF74*$AG74+$AE74*$AB74)</f>
        <v/>
      </c>
    </row>
    <row r="75">
      <c r="A75">
        <f>IF(Moteur!D75="","",Moteur!D75)</f>
        <v/>
      </c>
      <c r="B75">
        <f>IF(Moteur!B75="","",Moteur!B75)</f>
        <v/>
      </c>
      <c r="C75">
        <f>IF(Moteur!F75="","",Moteur!F75)</f>
        <v/>
      </c>
      <c r="D75">
        <f>IF(Moteur!G75="","",Moteur!G75)</f>
        <v/>
      </c>
      <c r="E75">
        <f>IF(Moteur!H75="","",Moteur!H75)</f>
        <v/>
      </c>
      <c r="F75">
        <f>IF(Moteur!E75="","",Moteur!E75)</f>
        <v/>
      </c>
      <c r="G75">
        <f>IF($A75="","",SUMIFS(Socle!$H$1:$H$379,Socle!$C$1:$C$379,$A75,Socle!$D$1:$D$379,$C75,Socle!$E$1:$E$379,$D75,Socle!$F$1:$F$379,$E75,Socle!$G$1:$G$379,"2026"))</f>
        <v/>
      </c>
      <c r="H75">
        <f>IF($A75="","",SUMIFS(Socle!$N$1:$N$379,Socle!$C$1:$C$379,$A75,Socle!$D$1:$D$379,$C75,Socle!$E$1:$E$379,$D75,Socle!$F$1:$F$379,$E75,Socle!$G$1:$G$379,"2026"))</f>
        <v/>
      </c>
      <c r="I75">
        <f>IF($A75="","",SUMIFS(Socle!$P$1:$P$379,Socle!$C$1:$C$379,$A75,Socle!$D$1:$D$379,$C75,Socle!$E$1:$E$379,$D75,Socle!$F$1:$F$379,$E75,Socle!$G$1:$G$379,"2026"))</f>
        <v/>
      </c>
      <c r="J75">
        <f>IF($A75="","",SUMIFS(Socle!$W$1:$W$379,Socle!$C$1:$C$379,$A75,Socle!$D$1:$D$379,$C75,Socle!$E$1:$E$379,$D75,Socle!$F$1:$F$379,$E75,Socle!$G$1:$G$379,"2026"))</f>
        <v/>
      </c>
      <c r="K75">
        <f>IF($A75="","",SUMIFS(Socle!$X$1:$X$379,Socle!$C$1:$C$379,$A75,Socle!$D$1:$D$379,$C75,Socle!$E$1:$E$379,$D75,Socle!$F$1:$F$379,$E75,Socle!$G$1:$G$379,"2026"))</f>
        <v/>
      </c>
      <c r="L75">
        <f>IF($A75="","",SUMIFS(Socle!$Y$1:$Y$379,Socle!$C$1:$C$379,$A75,Socle!$D$1:$D$379,$C75,Socle!$E$1:$E$379,$D75,Socle!$F$1:$F$379,$E75,Socle!$G$1:$G$379,"2026"))</f>
        <v/>
      </c>
      <c r="M75">
        <f>IF($A75="","",SUMIFS(Socle!$V$1:$V$379,Socle!$C$1:$C$379,$A75,Socle!$D$1:$D$379,$C75,Socle!$E$1:$E$379,$D75,Socle!$F$1:$F$379,$E75,Socle!$G$1:$G$379,"2026"))</f>
        <v/>
      </c>
      <c r="N75">
        <f>IF($A75="","",IF(OR($D75="B1",$D75="M1",$D75="BTS1"),1,0))</f>
        <v/>
      </c>
      <c r="O75">
        <f>IF($A75="","",SUMIFS(Campagne!$D$1:$D$28,Campagne!$C$1:$C$28,$A75))</f>
        <v/>
      </c>
      <c r="P75">
        <f>IF($A75="","",SUMIFS(Campagne!$E$1:$E$28,Campagne!$C$1:$C$28,$A75))</f>
        <v/>
      </c>
      <c r="Q75">
        <f>IF($A75="","",SUMIFS(Campagne!$F$1:$F$28,Campagne!$C$1:$C$28,$A75))</f>
        <v/>
      </c>
      <c r="R75">
        <f>IF($A75="","",SUMIFS(Campagne!$K$1:$K$28,Campagne!$C$1:$C$28,$A75))</f>
        <v/>
      </c>
      <c r="S75">
        <f>IF($A75="","",SUMIFS(Campagne!$M$1:$M$28,Campagne!$C$1:$C$28,$A75))</f>
        <v/>
      </c>
      <c r="T75">
        <f>IF($A75="","",SUMIFS(Pilotage!$K$19:$K$32,Pilotage!$A$19:$A$32,$A75)*SUMIFS(Pilotage!$J$19:$J$32,Pilotage!$A$19:$A$32,$A75)*(SUM(Pilotage!$K$19:$K$32)/SUMPRODUCT(Pilotage!$K$19:$K$32,Pilotage!$J$19:$J$32)))</f>
        <v/>
      </c>
      <c r="U75">
        <f>IF($A75="","",SUMIFS(Pilotage!$K$19:$K$32,Pilotage!$A$19:$A$32,$A75))</f>
        <v/>
      </c>
      <c r="V75">
        <f>IF($A75="","",IF($B75="V01",Cadrage!$C$22,IF($B75="V02",Cadrage!$D$22,Cadrage!$E$22)))</f>
        <v/>
      </c>
      <c r="W75">
        <f>IF($A75="","",IF($B75="V01",Cadrage!$C$23,IF($B75="V02",Cadrage!$D$23,Cadrage!$E$23)))</f>
        <v/>
      </c>
      <c r="X75">
        <f>IF($A75="","",IF($B75="V01",Cadrage!$C$24,IF($B75="V02",Cadrage!$D$24,Cadrage!$E$24)))</f>
        <v/>
      </c>
      <c r="Y75">
        <f>IF($A75="","",IF($B75="V01",Cadrage!$C$25,IF($B75="V02",Cadrage!$D$25,Cadrage!$E$25)))</f>
        <v/>
      </c>
      <c r="Z75">
        <f>IF($A75="","",IF($B75="V01",Cadrage!$C$26,IF($B75="V02",Cadrage!$D$26,Cadrage!$E$26)))</f>
        <v/>
      </c>
      <c r="AA75">
        <f>IF($A75="","",IF($B75="V01",Cadrage!$C$27,IF($B75="V02",Cadrage!$D$27,Cadrage!$E$27)))</f>
        <v/>
      </c>
      <c r="AB75">
        <f>IF($A75="","",IF($B75="V01",Cadrage!$C$39,IF($B75="V02",Cadrage!$D$39,Cadrage!$E$39)))</f>
        <v/>
      </c>
      <c r="AC75">
        <f>IF($A75="","",IF($F75="MBWAY",Cadrage!$K$11,IF($F75="ISCOM",Cadrage!$K$12,IF($F75="IPAC",Cadrage!$K$13,IF($F75="PIGIER",Cadrage!$K$14,Cadrage!$K$15)))))</f>
        <v/>
      </c>
      <c r="AD75">
        <f>IF($A75="","",($O75*(1+$W75)^$S75+$P75*IFERROR((($T75/$U75)*(1+$V75))^$R75,0))*IFERROR($G75/$Q75,0)*($J75+$Y75)*$K75*($L75+$Z75))</f>
        <v/>
      </c>
      <c r="AE75">
        <f>IF($A75="","",IF($N75=1,$AD75,0))</f>
        <v/>
      </c>
      <c r="AF75">
        <f>IF($A75="","",IF($N75=1,$AD75,$H75*($M75+$AA75)))</f>
        <v/>
      </c>
      <c r="AG75">
        <f>IF($A75="","",$I75*(1+$X75*$AC75))</f>
        <v/>
      </c>
      <c r="AH75">
        <f>IF($A75="","",$AF75*$AG75+$AE75*$AB75)</f>
        <v/>
      </c>
    </row>
    <row r="76">
      <c r="A76">
        <f>IF(Moteur!D76="","",Moteur!D76)</f>
        <v/>
      </c>
      <c r="B76">
        <f>IF(Moteur!B76="","",Moteur!B76)</f>
        <v/>
      </c>
      <c r="C76">
        <f>IF(Moteur!F76="","",Moteur!F76)</f>
        <v/>
      </c>
      <c r="D76">
        <f>IF(Moteur!G76="","",Moteur!G76)</f>
        <v/>
      </c>
      <c r="E76">
        <f>IF(Moteur!H76="","",Moteur!H76)</f>
        <v/>
      </c>
      <c r="F76">
        <f>IF(Moteur!E76="","",Moteur!E76)</f>
        <v/>
      </c>
      <c r="G76">
        <f>IF($A76="","",SUMIFS(Socle!$H$1:$H$379,Socle!$C$1:$C$379,$A76,Socle!$D$1:$D$379,$C76,Socle!$E$1:$E$379,$D76,Socle!$F$1:$F$379,$E76,Socle!$G$1:$G$379,"2026"))</f>
        <v/>
      </c>
      <c r="H76">
        <f>IF($A76="","",SUMIFS(Socle!$N$1:$N$379,Socle!$C$1:$C$379,$A76,Socle!$D$1:$D$379,$C76,Socle!$E$1:$E$379,$D76,Socle!$F$1:$F$379,$E76,Socle!$G$1:$G$379,"2026"))</f>
        <v/>
      </c>
      <c r="I76">
        <f>IF($A76="","",SUMIFS(Socle!$P$1:$P$379,Socle!$C$1:$C$379,$A76,Socle!$D$1:$D$379,$C76,Socle!$E$1:$E$379,$D76,Socle!$F$1:$F$379,$E76,Socle!$G$1:$G$379,"2026"))</f>
        <v/>
      </c>
      <c r="J76">
        <f>IF($A76="","",SUMIFS(Socle!$W$1:$W$379,Socle!$C$1:$C$379,$A76,Socle!$D$1:$D$379,$C76,Socle!$E$1:$E$379,$D76,Socle!$F$1:$F$379,$E76,Socle!$G$1:$G$379,"2026"))</f>
        <v/>
      </c>
      <c r="K76">
        <f>IF($A76="","",SUMIFS(Socle!$X$1:$X$379,Socle!$C$1:$C$379,$A76,Socle!$D$1:$D$379,$C76,Socle!$E$1:$E$379,$D76,Socle!$F$1:$F$379,$E76,Socle!$G$1:$G$379,"2026"))</f>
        <v/>
      </c>
      <c r="L76">
        <f>IF($A76="","",SUMIFS(Socle!$Y$1:$Y$379,Socle!$C$1:$C$379,$A76,Socle!$D$1:$D$379,$C76,Socle!$E$1:$E$379,$D76,Socle!$F$1:$F$379,$E76,Socle!$G$1:$G$379,"2026"))</f>
        <v/>
      </c>
      <c r="M76">
        <f>IF($A76="","",SUMIFS(Socle!$V$1:$V$379,Socle!$C$1:$C$379,$A76,Socle!$D$1:$D$379,$C76,Socle!$E$1:$E$379,$D76,Socle!$F$1:$F$379,$E76,Socle!$G$1:$G$379,"2026"))</f>
        <v/>
      </c>
      <c r="N76">
        <f>IF($A76="","",IF(OR($D76="B1",$D76="M1",$D76="BTS1"),1,0))</f>
        <v/>
      </c>
      <c r="O76">
        <f>IF($A76="","",SUMIFS(Campagne!$D$1:$D$28,Campagne!$C$1:$C$28,$A76))</f>
        <v/>
      </c>
      <c r="P76">
        <f>IF($A76="","",SUMIFS(Campagne!$E$1:$E$28,Campagne!$C$1:$C$28,$A76))</f>
        <v/>
      </c>
      <c r="Q76">
        <f>IF($A76="","",SUMIFS(Campagne!$F$1:$F$28,Campagne!$C$1:$C$28,$A76))</f>
        <v/>
      </c>
      <c r="R76">
        <f>IF($A76="","",SUMIFS(Campagne!$K$1:$K$28,Campagne!$C$1:$C$28,$A76))</f>
        <v/>
      </c>
      <c r="S76">
        <f>IF($A76="","",SUMIFS(Campagne!$M$1:$M$28,Campagne!$C$1:$C$28,$A76))</f>
        <v/>
      </c>
      <c r="T76">
        <f>IF($A76="","",SUMIFS(Pilotage!$K$19:$K$32,Pilotage!$A$19:$A$32,$A76)*SUMIFS(Pilotage!$J$19:$J$32,Pilotage!$A$19:$A$32,$A76)*(SUM(Pilotage!$K$19:$K$32)/SUMPRODUCT(Pilotage!$K$19:$K$32,Pilotage!$J$19:$J$32)))</f>
        <v/>
      </c>
      <c r="U76">
        <f>IF($A76="","",SUMIFS(Pilotage!$K$19:$K$32,Pilotage!$A$19:$A$32,$A76))</f>
        <v/>
      </c>
      <c r="V76">
        <f>IF($A76="","",IF($B76="V01",Cadrage!$C$22,IF($B76="V02",Cadrage!$D$22,Cadrage!$E$22)))</f>
        <v/>
      </c>
      <c r="W76">
        <f>IF($A76="","",IF($B76="V01",Cadrage!$C$23,IF($B76="V02",Cadrage!$D$23,Cadrage!$E$23)))</f>
        <v/>
      </c>
      <c r="X76">
        <f>IF($A76="","",IF($B76="V01",Cadrage!$C$24,IF($B76="V02",Cadrage!$D$24,Cadrage!$E$24)))</f>
        <v/>
      </c>
      <c r="Y76">
        <f>IF($A76="","",IF($B76="V01",Cadrage!$C$25,IF($B76="V02",Cadrage!$D$25,Cadrage!$E$25)))</f>
        <v/>
      </c>
      <c r="Z76">
        <f>IF($A76="","",IF($B76="V01",Cadrage!$C$26,IF($B76="V02",Cadrage!$D$26,Cadrage!$E$26)))</f>
        <v/>
      </c>
      <c r="AA76">
        <f>IF($A76="","",IF($B76="V01",Cadrage!$C$27,IF($B76="V02",Cadrage!$D$27,Cadrage!$E$27)))</f>
        <v/>
      </c>
      <c r="AB76">
        <f>IF($A76="","",IF($B76="V01",Cadrage!$C$39,IF($B76="V02",Cadrage!$D$39,Cadrage!$E$39)))</f>
        <v/>
      </c>
      <c r="AC76">
        <f>IF($A76="","",IF($F76="MBWAY",Cadrage!$K$11,IF($F76="ISCOM",Cadrage!$K$12,IF($F76="IPAC",Cadrage!$K$13,IF($F76="PIGIER",Cadrage!$K$14,Cadrage!$K$15)))))</f>
        <v/>
      </c>
      <c r="AD76">
        <f>IF($A76="","",($O76*(1+$W76)^$S76+$P76*IFERROR((($T76/$U76)*(1+$V76))^$R76,0))*IFERROR($G76/$Q76,0)*($J76+$Y76)*$K76*($L76+$Z76))</f>
        <v/>
      </c>
      <c r="AE76">
        <f>IF($A76="","",IF($N76=1,$AD76,0))</f>
        <v/>
      </c>
      <c r="AF76">
        <f>IF($A76="","",IF($N76=1,$AD76,$H76*($M76+$AA76)))</f>
        <v/>
      </c>
      <c r="AG76">
        <f>IF($A76="","",$I76*(1+$X76*$AC76))</f>
        <v/>
      </c>
      <c r="AH76">
        <f>IF($A76="","",$AF76*$AG76+$AE76*$AB76)</f>
        <v/>
      </c>
    </row>
    <row r="77">
      <c r="A77">
        <f>IF(Moteur!D77="","",Moteur!D77)</f>
        <v/>
      </c>
      <c r="B77">
        <f>IF(Moteur!B77="","",Moteur!B77)</f>
        <v/>
      </c>
      <c r="C77">
        <f>IF(Moteur!F77="","",Moteur!F77)</f>
        <v/>
      </c>
      <c r="D77">
        <f>IF(Moteur!G77="","",Moteur!G77)</f>
        <v/>
      </c>
      <c r="E77">
        <f>IF(Moteur!H77="","",Moteur!H77)</f>
        <v/>
      </c>
      <c r="F77">
        <f>IF(Moteur!E77="","",Moteur!E77)</f>
        <v/>
      </c>
      <c r="G77">
        <f>IF($A77="","",SUMIFS(Socle!$H$1:$H$379,Socle!$C$1:$C$379,$A77,Socle!$D$1:$D$379,$C77,Socle!$E$1:$E$379,$D77,Socle!$F$1:$F$379,$E77,Socle!$G$1:$G$379,"2026"))</f>
        <v/>
      </c>
      <c r="H77">
        <f>IF($A77="","",SUMIFS(Socle!$N$1:$N$379,Socle!$C$1:$C$379,$A77,Socle!$D$1:$D$379,$C77,Socle!$E$1:$E$379,$D77,Socle!$F$1:$F$379,$E77,Socle!$G$1:$G$379,"2026"))</f>
        <v/>
      </c>
      <c r="I77">
        <f>IF($A77="","",SUMIFS(Socle!$P$1:$P$379,Socle!$C$1:$C$379,$A77,Socle!$D$1:$D$379,$C77,Socle!$E$1:$E$379,$D77,Socle!$F$1:$F$379,$E77,Socle!$G$1:$G$379,"2026"))</f>
        <v/>
      </c>
      <c r="J77">
        <f>IF($A77="","",SUMIFS(Socle!$W$1:$W$379,Socle!$C$1:$C$379,$A77,Socle!$D$1:$D$379,$C77,Socle!$E$1:$E$379,$D77,Socle!$F$1:$F$379,$E77,Socle!$G$1:$G$379,"2026"))</f>
        <v/>
      </c>
      <c r="K77">
        <f>IF($A77="","",SUMIFS(Socle!$X$1:$X$379,Socle!$C$1:$C$379,$A77,Socle!$D$1:$D$379,$C77,Socle!$E$1:$E$379,$D77,Socle!$F$1:$F$379,$E77,Socle!$G$1:$G$379,"2026"))</f>
        <v/>
      </c>
      <c r="L77">
        <f>IF($A77="","",SUMIFS(Socle!$Y$1:$Y$379,Socle!$C$1:$C$379,$A77,Socle!$D$1:$D$379,$C77,Socle!$E$1:$E$379,$D77,Socle!$F$1:$F$379,$E77,Socle!$G$1:$G$379,"2026"))</f>
        <v/>
      </c>
      <c r="M77">
        <f>IF($A77="","",SUMIFS(Socle!$V$1:$V$379,Socle!$C$1:$C$379,$A77,Socle!$D$1:$D$379,$C77,Socle!$E$1:$E$379,$D77,Socle!$F$1:$F$379,$E77,Socle!$G$1:$G$379,"2026"))</f>
        <v/>
      </c>
      <c r="N77">
        <f>IF($A77="","",IF(OR($D77="B1",$D77="M1",$D77="BTS1"),1,0))</f>
        <v/>
      </c>
      <c r="O77">
        <f>IF($A77="","",SUMIFS(Campagne!$D$1:$D$28,Campagne!$C$1:$C$28,$A77))</f>
        <v/>
      </c>
      <c r="P77">
        <f>IF($A77="","",SUMIFS(Campagne!$E$1:$E$28,Campagne!$C$1:$C$28,$A77))</f>
        <v/>
      </c>
      <c r="Q77">
        <f>IF($A77="","",SUMIFS(Campagne!$F$1:$F$28,Campagne!$C$1:$C$28,$A77))</f>
        <v/>
      </c>
      <c r="R77">
        <f>IF($A77="","",SUMIFS(Campagne!$K$1:$K$28,Campagne!$C$1:$C$28,$A77))</f>
        <v/>
      </c>
      <c r="S77">
        <f>IF($A77="","",SUMIFS(Campagne!$M$1:$M$28,Campagne!$C$1:$C$28,$A77))</f>
        <v/>
      </c>
      <c r="T77">
        <f>IF($A77="","",SUMIFS(Pilotage!$K$19:$K$32,Pilotage!$A$19:$A$32,$A77)*SUMIFS(Pilotage!$J$19:$J$32,Pilotage!$A$19:$A$32,$A77)*(SUM(Pilotage!$K$19:$K$32)/SUMPRODUCT(Pilotage!$K$19:$K$32,Pilotage!$J$19:$J$32)))</f>
        <v/>
      </c>
      <c r="U77">
        <f>IF($A77="","",SUMIFS(Pilotage!$K$19:$K$32,Pilotage!$A$19:$A$32,$A77))</f>
        <v/>
      </c>
      <c r="V77">
        <f>IF($A77="","",IF($B77="V01",Cadrage!$C$22,IF($B77="V02",Cadrage!$D$22,Cadrage!$E$22)))</f>
        <v/>
      </c>
      <c r="W77">
        <f>IF($A77="","",IF($B77="V01",Cadrage!$C$23,IF($B77="V02",Cadrage!$D$23,Cadrage!$E$23)))</f>
        <v/>
      </c>
      <c r="X77">
        <f>IF($A77="","",IF($B77="V01",Cadrage!$C$24,IF($B77="V02",Cadrage!$D$24,Cadrage!$E$24)))</f>
        <v/>
      </c>
      <c r="Y77">
        <f>IF($A77="","",IF($B77="V01",Cadrage!$C$25,IF($B77="V02",Cadrage!$D$25,Cadrage!$E$25)))</f>
        <v/>
      </c>
      <c r="Z77">
        <f>IF($A77="","",IF($B77="V01",Cadrage!$C$26,IF($B77="V02",Cadrage!$D$26,Cadrage!$E$26)))</f>
        <v/>
      </c>
      <c r="AA77">
        <f>IF($A77="","",IF($B77="V01",Cadrage!$C$27,IF($B77="V02",Cadrage!$D$27,Cadrage!$E$27)))</f>
        <v/>
      </c>
      <c r="AB77">
        <f>IF($A77="","",IF($B77="V01",Cadrage!$C$39,IF($B77="V02",Cadrage!$D$39,Cadrage!$E$39)))</f>
        <v/>
      </c>
      <c r="AC77">
        <f>IF($A77="","",IF($F77="MBWAY",Cadrage!$K$11,IF($F77="ISCOM",Cadrage!$K$12,IF($F77="IPAC",Cadrage!$K$13,IF($F77="PIGIER",Cadrage!$K$14,Cadrage!$K$15)))))</f>
        <v/>
      </c>
      <c r="AD77">
        <f>IF($A77="","",($O77*(1+$W77)^$S77+$P77*IFERROR((($T77/$U77)*(1+$V77))^$R77,0))*IFERROR($G77/$Q77,0)*($J77+$Y77)*$K77*($L77+$Z77))</f>
        <v/>
      </c>
      <c r="AE77">
        <f>IF($A77="","",IF($N77=1,$AD77,0))</f>
        <v/>
      </c>
      <c r="AF77">
        <f>IF($A77="","",IF($N77=1,$AD77,$H77*($M77+$AA77)))</f>
        <v/>
      </c>
      <c r="AG77">
        <f>IF($A77="","",$I77*(1+$X77*$AC77))</f>
        <v/>
      </c>
      <c r="AH77">
        <f>IF($A77="","",$AF77*$AG77+$AE77*$AB77)</f>
        <v/>
      </c>
    </row>
    <row r="78">
      <c r="A78">
        <f>IF(Moteur!D78="","",Moteur!D78)</f>
        <v/>
      </c>
      <c r="B78">
        <f>IF(Moteur!B78="","",Moteur!B78)</f>
        <v/>
      </c>
      <c r="C78">
        <f>IF(Moteur!F78="","",Moteur!F78)</f>
        <v/>
      </c>
      <c r="D78">
        <f>IF(Moteur!G78="","",Moteur!G78)</f>
        <v/>
      </c>
      <c r="E78">
        <f>IF(Moteur!H78="","",Moteur!H78)</f>
        <v/>
      </c>
      <c r="F78">
        <f>IF(Moteur!E78="","",Moteur!E78)</f>
        <v/>
      </c>
      <c r="G78">
        <f>IF($A78="","",SUMIFS(Socle!$H$1:$H$379,Socle!$C$1:$C$379,$A78,Socle!$D$1:$D$379,$C78,Socle!$E$1:$E$379,$D78,Socle!$F$1:$F$379,$E78,Socle!$G$1:$G$379,"2026"))</f>
        <v/>
      </c>
      <c r="H78">
        <f>IF($A78="","",SUMIFS(Socle!$N$1:$N$379,Socle!$C$1:$C$379,$A78,Socle!$D$1:$D$379,$C78,Socle!$E$1:$E$379,$D78,Socle!$F$1:$F$379,$E78,Socle!$G$1:$G$379,"2026"))</f>
        <v/>
      </c>
      <c r="I78">
        <f>IF($A78="","",SUMIFS(Socle!$P$1:$P$379,Socle!$C$1:$C$379,$A78,Socle!$D$1:$D$379,$C78,Socle!$E$1:$E$379,$D78,Socle!$F$1:$F$379,$E78,Socle!$G$1:$G$379,"2026"))</f>
        <v/>
      </c>
      <c r="J78">
        <f>IF($A78="","",SUMIFS(Socle!$W$1:$W$379,Socle!$C$1:$C$379,$A78,Socle!$D$1:$D$379,$C78,Socle!$E$1:$E$379,$D78,Socle!$F$1:$F$379,$E78,Socle!$G$1:$G$379,"2026"))</f>
        <v/>
      </c>
      <c r="K78">
        <f>IF($A78="","",SUMIFS(Socle!$X$1:$X$379,Socle!$C$1:$C$379,$A78,Socle!$D$1:$D$379,$C78,Socle!$E$1:$E$379,$D78,Socle!$F$1:$F$379,$E78,Socle!$G$1:$G$379,"2026"))</f>
        <v/>
      </c>
      <c r="L78">
        <f>IF($A78="","",SUMIFS(Socle!$Y$1:$Y$379,Socle!$C$1:$C$379,$A78,Socle!$D$1:$D$379,$C78,Socle!$E$1:$E$379,$D78,Socle!$F$1:$F$379,$E78,Socle!$G$1:$G$379,"2026"))</f>
        <v/>
      </c>
      <c r="M78">
        <f>IF($A78="","",SUMIFS(Socle!$V$1:$V$379,Socle!$C$1:$C$379,$A78,Socle!$D$1:$D$379,$C78,Socle!$E$1:$E$379,$D78,Socle!$F$1:$F$379,$E78,Socle!$G$1:$G$379,"2026"))</f>
        <v/>
      </c>
      <c r="N78">
        <f>IF($A78="","",IF(OR($D78="B1",$D78="M1",$D78="BTS1"),1,0))</f>
        <v/>
      </c>
      <c r="O78">
        <f>IF($A78="","",SUMIFS(Campagne!$D$1:$D$28,Campagne!$C$1:$C$28,$A78))</f>
        <v/>
      </c>
      <c r="P78">
        <f>IF($A78="","",SUMIFS(Campagne!$E$1:$E$28,Campagne!$C$1:$C$28,$A78))</f>
        <v/>
      </c>
      <c r="Q78">
        <f>IF($A78="","",SUMIFS(Campagne!$F$1:$F$28,Campagne!$C$1:$C$28,$A78))</f>
        <v/>
      </c>
      <c r="R78">
        <f>IF($A78="","",SUMIFS(Campagne!$K$1:$K$28,Campagne!$C$1:$C$28,$A78))</f>
        <v/>
      </c>
      <c r="S78">
        <f>IF($A78="","",SUMIFS(Campagne!$M$1:$M$28,Campagne!$C$1:$C$28,$A78))</f>
        <v/>
      </c>
      <c r="T78">
        <f>IF($A78="","",SUMIFS(Pilotage!$K$19:$K$32,Pilotage!$A$19:$A$32,$A78)*SUMIFS(Pilotage!$J$19:$J$32,Pilotage!$A$19:$A$32,$A78)*(SUM(Pilotage!$K$19:$K$32)/SUMPRODUCT(Pilotage!$K$19:$K$32,Pilotage!$J$19:$J$32)))</f>
        <v/>
      </c>
      <c r="U78">
        <f>IF($A78="","",SUMIFS(Pilotage!$K$19:$K$32,Pilotage!$A$19:$A$32,$A78))</f>
        <v/>
      </c>
      <c r="V78">
        <f>IF($A78="","",IF($B78="V01",Cadrage!$C$22,IF($B78="V02",Cadrage!$D$22,Cadrage!$E$22)))</f>
        <v/>
      </c>
      <c r="W78">
        <f>IF($A78="","",IF($B78="V01",Cadrage!$C$23,IF($B78="V02",Cadrage!$D$23,Cadrage!$E$23)))</f>
        <v/>
      </c>
      <c r="X78">
        <f>IF($A78="","",IF($B78="V01",Cadrage!$C$24,IF($B78="V02",Cadrage!$D$24,Cadrage!$E$24)))</f>
        <v/>
      </c>
      <c r="Y78">
        <f>IF($A78="","",IF($B78="V01",Cadrage!$C$25,IF($B78="V02",Cadrage!$D$25,Cadrage!$E$25)))</f>
        <v/>
      </c>
      <c r="Z78">
        <f>IF($A78="","",IF($B78="V01",Cadrage!$C$26,IF($B78="V02",Cadrage!$D$26,Cadrage!$E$26)))</f>
        <v/>
      </c>
      <c r="AA78">
        <f>IF($A78="","",IF($B78="V01",Cadrage!$C$27,IF($B78="V02",Cadrage!$D$27,Cadrage!$E$27)))</f>
        <v/>
      </c>
      <c r="AB78">
        <f>IF($A78="","",IF($B78="V01",Cadrage!$C$39,IF($B78="V02",Cadrage!$D$39,Cadrage!$E$39)))</f>
        <v/>
      </c>
      <c r="AC78">
        <f>IF($A78="","",IF($F78="MBWAY",Cadrage!$K$11,IF($F78="ISCOM",Cadrage!$K$12,IF($F78="IPAC",Cadrage!$K$13,IF($F78="PIGIER",Cadrage!$K$14,Cadrage!$K$15)))))</f>
        <v/>
      </c>
      <c r="AD78">
        <f>IF($A78="","",($O78*(1+$W78)^$S78+$P78*IFERROR((($T78/$U78)*(1+$V78))^$R78,0))*IFERROR($G78/$Q78,0)*($J78+$Y78)*$K78*($L78+$Z78))</f>
        <v/>
      </c>
      <c r="AE78">
        <f>IF($A78="","",IF($N78=1,$AD78,0))</f>
        <v/>
      </c>
      <c r="AF78">
        <f>IF($A78="","",IF($N78=1,$AD78,$H78*($M78+$AA78)))</f>
        <v/>
      </c>
      <c r="AG78">
        <f>IF($A78="","",$I78*(1+$X78*$AC78))</f>
        <v/>
      </c>
      <c r="AH78">
        <f>IF($A78="","",$AF78*$AG78+$AE78*$AB78)</f>
        <v/>
      </c>
    </row>
    <row r="79">
      <c r="A79">
        <f>IF(Moteur!D79="","",Moteur!D79)</f>
        <v/>
      </c>
      <c r="B79">
        <f>IF(Moteur!B79="","",Moteur!B79)</f>
        <v/>
      </c>
      <c r="C79">
        <f>IF(Moteur!F79="","",Moteur!F79)</f>
        <v/>
      </c>
      <c r="D79">
        <f>IF(Moteur!G79="","",Moteur!G79)</f>
        <v/>
      </c>
      <c r="E79">
        <f>IF(Moteur!H79="","",Moteur!H79)</f>
        <v/>
      </c>
      <c r="F79">
        <f>IF(Moteur!E79="","",Moteur!E79)</f>
        <v/>
      </c>
      <c r="G79">
        <f>IF($A79="","",SUMIFS(Socle!$H$1:$H$379,Socle!$C$1:$C$379,$A79,Socle!$D$1:$D$379,$C79,Socle!$E$1:$E$379,$D79,Socle!$F$1:$F$379,$E79,Socle!$G$1:$G$379,"2026"))</f>
        <v/>
      </c>
      <c r="H79">
        <f>IF($A79="","",SUMIFS(Socle!$N$1:$N$379,Socle!$C$1:$C$379,$A79,Socle!$D$1:$D$379,$C79,Socle!$E$1:$E$379,$D79,Socle!$F$1:$F$379,$E79,Socle!$G$1:$G$379,"2026"))</f>
        <v/>
      </c>
      <c r="I79">
        <f>IF($A79="","",SUMIFS(Socle!$P$1:$P$379,Socle!$C$1:$C$379,$A79,Socle!$D$1:$D$379,$C79,Socle!$E$1:$E$379,$D79,Socle!$F$1:$F$379,$E79,Socle!$G$1:$G$379,"2026"))</f>
        <v/>
      </c>
      <c r="J79">
        <f>IF($A79="","",SUMIFS(Socle!$W$1:$W$379,Socle!$C$1:$C$379,$A79,Socle!$D$1:$D$379,$C79,Socle!$E$1:$E$379,$D79,Socle!$F$1:$F$379,$E79,Socle!$G$1:$G$379,"2026"))</f>
        <v/>
      </c>
      <c r="K79">
        <f>IF($A79="","",SUMIFS(Socle!$X$1:$X$379,Socle!$C$1:$C$379,$A79,Socle!$D$1:$D$379,$C79,Socle!$E$1:$E$379,$D79,Socle!$F$1:$F$379,$E79,Socle!$G$1:$G$379,"2026"))</f>
        <v/>
      </c>
      <c r="L79">
        <f>IF($A79="","",SUMIFS(Socle!$Y$1:$Y$379,Socle!$C$1:$C$379,$A79,Socle!$D$1:$D$379,$C79,Socle!$E$1:$E$379,$D79,Socle!$F$1:$F$379,$E79,Socle!$G$1:$G$379,"2026"))</f>
        <v/>
      </c>
      <c r="M79">
        <f>IF($A79="","",SUMIFS(Socle!$V$1:$V$379,Socle!$C$1:$C$379,$A79,Socle!$D$1:$D$379,$C79,Socle!$E$1:$E$379,$D79,Socle!$F$1:$F$379,$E79,Socle!$G$1:$G$379,"2026"))</f>
        <v/>
      </c>
      <c r="N79">
        <f>IF($A79="","",IF(OR($D79="B1",$D79="M1",$D79="BTS1"),1,0))</f>
        <v/>
      </c>
      <c r="O79">
        <f>IF($A79="","",SUMIFS(Campagne!$D$1:$D$28,Campagne!$C$1:$C$28,$A79))</f>
        <v/>
      </c>
      <c r="P79">
        <f>IF($A79="","",SUMIFS(Campagne!$E$1:$E$28,Campagne!$C$1:$C$28,$A79))</f>
        <v/>
      </c>
      <c r="Q79">
        <f>IF($A79="","",SUMIFS(Campagne!$F$1:$F$28,Campagne!$C$1:$C$28,$A79))</f>
        <v/>
      </c>
      <c r="R79">
        <f>IF($A79="","",SUMIFS(Campagne!$K$1:$K$28,Campagne!$C$1:$C$28,$A79))</f>
        <v/>
      </c>
      <c r="S79">
        <f>IF($A79="","",SUMIFS(Campagne!$M$1:$M$28,Campagne!$C$1:$C$28,$A79))</f>
        <v/>
      </c>
      <c r="T79">
        <f>IF($A79="","",SUMIFS(Pilotage!$K$19:$K$32,Pilotage!$A$19:$A$32,$A79)*SUMIFS(Pilotage!$J$19:$J$32,Pilotage!$A$19:$A$32,$A79)*(SUM(Pilotage!$K$19:$K$32)/SUMPRODUCT(Pilotage!$K$19:$K$32,Pilotage!$J$19:$J$32)))</f>
        <v/>
      </c>
      <c r="U79">
        <f>IF($A79="","",SUMIFS(Pilotage!$K$19:$K$32,Pilotage!$A$19:$A$32,$A79))</f>
        <v/>
      </c>
      <c r="V79">
        <f>IF($A79="","",IF($B79="V01",Cadrage!$C$22,IF($B79="V02",Cadrage!$D$22,Cadrage!$E$22)))</f>
        <v/>
      </c>
      <c r="W79">
        <f>IF($A79="","",IF($B79="V01",Cadrage!$C$23,IF($B79="V02",Cadrage!$D$23,Cadrage!$E$23)))</f>
        <v/>
      </c>
      <c r="X79">
        <f>IF($A79="","",IF($B79="V01",Cadrage!$C$24,IF($B79="V02",Cadrage!$D$24,Cadrage!$E$24)))</f>
        <v/>
      </c>
      <c r="Y79">
        <f>IF($A79="","",IF($B79="V01",Cadrage!$C$25,IF($B79="V02",Cadrage!$D$25,Cadrage!$E$25)))</f>
        <v/>
      </c>
      <c r="Z79">
        <f>IF($A79="","",IF($B79="V01",Cadrage!$C$26,IF($B79="V02",Cadrage!$D$26,Cadrage!$E$26)))</f>
        <v/>
      </c>
      <c r="AA79">
        <f>IF($A79="","",IF($B79="V01",Cadrage!$C$27,IF($B79="V02",Cadrage!$D$27,Cadrage!$E$27)))</f>
        <v/>
      </c>
      <c r="AB79">
        <f>IF($A79="","",IF($B79="V01",Cadrage!$C$39,IF($B79="V02",Cadrage!$D$39,Cadrage!$E$39)))</f>
        <v/>
      </c>
      <c r="AC79">
        <f>IF($A79="","",IF($F79="MBWAY",Cadrage!$K$11,IF($F79="ISCOM",Cadrage!$K$12,IF($F79="IPAC",Cadrage!$K$13,IF($F79="PIGIER",Cadrage!$K$14,Cadrage!$K$15)))))</f>
        <v/>
      </c>
      <c r="AD79">
        <f>IF($A79="","",($O79*(1+$W79)^$S79+$P79*IFERROR((($T79/$U79)*(1+$V79))^$R79,0))*IFERROR($G79/$Q79,0)*($J79+$Y79)*$K79*($L79+$Z79))</f>
        <v/>
      </c>
      <c r="AE79">
        <f>IF($A79="","",IF($N79=1,$AD79,0))</f>
        <v/>
      </c>
      <c r="AF79">
        <f>IF($A79="","",IF($N79=1,$AD79,$H79*($M79+$AA79)))</f>
        <v/>
      </c>
      <c r="AG79">
        <f>IF($A79="","",$I79*(1+$X79*$AC79))</f>
        <v/>
      </c>
      <c r="AH79">
        <f>IF($A79="","",$AF79*$AG79+$AE79*$AB79)</f>
        <v/>
      </c>
    </row>
    <row r="80">
      <c r="A80">
        <f>IF(Moteur!D80="","",Moteur!D80)</f>
        <v/>
      </c>
      <c r="B80">
        <f>IF(Moteur!B80="","",Moteur!B80)</f>
        <v/>
      </c>
      <c r="C80">
        <f>IF(Moteur!F80="","",Moteur!F80)</f>
        <v/>
      </c>
      <c r="D80">
        <f>IF(Moteur!G80="","",Moteur!G80)</f>
        <v/>
      </c>
      <c r="E80">
        <f>IF(Moteur!H80="","",Moteur!H80)</f>
        <v/>
      </c>
      <c r="F80">
        <f>IF(Moteur!E80="","",Moteur!E80)</f>
        <v/>
      </c>
      <c r="G80">
        <f>IF($A80="","",SUMIFS(Socle!$H$1:$H$379,Socle!$C$1:$C$379,$A80,Socle!$D$1:$D$379,$C80,Socle!$E$1:$E$379,$D80,Socle!$F$1:$F$379,$E80,Socle!$G$1:$G$379,"2026"))</f>
        <v/>
      </c>
      <c r="H80">
        <f>IF($A80="","",SUMIFS(Socle!$N$1:$N$379,Socle!$C$1:$C$379,$A80,Socle!$D$1:$D$379,$C80,Socle!$E$1:$E$379,$D80,Socle!$F$1:$F$379,$E80,Socle!$G$1:$G$379,"2026"))</f>
        <v/>
      </c>
      <c r="I80">
        <f>IF($A80="","",SUMIFS(Socle!$P$1:$P$379,Socle!$C$1:$C$379,$A80,Socle!$D$1:$D$379,$C80,Socle!$E$1:$E$379,$D80,Socle!$F$1:$F$379,$E80,Socle!$G$1:$G$379,"2026"))</f>
        <v/>
      </c>
      <c r="J80">
        <f>IF($A80="","",SUMIFS(Socle!$W$1:$W$379,Socle!$C$1:$C$379,$A80,Socle!$D$1:$D$379,$C80,Socle!$E$1:$E$379,$D80,Socle!$F$1:$F$379,$E80,Socle!$G$1:$G$379,"2026"))</f>
        <v/>
      </c>
      <c r="K80">
        <f>IF($A80="","",SUMIFS(Socle!$X$1:$X$379,Socle!$C$1:$C$379,$A80,Socle!$D$1:$D$379,$C80,Socle!$E$1:$E$379,$D80,Socle!$F$1:$F$379,$E80,Socle!$G$1:$G$379,"2026"))</f>
        <v/>
      </c>
      <c r="L80">
        <f>IF($A80="","",SUMIFS(Socle!$Y$1:$Y$379,Socle!$C$1:$C$379,$A80,Socle!$D$1:$D$379,$C80,Socle!$E$1:$E$379,$D80,Socle!$F$1:$F$379,$E80,Socle!$G$1:$G$379,"2026"))</f>
        <v/>
      </c>
      <c r="M80">
        <f>IF($A80="","",SUMIFS(Socle!$V$1:$V$379,Socle!$C$1:$C$379,$A80,Socle!$D$1:$D$379,$C80,Socle!$E$1:$E$379,$D80,Socle!$F$1:$F$379,$E80,Socle!$G$1:$G$379,"2026"))</f>
        <v/>
      </c>
      <c r="N80">
        <f>IF($A80="","",IF(OR($D80="B1",$D80="M1",$D80="BTS1"),1,0))</f>
        <v/>
      </c>
      <c r="O80">
        <f>IF($A80="","",SUMIFS(Campagne!$D$1:$D$28,Campagne!$C$1:$C$28,$A80))</f>
        <v/>
      </c>
      <c r="P80">
        <f>IF($A80="","",SUMIFS(Campagne!$E$1:$E$28,Campagne!$C$1:$C$28,$A80))</f>
        <v/>
      </c>
      <c r="Q80">
        <f>IF($A80="","",SUMIFS(Campagne!$F$1:$F$28,Campagne!$C$1:$C$28,$A80))</f>
        <v/>
      </c>
      <c r="R80">
        <f>IF($A80="","",SUMIFS(Campagne!$K$1:$K$28,Campagne!$C$1:$C$28,$A80))</f>
        <v/>
      </c>
      <c r="S80">
        <f>IF($A80="","",SUMIFS(Campagne!$M$1:$M$28,Campagne!$C$1:$C$28,$A80))</f>
        <v/>
      </c>
      <c r="T80">
        <f>IF($A80="","",SUMIFS(Pilotage!$K$19:$K$32,Pilotage!$A$19:$A$32,$A80)*SUMIFS(Pilotage!$J$19:$J$32,Pilotage!$A$19:$A$32,$A80)*(SUM(Pilotage!$K$19:$K$32)/SUMPRODUCT(Pilotage!$K$19:$K$32,Pilotage!$J$19:$J$32)))</f>
        <v/>
      </c>
      <c r="U80">
        <f>IF($A80="","",SUMIFS(Pilotage!$K$19:$K$32,Pilotage!$A$19:$A$32,$A80))</f>
        <v/>
      </c>
      <c r="V80">
        <f>IF($A80="","",IF($B80="V01",Cadrage!$C$22,IF($B80="V02",Cadrage!$D$22,Cadrage!$E$22)))</f>
        <v/>
      </c>
      <c r="W80">
        <f>IF($A80="","",IF($B80="V01",Cadrage!$C$23,IF($B80="V02",Cadrage!$D$23,Cadrage!$E$23)))</f>
        <v/>
      </c>
      <c r="X80">
        <f>IF($A80="","",IF($B80="V01",Cadrage!$C$24,IF($B80="V02",Cadrage!$D$24,Cadrage!$E$24)))</f>
        <v/>
      </c>
      <c r="Y80">
        <f>IF($A80="","",IF($B80="V01",Cadrage!$C$25,IF($B80="V02",Cadrage!$D$25,Cadrage!$E$25)))</f>
        <v/>
      </c>
      <c r="Z80">
        <f>IF($A80="","",IF($B80="V01",Cadrage!$C$26,IF($B80="V02",Cadrage!$D$26,Cadrage!$E$26)))</f>
        <v/>
      </c>
      <c r="AA80">
        <f>IF($A80="","",IF($B80="V01",Cadrage!$C$27,IF($B80="V02",Cadrage!$D$27,Cadrage!$E$27)))</f>
        <v/>
      </c>
      <c r="AB80">
        <f>IF($A80="","",IF($B80="V01",Cadrage!$C$39,IF($B80="V02",Cadrage!$D$39,Cadrage!$E$39)))</f>
        <v/>
      </c>
      <c r="AC80">
        <f>IF($A80="","",IF($F80="MBWAY",Cadrage!$K$11,IF($F80="ISCOM",Cadrage!$K$12,IF($F80="IPAC",Cadrage!$K$13,IF($F80="PIGIER",Cadrage!$K$14,Cadrage!$K$15)))))</f>
        <v/>
      </c>
      <c r="AD80">
        <f>IF($A80="","",($O80*(1+$W80)^$S80+$P80*IFERROR((($T80/$U80)*(1+$V80))^$R80,0))*IFERROR($G80/$Q80,0)*($J80+$Y80)*$K80*($L80+$Z80))</f>
        <v/>
      </c>
      <c r="AE80">
        <f>IF($A80="","",IF($N80=1,$AD80,0))</f>
        <v/>
      </c>
      <c r="AF80">
        <f>IF($A80="","",IF($N80=1,$AD80,$H80*($M80+$AA80)))</f>
        <v/>
      </c>
      <c r="AG80">
        <f>IF($A80="","",$I80*(1+$X80*$AC80))</f>
        <v/>
      </c>
      <c r="AH80">
        <f>IF($A80="","",$AF80*$AG80+$AE80*$AB80)</f>
        <v/>
      </c>
    </row>
    <row r="81">
      <c r="A81">
        <f>IF(Moteur!D81="","",Moteur!D81)</f>
        <v/>
      </c>
      <c r="B81">
        <f>IF(Moteur!B81="","",Moteur!B81)</f>
        <v/>
      </c>
      <c r="C81">
        <f>IF(Moteur!F81="","",Moteur!F81)</f>
        <v/>
      </c>
      <c r="D81">
        <f>IF(Moteur!G81="","",Moteur!G81)</f>
        <v/>
      </c>
      <c r="E81">
        <f>IF(Moteur!H81="","",Moteur!H81)</f>
        <v/>
      </c>
      <c r="F81">
        <f>IF(Moteur!E81="","",Moteur!E81)</f>
        <v/>
      </c>
      <c r="G81">
        <f>IF($A81="","",SUMIFS(Socle!$H$1:$H$379,Socle!$C$1:$C$379,$A81,Socle!$D$1:$D$379,$C81,Socle!$E$1:$E$379,$D81,Socle!$F$1:$F$379,$E81,Socle!$G$1:$G$379,"2026"))</f>
        <v/>
      </c>
      <c r="H81">
        <f>IF($A81="","",SUMIFS(Socle!$N$1:$N$379,Socle!$C$1:$C$379,$A81,Socle!$D$1:$D$379,$C81,Socle!$E$1:$E$379,$D81,Socle!$F$1:$F$379,$E81,Socle!$G$1:$G$379,"2026"))</f>
        <v/>
      </c>
      <c r="I81">
        <f>IF($A81="","",SUMIFS(Socle!$P$1:$P$379,Socle!$C$1:$C$379,$A81,Socle!$D$1:$D$379,$C81,Socle!$E$1:$E$379,$D81,Socle!$F$1:$F$379,$E81,Socle!$G$1:$G$379,"2026"))</f>
        <v/>
      </c>
      <c r="J81">
        <f>IF($A81="","",SUMIFS(Socle!$W$1:$W$379,Socle!$C$1:$C$379,$A81,Socle!$D$1:$D$379,$C81,Socle!$E$1:$E$379,$D81,Socle!$F$1:$F$379,$E81,Socle!$G$1:$G$379,"2026"))</f>
        <v/>
      </c>
      <c r="K81">
        <f>IF($A81="","",SUMIFS(Socle!$X$1:$X$379,Socle!$C$1:$C$379,$A81,Socle!$D$1:$D$379,$C81,Socle!$E$1:$E$379,$D81,Socle!$F$1:$F$379,$E81,Socle!$G$1:$G$379,"2026"))</f>
        <v/>
      </c>
      <c r="L81">
        <f>IF($A81="","",SUMIFS(Socle!$Y$1:$Y$379,Socle!$C$1:$C$379,$A81,Socle!$D$1:$D$379,$C81,Socle!$E$1:$E$379,$D81,Socle!$F$1:$F$379,$E81,Socle!$G$1:$G$379,"2026"))</f>
        <v/>
      </c>
      <c r="M81">
        <f>IF($A81="","",SUMIFS(Socle!$V$1:$V$379,Socle!$C$1:$C$379,$A81,Socle!$D$1:$D$379,$C81,Socle!$E$1:$E$379,$D81,Socle!$F$1:$F$379,$E81,Socle!$G$1:$G$379,"2026"))</f>
        <v/>
      </c>
      <c r="N81">
        <f>IF($A81="","",IF(OR($D81="B1",$D81="M1",$D81="BTS1"),1,0))</f>
        <v/>
      </c>
      <c r="O81">
        <f>IF($A81="","",SUMIFS(Campagne!$D$1:$D$28,Campagne!$C$1:$C$28,$A81))</f>
        <v/>
      </c>
      <c r="P81">
        <f>IF($A81="","",SUMIFS(Campagne!$E$1:$E$28,Campagne!$C$1:$C$28,$A81))</f>
        <v/>
      </c>
      <c r="Q81">
        <f>IF($A81="","",SUMIFS(Campagne!$F$1:$F$28,Campagne!$C$1:$C$28,$A81))</f>
        <v/>
      </c>
      <c r="R81">
        <f>IF($A81="","",SUMIFS(Campagne!$K$1:$K$28,Campagne!$C$1:$C$28,$A81))</f>
        <v/>
      </c>
      <c r="S81">
        <f>IF($A81="","",SUMIFS(Campagne!$M$1:$M$28,Campagne!$C$1:$C$28,$A81))</f>
        <v/>
      </c>
      <c r="T81">
        <f>IF($A81="","",SUMIFS(Pilotage!$K$19:$K$32,Pilotage!$A$19:$A$32,$A81)*SUMIFS(Pilotage!$J$19:$J$32,Pilotage!$A$19:$A$32,$A81)*(SUM(Pilotage!$K$19:$K$32)/SUMPRODUCT(Pilotage!$K$19:$K$32,Pilotage!$J$19:$J$32)))</f>
        <v/>
      </c>
      <c r="U81">
        <f>IF($A81="","",SUMIFS(Pilotage!$K$19:$K$32,Pilotage!$A$19:$A$32,$A81))</f>
        <v/>
      </c>
      <c r="V81">
        <f>IF($A81="","",IF($B81="V01",Cadrage!$C$22,IF($B81="V02",Cadrage!$D$22,Cadrage!$E$22)))</f>
        <v/>
      </c>
      <c r="W81">
        <f>IF($A81="","",IF($B81="V01",Cadrage!$C$23,IF($B81="V02",Cadrage!$D$23,Cadrage!$E$23)))</f>
        <v/>
      </c>
      <c r="X81">
        <f>IF($A81="","",IF($B81="V01",Cadrage!$C$24,IF($B81="V02",Cadrage!$D$24,Cadrage!$E$24)))</f>
        <v/>
      </c>
      <c r="Y81">
        <f>IF($A81="","",IF($B81="V01",Cadrage!$C$25,IF($B81="V02",Cadrage!$D$25,Cadrage!$E$25)))</f>
        <v/>
      </c>
      <c r="Z81">
        <f>IF($A81="","",IF($B81="V01",Cadrage!$C$26,IF($B81="V02",Cadrage!$D$26,Cadrage!$E$26)))</f>
        <v/>
      </c>
      <c r="AA81">
        <f>IF($A81="","",IF($B81="V01",Cadrage!$C$27,IF($B81="V02",Cadrage!$D$27,Cadrage!$E$27)))</f>
        <v/>
      </c>
      <c r="AB81">
        <f>IF($A81="","",IF($B81="V01",Cadrage!$C$39,IF($B81="V02",Cadrage!$D$39,Cadrage!$E$39)))</f>
        <v/>
      </c>
      <c r="AC81">
        <f>IF($A81="","",IF($F81="MBWAY",Cadrage!$K$11,IF($F81="ISCOM",Cadrage!$K$12,IF($F81="IPAC",Cadrage!$K$13,IF($F81="PIGIER",Cadrage!$K$14,Cadrage!$K$15)))))</f>
        <v/>
      </c>
      <c r="AD81">
        <f>IF($A81="","",($O81*(1+$W81)^$S81+$P81*IFERROR((($T81/$U81)*(1+$V81))^$R81,0))*IFERROR($G81/$Q81,0)*($J81+$Y81)*$K81*($L81+$Z81))</f>
        <v/>
      </c>
      <c r="AE81">
        <f>IF($A81="","",IF($N81=1,$AD81,0))</f>
        <v/>
      </c>
      <c r="AF81">
        <f>IF($A81="","",IF($N81=1,$AD81,$H81*($M81+$AA81)))</f>
        <v/>
      </c>
      <c r="AG81">
        <f>IF($A81="","",$I81*(1+$X81*$AC81))</f>
        <v/>
      </c>
      <c r="AH81">
        <f>IF($A81="","",$AF81*$AG81+$AE81*$AB81)</f>
        <v/>
      </c>
    </row>
    <row r="82">
      <c r="A82">
        <f>IF(Moteur!D82="","",Moteur!D82)</f>
        <v/>
      </c>
      <c r="B82">
        <f>IF(Moteur!B82="","",Moteur!B82)</f>
        <v/>
      </c>
      <c r="C82">
        <f>IF(Moteur!F82="","",Moteur!F82)</f>
        <v/>
      </c>
      <c r="D82">
        <f>IF(Moteur!G82="","",Moteur!G82)</f>
        <v/>
      </c>
      <c r="E82">
        <f>IF(Moteur!H82="","",Moteur!H82)</f>
        <v/>
      </c>
      <c r="F82">
        <f>IF(Moteur!E82="","",Moteur!E82)</f>
        <v/>
      </c>
      <c r="G82">
        <f>IF($A82="","",SUMIFS(Socle!$H$1:$H$379,Socle!$C$1:$C$379,$A82,Socle!$D$1:$D$379,$C82,Socle!$E$1:$E$379,$D82,Socle!$F$1:$F$379,$E82,Socle!$G$1:$G$379,"2026"))</f>
        <v/>
      </c>
      <c r="H82">
        <f>IF($A82="","",SUMIFS(Socle!$N$1:$N$379,Socle!$C$1:$C$379,$A82,Socle!$D$1:$D$379,$C82,Socle!$E$1:$E$379,$D82,Socle!$F$1:$F$379,$E82,Socle!$G$1:$G$379,"2026"))</f>
        <v/>
      </c>
      <c r="I82">
        <f>IF($A82="","",SUMIFS(Socle!$P$1:$P$379,Socle!$C$1:$C$379,$A82,Socle!$D$1:$D$379,$C82,Socle!$E$1:$E$379,$D82,Socle!$F$1:$F$379,$E82,Socle!$G$1:$G$379,"2026"))</f>
        <v/>
      </c>
      <c r="J82">
        <f>IF($A82="","",SUMIFS(Socle!$W$1:$W$379,Socle!$C$1:$C$379,$A82,Socle!$D$1:$D$379,$C82,Socle!$E$1:$E$379,$D82,Socle!$F$1:$F$379,$E82,Socle!$G$1:$G$379,"2026"))</f>
        <v/>
      </c>
      <c r="K82">
        <f>IF($A82="","",SUMIFS(Socle!$X$1:$X$379,Socle!$C$1:$C$379,$A82,Socle!$D$1:$D$379,$C82,Socle!$E$1:$E$379,$D82,Socle!$F$1:$F$379,$E82,Socle!$G$1:$G$379,"2026"))</f>
        <v/>
      </c>
      <c r="L82">
        <f>IF($A82="","",SUMIFS(Socle!$Y$1:$Y$379,Socle!$C$1:$C$379,$A82,Socle!$D$1:$D$379,$C82,Socle!$E$1:$E$379,$D82,Socle!$F$1:$F$379,$E82,Socle!$G$1:$G$379,"2026"))</f>
        <v/>
      </c>
      <c r="M82">
        <f>IF($A82="","",SUMIFS(Socle!$V$1:$V$379,Socle!$C$1:$C$379,$A82,Socle!$D$1:$D$379,$C82,Socle!$E$1:$E$379,$D82,Socle!$F$1:$F$379,$E82,Socle!$G$1:$G$379,"2026"))</f>
        <v/>
      </c>
      <c r="N82">
        <f>IF($A82="","",IF(OR($D82="B1",$D82="M1",$D82="BTS1"),1,0))</f>
        <v/>
      </c>
      <c r="O82">
        <f>IF($A82="","",SUMIFS(Campagne!$D$1:$D$28,Campagne!$C$1:$C$28,$A82))</f>
        <v/>
      </c>
      <c r="P82">
        <f>IF($A82="","",SUMIFS(Campagne!$E$1:$E$28,Campagne!$C$1:$C$28,$A82))</f>
        <v/>
      </c>
      <c r="Q82">
        <f>IF($A82="","",SUMIFS(Campagne!$F$1:$F$28,Campagne!$C$1:$C$28,$A82))</f>
        <v/>
      </c>
      <c r="R82">
        <f>IF($A82="","",SUMIFS(Campagne!$K$1:$K$28,Campagne!$C$1:$C$28,$A82))</f>
        <v/>
      </c>
      <c r="S82">
        <f>IF($A82="","",SUMIFS(Campagne!$M$1:$M$28,Campagne!$C$1:$C$28,$A82))</f>
        <v/>
      </c>
      <c r="T82">
        <f>IF($A82="","",SUMIFS(Pilotage!$K$19:$K$32,Pilotage!$A$19:$A$32,$A82)*SUMIFS(Pilotage!$J$19:$J$32,Pilotage!$A$19:$A$32,$A82)*(SUM(Pilotage!$K$19:$K$32)/SUMPRODUCT(Pilotage!$K$19:$K$32,Pilotage!$J$19:$J$32)))</f>
        <v/>
      </c>
      <c r="U82">
        <f>IF($A82="","",SUMIFS(Pilotage!$K$19:$K$32,Pilotage!$A$19:$A$32,$A82))</f>
        <v/>
      </c>
      <c r="V82">
        <f>IF($A82="","",IF($B82="V01",Cadrage!$C$22,IF($B82="V02",Cadrage!$D$22,Cadrage!$E$22)))</f>
        <v/>
      </c>
      <c r="W82">
        <f>IF($A82="","",IF($B82="V01",Cadrage!$C$23,IF($B82="V02",Cadrage!$D$23,Cadrage!$E$23)))</f>
        <v/>
      </c>
      <c r="X82">
        <f>IF($A82="","",IF($B82="V01",Cadrage!$C$24,IF($B82="V02",Cadrage!$D$24,Cadrage!$E$24)))</f>
        <v/>
      </c>
      <c r="Y82">
        <f>IF($A82="","",IF($B82="V01",Cadrage!$C$25,IF($B82="V02",Cadrage!$D$25,Cadrage!$E$25)))</f>
        <v/>
      </c>
      <c r="Z82">
        <f>IF($A82="","",IF($B82="V01",Cadrage!$C$26,IF($B82="V02",Cadrage!$D$26,Cadrage!$E$26)))</f>
        <v/>
      </c>
      <c r="AA82">
        <f>IF($A82="","",IF($B82="V01",Cadrage!$C$27,IF($B82="V02",Cadrage!$D$27,Cadrage!$E$27)))</f>
        <v/>
      </c>
      <c r="AB82">
        <f>IF($A82="","",IF($B82="V01",Cadrage!$C$39,IF($B82="V02",Cadrage!$D$39,Cadrage!$E$39)))</f>
        <v/>
      </c>
      <c r="AC82">
        <f>IF($A82="","",IF($F82="MBWAY",Cadrage!$K$11,IF($F82="ISCOM",Cadrage!$K$12,IF($F82="IPAC",Cadrage!$K$13,IF($F82="PIGIER",Cadrage!$K$14,Cadrage!$K$15)))))</f>
        <v/>
      </c>
      <c r="AD82">
        <f>IF($A82="","",($O82*(1+$W82)^$S82+$P82*IFERROR((($T82/$U82)*(1+$V82))^$R82,0))*IFERROR($G82/$Q82,0)*($J82+$Y82)*$K82*($L82+$Z82))</f>
        <v/>
      </c>
      <c r="AE82">
        <f>IF($A82="","",IF($N82=1,$AD82,0))</f>
        <v/>
      </c>
      <c r="AF82">
        <f>IF($A82="","",IF($N82=1,$AD82,$H82*($M82+$AA82)))</f>
        <v/>
      </c>
      <c r="AG82">
        <f>IF($A82="","",$I82*(1+$X82*$AC82))</f>
        <v/>
      </c>
      <c r="AH82">
        <f>IF($A82="","",$AF82*$AG82+$AE82*$AB82)</f>
        <v/>
      </c>
    </row>
    <row r="83">
      <c r="A83">
        <f>IF(Moteur!D83="","",Moteur!D83)</f>
        <v/>
      </c>
      <c r="B83">
        <f>IF(Moteur!B83="","",Moteur!B83)</f>
        <v/>
      </c>
      <c r="C83">
        <f>IF(Moteur!F83="","",Moteur!F83)</f>
        <v/>
      </c>
      <c r="D83">
        <f>IF(Moteur!G83="","",Moteur!G83)</f>
        <v/>
      </c>
      <c r="E83">
        <f>IF(Moteur!H83="","",Moteur!H83)</f>
        <v/>
      </c>
      <c r="F83">
        <f>IF(Moteur!E83="","",Moteur!E83)</f>
        <v/>
      </c>
      <c r="G83">
        <f>IF($A83="","",SUMIFS(Socle!$H$1:$H$379,Socle!$C$1:$C$379,$A83,Socle!$D$1:$D$379,$C83,Socle!$E$1:$E$379,$D83,Socle!$F$1:$F$379,$E83,Socle!$G$1:$G$379,"2026"))</f>
        <v/>
      </c>
      <c r="H83">
        <f>IF($A83="","",SUMIFS(Socle!$N$1:$N$379,Socle!$C$1:$C$379,$A83,Socle!$D$1:$D$379,$C83,Socle!$E$1:$E$379,$D83,Socle!$F$1:$F$379,$E83,Socle!$G$1:$G$379,"2026"))</f>
        <v/>
      </c>
      <c r="I83">
        <f>IF($A83="","",SUMIFS(Socle!$P$1:$P$379,Socle!$C$1:$C$379,$A83,Socle!$D$1:$D$379,$C83,Socle!$E$1:$E$379,$D83,Socle!$F$1:$F$379,$E83,Socle!$G$1:$G$379,"2026"))</f>
        <v/>
      </c>
      <c r="J83">
        <f>IF($A83="","",SUMIFS(Socle!$W$1:$W$379,Socle!$C$1:$C$379,$A83,Socle!$D$1:$D$379,$C83,Socle!$E$1:$E$379,$D83,Socle!$F$1:$F$379,$E83,Socle!$G$1:$G$379,"2026"))</f>
        <v/>
      </c>
      <c r="K83">
        <f>IF($A83="","",SUMIFS(Socle!$X$1:$X$379,Socle!$C$1:$C$379,$A83,Socle!$D$1:$D$379,$C83,Socle!$E$1:$E$379,$D83,Socle!$F$1:$F$379,$E83,Socle!$G$1:$G$379,"2026"))</f>
        <v/>
      </c>
      <c r="L83">
        <f>IF($A83="","",SUMIFS(Socle!$Y$1:$Y$379,Socle!$C$1:$C$379,$A83,Socle!$D$1:$D$379,$C83,Socle!$E$1:$E$379,$D83,Socle!$F$1:$F$379,$E83,Socle!$G$1:$G$379,"2026"))</f>
        <v/>
      </c>
      <c r="M83">
        <f>IF($A83="","",SUMIFS(Socle!$V$1:$V$379,Socle!$C$1:$C$379,$A83,Socle!$D$1:$D$379,$C83,Socle!$E$1:$E$379,$D83,Socle!$F$1:$F$379,$E83,Socle!$G$1:$G$379,"2026"))</f>
        <v/>
      </c>
      <c r="N83">
        <f>IF($A83="","",IF(OR($D83="B1",$D83="M1",$D83="BTS1"),1,0))</f>
        <v/>
      </c>
      <c r="O83">
        <f>IF($A83="","",SUMIFS(Campagne!$D$1:$D$28,Campagne!$C$1:$C$28,$A83))</f>
        <v/>
      </c>
      <c r="P83">
        <f>IF($A83="","",SUMIFS(Campagne!$E$1:$E$28,Campagne!$C$1:$C$28,$A83))</f>
        <v/>
      </c>
      <c r="Q83">
        <f>IF($A83="","",SUMIFS(Campagne!$F$1:$F$28,Campagne!$C$1:$C$28,$A83))</f>
        <v/>
      </c>
      <c r="R83">
        <f>IF($A83="","",SUMIFS(Campagne!$K$1:$K$28,Campagne!$C$1:$C$28,$A83))</f>
        <v/>
      </c>
      <c r="S83">
        <f>IF($A83="","",SUMIFS(Campagne!$M$1:$M$28,Campagne!$C$1:$C$28,$A83))</f>
        <v/>
      </c>
      <c r="T83">
        <f>IF($A83="","",SUMIFS(Pilotage!$K$19:$K$32,Pilotage!$A$19:$A$32,$A83)*SUMIFS(Pilotage!$J$19:$J$32,Pilotage!$A$19:$A$32,$A83)*(SUM(Pilotage!$K$19:$K$32)/SUMPRODUCT(Pilotage!$K$19:$K$32,Pilotage!$J$19:$J$32)))</f>
        <v/>
      </c>
      <c r="U83">
        <f>IF($A83="","",SUMIFS(Pilotage!$K$19:$K$32,Pilotage!$A$19:$A$32,$A83))</f>
        <v/>
      </c>
      <c r="V83">
        <f>IF($A83="","",IF($B83="V01",Cadrage!$C$22,IF($B83="V02",Cadrage!$D$22,Cadrage!$E$22)))</f>
        <v/>
      </c>
      <c r="W83">
        <f>IF($A83="","",IF($B83="V01",Cadrage!$C$23,IF($B83="V02",Cadrage!$D$23,Cadrage!$E$23)))</f>
        <v/>
      </c>
      <c r="X83">
        <f>IF($A83="","",IF($B83="V01",Cadrage!$C$24,IF($B83="V02",Cadrage!$D$24,Cadrage!$E$24)))</f>
        <v/>
      </c>
      <c r="Y83">
        <f>IF($A83="","",IF($B83="V01",Cadrage!$C$25,IF($B83="V02",Cadrage!$D$25,Cadrage!$E$25)))</f>
        <v/>
      </c>
      <c r="Z83">
        <f>IF($A83="","",IF($B83="V01",Cadrage!$C$26,IF($B83="V02",Cadrage!$D$26,Cadrage!$E$26)))</f>
        <v/>
      </c>
      <c r="AA83">
        <f>IF($A83="","",IF($B83="V01",Cadrage!$C$27,IF($B83="V02",Cadrage!$D$27,Cadrage!$E$27)))</f>
        <v/>
      </c>
      <c r="AB83">
        <f>IF($A83="","",IF($B83="V01",Cadrage!$C$39,IF($B83="V02",Cadrage!$D$39,Cadrage!$E$39)))</f>
        <v/>
      </c>
      <c r="AC83">
        <f>IF($A83="","",IF($F83="MBWAY",Cadrage!$K$11,IF($F83="ISCOM",Cadrage!$K$12,IF($F83="IPAC",Cadrage!$K$13,IF($F83="PIGIER",Cadrage!$K$14,Cadrage!$K$15)))))</f>
        <v/>
      </c>
      <c r="AD83">
        <f>IF($A83="","",($O83*(1+$W83)^$S83+$P83*IFERROR((($T83/$U83)*(1+$V83))^$R83,0))*IFERROR($G83/$Q83,0)*($J83+$Y83)*$K83*($L83+$Z83))</f>
        <v/>
      </c>
      <c r="AE83">
        <f>IF($A83="","",IF($N83=1,$AD83,0))</f>
        <v/>
      </c>
      <c r="AF83">
        <f>IF($A83="","",IF($N83=1,$AD83,$H83*($M83+$AA83)))</f>
        <v/>
      </c>
      <c r="AG83">
        <f>IF($A83="","",$I83*(1+$X83*$AC83))</f>
        <v/>
      </c>
      <c r="AH83">
        <f>IF($A83="","",$AF83*$AG83+$AE83*$AB83)</f>
        <v/>
      </c>
    </row>
    <row r="84">
      <c r="A84">
        <f>IF(Moteur!D84="","",Moteur!D84)</f>
        <v/>
      </c>
      <c r="B84">
        <f>IF(Moteur!B84="","",Moteur!B84)</f>
        <v/>
      </c>
      <c r="C84">
        <f>IF(Moteur!F84="","",Moteur!F84)</f>
        <v/>
      </c>
      <c r="D84">
        <f>IF(Moteur!G84="","",Moteur!G84)</f>
        <v/>
      </c>
      <c r="E84">
        <f>IF(Moteur!H84="","",Moteur!H84)</f>
        <v/>
      </c>
      <c r="F84">
        <f>IF(Moteur!E84="","",Moteur!E84)</f>
        <v/>
      </c>
      <c r="G84">
        <f>IF($A84="","",SUMIFS(Socle!$H$1:$H$379,Socle!$C$1:$C$379,$A84,Socle!$D$1:$D$379,$C84,Socle!$E$1:$E$379,$D84,Socle!$F$1:$F$379,$E84,Socle!$G$1:$G$379,"2026"))</f>
        <v/>
      </c>
      <c r="H84">
        <f>IF($A84="","",SUMIFS(Socle!$N$1:$N$379,Socle!$C$1:$C$379,$A84,Socle!$D$1:$D$379,$C84,Socle!$E$1:$E$379,$D84,Socle!$F$1:$F$379,$E84,Socle!$G$1:$G$379,"2026"))</f>
        <v/>
      </c>
      <c r="I84">
        <f>IF($A84="","",SUMIFS(Socle!$P$1:$P$379,Socle!$C$1:$C$379,$A84,Socle!$D$1:$D$379,$C84,Socle!$E$1:$E$379,$D84,Socle!$F$1:$F$379,$E84,Socle!$G$1:$G$379,"2026"))</f>
        <v/>
      </c>
      <c r="J84">
        <f>IF($A84="","",SUMIFS(Socle!$W$1:$W$379,Socle!$C$1:$C$379,$A84,Socle!$D$1:$D$379,$C84,Socle!$E$1:$E$379,$D84,Socle!$F$1:$F$379,$E84,Socle!$G$1:$G$379,"2026"))</f>
        <v/>
      </c>
      <c r="K84">
        <f>IF($A84="","",SUMIFS(Socle!$X$1:$X$379,Socle!$C$1:$C$379,$A84,Socle!$D$1:$D$379,$C84,Socle!$E$1:$E$379,$D84,Socle!$F$1:$F$379,$E84,Socle!$G$1:$G$379,"2026"))</f>
        <v/>
      </c>
      <c r="L84">
        <f>IF($A84="","",SUMIFS(Socle!$Y$1:$Y$379,Socle!$C$1:$C$379,$A84,Socle!$D$1:$D$379,$C84,Socle!$E$1:$E$379,$D84,Socle!$F$1:$F$379,$E84,Socle!$G$1:$G$379,"2026"))</f>
        <v/>
      </c>
      <c r="M84">
        <f>IF($A84="","",SUMIFS(Socle!$V$1:$V$379,Socle!$C$1:$C$379,$A84,Socle!$D$1:$D$379,$C84,Socle!$E$1:$E$379,$D84,Socle!$F$1:$F$379,$E84,Socle!$G$1:$G$379,"2026"))</f>
        <v/>
      </c>
      <c r="N84">
        <f>IF($A84="","",IF(OR($D84="B1",$D84="M1",$D84="BTS1"),1,0))</f>
        <v/>
      </c>
      <c r="O84">
        <f>IF($A84="","",SUMIFS(Campagne!$D$1:$D$28,Campagne!$C$1:$C$28,$A84))</f>
        <v/>
      </c>
      <c r="P84">
        <f>IF($A84="","",SUMIFS(Campagne!$E$1:$E$28,Campagne!$C$1:$C$28,$A84))</f>
        <v/>
      </c>
      <c r="Q84">
        <f>IF($A84="","",SUMIFS(Campagne!$F$1:$F$28,Campagne!$C$1:$C$28,$A84))</f>
        <v/>
      </c>
      <c r="R84">
        <f>IF($A84="","",SUMIFS(Campagne!$K$1:$K$28,Campagne!$C$1:$C$28,$A84))</f>
        <v/>
      </c>
      <c r="S84">
        <f>IF($A84="","",SUMIFS(Campagne!$M$1:$M$28,Campagne!$C$1:$C$28,$A84))</f>
        <v/>
      </c>
      <c r="T84">
        <f>IF($A84="","",SUMIFS(Pilotage!$K$19:$K$32,Pilotage!$A$19:$A$32,$A84)*SUMIFS(Pilotage!$J$19:$J$32,Pilotage!$A$19:$A$32,$A84)*(SUM(Pilotage!$K$19:$K$32)/SUMPRODUCT(Pilotage!$K$19:$K$32,Pilotage!$J$19:$J$32)))</f>
        <v/>
      </c>
      <c r="U84">
        <f>IF($A84="","",SUMIFS(Pilotage!$K$19:$K$32,Pilotage!$A$19:$A$32,$A84))</f>
        <v/>
      </c>
      <c r="V84">
        <f>IF($A84="","",IF($B84="V01",Cadrage!$C$22,IF($B84="V02",Cadrage!$D$22,Cadrage!$E$22)))</f>
        <v/>
      </c>
      <c r="W84">
        <f>IF($A84="","",IF($B84="V01",Cadrage!$C$23,IF($B84="V02",Cadrage!$D$23,Cadrage!$E$23)))</f>
        <v/>
      </c>
      <c r="X84">
        <f>IF($A84="","",IF($B84="V01",Cadrage!$C$24,IF($B84="V02",Cadrage!$D$24,Cadrage!$E$24)))</f>
        <v/>
      </c>
      <c r="Y84">
        <f>IF($A84="","",IF($B84="V01",Cadrage!$C$25,IF($B84="V02",Cadrage!$D$25,Cadrage!$E$25)))</f>
        <v/>
      </c>
      <c r="Z84">
        <f>IF($A84="","",IF($B84="V01",Cadrage!$C$26,IF($B84="V02",Cadrage!$D$26,Cadrage!$E$26)))</f>
        <v/>
      </c>
      <c r="AA84">
        <f>IF($A84="","",IF($B84="V01",Cadrage!$C$27,IF($B84="V02",Cadrage!$D$27,Cadrage!$E$27)))</f>
        <v/>
      </c>
      <c r="AB84">
        <f>IF($A84="","",IF($B84="V01",Cadrage!$C$39,IF($B84="V02",Cadrage!$D$39,Cadrage!$E$39)))</f>
        <v/>
      </c>
      <c r="AC84">
        <f>IF($A84="","",IF($F84="MBWAY",Cadrage!$K$11,IF($F84="ISCOM",Cadrage!$K$12,IF($F84="IPAC",Cadrage!$K$13,IF($F84="PIGIER",Cadrage!$K$14,Cadrage!$K$15)))))</f>
        <v/>
      </c>
      <c r="AD84">
        <f>IF($A84="","",($O84*(1+$W84)^$S84+$P84*IFERROR((($T84/$U84)*(1+$V84))^$R84,0))*IFERROR($G84/$Q84,0)*($J84+$Y84)*$K84*($L84+$Z84))</f>
        <v/>
      </c>
      <c r="AE84">
        <f>IF($A84="","",IF($N84=1,$AD84,0))</f>
        <v/>
      </c>
      <c r="AF84">
        <f>IF($A84="","",IF($N84=1,$AD84,$H84*($M84+$AA84)))</f>
        <v/>
      </c>
      <c r="AG84">
        <f>IF($A84="","",$I84*(1+$X84*$AC84))</f>
        <v/>
      </c>
      <c r="AH84">
        <f>IF($A84="","",$AF84*$AG84+$AE84*$AB84)</f>
        <v/>
      </c>
    </row>
    <row r="85">
      <c r="A85">
        <f>IF(Moteur!D85="","",Moteur!D85)</f>
        <v/>
      </c>
      <c r="B85">
        <f>IF(Moteur!B85="","",Moteur!B85)</f>
        <v/>
      </c>
      <c r="C85">
        <f>IF(Moteur!F85="","",Moteur!F85)</f>
        <v/>
      </c>
      <c r="D85">
        <f>IF(Moteur!G85="","",Moteur!G85)</f>
        <v/>
      </c>
      <c r="E85">
        <f>IF(Moteur!H85="","",Moteur!H85)</f>
        <v/>
      </c>
      <c r="F85">
        <f>IF(Moteur!E85="","",Moteur!E85)</f>
        <v/>
      </c>
      <c r="G85">
        <f>IF($A85="","",SUMIFS(Socle!$H$1:$H$379,Socle!$C$1:$C$379,$A85,Socle!$D$1:$D$379,$C85,Socle!$E$1:$E$379,$D85,Socle!$F$1:$F$379,$E85,Socle!$G$1:$G$379,"2026"))</f>
        <v/>
      </c>
      <c r="H85">
        <f>IF($A85="","",SUMIFS(Socle!$N$1:$N$379,Socle!$C$1:$C$379,$A85,Socle!$D$1:$D$379,$C85,Socle!$E$1:$E$379,$D85,Socle!$F$1:$F$379,$E85,Socle!$G$1:$G$379,"2026"))</f>
        <v/>
      </c>
      <c r="I85">
        <f>IF($A85="","",SUMIFS(Socle!$P$1:$P$379,Socle!$C$1:$C$379,$A85,Socle!$D$1:$D$379,$C85,Socle!$E$1:$E$379,$D85,Socle!$F$1:$F$379,$E85,Socle!$G$1:$G$379,"2026"))</f>
        <v/>
      </c>
      <c r="J85">
        <f>IF($A85="","",SUMIFS(Socle!$W$1:$W$379,Socle!$C$1:$C$379,$A85,Socle!$D$1:$D$379,$C85,Socle!$E$1:$E$379,$D85,Socle!$F$1:$F$379,$E85,Socle!$G$1:$G$379,"2026"))</f>
        <v/>
      </c>
      <c r="K85">
        <f>IF($A85="","",SUMIFS(Socle!$X$1:$X$379,Socle!$C$1:$C$379,$A85,Socle!$D$1:$D$379,$C85,Socle!$E$1:$E$379,$D85,Socle!$F$1:$F$379,$E85,Socle!$G$1:$G$379,"2026"))</f>
        <v/>
      </c>
      <c r="L85">
        <f>IF($A85="","",SUMIFS(Socle!$Y$1:$Y$379,Socle!$C$1:$C$379,$A85,Socle!$D$1:$D$379,$C85,Socle!$E$1:$E$379,$D85,Socle!$F$1:$F$379,$E85,Socle!$G$1:$G$379,"2026"))</f>
        <v/>
      </c>
      <c r="M85">
        <f>IF($A85="","",SUMIFS(Socle!$V$1:$V$379,Socle!$C$1:$C$379,$A85,Socle!$D$1:$D$379,$C85,Socle!$E$1:$E$379,$D85,Socle!$F$1:$F$379,$E85,Socle!$G$1:$G$379,"2026"))</f>
        <v/>
      </c>
      <c r="N85">
        <f>IF($A85="","",IF(OR($D85="B1",$D85="M1",$D85="BTS1"),1,0))</f>
        <v/>
      </c>
      <c r="O85">
        <f>IF($A85="","",SUMIFS(Campagne!$D$1:$D$28,Campagne!$C$1:$C$28,$A85))</f>
        <v/>
      </c>
      <c r="P85">
        <f>IF($A85="","",SUMIFS(Campagne!$E$1:$E$28,Campagne!$C$1:$C$28,$A85))</f>
        <v/>
      </c>
      <c r="Q85">
        <f>IF($A85="","",SUMIFS(Campagne!$F$1:$F$28,Campagne!$C$1:$C$28,$A85))</f>
        <v/>
      </c>
      <c r="R85">
        <f>IF($A85="","",SUMIFS(Campagne!$K$1:$K$28,Campagne!$C$1:$C$28,$A85))</f>
        <v/>
      </c>
      <c r="S85">
        <f>IF($A85="","",SUMIFS(Campagne!$M$1:$M$28,Campagne!$C$1:$C$28,$A85))</f>
        <v/>
      </c>
      <c r="T85">
        <f>IF($A85="","",SUMIFS(Pilotage!$K$19:$K$32,Pilotage!$A$19:$A$32,$A85)*SUMIFS(Pilotage!$J$19:$J$32,Pilotage!$A$19:$A$32,$A85)*(SUM(Pilotage!$K$19:$K$32)/SUMPRODUCT(Pilotage!$K$19:$K$32,Pilotage!$J$19:$J$32)))</f>
        <v/>
      </c>
      <c r="U85">
        <f>IF($A85="","",SUMIFS(Pilotage!$K$19:$K$32,Pilotage!$A$19:$A$32,$A85))</f>
        <v/>
      </c>
      <c r="V85">
        <f>IF($A85="","",IF($B85="V01",Cadrage!$C$22,IF($B85="V02",Cadrage!$D$22,Cadrage!$E$22)))</f>
        <v/>
      </c>
      <c r="W85">
        <f>IF($A85="","",IF($B85="V01",Cadrage!$C$23,IF($B85="V02",Cadrage!$D$23,Cadrage!$E$23)))</f>
        <v/>
      </c>
      <c r="X85">
        <f>IF($A85="","",IF($B85="V01",Cadrage!$C$24,IF($B85="V02",Cadrage!$D$24,Cadrage!$E$24)))</f>
        <v/>
      </c>
      <c r="Y85">
        <f>IF($A85="","",IF($B85="V01",Cadrage!$C$25,IF($B85="V02",Cadrage!$D$25,Cadrage!$E$25)))</f>
        <v/>
      </c>
      <c r="Z85">
        <f>IF($A85="","",IF($B85="V01",Cadrage!$C$26,IF($B85="V02",Cadrage!$D$26,Cadrage!$E$26)))</f>
        <v/>
      </c>
      <c r="AA85">
        <f>IF($A85="","",IF($B85="V01",Cadrage!$C$27,IF($B85="V02",Cadrage!$D$27,Cadrage!$E$27)))</f>
        <v/>
      </c>
      <c r="AB85">
        <f>IF($A85="","",IF($B85="V01",Cadrage!$C$39,IF($B85="V02",Cadrage!$D$39,Cadrage!$E$39)))</f>
        <v/>
      </c>
      <c r="AC85">
        <f>IF($A85="","",IF($F85="MBWAY",Cadrage!$K$11,IF($F85="ISCOM",Cadrage!$K$12,IF($F85="IPAC",Cadrage!$K$13,IF($F85="PIGIER",Cadrage!$K$14,Cadrage!$K$15)))))</f>
        <v/>
      </c>
      <c r="AD85">
        <f>IF($A85="","",($O85*(1+$W85)^$S85+$P85*IFERROR((($T85/$U85)*(1+$V85))^$R85,0))*IFERROR($G85/$Q85,0)*($J85+$Y85)*$K85*($L85+$Z85))</f>
        <v/>
      </c>
      <c r="AE85">
        <f>IF($A85="","",IF($N85=1,$AD85,0))</f>
        <v/>
      </c>
      <c r="AF85">
        <f>IF($A85="","",IF($N85=1,$AD85,$H85*($M85+$AA85)))</f>
        <v/>
      </c>
      <c r="AG85">
        <f>IF($A85="","",$I85*(1+$X85*$AC85))</f>
        <v/>
      </c>
      <c r="AH85">
        <f>IF($A85="","",$AF85*$AG85+$AE85*$AB85)</f>
        <v/>
      </c>
    </row>
    <row r="86">
      <c r="A86">
        <f>IF(Moteur!D86="","",Moteur!D86)</f>
        <v/>
      </c>
      <c r="B86">
        <f>IF(Moteur!B86="","",Moteur!B86)</f>
        <v/>
      </c>
      <c r="C86">
        <f>IF(Moteur!F86="","",Moteur!F86)</f>
        <v/>
      </c>
      <c r="D86">
        <f>IF(Moteur!G86="","",Moteur!G86)</f>
        <v/>
      </c>
      <c r="E86">
        <f>IF(Moteur!H86="","",Moteur!H86)</f>
        <v/>
      </c>
      <c r="F86">
        <f>IF(Moteur!E86="","",Moteur!E86)</f>
        <v/>
      </c>
      <c r="G86">
        <f>IF($A86="","",SUMIFS(Socle!$H$1:$H$379,Socle!$C$1:$C$379,$A86,Socle!$D$1:$D$379,$C86,Socle!$E$1:$E$379,$D86,Socle!$F$1:$F$379,$E86,Socle!$G$1:$G$379,"2026"))</f>
        <v/>
      </c>
      <c r="H86">
        <f>IF($A86="","",SUMIFS(Socle!$N$1:$N$379,Socle!$C$1:$C$379,$A86,Socle!$D$1:$D$379,$C86,Socle!$E$1:$E$379,$D86,Socle!$F$1:$F$379,$E86,Socle!$G$1:$G$379,"2026"))</f>
        <v/>
      </c>
      <c r="I86">
        <f>IF($A86="","",SUMIFS(Socle!$P$1:$P$379,Socle!$C$1:$C$379,$A86,Socle!$D$1:$D$379,$C86,Socle!$E$1:$E$379,$D86,Socle!$F$1:$F$379,$E86,Socle!$G$1:$G$379,"2026"))</f>
        <v/>
      </c>
      <c r="J86">
        <f>IF($A86="","",SUMIFS(Socle!$W$1:$W$379,Socle!$C$1:$C$379,$A86,Socle!$D$1:$D$379,$C86,Socle!$E$1:$E$379,$D86,Socle!$F$1:$F$379,$E86,Socle!$G$1:$G$379,"2026"))</f>
        <v/>
      </c>
      <c r="K86">
        <f>IF($A86="","",SUMIFS(Socle!$X$1:$X$379,Socle!$C$1:$C$379,$A86,Socle!$D$1:$D$379,$C86,Socle!$E$1:$E$379,$D86,Socle!$F$1:$F$379,$E86,Socle!$G$1:$G$379,"2026"))</f>
        <v/>
      </c>
      <c r="L86">
        <f>IF($A86="","",SUMIFS(Socle!$Y$1:$Y$379,Socle!$C$1:$C$379,$A86,Socle!$D$1:$D$379,$C86,Socle!$E$1:$E$379,$D86,Socle!$F$1:$F$379,$E86,Socle!$G$1:$G$379,"2026"))</f>
        <v/>
      </c>
      <c r="M86">
        <f>IF($A86="","",SUMIFS(Socle!$V$1:$V$379,Socle!$C$1:$C$379,$A86,Socle!$D$1:$D$379,$C86,Socle!$E$1:$E$379,$D86,Socle!$F$1:$F$379,$E86,Socle!$G$1:$G$379,"2026"))</f>
        <v/>
      </c>
      <c r="N86">
        <f>IF($A86="","",IF(OR($D86="B1",$D86="M1",$D86="BTS1"),1,0))</f>
        <v/>
      </c>
      <c r="O86">
        <f>IF($A86="","",SUMIFS(Campagne!$D$1:$D$28,Campagne!$C$1:$C$28,$A86))</f>
        <v/>
      </c>
      <c r="P86">
        <f>IF($A86="","",SUMIFS(Campagne!$E$1:$E$28,Campagne!$C$1:$C$28,$A86))</f>
        <v/>
      </c>
      <c r="Q86">
        <f>IF($A86="","",SUMIFS(Campagne!$F$1:$F$28,Campagne!$C$1:$C$28,$A86))</f>
        <v/>
      </c>
      <c r="R86">
        <f>IF($A86="","",SUMIFS(Campagne!$K$1:$K$28,Campagne!$C$1:$C$28,$A86))</f>
        <v/>
      </c>
      <c r="S86">
        <f>IF($A86="","",SUMIFS(Campagne!$M$1:$M$28,Campagne!$C$1:$C$28,$A86))</f>
        <v/>
      </c>
      <c r="T86">
        <f>IF($A86="","",SUMIFS(Pilotage!$K$19:$K$32,Pilotage!$A$19:$A$32,$A86)*SUMIFS(Pilotage!$J$19:$J$32,Pilotage!$A$19:$A$32,$A86)*(SUM(Pilotage!$K$19:$K$32)/SUMPRODUCT(Pilotage!$K$19:$K$32,Pilotage!$J$19:$J$32)))</f>
        <v/>
      </c>
      <c r="U86">
        <f>IF($A86="","",SUMIFS(Pilotage!$K$19:$K$32,Pilotage!$A$19:$A$32,$A86))</f>
        <v/>
      </c>
      <c r="V86">
        <f>IF($A86="","",IF($B86="V01",Cadrage!$C$22,IF($B86="V02",Cadrage!$D$22,Cadrage!$E$22)))</f>
        <v/>
      </c>
      <c r="W86">
        <f>IF($A86="","",IF($B86="V01",Cadrage!$C$23,IF($B86="V02",Cadrage!$D$23,Cadrage!$E$23)))</f>
        <v/>
      </c>
      <c r="X86">
        <f>IF($A86="","",IF($B86="V01",Cadrage!$C$24,IF($B86="V02",Cadrage!$D$24,Cadrage!$E$24)))</f>
        <v/>
      </c>
      <c r="Y86">
        <f>IF($A86="","",IF($B86="V01",Cadrage!$C$25,IF($B86="V02",Cadrage!$D$25,Cadrage!$E$25)))</f>
        <v/>
      </c>
      <c r="Z86">
        <f>IF($A86="","",IF($B86="V01",Cadrage!$C$26,IF($B86="V02",Cadrage!$D$26,Cadrage!$E$26)))</f>
        <v/>
      </c>
      <c r="AA86">
        <f>IF($A86="","",IF($B86="V01",Cadrage!$C$27,IF($B86="V02",Cadrage!$D$27,Cadrage!$E$27)))</f>
        <v/>
      </c>
      <c r="AB86">
        <f>IF($A86="","",IF($B86="V01",Cadrage!$C$39,IF($B86="V02",Cadrage!$D$39,Cadrage!$E$39)))</f>
        <v/>
      </c>
      <c r="AC86">
        <f>IF($A86="","",IF($F86="MBWAY",Cadrage!$K$11,IF($F86="ISCOM",Cadrage!$K$12,IF($F86="IPAC",Cadrage!$K$13,IF($F86="PIGIER",Cadrage!$K$14,Cadrage!$K$15)))))</f>
        <v/>
      </c>
      <c r="AD86">
        <f>IF($A86="","",($O86*(1+$W86)^$S86+$P86*IFERROR((($T86/$U86)*(1+$V86))^$R86,0))*IFERROR($G86/$Q86,0)*($J86+$Y86)*$K86*($L86+$Z86))</f>
        <v/>
      </c>
      <c r="AE86">
        <f>IF($A86="","",IF($N86=1,$AD86,0))</f>
        <v/>
      </c>
      <c r="AF86">
        <f>IF($A86="","",IF($N86=1,$AD86,$H86*($M86+$AA86)))</f>
        <v/>
      </c>
      <c r="AG86">
        <f>IF($A86="","",$I86*(1+$X86*$AC86))</f>
        <v/>
      </c>
      <c r="AH86">
        <f>IF($A86="","",$AF86*$AG86+$AE86*$AB86)</f>
        <v/>
      </c>
    </row>
    <row r="87">
      <c r="A87">
        <f>IF(Moteur!D87="","",Moteur!D87)</f>
        <v/>
      </c>
      <c r="B87">
        <f>IF(Moteur!B87="","",Moteur!B87)</f>
        <v/>
      </c>
      <c r="C87">
        <f>IF(Moteur!F87="","",Moteur!F87)</f>
        <v/>
      </c>
      <c r="D87">
        <f>IF(Moteur!G87="","",Moteur!G87)</f>
        <v/>
      </c>
      <c r="E87">
        <f>IF(Moteur!H87="","",Moteur!H87)</f>
        <v/>
      </c>
      <c r="F87">
        <f>IF(Moteur!E87="","",Moteur!E87)</f>
        <v/>
      </c>
      <c r="G87">
        <f>IF($A87="","",SUMIFS(Socle!$H$1:$H$379,Socle!$C$1:$C$379,$A87,Socle!$D$1:$D$379,$C87,Socle!$E$1:$E$379,$D87,Socle!$F$1:$F$379,$E87,Socle!$G$1:$G$379,"2026"))</f>
        <v/>
      </c>
      <c r="H87">
        <f>IF($A87="","",SUMIFS(Socle!$N$1:$N$379,Socle!$C$1:$C$379,$A87,Socle!$D$1:$D$379,$C87,Socle!$E$1:$E$379,$D87,Socle!$F$1:$F$379,$E87,Socle!$G$1:$G$379,"2026"))</f>
        <v/>
      </c>
      <c r="I87">
        <f>IF($A87="","",SUMIFS(Socle!$P$1:$P$379,Socle!$C$1:$C$379,$A87,Socle!$D$1:$D$379,$C87,Socle!$E$1:$E$379,$D87,Socle!$F$1:$F$379,$E87,Socle!$G$1:$G$379,"2026"))</f>
        <v/>
      </c>
      <c r="J87">
        <f>IF($A87="","",SUMIFS(Socle!$W$1:$W$379,Socle!$C$1:$C$379,$A87,Socle!$D$1:$D$379,$C87,Socle!$E$1:$E$379,$D87,Socle!$F$1:$F$379,$E87,Socle!$G$1:$G$379,"2026"))</f>
        <v/>
      </c>
      <c r="K87">
        <f>IF($A87="","",SUMIFS(Socle!$X$1:$X$379,Socle!$C$1:$C$379,$A87,Socle!$D$1:$D$379,$C87,Socle!$E$1:$E$379,$D87,Socle!$F$1:$F$379,$E87,Socle!$G$1:$G$379,"2026"))</f>
        <v/>
      </c>
      <c r="L87">
        <f>IF($A87="","",SUMIFS(Socle!$Y$1:$Y$379,Socle!$C$1:$C$379,$A87,Socle!$D$1:$D$379,$C87,Socle!$E$1:$E$379,$D87,Socle!$F$1:$F$379,$E87,Socle!$G$1:$G$379,"2026"))</f>
        <v/>
      </c>
      <c r="M87">
        <f>IF($A87="","",SUMIFS(Socle!$V$1:$V$379,Socle!$C$1:$C$379,$A87,Socle!$D$1:$D$379,$C87,Socle!$E$1:$E$379,$D87,Socle!$F$1:$F$379,$E87,Socle!$G$1:$G$379,"2026"))</f>
        <v/>
      </c>
      <c r="N87">
        <f>IF($A87="","",IF(OR($D87="B1",$D87="M1",$D87="BTS1"),1,0))</f>
        <v/>
      </c>
      <c r="O87">
        <f>IF($A87="","",SUMIFS(Campagne!$D$1:$D$28,Campagne!$C$1:$C$28,$A87))</f>
        <v/>
      </c>
      <c r="P87">
        <f>IF($A87="","",SUMIFS(Campagne!$E$1:$E$28,Campagne!$C$1:$C$28,$A87))</f>
        <v/>
      </c>
      <c r="Q87">
        <f>IF($A87="","",SUMIFS(Campagne!$F$1:$F$28,Campagne!$C$1:$C$28,$A87))</f>
        <v/>
      </c>
      <c r="R87">
        <f>IF($A87="","",SUMIFS(Campagne!$K$1:$K$28,Campagne!$C$1:$C$28,$A87))</f>
        <v/>
      </c>
      <c r="S87">
        <f>IF($A87="","",SUMIFS(Campagne!$M$1:$M$28,Campagne!$C$1:$C$28,$A87))</f>
        <v/>
      </c>
      <c r="T87">
        <f>IF($A87="","",SUMIFS(Pilotage!$K$19:$K$32,Pilotage!$A$19:$A$32,$A87)*SUMIFS(Pilotage!$J$19:$J$32,Pilotage!$A$19:$A$32,$A87)*(SUM(Pilotage!$K$19:$K$32)/SUMPRODUCT(Pilotage!$K$19:$K$32,Pilotage!$J$19:$J$32)))</f>
        <v/>
      </c>
      <c r="U87">
        <f>IF($A87="","",SUMIFS(Pilotage!$K$19:$K$32,Pilotage!$A$19:$A$32,$A87))</f>
        <v/>
      </c>
      <c r="V87">
        <f>IF($A87="","",IF($B87="V01",Cadrage!$C$22,IF($B87="V02",Cadrage!$D$22,Cadrage!$E$22)))</f>
        <v/>
      </c>
      <c r="W87">
        <f>IF($A87="","",IF($B87="V01",Cadrage!$C$23,IF($B87="V02",Cadrage!$D$23,Cadrage!$E$23)))</f>
        <v/>
      </c>
      <c r="X87">
        <f>IF($A87="","",IF($B87="V01",Cadrage!$C$24,IF($B87="V02",Cadrage!$D$24,Cadrage!$E$24)))</f>
        <v/>
      </c>
      <c r="Y87">
        <f>IF($A87="","",IF($B87="V01",Cadrage!$C$25,IF($B87="V02",Cadrage!$D$25,Cadrage!$E$25)))</f>
        <v/>
      </c>
      <c r="Z87">
        <f>IF($A87="","",IF($B87="V01",Cadrage!$C$26,IF($B87="V02",Cadrage!$D$26,Cadrage!$E$26)))</f>
        <v/>
      </c>
      <c r="AA87">
        <f>IF($A87="","",IF($B87="V01",Cadrage!$C$27,IF($B87="V02",Cadrage!$D$27,Cadrage!$E$27)))</f>
        <v/>
      </c>
      <c r="AB87">
        <f>IF($A87="","",IF($B87="V01",Cadrage!$C$39,IF($B87="V02",Cadrage!$D$39,Cadrage!$E$39)))</f>
        <v/>
      </c>
      <c r="AC87">
        <f>IF($A87="","",IF($F87="MBWAY",Cadrage!$K$11,IF($F87="ISCOM",Cadrage!$K$12,IF($F87="IPAC",Cadrage!$K$13,IF($F87="PIGIER",Cadrage!$K$14,Cadrage!$K$15)))))</f>
        <v/>
      </c>
      <c r="AD87">
        <f>IF($A87="","",($O87*(1+$W87)^$S87+$P87*IFERROR((($T87/$U87)*(1+$V87))^$R87,0))*IFERROR($G87/$Q87,0)*($J87+$Y87)*$K87*($L87+$Z87))</f>
        <v/>
      </c>
      <c r="AE87">
        <f>IF($A87="","",IF($N87=1,$AD87,0))</f>
        <v/>
      </c>
      <c r="AF87">
        <f>IF($A87="","",IF($N87=1,$AD87,$H87*($M87+$AA87)))</f>
        <v/>
      </c>
      <c r="AG87">
        <f>IF($A87="","",$I87*(1+$X87*$AC87))</f>
        <v/>
      </c>
      <c r="AH87">
        <f>IF($A87="","",$AF87*$AG87+$AE87*$AB87)</f>
        <v/>
      </c>
    </row>
    <row r="88">
      <c r="A88">
        <f>IF(Moteur!D88="","",Moteur!D88)</f>
        <v/>
      </c>
      <c r="B88">
        <f>IF(Moteur!B88="","",Moteur!B88)</f>
        <v/>
      </c>
      <c r="C88">
        <f>IF(Moteur!F88="","",Moteur!F88)</f>
        <v/>
      </c>
      <c r="D88">
        <f>IF(Moteur!G88="","",Moteur!G88)</f>
        <v/>
      </c>
      <c r="E88">
        <f>IF(Moteur!H88="","",Moteur!H88)</f>
        <v/>
      </c>
      <c r="F88">
        <f>IF(Moteur!E88="","",Moteur!E88)</f>
        <v/>
      </c>
      <c r="G88">
        <f>IF($A88="","",SUMIFS(Socle!$H$1:$H$379,Socle!$C$1:$C$379,$A88,Socle!$D$1:$D$379,$C88,Socle!$E$1:$E$379,$D88,Socle!$F$1:$F$379,$E88,Socle!$G$1:$G$379,"2026"))</f>
        <v/>
      </c>
      <c r="H88">
        <f>IF($A88="","",SUMIFS(Socle!$N$1:$N$379,Socle!$C$1:$C$379,$A88,Socle!$D$1:$D$379,$C88,Socle!$E$1:$E$379,$D88,Socle!$F$1:$F$379,$E88,Socle!$G$1:$G$379,"2026"))</f>
        <v/>
      </c>
      <c r="I88">
        <f>IF($A88="","",SUMIFS(Socle!$P$1:$P$379,Socle!$C$1:$C$379,$A88,Socle!$D$1:$D$379,$C88,Socle!$E$1:$E$379,$D88,Socle!$F$1:$F$379,$E88,Socle!$G$1:$G$379,"2026"))</f>
        <v/>
      </c>
      <c r="J88">
        <f>IF($A88="","",SUMIFS(Socle!$W$1:$W$379,Socle!$C$1:$C$379,$A88,Socle!$D$1:$D$379,$C88,Socle!$E$1:$E$379,$D88,Socle!$F$1:$F$379,$E88,Socle!$G$1:$G$379,"2026"))</f>
        <v/>
      </c>
      <c r="K88">
        <f>IF($A88="","",SUMIFS(Socle!$X$1:$X$379,Socle!$C$1:$C$379,$A88,Socle!$D$1:$D$379,$C88,Socle!$E$1:$E$379,$D88,Socle!$F$1:$F$379,$E88,Socle!$G$1:$G$379,"2026"))</f>
        <v/>
      </c>
      <c r="L88">
        <f>IF($A88="","",SUMIFS(Socle!$Y$1:$Y$379,Socle!$C$1:$C$379,$A88,Socle!$D$1:$D$379,$C88,Socle!$E$1:$E$379,$D88,Socle!$F$1:$F$379,$E88,Socle!$G$1:$G$379,"2026"))</f>
        <v/>
      </c>
      <c r="M88">
        <f>IF($A88="","",SUMIFS(Socle!$V$1:$V$379,Socle!$C$1:$C$379,$A88,Socle!$D$1:$D$379,$C88,Socle!$E$1:$E$379,$D88,Socle!$F$1:$F$379,$E88,Socle!$G$1:$G$379,"2026"))</f>
        <v/>
      </c>
      <c r="N88">
        <f>IF($A88="","",IF(OR($D88="B1",$D88="M1",$D88="BTS1"),1,0))</f>
        <v/>
      </c>
      <c r="O88">
        <f>IF($A88="","",SUMIFS(Campagne!$D$1:$D$28,Campagne!$C$1:$C$28,$A88))</f>
        <v/>
      </c>
      <c r="P88">
        <f>IF($A88="","",SUMIFS(Campagne!$E$1:$E$28,Campagne!$C$1:$C$28,$A88))</f>
        <v/>
      </c>
      <c r="Q88">
        <f>IF($A88="","",SUMIFS(Campagne!$F$1:$F$28,Campagne!$C$1:$C$28,$A88))</f>
        <v/>
      </c>
      <c r="R88">
        <f>IF($A88="","",SUMIFS(Campagne!$K$1:$K$28,Campagne!$C$1:$C$28,$A88))</f>
        <v/>
      </c>
      <c r="S88">
        <f>IF($A88="","",SUMIFS(Campagne!$M$1:$M$28,Campagne!$C$1:$C$28,$A88))</f>
        <v/>
      </c>
      <c r="T88">
        <f>IF($A88="","",SUMIFS(Pilotage!$K$19:$K$32,Pilotage!$A$19:$A$32,$A88)*SUMIFS(Pilotage!$J$19:$J$32,Pilotage!$A$19:$A$32,$A88)*(SUM(Pilotage!$K$19:$K$32)/SUMPRODUCT(Pilotage!$K$19:$K$32,Pilotage!$J$19:$J$32)))</f>
        <v/>
      </c>
      <c r="U88">
        <f>IF($A88="","",SUMIFS(Pilotage!$K$19:$K$32,Pilotage!$A$19:$A$32,$A88))</f>
        <v/>
      </c>
      <c r="V88">
        <f>IF($A88="","",IF($B88="V01",Cadrage!$C$22,IF($B88="V02",Cadrage!$D$22,Cadrage!$E$22)))</f>
        <v/>
      </c>
      <c r="W88">
        <f>IF($A88="","",IF($B88="V01",Cadrage!$C$23,IF($B88="V02",Cadrage!$D$23,Cadrage!$E$23)))</f>
        <v/>
      </c>
      <c r="X88">
        <f>IF($A88="","",IF($B88="V01",Cadrage!$C$24,IF($B88="V02",Cadrage!$D$24,Cadrage!$E$24)))</f>
        <v/>
      </c>
      <c r="Y88">
        <f>IF($A88="","",IF($B88="V01",Cadrage!$C$25,IF($B88="V02",Cadrage!$D$25,Cadrage!$E$25)))</f>
        <v/>
      </c>
      <c r="Z88">
        <f>IF($A88="","",IF($B88="V01",Cadrage!$C$26,IF($B88="V02",Cadrage!$D$26,Cadrage!$E$26)))</f>
        <v/>
      </c>
      <c r="AA88">
        <f>IF($A88="","",IF($B88="V01",Cadrage!$C$27,IF($B88="V02",Cadrage!$D$27,Cadrage!$E$27)))</f>
        <v/>
      </c>
      <c r="AB88">
        <f>IF($A88="","",IF($B88="V01",Cadrage!$C$39,IF($B88="V02",Cadrage!$D$39,Cadrage!$E$39)))</f>
        <v/>
      </c>
      <c r="AC88">
        <f>IF($A88="","",IF($F88="MBWAY",Cadrage!$K$11,IF($F88="ISCOM",Cadrage!$K$12,IF($F88="IPAC",Cadrage!$K$13,IF($F88="PIGIER",Cadrage!$K$14,Cadrage!$K$15)))))</f>
        <v/>
      </c>
      <c r="AD88">
        <f>IF($A88="","",($O88*(1+$W88)^$S88+$P88*IFERROR((($T88/$U88)*(1+$V88))^$R88,0))*IFERROR($G88/$Q88,0)*($J88+$Y88)*$K88*($L88+$Z88))</f>
        <v/>
      </c>
      <c r="AE88">
        <f>IF($A88="","",IF($N88=1,$AD88,0))</f>
        <v/>
      </c>
      <c r="AF88">
        <f>IF($A88="","",IF($N88=1,$AD88,$H88*($M88+$AA88)))</f>
        <v/>
      </c>
      <c r="AG88">
        <f>IF($A88="","",$I88*(1+$X88*$AC88))</f>
        <v/>
      </c>
      <c r="AH88">
        <f>IF($A88="","",$AF88*$AG88+$AE88*$AB88)</f>
        <v/>
      </c>
    </row>
    <row r="89">
      <c r="A89">
        <f>IF(Moteur!D89="","",Moteur!D89)</f>
        <v/>
      </c>
      <c r="B89">
        <f>IF(Moteur!B89="","",Moteur!B89)</f>
        <v/>
      </c>
      <c r="C89">
        <f>IF(Moteur!F89="","",Moteur!F89)</f>
        <v/>
      </c>
      <c r="D89">
        <f>IF(Moteur!G89="","",Moteur!G89)</f>
        <v/>
      </c>
      <c r="E89">
        <f>IF(Moteur!H89="","",Moteur!H89)</f>
        <v/>
      </c>
      <c r="F89">
        <f>IF(Moteur!E89="","",Moteur!E89)</f>
        <v/>
      </c>
      <c r="G89">
        <f>IF($A89="","",SUMIFS(Socle!$H$1:$H$379,Socle!$C$1:$C$379,$A89,Socle!$D$1:$D$379,$C89,Socle!$E$1:$E$379,$D89,Socle!$F$1:$F$379,$E89,Socle!$G$1:$G$379,"2026"))</f>
        <v/>
      </c>
      <c r="H89">
        <f>IF($A89="","",SUMIFS(Socle!$N$1:$N$379,Socle!$C$1:$C$379,$A89,Socle!$D$1:$D$379,$C89,Socle!$E$1:$E$379,$D89,Socle!$F$1:$F$379,$E89,Socle!$G$1:$G$379,"2026"))</f>
        <v/>
      </c>
      <c r="I89">
        <f>IF($A89="","",SUMIFS(Socle!$P$1:$P$379,Socle!$C$1:$C$379,$A89,Socle!$D$1:$D$379,$C89,Socle!$E$1:$E$379,$D89,Socle!$F$1:$F$379,$E89,Socle!$G$1:$G$379,"2026"))</f>
        <v/>
      </c>
      <c r="J89">
        <f>IF($A89="","",SUMIFS(Socle!$W$1:$W$379,Socle!$C$1:$C$379,$A89,Socle!$D$1:$D$379,$C89,Socle!$E$1:$E$379,$D89,Socle!$F$1:$F$379,$E89,Socle!$G$1:$G$379,"2026"))</f>
        <v/>
      </c>
      <c r="K89">
        <f>IF($A89="","",SUMIFS(Socle!$X$1:$X$379,Socle!$C$1:$C$379,$A89,Socle!$D$1:$D$379,$C89,Socle!$E$1:$E$379,$D89,Socle!$F$1:$F$379,$E89,Socle!$G$1:$G$379,"2026"))</f>
        <v/>
      </c>
      <c r="L89">
        <f>IF($A89="","",SUMIFS(Socle!$Y$1:$Y$379,Socle!$C$1:$C$379,$A89,Socle!$D$1:$D$379,$C89,Socle!$E$1:$E$379,$D89,Socle!$F$1:$F$379,$E89,Socle!$G$1:$G$379,"2026"))</f>
        <v/>
      </c>
      <c r="M89">
        <f>IF($A89="","",SUMIFS(Socle!$V$1:$V$379,Socle!$C$1:$C$379,$A89,Socle!$D$1:$D$379,$C89,Socle!$E$1:$E$379,$D89,Socle!$F$1:$F$379,$E89,Socle!$G$1:$G$379,"2026"))</f>
        <v/>
      </c>
      <c r="N89">
        <f>IF($A89="","",IF(OR($D89="B1",$D89="M1",$D89="BTS1"),1,0))</f>
        <v/>
      </c>
      <c r="O89">
        <f>IF($A89="","",SUMIFS(Campagne!$D$1:$D$28,Campagne!$C$1:$C$28,$A89))</f>
        <v/>
      </c>
      <c r="P89">
        <f>IF($A89="","",SUMIFS(Campagne!$E$1:$E$28,Campagne!$C$1:$C$28,$A89))</f>
        <v/>
      </c>
      <c r="Q89">
        <f>IF($A89="","",SUMIFS(Campagne!$F$1:$F$28,Campagne!$C$1:$C$28,$A89))</f>
        <v/>
      </c>
      <c r="R89">
        <f>IF($A89="","",SUMIFS(Campagne!$K$1:$K$28,Campagne!$C$1:$C$28,$A89))</f>
        <v/>
      </c>
      <c r="S89">
        <f>IF($A89="","",SUMIFS(Campagne!$M$1:$M$28,Campagne!$C$1:$C$28,$A89))</f>
        <v/>
      </c>
      <c r="T89">
        <f>IF($A89="","",SUMIFS(Pilotage!$K$19:$K$32,Pilotage!$A$19:$A$32,$A89)*SUMIFS(Pilotage!$J$19:$J$32,Pilotage!$A$19:$A$32,$A89)*(SUM(Pilotage!$K$19:$K$32)/SUMPRODUCT(Pilotage!$K$19:$K$32,Pilotage!$J$19:$J$32)))</f>
        <v/>
      </c>
      <c r="U89">
        <f>IF($A89="","",SUMIFS(Pilotage!$K$19:$K$32,Pilotage!$A$19:$A$32,$A89))</f>
        <v/>
      </c>
      <c r="V89">
        <f>IF($A89="","",IF($B89="V01",Cadrage!$C$22,IF($B89="V02",Cadrage!$D$22,Cadrage!$E$22)))</f>
        <v/>
      </c>
      <c r="W89">
        <f>IF($A89="","",IF($B89="V01",Cadrage!$C$23,IF($B89="V02",Cadrage!$D$23,Cadrage!$E$23)))</f>
        <v/>
      </c>
      <c r="X89">
        <f>IF($A89="","",IF($B89="V01",Cadrage!$C$24,IF($B89="V02",Cadrage!$D$24,Cadrage!$E$24)))</f>
        <v/>
      </c>
      <c r="Y89">
        <f>IF($A89="","",IF($B89="V01",Cadrage!$C$25,IF($B89="V02",Cadrage!$D$25,Cadrage!$E$25)))</f>
        <v/>
      </c>
      <c r="Z89">
        <f>IF($A89="","",IF($B89="V01",Cadrage!$C$26,IF($B89="V02",Cadrage!$D$26,Cadrage!$E$26)))</f>
        <v/>
      </c>
      <c r="AA89">
        <f>IF($A89="","",IF($B89="V01",Cadrage!$C$27,IF($B89="V02",Cadrage!$D$27,Cadrage!$E$27)))</f>
        <v/>
      </c>
      <c r="AB89">
        <f>IF($A89="","",IF($B89="V01",Cadrage!$C$39,IF($B89="V02",Cadrage!$D$39,Cadrage!$E$39)))</f>
        <v/>
      </c>
      <c r="AC89">
        <f>IF($A89="","",IF($F89="MBWAY",Cadrage!$K$11,IF($F89="ISCOM",Cadrage!$K$12,IF($F89="IPAC",Cadrage!$K$13,IF($F89="PIGIER",Cadrage!$K$14,Cadrage!$K$15)))))</f>
        <v/>
      </c>
      <c r="AD89">
        <f>IF($A89="","",($O89*(1+$W89)^$S89+$P89*IFERROR((($T89/$U89)*(1+$V89))^$R89,0))*IFERROR($G89/$Q89,0)*($J89+$Y89)*$K89*($L89+$Z89))</f>
        <v/>
      </c>
      <c r="AE89">
        <f>IF($A89="","",IF($N89=1,$AD89,0))</f>
        <v/>
      </c>
      <c r="AF89">
        <f>IF($A89="","",IF($N89=1,$AD89,$H89*($M89+$AA89)))</f>
        <v/>
      </c>
      <c r="AG89">
        <f>IF($A89="","",$I89*(1+$X89*$AC89))</f>
        <v/>
      </c>
      <c r="AH89">
        <f>IF($A89="","",$AF89*$AG89+$AE89*$AB89)</f>
        <v/>
      </c>
    </row>
    <row r="90">
      <c r="A90">
        <f>IF(Moteur!D90="","",Moteur!D90)</f>
        <v/>
      </c>
      <c r="B90">
        <f>IF(Moteur!B90="","",Moteur!B90)</f>
        <v/>
      </c>
      <c r="C90">
        <f>IF(Moteur!F90="","",Moteur!F90)</f>
        <v/>
      </c>
      <c r="D90">
        <f>IF(Moteur!G90="","",Moteur!G90)</f>
        <v/>
      </c>
      <c r="E90">
        <f>IF(Moteur!H90="","",Moteur!H90)</f>
        <v/>
      </c>
      <c r="F90">
        <f>IF(Moteur!E90="","",Moteur!E90)</f>
        <v/>
      </c>
      <c r="G90">
        <f>IF($A90="","",SUMIFS(Socle!$H$1:$H$379,Socle!$C$1:$C$379,$A90,Socle!$D$1:$D$379,$C90,Socle!$E$1:$E$379,$D90,Socle!$F$1:$F$379,$E90,Socle!$G$1:$G$379,"2026"))</f>
        <v/>
      </c>
      <c r="H90">
        <f>IF($A90="","",SUMIFS(Socle!$N$1:$N$379,Socle!$C$1:$C$379,$A90,Socle!$D$1:$D$379,$C90,Socle!$E$1:$E$379,$D90,Socle!$F$1:$F$379,$E90,Socle!$G$1:$G$379,"2026"))</f>
        <v/>
      </c>
      <c r="I90">
        <f>IF($A90="","",SUMIFS(Socle!$P$1:$P$379,Socle!$C$1:$C$379,$A90,Socle!$D$1:$D$379,$C90,Socle!$E$1:$E$379,$D90,Socle!$F$1:$F$379,$E90,Socle!$G$1:$G$379,"2026"))</f>
        <v/>
      </c>
      <c r="J90">
        <f>IF($A90="","",SUMIFS(Socle!$W$1:$W$379,Socle!$C$1:$C$379,$A90,Socle!$D$1:$D$379,$C90,Socle!$E$1:$E$379,$D90,Socle!$F$1:$F$379,$E90,Socle!$G$1:$G$379,"2026"))</f>
        <v/>
      </c>
      <c r="K90">
        <f>IF($A90="","",SUMIFS(Socle!$X$1:$X$379,Socle!$C$1:$C$379,$A90,Socle!$D$1:$D$379,$C90,Socle!$E$1:$E$379,$D90,Socle!$F$1:$F$379,$E90,Socle!$G$1:$G$379,"2026"))</f>
        <v/>
      </c>
      <c r="L90">
        <f>IF($A90="","",SUMIFS(Socle!$Y$1:$Y$379,Socle!$C$1:$C$379,$A90,Socle!$D$1:$D$379,$C90,Socle!$E$1:$E$379,$D90,Socle!$F$1:$F$379,$E90,Socle!$G$1:$G$379,"2026"))</f>
        <v/>
      </c>
      <c r="M90">
        <f>IF($A90="","",SUMIFS(Socle!$V$1:$V$379,Socle!$C$1:$C$379,$A90,Socle!$D$1:$D$379,$C90,Socle!$E$1:$E$379,$D90,Socle!$F$1:$F$379,$E90,Socle!$G$1:$G$379,"2026"))</f>
        <v/>
      </c>
      <c r="N90">
        <f>IF($A90="","",IF(OR($D90="B1",$D90="M1",$D90="BTS1"),1,0))</f>
        <v/>
      </c>
      <c r="O90">
        <f>IF($A90="","",SUMIFS(Campagne!$D$1:$D$28,Campagne!$C$1:$C$28,$A90))</f>
        <v/>
      </c>
      <c r="P90">
        <f>IF($A90="","",SUMIFS(Campagne!$E$1:$E$28,Campagne!$C$1:$C$28,$A90))</f>
        <v/>
      </c>
      <c r="Q90">
        <f>IF($A90="","",SUMIFS(Campagne!$F$1:$F$28,Campagne!$C$1:$C$28,$A90))</f>
        <v/>
      </c>
      <c r="R90">
        <f>IF($A90="","",SUMIFS(Campagne!$K$1:$K$28,Campagne!$C$1:$C$28,$A90))</f>
        <v/>
      </c>
      <c r="S90">
        <f>IF($A90="","",SUMIFS(Campagne!$M$1:$M$28,Campagne!$C$1:$C$28,$A90))</f>
        <v/>
      </c>
      <c r="T90">
        <f>IF($A90="","",SUMIFS(Pilotage!$K$19:$K$32,Pilotage!$A$19:$A$32,$A90)*SUMIFS(Pilotage!$J$19:$J$32,Pilotage!$A$19:$A$32,$A90)*(SUM(Pilotage!$K$19:$K$32)/SUMPRODUCT(Pilotage!$K$19:$K$32,Pilotage!$J$19:$J$32)))</f>
        <v/>
      </c>
      <c r="U90">
        <f>IF($A90="","",SUMIFS(Pilotage!$K$19:$K$32,Pilotage!$A$19:$A$32,$A90))</f>
        <v/>
      </c>
      <c r="V90">
        <f>IF($A90="","",IF($B90="V01",Cadrage!$C$22,IF($B90="V02",Cadrage!$D$22,Cadrage!$E$22)))</f>
        <v/>
      </c>
      <c r="W90">
        <f>IF($A90="","",IF($B90="V01",Cadrage!$C$23,IF($B90="V02",Cadrage!$D$23,Cadrage!$E$23)))</f>
        <v/>
      </c>
      <c r="X90">
        <f>IF($A90="","",IF($B90="V01",Cadrage!$C$24,IF($B90="V02",Cadrage!$D$24,Cadrage!$E$24)))</f>
        <v/>
      </c>
      <c r="Y90">
        <f>IF($A90="","",IF($B90="V01",Cadrage!$C$25,IF($B90="V02",Cadrage!$D$25,Cadrage!$E$25)))</f>
        <v/>
      </c>
      <c r="Z90">
        <f>IF($A90="","",IF($B90="V01",Cadrage!$C$26,IF($B90="V02",Cadrage!$D$26,Cadrage!$E$26)))</f>
        <v/>
      </c>
      <c r="AA90">
        <f>IF($A90="","",IF($B90="V01",Cadrage!$C$27,IF($B90="V02",Cadrage!$D$27,Cadrage!$E$27)))</f>
        <v/>
      </c>
      <c r="AB90">
        <f>IF($A90="","",IF($B90="V01",Cadrage!$C$39,IF($B90="V02",Cadrage!$D$39,Cadrage!$E$39)))</f>
        <v/>
      </c>
      <c r="AC90">
        <f>IF($A90="","",IF($F90="MBWAY",Cadrage!$K$11,IF($F90="ISCOM",Cadrage!$K$12,IF($F90="IPAC",Cadrage!$K$13,IF($F90="PIGIER",Cadrage!$K$14,Cadrage!$K$15)))))</f>
        <v/>
      </c>
      <c r="AD90">
        <f>IF($A90="","",($O90*(1+$W90)^$S90+$P90*IFERROR((($T90/$U90)*(1+$V90))^$R90,0))*IFERROR($G90/$Q90,0)*($J90+$Y90)*$K90*($L90+$Z90))</f>
        <v/>
      </c>
      <c r="AE90">
        <f>IF($A90="","",IF($N90=1,$AD90,0))</f>
        <v/>
      </c>
      <c r="AF90">
        <f>IF($A90="","",IF($N90=1,$AD90,$H90*($M90+$AA90)))</f>
        <v/>
      </c>
      <c r="AG90">
        <f>IF($A90="","",$I90*(1+$X90*$AC90))</f>
        <v/>
      </c>
      <c r="AH90">
        <f>IF($A90="","",$AF90*$AG90+$AE90*$AB90)</f>
        <v/>
      </c>
    </row>
    <row r="91">
      <c r="A91">
        <f>IF(Moteur!D91="","",Moteur!D91)</f>
        <v/>
      </c>
      <c r="B91">
        <f>IF(Moteur!B91="","",Moteur!B91)</f>
        <v/>
      </c>
      <c r="C91">
        <f>IF(Moteur!F91="","",Moteur!F91)</f>
        <v/>
      </c>
      <c r="D91">
        <f>IF(Moteur!G91="","",Moteur!G91)</f>
        <v/>
      </c>
      <c r="E91">
        <f>IF(Moteur!H91="","",Moteur!H91)</f>
        <v/>
      </c>
      <c r="F91">
        <f>IF(Moteur!E91="","",Moteur!E91)</f>
        <v/>
      </c>
      <c r="G91">
        <f>IF($A91="","",SUMIFS(Socle!$H$1:$H$379,Socle!$C$1:$C$379,$A91,Socle!$D$1:$D$379,$C91,Socle!$E$1:$E$379,$D91,Socle!$F$1:$F$379,$E91,Socle!$G$1:$G$379,"2026"))</f>
        <v/>
      </c>
      <c r="H91">
        <f>IF($A91="","",SUMIFS(Socle!$N$1:$N$379,Socle!$C$1:$C$379,$A91,Socle!$D$1:$D$379,$C91,Socle!$E$1:$E$379,$D91,Socle!$F$1:$F$379,$E91,Socle!$G$1:$G$379,"2026"))</f>
        <v/>
      </c>
      <c r="I91">
        <f>IF($A91="","",SUMIFS(Socle!$P$1:$P$379,Socle!$C$1:$C$379,$A91,Socle!$D$1:$D$379,$C91,Socle!$E$1:$E$379,$D91,Socle!$F$1:$F$379,$E91,Socle!$G$1:$G$379,"2026"))</f>
        <v/>
      </c>
      <c r="J91">
        <f>IF($A91="","",SUMIFS(Socle!$W$1:$W$379,Socle!$C$1:$C$379,$A91,Socle!$D$1:$D$379,$C91,Socle!$E$1:$E$379,$D91,Socle!$F$1:$F$379,$E91,Socle!$G$1:$G$379,"2026"))</f>
        <v/>
      </c>
      <c r="K91">
        <f>IF($A91="","",SUMIFS(Socle!$X$1:$X$379,Socle!$C$1:$C$379,$A91,Socle!$D$1:$D$379,$C91,Socle!$E$1:$E$379,$D91,Socle!$F$1:$F$379,$E91,Socle!$G$1:$G$379,"2026"))</f>
        <v/>
      </c>
      <c r="L91">
        <f>IF($A91="","",SUMIFS(Socle!$Y$1:$Y$379,Socle!$C$1:$C$379,$A91,Socle!$D$1:$D$379,$C91,Socle!$E$1:$E$379,$D91,Socle!$F$1:$F$379,$E91,Socle!$G$1:$G$379,"2026"))</f>
        <v/>
      </c>
      <c r="M91">
        <f>IF($A91="","",SUMIFS(Socle!$V$1:$V$379,Socle!$C$1:$C$379,$A91,Socle!$D$1:$D$379,$C91,Socle!$E$1:$E$379,$D91,Socle!$F$1:$F$379,$E91,Socle!$G$1:$G$379,"2026"))</f>
        <v/>
      </c>
      <c r="N91">
        <f>IF($A91="","",IF(OR($D91="B1",$D91="M1",$D91="BTS1"),1,0))</f>
        <v/>
      </c>
      <c r="O91">
        <f>IF($A91="","",SUMIFS(Campagne!$D$1:$D$28,Campagne!$C$1:$C$28,$A91))</f>
        <v/>
      </c>
      <c r="P91">
        <f>IF($A91="","",SUMIFS(Campagne!$E$1:$E$28,Campagne!$C$1:$C$28,$A91))</f>
        <v/>
      </c>
      <c r="Q91">
        <f>IF($A91="","",SUMIFS(Campagne!$F$1:$F$28,Campagne!$C$1:$C$28,$A91))</f>
        <v/>
      </c>
      <c r="R91">
        <f>IF($A91="","",SUMIFS(Campagne!$K$1:$K$28,Campagne!$C$1:$C$28,$A91))</f>
        <v/>
      </c>
      <c r="S91">
        <f>IF($A91="","",SUMIFS(Campagne!$M$1:$M$28,Campagne!$C$1:$C$28,$A91))</f>
        <v/>
      </c>
      <c r="T91">
        <f>IF($A91="","",SUMIFS(Pilotage!$K$19:$K$32,Pilotage!$A$19:$A$32,$A91)*SUMIFS(Pilotage!$J$19:$J$32,Pilotage!$A$19:$A$32,$A91)*(SUM(Pilotage!$K$19:$K$32)/SUMPRODUCT(Pilotage!$K$19:$K$32,Pilotage!$J$19:$J$32)))</f>
        <v/>
      </c>
      <c r="U91">
        <f>IF($A91="","",SUMIFS(Pilotage!$K$19:$K$32,Pilotage!$A$19:$A$32,$A91))</f>
        <v/>
      </c>
      <c r="V91">
        <f>IF($A91="","",IF($B91="V01",Cadrage!$C$22,IF($B91="V02",Cadrage!$D$22,Cadrage!$E$22)))</f>
        <v/>
      </c>
      <c r="W91">
        <f>IF($A91="","",IF($B91="V01",Cadrage!$C$23,IF($B91="V02",Cadrage!$D$23,Cadrage!$E$23)))</f>
        <v/>
      </c>
      <c r="X91">
        <f>IF($A91="","",IF($B91="V01",Cadrage!$C$24,IF($B91="V02",Cadrage!$D$24,Cadrage!$E$24)))</f>
        <v/>
      </c>
      <c r="Y91">
        <f>IF($A91="","",IF($B91="V01",Cadrage!$C$25,IF($B91="V02",Cadrage!$D$25,Cadrage!$E$25)))</f>
        <v/>
      </c>
      <c r="Z91">
        <f>IF($A91="","",IF($B91="V01",Cadrage!$C$26,IF($B91="V02",Cadrage!$D$26,Cadrage!$E$26)))</f>
        <v/>
      </c>
      <c r="AA91">
        <f>IF($A91="","",IF($B91="V01",Cadrage!$C$27,IF($B91="V02",Cadrage!$D$27,Cadrage!$E$27)))</f>
        <v/>
      </c>
      <c r="AB91">
        <f>IF($A91="","",IF($B91="V01",Cadrage!$C$39,IF($B91="V02",Cadrage!$D$39,Cadrage!$E$39)))</f>
        <v/>
      </c>
      <c r="AC91">
        <f>IF($A91="","",IF($F91="MBWAY",Cadrage!$K$11,IF($F91="ISCOM",Cadrage!$K$12,IF($F91="IPAC",Cadrage!$K$13,IF($F91="PIGIER",Cadrage!$K$14,Cadrage!$K$15)))))</f>
        <v/>
      </c>
      <c r="AD91">
        <f>IF($A91="","",($O91*(1+$W91)^$S91+$P91*IFERROR((($T91/$U91)*(1+$V91))^$R91,0))*IFERROR($G91/$Q91,0)*($J91+$Y91)*$K91*($L91+$Z91))</f>
        <v/>
      </c>
      <c r="AE91">
        <f>IF($A91="","",IF($N91=1,$AD91,0))</f>
        <v/>
      </c>
      <c r="AF91">
        <f>IF($A91="","",IF($N91=1,$AD91,$H91*($M91+$AA91)))</f>
        <v/>
      </c>
      <c r="AG91">
        <f>IF($A91="","",$I91*(1+$X91*$AC91))</f>
        <v/>
      </c>
      <c r="AH91">
        <f>IF($A91="","",$AF91*$AG91+$AE91*$AB91)</f>
        <v/>
      </c>
    </row>
    <row r="92">
      <c r="A92">
        <f>IF(Moteur!D92="","",Moteur!D92)</f>
        <v/>
      </c>
      <c r="B92">
        <f>IF(Moteur!B92="","",Moteur!B92)</f>
        <v/>
      </c>
      <c r="C92">
        <f>IF(Moteur!F92="","",Moteur!F92)</f>
        <v/>
      </c>
      <c r="D92">
        <f>IF(Moteur!G92="","",Moteur!G92)</f>
        <v/>
      </c>
      <c r="E92">
        <f>IF(Moteur!H92="","",Moteur!H92)</f>
        <v/>
      </c>
      <c r="F92">
        <f>IF(Moteur!E92="","",Moteur!E92)</f>
        <v/>
      </c>
      <c r="G92">
        <f>IF($A92="","",SUMIFS(Socle!$H$1:$H$379,Socle!$C$1:$C$379,$A92,Socle!$D$1:$D$379,$C92,Socle!$E$1:$E$379,$D92,Socle!$F$1:$F$379,$E92,Socle!$G$1:$G$379,"2026"))</f>
        <v/>
      </c>
      <c r="H92">
        <f>IF($A92="","",SUMIFS(Socle!$N$1:$N$379,Socle!$C$1:$C$379,$A92,Socle!$D$1:$D$379,$C92,Socle!$E$1:$E$379,$D92,Socle!$F$1:$F$379,$E92,Socle!$G$1:$G$379,"2026"))</f>
        <v/>
      </c>
      <c r="I92">
        <f>IF($A92="","",SUMIFS(Socle!$P$1:$P$379,Socle!$C$1:$C$379,$A92,Socle!$D$1:$D$379,$C92,Socle!$E$1:$E$379,$D92,Socle!$F$1:$F$379,$E92,Socle!$G$1:$G$379,"2026"))</f>
        <v/>
      </c>
      <c r="J92">
        <f>IF($A92="","",SUMIFS(Socle!$W$1:$W$379,Socle!$C$1:$C$379,$A92,Socle!$D$1:$D$379,$C92,Socle!$E$1:$E$379,$D92,Socle!$F$1:$F$379,$E92,Socle!$G$1:$G$379,"2026"))</f>
        <v/>
      </c>
      <c r="K92">
        <f>IF($A92="","",SUMIFS(Socle!$X$1:$X$379,Socle!$C$1:$C$379,$A92,Socle!$D$1:$D$379,$C92,Socle!$E$1:$E$379,$D92,Socle!$F$1:$F$379,$E92,Socle!$G$1:$G$379,"2026"))</f>
        <v/>
      </c>
      <c r="L92">
        <f>IF($A92="","",SUMIFS(Socle!$Y$1:$Y$379,Socle!$C$1:$C$379,$A92,Socle!$D$1:$D$379,$C92,Socle!$E$1:$E$379,$D92,Socle!$F$1:$F$379,$E92,Socle!$G$1:$G$379,"2026"))</f>
        <v/>
      </c>
      <c r="M92">
        <f>IF($A92="","",SUMIFS(Socle!$V$1:$V$379,Socle!$C$1:$C$379,$A92,Socle!$D$1:$D$379,$C92,Socle!$E$1:$E$379,$D92,Socle!$F$1:$F$379,$E92,Socle!$G$1:$G$379,"2026"))</f>
        <v/>
      </c>
      <c r="N92">
        <f>IF($A92="","",IF(OR($D92="B1",$D92="M1",$D92="BTS1"),1,0))</f>
        <v/>
      </c>
      <c r="O92">
        <f>IF($A92="","",SUMIFS(Campagne!$D$1:$D$28,Campagne!$C$1:$C$28,$A92))</f>
        <v/>
      </c>
      <c r="P92">
        <f>IF($A92="","",SUMIFS(Campagne!$E$1:$E$28,Campagne!$C$1:$C$28,$A92))</f>
        <v/>
      </c>
      <c r="Q92">
        <f>IF($A92="","",SUMIFS(Campagne!$F$1:$F$28,Campagne!$C$1:$C$28,$A92))</f>
        <v/>
      </c>
      <c r="R92">
        <f>IF($A92="","",SUMIFS(Campagne!$K$1:$K$28,Campagne!$C$1:$C$28,$A92))</f>
        <v/>
      </c>
      <c r="S92">
        <f>IF($A92="","",SUMIFS(Campagne!$M$1:$M$28,Campagne!$C$1:$C$28,$A92))</f>
        <v/>
      </c>
      <c r="T92">
        <f>IF($A92="","",SUMIFS(Pilotage!$K$19:$K$32,Pilotage!$A$19:$A$32,$A92)*SUMIFS(Pilotage!$J$19:$J$32,Pilotage!$A$19:$A$32,$A92)*(SUM(Pilotage!$K$19:$K$32)/SUMPRODUCT(Pilotage!$K$19:$K$32,Pilotage!$J$19:$J$32)))</f>
        <v/>
      </c>
      <c r="U92">
        <f>IF($A92="","",SUMIFS(Pilotage!$K$19:$K$32,Pilotage!$A$19:$A$32,$A92))</f>
        <v/>
      </c>
      <c r="V92">
        <f>IF($A92="","",IF($B92="V01",Cadrage!$C$22,IF($B92="V02",Cadrage!$D$22,Cadrage!$E$22)))</f>
        <v/>
      </c>
      <c r="W92">
        <f>IF($A92="","",IF($B92="V01",Cadrage!$C$23,IF($B92="V02",Cadrage!$D$23,Cadrage!$E$23)))</f>
        <v/>
      </c>
      <c r="X92">
        <f>IF($A92="","",IF($B92="V01",Cadrage!$C$24,IF($B92="V02",Cadrage!$D$24,Cadrage!$E$24)))</f>
        <v/>
      </c>
      <c r="Y92">
        <f>IF($A92="","",IF($B92="V01",Cadrage!$C$25,IF($B92="V02",Cadrage!$D$25,Cadrage!$E$25)))</f>
        <v/>
      </c>
      <c r="Z92">
        <f>IF($A92="","",IF($B92="V01",Cadrage!$C$26,IF($B92="V02",Cadrage!$D$26,Cadrage!$E$26)))</f>
        <v/>
      </c>
      <c r="AA92">
        <f>IF($A92="","",IF($B92="V01",Cadrage!$C$27,IF($B92="V02",Cadrage!$D$27,Cadrage!$E$27)))</f>
        <v/>
      </c>
      <c r="AB92">
        <f>IF($A92="","",IF($B92="V01",Cadrage!$C$39,IF($B92="V02",Cadrage!$D$39,Cadrage!$E$39)))</f>
        <v/>
      </c>
      <c r="AC92">
        <f>IF($A92="","",IF($F92="MBWAY",Cadrage!$K$11,IF($F92="ISCOM",Cadrage!$K$12,IF($F92="IPAC",Cadrage!$K$13,IF($F92="PIGIER",Cadrage!$K$14,Cadrage!$K$15)))))</f>
        <v/>
      </c>
      <c r="AD92">
        <f>IF($A92="","",($O92*(1+$W92)^$S92+$P92*IFERROR((($T92/$U92)*(1+$V92))^$R92,0))*IFERROR($G92/$Q92,0)*($J92+$Y92)*$K92*($L92+$Z92))</f>
        <v/>
      </c>
      <c r="AE92">
        <f>IF($A92="","",IF($N92=1,$AD92,0))</f>
        <v/>
      </c>
      <c r="AF92">
        <f>IF($A92="","",IF($N92=1,$AD92,$H92*($M92+$AA92)))</f>
        <v/>
      </c>
      <c r="AG92">
        <f>IF($A92="","",$I92*(1+$X92*$AC92))</f>
        <v/>
      </c>
      <c r="AH92">
        <f>IF($A92="","",$AF92*$AG92+$AE92*$AB92)</f>
        <v/>
      </c>
    </row>
    <row r="93">
      <c r="A93">
        <f>IF(Moteur!D93="","",Moteur!D93)</f>
        <v/>
      </c>
      <c r="B93">
        <f>IF(Moteur!B93="","",Moteur!B93)</f>
        <v/>
      </c>
      <c r="C93">
        <f>IF(Moteur!F93="","",Moteur!F93)</f>
        <v/>
      </c>
      <c r="D93">
        <f>IF(Moteur!G93="","",Moteur!G93)</f>
        <v/>
      </c>
      <c r="E93">
        <f>IF(Moteur!H93="","",Moteur!H93)</f>
        <v/>
      </c>
      <c r="F93">
        <f>IF(Moteur!E93="","",Moteur!E93)</f>
        <v/>
      </c>
      <c r="G93">
        <f>IF($A93="","",SUMIFS(Socle!$H$1:$H$379,Socle!$C$1:$C$379,$A93,Socle!$D$1:$D$379,$C93,Socle!$E$1:$E$379,$D93,Socle!$F$1:$F$379,$E93,Socle!$G$1:$G$379,"2026"))</f>
        <v/>
      </c>
      <c r="H93">
        <f>IF($A93="","",SUMIFS(Socle!$N$1:$N$379,Socle!$C$1:$C$379,$A93,Socle!$D$1:$D$379,$C93,Socle!$E$1:$E$379,$D93,Socle!$F$1:$F$379,$E93,Socle!$G$1:$G$379,"2026"))</f>
        <v/>
      </c>
      <c r="I93">
        <f>IF($A93="","",SUMIFS(Socle!$P$1:$P$379,Socle!$C$1:$C$379,$A93,Socle!$D$1:$D$379,$C93,Socle!$E$1:$E$379,$D93,Socle!$F$1:$F$379,$E93,Socle!$G$1:$G$379,"2026"))</f>
        <v/>
      </c>
      <c r="J93">
        <f>IF($A93="","",SUMIFS(Socle!$W$1:$W$379,Socle!$C$1:$C$379,$A93,Socle!$D$1:$D$379,$C93,Socle!$E$1:$E$379,$D93,Socle!$F$1:$F$379,$E93,Socle!$G$1:$G$379,"2026"))</f>
        <v/>
      </c>
      <c r="K93">
        <f>IF($A93="","",SUMIFS(Socle!$X$1:$X$379,Socle!$C$1:$C$379,$A93,Socle!$D$1:$D$379,$C93,Socle!$E$1:$E$379,$D93,Socle!$F$1:$F$379,$E93,Socle!$G$1:$G$379,"2026"))</f>
        <v/>
      </c>
      <c r="L93">
        <f>IF($A93="","",SUMIFS(Socle!$Y$1:$Y$379,Socle!$C$1:$C$379,$A93,Socle!$D$1:$D$379,$C93,Socle!$E$1:$E$379,$D93,Socle!$F$1:$F$379,$E93,Socle!$G$1:$G$379,"2026"))</f>
        <v/>
      </c>
      <c r="M93">
        <f>IF($A93="","",SUMIFS(Socle!$V$1:$V$379,Socle!$C$1:$C$379,$A93,Socle!$D$1:$D$379,$C93,Socle!$E$1:$E$379,$D93,Socle!$F$1:$F$379,$E93,Socle!$G$1:$G$379,"2026"))</f>
        <v/>
      </c>
      <c r="N93">
        <f>IF($A93="","",IF(OR($D93="B1",$D93="M1",$D93="BTS1"),1,0))</f>
        <v/>
      </c>
      <c r="O93">
        <f>IF($A93="","",SUMIFS(Campagne!$D$1:$D$28,Campagne!$C$1:$C$28,$A93))</f>
        <v/>
      </c>
      <c r="P93">
        <f>IF($A93="","",SUMIFS(Campagne!$E$1:$E$28,Campagne!$C$1:$C$28,$A93))</f>
        <v/>
      </c>
      <c r="Q93">
        <f>IF($A93="","",SUMIFS(Campagne!$F$1:$F$28,Campagne!$C$1:$C$28,$A93))</f>
        <v/>
      </c>
      <c r="R93">
        <f>IF($A93="","",SUMIFS(Campagne!$K$1:$K$28,Campagne!$C$1:$C$28,$A93))</f>
        <v/>
      </c>
      <c r="S93">
        <f>IF($A93="","",SUMIFS(Campagne!$M$1:$M$28,Campagne!$C$1:$C$28,$A93))</f>
        <v/>
      </c>
      <c r="T93">
        <f>IF($A93="","",SUMIFS(Pilotage!$K$19:$K$32,Pilotage!$A$19:$A$32,$A93)*SUMIFS(Pilotage!$J$19:$J$32,Pilotage!$A$19:$A$32,$A93)*(SUM(Pilotage!$K$19:$K$32)/SUMPRODUCT(Pilotage!$K$19:$K$32,Pilotage!$J$19:$J$32)))</f>
        <v/>
      </c>
      <c r="U93">
        <f>IF($A93="","",SUMIFS(Pilotage!$K$19:$K$32,Pilotage!$A$19:$A$32,$A93))</f>
        <v/>
      </c>
      <c r="V93">
        <f>IF($A93="","",IF($B93="V01",Cadrage!$C$22,IF($B93="V02",Cadrage!$D$22,Cadrage!$E$22)))</f>
        <v/>
      </c>
      <c r="W93">
        <f>IF($A93="","",IF($B93="V01",Cadrage!$C$23,IF($B93="V02",Cadrage!$D$23,Cadrage!$E$23)))</f>
        <v/>
      </c>
      <c r="X93">
        <f>IF($A93="","",IF($B93="V01",Cadrage!$C$24,IF($B93="V02",Cadrage!$D$24,Cadrage!$E$24)))</f>
        <v/>
      </c>
      <c r="Y93">
        <f>IF($A93="","",IF($B93="V01",Cadrage!$C$25,IF($B93="V02",Cadrage!$D$25,Cadrage!$E$25)))</f>
        <v/>
      </c>
      <c r="Z93">
        <f>IF($A93="","",IF($B93="V01",Cadrage!$C$26,IF($B93="V02",Cadrage!$D$26,Cadrage!$E$26)))</f>
        <v/>
      </c>
      <c r="AA93">
        <f>IF($A93="","",IF($B93="V01",Cadrage!$C$27,IF($B93="V02",Cadrage!$D$27,Cadrage!$E$27)))</f>
        <v/>
      </c>
      <c r="AB93">
        <f>IF($A93="","",IF($B93="V01",Cadrage!$C$39,IF($B93="V02",Cadrage!$D$39,Cadrage!$E$39)))</f>
        <v/>
      </c>
      <c r="AC93">
        <f>IF($A93="","",IF($F93="MBWAY",Cadrage!$K$11,IF($F93="ISCOM",Cadrage!$K$12,IF($F93="IPAC",Cadrage!$K$13,IF($F93="PIGIER",Cadrage!$K$14,Cadrage!$K$15)))))</f>
        <v/>
      </c>
      <c r="AD93">
        <f>IF($A93="","",($O93*(1+$W93)^$S93+$P93*IFERROR((($T93/$U93)*(1+$V93))^$R93,0))*IFERROR($G93/$Q93,0)*($J93+$Y93)*$K93*($L93+$Z93))</f>
        <v/>
      </c>
      <c r="AE93">
        <f>IF($A93="","",IF($N93=1,$AD93,0))</f>
        <v/>
      </c>
      <c r="AF93">
        <f>IF($A93="","",IF($N93=1,$AD93,$H93*($M93+$AA93)))</f>
        <v/>
      </c>
      <c r="AG93">
        <f>IF($A93="","",$I93*(1+$X93*$AC93))</f>
        <v/>
      </c>
      <c r="AH93">
        <f>IF($A93="","",$AF93*$AG93+$AE93*$AB93)</f>
        <v/>
      </c>
    </row>
    <row r="94">
      <c r="A94">
        <f>IF(Moteur!D94="","",Moteur!D94)</f>
        <v/>
      </c>
      <c r="B94">
        <f>IF(Moteur!B94="","",Moteur!B94)</f>
        <v/>
      </c>
      <c r="C94">
        <f>IF(Moteur!F94="","",Moteur!F94)</f>
        <v/>
      </c>
      <c r="D94">
        <f>IF(Moteur!G94="","",Moteur!G94)</f>
        <v/>
      </c>
      <c r="E94">
        <f>IF(Moteur!H94="","",Moteur!H94)</f>
        <v/>
      </c>
      <c r="F94">
        <f>IF(Moteur!E94="","",Moteur!E94)</f>
        <v/>
      </c>
      <c r="G94">
        <f>IF($A94="","",SUMIFS(Socle!$H$1:$H$379,Socle!$C$1:$C$379,$A94,Socle!$D$1:$D$379,$C94,Socle!$E$1:$E$379,$D94,Socle!$F$1:$F$379,$E94,Socle!$G$1:$G$379,"2026"))</f>
        <v/>
      </c>
      <c r="H94">
        <f>IF($A94="","",SUMIFS(Socle!$N$1:$N$379,Socle!$C$1:$C$379,$A94,Socle!$D$1:$D$379,$C94,Socle!$E$1:$E$379,$D94,Socle!$F$1:$F$379,$E94,Socle!$G$1:$G$379,"2026"))</f>
        <v/>
      </c>
      <c r="I94">
        <f>IF($A94="","",SUMIFS(Socle!$P$1:$P$379,Socle!$C$1:$C$379,$A94,Socle!$D$1:$D$379,$C94,Socle!$E$1:$E$379,$D94,Socle!$F$1:$F$379,$E94,Socle!$G$1:$G$379,"2026"))</f>
        <v/>
      </c>
      <c r="J94">
        <f>IF($A94="","",SUMIFS(Socle!$W$1:$W$379,Socle!$C$1:$C$379,$A94,Socle!$D$1:$D$379,$C94,Socle!$E$1:$E$379,$D94,Socle!$F$1:$F$379,$E94,Socle!$G$1:$G$379,"2026"))</f>
        <v/>
      </c>
      <c r="K94">
        <f>IF($A94="","",SUMIFS(Socle!$X$1:$X$379,Socle!$C$1:$C$379,$A94,Socle!$D$1:$D$379,$C94,Socle!$E$1:$E$379,$D94,Socle!$F$1:$F$379,$E94,Socle!$G$1:$G$379,"2026"))</f>
        <v/>
      </c>
      <c r="L94">
        <f>IF($A94="","",SUMIFS(Socle!$Y$1:$Y$379,Socle!$C$1:$C$379,$A94,Socle!$D$1:$D$379,$C94,Socle!$E$1:$E$379,$D94,Socle!$F$1:$F$379,$E94,Socle!$G$1:$G$379,"2026"))</f>
        <v/>
      </c>
      <c r="M94">
        <f>IF($A94="","",SUMIFS(Socle!$V$1:$V$379,Socle!$C$1:$C$379,$A94,Socle!$D$1:$D$379,$C94,Socle!$E$1:$E$379,$D94,Socle!$F$1:$F$379,$E94,Socle!$G$1:$G$379,"2026"))</f>
        <v/>
      </c>
      <c r="N94">
        <f>IF($A94="","",IF(OR($D94="B1",$D94="M1",$D94="BTS1"),1,0))</f>
        <v/>
      </c>
      <c r="O94">
        <f>IF($A94="","",SUMIFS(Campagne!$D$1:$D$28,Campagne!$C$1:$C$28,$A94))</f>
        <v/>
      </c>
      <c r="P94">
        <f>IF($A94="","",SUMIFS(Campagne!$E$1:$E$28,Campagne!$C$1:$C$28,$A94))</f>
        <v/>
      </c>
      <c r="Q94">
        <f>IF($A94="","",SUMIFS(Campagne!$F$1:$F$28,Campagne!$C$1:$C$28,$A94))</f>
        <v/>
      </c>
      <c r="R94">
        <f>IF($A94="","",SUMIFS(Campagne!$K$1:$K$28,Campagne!$C$1:$C$28,$A94))</f>
        <v/>
      </c>
      <c r="S94">
        <f>IF($A94="","",SUMIFS(Campagne!$M$1:$M$28,Campagne!$C$1:$C$28,$A94))</f>
        <v/>
      </c>
      <c r="T94">
        <f>IF($A94="","",SUMIFS(Pilotage!$K$19:$K$32,Pilotage!$A$19:$A$32,$A94)*SUMIFS(Pilotage!$J$19:$J$32,Pilotage!$A$19:$A$32,$A94)*(SUM(Pilotage!$K$19:$K$32)/SUMPRODUCT(Pilotage!$K$19:$K$32,Pilotage!$J$19:$J$32)))</f>
        <v/>
      </c>
      <c r="U94">
        <f>IF($A94="","",SUMIFS(Pilotage!$K$19:$K$32,Pilotage!$A$19:$A$32,$A94))</f>
        <v/>
      </c>
      <c r="V94">
        <f>IF($A94="","",IF($B94="V01",Cadrage!$C$22,IF($B94="V02",Cadrage!$D$22,Cadrage!$E$22)))</f>
        <v/>
      </c>
      <c r="W94">
        <f>IF($A94="","",IF($B94="V01",Cadrage!$C$23,IF($B94="V02",Cadrage!$D$23,Cadrage!$E$23)))</f>
        <v/>
      </c>
      <c r="X94">
        <f>IF($A94="","",IF($B94="V01",Cadrage!$C$24,IF($B94="V02",Cadrage!$D$24,Cadrage!$E$24)))</f>
        <v/>
      </c>
      <c r="Y94">
        <f>IF($A94="","",IF($B94="V01",Cadrage!$C$25,IF($B94="V02",Cadrage!$D$25,Cadrage!$E$25)))</f>
        <v/>
      </c>
      <c r="Z94">
        <f>IF($A94="","",IF($B94="V01",Cadrage!$C$26,IF($B94="V02",Cadrage!$D$26,Cadrage!$E$26)))</f>
        <v/>
      </c>
      <c r="AA94">
        <f>IF($A94="","",IF($B94="V01",Cadrage!$C$27,IF($B94="V02",Cadrage!$D$27,Cadrage!$E$27)))</f>
        <v/>
      </c>
      <c r="AB94">
        <f>IF($A94="","",IF($B94="V01",Cadrage!$C$39,IF($B94="V02",Cadrage!$D$39,Cadrage!$E$39)))</f>
        <v/>
      </c>
      <c r="AC94">
        <f>IF($A94="","",IF($F94="MBWAY",Cadrage!$K$11,IF($F94="ISCOM",Cadrage!$K$12,IF($F94="IPAC",Cadrage!$K$13,IF($F94="PIGIER",Cadrage!$K$14,Cadrage!$K$15)))))</f>
        <v/>
      </c>
      <c r="AD94">
        <f>IF($A94="","",($O94*(1+$W94)^$S94+$P94*IFERROR((($T94/$U94)*(1+$V94))^$R94,0))*IFERROR($G94/$Q94,0)*($J94+$Y94)*$K94*($L94+$Z94))</f>
        <v/>
      </c>
      <c r="AE94">
        <f>IF($A94="","",IF($N94=1,$AD94,0))</f>
        <v/>
      </c>
      <c r="AF94">
        <f>IF($A94="","",IF($N94=1,$AD94,$H94*($M94+$AA94)))</f>
        <v/>
      </c>
      <c r="AG94">
        <f>IF($A94="","",$I94*(1+$X94*$AC94))</f>
        <v/>
      </c>
      <c r="AH94">
        <f>IF($A94="","",$AF94*$AG94+$AE94*$AB94)</f>
        <v/>
      </c>
    </row>
    <row r="95">
      <c r="A95">
        <f>IF(Moteur!D95="","",Moteur!D95)</f>
        <v/>
      </c>
      <c r="B95">
        <f>IF(Moteur!B95="","",Moteur!B95)</f>
        <v/>
      </c>
      <c r="C95">
        <f>IF(Moteur!F95="","",Moteur!F95)</f>
        <v/>
      </c>
      <c r="D95">
        <f>IF(Moteur!G95="","",Moteur!G95)</f>
        <v/>
      </c>
      <c r="E95">
        <f>IF(Moteur!H95="","",Moteur!H95)</f>
        <v/>
      </c>
      <c r="F95">
        <f>IF(Moteur!E95="","",Moteur!E95)</f>
        <v/>
      </c>
      <c r="G95">
        <f>IF($A95="","",SUMIFS(Socle!$H$1:$H$379,Socle!$C$1:$C$379,$A95,Socle!$D$1:$D$379,$C95,Socle!$E$1:$E$379,$D95,Socle!$F$1:$F$379,$E95,Socle!$G$1:$G$379,"2026"))</f>
        <v/>
      </c>
      <c r="H95">
        <f>IF($A95="","",SUMIFS(Socle!$N$1:$N$379,Socle!$C$1:$C$379,$A95,Socle!$D$1:$D$379,$C95,Socle!$E$1:$E$379,$D95,Socle!$F$1:$F$379,$E95,Socle!$G$1:$G$379,"2026"))</f>
        <v/>
      </c>
      <c r="I95">
        <f>IF($A95="","",SUMIFS(Socle!$P$1:$P$379,Socle!$C$1:$C$379,$A95,Socle!$D$1:$D$379,$C95,Socle!$E$1:$E$379,$D95,Socle!$F$1:$F$379,$E95,Socle!$G$1:$G$379,"2026"))</f>
        <v/>
      </c>
      <c r="J95">
        <f>IF($A95="","",SUMIFS(Socle!$W$1:$W$379,Socle!$C$1:$C$379,$A95,Socle!$D$1:$D$379,$C95,Socle!$E$1:$E$379,$D95,Socle!$F$1:$F$379,$E95,Socle!$G$1:$G$379,"2026"))</f>
        <v/>
      </c>
      <c r="K95">
        <f>IF($A95="","",SUMIFS(Socle!$X$1:$X$379,Socle!$C$1:$C$379,$A95,Socle!$D$1:$D$379,$C95,Socle!$E$1:$E$379,$D95,Socle!$F$1:$F$379,$E95,Socle!$G$1:$G$379,"2026"))</f>
        <v/>
      </c>
      <c r="L95">
        <f>IF($A95="","",SUMIFS(Socle!$Y$1:$Y$379,Socle!$C$1:$C$379,$A95,Socle!$D$1:$D$379,$C95,Socle!$E$1:$E$379,$D95,Socle!$F$1:$F$379,$E95,Socle!$G$1:$G$379,"2026"))</f>
        <v/>
      </c>
      <c r="M95">
        <f>IF($A95="","",SUMIFS(Socle!$V$1:$V$379,Socle!$C$1:$C$379,$A95,Socle!$D$1:$D$379,$C95,Socle!$E$1:$E$379,$D95,Socle!$F$1:$F$379,$E95,Socle!$G$1:$G$379,"2026"))</f>
        <v/>
      </c>
      <c r="N95">
        <f>IF($A95="","",IF(OR($D95="B1",$D95="M1",$D95="BTS1"),1,0))</f>
        <v/>
      </c>
      <c r="O95">
        <f>IF($A95="","",SUMIFS(Campagne!$D$1:$D$28,Campagne!$C$1:$C$28,$A95))</f>
        <v/>
      </c>
      <c r="P95">
        <f>IF($A95="","",SUMIFS(Campagne!$E$1:$E$28,Campagne!$C$1:$C$28,$A95))</f>
        <v/>
      </c>
      <c r="Q95">
        <f>IF($A95="","",SUMIFS(Campagne!$F$1:$F$28,Campagne!$C$1:$C$28,$A95))</f>
        <v/>
      </c>
      <c r="R95">
        <f>IF($A95="","",SUMIFS(Campagne!$K$1:$K$28,Campagne!$C$1:$C$28,$A95))</f>
        <v/>
      </c>
      <c r="S95">
        <f>IF($A95="","",SUMIFS(Campagne!$M$1:$M$28,Campagne!$C$1:$C$28,$A95))</f>
        <v/>
      </c>
      <c r="T95">
        <f>IF($A95="","",SUMIFS(Pilotage!$K$19:$K$32,Pilotage!$A$19:$A$32,$A95)*SUMIFS(Pilotage!$J$19:$J$32,Pilotage!$A$19:$A$32,$A95)*(SUM(Pilotage!$K$19:$K$32)/SUMPRODUCT(Pilotage!$K$19:$K$32,Pilotage!$J$19:$J$32)))</f>
        <v/>
      </c>
      <c r="U95">
        <f>IF($A95="","",SUMIFS(Pilotage!$K$19:$K$32,Pilotage!$A$19:$A$32,$A95))</f>
        <v/>
      </c>
      <c r="V95">
        <f>IF($A95="","",IF($B95="V01",Cadrage!$C$22,IF($B95="V02",Cadrage!$D$22,Cadrage!$E$22)))</f>
        <v/>
      </c>
      <c r="W95">
        <f>IF($A95="","",IF($B95="V01",Cadrage!$C$23,IF($B95="V02",Cadrage!$D$23,Cadrage!$E$23)))</f>
        <v/>
      </c>
      <c r="X95">
        <f>IF($A95="","",IF($B95="V01",Cadrage!$C$24,IF($B95="V02",Cadrage!$D$24,Cadrage!$E$24)))</f>
        <v/>
      </c>
      <c r="Y95">
        <f>IF($A95="","",IF($B95="V01",Cadrage!$C$25,IF($B95="V02",Cadrage!$D$25,Cadrage!$E$25)))</f>
        <v/>
      </c>
      <c r="Z95">
        <f>IF($A95="","",IF($B95="V01",Cadrage!$C$26,IF($B95="V02",Cadrage!$D$26,Cadrage!$E$26)))</f>
        <v/>
      </c>
      <c r="AA95">
        <f>IF($A95="","",IF($B95="V01",Cadrage!$C$27,IF($B95="V02",Cadrage!$D$27,Cadrage!$E$27)))</f>
        <v/>
      </c>
      <c r="AB95">
        <f>IF($A95="","",IF($B95="V01",Cadrage!$C$39,IF($B95="V02",Cadrage!$D$39,Cadrage!$E$39)))</f>
        <v/>
      </c>
      <c r="AC95">
        <f>IF($A95="","",IF($F95="MBWAY",Cadrage!$K$11,IF($F95="ISCOM",Cadrage!$K$12,IF($F95="IPAC",Cadrage!$K$13,IF($F95="PIGIER",Cadrage!$K$14,Cadrage!$K$15)))))</f>
        <v/>
      </c>
      <c r="AD95">
        <f>IF($A95="","",($O95*(1+$W95)^$S95+$P95*IFERROR((($T95/$U95)*(1+$V95))^$R95,0))*IFERROR($G95/$Q95,0)*($J95+$Y95)*$K95*($L95+$Z95))</f>
        <v/>
      </c>
      <c r="AE95">
        <f>IF($A95="","",IF($N95=1,$AD95,0))</f>
        <v/>
      </c>
      <c r="AF95">
        <f>IF($A95="","",IF($N95=1,$AD95,$H95*($M95+$AA95)))</f>
        <v/>
      </c>
      <c r="AG95">
        <f>IF($A95="","",$I95*(1+$X95*$AC95))</f>
        <v/>
      </c>
      <c r="AH95">
        <f>IF($A95="","",$AF95*$AG95+$AE95*$AB95)</f>
        <v/>
      </c>
    </row>
    <row r="96">
      <c r="A96">
        <f>IF(Moteur!D96="","",Moteur!D96)</f>
        <v/>
      </c>
      <c r="B96">
        <f>IF(Moteur!B96="","",Moteur!B96)</f>
        <v/>
      </c>
      <c r="C96">
        <f>IF(Moteur!F96="","",Moteur!F96)</f>
        <v/>
      </c>
      <c r="D96">
        <f>IF(Moteur!G96="","",Moteur!G96)</f>
        <v/>
      </c>
      <c r="E96">
        <f>IF(Moteur!H96="","",Moteur!H96)</f>
        <v/>
      </c>
      <c r="F96">
        <f>IF(Moteur!E96="","",Moteur!E96)</f>
        <v/>
      </c>
      <c r="G96">
        <f>IF($A96="","",SUMIFS(Socle!$H$1:$H$379,Socle!$C$1:$C$379,$A96,Socle!$D$1:$D$379,$C96,Socle!$E$1:$E$379,$D96,Socle!$F$1:$F$379,$E96,Socle!$G$1:$G$379,"2026"))</f>
        <v/>
      </c>
      <c r="H96">
        <f>IF($A96="","",SUMIFS(Socle!$N$1:$N$379,Socle!$C$1:$C$379,$A96,Socle!$D$1:$D$379,$C96,Socle!$E$1:$E$379,$D96,Socle!$F$1:$F$379,$E96,Socle!$G$1:$G$379,"2026"))</f>
        <v/>
      </c>
      <c r="I96">
        <f>IF($A96="","",SUMIFS(Socle!$P$1:$P$379,Socle!$C$1:$C$379,$A96,Socle!$D$1:$D$379,$C96,Socle!$E$1:$E$379,$D96,Socle!$F$1:$F$379,$E96,Socle!$G$1:$G$379,"2026"))</f>
        <v/>
      </c>
      <c r="J96">
        <f>IF($A96="","",SUMIFS(Socle!$W$1:$W$379,Socle!$C$1:$C$379,$A96,Socle!$D$1:$D$379,$C96,Socle!$E$1:$E$379,$D96,Socle!$F$1:$F$379,$E96,Socle!$G$1:$G$379,"2026"))</f>
        <v/>
      </c>
      <c r="K96">
        <f>IF($A96="","",SUMIFS(Socle!$X$1:$X$379,Socle!$C$1:$C$379,$A96,Socle!$D$1:$D$379,$C96,Socle!$E$1:$E$379,$D96,Socle!$F$1:$F$379,$E96,Socle!$G$1:$G$379,"2026"))</f>
        <v/>
      </c>
      <c r="L96">
        <f>IF($A96="","",SUMIFS(Socle!$Y$1:$Y$379,Socle!$C$1:$C$379,$A96,Socle!$D$1:$D$379,$C96,Socle!$E$1:$E$379,$D96,Socle!$F$1:$F$379,$E96,Socle!$G$1:$G$379,"2026"))</f>
        <v/>
      </c>
      <c r="M96">
        <f>IF($A96="","",SUMIFS(Socle!$V$1:$V$379,Socle!$C$1:$C$379,$A96,Socle!$D$1:$D$379,$C96,Socle!$E$1:$E$379,$D96,Socle!$F$1:$F$379,$E96,Socle!$G$1:$G$379,"2026"))</f>
        <v/>
      </c>
      <c r="N96">
        <f>IF($A96="","",IF(OR($D96="B1",$D96="M1",$D96="BTS1"),1,0))</f>
        <v/>
      </c>
      <c r="O96">
        <f>IF($A96="","",SUMIFS(Campagne!$D$1:$D$28,Campagne!$C$1:$C$28,$A96))</f>
        <v/>
      </c>
      <c r="P96">
        <f>IF($A96="","",SUMIFS(Campagne!$E$1:$E$28,Campagne!$C$1:$C$28,$A96))</f>
        <v/>
      </c>
      <c r="Q96">
        <f>IF($A96="","",SUMIFS(Campagne!$F$1:$F$28,Campagne!$C$1:$C$28,$A96))</f>
        <v/>
      </c>
      <c r="R96">
        <f>IF($A96="","",SUMIFS(Campagne!$K$1:$K$28,Campagne!$C$1:$C$28,$A96))</f>
        <v/>
      </c>
      <c r="S96">
        <f>IF($A96="","",SUMIFS(Campagne!$M$1:$M$28,Campagne!$C$1:$C$28,$A96))</f>
        <v/>
      </c>
      <c r="T96">
        <f>IF($A96="","",SUMIFS(Pilotage!$K$19:$K$32,Pilotage!$A$19:$A$32,$A96)*SUMIFS(Pilotage!$J$19:$J$32,Pilotage!$A$19:$A$32,$A96)*(SUM(Pilotage!$K$19:$K$32)/SUMPRODUCT(Pilotage!$K$19:$K$32,Pilotage!$J$19:$J$32)))</f>
        <v/>
      </c>
      <c r="U96">
        <f>IF($A96="","",SUMIFS(Pilotage!$K$19:$K$32,Pilotage!$A$19:$A$32,$A96))</f>
        <v/>
      </c>
      <c r="V96">
        <f>IF($A96="","",IF($B96="V01",Cadrage!$C$22,IF($B96="V02",Cadrage!$D$22,Cadrage!$E$22)))</f>
        <v/>
      </c>
      <c r="W96">
        <f>IF($A96="","",IF($B96="V01",Cadrage!$C$23,IF($B96="V02",Cadrage!$D$23,Cadrage!$E$23)))</f>
        <v/>
      </c>
      <c r="X96">
        <f>IF($A96="","",IF($B96="V01",Cadrage!$C$24,IF($B96="V02",Cadrage!$D$24,Cadrage!$E$24)))</f>
        <v/>
      </c>
      <c r="Y96">
        <f>IF($A96="","",IF($B96="V01",Cadrage!$C$25,IF($B96="V02",Cadrage!$D$25,Cadrage!$E$25)))</f>
        <v/>
      </c>
      <c r="Z96">
        <f>IF($A96="","",IF($B96="V01",Cadrage!$C$26,IF($B96="V02",Cadrage!$D$26,Cadrage!$E$26)))</f>
        <v/>
      </c>
      <c r="AA96">
        <f>IF($A96="","",IF($B96="V01",Cadrage!$C$27,IF($B96="V02",Cadrage!$D$27,Cadrage!$E$27)))</f>
        <v/>
      </c>
      <c r="AB96">
        <f>IF($A96="","",IF($B96="V01",Cadrage!$C$39,IF($B96="V02",Cadrage!$D$39,Cadrage!$E$39)))</f>
        <v/>
      </c>
      <c r="AC96">
        <f>IF($A96="","",IF($F96="MBWAY",Cadrage!$K$11,IF($F96="ISCOM",Cadrage!$K$12,IF($F96="IPAC",Cadrage!$K$13,IF($F96="PIGIER",Cadrage!$K$14,Cadrage!$K$15)))))</f>
        <v/>
      </c>
      <c r="AD96">
        <f>IF($A96="","",($O96*(1+$W96)^$S96+$P96*IFERROR((($T96/$U96)*(1+$V96))^$R96,0))*IFERROR($G96/$Q96,0)*($J96+$Y96)*$K96*($L96+$Z96))</f>
        <v/>
      </c>
      <c r="AE96">
        <f>IF($A96="","",IF($N96=1,$AD96,0))</f>
        <v/>
      </c>
      <c r="AF96">
        <f>IF($A96="","",IF($N96=1,$AD96,$H96*($M96+$AA96)))</f>
        <v/>
      </c>
      <c r="AG96">
        <f>IF($A96="","",$I96*(1+$X96*$AC96))</f>
        <v/>
      </c>
      <c r="AH96">
        <f>IF($A96="","",$AF96*$AG96+$AE96*$AB96)</f>
        <v/>
      </c>
    </row>
    <row r="97">
      <c r="A97">
        <f>IF(Moteur!D97="","",Moteur!D97)</f>
        <v/>
      </c>
      <c r="B97">
        <f>IF(Moteur!B97="","",Moteur!B97)</f>
        <v/>
      </c>
      <c r="C97">
        <f>IF(Moteur!F97="","",Moteur!F97)</f>
        <v/>
      </c>
      <c r="D97">
        <f>IF(Moteur!G97="","",Moteur!G97)</f>
        <v/>
      </c>
      <c r="E97">
        <f>IF(Moteur!H97="","",Moteur!H97)</f>
        <v/>
      </c>
      <c r="F97">
        <f>IF(Moteur!E97="","",Moteur!E97)</f>
        <v/>
      </c>
      <c r="G97">
        <f>IF($A97="","",SUMIFS(Socle!$H$1:$H$379,Socle!$C$1:$C$379,$A97,Socle!$D$1:$D$379,$C97,Socle!$E$1:$E$379,$D97,Socle!$F$1:$F$379,$E97,Socle!$G$1:$G$379,"2026"))</f>
        <v/>
      </c>
      <c r="H97">
        <f>IF($A97="","",SUMIFS(Socle!$N$1:$N$379,Socle!$C$1:$C$379,$A97,Socle!$D$1:$D$379,$C97,Socle!$E$1:$E$379,$D97,Socle!$F$1:$F$379,$E97,Socle!$G$1:$G$379,"2026"))</f>
        <v/>
      </c>
      <c r="I97">
        <f>IF($A97="","",SUMIFS(Socle!$P$1:$P$379,Socle!$C$1:$C$379,$A97,Socle!$D$1:$D$379,$C97,Socle!$E$1:$E$379,$D97,Socle!$F$1:$F$379,$E97,Socle!$G$1:$G$379,"2026"))</f>
        <v/>
      </c>
      <c r="J97">
        <f>IF($A97="","",SUMIFS(Socle!$W$1:$W$379,Socle!$C$1:$C$379,$A97,Socle!$D$1:$D$379,$C97,Socle!$E$1:$E$379,$D97,Socle!$F$1:$F$379,$E97,Socle!$G$1:$G$379,"2026"))</f>
        <v/>
      </c>
      <c r="K97">
        <f>IF($A97="","",SUMIFS(Socle!$X$1:$X$379,Socle!$C$1:$C$379,$A97,Socle!$D$1:$D$379,$C97,Socle!$E$1:$E$379,$D97,Socle!$F$1:$F$379,$E97,Socle!$G$1:$G$379,"2026"))</f>
        <v/>
      </c>
      <c r="L97">
        <f>IF($A97="","",SUMIFS(Socle!$Y$1:$Y$379,Socle!$C$1:$C$379,$A97,Socle!$D$1:$D$379,$C97,Socle!$E$1:$E$379,$D97,Socle!$F$1:$F$379,$E97,Socle!$G$1:$G$379,"2026"))</f>
        <v/>
      </c>
      <c r="M97">
        <f>IF($A97="","",SUMIFS(Socle!$V$1:$V$379,Socle!$C$1:$C$379,$A97,Socle!$D$1:$D$379,$C97,Socle!$E$1:$E$379,$D97,Socle!$F$1:$F$379,$E97,Socle!$G$1:$G$379,"2026"))</f>
        <v/>
      </c>
      <c r="N97">
        <f>IF($A97="","",IF(OR($D97="B1",$D97="M1",$D97="BTS1"),1,0))</f>
        <v/>
      </c>
      <c r="O97">
        <f>IF($A97="","",SUMIFS(Campagne!$D$1:$D$28,Campagne!$C$1:$C$28,$A97))</f>
        <v/>
      </c>
      <c r="P97">
        <f>IF($A97="","",SUMIFS(Campagne!$E$1:$E$28,Campagne!$C$1:$C$28,$A97))</f>
        <v/>
      </c>
      <c r="Q97">
        <f>IF($A97="","",SUMIFS(Campagne!$F$1:$F$28,Campagne!$C$1:$C$28,$A97))</f>
        <v/>
      </c>
      <c r="R97">
        <f>IF($A97="","",SUMIFS(Campagne!$K$1:$K$28,Campagne!$C$1:$C$28,$A97))</f>
        <v/>
      </c>
      <c r="S97">
        <f>IF($A97="","",SUMIFS(Campagne!$M$1:$M$28,Campagne!$C$1:$C$28,$A97))</f>
        <v/>
      </c>
      <c r="T97">
        <f>IF($A97="","",SUMIFS(Pilotage!$K$19:$K$32,Pilotage!$A$19:$A$32,$A97)*SUMIFS(Pilotage!$J$19:$J$32,Pilotage!$A$19:$A$32,$A97)*(SUM(Pilotage!$K$19:$K$32)/SUMPRODUCT(Pilotage!$K$19:$K$32,Pilotage!$J$19:$J$32)))</f>
        <v/>
      </c>
      <c r="U97">
        <f>IF($A97="","",SUMIFS(Pilotage!$K$19:$K$32,Pilotage!$A$19:$A$32,$A97))</f>
        <v/>
      </c>
      <c r="V97">
        <f>IF($A97="","",IF($B97="V01",Cadrage!$C$22,IF($B97="V02",Cadrage!$D$22,Cadrage!$E$22)))</f>
        <v/>
      </c>
      <c r="W97">
        <f>IF($A97="","",IF($B97="V01",Cadrage!$C$23,IF($B97="V02",Cadrage!$D$23,Cadrage!$E$23)))</f>
        <v/>
      </c>
      <c r="X97">
        <f>IF($A97="","",IF($B97="V01",Cadrage!$C$24,IF($B97="V02",Cadrage!$D$24,Cadrage!$E$24)))</f>
        <v/>
      </c>
      <c r="Y97">
        <f>IF($A97="","",IF($B97="V01",Cadrage!$C$25,IF($B97="V02",Cadrage!$D$25,Cadrage!$E$25)))</f>
        <v/>
      </c>
      <c r="Z97">
        <f>IF($A97="","",IF($B97="V01",Cadrage!$C$26,IF($B97="V02",Cadrage!$D$26,Cadrage!$E$26)))</f>
        <v/>
      </c>
      <c r="AA97">
        <f>IF($A97="","",IF($B97="V01",Cadrage!$C$27,IF($B97="V02",Cadrage!$D$27,Cadrage!$E$27)))</f>
        <v/>
      </c>
      <c r="AB97">
        <f>IF($A97="","",IF($B97="V01",Cadrage!$C$39,IF($B97="V02",Cadrage!$D$39,Cadrage!$E$39)))</f>
        <v/>
      </c>
      <c r="AC97">
        <f>IF($A97="","",IF($F97="MBWAY",Cadrage!$K$11,IF($F97="ISCOM",Cadrage!$K$12,IF($F97="IPAC",Cadrage!$K$13,IF($F97="PIGIER",Cadrage!$K$14,Cadrage!$K$15)))))</f>
        <v/>
      </c>
      <c r="AD97">
        <f>IF($A97="","",($O97*(1+$W97)^$S97+$P97*IFERROR((($T97/$U97)*(1+$V97))^$R97,0))*IFERROR($G97/$Q97,0)*($J97+$Y97)*$K97*($L97+$Z97))</f>
        <v/>
      </c>
      <c r="AE97">
        <f>IF($A97="","",IF($N97=1,$AD97,0))</f>
        <v/>
      </c>
      <c r="AF97">
        <f>IF($A97="","",IF($N97=1,$AD97,$H97*($M97+$AA97)))</f>
        <v/>
      </c>
      <c r="AG97">
        <f>IF($A97="","",$I97*(1+$X97*$AC97))</f>
        <v/>
      </c>
      <c r="AH97">
        <f>IF($A97="","",$AF97*$AG97+$AE97*$AB97)</f>
        <v/>
      </c>
    </row>
    <row r="98">
      <c r="A98">
        <f>IF(Moteur!D98="","",Moteur!D98)</f>
        <v/>
      </c>
      <c r="B98">
        <f>IF(Moteur!B98="","",Moteur!B98)</f>
        <v/>
      </c>
      <c r="C98">
        <f>IF(Moteur!F98="","",Moteur!F98)</f>
        <v/>
      </c>
      <c r="D98">
        <f>IF(Moteur!G98="","",Moteur!G98)</f>
        <v/>
      </c>
      <c r="E98">
        <f>IF(Moteur!H98="","",Moteur!H98)</f>
        <v/>
      </c>
      <c r="F98">
        <f>IF(Moteur!E98="","",Moteur!E98)</f>
        <v/>
      </c>
      <c r="G98">
        <f>IF($A98="","",SUMIFS(Socle!$H$1:$H$379,Socle!$C$1:$C$379,$A98,Socle!$D$1:$D$379,$C98,Socle!$E$1:$E$379,$D98,Socle!$F$1:$F$379,$E98,Socle!$G$1:$G$379,"2026"))</f>
        <v/>
      </c>
      <c r="H98">
        <f>IF($A98="","",SUMIFS(Socle!$N$1:$N$379,Socle!$C$1:$C$379,$A98,Socle!$D$1:$D$379,$C98,Socle!$E$1:$E$379,$D98,Socle!$F$1:$F$379,$E98,Socle!$G$1:$G$379,"2026"))</f>
        <v/>
      </c>
      <c r="I98">
        <f>IF($A98="","",SUMIFS(Socle!$P$1:$P$379,Socle!$C$1:$C$379,$A98,Socle!$D$1:$D$379,$C98,Socle!$E$1:$E$379,$D98,Socle!$F$1:$F$379,$E98,Socle!$G$1:$G$379,"2026"))</f>
        <v/>
      </c>
      <c r="J98">
        <f>IF($A98="","",SUMIFS(Socle!$W$1:$W$379,Socle!$C$1:$C$379,$A98,Socle!$D$1:$D$379,$C98,Socle!$E$1:$E$379,$D98,Socle!$F$1:$F$379,$E98,Socle!$G$1:$G$379,"2026"))</f>
        <v/>
      </c>
      <c r="K98">
        <f>IF($A98="","",SUMIFS(Socle!$X$1:$X$379,Socle!$C$1:$C$379,$A98,Socle!$D$1:$D$379,$C98,Socle!$E$1:$E$379,$D98,Socle!$F$1:$F$379,$E98,Socle!$G$1:$G$379,"2026"))</f>
        <v/>
      </c>
      <c r="L98">
        <f>IF($A98="","",SUMIFS(Socle!$Y$1:$Y$379,Socle!$C$1:$C$379,$A98,Socle!$D$1:$D$379,$C98,Socle!$E$1:$E$379,$D98,Socle!$F$1:$F$379,$E98,Socle!$G$1:$G$379,"2026"))</f>
        <v/>
      </c>
      <c r="M98">
        <f>IF($A98="","",SUMIFS(Socle!$V$1:$V$379,Socle!$C$1:$C$379,$A98,Socle!$D$1:$D$379,$C98,Socle!$E$1:$E$379,$D98,Socle!$F$1:$F$379,$E98,Socle!$G$1:$G$379,"2026"))</f>
        <v/>
      </c>
      <c r="N98">
        <f>IF($A98="","",IF(OR($D98="B1",$D98="M1",$D98="BTS1"),1,0))</f>
        <v/>
      </c>
      <c r="O98">
        <f>IF($A98="","",SUMIFS(Campagne!$D$1:$D$28,Campagne!$C$1:$C$28,$A98))</f>
        <v/>
      </c>
      <c r="P98">
        <f>IF($A98="","",SUMIFS(Campagne!$E$1:$E$28,Campagne!$C$1:$C$28,$A98))</f>
        <v/>
      </c>
      <c r="Q98">
        <f>IF($A98="","",SUMIFS(Campagne!$F$1:$F$28,Campagne!$C$1:$C$28,$A98))</f>
        <v/>
      </c>
      <c r="R98">
        <f>IF($A98="","",SUMIFS(Campagne!$K$1:$K$28,Campagne!$C$1:$C$28,$A98))</f>
        <v/>
      </c>
      <c r="S98">
        <f>IF($A98="","",SUMIFS(Campagne!$M$1:$M$28,Campagne!$C$1:$C$28,$A98))</f>
        <v/>
      </c>
      <c r="T98">
        <f>IF($A98="","",SUMIFS(Pilotage!$K$19:$K$32,Pilotage!$A$19:$A$32,$A98)*SUMIFS(Pilotage!$J$19:$J$32,Pilotage!$A$19:$A$32,$A98)*(SUM(Pilotage!$K$19:$K$32)/SUMPRODUCT(Pilotage!$K$19:$K$32,Pilotage!$J$19:$J$32)))</f>
        <v/>
      </c>
      <c r="U98">
        <f>IF($A98="","",SUMIFS(Pilotage!$K$19:$K$32,Pilotage!$A$19:$A$32,$A98))</f>
        <v/>
      </c>
      <c r="V98">
        <f>IF($A98="","",IF($B98="V01",Cadrage!$C$22,IF($B98="V02",Cadrage!$D$22,Cadrage!$E$22)))</f>
        <v/>
      </c>
      <c r="W98">
        <f>IF($A98="","",IF($B98="V01",Cadrage!$C$23,IF($B98="V02",Cadrage!$D$23,Cadrage!$E$23)))</f>
        <v/>
      </c>
      <c r="X98">
        <f>IF($A98="","",IF($B98="V01",Cadrage!$C$24,IF($B98="V02",Cadrage!$D$24,Cadrage!$E$24)))</f>
        <v/>
      </c>
      <c r="Y98">
        <f>IF($A98="","",IF($B98="V01",Cadrage!$C$25,IF($B98="V02",Cadrage!$D$25,Cadrage!$E$25)))</f>
        <v/>
      </c>
      <c r="Z98">
        <f>IF($A98="","",IF($B98="V01",Cadrage!$C$26,IF($B98="V02",Cadrage!$D$26,Cadrage!$E$26)))</f>
        <v/>
      </c>
      <c r="AA98">
        <f>IF($A98="","",IF($B98="V01",Cadrage!$C$27,IF($B98="V02",Cadrage!$D$27,Cadrage!$E$27)))</f>
        <v/>
      </c>
      <c r="AB98">
        <f>IF($A98="","",IF($B98="V01",Cadrage!$C$39,IF($B98="V02",Cadrage!$D$39,Cadrage!$E$39)))</f>
        <v/>
      </c>
      <c r="AC98">
        <f>IF($A98="","",IF($F98="MBWAY",Cadrage!$K$11,IF($F98="ISCOM",Cadrage!$K$12,IF($F98="IPAC",Cadrage!$K$13,IF($F98="PIGIER",Cadrage!$K$14,Cadrage!$K$15)))))</f>
        <v/>
      </c>
      <c r="AD98">
        <f>IF($A98="","",($O98*(1+$W98)^$S98+$P98*IFERROR((($T98/$U98)*(1+$V98))^$R98,0))*IFERROR($G98/$Q98,0)*($J98+$Y98)*$K98*($L98+$Z98))</f>
        <v/>
      </c>
      <c r="AE98">
        <f>IF($A98="","",IF($N98=1,$AD98,0))</f>
        <v/>
      </c>
      <c r="AF98">
        <f>IF($A98="","",IF($N98=1,$AD98,$H98*($M98+$AA98)))</f>
        <v/>
      </c>
      <c r="AG98">
        <f>IF($A98="","",$I98*(1+$X98*$AC98))</f>
        <v/>
      </c>
      <c r="AH98">
        <f>IF($A98="","",$AF98*$AG98+$AE98*$AB98)</f>
        <v/>
      </c>
    </row>
    <row r="99">
      <c r="A99">
        <f>IF(Moteur!D99="","",Moteur!D99)</f>
        <v/>
      </c>
      <c r="B99">
        <f>IF(Moteur!B99="","",Moteur!B99)</f>
        <v/>
      </c>
      <c r="C99">
        <f>IF(Moteur!F99="","",Moteur!F99)</f>
        <v/>
      </c>
      <c r="D99">
        <f>IF(Moteur!G99="","",Moteur!G99)</f>
        <v/>
      </c>
      <c r="E99">
        <f>IF(Moteur!H99="","",Moteur!H99)</f>
        <v/>
      </c>
      <c r="F99">
        <f>IF(Moteur!E99="","",Moteur!E99)</f>
        <v/>
      </c>
      <c r="G99">
        <f>IF($A99="","",SUMIFS(Socle!$H$1:$H$379,Socle!$C$1:$C$379,$A99,Socle!$D$1:$D$379,$C99,Socle!$E$1:$E$379,$D99,Socle!$F$1:$F$379,$E99,Socle!$G$1:$G$379,"2026"))</f>
        <v/>
      </c>
      <c r="H99">
        <f>IF($A99="","",SUMIFS(Socle!$N$1:$N$379,Socle!$C$1:$C$379,$A99,Socle!$D$1:$D$379,$C99,Socle!$E$1:$E$379,$D99,Socle!$F$1:$F$379,$E99,Socle!$G$1:$G$379,"2026"))</f>
        <v/>
      </c>
      <c r="I99">
        <f>IF($A99="","",SUMIFS(Socle!$P$1:$P$379,Socle!$C$1:$C$379,$A99,Socle!$D$1:$D$379,$C99,Socle!$E$1:$E$379,$D99,Socle!$F$1:$F$379,$E99,Socle!$G$1:$G$379,"2026"))</f>
        <v/>
      </c>
      <c r="J99">
        <f>IF($A99="","",SUMIFS(Socle!$W$1:$W$379,Socle!$C$1:$C$379,$A99,Socle!$D$1:$D$379,$C99,Socle!$E$1:$E$379,$D99,Socle!$F$1:$F$379,$E99,Socle!$G$1:$G$379,"2026"))</f>
        <v/>
      </c>
      <c r="K99">
        <f>IF($A99="","",SUMIFS(Socle!$X$1:$X$379,Socle!$C$1:$C$379,$A99,Socle!$D$1:$D$379,$C99,Socle!$E$1:$E$379,$D99,Socle!$F$1:$F$379,$E99,Socle!$G$1:$G$379,"2026"))</f>
        <v/>
      </c>
      <c r="L99">
        <f>IF($A99="","",SUMIFS(Socle!$Y$1:$Y$379,Socle!$C$1:$C$379,$A99,Socle!$D$1:$D$379,$C99,Socle!$E$1:$E$379,$D99,Socle!$F$1:$F$379,$E99,Socle!$G$1:$G$379,"2026"))</f>
        <v/>
      </c>
      <c r="M99">
        <f>IF($A99="","",SUMIFS(Socle!$V$1:$V$379,Socle!$C$1:$C$379,$A99,Socle!$D$1:$D$379,$C99,Socle!$E$1:$E$379,$D99,Socle!$F$1:$F$379,$E99,Socle!$G$1:$G$379,"2026"))</f>
        <v/>
      </c>
      <c r="N99">
        <f>IF($A99="","",IF(OR($D99="B1",$D99="M1",$D99="BTS1"),1,0))</f>
        <v/>
      </c>
      <c r="O99">
        <f>IF($A99="","",SUMIFS(Campagne!$D$1:$D$28,Campagne!$C$1:$C$28,$A99))</f>
        <v/>
      </c>
      <c r="P99">
        <f>IF($A99="","",SUMIFS(Campagne!$E$1:$E$28,Campagne!$C$1:$C$28,$A99))</f>
        <v/>
      </c>
      <c r="Q99">
        <f>IF($A99="","",SUMIFS(Campagne!$F$1:$F$28,Campagne!$C$1:$C$28,$A99))</f>
        <v/>
      </c>
      <c r="R99">
        <f>IF($A99="","",SUMIFS(Campagne!$K$1:$K$28,Campagne!$C$1:$C$28,$A99))</f>
        <v/>
      </c>
      <c r="S99">
        <f>IF($A99="","",SUMIFS(Campagne!$M$1:$M$28,Campagne!$C$1:$C$28,$A99))</f>
        <v/>
      </c>
      <c r="T99">
        <f>IF($A99="","",SUMIFS(Pilotage!$K$19:$K$32,Pilotage!$A$19:$A$32,$A99)*SUMIFS(Pilotage!$J$19:$J$32,Pilotage!$A$19:$A$32,$A99)*(SUM(Pilotage!$K$19:$K$32)/SUMPRODUCT(Pilotage!$K$19:$K$32,Pilotage!$J$19:$J$32)))</f>
        <v/>
      </c>
      <c r="U99">
        <f>IF($A99="","",SUMIFS(Pilotage!$K$19:$K$32,Pilotage!$A$19:$A$32,$A99))</f>
        <v/>
      </c>
      <c r="V99">
        <f>IF($A99="","",IF($B99="V01",Cadrage!$C$22,IF($B99="V02",Cadrage!$D$22,Cadrage!$E$22)))</f>
        <v/>
      </c>
      <c r="W99">
        <f>IF($A99="","",IF($B99="V01",Cadrage!$C$23,IF($B99="V02",Cadrage!$D$23,Cadrage!$E$23)))</f>
        <v/>
      </c>
      <c r="X99">
        <f>IF($A99="","",IF($B99="V01",Cadrage!$C$24,IF($B99="V02",Cadrage!$D$24,Cadrage!$E$24)))</f>
        <v/>
      </c>
      <c r="Y99">
        <f>IF($A99="","",IF($B99="V01",Cadrage!$C$25,IF($B99="V02",Cadrage!$D$25,Cadrage!$E$25)))</f>
        <v/>
      </c>
      <c r="Z99">
        <f>IF($A99="","",IF($B99="V01",Cadrage!$C$26,IF($B99="V02",Cadrage!$D$26,Cadrage!$E$26)))</f>
        <v/>
      </c>
      <c r="AA99">
        <f>IF($A99="","",IF($B99="V01",Cadrage!$C$27,IF($B99="V02",Cadrage!$D$27,Cadrage!$E$27)))</f>
        <v/>
      </c>
      <c r="AB99">
        <f>IF($A99="","",IF($B99="V01",Cadrage!$C$39,IF($B99="V02",Cadrage!$D$39,Cadrage!$E$39)))</f>
        <v/>
      </c>
      <c r="AC99">
        <f>IF($A99="","",IF($F99="MBWAY",Cadrage!$K$11,IF($F99="ISCOM",Cadrage!$K$12,IF($F99="IPAC",Cadrage!$K$13,IF($F99="PIGIER",Cadrage!$K$14,Cadrage!$K$15)))))</f>
        <v/>
      </c>
      <c r="AD99">
        <f>IF($A99="","",($O99*(1+$W99)^$S99+$P99*IFERROR((($T99/$U99)*(1+$V99))^$R99,0))*IFERROR($G99/$Q99,0)*($J99+$Y99)*$K99*($L99+$Z99))</f>
        <v/>
      </c>
      <c r="AE99">
        <f>IF($A99="","",IF($N99=1,$AD99,0))</f>
        <v/>
      </c>
      <c r="AF99">
        <f>IF($A99="","",IF($N99=1,$AD99,$H99*($M99+$AA99)))</f>
        <v/>
      </c>
      <c r="AG99">
        <f>IF($A99="","",$I99*(1+$X99*$AC99))</f>
        <v/>
      </c>
      <c r="AH99">
        <f>IF($A99="","",$AF99*$AG99+$AE99*$AB99)</f>
        <v/>
      </c>
    </row>
    <row r="100">
      <c r="A100">
        <f>IF(Moteur!D100="","",Moteur!D100)</f>
        <v/>
      </c>
      <c r="B100">
        <f>IF(Moteur!B100="","",Moteur!B100)</f>
        <v/>
      </c>
      <c r="C100">
        <f>IF(Moteur!F100="","",Moteur!F100)</f>
        <v/>
      </c>
      <c r="D100">
        <f>IF(Moteur!G100="","",Moteur!G100)</f>
        <v/>
      </c>
      <c r="E100">
        <f>IF(Moteur!H100="","",Moteur!H100)</f>
        <v/>
      </c>
      <c r="F100">
        <f>IF(Moteur!E100="","",Moteur!E100)</f>
        <v/>
      </c>
      <c r="G100">
        <f>IF($A100="","",SUMIFS(Socle!$H$1:$H$379,Socle!$C$1:$C$379,$A100,Socle!$D$1:$D$379,$C100,Socle!$E$1:$E$379,$D100,Socle!$F$1:$F$379,$E100,Socle!$G$1:$G$379,"2026"))</f>
        <v/>
      </c>
      <c r="H100">
        <f>IF($A100="","",SUMIFS(Socle!$N$1:$N$379,Socle!$C$1:$C$379,$A100,Socle!$D$1:$D$379,$C100,Socle!$E$1:$E$379,$D100,Socle!$F$1:$F$379,$E100,Socle!$G$1:$G$379,"2026"))</f>
        <v/>
      </c>
      <c r="I100">
        <f>IF($A100="","",SUMIFS(Socle!$P$1:$P$379,Socle!$C$1:$C$379,$A100,Socle!$D$1:$D$379,$C100,Socle!$E$1:$E$379,$D100,Socle!$F$1:$F$379,$E100,Socle!$G$1:$G$379,"2026"))</f>
        <v/>
      </c>
      <c r="J100">
        <f>IF($A100="","",SUMIFS(Socle!$W$1:$W$379,Socle!$C$1:$C$379,$A100,Socle!$D$1:$D$379,$C100,Socle!$E$1:$E$379,$D100,Socle!$F$1:$F$379,$E100,Socle!$G$1:$G$379,"2026"))</f>
        <v/>
      </c>
      <c r="K100">
        <f>IF($A100="","",SUMIFS(Socle!$X$1:$X$379,Socle!$C$1:$C$379,$A100,Socle!$D$1:$D$379,$C100,Socle!$E$1:$E$379,$D100,Socle!$F$1:$F$379,$E100,Socle!$G$1:$G$379,"2026"))</f>
        <v/>
      </c>
      <c r="L100">
        <f>IF($A100="","",SUMIFS(Socle!$Y$1:$Y$379,Socle!$C$1:$C$379,$A100,Socle!$D$1:$D$379,$C100,Socle!$E$1:$E$379,$D100,Socle!$F$1:$F$379,$E100,Socle!$G$1:$G$379,"2026"))</f>
        <v/>
      </c>
      <c r="M100">
        <f>IF($A100="","",SUMIFS(Socle!$V$1:$V$379,Socle!$C$1:$C$379,$A100,Socle!$D$1:$D$379,$C100,Socle!$E$1:$E$379,$D100,Socle!$F$1:$F$379,$E100,Socle!$G$1:$G$379,"2026"))</f>
        <v/>
      </c>
      <c r="N100">
        <f>IF($A100="","",IF(OR($D100="B1",$D100="M1",$D100="BTS1"),1,0))</f>
        <v/>
      </c>
      <c r="O100">
        <f>IF($A100="","",SUMIFS(Campagne!$D$1:$D$28,Campagne!$C$1:$C$28,$A100))</f>
        <v/>
      </c>
      <c r="P100">
        <f>IF($A100="","",SUMIFS(Campagne!$E$1:$E$28,Campagne!$C$1:$C$28,$A100))</f>
        <v/>
      </c>
      <c r="Q100">
        <f>IF($A100="","",SUMIFS(Campagne!$F$1:$F$28,Campagne!$C$1:$C$28,$A100))</f>
        <v/>
      </c>
      <c r="R100">
        <f>IF($A100="","",SUMIFS(Campagne!$K$1:$K$28,Campagne!$C$1:$C$28,$A100))</f>
        <v/>
      </c>
      <c r="S100">
        <f>IF($A100="","",SUMIFS(Campagne!$M$1:$M$28,Campagne!$C$1:$C$28,$A100))</f>
        <v/>
      </c>
      <c r="T100">
        <f>IF($A100="","",SUMIFS(Pilotage!$K$19:$K$32,Pilotage!$A$19:$A$32,$A100)*SUMIFS(Pilotage!$J$19:$J$32,Pilotage!$A$19:$A$32,$A100)*(SUM(Pilotage!$K$19:$K$32)/SUMPRODUCT(Pilotage!$K$19:$K$32,Pilotage!$J$19:$J$32)))</f>
        <v/>
      </c>
      <c r="U100">
        <f>IF($A100="","",SUMIFS(Pilotage!$K$19:$K$32,Pilotage!$A$19:$A$32,$A100))</f>
        <v/>
      </c>
      <c r="V100">
        <f>IF($A100="","",IF($B100="V01",Cadrage!$C$22,IF($B100="V02",Cadrage!$D$22,Cadrage!$E$22)))</f>
        <v/>
      </c>
      <c r="W100">
        <f>IF($A100="","",IF($B100="V01",Cadrage!$C$23,IF($B100="V02",Cadrage!$D$23,Cadrage!$E$23)))</f>
        <v/>
      </c>
      <c r="X100">
        <f>IF($A100="","",IF($B100="V01",Cadrage!$C$24,IF($B100="V02",Cadrage!$D$24,Cadrage!$E$24)))</f>
        <v/>
      </c>
      <c r="Y100">
        <f>IF($A100="","",IF($B100="V01",Cadrage!$C$25,IF($B100="V02",Cadrage!$D$25,Cadrage!$E$25)))</f>
        <v/>
      </c>
      <c r="Z100">
        <f>IF($A100="","",IF($B100="V01",Cadrage!$C$26,IF($B100="V02",Cadrage!$D$26,Cadrage!$E$26)))</f>
        <v/>
      </c>
      <c r="AA100">
        <f>IF($A100="","",IF($B100="V01",Cadrage!$C$27,IF($B100="V02",Cadrage!$D$27,Cadrage!$E$27)))</f>
        <v/>
      </c>
      <c r="AB100">
        <f>IF($A100="","",IF($B100="V01",Cadrage!$C$39,IF($B100="V02",Cadrage!$D$39,Cadrage!$E$39)))</f>
        <v/>
      </c>
      <c r="AC100">
        <f>IF($A100="","",IF($F100="MBWAY",Cadrage!$K$11,IF($F100="ISCOM",Cadrage!$K$12,IF($F100="IPAC",Cadrage!$K$13,IF($F100="PIGIER",Cadrage!$K$14,Cadrage!$K$15)))))</f>
        <v/>
      </c>
      <c r="AD100">
        <f>IF($A100="","",($O100*(1+$W100)^$S100+$P100*IFERROR((($T100/$U100)*(1+$V100))^$R100,0))*IFERROR($G100/$Q100,0)*($J100+$Y100)*$K100*($L100+$Z100))</f>
        <v/>
      </c>
      <c r="AE100">
        <f>IF($A100="","",IF($N100=1,$AD100,0))</f>
        <v/>
      </c>
      <c r="AF100">
        <f>IF($A100="","",IF($N100=1,$AD100,$H100*($M100+$AA100)))</f>
        <v/>
      </c>
      <c r="AG100">
        <f>IF($A100="","",$I100*(1+$X100*$AC100))</f>
        <v/>
      </c>
      <c r="AH100">
        <f>IF($A100="","",$AF100*$AG100+$AE100*$AB100)</f>
        <v/>
      </c>
    </row>
    <row r="101">
      <c r="A101">
        <f>IF(Moteur!D101="","",Moteur!D101)</f>
        <v/>
      </c>
      <c r="B101">
        <f>IF(Moteur!B101="","",Moteur!B101)</f>
        <v/>
      </c>
      <c r="C101">
        <f>IF(Moteur!F101="","",Moteur!F101)</f>
        <v/>
      </c>
      <c r="D101">
        <f>IF(Moteur!G101="","",Moteur!G101)</f>
        <v/>
      </c>
      <c r="E101">
        <f>IF(Moteur!H101="","",Moteur!H101)</f>
        <v/>
      </c>
      <c r="F101">
        <f>IF(Moteur!E101="","",Moteur!E101)</f>
        <v/>
      </c>
      <c r="G101">
        <f>IF($A101="","",SUMIFS(Socle!$H$1:$H$379,Socle!$C$1:$C$379,$A101,Socle!$D$1:$D$379,$C101,Socle!$E$1:$E$379,$D101,Socle!$F$1:$F$379,$E101,Socle!$G$1:$G$379,"2026"))</f>
        <v/>
      </c>
      <c r="H101">
        <f>IF($A101="","",SUMIFS(Socle!$N$1:$N$379,Socle!$C$1:$C$379,$A101,Socle!$D$1:$D$379,$C101,Socle!$E$1:$E$379,$D101,Socle!$F$1:$F$379,$E101,Socle!$G$1:$G$379,"2026"))</f>
        <v/>
      </c>
      <c r="I101">
        <f>IF($A101="","",SUMIFS(Socle!$P$1:$P$379,Socle!$C$1:$C$379,$A101,Socle!$D$1:$D$379,$C101,Socle!$E$1:$E$379,$D101,Socle!$F$1:$F$379,$E101,Socle!$G$1:$G$379,"2026"))</f>
        <v/>
      </c>
      <c r="J101">
        <f>IF($A101="","",SUMIFS(Socle!$W$1:$W$379,Socle!$C$1:$C$379,$A101,Socle!$D$1:$D$379,$C101,Socle!$E$1:$E$379,$D101,Socle!$F$1:$F$379,$E101,Socle!$G$1:$G$379,"2026"))</f>
        <v/>
      </c>
      <c r="K101">
        <f>IF($A101="","",SUMIFS(Socle!$X$1:$X$379,Socle!$C$1:$C$379,$A101,Socle!$D$1:$D$379,$C101,Socle!$E$1:$E$379,$D101,Socle!$F$1:$F$379,$E101,Socle!$G$1:$G$379,"2026"))</f>
        <v/>
      </c>
      <c r="L101">
        <f>IF($A101="","",SUMIFS(Socle!$Y$1:$Y$379,Socle!$C$1:$C$379,$A101,Socle!$D$1:$D$379,$C101,Socle!$E$1:$E$379,$D101,Socle!$F$1:$F$379,$E101,Socle!$G$1:$G$379,"2026"))</f>
        <v/>
      </c>
      <c r="M101">
        <f>IF($A101="","",SUMIFS(Socle!$V$1:$V$379,Socle!$C$1:$C$379,$A101,Socle!$D$1:$D$379,$C101,Socle!$E$1:$E$379,$D101,Socle!$F$1:$F$379,$E101,Socle!$G$1:$G$379,"2026"))</f>
        <v/>
      </c>
      <c r="N101">
        <f>IF($A101="","",IF(OR($D101="B1",$D101="M1",$D101="BTS1"),1,0))</f>
        <v/>
      </c>
      <c r="O101">
        <f>IF($A101="","",SUMIFS(Campagne!$D$1:$D$28,Campagne!$C$1:$C$28,$A101))</f>
        <v/>
      </c>
      <c r="P101">
        <f>IF($A101="","",SUMIFS(Campagne!$E$1:$E$28,Campagne!$C$1:$C$28,$A101))</f>
        <v/>
      </c>
      <c r="Q101">
        <f>IF($A101="","",SUMIFS(Campagne!$F$1:$F$28,Campagne!$C$1:$C$28,$A101))</f>
        <v/>
      </c>
      <c r="R101">
        <f>IF($A101="","",SUMIFS(Campagne!$K$1:$K$28,Campagne!$C$1:$C$28,$A101))</f>
        <v/>
      </c>
      <c r="S101">
        <f>IF($A101="","",SUMIFS(Campagne!$M$1:$M$28,Campagne!$C$1:$C$28,$A101))</f>
        <v/>
      </c>
      <c r="T101">
        <f>IF($A101="","",SUMIFS(Pilotage!$K$19:$K$32,Pilotage!$A$19:$A$32,$A101)*SUMIFS(Pilotage!$J$19:$J$32,Pilotage!$A$19:$A$32,$A101)*(SUM(Pilotage!$K$19:$K$32)/SUMPRODUCT(Pilotage!$K$19:$K$32,Pilotage!$J$19:$J$32)))</f>
        <v/>
      </c>
      <c r="U101">
        <f>IF($A101="","",SUMIFS(Pilotage!$K$19:$K$32,Pilotage!$A$19:$A$32,$A101))</f>
        <v/>
      </c>
      <c r="V101">
        <f>IF($A101="","",IF($B101="V01",Cadrage!$C$22,IF($B101="V02",Cadrage!$D$22,Cadrage!$E$22)))</f>
        <v/>
      </c>
      <c r="W101">
        <f>IF($A101="","",IF($B101="V01",Cadrage!$C$23,IF($B101="V02",Cadrage!$D$23,Cadrage!$E$23)))</f>
        <v/>
      </c>
      <c r="X101">
        <f>IF($A101="","",IF($B101="V01",Cadrage!$C$24,IF($B101="V02",Cadrage!$D$24,Cadrage!$E$24)))</f>
        <v/>
      </c>
      <c r="Y101">
        <f>IF($A101="","",IF($B101="V01",Cadrage!$C$25,IF($B101="V02",Cadrage!$D$25,Cadrage!$E$25)))</f>
        <v/>
      </c>
      <c r="Z101">
        <f>IF($A101="","",IF($B101="V01",Cadrage!$C$26,IF($B101="V02",Cadrage!$D$26,Cadrage!$E$26)))</f>
        <v/>
      </c>
      <c r="AA101">
        <f>IF($A101="","",IF($B101="V01",Cadrage!$C$27,IF($B101="V02",Cadrage!$D$27,Cadrage!$E$27)))</f>
        <v/>
      </c>
      <c r="AB101">
        <f>IF($A101="","",IF($B101="V01",Cadrage!$C$39,IF($B101="V02",Cadrage!$D$39,Cadrage!$E$39)))</f>
        <v/>
      </c>
      <c r="AC101">
        <f>IF($A101="","",IF($F101="MBWAY",Cadrage!$K$11,IF($F101="ISCOM",Cadrage!$K$12,IF($F101="IPAC",Cadrage!$K$13,IF($F101="PIGIER",Cadrage!$K$14,Cadrage!$K$15)))))</f>
        <v/>
      </c>
      <c r="AD101">
        <f>IF($A101="","",($O101*(1+$W101)^$S101+$P101*IFERROR((($T101/$U101)*(1+$V101))^$R101,0))*IFERROR($G101/$Q101,0)*($J101+$Y101)*$K101*($L101+$Z101))</f>
        <v/>
      </c>
      <c r="AE101">
        <f>IF($A101="","",IF($N101=1,$AD101,0))</f>
        <v/>
      </c>
      <c r="AF101">
        <f>IF($A101="","",IF($N101=1,$AD101,$H101*($M101+$AA101)))</f>
        <v/>
      </c>
      <c r="AG101">
        <f>IF($A101="","",$I101*(1+$X101*$AC101))</f>
        <v/>
      </c>
      <c r="AH101">
        <f>IF($A101="","",$AF101*$AG101+$AE101*$AB101)</f>
        <v/>
      </c>
    </row>
    <row r="102">
      <c r="A102">
        <f>IF(Moteur!D102="","",Moteur!D102)</f>
        <v/>
      </c>
      <c r="B102">
        <f>IF(Moteur!B102="","",Moteur!B102)</f>
        <v/>
      </c>
      <c r="C102">
        <f>IF(Moteur!F102="","",Moteur!F102)</f>
        <v/>
      </c>
      <c r="D102">
        <f>IF(Moteur!G102="","",Moteur!G102)</f>
        <v/>
      </c>
      <c r="E102">
        <f>IF(Moteur!H102="","",Moteur!H102)</f>
        <v/>
      </c>
      <c r="F102">
        <f>IF(Moteur!E102="","",Moteur!E102)</f>
        <v/>
      </c>
      <c r="G102">
        <f>IF($A102="","",SUMIFS(Socle!$H$1:$H$379,Socle!$C$1:$C$379,$A102,Socle!$D$1:$D$379,$C102,Socle!$E$1:$E$379,$D102,Socle!$F$1:$F$379,$E102,Socle!$G$1:$G$379,"2026"))</f>
        <v/>
      </c>
      <c r="H102">
        <f>IF($A102="","",SUMIFS(Socle!$N$1:$N$379,Socle!$C$1:$C$379,$A102,Socle!$D$1:$D$379,$C102,Socle!$E$1:$E$379,$D102,Socle!$F$1:$F$379,$E102,Socle!$G$1:$G$379,"2026"))</f>
        <v/>
      </c>
      <c r="I102">
        <f>IF($A102="","",SUMIFS(Socle!$P$1:$P$379,Socle!$C$1:$C$379,$A102,Socle!$D$1:$D$379,$C102,Socle!$E$1:$E$379,$D102,Socle!$F$1:$F$379,$E102,Socle!$G$1:$G$379,"2026"))</f>
        <v/>
      </c>
      <c r="J102">
        <f>IF($A102="","",SUMIFS(Socle!$W$1:$W$379,Socle!$C$1:$C$379,$A102,Socle!$D$1:$D$379,$C102,Socle!$E$1:$E$379,$D102,Socle!$F$1:$F$379,$E102,Socle!$G$1:$G$379,"2026"))</f>
        <v/>
      </c>
      <c r="K102">
        <f>IF($A102="","",SUMIFS(Socle!$X$1:$X$379,Socle!$C$1:$C$379,$A102,Socle!$D$1:$D$379,$C102,Socle!$E$1:$E$379,$D102,Socle!$F$1:$F$379,$E102,Socle!$G$1:$G$379,"2026"))</f>
        <v/>
      </c>
      <c r="L102">
        <f>IF($A102="","",SUMIFS(Socle!$Y$1:$Y$379,Socle!$C$1:$C$379,$A102,Socle!$D$1:$D$379,$C102,Socle!$E$1:$E$379,$D102,Socle!$F$1:$F$379,$E102,Socle!$G$1:$G$379,"2026"))</f>
        <v/>
      </c>
      <c r="M102">
        <f>IF($A102="","",SUMIFS(Socle!$V$1:$V$379,Socle!$C$1:$C$379,$A102,Socle!$D$1:$D$379,$C102,Socle!$E$1:$E$379,$D102,Socle!$F$1:$F$379,$E102,Socle!$G$1:$G$379,"2026"))</f>
        <v/>
      </c>
      <c r="N102">
        <f>IF($A102="","",IF(OR($D102="B1",$D102="M1",$D102="BTS1"),1,0))</f>
        <v/>
      </c>
      <c r="O102">
        <f>IF($A102="","",SUMIFS(Campagne!$D$1:$D$28,Campagne!$C$1:$C$28,$A102))</f>
        <v/>
      </c>
      <c r="P102">
        <f>IF($A102="","",SUMIFS(Campagne!$E$1:$E$28,Campagne!$C$1:$C$28,$A102))</f>
        <v/>
      </c>
      <c r="Q102">
        <f>IF($A102="","",SUMIFS(Campagne!$F$1:$F$28,Campagne!$C$1:$C$28,$A102))</f>
        <v/>
      </c>
      <c r="R102">
        <f>IF($A102="","",SUMIFS(Campagne!$K$1:$K$28,Campagne!$C$1:$C$28,$A102))</f>
        <v/>
      </c>
      <c r="S102">
        <f>IF($A102="","",SUMIFS(Campagne!$M$1:$M$28,Campagne!$C$1:$C$28,$A102))</f>
        <v/>
      </c>
      <c r="T102">
        <f>IF($A102="","",SUMIFS(Pilotage!$K$19:$K$32,Pilotage!$A$19:$A$32,$A102)*SUMIFS(Pilotage!$J$19:$J$32,Pilotage!$A$19:$A$32,$A102)*(SUM(Pilotage!$K$19:$K$32)/SUMPRODUCT(Pilotage!$K$19:$K$32,Pilotage!$J$19:$J$32)))</f>
        <v/>
      </c>
      <c r="U102">
        <f>IF($A102="","",SUMIFS(Pilotage!$K$19:$K$32,Pilotage!$A$19:$A$32,$A102))</f>
        <v/>
      </c>
      <c r="V102">
        <f>IF($A102="","",IF($B102="V01",Cadrage!$C$22,IF($B102="V02",Cadrage!$D$22,Cadrage!$E$22)))</f>
        <v/>
      </c>
      <c r="W102">
        <f>IF($A102="","",IF($B102="V01",Cadrage!$C$23,IF($B102="V02",Cadrage!$D$23,Cadrage!$E$23)))</f>
        <v/>
      </c>
      <c r="X102">
        <f>IF($A102="","",IF($B102="V01",Cadrage!$C$24,IF($B102="V02",Cadrage!$D$24,Cadrage!$E$24)))</f>
        <v/>
      </c>
      <c r="Y102">
        <f>IF($A102="","",IF($B102="V01",Cadrage!$C$25,IF($B102="V02",Cadrage!$D$25,Cadrage!$E$25)))</f>
        <v/>
      </c>
      <c r="Z102">
        <f>IF($A102="","",IF($B102="V01",Cadrage!$C$26,IF($B102="V02",Cadrage!$D$26,Cadrage!$E$26)))</f>
        <v/>
      </c>
      <c r="AA102">
        <f>IF($A102="","",IF($B102="V01",Cadrage!$C$27,IF($B102="V02",Cadrage!$D$27,Cadrage!$E$27)))</f>
        <v/>
      </c>
      <c r="AB102">
        <f>IF($A102="","",IF($B102="V01",Cadrage!$C$39,IF($B102="V02",Cadrage!$D$39,Cadrage!$E$39)))</f>
        <v/>
      </c>
      <c r="AC102">
        <f>IF($A102="","",IF($F102="MBWAY",Cadrage!$K$11,IF($F102="ISCOM",Cadrage!$K$12,IF($F102="IPAC",Cadrage!$K$13,IF($F102="PIGIER",Cadrage!$K$14,Cadrage!$K$15)))))</f>
        <v/>
      </c>
      <c r="AD102">
        <f>IF($A102="","",($O102*(1+$W102)^$S102+$P102*IFERROR((($T102/$U102)*(1+$V102))^$R102,0))*IFERROR($G102/$Q102,0)*($J102+$Y102)*$K102*($L102+$Z102))</f>
        <v/>
      </c>
      <c r="AE102">
        <f>IF($A102="","",IF($N102=1,$AD102,0))</f>
        <v/>
      </c>
      <c r="AF102">
        <f>IF($A102="","",IF($N102=1,$AD102,$H102*($M102+$AA102)))</f>
        <v/>
      </c>
      <c r="AG102">
        <f>IF($A102="","",$I102*(1+$X102*$AC102))</f>
        <v/>
      </c>
      <c r="AH102">
        <f>IF($A102="","",$AF102*$AG102+$AE102*$AB102)</f>
        <v/>
      </c>
    </row>
    <row r="103">
      <c r="A103">
        <f>IF(Moteur!D103="","",Moteur!D103)</f>
        <v/>
      </c>
      <c r="B103">
        <f>IF(Moteur!B103="","",Moteur!B103)</f>
        <v/>
      </c>
      <c r="C103">
        <f>IF(Moteur!F103="","",Moteur!F103)</f>
        <v/>
      </c>
      <c r="D103">
        <f>IF(Moteur!G103="","",Moteur!G103)</f>
        <v/>
      </c>
      <c r="E103">
        <f>IF(Moteur!H103="","",Moteur!H103)</f>
        <v/>
      </c>
      <c r="F103">
        <f>IF(Moteur!E103="","",Moteur!E103)</f>
        <v/>
      </c>
      <c r="G103">
        <f>IF($A103="","",SUMIFS(Socle!$H$1:$H$379,Socle!$C$1:$C$379,$A103,Socle!$D$1:$D$379,$C103,Socle!$E$1:$E$379,$D103,Socle!$F$1:$F$379,$E103,Socle!$G$1:$G$379,"2026"))</f>
        <v/>
      </c>
      <c r="H103">
        <f>IF($A103="","",SUMIFS(Socle!$N$1:$N$379,Socle!$C$1:$C$379,$A103,Socle!$D$1:$D$379,$C103,Socle!$E$1:$E$379,$D103,Socle!$F$1:$F$379,$E103,Socle!$G$1:$G$379,"2026"))</f>
        <v/>
      </c>
      <c r="I103">
        <f>IF($A103="","",SUMIFS(Socle!$P$1:$P$379,Socle!$C$1:$C$379,$A103,Socle!$D$1:$D$379,$C103,Socle!$E$1:$E$379,$D103,Socle!$F$1:$F$379,$E103,Socle!$G$1:$G$379,"2026"))</f>
        <v/>
      </c>
      <c r="J103">
        <f>IF($A103="","",SUMIFS(Socle!$W$1:$W$379,Socle!$C$1:$C$379,$A103,Socle!$D$1:$D$379,$C103,Socle!$E$1:$E$379,$D103,Socle!$F$1:$F$379,$E103,Socle!$G$1:$G$379,"2026"))</f>
        <v/>
      </c>
      <c r="K103">
        <f>IF($A103="","",SUMIFS(Socle!$X$1:$X$379,Socle!$C$1:$C$379,$A103,Socle!$D$1:$D$379,$C103,Socle!$E$1:$E$379,$D103,Socle!$F$1:$F$379,$E103,Socle!$G$1:$G$379,"2026"))</f>
        <v/>
      </c>
      <c r="L103">
        <f>IF($A103="","",SUMIFS(Socle!$Y$1:$Y$379,Socle!$C$1:$C$379,$A103,Socle!$D$1:$D$379,$C103,Socle!$E$1:$E$379,$D103,Socle!$F$1:$F$379,$E103,Socle!$G$1:$G$379,"2026"))</f>
        <v/>
      </c>
      <c r="M103">
        <f>IF($A103="","",SUMIFS(Socle!$V$1:$V$379,Socle!$C$1:$C$379,$A103,Socle!$D$1:$D$379,$C103,Socle!$E$1:$E$379,$D103,Socle!$F$1:$F$379,$E103,Socle!$G$1:$G$379,"2026"))</f>
        <v/>
      </c>
      <c r="N103">
        <f>IF($A103="","",IF(OR($D103="B1",$D103="M1",$D103="BTS1"),1,0))</f>
        <v/>
      </c>
      <c r="O103">
        <f>IF($A103="","",SUMIFS(Campagne!$D$1:$D$28,Campagne!$C$1:$C$28,$A103))</f>
        <v/>
      </c>
      <c r="P103">
        <f>IF($A103="","",SUMIFS(Campagne!$E$1:$E$28,Campagne!$C$1:$C$28,$A103))</f>
        <v/>
      </c>
      <c r="Q103">
        <f>IF($A103="","",SUMIFS(Campagne!$F$1:$F$28,Campagne!$C$1:$C$28,$A103))</f>
        <v/>
      </c>
      <c r="R103">
        <f>IF($A103="","",SUMIFS(Campagne!$K$1:$K$28,Campagne!$C$1:$C$28,$A103))</f>
        <v/>
      </c>
      <c r="S103">
        <f>IF($A103="","",SUMIFS(Campagne!$M$1:$M$28,Campagne!$C$1:$C$28,$A103))</f>
        <v/>
      </c>
      <c r="T103">
        <f>IF($A103="","",SUMIFS(Pilotage!$K$19:$K$32,Pilotage!$A$19:$A$32,$A103)*SUMIFS(Pilotage!$J$19:$J$32,Pilotage!$A$19:$A$32,$A103)*(SUM(Pilotage!$K$19:$K$32)/SUMPRODUCT(Pilotage!$K$19:$K$32,Pilotage!$J$19:$J$32)))</f>
        <v/>
      </c>
      <c r="U103">
        <f>IF($A103="","",SUMIFS(Pilotage!$K$19:$K$32,Pilotage!$A$19:$A$32,$A103))</f>
        <v/>
      </c>
      <c r="V103">
        <f>IF($A103="","",IF($B103="V01",Cadrage!$C$22,IF($B103="V02",Cadrage!$D$22,Cadrage!$E$22)))</f>
        <v/>
      </c>
      <c r="W103">
        <f>IF($A103="","",IF($B103="V01",Cadrage!$C$23,IF($B103="V02",Cadrage!$D$23,Cadrage!$E$23)))</f>
        <v/>
      </c>
      <c r="X103">
        <f>IF($A103="","",IF($B103="V01",Cadrage!$C$24,IF($B103="V02",Cadrage!$D$24,Cadrage!$E$24)))</f>
        <v/>
      </c>
      <c r="Y103">
        <f>IF($A103="","",IF($B103="V01",Cadrage!$C$25,IF($B103="V02",Cadrage!$D$25,Cadrage!$E$25)))</f>
        <v/>
      </c>
      <c r="Z103">
        <f>IF($A103="","",IF($B103="V01",Cadrage!$C$26,IF($B103="V02",Cadrage!$D$26,Cadrage!$E$26)))</f>
        <v/>
      </c>
      <c r="AA103">
        <f>IF($A103="","",IF($B103="V01",Cadrage!$C$27,IF($B103="V02",Cadrage!$D$27,Cadrage!$E$27)))</f>
        <v/>
      </c>
      <c r="AB103">
        <f>IF($A103="","",IF($B103="V01",Cadrage!$C$39,IF($B103="V02",Cadrage!$D$39,Cadrage!$E$39)))</f>
        <v/>
      </c>
      <c r="AC103">
        <f>IF($A103="","",IF($F103="MBWAY",Cadrage!$K$11,IF($F103="ISCOM",Cadrage!$K$12,IF($F103="IPAC",Cadrage!$K$13,IF($F103="PIGIER",Cadrage!$K$14,Cadrage!$K$15)))))</f>
        <v/>
      </c>
      <c r="AD103">
        <f>IF($A103="","",($O103*(1+$W103)^$S103+$P103*IFERROR((($T103/$U103)*(1+$V103))^$R103,0))*IFERROR($G103/$Q103,0)*($J103+$Y103)*$K103*($L103+$Z103))</f>
        <v/>
      </c>
      <c r="AE103">
        <f>IF($A103="","",IF($N103=1,$AD103,0))</f>
        <v/>
      </c>
      <c r="AF103">
        <f>IF($A103="","",IF($N103=1,$AD103,$H103*($M103+$AA103)))</f>
        <v/>
      </c>
      <c r="AG103">
        <f>IF($A103="","",$I103*(1+$X103*$AC103))</f>
        <v/>
      </c>
      <c r="AH103">
        <f>IF($A103="","",$AF103*$AG103+$AE103*$AB103)</f>
        <v/>
      </c>
    </row>
    <row r="104">
      <c r="A104">
        <f>IF(Moteur!D104="","",Moteur!D104)</f>
        <v/>
      </c>
      <c r="B104">
        <f>IF(Moteur!B104="","",Moteur!B104)</f>
        <v/>
      </c>
      <c r="C104">
        <f>IF(Moteur!F104="","",Moteur!F104)</f>
        <v/>
      </c>
      <c r="D104">
        <f>IF(Moteur!G104="","",Moteur!G104)</f>
        <v/>
      </c>
      <c r="E104">
        <f>IF(Moteur!H104="","",Moteur!H104)</f>
        <v/>
      </c>
      <c r="F104">
        <f>IF(Moteur!E104="","",Moteur!E104)</f>
        <v/>
      </c>
      <c r="G104">
        <f>IF($A104="","",SUMIFS(Socle!$H$1:$H$379,Socle!$C$1:$C$379,$A104,Socle!$D$1:$D$379,$C104,Socle!$E$1:$E$379,$D104,Socle!$F$1:$F$379,$E104,Socle!$G$1:$G$379,"2026"))</f>
        <v/>
      </c>
      <c r="H104">
        <f>IF($A104="","",SUMIFS(Socle!$N$1:$N$379,Socle!$C$1:$C$379,$A104,Socle!$D$1:$D$379,$C104,Socle!$E$1:$E$379,$D104,Socle!$F$1:$F$379,$E104,Socle!$G$1:$G$379,"2026"))</f>
        <v/>
      </c>
      <c r="I104">
        <f>IF($A104="","",SUMIFS(Socle!$P$1:$P$379,Socle!$C$1:$C$379,$A104,Socle!$D$1:$D$379,$C104,Socle!$E$1:$E$379,$D104,Socle!$F$1:$F$379,$E104,Socle!$G$1:$G$379,"2026"))</f>
        <v/>
      </c>
      <c r="J104">
        <f>IF($A104="","",SUMIFS(Socle!$W$1:$W$379,Socle!$C$1:$C$379,$A104,Socle!$D$1:$D$379,$C104,Socle!$E$1:$E$379,$D104,Socle!$F$1:$F$379,$E104,Socle!$G$1:$G$379,"2026"))</f>
        <v/>
      </c>
      <c r="K104">
        <f>IF($A104="","",SUMIFS(Socle!$X$1:$X$379,Socle!$C$1:$C$379,$A104,Socle!$D$1:$D$379,$C104,Socle!$E$1:$E$379,$D104,Socle!$F$1:$F$379,$E104,Socle!$G$1:$G$379,"2026"))</f>
        <v/>
      </c>
      <c r="L104">
        <f>IF($A104="","",SUMIFS(Socle!$Y$1:$Y$379,Socle!$C$1:$C$379,$A104,Socle!$D$1:$D$379,$C104,Socle!$E$1:$E$379,$D104,Socle!$F$1:$F$379,$E104,Socle!$G$1:$G$379,"2026"))</f>
        <v/>
      </c>
      <c r="M104">
        <f>IF($A104="","",SUMIFS(Socle!$V$1:$V$379,Socle!$C$1:$C$379,$A104,Socle!$D$1:$D$379,$C104,Socle!$E$1:$E$379,$D104,Socle!$F$1:$F$379,$E104,Socle!$G$1:$G$379,"2026"))</f>
        <v/>
      </c>
      <c r="N104">
        <f>IF($A104="","",IF(OR($D104="B1",$D104="M1",$D104="BTS1"),1,0))</f>
        <v/>
      </c>
      <c r="O104">
        <f>IF($A104="","",SUMIFS(Campagne!$D$1:$D$28,Campagne!$C$1:$C$28,$A104))</f>
        <v/>
      </c>
      <c r="P104">
        <f>IF($A104="","",SUMIFS(Campagne!$E$1:$E$28,Campagne!$C$1:$C$28,$A104))</f>
        <v/>
      </c>
      <c r="Q104">
        <f>IF($A104="","",SUMIFS(Campagne!$F$1:$F$28,Campagne!$C$1:$C$28,$A104))</f>
        <v/>
      </c>
      <c r="R104">
        <f>IF($A104="","",SUMIFS(Campagne!$K$1:$K$28,Campagne!$C$1:$C$28,$A104))</f>
        <v/>
      </c>
      <c r="S104">
        <f>IF($A104="","",SUMIFS(Campagne!$M$1:$M$28,Campagne!$C$1:$C$28,$A104))</f>
        <v/>
      </c>
      <c r="T104">
        <f>IF($A104="","",SUMIFS(Pilotage!$K$19:$K$32,Pilotage!$A$19:$A$32,$A104)*SUMIFS(Pilotage!$J$19:$J$32,Pilotage!$A$19:$A$32,$A104)*(SUM(Pilotage!$K$19:$K$32)/SUMPRODUCT(Pilotage!$K$19:$K$32,Pilotage!$J$19:$J$32)))</f>
        <v/>
      </c>
      <c r="U104">
        <f>IF($A104="","",SUMIFS(Pilotage!$K$19:$K$32,Pilotage!$A$19:$A$32,$A104))</f>
        <v/>
      </c>
      <c r="V104">
        <f>IF($A104="","",IF($B104="V01",Cadrage!$C$22,IF($B104="V02",Cadrage!$D$22,Cadrage!$E$22)))</f>
        <v/>
      </c>
      <c r="W104">
        <f>IF($A104="","",IF($B104="V01",Cadrage!$C$23,IF($B104="V02",Cadrage!$D$23,Cadrage!$E$23)))</f>
        <v/>
      </c>
      <c r="X104">
        <f>IF($A104="","",IF($B104="V01",Cadrage!$C$24,IF($B104="V02",Cadrage!$D$24,Cadrage!$E$24)))</f>
        <v/>
      </c>
      <c r="Y104">
        <f>IF($A104="","",IF($B104="V01",Cadrage!$C$25,IF($B104="V02",Cadrage!$D$25,Cadrage!$E$25)))</f>
        <v/>
      </c>
      <c r="Z104">
        <f>IF($A104="","",IF($B104="V01",Cadrage!$C$26,IF($B104="V02",Cadrage!$D$26,Cadrage!$E$26)))</f>
        <v/>
      </c>
      <c r="AA104">
        <f>IF($A104="","",IF($B104="V01",Cadrage!$C$27,IF($B104="V02",Cadrage!$D$27,Cadrage!$E$27)))</f>
        <v/>
      </c>
      <c r="AB104">
        <f>IF($A104="","",IF($B104="V01",Cadrage!$C$39,IF($B104="V02",Cadrage!$D$39,Cadrage!$E$39)))</f>
        <v/>
      </c>
      <c r="AC104">
        <f>IF($A104="","",IF($F104="MBWAY",Cadrage!$K$11,IF($F104="ISCOM",Cadrage!$K$12,IF($F104="IPAC",Cadrage!$K$13,IF($F104="PIGIER",Cadrage!$K$14,Cadrage!$K$15)))))</f>
        <v/>
      </c>
      <c r="AD104">
        <f>IF($A104="","",($O104*(1+$W104)^$S104+$P104*IFERROR((($T104/$U104)*(1+$V104))^$R104,0))*IFERROR($G104/$Q104,0)*($J104+$Y104)*$K104*($L104+$Z104))</f>
        <v/>
      </c>
      <c r="AE104">
        <f>IF($A104="","",IF($N104=1,$AD104,0))</f>
        <v/>
      </c>
      <c r="AF104">
        <f>IF($A104="","",IF($N104=1,$AD104,$H104*($M104+$AA104)))</f>
        <v/>
      </c>
      <c r="AG104">
        <f>IF($A104="","",$I104*(1+$X104*$AC104))</f>
        <v/>
      </c>
      <c r="AH104">
        <f>IF($A104="","",$AF104*$AG104+$AE104*$AB104)</f>
        <v/>
      </c>
    </row>
    <row r="105">
      <c r="A105">
        <f>IF(Moteur!D105="","",Moteur!D105)</f>
        <v/>
      </c>
      <c r="B105">
        <f>IF(Moteur!B105="","",Moteur!B105)</f>
        <v/>
      </c>
      <c r="C105">
        <f>IF(Moteur!F105="","",Moteur!F105)</f>
        <v/>
      </c>
      <c r="D105">
        <f>IF(Moteur!G105="","",Moteur!G105)</f>
        <v/>
      </c>
      <c r="E105">
        <f>IF(Moteur!H105="","",Moteur!H105)</f>
        <v/>
      </c>
      <c r="F105">
        <f>IF(Moteur!E105="","",Moteur!E105)</f>
        <v/>
      </c>
      <c r="G105">
        <f>IF($A105="","",SUMIFS(Socle!$H$1:$H$379,Socle!$C$1:$C$379,$A105,Socle!$D$1:$D$379,$C105,Socle!$E$1:$E$379,$D105,Socle!$F$1:$F$379,$E105,Socle!$G$1:$G$379,"2026"))</f>
        <v/>
      </c>
      <c r="H105">
        <f>IF($A105="","",SUMIFS(Socle!$N$1:$N$379,Socle!$C$1:$C$379,$A105,Socle!$D$1:$D$379,$C105,Socle!$E$1:$E$379,$D105,Socle!$F$1:$F$379,$E105,Socle!$G$1:$G$379,"2026"))</f>
        <v/>
      </c>
      <c r="I105">
        <f>IF($A105="","",SUMIFS(Socle!$P$1:$P$379,Socle!$C$1:$C$379,$A105,Socle!$D$1:$D$379,$C105,Socle!$E$1:$E$379,$D105,Socle!$F$1:$F$379,$E105,Socle!$G$1:$G$379,"2026"))</f>
        <v/>
      </c>
      <c r="J105">
        <f>IF($A105="","",SUMIFS(Socle!$W$1:$W$379,Socle!$C$1:$C$379,$A105,Socle!$D$1:$D$379,$C105,Socle!$E$1:$E$379,$D105,Socle!$F$1:$F$379,$E105,Socle!$G$1:$G$379,"2026"))</f>
        <v/>
      </c>
      <c r="K105">
        <f>IF($A105="","",SUMIFS(Socle!$X$1:$X$379,Socle!$C$1:$C$379,$A105,Socle!$D$1:$D$379,$C105,Socle!$E$1:$E$379,$D105,Socle!$F$1:$F$379,$E105,Socle!$G$1:$G$379,"2026"))</f>
        <v/>
      </c>
      <c r="L105">
        <f>IF($A105="","",SUMIFS(Socle!$Y$1:$Y$379,Socle!$C$1:$C$379,$A105,Socle!$D$1:$D$379,$C105,Socle!$E$1:$E$379,$D105,Socle!$F$1:$F$379,$E105,Socle!$G$1:$G$379,"2026"))</f>
        <v/>
      </c>
      <c r="M105">
        <f>IF($A105="","",SUMIFS(Socle!$V$1:$V$379,Socle!$C$1:$C$379,$A105,Socle!$D$1:$D$379,$C105,Socle!$E$1:$E$379,$D105,Socle!$F$1:$F$379,$E105,Socle!$G$1:$G$379,"2026"))</f>
        <v/>
      </c>
      <c r="N105">
        <f>IF($A105="","",IF(OR($D105="B1",$D105="M1",$D105="BTS1"),1,0))</f>
        <v/>
      </c>
      <c r="O105">
        <f>IF($A105="","",SUMIFS(Campagne!$D$1:$D$28,Campagne!$C$1:$C$28,$A105))</f>
        <v/>
      </c>
      <c r="P105">
        <f>IF($A105="","",SUMIFS(Campagne!$E$1:$E$28,Campagne!$C$1:$C$28,$A105))</f>
        <v/>
      </c>
      <c r="Q105">
        <f>IF($A105="","",SUMIFS(Campagne!$F$1:$F$28,Campagne!$C$1:$C$28,$A105))</f>
        <v/>
      </c>
      <c r="R105">
        <f>IF($A105="","",SUMIFS(Campagne!$K$1:$K$28,Campagne!$C$1:$C$28,$A105))</f>
        <v/>
      </c>
      <c r="S105">
        <f>IF($A105="","",SUMIFS(Campagne!$M$1:$M$28,Campagne!$C$1:$C$28,$A105))</f>
        <v/>
      </c>
      <c r="T105">
        <f>IF($A105="","",SUMIFS(Pilotage!$K$19:$K$32,Pilotage!$A$19:$A$32,$A105)*SUMIFS(Pilotage!$J$19:$J$32,Pilotage!$A$19:$A$32,$A105)*(SUM(Pilotage!$K$19:$K$32)/SUMPRODUCT(Pilotage!$K$19:$K$32,Pilotage!$J$19:$J$32)))</f>
        <v/>
      </c>
      <c r="U105">
        <f>IF($A105="","",SUMIFS(Pilotage!$K$19:$K$32,Pilotage!$A$19:$A$32,$A105))</f>
        <v/>
      </c>
      <c r="V105">
        <f>IF($A105="","",IF($B105="V01",Cadrage!$C$22,IF($B105="V02",Cadrage!$D$22,Cadrage!$E$22)))</f>
        <v/>
      </c>
      <c r="W105">
        <f>IF($A105="","",IF($B105="V01",Cadrage!$C$23,IF($B105="V02",Cadrage!$D$23,Cadrage!$E$23)))</f>
        <v/>
      </c>
      <c r="X105">
        <f>IF($A105="","",IF($B105="V01",Cadrage!$C$24,IF($B105="V02",Cadrage!$D$24,Cadrage!$E$24)))</f>
        <v/>
      </c>
      <c r="Y105">
        <f>IF($A105="","",IF($B105="V01",Cadrage!$C$25,IF($B105="V02",Cadrage!$D$25,Cadrage!$E$25)))</f>
        <v/>
      </c>
      <c r="Z105">
        <f>IF($A105="","",IF($B105="V01",Cadrage!$C$26,IF($B105="V02",Cadrage!$D$26,Cadrage!$E$26)))</f>
        <v/>
      </c>
      <c r="AA105">
        <f>IF($A105="","",IF($B105="V01",Cadrage!$C$27,IF($B105="V02",Cadrage!$D$27,Cadrage!$E$27)))</f>
        <v/>
      </c>
      <c r="AB105">
        <f>IF($A105="","",IF($B105="V01",Cadrage!$C$39,IF($B105="V02",Cadrage!$D$39,Cadrage!$E$39)))</f>
        <v/>
      </c>
      <c r="AC105">
        <f>IF($A105="","",IF($F105="MBWAY",Cadrage!$K$11,IF($F105="ISCOM",Cadrage!$K$12,IF($F105="IPAC",Cadrage!$K$13,IF($F105="PIGIER",Cadrage!$K$14,Cadrage!$K$15)))))</f>
        <v/>
      </c>
      <c r="AD105">
        <f>IF($A105="","",($O105*(1+$W105)^$S105+$P105*IFERROR((($T105/$U105)*(1+$V105))^$R105,0))*IFERROR($G105/$Q105,0)*($J105+$Y105)*$K105*($L105+$Z105))</f>
        <v/>
      </c>
      <c r="AE105">
        <f>IF($A105="","",IF($N105=1,$AD105,0))</f>
        <v/>
      </c>
      <c r="AF105">
        <f>IF($A105="","",IF($N105=1,$AD105,$H105*($M105+$AA105)))</f>
        <v/>
      </c>
      <c r="AG105">
        <f>IF($A105="","",$I105*(1+$X105*$AC105))</f>
        <v/>
      </c>
      <c r="AH105">
        <f>IF($A105="","",$AF105*$AG105+$AE105*$AB105)</f>
        <v/>
      </c>
    </row>
    <row r="106">
      <c r="A106">
        <f>IF(Moteur!D106="","",Moteur!D106)</f>
        <v/>
      </c>
      <c r="B106">
        <f>IF(Moteur!B106="","",Moteur!B106)</f>
        <v/>
      </c>
      <c r="C106">
        <f>IF(Moteur!F106="","",Moteur!F106)</f>
        <v/>
      </c>
      <c r="D106">
        <f>IF(Moteur!G106="","",Moteur!G106)</f>
        <v/>
      </c>
      <c r="E106">
        <f>IF(Moteur!H106="","",Moteur!H106)</f>
        <v/>
      </c>
      <c r="F106">
        <f>IF(Moteur!E106="","",Moteur!E106)</f>
        <v/>
      </c>
      <c r="G106">
        <f>IF($A106="","",SUMIFS(Socle!$H$1:$H$379,Socle!$C$1:$C$379,$A106,Socle!$D$1:$D$379,$C106,Socle!$E$1:$E$379,$D106,Socle!$F$1:$F$379,$E106,Socle!$G$1:$G$379,"2026"))</f>
        <v/>
      </c>
      <c r="H106">
        <f>IF($A106="","",SUMIFS(Socle!$N$1:$N$379,Socle!$C$1:$C$379,$A106,Socle!$D$1:$D$379,$C106,Socle!$E$1:$E$379,$D106,Socle!$F$1:$F$379,$E106,Socle!$G$1:$G$379,"2026"))</f>
        <v/>
      </c>
      <c r="I106">
        <f>IF($A106="","",SUMIFS(Socle!$P$1:$P$379,Socle!$C$1:$C$379,$A106,Socle!$D$1:$D$379,$C106,Socle!$E$1:$E$379,$D106,Socle!$F$1:$F$379,$E106,Socle!$G$1:$G$379,"2026"))</f>
        <v/>
      </c>
      <c r="J106">
        <f>IF($A106="","",SUMIFS(Socle!$W$1:$W$379,Socle!$C$1:$C$379,$A106,Socle!$D$1:$D$379,$C106,Socle!$E$1:$E$379,$D106,Socle!$F$1:$F$379,$E106,Socle!$G$1:$G$379,"2026"))</f>
        <v/>
      </c>
      <c r="K106">
        <f>IF($A106="","",SUMIFS(Socle!$X$1:$X$379,Socle!$C$1:$C$379,$A106,Socle!$D$1:$D$379,$C106,Socle!$E$1:$E$379,$D106,Socle!$F$1:$F$379,$E106,Socle!$G$1:$G$379,"2026"))</f>
        <v/>
      </c>
      <c r="L106">
        <f>IF($A106="","",SUMIFS(Socle!$Y$1:$Y$379,Socle!$C$1:$C$379,$A106,Socle!$D$1:$D$379,$C106,Socle!$E$1:$E$379,$D106,Socle!$F$1:$F$379,$E106,Socle!$G$1:$G$379,"2026"))</f>
        <v/>
      </c>
      <c r="M106">
        <f>IF($A106="","",SUMIFS(Socle!$V$1:$V$379,Socle!$C$1:$C$379,$A106,Socle!$D$1:$D$379,$C106,Socle!$E$1:$E$379,$D106,Socle!$F$1:$F$379,$E106,Socle!$G$1:$G$379,"2026"))</f>
        <v/>
      </c>
      <c r="N106">
        <f>IF($A106="","",IF(OR($D106="B1",$D106="M1",$D106="BTS1"),1,0))</f>
        <v/>
      </c>
      <c r="O106">
        <f>IF($A106="","",SUMIFS(Campagne!$D$1:$D$28,Campagne!$C$1:$C$28,$A106))</f>
        <v/>
      </c>
      <c r="P106">
        <f>IF($A106="","",SUMIFS(Campagne!$E$1:$E$28,Campagne!$C$1:$C$28,$A106))</f>
        <v/>
      </c>
      <c r="Q106">
        <f>IF($A106="","",SUMIFS(Campagne!$F$1:$F$28,Campagne!$C$1:$C$28,$A106))</f>
        <v/>
      </c>
      <c r="R106">
        <f>IF($A106="","",SUMIFS(Campagne!$K$1:$K$28,Campagne!$C$1:$C$28,$A106))</f>
        <v/>
      </c>
      <c r="S106">
        <f>IF($A106="","",SUMIFS(Campagne!$M$1:$M$28,Campagne!$C$1:$C$28,$A106))</f>
        <v/>
      </c>
      <c r="T106">
        <f>IF($A106="","",SUMIFS(Pilotage!$K$19:$K$32,Pilotage!$A$19:$A$32,$A106)*SUMIFS(Pilotage!$J$19:$J$32,Pilotage!$A$19:$A$32,$A106)*(SUM(Pilotage!$K$19:$K$32)/SUMPRODUCT(Pilotage!$K$19:$K$32,Pilotage!$J$19:$J$32)))</f>
        <v/>
      </c>
      <c r="U106">
        <f>IF($A106="","",SUMIFS(Pilotage!$K$19:$K$32,Pilotage!$A$19:$A$32,$A106))</f>
        <v/>
      </c>
      <c r="V106">
        <f>IF($A106="","",IF($B106="V01",Cadrage!$C$22,IF($B106="V02",Cadrage!$D$22,Cadrage!$E$22)))</f>
        <v/>
      </c>
      <c r="W106">
        <f>IF($A106="","",IF($B106="V01",Cadrage!$C$23,IF($B106="V02",Cadrage!$D$23,Cadrage!$E$23)))</f>
        <v/>
      </c>
      <c r="X106">
        <f>IF($A106="","",IF($B106="V01",Cadrage!$C$24,IF($B106="V02",Cadrage!$D$24,Cadrage!$E$24)))</f>
        <v/>
      </c>
      <c r="Y106">
        <f>IF($A106="","",IF($B106="V01",Cadrage!$C$25,IF($B106="V02",Cadrage!$D$25,Cadrage!$E$25)))</f>
        <v/>
      </c>
      <c r="Z106">
        <f>IF($A106="","",IF($B106="V01",Cadrage!$C$26,IF($B106="V02",Cadrage!$D$26,Cadrage!$E$26)))</f>
        <v/>
      </c>
      <c r="AA106">
        <f>IF($A106="","",IF($B106="V01",Cadrage!$C$27,IF($B106="V02",Cadrage!$D$27,Cadrage!$E$27)))</f>
        <v/>
      </c>
      <c r="AB106">
        <f>IF($A106="","",IF($B106="V01",Cadrage!$C$39,IF($B106="V02",Cadrage!$D$39,Cadrage!$E$39)))</f>
        <v/>
      </c>
      <c r="AC106">
        <f>IF($A106="","",IF($F106="MBWAY",Cadrage!$K$11,IF($F106="ISCOM",Cadrage!$K$12,IF($F106="IPAC",Cadrage!$K$13,IF($F106="PIGIER",Cadrage!$K$14,Cadrage!$K$15)))))</f>
        <v/>
      </c>
      <c r="AD106">
        <f>IF($A106="","",($O106*(1+$W106)^$S106+$P106*IFERROR((($T106/$U106)*(1+$V106))^$R106,0))*IFERROR($G106/$Q106,0)*($J106+$Y106)*$K106*($L106+$Z106))</f>
        <v/>
      </c>
      <c r="AE106">
        <f>IF($A106="","",IF($N106=1,$AD106,0))</f>
        <v/>
      </c>
      <c r="AF106">
        <f>IF($A106="","",IF($N106=1,$AD106,$H106*($M106+$AA106)))</f>
        <v/>
      </c>
      <c r="AG106">
        <f>IF($A106="","",$I106*(1+$X106*$AC106))</f>
        <v/>
      </c>
      <c r="AH106">
        <f>IF($A106="","",$AF106*$AG106+$AE106*$AB106)</f>
        <v/>
      </c>
    </row>
    <row r="107">
      <c r="A107">
        <f>IF(Moteur!D107="","",Moteur!D107)</f>
        <v/>
      </c>
      <c r="B107">
        <f>IF(Moteur!B107="","",Moteur!B107)</f>
        <v/>
      </c>
      <c r="C107">
        <f>IF(Moteur!F107="","",Moteur!F107)</f>
        <v/>
      </c>
      <c r="D107">
        <f>IF(Moteur!G107="","",Moteur!G107)</f>
        <v/>
      </c>
      <c r="E107">
        <f>IF(Moteur!H107="","",Moteur!H107)</f>
        <v/>
      </c>
      <c r="F107">
        <f>IF(Moteur!E107="","",Moteur!E107)</f>
        <v/>
      </c>
      <c r="G107">
        <f>IF($A107="","",SUMIFS(Socle!$H$1:$H$379,Socle!$C$1:$C$379,$A107,Socle!$D$1:$D$379,$C107,Socle!$E$1:$E$379,$D107,Socle!$F$1:$F$379,$E107,Socle!$G$1:$G$379,"2026"))</f>
        <v/>
      </c>
      <c r="H107">
        <f>IF($A107="","",SUMIFS(Socle!$N$1:$N$379,Socle!$C$1:$C$379,$A107,Socle!$D$1:$D$379,$C107,Socle!$E$1:$E$379,$D107,Socle!$F$1:$F$379,$E107,Socle!$G$1:$G$379,"2026"))</f>
        <v/>
      </c>
      <c r="I107">
        <f>IF($A107="","",SUMIFS(Socle!$P$1:$P$379,Socle!$C$1:$C$379,$A107,Socle!$D$1:$D$379,$C107,Socle!$E$1:$E$379,$D107,Socle!$F$1:$F$379,$E107,Socle!$G$1:$G$379,"2026"))</f>
        <v/>
      </c>
      <c r="J107">
        <f>IF($A107="","",SUMIFS(Socle!$W$1:$W$379,Socle!$C$1:$C$379,$A107,Socle!$D$1:$D$379,$C107,Socle!$E$1:$E$379,$D107,Socle!$F$1:$F$379,$E107,Socle!$G$1:$G$379,"2026"))</f>
        <v/>
      </c>
      <c r="K107">
        <f>IF($A107="","",SUMIFS(Socle!$X$1:$X$379,Socle!$C$1:$C$379,$A107,Socle!$D$1:$D$379,$C107,Socle!$E$1:$E$379,$D107,Socle!$F$1:$F$379,$E107,Socle!$G$1:$G$379,"2026"))</f>
        <v/>
      </c>
      <c r="L107">
        <f>IF($A107="","",SUMIFS(Socle!$Y$1:$Y$379,Socle!$C$1:$C$379,$A107,Socle!$D$1:$D$379,$C107,Socle!$E$1:$E$379,$D107,Socle!$F$1:$F$379,$E107,Socle!$G$1:$G$379,"2026"))</f>
        <v/>
      </c>
      <c r="M107">
        <f>IF($A107="","",SUMIFS(Socle!$V$1:$V$379,Socle!$C$1:$C$379,$A107,Socle!$D$1:$D$379,$C107,Socle!$E$1:$E$379,$D107,Socle!$F$1:$F$379,$E107,Socle!$G$1:$G$379,"2026"))</f>
        <v/>
      </c>
      <c r="N107">
        <f>IF($A107="","",IF(OR($D107="B1",$D107="M1",$D107="BTS1"),1,0))</f>
        <v/>
      </c>
      <c r="O107">
        <f>IF($A107="","",SUMIFS(Campagne!$D$1:$D$28,Campagne!$C$1:$C$28,$A107))</f>
        <v/>
      </c>
      <c r="P107">
        <f>IF($A107="","",SUMIFS(Campagne!$E$1:$E$28,Campagne!$C$1:$C$28,$A107))</f>
        <v/>
      </c>
      <c r="Q107">
        <f>IF($A107="","",SUMIFS(Campagne!$F$1:$F$28,Campagne!$C$1:$C$28,$A107))</f>
        <v/>
      </c>
      <c r="R107">
        <f>IF($A107="","",SUMIFS(Campagne!$K$1:$K$28,Campagne!$C$1:$C$28,$A107))</f>
        <v/>
      </c>
      <c r="S107">
        <f>IF($A107="","",SUMIFS(Campagne!$M$1:$M$28,Campagne!$C$1:$C$28,$A107))</f>
        <v/>
      </c>
      <c r="T107">
        <f>IF($A107="","",SUMIFS(Pilotage!$K$19:$K$32,Pilotage!$A$19:$A$32,$A107)*SUMIFS(Pilotage!$J$19:$J$32,Pilotage!$A$19:$A$32,$A107)*(SUM(Pilotage!$K$19:$K$32)/SUMPRODUCT(Pilotage!$K$19:$K$32,Pilotage!$J$19:$J$32)))</f>
        <v/>
      </c>
      <c r="U107">
        <f>IF($A107="","",SUMIFS(Pilotage!$K$19:$K$32,Pilotage!$A$19:$A$32,$A107))</f>
        <v/>
      </c>
      <c r="V107">
        <f>IF($A107="","",IF($B107="V01",Cadrage!$C$22,IF($B107="V02",Cadrage!$D$22,Cadrage!$E$22)))</f>
        <v/>
      </c>
      <c r="W107">
        <f>IF($A107="","",IF($B107="V01",Cadrage!$C$23,IF($B107="V02",Cadrage!$D$23,Cadrage!$E$23)))</f>
        <v/>
      </c>
      <c r="X107">
        <f>IF($A107="","",IF($B107="V01",Cadrage!$C$24,IF($B107="V02",Cadrage!$D$24,Cadrage!$E$24)))</f>
        <v/>
      </c>
      <c r="Y107">
        <f>IF($A107="","",IF($B107="V01",Cadrage!$C$25,IF($B107="V02",Cadrage!$D$25,Cadrage!$E$25)))</f>
        <v/>
      </c>
      <c r="Z107">
        <f>IF($A107="","",IF($B107="V01",Cadrage!$C$26,IF($B107="V02",Cadrage!$D$26,Cadrage!$E$26)))</f>
        <v/>
      </c>
      <c r="AA107">
        <f>IF($A107="","",IF($B107="V01",Cadrage!$C$27,IF($B107="V02",Cadrage!$D$27,Cadrage!$E$27)))</f>
        <v/>
      </c>
      <c r="AB107">
        <f>IF($A107="","",IF($B107="V01",Cadrage!$C$39,IF($B107="V02",Cadrage!$D$39,Cadrage!$E$39)))</f>
        <v/>
      </c>
      <c r="AC107">
        <f>IF($A107="","",IF($F107="MBWAY",Cadrage!$K$11,IF($F107="ISCOM",Cadrage!$K$12,IF($F107="IPAC",Cadrage!$K$13,IF($F107="PIGIER",Cadrage!$K$14,Cadrage!$K$15)))))</f>
        <v/>
      </c>
      <c r="AD107">
        <f>IF($A107="","",($O107*(1+$W107)^$S107+$P107*IFERROR((($T107/$U107)*(1+$V107))^$R107,0))*IFERROR($G107/$Q107,0)*($J107+$Y107)*$K107*($L107+$Z107))</f>
        <v/>
      </c>
      <c r="AE107">
        <f>IF($A107="","",IF($N107=1,$AD107,0))</f>
        <v/>
      </c>
      <c r="AF107">
        <f>IF($A107="","",IF($N107=1,$AD107,$H107*($M107+$AA107)))</f>
        <v/>
      </c>
      <c r="AG107">
        <f>IF($A107="","",$I107*(1+$X107*$AC107))</f>
        <v/>
      </c>
      <c r="AH107">
        <f>IF($A107="","",$AF107*$AG107+$AE107*$AB107)</f>
        <v/>
      </c>
    </row>
    <row r="108">
      <c r="A108">
        <f>IF(Moteur!D108="","",Moteur!D108)</f>
        <v/>
      </c>
      <c r="B108">
        <f>IF(Moteur!B108="","",Moteur!B108)</f>
        <v/>
      </c>
      <c r="C108">
        <f>IF(Moteur!F108="","",Moteur!F108)</f>
        <v/>
      </c>
      <c r="D108">
        <f>IF(Moteur!G108="","",Moteur!G108)</f>
        <v/>
      </c>
      <c r="E108">
        <f>IF(Moteur!H108="","",Moteur!H108)</f>
        <v/>
      </c>
      <c r="F108">
        <f>IF(Moteur!E108="","",Moteur!E108)</f>
        <v/>
      </c>
      <c r="G108">
        <f>IF($A108="","",SUMIFS(Socle!$H$1:$H$379,Socle!$C$1:$C$379,$A108,Socle!$D$1:$D$379,$C108,Socle!$E$1:$E$379,$D108,Socle!$F$1:$F$379,$E108,Socle!$G$1:$G$379,"2026"))</f>
        <v/>
      </c>
      <c r="H108">
        <f>IF($A108="","",SUMIFS(Socle!$N$1:$N$379,Socle!$C$1:$C$379,$A108,Socle!$D$1:$D$379,$C108,Socle!$E$1:$E$379,$D108,Socle!$F$1:$F$379,$E108,Socle!$G$1:$G$379,"2026"))</f>
        <v/>
      </c>
      <c r="I108">
        <f>IF($A108="","",SUMIFS(Socle!$P$1:$P$379,Socle!$C$1:$C$379,$A108,Socle!$D$1:$D$379,$C108,Socle!$E$1:$E$379,$D108,Socle!$F$1:$F$379,$E108,Socle!$G$1:$G$379,"2026"))</f>
        <v/>
      </c>
      <c r="J108">
        <f>IF($A108="","",SUMIFS(Socle!$W$1:$W$379,Socle!$C$1:$C$379,$A108,Socle!$D$1:$D$379,$C108,Socle!$E$1:$E$379,$D108,Socle!$F$1:$F$379,$E108,Socle!$G$1:$G$379,"2026"))</f>
        <v/>
      </c>
      <c r="K108">
        <f>IF($A108="","",SUMIFS(Socle!$X$1:$X$379,Socle!$C$1:$C$379,$A108,Socle!$D$1:$D$379,$C108,Socle!$E$1:$E$379,$D108,Socle!$F$1:$F$379,$E108,Socle!$G$1:$G$379,"2026"))</f>
        <v/>
      </c>
      <c r="L108">
        <f>IF($A108="","",SUMIFS(Socle!$Y$1:$Y$379,Socle!$C$1:$C$379,$A108,Socle!$D$1:$D$379,$C108,Socle!$E$1:$E$379,$D108,Socle!$F$1:$F$379,$E108,Socle!$G$1:$G$379,"2026"))</f>
        <v/>
      </c>
      <c r="M108">
        <f>IF($A108="","",SUMIFS(Socle!$V$1:$V$379,Socle!$C$1:$C$379,$A108,Socle!$D$1:$D$379,$C108,Socle!$E$1:$E$379,$D108,Socle!$F$1:$F$379,$E108,Socle!$G$1:$G$379,"2026"))</f>
        <v/>
      </c>
      <c r="N108">
        <f>IF($A108="","",IF(OR($D108="B1",$D108="M1",$D108="BTS1"),1,0))</f>
        <v/>
      </c>
      <c r="O108">
        <f>IF($A108="","",SUMIFS(Campagne!$D$1:$D$28,Campagne!$C$1:$C$28,$A108))</f>
        <v/>
      </c>
      <c r="P108">
        <f>IF($A108="","",SUMIFS(Campagne!$E$1:$E$28,Campagne!$C$1:$C$28,$A108))</f>
        <v/>
      </c>
      <c r="Q108">
        <f>IF($A108="","",SUMIFS(Campagne!$F$1:$F$28,Campagne!$C$1:$C$28,$A108))</f>
        <v/>
      </c>
      <c r="R108">
        <f>IF($A108="","",SUMIFS(Campagne!$K$1:$K$28,Campagne!$C$1:$C$28,$A108))</f>
        <v/>
      </c>
      <c r="S108">
        <f>IF($A108="","",SUMIFS(Campagne!$M$1:$M$28,Campagne!$C$1:$C$28,$A108))</f>
        <v/>
      </c>
      <c r="T108">
        <f>IF($A108="","",SUMIFS(Pilotage!$K$19:$K$32,Pilotage!$A$19:$A$32,$A108)*SUMIFS(Pilotage!$J$19:$J$32,Pilotage!$A$19:$A$32,$A108)*(SUM(Pilotage!$K$19:$K$32)/SUMPRODUCT(Pilotage!$K$19:$K$32,Pilotage!$J$19:$J$32)))</f>
        <v/>
      </c>
      <c r="U108">
        <f>IF($A108="","",SUMIFS(Pilotage!$K$19:$K$32,Pilotage!$A$19:$A$32,$A108))</f>
        <v/>
      </c>
      <c r="V108">
        <f>IF($A108="","",IF($B108="V01",Cadrage!$C$22,IF($B108="V02",Cadrage!$D$22,Cadrage!$E$22)))</f>
        <v/>
      </c>
      <c r="W108">
        <f>IF($A108="","",IF($B108="V01",Cadrage!$C$23,IF($B108="V02",Cadrage!$D$23,Cadrage!$E$23)))</f>
        <v/>
      </c>
      <c r="X108">
        <f>IF($A108="","",IF($B108="V01",Cadrage!$C$24,IF($B108="V02",Cadrage!$D$24,Cadrage!$E$24)))</f>
        <v/>
      </c>
      <c r="Y108">
        <f>IF($A108="","",IF($B108="V01",Cadrage!$C$25,IF($B108="V02",Cadrage!$D$25,Cadrage!$E$25)))</f>
        <v/>
      </c>
      <c r="Z108">
        <f>IF($A108="","",IF($B108="V01",Cadrage!$C$26,IF($B108="V02",Cadrage!$D$26,Cadrage!$E$26)))</f>
        <v/>
      </c>
      <c r="AA108">
        <f>IF($A108="","",IF($B108="V01",Cadrage!$C$27,IF($B108="V02",Cadrage!$D$27,Cadrage!$E$27)))</f>
        <v/>
      </c>
      <c r="AB108">
        <f>IF($A108="","",IF($B108="V01",Cadrage!$C$39,IF($B108="V02",Cadrage!$D$39,Cadrage!$E$39)))</f>
        <v/>
      </c>
      <c r="AC108">
        <f>IF($A108="","",IF($F108="MBWAY",Cadrage!$K$11,IF($F108="ISCOM",Cadrage!$K$12,IF($F108="IPAC",Cadrage!$K$13,IF($F108="PIGIER",Cadrage!$K$14,Cadrage!$K$15)))))</f>
        <v/>
      </c>
      <c r="AD108">
        <f>IF($A108="","",($O108*(1+$W108)^$S108+$P108*IFERROR((($T108/$U108)*(1+$V108))^$R108,0))*IFERROR($G108/$Q108,0)*($J108+$Y108)*$K108*($L108+$Z108))</f>
        <v/>
      </c>
      <c r="AE108">
        <f>IF($A108="","",IF($N108=1,$AD108,0))</f>
        <v/>
      </c>
      <c r="AF108">
        <f>IF($A108="","",IF($N108=1,$AD108,$H108*($M108+$AA108)))</f>
        <v/>
      </c>
      <c r="AG108">
        <f>IF($A108="","",$I108*(1+$X108*$AC108))</f>
        <v/>
      </c>
      <c r="AH108">
        <f>IF($A108="","",$AF108*$AG108+$AE108*$AB108)</f>
        <v/>
      </c>
    </row>
    <row r="109">
      <c r="A109">
        <f>IF(Moteur!D109="","",Moteur!D109)</f>
        <v/>
      </c>
      <c r="B109">
        <f>IF(Moteur!B109="","",Moteur!B109)</f>
        <v/>
      </c>
      <c r="C109">
        <f>IF(Moteur!F109="","",Moteur!F109)</f>
        <v/>
      </c>
      <c r="D109">
        <f>IF(Moteur!G109="","",Moteur!G109)</f>
        <v/>
      </c>
      <c r="E109">
        <f>IF(Moteur!H109="","",Moteur!H109)</f>
        <v/>
      </c>
      <c r="F109">
        <f>IF(Moteur!E109="","",Moteur!E109)</f>
        <v/>
      </c>
      <c r="G109">
        <f>IF($A109="","",SUMIFS(Socle!$H$1:$H$379,Socle!$C$1:$C$379,$A109,Socle!$D$1:$D$379,$C109,Socle!$E$1:$E$379,$D109,Socle!$F$1:$F$379,$E109,Socle!$G$1:$G$379,"2026"))</f>
        <v/>
      </c>
      <c r="H109">
        <f>IF($A109="","",SUMIFS(Socle!$N$1:$N$379,Socle!$C$1:$C$379,$A109,Socle!$D$1:$D$379,$C109,Socle!$E$1:$E$379,$D109,Socle!$F$1:$F$379,$E109,Socle!$G$1:$G$379,"2026"))</f>
        <v/>
      </c>
      <c r="I109">
        <f>IF($A109="","",SUMIFS(Socle!$P$1:$P$379,Socle!$C$1:$C$379,$A109,Socle!$D$1:$D$379,$C109,Socle!$E$1:$E$379,$D109,Socle!$F$1:$F$379,$E109,Socle!$G$1:$G$379,"2026"))</f>
        <v/>
      </c>
      <c r="J109">
        <f>IF($A109="","",SUMIFS(Socle!$W$1:$W$379,Socle!$C$1:$C$379,$A109,Socle!$D$1:$D$379,$C109,Socle!$E$1:$E$379,$D109,Socle!$F$1:$F$379,$E109,Socle!$G$1:$G$379,"2026"))</f>
        <v/>
      </c>
      <c r="K109">
        <f>IF($A109="","",SUMIFS(Socle!$X$1:$X$379,Socle!$C$1:$C$379,$A109,Socle!$D$1:$D$379,$C109,Socle!$E$1:$E$379,$D109,Socle!$F$1:$F$379,$E109,Socle!$G$1:$G$379,"2026"))</f>
        <v/>
      </c>
      <c r="L109">
        <f>IF($A109="","",SUMIFS(Socle!$Y$1:$Y$379,Socle!$C$1:$C$379,$A109,Socle!$D$1:$D$379,$C109,Socle!$E$1:$E$379,$D109,Socle!$F$1:$F$379,$E109,Socle!$G$1:$G$379,"2026"))</f>
        <v/>
      </c>
      <c r="M109">
        <f>IF($A109="","",SUMIFS(Socle!$V$1:$V$379,Socle!$C$1:$C$379,$A109,Socle!$D$1:$D$379,$C109,Socle!$E$1:$E$379,$D109,Socle!$F$1:$F$379,$E109,Socle!$G$1:$G$379,"2026"))</f>
        <v/>
      </c>
      <c r="N109">
        <f>IF($A109="","",IF(OR($D109="B1",$D109="M1",$D109="BTS1"),1,0))</f>
        <v/>
      </c>
      <c r="O109">
        <f>IF($A109="","",SUMIFS(Campagne!$D$1:$D$28,Campagne!$C$1:$C$28,$A109))</f>
        <v/>
      </c>
      <c r="P109">
        <f>IF($A109="","",SUMIFS(Campagne!$E$1:$E$28,Campagne!$C$1:$C$28,$A109))</f>
        <v/>
      </c>
      <c r="Q109">
        <f>IF($A109="","",SUMIFS(Campagne!$F$1:$F$28,Campagne!$C$1:$C$28,$A109))</f>
        <v/>
      </c>
      <c r="R109">
        <f>IF($A109="","",SUMIFS(Campagne!$K$1:$K$28,Campagne!$C$1:$C$28,$A109))</f>
        <v/>
      </c>
      <c r="S109">
        <f>IF($A109="","",SUMIFS(Campagne!$M$1:$M$28,Campagne!$C$1:$C$28,$A109))</f>
        <v/>
      </c>
      <c r="T109">
        <f>IF($A109="","",SUMIFS(Pilotage!$K$19:$K$32,Pilotage!$A$19:$A$32,$A109)*SUMIFS(Pilotage!$J$19:$J$32,Pilotage!$A$19:$A$32,$A109)*(SUM(Pilotage!$K$19:$K$32)/SUMPRODUCT(Pilotage!$K$19:$K$32,Pilotage!$J$19:$J$32)))</f>
        <v/>
      </c>
      <c r="U109">
        <f>IF($A109="","",SUMIFS(Pilotage!$K$19:$K$32,Pilotage!$A$19:$A$32,$A109))</f>
        <v/>
      </c>
      <c r="V109">
        <f>IF($A109="","",IF($B109="V01",Cadrage!$C$22,IF($B109="V02",Cadrage!$D$22,Cadrage!$E$22)))</f>
        <v/>
      </c>
      <c r="W109">
        <f>IF($A109="","",IF($B109="V01",Cadrage!$C$23,IF($B109="V02",Cadrage!$D$23,Cadrage!$E$23)))</f>
        <v/>
      </c>
      <c r="X109">
        <f>IF($A109="","",IF($B109="V01",Cadrage!$C$24,IF($B109="V02",Cadrage!$D$24,Cadrage!$E$24)))</f>
        <v/>
      </c>
      <c r="Y109">
        <f>IF($A109="","",IF($B109="V01",Cadrage!$C$25,IF($B109="V02",Cadrage!$D$25,Cadrage!$E$25)))</f>
        <v/>
      </c>
      <c r="Z109">
        <f>IF($A109="","",IF($B109="V01",Cadrage!$C$26,IF($B109="V02",Cadrage!$D$26,Cadrage!$E$26)))</f>
        <v/>
      </c>
      <c r="AA109">
        <f>IF($A109="","",IF($B109="V01",Cadrage!$C$27,IF($B109="V02",Cadrage!$D$27,Cadrage!$E$27)))</f>
        <v/>
      </c>
      <c r="AB109">
        <f>IF($A109="","",IF($B109="V01",Cadrage!$C$39,IF($B109="V02",Cadrage!$D$39,Cadrage!$E$39)))</f>
        <v/>
      </c>
      <c r="AC109">
        <f>IF($A109="","",IF($F109="MBWAY",Cadrage!$K$11,IF($F109="ISCOM",Cadrage!$K$12,IF($F109="IPAC",Cadrage!$K$13,IF($F109="PIGIER",Cadrage!$K$14,Cadrage!$K$15)))))</f>
        <v/>
      </c>
      <c r="AD109">
        <f>IF($A109="","",($O109*(1+$W109)^$S109+$P109*IFERROR((($T109/$U109)*(1+$V109))^$R109,0))*IFERROR($G109/$Q109,0)*($J109+$Y109)*$K109*($L109+$Z109))</f>
        <v/>
      </c>
      <c r="AE109">
        <f>IF($A109="","",IF($N109=1,$AD109,0))</f>
        <v/>
      </c>
      <c r="AF109">
        <f>IF($A109="","",IF($N109=1,$AD109,$H109*($M109+$AA109)))</f>
        <v/>
      </c>
      <c r="AG109">
        <f>IF($A109="","",$I109*(1+$X109*$AC109))</f>
        <v/>
      </c>
      <c r="AH109">
        <f>IF($A109="","",$AF109*$AG109+$AE109*$AB109)</f>
        <v/>
      </c>
    </row>
    <row r="110">
      <c r="A110">
        <f>IF(Moteur!D110="","",Moteur!D110)</f>
        <v/>
      </c>
      <c r="B110">
        <f>IF(Moteur!B110="","",Moteur!B110)</f>
        <v/>
      </c>
      <c r="C110">
        <f>IF(Moteur!F110="","",Moteur!F110)</f>
        <v/>
      </c>
      <c r="D110">
        <f>IF(Moteur!G110="","",Moteur!G110)</f>
        <v/>
      </c>
      <c r="E110">
        <f>IF(Moteur!H110="","",Moteur!H110)</f>
        <v/>
      </c>
      <c r="F110">
        <f>IF(Moteur!E110="","",Moteur!E110)</f>
        <v/>
      </c>
      <c r="G110">
        <f>IF($A110="","",SUMIFS(Socle!$H$1:$H$379,Socle!$C$1:$C$379,$A110,Socle!$D$1:$D$379,$C110,Socle!$E$1:$E$379,$D110,Socle!$F$1:$F$379,$E110,Socle!$G$1:$G$379,"2026"))</f>
        <v/>
      </c>
      <c r="H110">
        <f>IF($A110="","",SUMIFS(Socle!$N$1:$N$379,Socle!$C$1:$C$379,$A110,Socle!$D$1:$D$379,$C110,Socle!$E$1:$E$379,$D110,Socle!$F$1:$F$379,$E110,Socle!$G$1:$G$379,"2026"))</f>
        <v/>
      </c>
      <c r="I110">
        <f>IF($A110="","",SUMIFS(Socle!$P$1:$P$379,Socle!$C$1:$C$379,$A110,Socle!$D$1:$D$379,$C110,Socle!$E$1:$E$379,$D110,Socle!$F$1:$F$379,$E110,Socle!$G$1:$G$379,"2026"))</f>
        <v/>
      </c>
      <c r="J110">
        <f>IF($A110="","",SUMIFS(Socle!$W$1:$W$379,Socle!$C$1:$C$379,$A110,Socle!$D$1:$D$379,$C110,Socle!$E$1:$E$379,$D110,Socle!$F$1:$F$379,$E110,Socle!$G$1:$G$379,"2026"))</f>
        <v/>
      </c>
      <c r="K110">
        <f>IF($A110="","",SUMIFS(Socle!$X$1:$X$379,Socle!$C$1:$C$379,$A110,Socle!$D$1:$D$379,$C110,Socle!$E$1:$E$379,$D110,Socle!$F$1:$F$379,$E110,Socle!$G$1:$G$379,"2026"))</f>
        <v/>
      </c>
      <c r="L110">
        <f>IF($A110="","",SUMIFS(Socle!$Y$1:$Y$379,Socle!$C$1:$C$379,$A110,Socle!$D$1:$D$379,$C110,Socle!$E$1:$E$379,$D110,Socle!$F$1:$F$379,$E110,Socle!$G$1:$G$379,"2026"))</f>
        <v/>
      </c>
      <c r="M110">
        <f>IF($A110="","",SUMIFS(Socle!$V$1:$V$379,Socle!$C$1:$C$379,$A110,Socle!$D$1:$D$379,$C110,Socle!$E$1:$E$379,$D110,Socle!$F$1:$F$379,$E110,Socle!$G$1:$G$379,"2026"))</f>
        <v/>
      </c>
      <c r="N110">
        <f>IF($A110="","",IF(OR($D110="B1",$D110="M1",$D110="BTS1"),1,0))</f>
        <v/>
      </c>
      <c r="O110">
        <f>IF($A110="","",SUMIFS(Campagne!$D$1:$D$28,Campagne!$C$1:$C$28,$A110))</f>
        <v/>
      </c>
      <c r="P110">
        <f>IF($A110="","",SUMIFS(Campagne!$E$1:$E$28,Campagne!$C$1:$C$28,$A110))</f>
        <v/>
      </c>
      <c r="Q110">
        <f>IF($A110="","",SUMIFS(Campagne!$F$1:$F$28,Campagne!$C$1:$C$28,$A110))</f>
        <v/>
      </c>
      <c r="R110">
        <f>IF($A110="","",SUMIFS(Campagne!$K$1:$K$28,Campagne!$C$1:$C$28,$A110))</f>
        <v/>
      </c>
      <c r="S110">
        <f>IF($A110="","",SUMIFS(Campagne!$M$1:$M$28,Campagne!$C$1:$C$28,$A110))</f>
        <v/>
      </c>
      <c r="T110">
        <f>IF($A110="","",SUMIFS(Pilotage!$K$19:$K$32,Pilotage!$A$19:$A$32,$A110)*SUMIFS(Pilotage!$J$19:$J$32,Pilotage!$A$19:$A$32,$A110)*(SUM(Pilotage!$K$19:$K$32)/SUMPRODUCT(Pilotage!$K$19:$K$32,Pilotage!$J$19:$J$32)))</f>
        <v/>
      </c>
      <c r="U110">
        <f>IF($A110="","",SUMIFS(Pilotage!$K$19:$K$32,Pilotage!$A$19:$A$32,$A110))</f>
        <v/>
      </c>
      <c r="V110">
        <f>IF($A110="","",IF($B110="V01",Cadrage!$C$22,IF($B110="V02",Cadrage!$D$22,Cadrage!$E$22)))</f>
        <v/>
      </c>
      <c r="W110">
        <f>IF($A110="","",IF($B110="V01",Cadrage!$C$23,IF($B110="V02",Cadrage!$D$23,Cadrage!$E$23)))</f>
        <v/>
      </c>
      <c r="X110">
        <f>IF($A110="","",IF($B110="V01",Cadrage!$C$24,IF($B110="V02",Cadrage!$D$24,Cadrage!$E$24)))</f>
        <v/>
      </c>
      <c r="Y110">
        <f>IF($A110="","",IF($B110="V01",Cadrage!$C$25,IF($B110="V02",Cadrage!$D$25,Cadrage!$E$25)))</f>
        <v/>
      </c>
      <c r="Z110">
        <f>IF($A110="","",IF($B110="V01",Cadrage!$C$26,IF($B110="V02",Cadrage!$D$26,Cadrage!$E$26)))</f>
        <v/>
      </c>
      <c r="AA110">
        <f>IF($A110="","",IF($B110="V01",Cadrage!$C$27,IF($B110="V02",Cadrage!$D$27,Cadrage!$E$27)))</f>
        <v/>
      </c>
      <c r="AB110">
        <f>IF($A110="","",IF($B110="V01",Cadrage!$C$39,IF($B110="V02",Cadrage!$D$39,Cadrage!$E$39)))</f>
        <v/>
      </c>
      <c r="AC110">
        <f>IF($A110="","",IF($F110="MBWAY",Cadrage!$K$11,IF($F110="ISCOM",Cadrage!$K$12,IF($F110="IPAC",Cadrage!$K$13,IF($F110="PIGIER",Cadrage!$K$14,Cadrage!$K$15)))))</f>
        <v/>
      </c>
      <c r="AD110">
        <f>IF($A110="","",($O110*(1+$W110)^$S110+$P110*IFERROR((($T110/$U110)*(1+$V110))^$R110,0))*IFERROR($G110/$Q110,0)*($J110+$Y110)*$K110*($L110+$Z110))</f>
        <v/>
      </c>
      <c r="AE110">
        <f>IF($A110="","",IF($N110=1,$AD110,0))</f>
        <v/>
      </c>
      <c r="AF110">
        <f>IF($A110="","",IF($N110=1,$AD110,$H110*($M110+$AA110)))</f>
        <v/>
      </c>
      <c r="AG110">
        <f>IF($A110="","",$I110*(1+$X110*$AC110))</f>
        <v/>
      </c>
      <c r="AH110">
        <f>IF($A110="","",$AF110*$AG110+$AE110*$AB110)</f>
        <v/>
      </c>
    </row>
    <row r="111">
      <c r="A111">
        <f>IF(Moteur!D111="","",Moteur!D111)</f>
        <v/>
      </c>
      <c r="B111">
        <f>IF(Moteur!B111="","",Moteur!B111)</f>
        <v/>
      </c>
      <c r="C111">
        <f>IF(Moteur!F111="","",Moteur!F111)</f>
        <v/>
      </c>
      <c r="D111">
        <f>IF(Moteur!G111="","",Moteur!G111)</f>
        <v/>
      </c>
      <c r="E111">
        <f>IF(Moteur!H111="","",Moteur!H111)</f>
        <v/>
      </c>
      <c r="F111">
        <f>IF(Moteur!E111="","",Moteur!E111)</f>
        <v/>
      </c>
      <c r="G111">
        <f>IF($A111="","",SUMIFS(Socle!$H$1:$H$379,Socle!$C$1:$C$379,$A111,Socle!$D$1:$D$379,$C111,Socle!$E$1:$E$379,$D111,Socle!$F$1:$F$379,$E111,Socle!$G$1:$G$379,"2026"))</f>
        <v/>
      </c>
      <c r="H111">
        <f>IF($A111="","",SUMIFS(Socle!$N$1:$N$379,Socle!$C$1:$C$379,$A111,Socle!$D$1:$D$379,$C111,Socle!$E$1:$E$379,$D111,Socle!$F$1:$F$379,$E111,Socle!$G$1:$G$379,"2026"))</f>
        <v/>
      </c>
      <c r="I111">
        <f>IF($A111="","",SUMIFS(Socle!$P$1:$P$379,Socle!$C$1:$C$379,$A111,Socle!$D$1:$D$379,$C111,Socle!$E$1:$E$379,$D111,Socle!$F$1:$F$379,$E111,Socle!$G$1:$G$379,"2026"))</f>
        <v/>
      </c>
      <c r="J111">
        <f>IF($A111="","",SUMIFS(Socle!$W$1:$W$379,Socle!$C$1:$C$379,$A111,Socle!$D$1:$D$379,$C111,Socle!$E$1:$E$379,$D111,Socle!$F$1:$F$379,$E111,Socle!$G$1:$G$379,"2026"))</f>
        <v/>
      </c>
      <c r="K111">
        <f>IF($A111="","",SUMIFS(Socle!$X$1:$X$379,Socle!$C$1:$C$379,$A111,Socle!$D$1:$D$379,$C111,Socle!$E$1:$E$379,$D111,Socle!$F$1:$F$379,$E111,Socle!$G$1:$G$379,"2026"))</f>
        <v/>
      </c>
      <c r="L111">
        <f>IF($A111="","",SUMIFS(Socle!$Y$1:$Y$379,Socle!$C$1:$C$379,$A111,Socle!$D$1:$D$379,$C111,Socle!$E$1:$E$379,$D111,Socle!$F$1:$F$379,$E111,Socle!$G$1:$G$379,"2026"))</f>
        <v/>
      </c>
      <c r="M111">
        <f>IF($A111="","",SUMIFS(Socle!$V$1:$V$379,Socle!$C$1:$C$379,$A111,Socle!$D$1:$D$379,$C111,Socle!$E$1:$E$379,$D111,Socle!$F$1:$F$379,$E111,Socle!$G$1:$G$379,"2026"))</f>
        <v/>
      </c>
      <c r="N111">
        <f>IF($A111="","",IF(OR($D111="B1",$D111="M1",$D111="BTS1"),1,0))</f>
        <v/>
      </c>
      <c r="O111">
        <f>IF($A111="","",SUMIFS(Campagne!$D$1:$D$28,Campagne!$C$1:$C$28,$A111))</f>
        <v/>
      </c>
      <c r="P111">
        <f>IF($A111="","",SUMIFS(Campagne!$E$1:$E$28,Campagne!$C$1:$C$28,$A111))</f>
        <v/>
      </c>
      <c r="Q111">
        <f>IF($A111="","",SUMIFS(Campagne!$F$1:$F$28,Campagne!$C$1:$C$28,$A111))</f>
        <v/>
      </c>
      <c r="R111">
        <f>IF($A111="","",SUMIFS(Campagne!$K$1:$K$28,Campagne!$C$1:$C$28,$A111))</f>
        <v/>
      </c>
      <c r="S111">
        <f>IF($A111="","",SUMIFS(Campagne!$M$1:$M$28,Campagne!$C$1:$C$28,$A111))</f>
        <v/>
      </c>
      <c r="T111">
        <f>IF($A111="","",SUMIFS(Pilotage!$K$19:$K$32,Pilotage!$A$19:$A$32,$A111)*SUMIFS(Pilotage!$J$19:$J$32,Pilotage!$A$19:$A$32,$A111)*(SUM(Pilotage!$K$19:$K$32)/SUMPRODUCT(Pilotage!$K$19:$K$32,Pilotage!$J$19:$J$32)))</f>
        <v/>
      </c>
      <c r="U111">
        <f>IF($A111="","",SUMIFS(Pilotage!$K$19:$K$32,Pilotage!$A$19:$A$32,$A111))</f>
        <v/>
      </c>
      <c r="V111">
        <f>IF($A111="","",IF($B111="V01",Cadrage!$C$22,IF($B111="V02",Cadrage!$D$22,Cadrage!$E$22)))</f>
        <v/>
      </c>
      <c r="W111">
        <f>IF($A111="","",IF($B111="V01",Cadrage!$C$23,IF($B111="V02",Cadrage!$D$23,Cadrage!$E$23)))</f>
        <v/>
      </c>
      <c r="X111">
        <f>IF($A111="","",IF($B111="V01",Cadrage!$C$24,IF($B111="V02",Cadrage!$D$24,Cadrage!$E$24)))</f>
        <v/>
      </c>
      <c r="Y111">
        <f>IF($A111="","",IF($B111="V01",Cadrage!$C$25,IF($B111="V02",Cadrage!$D$25,Cadrage!$E$25)))</f>
        <v/>
      </c>
      <c r="Z111">
        <f>IF($A111="","",IF($B111="V01",Cadrage!$C$26,IF($B111="V02",Cadrage!$D$26,Cadrage!$E$26)))</f>
        <v/>
      </c>
      <c r="AA111">
        <f>IF($A111="","",IF($B111="V01",Cadrage!$C$27,IF($B111="V02",Cadrage!$D$27,Cadrage!$E$27)))</f>
        <v/>
      </c>
      <c r="AB111">
        <f>IF($A111="","",IF($B111="V01",Cadrage!$C$39,IF($B111="V02",Cadrage!$D$39,Cadrage!$E$39)))</f>
        <v/>
      </c>
      <c r="AC111">
        <f>IF($A111="","",IF($F111="MBWAY",Cadrage!$K$11,IF($F111="ISCOM",Cadrage!$K$12,IF($F111="IPAC",Cadrage!$K$13,IF($F111="PIGIER",Cadrage!$K$14,Cadrage!$K$15)))))</f>
        <v/>
      </c>
      <c r="AD111">
        <f>IF($A111="","",($O111*(1+$W111)^$S111+$P111*IFERROR((($T111/$U111)*(1+$V111))^$R111,0))*IFERROR($G111/$Q111,0)*($J111+$Y111)*$K111*($L111+$Z111))</f>
        <v/>
      </c>
      <c r="AE111">
        <f>IF($A111="","",IF($N111=1,$AD111,0))</f>
        <v/>
      </c>
      <c r="AF111">
        <f>IF($A111="","",IF($N111=1,$AD111,$H111*($M111+$AA111)))</f>
        <v/>
      </c>
      <c r="AG111">
        <f>IF($A111="","",$I111*(1+$X111*$AC111))</f>
        <v/>
      </c>
      <c r="AH111">
        <f>IF($A111="","",$AF111*$AG111+$AE111*$AB111)</f>
        <v/>
      </c>
    </row>
    <row r="112">
      <c r="A112">
        <f>IF(Moteur!D112="","",Moteur!D112)</f>
        <v/>
      </c>
      <c r="B112">
        <f>IF(Moteur!B112="","",Moteur!B112)</f>
        <v/>
      </c>
      <c r="C112">
        <f>IF(Moteur!F112="","",Moteur!F112)</f>
        <v/>
      </c>
      <c r="D112">
        <f>IF(Moteur!G112="","",Moteur!G112)</f>
        <v/>
      </c>
      <c r="E112">
        <f>IF(Moteur!H112="","",Moteur!H112)</f>
        <v/>
      </c>
      <c r="F112">
        <f>IF(Moteur!E112="","",Moteur!E112)</f>
        <v/>
      </c>
      <c r="G112">
        <f>IF($A112="","",SUMIFS(Socle!$H$1:$H$379,Socle!$C$1:$C$379,$A112,Socle!$D$1:$D$379,$C112,Socle!$E$1:$E$379,$D112,Socle!$F$1:$F$379,$E112,Socle!$G$1:$G$379,"2026"))</f>
        <v/>
      </c>
      <c r="H112">
        <f>IF($A112="","",SUMIFS(Socle!$N$1:$N$379,Socle!$C$1:$C$379,$A112,Socle!$D$1:$D$379,$C112,Socle!$E$1:$E$379,$D112,Socle!$F$1:$F$379,$E112,Socle!$G$1:$G$379,"2026"))</f>
        <v/>
      </c>
      <c r="I112">
        <f>IF($A112="","",SUMIFS(Socle!$P$1:$P$379,Socle!$C$1:$C$379,$A112,Socle!$D$1:$D$379,$C112,Socle!$E$1:$E$379,$D112,Socle!$F$1:$F$379,$E112,Socle!$G$1:$G$379,"2026"))</f>
        <v/>
      </c>
      <c r="J112">
        <f>IF($A112="","",SUMIFS(Socle!$W$1:$W$379,Socle!$C$1:$C$379,$A112,Socle!$D$1:$D$379,$C112,Socle!$E$1:$E$379,$D112,Socle!$F$1:$F$379,$E112,Socle!$G$1:$G$379,"2026"))</f>
        <v/>
      </c>
      <c r="K112">
        <f>IF($A112="","",SUMIFS(Socle!$X$1:$X$379,Socle!$C$1:$C$379,$A112,Socle!$D$1:$D$379,$C112,Socle!$E$1:$E$379,$D112,Socle!$F$1:$F$379,$E112,Socle!$G$1:$G$379,"2026"))</f>
        <v/>
      </c>
      <c r="L112">
        <f>IF($A112="","",SUMIFS(Socle!$Y$1:$Y$379,Socle!$C$1:$C$379,$A112,Socle!$D$1:$D$379,$C112,Socle!$E$1:$E$379,$D112,Socle!$F$1:$F$379,$E112,Socle!$G$1:$G$379,"2026"))</f>
        <v/>
      </c>
      <c r="M112">
        <f>IF($A112="","",SUMIFS(Socle!$V$1:$V$379,Socle!$C$1:$C$379,$A112,Socle!$D$1:$D$379,$C112,Socle!$E$1:$E$379,$D112,Socle!$F$1:$F$379,$E112,Socle!$G$1:$G$379,"2026"))</f>
        <v/>
      </c>
      <c r="N112">
        <f>IF($A112="","",IF(OR($D112="B1",$D112="M1",$D112="BTS1"),1,0))</f>
        <v/>
      </c>
      <c r="O112">
        <f>IF($A112="","",SUMIFS(Campagne!$D$1:$D$28,Campagne!$C$1:$C$28,$A112))</f>
        <v/>
      </c>
      <c r="P112">
        <f>IF($A112="","",SUMIFS(Campagne!$E$1:$E$28,Campagne!$C$1:$C$28,$A112))</f>
        <v/>
      </c>
      <c r="Q112">
        <f>IF($A112="","",SUMIFS(Campagne!$F$1:$F$28,Campagne!$C$1:$C$28,$A112))</f>
        <v/>
      </c>
      <c r="R112">
        <f>IF($A112="","",SUMIFS(Campagne!$K$1:$K$28,Campagne!$C$1:$C$28,$A112))</f>
        <v/>
      </c>
      <c r="S112">
        <f>IF($A112="","",SUMIFS(Campagne!$M$1:$M$28,Campagne!$C$1:$C$28,$A112))</f>
        <v/>
      </c>
      <c r="T112">
        <f>IF($A112="","",SUMIFS(Pilotage!$K$19:$K$32,Pilotage!$A$19:$A$32,$A112)*SUMIFS(Pilotage!$J$19:$J$32,Pilotage!$A$19:$A$32,$A112)*(SUM(Pilotage!$K$19:$K$32)/SUMPRODUCT(Pilotage!$K$19:$K$32,Pilotage!$J$19:$J$32)))</f>
        <v/>
      </c>
      <c r="U112">
        <f>IF($A112="","",SUMIFS(Pilotage!$K$19:$K$32,Pilotage!$A$19:$A$32,$A112))</f>
        <v/>
      </c>
      <c r="V112">
        <f>IF($A112="","",IF($B112="V01",Cadrage!$C$22,IF($B112="V02",Cadrage!$D$22,Cadrage!$E$22)))</f>
        <v/>
      </c>
      <c r="W112">
        <f>IF($A112="","",IF($B112="V01",Cadrage!$C$23,IF($B112="V02",Cadrage!$D$23,Cadrage!$E$23)))</f>
        <v/>
      </c>
      <c r="X112">
        <f>IF($A112="","",IF($B112="V01",Cadrage!$C$24,IF($B112="V02",Cadrage!$D$24,Cadrage!$E$24)))</f>
        <v/>
      </c>
      <c r="Y112">
        <f>IF($A112="","",IF($B112="V01",Cadrage!$C$25,IF($B112="V02",Cadrage!$D$25,Cadrage!$E$25)))</f>
        <v/>
      </c>
      <c r="Z112">
        <f>IF($A112="","",IF($B112="V01",Cadrage!$C$26,IF($B112="V02",Cadrage!$D$26,Cadrage!$E$26)))</f>
        <v/>
      </c>
      <c r="AA112">
        <f>IF($A112="","",IF($B112="V01",Cadrage!$C$27,IF($B112="V02",Cadrage!$D$27,Cadrage!$E$27)))</f>
        <v/>
      </c>
      <c r="AB112">
        <f>IF($A112="","",IF($B112="V01",Cadrage!$C$39,IF($B112="V02",Cadrage!$D$39,Cadrage!$E$39)))</f>
        <v/>
      </c>
      <c r="AC112">
        <f>IF($A112="","",IF($F112="MBWAY",Cadrage!$K$11,IF($F112="ISCOM",Cadrage!$K$12,IF($F112="IPAC",Cadrage!$K$13,IF($F112="PIGIER",Cadrage!$K$14,Cadrage!$K$15)))))</f>
        <v/>
      </c>
      <c r="AD112">
        <f>IF($A112="","",($O112*(1+$W112)^$S112+$P112*IFERROR((($T112/$U112)*(1+$V112))^$R112,0))*IFERROR($G112/$Q112,0)*($J112+$Y112)*$K112*($L112+$Z112))</f>
        <v/>
      </c>
      <c r="AE112">
        <f>IF($A112="","",IF($N112=1,$AD112,0))</f>
        <v/>
      </c>
      <c r="AF112">
        <f>IF($A112="","",IF($N112=1,$AD112,$H112*($M112+$AA112)))</f>
        <v/>
      </c>
      <c r="AG112">
        <f>IF($A112="","",$I112*(1+$X112*$AC112))</f>
        <v/>
      </c>
      <c r="AH112">
        <f>IF($A112="","",$AF112*$AG112+$AE112*$AB112)</f>
        <v/>
      </c>
    </row>
    <row r="113">
      <c r="A113">
        <f>IF(Moteur!D113="","",Moteur!D113)</f>
        <v/>
      </c>
      <c r="B113">
        <f>IF(Moteur!B113="","",Moteur!B113)</f>
        <v/>
      </c>
      <c r="C113">
        <f>IF(Moteur!F113="","",Moteur!F113)</f>
        <v/>
      </c>
      <c r="D113">
        <f>IF(Moteur!G113="","",Moteur!G113)</f>
        <v/>
      </c>
      <c r="E113">
        <f>IF(Moteur!H113="","",Moteur!H113)</f>
        <v/>
      </c>
      <c r="F113">
        <f>IF(Moteur!E113="","",Moteur!E113)</f>
        <v/>
      </c>
      <c r="G113">
        <f>IF($A113="","",SUMIFS(Socle!$H$1:$H$379,Socle!$C$1:$C$379,$A113,Socle!$D$1:$D$379,$C113,Socle!$E$1:$E$379,$D113,Socle!$F$1:$F$379,$E113,Socle!$G$1:$G$379,"2026"))</f>
        <v/>
      </c>
      <c r="H113">
        <f>IF($A113="","",SUMIFS(Socle!$N$1:$N$379,Socle!$C$1:$C$379,$A113,Socle!$D$1:$D$379,$C113,Socle!$E$1:$E$379,$D113,Socle!$F$1:$F$379,$E113,Socle!$G$1:$G$379,"2026"))</f>
        <v/>
      </c>
      <c r="I113">
        <f>IF($A113="","",SUMIFS(Socle!$P$1:$P$379,Socle!$C$1:$C$379,$A113,Socle!$D$1:$D$379,$C113,Socle!$E$1:$E$379,$D113,Socle!$F$1:$F$379,$E113,Socle!$G$1:$G$379,"2026"))</f>
        <v/>
      </c>
      <c r="J113">
        <f>IF($A113="","",SUMIFS(Socle!$W$1:$W$379,Socle!$C$1:$C$379,$A113,Socle!$D$1:$D$379,$C113,Socle!$E$1:$E$379,$D113,Socle!$F$1:$F$379,$E113,Socle!$G$1:$G$379,"2026"))</f>
        <v/>
      </c>
      <c r="K113">
        <f>IF($A113="","",SUMIFS(Socle!$X$1:$X$379,Socle!$C$1:$C$379,$A113,Socle!$D$1:$D$379,$C113,Socle!$E$1:$E$379,$D113,Socle!$F$1:$F$379,$E113,Socle!$G$1:$G$379,"2026"))</f>
        <v/>
      </c>
      <c r="L113">
        <f>IF($A113="","",SUMIFS(Socle!$Y$1:$Y$379,Socle!$C$1:$C$379,$A113,Socle!$D$1:$D$379,$C113,Socle!$E$1:$E$379,$D113,Socle!$F$1:$F$379,$E113,Socle!$G$1:$G$379,"2026"))</f>
        <v/>
      </c>
      <c r="M113">
        <f>IF($A113="","",SUMIFS(Socle!$V$1:$V$379,Socle!$C$1:$C$379,$A113,Socle!$D$1:$D$379,$C113,Socle!$E$1:$E$379,$D113,Socle!$F$1:$F$379,$E113,Socle!$G$1:$G$379,"2026"))</f>
        <v/>
      </c>
      <c r="N113">
        <f>IF($A113="","",IF(OR($D113="B1",$D113="M1",$D113="BTS1"),1,0))</f>
        <v/>
      </c>
      <c r="O113">
        <f>IF($A113="","",SUMIFS(Campagne!$D$1:$D$28,Campagne!$C$1:$C$28,$A113))</f>
        <v/>
      </c>
      <c r="P113">
        <f>IF($A113="","",SUMIFS(Campagne!$E$1:$E$28,Campagne!$C$1:$C$28,$A113))</f>
        <v/>
      </c>
      <c r="Q113">
        <f>IF($A113="","",SUMIFS(Campagne!$F$1:$F$28,Campagne!$C$1:$C$28,$A113))</f>
        <v/>
      </c>
      <c r="R113">
        <f>IF($A113="","",SUMIFS(Campagne!$K$1:$K$28,Campagne!$C$1:$C$28,$A113))</f>
        <v/>
      </c>
      <c r="S113">
        <f>IF($A113="","",SUMIFS(Campagne!$M$1:$M$28,Campagne!$C$1:$C$28,$A113))</f>
        <v/>
      </c>
      <c r="T113">
        <f>IF($A113="","",SUMIFS(Pilotage!$K$19:$K$32,Pilotage!$A$19:$A$32,$A113)*SUMIFS(Pilotage!$J$19:$J$32,Pilotage!$A$19:$A$32,$A113)*(SUM(Pilotage!$K$19:$K$32)/SUMPRODUCT(Pilotage!$K$19:$K$32,Pilotage!$J$19:$J$32)))</f>
        <v/>
      </c>
      <c r="U113">
        <f>IF($A113="","",SUMIFS(Pilotage!$K$19:$K$32,Pilotage!$A$19:$A$32,$A113))</f>
        <v/>
      </c>
      <c r="V113">
        <f>IF($A113="","",IF($B113="V01",Cadrage!$C$22,IF($B113="V02",Cadrage!$D$22,Cadrage!$E$22)))</f>
        <v/>
      </c>
      <c r="W113">
        <f>IF($A113="","",IF($B113="V01",Cadrage!$C$23,IF($B113="V02",Cadrage!$D$23,Cadrage!$E$23)))</f>
        <v/>
      </c>
      <c r="X113">
        <f>IF($A113="","",IF($B113="V01",Cadrage!$C$24,IF($B113="V02",Cadrage!$D$24,Cadrage!$E$24)))</f>
        <v/>
      </c>
      <c r="Y113">
        <f>IF($A113="","",IF($B113="V01",Cadrage!$C$25,IF($B113="V02",Cadrage!$D$25,Cadrage!$E$25)))</f>
        <v/>
      </c>
      <c r="Z113">
        <f>IF($A113="","",IF($B113="V01",Cadrage!$C$26,IF($B113="V02",Cadrage!$D$26,Cadrage!$E$26)))</f>
        <v/>
      </c>
      <c r="AA113">
        <f>IF($A113="","",IF($B113="V01",Cadrage!$C$27,IF($B113="V02",Cadrage!$D$27,Cadrage!$E$27)))</f>
        <v/>
      </c>
      <c r="AB113">
        <f>IF($A113="","",IF($B113="V01",Cadrage!$C$39,IF($B113="V02",Cadrage!$D$39,Cadrage!$E$39)))</f>
        <v/>
      </c>
      <c r="AC113">
        <f>IF($A113="","",IF($F113="MBWAY",Cadrage!$K$11,IF($F113="ISCOM",Cadrage!$K$12,IF($F113="IPAC",Cadrage!$K$13,IF($F113="PIGIER",Cadrage!$K$14,Cadrage!$K$15)))))</f>
        <v/>
      </c>
      <c r="AD113">
        <f>IF($A113="","",($O113*(1+$W113)^$S113+$P113*IFERROR((($T113/$U113)*(1+$V113))^$R113,0))*IFERROR($G113/$Q113,0)*($J113+$Y113)*$K113*($L113+$Z113))</f>
        <v/>
      </c>
      <c r="AE113">
        <f>IF($A113="","",IF($N113=1,$AD113,0))</f>
        <v/>
      </c>
      <c r="AF113">
        <f>IF($A113="","",IF($N113=1,$AD113,$H113*($M113+$AA113)))</f>
        <v/>
      </c>
      <c r="AG113">
        <f>IF($A113="","",$I113*(1+$X113*$AC113))</f>
        <v/>
      </c>
      <c r="AH113">
        <f>IF($A113="","",$AF113*$AG113+$AE113*$AB113)</f>
        <v/>
      </c>
    </row>
    <row r="114">
      <c r="A114">
        <f>IF(Moteur!D114="","",Moteur!D114)</f>
        <v/>
      </c>
      <c r="B114">
        <f>IF(Moteur!B114="","",Moteur!B114)</f>
        <v/>
      </c>
      <c r="C114">
        <f>IF(Moteur!F114="","",Moteur!F114)</f>
        <v/>
      </c>
      <c r="D114">
        <f>IF(Moteur!G114="","",Moteur!G114)</f>
        <v/>
      </c>
      <c r="E114">
        <f>IF(Moteur!H114="","",Moteur!H114)</f>
        <v/>
      </c>
      <c r="F114">
        <f>IF(Moteur!E114="","",Moteur!E114)</f>
        <v/>
      </c>
      <c r="G114">
        <f>IF($A114="","",SUMIFS(Socle!$H$1:$H$379,Socle!$C$1:$C$379,$A114,Socle!$D$1:$D$379,$C114,Socle!$E$1:$E$379,$D114,Socle!$F$1:$F$379,$E114,Socle!$G$1:$G$379,"2026"))</f>
        <v/>
      </c>
      <c r="H114">
        <f>IF($A114="","",SUMIFS(Socle!$N$1:$N$379,Socle!$C$1:$C$379,$A114,Socle!$D$1:$D$379,$C114,Socle!$E$1:$E$379,$D114,Socle!$F$1:$F$379,$E114,Socle!$G$1:$G$379,"2026"))</f>
        <v/>
      </c>
      <c r="I114">
        <f>IF($A114="","",SUMIFS(Socle!$P$1:$P$379,Socle!$C$1:$C$379,$A114,Socle!$D$1:$D$379,$C114,Socle!$E$1:$E$379,$D114,Socle!$F$1:$F$379,$E114,Socle!$G$1:$G$379,"2026"))</f>
        <v/>
      </c>
      <c r="J114">
        <f>IF($A114="","",SUMIFS(Socle!$W$1:$W$379,Socle!$C$1:$C$379,$A114,Socle!$D$1:$D$379,$C114,Socle!$E$1:$E$379,$D114,Socle!$F$1:$F$379,$E114,Socle!$G$1:$G$379,"2026"))</f>
        <v/>
      </c>
      <c r="K114">
        <f>IF($A114="","",SUMIFS(Socle!$X$1:$X$379,Socle!$C$1:$C$379,$A114,Socle!$D$1:$D$379,$C114,Socle!$E$1:$E$379,$D114,Socle!$F$1:$F$379,$E114,Socle!$G$1:$G$379,"2026"))</f>
        <v/>
      </c>
      <c r="L114">
        <f>IF($A114="","",SUMIFS(Socle!$Y$1:$Y$379,Socle!$C$1:$C$379,$A114,Socle!$D$1:$D$379,$C114,Socle!$E$1:$E$379,$D114,Socle!$F$1:$F$379,$E114,Socle!$G$1:$G$379,"2026"))</f>
        <v/>
      </c>
      <c r="M114">
        <f>IF($A114="","",SUMIFS(Socle!$V$1:$V$379,Socle!$C$1:$C$379,$A114,Socle!$D$1:$D$379,$C114,Socle!$E$1:$E$379,$D114,Socle!$F$1:$F$379,$E114,Socle!$G$1:$G$379,"2026"))</f>
        <v/>
      </c>
      <c r="N114">
        <f>IF($A114="","",IF(OR($D114="B1",$D114="M1",$D114="BTS1"),1,0))</f>
        <v/>
      </c>
      <c r="O114">
        <f>IF($A114="","",SUMIFS(Campagne!$D$1:$D$28,Campagne!$C$1:$C$28,$A114))</f>
        <v/>
      </c>
      <c r="P114">
        <f>IF($A114="","",SUMIFS(Campagne!$E$1:$E$28,Campagne!$C$1:$C$28,$A114))</f>
        <v/>
      </c>
      <c r="Q114">
        <f>IF($A114="","",SUMIFS(Campagne!$F$1:$F$28,Campagne!$C$1:$C$28,$A114))</f>
        <v/>
      </c>
      <c r="R114">
        <f>IF($A114="","",SUMIFS(Campagne!$K$1:$K$28,Campagne!$C$1:$C$28,$A114))</f>
        <v/>
      </c>
      <c r="S114">
        <f>IF($A114="","",SUMIFS(Campagne!$M$1:$M$28,Campagne!$C$1:$C$28,$A114))</f>
        <v/>
      </c>
      <c r="T114">
        <f>IF($A114="","",SUMIFS(Pilotage!$K$19:$K$32,Pilotage!$A$19:$A$32,$A114)*SUMIFS(Pilotage!$J$19:$J$32,Pilotage!$A$19:$A$32,$A114)*(SUM(Pilotage!$K$19:$K$32)/SUMPRODUCT(Pilotage!$K$19:$K$32,Pilotage!$J$19:$J$32)))</f>
        <v/>
      </c>
      <c r="U114">
        <f>IF($A114="","",SUMIFS(Pilotage!$K$19:$K$32,Pilotage!$A$19:$A$32,$A114))</f>
        <v/>
      </c>
      <c r="V114">
        <f>IF($A114="","",IF($B114="V01",Cadrage!$C$22,IF($B114="V02",Cadrage!$D$22,Cadrage!$E$22)))</f>
        <v/>
      </c>
      <c r="W114">
        <f>IF($A114="","",IF($B114="V01",Cadrage!$C$23,IF($B114="V02",Cadrage!$D$23,Cadrage!$E$23)))</f>
        <v/>
      </c>
      <c r="X114">
        <f>IF($A114="","",IF($B114="V01",Cadrage!$C$24,IF($B114="V02",Cadrage!$D$24,Cadrage!$E$24)))</f>
        <v/>
      </c>
      <c r="Y114">
        <f>IF($A114="","",IF($B114="V01",Cadrage!$C$25,IF($B114="V02",Cadrage!$D$25,Cadrage!$E$25)))</f>
        <v/>
      </c>
      <c r="Z114">
        <f>IF($A114="","",IF($B114="V01",Cadrage!$C$26,IF($B114="V02",Cadrage!$D$26,Cadrage!$E$26)))</f>
        <v/>
      </c>
      <c r="AA114">
        <f>IF($A114="","",IF($B114="V01",Cadrage!$C$27,IF($B114="V02",Cadrage!$D$27,Cadrage!$E$27)))</f>
        <v/>
      </c>
      <c r="AB114">
        <f>IF($A114="","",IF($B114="V01",Cadrage!$C$39,IF($B114="V02",Cadrage!$D$39,Cadrage!$E$39)))</f>
        <v/>
      </c>
      <c r="AC114">
        <f>IF($A114="","",IF($F114="MBWAY",Cadrage!$K$11,IF($F114="ISCOM",Cadrage!$K$12,IF($F114="IPAC",Cadrage!$K$13,IF($F114="PIGIER",Cadrage!$K$14,Cadrage!$K$15)))))</f>
        <v/>
      </c>
      <c r="AD114">
        <f>IF($A114="","",($O114*(1+$W114)^$S114+$P114*IFERROR((($T114/$U114)*(1+$V114))^$R114,0))*IFERROR($G114/$Q114,0)*($J114+$Y114)*$K114*($L114+$Z114))</f>
        <v/>
      </c>
      <c r="AE114">
        <f>IF($A114="","",IF($N114=1,$AD114,0))</f>
        <v/>
      </c>
      <c r="AF114">
        <f>IF($A114="","",IF($N114=1,$AD114,$H114*($M114+$AA114)))</f>
        <v/>
      </c>
      <c r="AG114">
        <f>IF($A114="","",$I114*(1+$X114*$AC114))</f>
        <v/>
      </c>
      <c r="AH114">
        <f>IF($A114="","",$AF114*$AG114+$AE114*$AB114)</f>
        <v/>
      </c>
    </row>
    <row r="115">
      <c r="A115">
        <f>IF(Moteur!D115="","",Moteur!D115)</f>
        <v/>
      </c>
      <c r="B115">
        <f>IF(Moteur!B115="","",Moteur!B115)</f>
        <v/>
      </c>
      <c r="C115">
        <f>IF(Moteur!F115="","",Moteur!F115)</f>
        <v/>
      </c>
      <c r="D115">
        <f>IF(Moteur!G115="","",Moteur!G115)</f>
        <v/>
      </c>
      <c r="E115">
        <f>IF(Moteur!H115="","",Moteur!H115)</f>
        <v/>
      </c>
      <c r="F115">
        <f>IF(Moteur!E115="","",Moteur!E115)</f>
        <v/>
      </c>
      <c r="G115">
        <f>IF($A115="","",SUMIFS(Socle!$H$1:$H$379,Socle!$C$1:$C$379,$A115,Socle!$D$1:$D$379,$C115,Socle!$E$1:$E$379,$D115,Socle!$F$1:$F$379,$E115,Socle!$G$1:$G$379,"2026"))</f>
        <v/>
      </c>
      <c r="H115">
        <f>IF($A115="","",SUMIFS(Socle!$N$1:$N$379,Socle!$C$1:$C$379,$A115,Socle!$D$1:$D$379,$C115,Socle!$E$1:$E$379,$D115,Socle!$F$1:$F$379,$E115,Socle!$G$1:$G$379,"2026"))</f>
        <v/>
      </c>
      <c r="I115">
        <f>IF($A115="","",SUMIFS(Socle!$P$1:$P$379,Socle!$C$1:$C$379,$A115,Socle!$D$1:$D$379,$C115,Socle!$E$1:$E$379,$D115,Socle!$F$1:$F$379,$E115,Socle!$G$1:$G$379,"2026"))</f>
        <v/>
      </c>
      <c r="J115">
        <f>IF($A115="","",SUMIFS(Socle!$W$1:$W$379,Socle!$C$1:$C$379,$A115,Socle!$D$1:$D$379,$C115,Socle!$E$1:$E$379,$D115,Socle!$F$1:$F$379,$E115,Socle!$G$1:$G$379,"2026"))</f>
        <v/>
      </c>
      <c r="K115">
        <f>IF($A115="","",SUMIFS(Socle!$X$1:$X$379,Socle!$C$1:$C$379,$A115,Socle!$D$1:$D$379,$C115,Socle!$E$1:$E$379,$D115,Socle!$F$1:$F$379,$E115,Socle!$G$1:$G$379,"2026"))</f>
        <v/>
      </c>
      <c r="L115">
        <f>IF($A115="","",SUMIFS(Socle!$Y$1:$Y$379,Socle!$C$1:$C$379,$A115,Socle!$D$1:$D$379,$C115,Socle!$E$1:$E$379,$D115,Socle!$F$1:$F$379,$E115,Socle!$G$1:$G$379,"2026"))</f>
        <v/>
      </c>
      <c r="M115">
        <f>IF($A115="","",SUMIFS(Socle!$V$1:$V$379,Socle!$C$1:$C$379,$A115,Socle!$D$1:$D$379,$C115,Socle!$E$1:$E$379,$D115,Socle!$F$1:$F$379,$E115,Socle!$G$1:$G$379,"2026"))</f>
        <v/>
      </c>
      <c r="N115">
        <f>IF($A115="","",IF(OR($D115="B1",$D115="M1",$D115="BTS1"),1,0))</f>
        <v/>
      </c>
      <c r="O115">
        <f>IF($A115="","",SUMIFS(Campagne!$D$1:$D$28,Campagne!$C$1:$C$28,$A115))</f>
        <v/>
      </c>
      <c r="P115">
        <f>IF($A115="","",SUMIFS(Campagne!$E$1:$E$28,Campagne!$C$1:$C$28,$A115))</f>
        <v/>
      </c>
      <c r="Q115">
        <f>IF($A115="","",SUMIFS(Campagne!$F$1:$F$28,Campagne!$C$1:$C$28,$A115))</f>
        <v/>
      </c>
      <c r="R115">
        <f>IF($A115="","",SUMIFS(Campagne!$K$1:$K$28,Campagne!$C$1:$C$28,$A115))</f>
        <v/>
      </c>
      <c r="S115">
        <f>IF($A115="","",SUMIFS(Campagne!$M$1:$M$28,Campagne!$C$1:$C$28,$A115))</f>
        <v/>
      </c>
      <c r="T115">
        <f>IF($A115="","",SUMIFS(Pilotage!$K$19:$K$32,Pilotage!$A$19:$A$32,$A115)*SUMIFS(Pilotage!$J$19:$J$32,Pilotage!$A$19:$A$32,$A115)*(SUM(Pilotage!$K$19:$K$32)/SUMPRODUCT(Pilotage!$K$19:$K$32,Pilotage!$J$19:$J$32)))</f>
        <v/>
      </c>
      <c r="U115">
        <f>IF($A115="","",SUMIFS(Pilotage!$K$19:$K$32,Pilotage!$A$19:$A$32,$A115))</f>
        <v/>
      </c>
      <c r="V115">
        <f>IF($A115="","",IF($B115="V01",Cadrage!$C$22,IF($B115="V02",Cadrage!$D$22,Cadrage!$E$22)))</f>
        <v/>
      </c>
      <c r="W115">
        <f>IF($A115="","",IF($B115="V01",Cadrage!$C$23,IF($B115="V02",Cadrage!$D$23,Cadrage!$E$23)))</f>
        <v/>
      </c>
      <c r="X115">
        <f>IF($A115="","",IF($B115="V01",Cadrage!$C$24,IF($B115="V02",Cadrage!$D$24,Cadrage!$E$24)))</f>
        <v/>
      </c>
      <c r="Y115">
        <f>IF($A115="","",IF($B115="V01",Cadrage!$C$25,IF($B115="V02",Cadrage!$D$25,Cadrage!$E$25)))</f>
        <v/>
      </c>
      <c r="Z115">
        <f>IF($A115="","",IF($B115="V01",Cadrage!$C$26,IF($B115="V02",Cadrage!$D$26,Cadrage!$E$26)))</f>
        <v/>
      </c>
      <c r="AA115">
        <f>IF($A115="","",IF($B115="V01",Cadrage!$C$27,IF($B115="V02",Cadrage!$D$27,Cadrage!$E$27)))</f>
        <v/>
      </c>
      <c r="AB115">
        <f>IF($A115="","",IF($B115="V01",Cadrage!$C$39,IF($B115="V02",Cadrage!$D$39,Cadrage!$E$39)))</f>
        <v/>
      </c>
      <c r="AC115">
        <f>IF($A115="","",IF($F115="MBWAY",Cadrage!$K$11,IF($F115="ISCOM",Cadrage!$K$12,IF($F115="IPAC",Cadrage!$K$13,IF($F115="PIGIER",Cadrage!$K$14,Cadrage!$K$15)))))</f>
        <v/>
      </c>
      <c r="AD115">
        <f>IF($A115="","",($O115*(1+$W115)^$S115+$P115*IFERROR((($T115/$U115)*(1+$V115))^$R115,0))*IFERROR($G115/$Q115,0)*($J115+$Y115)*$K115*($L115+$Z115))</f>
        <v/>
      </c>
      <c r="AE115">
        <f>IF($A115="","",IF($N115=1,$AD115,0))</f>
        <v/>
      </c>
      <c r="AF115">
        <f>IF($A115="","",IF($N115=1,$AD115,$H115*($M115+$AA115)))</f>
        <v/>
      </c>
      <c r="AG115">
        <f>IF($A115="","",$I115*(1+$X115*$AC115))</f>
        <v/>
      </c>
      <c r="AH115">
        <f>IF($A115="","",$AF115*$AG115+$AE115*$AB115)</f>
        <v/>
      </c>
    </row>
    <row r="116">
      <c r="A116">
        <f>IF(Moteur!D116="","",Moteur!D116)</f>
        <v/>
      </c>
      <c r="B116">
        <f>IF(Moteur!B116="","",Moteur!B116)</f>
        <v/>
      </c>
      <c r="C116">
        <f>IF(Moteur!F116="","",Moteur!F116)</f>
        <v/>
      </c>
      <c r="D116">
        <f>IF(Moteur!G116="","",Moteur!G116)</f>
        <v/>
      </c>
      <c r="E116">
        <f>IF(Moteur!H116="","",Moteur!H116)</f>
        <v/>
      </c>
      <c r="F116">
        <f>IF(Moteur!E116="","",Moteur!E116)</f>
        <v/>
      </c>
      <c r="G116">
        <f>IF($A116="","",SUMIFS(Socle!$H$1:$H$379,Socle!$C$1:$C$379,$A116,Socle!$D$1:$D$379,$C116,Socle!$E$1:$E$379,$D116,Socle!$F$1:$F$379,$E116,Socle!$G$1:$G$379,"2026"))</f>
        <v/>
      </c>
      <c r="H116">
        <f>IF($A116="","",SUMIFS(Socle!$N$1:$N$379,Socle!$C$1:$C$379,$A116,Socle!$D$1:$D$379,$C116,Socle!$E$1:$E$379,$D116,Socle!$F$1:$F$379,$E116,Socle!$G$1:$G$379,"2026"))</f>
        <v/>
      </c>
      <c r="I116">
        <f>IF($A116="","",SUMIFS(Socle!$P$1:$P$379,Socle!$C$1:$C$379,$A116,Socle!$D$1:$D$379,$C116,Socle!$E$1:$E$379,$D116,Socle!$F$1:$F$379,$E116,Socle!$G$1:$G$379,"2026"))</f>
        <v/>
      </c>
      <c r="J116">
        <f>IF($A116="","",SUMIFS(Socle!$W$1:$W$379,Socle!$C$1:$C$379,$A116,Socle!$D$1:$D$379,$C116,Socle!$E$1:$E$379,$D116,Socle!$F$1:$F$379,$E116,Socle!$G$1:$G$379,"2026"))</f>
        <v/>
      </c>
      <c r="K116">
        <f>IF($A116="","",SUMIFS(Socle!$X$1:$X$379,Socle!$C$1:$C$379,$A116,Socle!$D$1:$D$379,$C116,Socle!$E$1:$E$379,$D116,Socle!$F$1:$F$379,$E116,Socle!$G$1:$G$379,"2026"))</f>
        <v/>
      </c>
      <c r="L116">
        <f>IF($A116="","",SUMIFS(Socle!$Y$1:$Y$379,Socle!$C$1:$C$379,$A116,Socle!$D$1:$D$379,$C116,Socle!$E$1:$E$379,$D116,Socle!$F$1:$F$379,$E116,Socle!$G$1:$G$379,"2026"))</f>
        <v/>
      </c>
      <c r="M116">
        <f>IF($A116="","",SUMIFS(Socle!$V$1:$V$379,Socle!$C$1:$C$379,$A116,Socle!$D$1:$D$379,$C116,Socle!$E$1:$E$379,$D116,Socle!$F$1:$F$379,$E116,Socle!$G$1:$G$379,"2026"))</f>
        <v/>
      </c>
      <c r="N116">
        <f>IF($A116="","",IF(OR($D116="B1",$D116="M1",$D116="BTS1"),1,0))</f>
        <v/>
      </c>
      <c r="O116">
        <f>IF($A116="","",SUMIFS(Campagne!$D$1:$D$28,Campagne!$C$1:$C$28,$A116))</f>
        <v/>
      </c>
      <c r="P116">
        <f>IF($A116="","",SUMIFS(Campagne!$E$1:$E$28,Campagne!$C$1:$C$28,$A116))</f>
        <v/>
      </c>
      <c r="Q116">
        <f>IF($A116="","",SUMIFS(Campagne!$F$1:$F$28,Campagne!$C$1:$C$28,$A116))</f>
        <v/>
      </c>
      <c r="R116">
        <f>IF($A116="","",SUMIFS(Campagne!$K$1:$K$28,Campagne!$C$1:$C$28,$A116))</f>
        <v/>
      </c>
      <c r="S116">
        <f>IF($A116="","",SUMIFS(Campagne!$M$1:$M$28,Campagne!$C$1:$C$28,$A116))</f>
        <v/>
      </c>
      <c r="T116">
        <f>IF($A116="","",SUMIFS(Pilotage!$K$19:$K$32,Pilotage!$A$19:$A$32,$A116)*SUMIFS(Pilotage!$J$19:$J$32,Pilotage!$A$19:$A$32,$A116)*(SUM(Pilotage!$K$19:$K$32)/SUMPRODUCT(Pilotage!$K$19:$K$32,Pilotage!$J$19:$J$32)))</f>
        <v/>
      </c>
      <c r="U116">
        <f>IF($A116="","",SUMIFS(Pilotage!$K$19:$K$32,Pilotage!$A$19:$A$32,$A116))</f>
        <v/>
      </c>
      <c r="V116">
        <f>IF($A116="","",IF($B116="V01",Cadrage!$C$22,IF($B116="V02",Cadrage!$D$22,Cadrage!$E$22)))</f>
        <v/>
      </c>
      <c r="W116">
        <f>IF($A116="","",IF($B116="V01",Cadrage!$C$23,IF($B116="V02",Cadrage!$D$23,Cadrage!$E$23)))</f>
        <v/>
      </c>
      <c r="X116">
        <f>IF($A116="","",IF($B116="V01",Cadrage!$C$24,IF($B116="V02",Cadrage!$D$24,Cadrage!$E$24)))</f>
        <v/>
      </c>
      <c r="Y116">
        <f>IF($A116="","",IF($B116="V01",Cadrage!$C$25,IF($B116="V02",Cadrage!$D$25,Cadrage!$E$25)))</f>
        <v/>
      </c>
      <c r="Z116">
        <f>IF($A116="","",IF($B116="V01",Cadrage!$C$26,IF($B116="V02",Cadrage!$D$26,Cadrage!$E$26)))</f>
        <v/>
      </c>
      <c r="AA116">
        <f>IF($A116="","",IF($B116="V01",Cadrage!$C$27,IF($B116="V02",Cadrage!$D$27,Cadrage!$E$27)))</f>
        <v/>
      </c>
      <c r="AB116">
        <f>IF($A116="","",IF($B116="V01",Cadrage!$C$39,IF($B116="V02",Cadrage!$D$39,Cadrage!$E$39)))</f>
        <v/>
      </c>
      <c r="AC116">
        <f>IF($A116="","",IF($F116="MBWAY",Cadrage!$K$11,IF($F116="ISCOM",Cadrage!$K$12,IF($F116="IPAC",Cadrage!$K$13,IF($F116="PIGIER",Cadrage!$K$14,Cadrage!$K$15)))))</f>
        <v/>
      </c>
      <c r="AD116">
        <f>IF($A116="","",($O116*(1+$W116)^$S116+$P116*IFERROR((($T116/$U116)*(1+$V116))^$R116,0))*IFERROR($G116/$Q116,0)*($J116+$Y116)*$K116*($L116+$Z116))</f>
        <v/>
      </c>
      <c r="AE116">
        <f>IF($A116="","",IF($N116=1,$AD116,0))</f>
        <v/>
      </c>
      <c r="AF116">
        <f>IF($A116="","",IF($N116=1,$AD116,$H116*($M116+$AA116)))</f>
        <v/>
      </c>
      <c r="AG116">
        <f>IF($A116="","",$I116*(1+$X116*$AC116))</f>
        <v/>
      </c>
      <c r="AH116">
        <f>IF($A116="","",$AF116*$AG116+$AE116*$AB116)</f>
        <v/>
      </c>
    </row>
    <row r="117">
      <c r="A117">
        <f>IF(Moteur!D117="","",Moteur!D117)</f>
        <v/>
      </c>
      <c r="B117">
        <f>IF(Moteur!B117="","",Moteur!B117)</f>
        <v/>
      </c>
      <c r="C117">
        <f>IF(Moteur!F117="","",Moteur!F117)</f>
        <v/>
      </c>
      <c r="D117">
        <f>IF(Moteur!G117="","",Moteur!G117)</f>
        <v/>
      </c>
      <c r="E117">
        <f>IF(Moteur!H117="","",Moteur!H117)</f>
        <v/>
      </c>
      <c r="F117">
        <f>IF(Moteur!E117="","",Moteur!E117)</f>
        <v/>
      </c>
      <c r="G117">
        <f>IF($A117="","",SUMIFS(Socle!$H$1:$H$379,Socle!$C$1:$C$379,$A117,Socle!$D$1:$D$379,$C117,Socle!$E$1:$E$379,$D117,Socle!$F$1:$F$379,$E117,Socle!$G$1:$G$379,"2026"))</f>
        <v/>
      </c>
      <c r="H117">
        <f>IF($A117="","",SUMIFS(Socle!$N$1:$N$379,Socle!$C$1:$C$379,$A117,Socle!$D$1:$D$379,$C117,Socle!$E$1:$E$379,$D117,Socle!$F$1:$F$379,$E117,Socle!$G$1:$G$379,"2026"))</f>
        <v/>
      </c>
      <c r="I117">
        <f>IF($A117="","",SUMIFS(Socle!$P$1:$P$379,Socle!$C$1:$C$379,$A117,Socle!$D$1:$D$379,$C117,Socle!$E$1:$E$379,$D117,Socle!$F$1:$F$379,$E117,Socle!$G$1:$G$379,"2026"))</f>
        <v/>
      </c>
      <c r="J117">
        <f>IF($A117="","",SUMIFS(Socle!$W$1:$W$379,Socle!$C$1:$C$379,$A117,Socle!$D$1:$D$379,$C117,Socle!$E$1:$E$379,$D117,Socle!$F$1:$F$379,$E117,Socle!$G$1:$G$379,"2026"))</f>
        <v/>
      </c>
      <c r="K117">
        <f>IF($A117="","",SUMIFS(Socle!$X$1:$X$379,Socle!$C$1:$C$379,$A117,Socle!$D$1:$D$379,$C117,Socle!$E$1:$E$379,$D117,Socle!$F$1:$F$379,$E117,Socle!$G$1:$G$379,"2026"))</f>
        <v/>
      </c>
      <c r="L117">
        <f>IF($A117="","",SUMIFS(Socle!$Y$1:$Y$379,Socle!$C$1:$C$379,$A117,Socle!$D$1:$D$379,$C117,Socle!$E$1:$E$379,$D117,Socle!$F$1:$F$379,$E117,Socle!$G$1:$G$379,"2026"))</f>
        <v/>
      </c>
      <c r="M117">
        <f>IF($A117="","",SUMIFS(Socle!$V$1:$V$379,Socle!$C$1:$C$379,$A117,Socle!$D$1:$D$379,$C117,Socle!$E$1:$E$379,$D117,Socle!$F$1:$F$379,$E117,Socle!$G$1:$G$379,"2026"))</f>
        <v/>
      </c>
      <c r="N117">
        <f>IF($A117="","",IF(OR($D117="B1",$D117="M1",$D117="BTS1"),1,0))</f>
        <v/>
      </c>
      <c r="O117">
        <f>IF($A117="","",SUMIFS(Campagne!$D$1:$D$28,Campagne!$C$1:$C$28,$A117))</f>
        <v/>
      </c>
      <c r="P117">
        <f>IF($A117="","",SUMIFS(Campagne!$E$1:$E$28,Campagne!$C$1:$C$28,$A117))</f>
        <v/>
      </c>
      <c r="Q117">
        <f>IF($A117="","",SUMIFS(Campagne!$F$1:$F$28,Campagne!$C$1:$C$28,$A117))</f>
        <v/>
      </c>
      <c r="R117">
        <f>IF($A117="","",SUMIFS(Campagne!$K$1:$K$28,Campagne!$C$1:$C$28,$A117))</f>
        <v/>
      </c>
      <c r="S117">
        <f>IF($A117="","",SUMIFS(Campagne!$M$1:$M$28,Campagne!$C$1:$C$28,$A117))</f>
        <v/>
      </c>
      <c r="T117">
        <f>IF($A117="","",SUMIFS(Pilotage!$K$19:$K$32,Pilotage!$A$19:$A$32,$A117)*SUMIFS(Pilotage!$J$19:$J$32,Pilotage!$A$19:$A$32,$A117)*(SUM(Pilotage!$K$19:$K$32)/SUMPRODUCT(Pilotage!$K$19:$K$32,Pilotage!$J$19:$J$32)))</f>
        <v/>
      </c>
      <c r="U117">
        <f>IF($A117="","",SUMIFS(Pilotage!$K$19:$K$32,Pilotage!$A$19:$A$32,$A117))</f>
        <v/>
      </c>
      <c r="V117">
        <f>IF($A117="","",IF($B117="V01",Cadrage!$C$22,IF($B117="V02",Cadrage!$D$22,Cadrage!$E$22)))</f>
        <v/>
      </c>
      <c r="W117">
        <f>IF($A117="","",IF($B117="V01",Cadrage!$C$23,IF($B117="V02",Cadrage!$D$23,Cadrage!$E$23)))</f>
        <v/>
      </c>
      <c r="X117">
        <f>IF($A117="","",IF($B117="V01",Cadrage!$C$24,IF($B117="V02",Cadrage!$D$24,Cadrage!$E$24)))</f>
        <v/>
      </c>
      <c r="Y117">
        <f>IF($A117="","",IF($B117="V01",Cadrage!$C$25,IF($B117="V02",Cadrage!$D$25,Cadrage!$E$25)))</f>
        <v/>
      </c>
      <c r="Z117">
        <f>IF($A117="","",IF($B117="V01",Cadrage!$C$26,IF($B117="V02",Cadrage!$D$26,Cadrage!$E$26)))</f>
        <v/>
      </c>
      <c r="AA117">
        <f>IF($A117="","",IF($B117="V01",Cadrage!$C$27,IF($B117="V02",Cadrage!$D$27,Cadrage!$E$27)))</f>
        <v/>
      </c>
      <c r="AB117">
        <f>IF($A117="","",IF($B117="V01",Cadrage!$C$39,IF($B117="V02",Cadrage!$D$39,Cadrage!$E$39)))</f>
        <v/>
      </c>
      <c r="AC117">
        <f>IF($A117="","",IF($F117="MBWAY",Cadrage!$K$11,IF($F117="ISCOM",Cadrage!$K$12,IF($F117="IPAC",Cadrage!$K$13,IF($F117="PIGIER",Cadrage!$K$14,Cadrage!$K$15)))))</f>
        <v/>
      </c>
      <c r="AD117">
        <f>IF($A117="","",($O117*(1+$W117)^$S117+$P117*IFERROR((($T117/$U117)*(1+$V117))^$R117,0))*IFERROR($G117/$Q117,0)*($J117+$Y117)*$K117*($L117+$Z117))</f>
        <v/>
      </c>
      <c r="AE117">
        <f>IF($A117="","",IF($N117=1,$AD117,0))</f>
        <v/>
      </c>
      <c r="AF117">
        <f>IF($A117="","",IF($N117=1,$AD117,$H117*($M117+$AA117)))</f>
        <v/>
      </c>
      <c r="AG117">
        <f>IF($A117="","",$I117*(1+$X117*$AC117))</f>
        <v/>
      </c>
      <c r="AH117">
        <f>IF($A117="","",$AF117*$AG117+$AE117*$AB117)</f>
        <v/>
      </c>
    </row>
    <row r="118">
      <c r="A118">
        <f>IF(Moteur!D118="","",Moteur!D118)</f>
        <v/>
      </c>
      <c r="B118">
        <f>IF(Moteur!B118="","",Moteur!B118)</f>
        <v/>
      </c>
      <c r="C118">
        <f>IF(Moteur!F118="","",Moteur!F118)</f>
        <v/>
      </c>
      <c r="D118">
        <f>IF(Moteur!G118="","",Moteur!G118)</f>
        <v/>
      </c>
      <c r="E118">
        <f>IF(Moteur!H118="","",Moteur!H118)</f>
        <v/>
      </c>
      <c r="F118">
        <f>IF(Moteur!E118="","",Moteur!E118)</f>
        <v/>
      </c>
      <c r="G118">
        <f>IF($A118="","",SUMIFS(Socle!$H$1:$H$379,Socle!$C$1:$C$379,$A118,Socle!$D$1:$D$379,$C118,Socle!$E$1:$E$379,$D118,Socle!$F$1:$F$379,$E118,Socle!$G$1:$G$379,"2026"))</f>
        <v/>
      </c>
      <c r="H118">
        <f>IF($A118="","",SUMIFS(Socle!$N$1:$N$379,Socle!$C$1:$C$379,$A118,Socle!$D$1:$D$379,$C118,Socle!$E$1:$E$379,$D118,Socle!$F$1:$F$379,$E118,Socle!$G$1:$G$379,"2026"))</f>
        <v/>
      </c>
      <c r="I118">
        <f>IF($A118="","",SUMIFS(Socle!$P$1:$P$379,Socle!$C$1:$C$379,$A118,Socle!$D$1:$D$379,$C118,Socle!$E$1:$E$379,$D118,Socle!$F$1:$F$379,$E118,Socle!$G$1:$G$379,"2026"))</f>
        <v/>
      </c>
      <c r="J118">
        <f>IF($A118="","",SUMIFS(Socle!$W$1:$W$379,Socle!$C$1:$C$379,$A118,Socle!$D$1:$D$379,$C118,Socle!$E$1:$E$379,$D118,Socle!$F$1:$F$379,$E118,Socle!$G$1:$G$379,"2026"))</f>
        <v/>
      </c>
      <c r="K118">
        <f>IF($A118="","",SUMIFS(Socle!$X$1:$X$379,Socle!$C$1:$C$379,$A118,Socle!$D$1:$D$379,$C118,Socle!$E$1:$E$379,$D118,Socle!$F$1:$F$379,$E118,Socle!$G$1:$G$379,"2026"))</f>
        <v/>
      </c>
      <c r="L118">
        <f>IF($A118="","",SUMIFS(Socle!$Y$1:$Y$379,Socle!$C$1:$C$379,$A118,Socle!$D$1:$D$379,$C118,Socle!$E$1:$E$379,$D118,Socle!$F$1:$F$379,$E118,Socle!$G$1:$G$379,"2026"))</f>
        <v/>
      </c>
      <c r="M118">
        <f>IF($A118="","",SUMIFS(Socle!$V$1:$V$379,Socle!$C$1:$C$379,$A118,Socle!$D$1:$D$379,$C118,Socle!$E$1:$E$379,$D118,Socle!$F$1:$F$379,$E118,Socle!$G$1:$G$379,"2026"))</f>
        <v/>
      </c>
      <c r="N118">
        <f>IF($A118="","",IF(OR($D118="B1",$D118="M1",$D118="BTS1"),1,0))</f>
        <v/>
      </c>
      <c r="O118">
        <f>IF($A118="","",SUMIFS(Campagne!$D$1:$D$28,Campagne!$C$1:$C$28,$A118))</f>
        <v/>
      </c>
      <c r="P118">
        <f>IF($A118="","",SUMIFS(Campagne!$E$1:$E$28,Campagne!$C$1:$C$28,$A118))</f>
        <v/>
      </c>
      <c r="Q118">
        <f>IF($A118="","",SUMIFS(Campagne!$F$1:$F$28,Campagne!$C$1:$C$28,$A118))</f>
        <v/>
      </c>
      <c r="R118">
        <f>IF($A118="","",SUMIFS(Campagne!$K$1:$K$28,Campagne!$C$1:$C$28,$A118))</f>
        <v/>
      </c>
      <c r="S118">
        <f>IF($A118="","",SUMIFS(Campagne!$M$1:$M$28,Campagne!$C$1:$C$28,$A118))</f>
        <v/>
      </c>
      <c r="T118">
        <f>IF($A118="","",SUMIFS(Pilotage!$K$19:$K$32,Pilotage!$A$19:$A$32,$A118)*SUMIFS(Pilotage!$J$19:$J$32,Pilotage!$A$19:$A$32,$A118)*(SUM(Pilotage!$K$19:$K$32)/SUMPRODUCT(Pilotage!$K$19:$K$32,Pilotage!$J$19:$J$32)))</f>
        <v/>
      </c>
      <c r="U118">
        <f>IF($A118="","",SUMIFS(Pilotage!$K$19:$K$32,Pilotage!$A$19:$A$32,$A118))</f>
        <v/>
      </c>
      <c r="V118">
        <f>IF($A118="","",IF($B118="V01",Cadrage!$C$22,IF($B118="V02",Cadrage!$D$22,Cadrage!$E$22)))</f>
        <v/>
      </c>
      <c r="W118">
        <f>IF($A118="","",IF($B118="V01",Cadrage!$C$23,IF($B118="V02",Cadrage!$D$23,Cadrage!$E$23)))</f>
        <v/>
      </c>
      <c r="X118">
        <f>IF($A118="","",IF($B118="V01",Cadrage!$C$24,IF($B118="V02",Cadrage!$D$24,Cadrage!$E$24)))</f>
        <v/>
      </c>
      <c r="Y118">
        <f>IF($A118="","",IF($B118="V01",Cadrage!$C$25,IF($B118="V02",Cadrage!$D$25,Cadrage!$E$25)))</f>
        <v/>
      </c>
      <c r="Z118">
        <f>IF($A118="","",IF($B118="V01",Cadrage!$C$26,IF($B118="V02",Cadrage!$D$26,Cadrage!$E$26)))</f>
        <v/>
      </c>
      <c r="AA118">
        <f>IF($A118="","",IF($B118="V01",Cadrage!$C$27,IF($B118="V02",Cadrage!$D$27,Cadrage!$E$27)))</f>
        <v/>
      </c>
      <c r="AB118">
        <f>IF($A118="","",IF($B118="V01",Cadrage!$C$39,IF($B118="V02",Cadrage!$D$39,Cadrage!$E$39)))</f>
        <v/>
      </c>
      <c r="AC118">
        <f>IF($A118="","",IF($F118="MBWAY",Cadrage!$K$11,IF($F118="ISCOM",Cadrage!$K$12,IF($F118="IPAC",Cadrage!$K$13,IF($F118="PIGIER",Cadrage!$K$14,Cadrage!$K$15)))))</f>
        <v/>
      </c>
      <c r="AD118">
        <f>IF($A118="","",($O118*(1+$W118)^$S118+$P118*IFERROR((($T118/$U118)*(1+$V118))^$R118,0))*IFERROR($G118/$Q118,0)*($J118+$Y118)*$K118*($L118+$Z118))</f>
        <v/>
      </c>
      <c r="AE118">
        <f>IF($A118="","",IF($N118=1,$AD118,0))</f>
        <v/>
      </c>
      <c r="AF118">
        <f>IF($A118="","",IF($N118=1,$AD118,$H118*($M118+$AA118)))</f>
        <v/>
      </c>
      <c r="AG118">
        <f>IF($A118="","",$I118*(1+$X118*$AC118))</f>
        <v/>
      </c>
      <c r="AH118">
        <f>IF($A118="","",$AF118*$AG118+$AE118*$AB118)</f>
        <v/>
      </c>
    </row>
    <row r="119">
      <c r="A119">
        <f>IF(Moteur!D119="","",Moteur!D119)</f>
        <v/>
      </c>
      <c r="B119">
        <f>IF(Moteur!B119="","",Moteur!B119)</f>
        <v/>
      </c>
      <c r="C119">
        <f>IF(Moteur!F119="","",Moteur!F119)</f>
        <v/>
      </c>
      <c r="D119">
        <f>IF(Moteur!G119="","",Moteur!G119)</f>
        <v/>
      </c>
      <c r="E119">
        <f>IF(Moteur!H119="","",Moteur!H119)</f>
        <v/>
      </c>
      <c r="F119">
        <f>IF(Moteur!E119="","",Moteur!E119)</f>
        <v/>
      </c>
      <c r="G119">
        <f>IF($A119="","",SUMIFS(Socle!$H$1:$H$379,Socle!$C$1:$C$379,$A119,Socle!$D$1:$D$379,$C119,Socle!$E$1:$E$379,$D119,Socle!$F$1:$F$379,$E119,Socle!$G$1:$G$379,"2026"))</f>
        <v/>
      </c>
      <c r="H119">
        <f>IF($A119="","",SUMIFS(Socle!$N$1:$N$379,Socle!$C$1:$C$379,$A119,Socle!$D$1:$D$379,$C119,Socle!$E$1:$E$379,$D119,Socle!$F$1:$F$379,$E119,Socle!$G$1:$G$379,"2026"))</f>
        <v/>
      </c>
      <c r="I119">
        <f>IF($A119="","",SUMIFS(Socle!$P$1:$P$379,Socle!$C$1:$C$379,$A119,Socle!$D$1:$D$379,$C119,Socle!$E$1:$E$379,$D119,Socle!$F$1:$F$379,$E119,Socle!$G$1:$G$379,"2026"))</f>
        <v/>
      </c>
      <c r="J119">
        <f>IF($A119="","",SUMIFS(Socle!$W$1:$W$379,Socle!$C$1:$C$379,$A119,Socle!$D$1:$D$379,$C119,Socle!$E$1:$E$379,$D119,Socle!$F$1:$F$379,$E119,Socle!$G$1:$G$379,"2026"))</f>
        <v/>
      </c>
      <c r="K119">
        <f>IF($A119="","",SUMIFS(Socle!$X$1:$X$379,Socle!$C$1:$C$379,$A119,Socle!$D$1:$D$379,$C119,Socle!$E$1:$E$379,$D119,Socle!$F$1:$F$379,$E119,Socle!$G$1:$G$379,"2026"))</f>
        <v/>
      </c>
      <c r="L119">
        <f>IF($A119="","",SUMIFS(Socle!$Y$1:$Y$379,Socle!$C$1:$C$379,$A119,Socle!$D$1:$D$379,$C119,Socle!$E$1:$E$379,$D119,Socle!$F$1:$F$379,$E119,Socle!$G$1:$G$379,"2026"))</f>
        <v/>
      </c>
      <c r="M119">
        <f>IF($A119="","",SUMIFS(Socle!$V$1:$V$379,Socle!$C$1:$C$379,$A119,Socle!$D$1:$D$379,$C119,Socle!$E$1:$E$379,$D119,Socle!$F$1:$F$379,$E119,Socle!$G$1:$G$379,"2026"))</f>
        <v/>
      </c>
      <c r="N119">
        <f>IF($A119="","",IF(OR($D119="B1",$D119="M1",$D119="BTS1"),1,0))</f>
        <v/>
      </c>
      <c r="O119">
        <f>IF($A119="","",SUMIFS(Campagne!$D$1:$D$28,Campagne!$C$1:$C$28,$A119))</f>
        <v/>
      </c>
      <c r="P119">
        <f>IF($A119="","",SUMIFS(Campagne!$E$1:$E$28,Campagne!$C$1:$C$28,$A119))</f>
        <v/>
      </c>
      <c r="Q119">
        <f>IF($A119="","",SUMIFS(Campagne!$F$1:$F$28,Campagne!$C$1:$C$28,$A119))</f>
        <v/>
      </c>
      <c r="R119">
        <f>IF($A119="","",SUMIFS(Campagne!$K$1:$K$28,Campagne!$C$1:$C$28,$A119))</f>
        <v/>
      </c>
      <c r="S119">
        <f>IF($A119="","",SUMIFS(Campagne!$M$1:$M$28,Campagne!$C$1:$C$28,$A119))</f>
        <v/>
      </c>
      <c r="T119">
        <f>IF($A119="","",SUMIFS(Pilotage!$K$19:$K$32,Pilotage!$A$19:$A$32,$A119)*SUMIFS(Pilotage!$J$19:$J$32,Pilotage!$A$19:$A$32,$A119)*(SUM(Pilotage!$K$19:$K$32)/SUMPRODUCT(Pilotage!$K$19:$K$32,Pilotage!$J$19:$J$32)))</f>
        <v/>
      </c>
      <c r="U119">
        <f>IF($A119="","",SUMIFS(Pilotage!$K$19:$K$32,Pilotage!$A$19:$A$32,$A119))</f>
        <v/>
      </c>
      <c r="V119">
        <f>IF($A119="","",IF($B119="V01",Cadrage!$C$22,IF($B119="V02",Cadrage!$D$22,Cadrage!$E$22)))</f>
        <v/>
      </c>
      <c r="W119">
        <f>IF($A119="","",IF($B119="V01",Cadrage!$C$23,IF($B119="V02",Cadrage!$D$23,Cadrage!$E$23)))</f>
        <v/>
      </c>
      <c r="X119">
        <f>IF($A119="","",IF($B119="V01",Cadrage!$C$24,IF($B119="V02",Cadrage!$D$24,Cadrage!$E$24)))</f>
        <v/>
      </c>
      <c r="Y119">
        <f>IF($A119="","",IF($B119="V01",Cadrage!$C$25,IF($B119="V02",Cadrage!$D$25,Cadrage!$E$25)))</f>
        <v/>
      </c>
      <c r="Z119">
        <f>IF($A119="","",IF($B119="V01",Cadrage!$C$26,IF($B119="V02",Cadrage!$D$26,Cadrage!$E$26)))</f>
        <v/>
      </c>
      <c r="AA119">
        <f>IF($A119="","",IF($B119="V01",Cadrage!$C$27,IF($B119="V02",Cadrage!$D$27,Cadrage!$E$27)))</f>
        <v/>
      </c>
      <c r="AB119">
        <f>IF($A119="","",IF($B119="V01",Cadrage!$C$39,IF($B119="V02",Cadrage!$D$39,Cadrage!$E$39)))</f>
        <v/>
      </c>
      <c r="AC119">
        <f>IF($A119="","",IF($F119="MBWAY",Cadrage!$K$11,IF($F119="ISCOM",Cadrage!$K$12,IF($F119="IPAC",Cadrage!$K$13,IF($F119="PIGIER",Cadrage!$K$14,Cadrage!$K$15)))))</f>
        <v/>
      </c>
      <c r="AD119">
        <f>IF($A119="","",($O119*(1+$W119)^$S119+$P119*IFERROR((($T119/$U119)*(1+$V119))^$R119,0))*IFERROR($G119/$Q119,0)*($J119+$Y119)*$K119*($L119+$Z119))</f>
        <v/>
      </c>
      <c r="AE119">
        <f>IF($A119="","",IF($N119=1,$AD119,0))</f>
        <v/>
      </c>
      <c r="AF119">
        <f>IF($A119="","",IF($N119=1,$AD119,$H119*($M119+$AA119)))</f>
        <v/>
      </c>
      <c r="AG119">
        <f>IF($A119="","",$I119*(1+$X119*$AC119))</f>
        <v/>
      </c>
      <c r="AH119">
        <f>IF($A119="","",$AF119*$AG119+$AE119*$AB119)</f>
        <v/>
      </c>
    </row>
    <row r="120">
      <c r="A120">
        <f>IF(Moteur!D120="","",Moteur!D120)</f>
        <v/>
      </c>
      <c r="B120">
        <f>IF(Moteur!B120="","",Moteur!B120)</f>
        <v/>
      </c>
      <c r="C120">
        <f>IF(Moteur!F120="","",Moteur!F120)</f>
        <v/>
      </c>
      <c r="D120">
        <f>IF(Moteur!G120="","",Moteur!G120)</f>
        <v/>
      </c>
      <c r="E120">
        <f>IF(Moteur!H120="","",Moteur!H120)</f>
        <v/>
      </c>
      <c r="F120">
        <f>IF(Moteur!E120="","",Moteur!E120)</f>
        <v/>
      </c>
      <c r="G120">
        <f>IF($A120="","",SUMIFS(Socle!$H$1:$H$379,Socle!$C$1:$C$379,$A120,Socle!$D$1:$D$379,$C120,Socle!$E$1:$E$379,$D120,Socle!$F$1:$F$379,$E120,Socle!$G$1:$G$379,"2026"))</f>
        <v/>
      </c>
      <c r="H120">
        <f>IF($A120="","",SUMIFS(Socle!$N$1:$N$379,Socle!$C$1:$C$379,$A120,Socle!$D$1:$D$379,$C120,Socle!$E$1:$E$379,$D120,Socle!$F$1:$F$379,$E120,Socle!$G$1:$G$379,"2026"))</f>
        <v/>
      </c>
      <c r="I120">
        <f>IF($A120="","",SUMIFS(Socle!$P$1:$P$379,Socle!$C$1:$C$379,$A120,Socle!$D$1:$D$379,$C120,Socle!$E$1:$E$379,$D120,Socle!$F$1:$F$379,$E120,Socle!$G$1:$G$379,"2026"))</f>
        <v/>
      </c>
      <c r="J120">
        <f>IF($A120="","",SUMIFS(Socle!$W$1:$W$379,Socle!$C$1:$C$379,$A120,Socle!$D$1:$D$379,$C120,Socle!$E$1:$E$379,$D120,Socle!$F$1:$F$379,$E120,Socle!$G$1:$G$379,"2026"))</f>
        <v/>
      </c>
      <c r="K120">
        <f>IF($A120="","",SUMIFS(Socle!$X$1:$X$379,Socle!$C$1:$C$379,$A120,Socle!$D$1:$D$379,$C120,Socle!$E$1:$E$379,$D120,Socle!$F$1:$F$379,$E120,Socle!$G$1:$G$379,"2026"))</f>
        <v/>
      </c>
      <c r="L120">
        <f>IF($A120="","",SUMIFS(Socle!$Y$1:$Y$379,Socle!$C$1:$C$379,$A120,Socle!$D$1:$D$379,$C120,Socle!$E$1:$E$379,$D120,Socle!$F$1:$F$379,$E120,Socle!$G$1:$G$379,"2026"))</f>
        <v/>
      </c>
      <c r="M120">
        <f>IF($A120="","",SUMIFS(Socle!$V$1:$V$379,Socle!$C$1:$C$379,$A120,Socle!$D$1:$D$379,$C120,Socle!$E$1:$E$379,$D120,Socle!$F$1:$F$379,$E120,Socle!$G$1:$G$379,"2026"))</f>
        <v/>
      </c>
      <c r="N120">
        <f>IF($A120="","",IF(OR($D120="B1",$D120="M1",$D120="BTS1"),1,0))</f>
        <v/>
      </c>
      <c r="O120">
        <f>IF($A120="","",SUMIFS(Campagne!$D$1:$D$28,Campagne!$C$1:$C$28,$A120))</f>
        <v/>
      </c>
      <c r="P120">
        <f>IF($A120="","",SUMIFS(Campagne!$E$1:$E$28,Campagne!$C$1:$C$28,$A120))</f>
        <v/>
      </c>
      <c r="Q120">
        <f>IF($A120="","",SUMIFS(Campagne!$F$1:$F$28,Campagne!$C$1:$C$28,$A120))</f>
        <v/>
      </c>
      <c r="R120">
        <f>IF($A120="","",SUMIFS(Campagne!$K$1:$K$28,Campagne!$C$1:$C$28,$A120))</f>
        <v/>
      </c>
      <c r="S120">
        <f>IF($A120="","",SUMIFS(Campagne!$M$1:$M$28,Campagne!$C$1:$C$28,$A120))</f>
        <v/>
      </c>
      <c r="T120">
        <f>IF($A120="","",SUMIFS(Pilotage!$K$19:$K$32,Pilotage!$A$19:$A$32,$A120)*SUMIFS(Pilotage!$J$19:$J$32,Pilotage!$A$19:$A$32,$A120)*(SUM(Pilotage!$K$19:$K$32)/SUMPRODUCT(Pilotage!$K$19:$K$32,Pilotage!$J$19:$J$32)))</f>
        <v/>
      </c>
      <c r="U120">
        <f>IF($A120="","",SUMIFS(Pilotage!$K$19:$K$32,Pilotage!$A$19:$A$32,$A120))</f>
        <v/>
      </c>
      <c r="V120">
        <f>IF($A120="","",IF($B120="V01",Cadrage!$C$22,IF($B120="V02",Cadrage!$D$22,Cadrage!$E$22)))</f>
        <v/>
      </c>
      <c r="W120">
        <f>IF($A120="","",IF($B120="V01",Cadrage!$C$23,IF($B120="V02",Cadrage!$D$23,Cadrage!$E$23)))</f>
        <v/>
      </c>
      <c r="X120">
        <f>IF($A120="","",IF($B120="V01",Cadrage!$C$24,IF($B120="V02",Cadrage!$D$24,Cadrage!$E$24)))</f>
        <v/>
      </c>
      <c r="Y120">
        <f>IF($A120="","",IF($B120="V01",Cadrage!$C$25,IF($B120="V02",Cadrage!$D$25,Cadrage!$E$25)))</f>
        <v/>
      </c>
      <c r="Z120">
        <f>IF($A120="","",IF($B120="V01",Cadrage!$C$26,IF($B120="V02",Cadrage!$D$26,Cadrage!$E$26)))</f>
        <v/>
      </c>
      <c r="AA120">
        <f>IF($A120="","",IF($B120="V01",Cadrage!$C$27,IF($B120="V02",Cadrage!$D$27,Cadrage!$E$27)))</f>
        <v/>
      </c>
      <c r="AB120">
        <f>IF($A120="","",IF($B120="V01",Cadrage!$C$39,IF($B120="V02",Cadrage!$D$39,Cadrage!$E$39)))</f>
        <v/>
      </c>
      <c r="AC120">
        <f>IF($A120="","",IF($F120="MBWAY",Cadrage!$K$11,IF($F120="ISCOM",Cadrage!$K$12,IF($F120="IPAC",Cadrage!$K$13,IF($F120="PIGIER",Cadrage!$K$14,Cadrage!$K$15)))))</f>
        <v/>
      </c>
      <c r="AD120">
        <f>IF($A120="","",($O120*(1+$W120)^$S120+$P120*IFERROR((($T120/$U120)*(1+$V120))^$R120,0))*IFERROR($G120/$Q120,0)*($J120+$Y120)*$K120*($L120+$Z120))</f>
        <v/>
      </c>
      <c r="AE120">
        <f>IF($A120="","",IF($N120=1,$AD120,0))</f>
        <v/>
      </c>
      <c r="AF120">
        <f>IF($A120="","",IF($N120=1,$AD120,$H120*($M120+$AA120)))</f>
        <v/>
      </c>
      <c r="AG120">
        <f>IF($A120="","",$I120*(1+$X120*$AC120))</f>
        <v/>
      </c>
      <c r="AH120">
        <f>IF($A120="","",$AF120*$AG120+$AE120*$AB120)</f>
        <v/>
      </c>
    </row>
    <row r="121">
      <c r="A121">
        <f>IF(Moteur!D121="","",Moteur!D121)</f>
        <v/>
      </c>
      <c r="B121">
        <f>IF(Moteur!B121="","",Moteur!B121)</f>
        <v/>
      </c>
      <c r="C121">
        <f>IF(Moteur!F121="","",Moteur!F121)</f>
        <v/>
      </c>
      <c r="D121">
        <f>IF(Moteur!G121="","",Moteur!G121)</f>
        <v/>
      </c>
      <c r="E121">
        <f>IF(Moteur!H121="","",Moteur!H121)</f>
        <v/>
      </c>
      <c r="F121">
        <f>IF(Moteur!E121="","",Moteur!E121)</f>
        <v/>
      </c>
      <c r="G121">
        <f>IF($A121="","",SUMIFS(Socle!$H$1:$H$379,Socle!$C$1:$C$379,$A121,Socle!$D$1:$D$379,$C121,Socle!$E$1:$E$379,$D121,Socle!$F$1:$F$379,$E121,Socle!$G$1:$G$379,"2026"))</f>
        <v/>
      </c>
      <c r="H121">
        <f>IF($A121="","",SUMIFS(Socle!$N$1:$N$379,Socle!$C$1:$C$379,$A121,Socle!$D$1:$D$379,$C121,Socle!$E$1:$E$379,$D121,Socle!$F$1:$F$379,$E121,Socle!$G$1:$G$379,"2026"))</f>
        <v/>
      </c>
      <c r="I121">
        <f>IF($A121="","",SUMIFS(Socle!$P$1:$P$379,Socle!$C$1:$C$379,$A121,Socle!$D$1:$D$379,$C121,Socle!$E$1:$E$379,$D121,Socle!$F$1:$F$379,$E121,Socle!$G$1:$G$379,"2026"))</f>
        <v/>
      </c>
      <c r="J121">
        <f>IF($A121="","",SUMIFS(Socle!$W$1:$W$379,Socle!$C$1:$C$379,$A121,Socle!$D$1:$D$379,$C121,Socle!$E$1:$E$379,$D121,Socle!$F$1:$F$379,$E121,Socle!$G$1:$G$379,"2026"))</f>
        <v/>
      </c>
      <c r="K121">
        <f>IF($A121="","",SUMIFS(Socle!$X$1:$X$379,Socle!$C$1:$C$379,$A121,Socle!$D$1:$D$379,$C121,Socle!$E$1:$E$379,$D121,Socle!$F$1:$F$379,$E121,Socle!$G$1:$G$379,"2026"))</f>
        <v/>
      </c>
      <c r="L121">
        <f>IF($A121="","",SUMIFS(Socle!$Y$1:$Y$379,Socle!$C$1:$C$379,$A121,Socle!$D$1:$D$379,$C121,Socle!$E$1:$E$379,$D121,Socle!$F$1:$F$379,$E121,Socle!$G$1:$G$379,"2026"))</f>
        <v/>
      </c>
      <c r="M121">
        <f>IF($A121="","",SUMIFS(Socle!$V$1:$V$379,Socle!$C$1:$C$379,$A121,Socle!$D$1:$D$379,$C121,Socle!$E$1:$E$379,$D121,Socle!$F$1:$F$379,$E121,Socle!$G$1:$G$379,"2026"))</f>
        <v/>
      </c>
      <c r="N121">
        <f>IF($A121="","",IF(OR($D121="B1",$D121="M1",$D121="BTS1"),1,0))</f>
        <v/>
      </c>
      <c r="O121">
        <f>IF($A121="","",SUMIFS(Campagne!$D$1:$D$28,Campagne!$C$1:$C$28,$A121))</f>
        <v/>
      </c>
      <c r="P121">
        <f>IF($A121="","",SUMIFS(Campagne!$E$1:$E$28,Campagne!$C$1:$C$28,$A121))</f>
        <v/>
      </c>
      <c r="Q121">
        <f>IF($A121="","",SUMIFS(Campagne!$F$1:$F$28,Campagne!$C$1:$C$28,$A121))</f>
        <v/>
      </c>
      <c r="R121">
        <f>IF($A121="","",SUMIFS(Campagne!$K$1:$K$28,Campagne!$C$1:$C$28,$A121))</f>
        <v/>
      </c>
      <c r="S121">
        <f>IF($A121="","",SUMIFS(Campagne!$M$1:$M$28,Campagne!$C$1:$C$28,$A121))</f>
        <v/>
      </c>
      <c r="T121">
        <f>IF($A121="","",SUMIFS(Pilotage!$K$19:$K$32,Pilotage!$A$19:$A$32,$A121)*SUMIFS(Pilotage!$J$19:$J$32,Pilotage!$A$19:$A$32,$A121)*(SUM(Pilotage!$K$19:$K$32)/SUMPRODUCT(Pilotage!$K$19:$K$32,Pilotage!$J$19:$J$32)))</f>
        <v/>
      </c>
      <c r="U121">
        <f>IF($A121="","",SUMIFS(Pilotage!$K$19:$K$32,Pilotage!$A$19:$A$32,$A121))</f>
        <v/>
      </c>
      <c r="V121">
        <f>IF($A121="","",IF($B121="V01",Cadrage!$C$22,IF($B121="V02",Cadrage!$D$22,Cadrage!$E$22)))</f>
        <v/>
      </c>
      <c r="W121">
        <f>IF($A121="","",IF($B121="V01",Cadrage!$C$23,IF($B121="V02",Cadrage!$D$23,Cadrage!$E$23)))</f>
        <v/>
      </c>
      <c r="X121">
        <f>IF($A121="","",IF($B121="V01",Cadrage!$C$24,IF($B121="V02",Cadrage!$D$24,Cadrage!$E$24)))</f>
        <v/>
      </c>
      <c r="Y121">
        <f>IF($A121="","",IF($B121="V01",Cadrage!$C$25,IF($B121="V02",Cadrage!$D$25,Cadrage!$E$25)))</f>
        <v/>
      </c>
      <c r="Z121">
        <f>IF($A121="","",IF($B121="V01",Cadrage!$C$26,IF($B121="V02",Cadrage!$D$26,Cadrage!$E$26)))</f>
        <v/>
      </c>
      <c r="AA121">
        <f>IF($A121="","",IF($B121="V01",Cadrage!$C$27,IF($B121="V02",Cadrage!$D$27,Cadrage!$E$27)))</f>
        <v/>
      </c>
      <c r="AB121">
        <f>IF($A121="","",IF($B121="V01",Cadrage!$C$39,IF($B121="V02",Cadrage!$D$39,Cadrage!$E$39)))</f>
        <v/>
      </c>
      <c r="AC121">
        <f>IF($A121="","",IF($F121="MBWAY",Cadrage!$K$11,IF($F121="ISCOM",Cadrage!$K$12,IF($F121="IPAC",Cadrage!$K$13,IF($F121="PIGIER",Cadrage!$K$14,Cadrage!$K$15)))))</f>
        <v/>
      </c>
      <c r="AD121">
        <f>IF($A121="","",($O121*(1+$W121)^$S121+$P121*IFERROR((($T121/$U121)*(1+$V121))^$R121,0))*IFERROR($G121/$Q121,0)*($J121+$Y121)*$K121*($L121+$Z121))</f>
        <v/>
      </c>
      <c r="AE121">
        <f>IF($A121="","",IF($N121=1,$AD121,0))</f>
        <v/>
      </c>
      <c r="AF121">
        <f>IF($A121="","",IF($N121=1,$AD121,$H121*($M121+$AA121)))</f>
        <v/>
      </c>
      <c r="AG121">
        <f>IF($A121="","",$I121*(1+$X121*$AC121))</f>
        <v/>
      </c>
      <c r="AH121">
        <f>IF($A121="","",$AF121*$AG121+$AE121*$AB121)</f>
        <v/>
      </c>
    </row>
    <row r="122">
      <c r="A122">
        <f>IF(Moteur!D122="","",Moteur!D122)</f>
        <v/>
      </c>
      <c r="B122">
        <f>IF(Moteur!B122="","",Moteur!B122)</f>
        <v/>
      </c>
      <c r="C122">
        <f>IF(Moteur!F122="","",Moteur!F122)</f>
        <v/>
      </c>
      <c r="D122">
        <f>IF(Moteur!G122="","",Moteur!G122)</f>
        <v/>
      </c>
      <c r="E122">
        <f>IF(Moteur!H122="","",Moteur!H122)</f>
        <v/>
      </c>
      <c r="F122">
        <f>IF(Moteur!E122="","",Moteur!E122)</f>
        <v/>
      </c>
      <c r="G122">
        <f>IF($A122="","",SUMIFS(Socle!$H$1:$H$379,Socle!$C$1:$C$379,$A122,Socle!$D$1:$D$379,$C122,Socle!$E$1:$E$379,$D122,Socle!$F$1:$F$379,$E122,Socle!$G$1:$G$379,"2026"))</f>
        <v/>
      </c>
      <c r="H122">
        <f>IF($A122="","",SUMIFS(Socle!$N$1:$N$379,Socle!$C$1:$C$379,$A122,Socle!$D$1:$D$379,$C122,Socle!$E$1:$E$379,$D122,Socle!$F$1:$F$379,$E122,Socle!$G$1:$G$379,"2026"))</f>
        <v/>
      </c>
      <c r="I122">
        <f>IF($A122="","",SUMIFS(Socle!$P$1:$P$379,Socle!$C$1:$C$379,$A122,Socle!$D$1:$D$379,$C122,Socle!$E$1:$E$379,$D122,Socle!$F$1:$F$379,$E122,Socle!$G$1:$G$379,"2026"))</f>
        <v/>
      </c>
      <c r="J122">
        <f>IF($A122="","",SUMIFS(Socle!$W$1:$W$379,Socle!$C$1:$C$379,$A122,Socle!$D$1:$D$379,$C122,Socle!$E$1:$E$379,$D122,Socle!$F$1:$F$379,$E122,Socle!$G$1:$G$379,"2026"))</f>
        <v/>
      </c>
      <c r="K122">
        <f>IF($A122="","",SUMIFS(Socle!$X$1:$X$379,Socle!$C$1:$C$379,$A122,Socle!$D$1:$D$379,$C122,Socle!$E$1:$E$379,$D122,Socle!$F$1:$F$379,$E122,Socle!$G$1:$G$379,"2026"))</f>
        <v/>
      </c>
      <c r="L122">
        <f>IF($A122="","",SUMIFS(Socle!$Y$1:$Y$379,Socle!$C$1:$C$379,$A122,Socle!$D$1:$D$379,$C122,Socle!$E$1:$E$379,$D122,Socle!$F$1:$F$379,$E122,Socle!$G$1:$G$379,"2026"))</f>
        <v/>
      </c>
      <c r="M122">
        <f>IF($A122="","",SUMIFS(Socle!$V$1:$V$379,Socle!$C$1:$C$379,$A122,Socle!$D$1:$D$379,$C122,Socle!$E$1:$E$379,$D122,Socle!$F$1:$F$379,$E122,Socle!$G$1:$G$379,"2026"))</f>
        <v/>
      </c>
      <c r="N122">
        <f>IF($A122="","",IF(OR($D122="B1",$D122="M1",$D122="BTS1"),1,0))</f>
        <v/>
      </c>
      <c r="O122">
        <f>IF($A122="","",SUMIFS(Campagne!$D$1:$D$28,Campagne!$C$1:$C$28,$A122))</f>
        <v/>
      </c>
      <c r="P122">
        <f>IF($A122="","",SUMIFS(Campagne!$E$1:$E$28,Campagne!$C$1:$C$28,$A122))</f>
        <v/>
      </c>
      <c r="Q122">
        <f>IF($A122="","",SUMIFS(Campagne!$F$1:$F$28,Campagne!$C$1:$C$28,$A122))</f>
        <v/>
      </c>
      <c r="R122">
        <f>IF($A122="","",SUMIFS(Campagne!$K$1:$K$28,Campagne!$C$1:$C$28,$A122))</f>
        <v/>
      </c>
      <c r="S122">
        <f>IF($A122="","",SUMIFS(Campagne!$M$1:$M$28,Campagne!$C$1:$C$28,$A122))</f>
        <v/>
      </c>
      <c r="T122">
        <f>IF($A122="","",SUMIFS(Pilotage!$K$19:$K$32,Pilotage!$A$19:$A$32,$A122)*SUMIFS(Pilotage!$J$19:$J$32,Pilotage!$A$19:$A$32,$A122)*(SUM(Pilotage!$K$19:$K$32)/SUMPRODUCT(Pilotage!$K$19:$K$32,Pilotage!$J$19:$J$32)))</f>
        <v/>
      </c>
      <c r="U122">
        <f>IF($A122="","",SUMIFS(Pilotage!$K$19:$K$32,Pilotage!$A$19:$A$32,$A122))</f>
        <v/>
      </c>
      <c r="V122">
        <f>IF($A122="","",IF($B122="V01",Cadrage!$C$22,IF($B122="V02",Cadrage!$D$22,Cadrage!$E$22)))</f>
        <v/>
      </c>
      <c r="W122">
        <f>IF($A122="","",IF($B122="V01",Cadrage!$C$23,IF($B122="V02",Cadrage!$D$23,Cadrage!$E$23)))</f>
        <v/>
      </c>
      <c r="X122">
        <f>IF($A122="","",IF($B122="V01",Cadrage!$C$24,IF($B122="V02",Cadrage!$D$24,Cadrage!$E$24)))</f>
        <v/>
      </c>
      <c r="Y122">
        <f>IF($A122="","",IF($B122="V01",Cadrage!$C$25,IF($B122="V02",Cadrage!$D$25,Cadrage!$E$25)))</f>
        <v/>
      </c>
      <c r="Z122">
        <f>IF($A122="","",IF($B122="V01",Cadrage!$C$26,IF($B122="V02",Cadrage!$D$26,Cadrage!$E$26)))</f>
        <v/>
      </c>
      <c r="AA122">
        <f>IF($A122="","",IF($B122="V01",Cadrage!$C$27,IF($B122="V02",Cadrage!$D$27,Cadrage!$E$27)))</f>
        <v/>
      </c>
      <c r="AB122">
        <f>IF($A122="","",IF($B122="V01",Cadrage!$C$39,IF($B122="V02",Cadrage!$D$39,Cadrage!$E$39)))</f>
        <v/>
      </c>
      <c r="AC122">
        <f>IF($A122="","",IF($F122="MBWAY",Cadrage!$K$11,IF($F122="ISCOM",Cadrage!$K$12,IF($F122="IPAC",Cadrage!$K$13,IF($F122="PIGIER",Cadrage!$K$14,Cadrage!$K$15)))))</f>
        <v/>
      </c>
      <c r="AD122">
        <f>IF($A122="","",($O122*(1+$W122)^$S122+$P122*IFERROR((($T122/$U122)*(1+$V122))^$R122,0))*IFERROR($G122/$Q122,0)*($J122+$Y122)*$K122*($L122+$Z122))</f>
        <v/>
      </c>
      <c r="AE122">
        <f>IF($A122="","",IF($N122=1,$AD122,0))</f>
        <v/>
      </c>
      <c r="AF122">
        <f>IF($A122="","",IF($N122=1,$AD122,$H122*($M122+$AA122)))</f>
        <v/>
      </c>
      <c r="AG122">
        <f>IF($A122="","",$I122*(1+$X122*$AC122))</f>
        <v/>
      </c>
      <c r="AH122">
        <f>IF($A122="","",$AF122*$AG122+$AE122*$AB122)</f>
        <v/>
      </c>
    </row>
    <row r="123">
      <c r="A123">
        <f>IF(Moteur!D123="","",Moteur!D123)</f>
        <v/>
      </c>
      <c r="B123">
        <f>IF(Moteur!B123="","",Moteur!B123)</f>
        <v/>
      </c>
      <c r="C123">
        <f>IF(Moteur!F123="","",Moteur!F123)</f>
        <v/>
      </c>
      <c r="D123">
        <f>IF(Moteur!G123="","",Moteur!G123)</f>
        <v/>
      </c>
      <c r="E123">
        <f>IF(Moteur!H123="","",Moteur!H123)</f>
        <v/>
      </c>
      <c r="F123">
        <f>IF(Moteur!E123="","",Moteur!E123)</f>
        <v/>
      </c>
      <c r="G123">
        <f>IF($A123="","",SUMIFS(Socle!$H$1:$H$379,Socle!$C$1:$C$379,$A123,Socle!$D$1:$D$379,$C123,Socle!$E$1:$E$379,$D123,Socle!$F$1:$F$379,$E123,Socle!$G$1:$G$379,"2026"))</f>
        <v/>
      </c>
      <c r="H123">
        <f>IF($A123="","",SUMIFS(Socle!$N$1:$N$379,Socle!$C$1:$C$379,$A123,Socle!$D$1:$D$379,$C123,Socle!$E$1:$E$379,$D123,Socle!$F$1:$F$379,$E123,Socle!$G$1:$G$379,"2026"))</f>
        <v/>
      </c>
      <c r="I123">
        <f>IF($A123="","",SUMIFS(Socle!$P$1:$P$379,Socle!$C$1:$C$379,$A123,Socle!$D$1:$D$379,$C123,Socle!$E$1:$E$379,$D123,Socle!$F$1:$F$379,$E123,Socle!$G$1:$G$379,"2026"))</f>
        <v/>
      </c>
      <c r="J123">
        <f>IF($A123="","",SUMIFS(Socle!$W$1:$W$379,Socle!$C$1:$C$379,$A123,Socle!$D$1:$D$379,$C123,Socle!$E$1:$E$379,$D123,Socle!$F$1:$F$379,$E123,Socle!$G$1:$G$379,"2026"))</f>
        <v/>
      </c>
      <c r="K123">
        <f>IF($A123="","",SUMIFS(Socle!$X$1:$X$379,Socle!$C$1:$C$379,$A123,Socle!$D$1:$D$379,$C123,Socle!$E$1:$E$379,$D123,Socle!$F$1:$F$379,$E123,Socle!$G$1:$G$379,"2026"))</f>
        <v/>
      </c>
      <c r="L123">
        <f>IF($A123="","",SUMIFS(Socle!$Y$1:$Y$379,Socle!$C$1:$C$379,$A123,Socle!$D$1:$D$379,$C123,Socle!$E$1:$E$379,$D123,Socle!$F$1:$F$379,$E123,Socle!$G$1:$G$379,"2026"))</f>
        <v/>
      </c>
      <c r="M123">
        <f>IF($A123="","",SUMIFS(Socle!$V$1:$V$379,Socle!$C$1:$C$379,$A123,Socle!$D$1:$D$379,$C123,Socle!$E$1:$E$379,$D123,Socle!$F$1:$F$379,$E123,Socle!$G$1:$G$379,"2026"))</f>
        <v/>
      </c>
      <c r="N123">
        <f>IF($A123="","",IF(OR($D123="B1",$D123="M1",$D123="BTS1"),1,0))</f>
        <v/>
      </c>
      <c r="O123">
        <f>IF($A123="","",SUMIFS(Campagne!$D$1:$D$28,Campagne!$C$1:$C$28,$A123))</f>
        <v/>
      </c>
      <c r="P123">
        <f>IF($A123="","",SUMIFS(Campagne!$E$1:$E$28,Campagne!$C$1:$C$28,$A123))</f>
        <v/>
      </c>
      <c r="Q123">
        <f>IF($A123="","",SUMIFS(Campagne!$F$1:$F$28,Campagne!$C$1:$C$28,$A123))</f>
        <v/>
      </c>
      <c r="R123">
        <f>IF($A123="","",SUMIFS(Campagne!$K$1:$K$28,Campagne!$C$1:$C$28,$A123))</f>
        <v/>
      </c>
      <c r="S123">
        <f>IF($A123="","",SUMIFS(Campagne!$M$1:$M$28,Campagne!$C$1:$C$28,$A123))</f>
        <v/>
      </c>
      <c r="T123">
        <f>IF($A123="","",SUMIFS(Pilotage!$K$19:$K$32,Pilotage!$A$19:$A$32,$A123)*SUMIFS(Pilotage!$J$19:$J$32,Pilotage!$A$19:$A$32,$A123)*(SUM(Pilotage!$K$19:$K$32)/SUMPRODUCT(Pilotage!$K$19:$K$32,Pilotage!$J$19:$J$32)))</f>
        <v/>
      </c>
      <c r="U123">
        <f>IF($A123="","",SUMIFS(Pilotage!$K$19:$K$32,Pilotage!$A$19:$A$32,$A123))</f>
        <v/>
      </c>
      <c r="V123">
        <f>IF($A123="","",IF($B123="V01",Cadrage!$C$22,IF($B123="V02",Cadrage!$D$22,Cadrage!$E$22)))</f>
        <v/>
      </c>
      <c r="W123">
        <f>IF($A123="","",IF($B123="V01",Cadrage!$C$23,IF($B123="V02",Cadrage!$D$23,Cadrage!$E$23)))</f>
        <v/>
      </c>
      <c r="X123">
        <f>IF($A123="","",IF($B123="V01",Cadrage!$C$24,IF($B123="V02",Cadrage!$D$24,Cadrage!$E$24)))</f>
        <v/>
      </c>
      <c r="Y123">
        <f>IF($A123="","",IF($B123="V01",Cadrage!$C$25,IF($B123="V02",Cadrage!$D$25,Cadrage!$E$25)))</f>
        <v/>
      </c>
      <c r="Z123">
        <f>IF($A123="","",IF($B123="V01",Cadrage!$C$26,IF($B123="V02",Cadrage!$D$26,Cadrage!$E$26)))</f>
        <v/>
      </c>
      <c r="AA123">
        <f>IF($A123="","",IF($B123="V01",Cadrage!$C$27,IF($B123="V02",Cadrage!$D$27,Cadrage!$E$27)))</f>
        <v/>
      </c>
      <c r="AB123">
        <f>IF($A123="","",IF($B123="V01",Cadrage!$C$39,IF($B123="V02",Cadrage!$D$39,Cadrage!$E$39)))</f>
        <v/>
      </c>
      <c r="AC123">
        <f>IF($A123="","",IF($F123="MBWAY",Cadrage!$K$11,IF($F123="ISCOM",Cadrage!$K$12,IF($F123="IPAC",Cadrage!$K$13,IF($F123="PIGIER",Cadrage!$K$14,Cadrage!$K$15)))))</f>
        <v/>
      </c>
      <c r="AD123">
        <f>IF($A123="","",($O123*(1+$W123)^$S123+$P123*IFERROR((($T123/$U123)*(1+$V123))^$R123,0))*IFERROR($G123/$Q123,0)*($J123+$Y123)*$K123*($L123+$Z123))</f>
        <v/>
      </c>
      <c r="AE123">
        <f>IF($A123="","",IF($N123=1,$AD123,0))</f>
        <v/>
      </c>
      <c r="AF123">
        <f>IF($A123="","",IF($N123=1,$AD123,$H123*($M123+$AA123)))</f>
        <v/>
      </c>
      <c r="AG123">
        <f>IF($A123="","",$I123*(1+$X123*$AC123))</f>
        <v/>
      </c>
      <c r="AH123">
        <f>IF($A123="","",$AF123*$AG123+$AE123*$AB123)</f>
        <v/>
      </c>
    </row>
    <row r="124">
      <c r="A124">
        <f>IF(Moteur!D124="","",Moteur!D124)</f>
        <v/>
      </c>
      <c r="B124">
        <f>IF(Moteur!B124="","",Moteur!B124)</f>
        <v/>
      </c>
      <c r="C124">
        <f>IF(Moteur!F124="","",Moteur!F124)</f>
        <v/>
      </c>
      <c r="D124">
        <f>IF(Moteur!G124="","",Moteur!G124)</f>
        <v/>
      </c>
      <c r="E124">
        <f>IF(Moteur!H124="","",Moteur!H124)</f>
        <v/>
      </c>
      <c r="F124">
        <f>IF(Moteur!E124="","",Moteur!E124)</f>
        <v/>
      </c>
      <c r="G124">
        <f>IF($A124="","",SUMIFS(Socle!$H$1:$H$379,Socle!$C$1:$C$379,$A124,Socle!$D$1:$D$379,$C124,Socle!$E$1:$E$379,$D124,Socle!$F$1:$F$379,$E124,Socle!$G$1:$G$379,"2026"))</f>
        <v/>
      </c>
      <c r="H124">
        <f>IF($A124="","",SUMIFS(Socle!$N$1:$N$379,Socle!$C$1:$C$379,$A124,Socle!$D$1:$D$379,$C124,Socle!$E$1:$E$379,$D124,Socle!$F$1:$F$379,$E124,Socle!$G$1:$G$379,"2026"))</f>
        <v/>
      </c>
      <c r="I124">
        <f>IF($A124="","",SUMIFS(Socle!$P$1:$P$379,Socle!$C$1:$C$379,$A124,Socle!$D$1:$D$379,$C124,Socle!$E$1:$E$379,$D124,Socle!$F$1:$F$379,$E124,Socle!$G$1:$G$379,"2026"))</f>
        <v/>
      </c>
      <c r="J124">
        <f>IF($A124="","",SUMIFS(Socle!$W$1:$W$379,Socle!$C$1:$C$379,$A124,Socle!$D$1:$D$379,$C124,Socle!$E$1:$E$379,$D124,Socle!$F$1:$F$379,$E124,Socle!$G$1:$G$379,"2026"))</f>
        <v/>
      </c>
      <c r="K124">
        <f>IF($A124="","",SUMIFS(Socle!$X$1:$X$379,Socle!$C$1:$C$379,$A124,Socle!$D$1:$D$379,$C124,Socle!$E$1:$E$379,$D124,Socle!$F$1:$F$379,$E124,Socle!$G$1:$G$379,"2026"))</f>
        <v/>
      </c>
      <c r="L124">
        <f>IF($A124="","",SUMIFS(Socle!$Y$1:$Y$379,Socle!$C$1:$C$379,$A124,Socle!$D$1:$D$379,$C124,Socle!$E$1:$E$379,$D124,Socle!$F$1:$F$379,$E124,Socle!$G$1:$G$379,"2026"))</f>
        <v/>
      </c>
      <c r="M124">
        <f>IF($A124="","",SUMIFS(Socle!$V$1:$V$379,Socle!$C$1:$C$379,$A124,Socle!$D$1:$D$379,$C124,Socle!$E$1:$E$379,$D124,Socle!$F$1:$F$379,$E124,Socle!$G$1:$G$379,"2026"))</f>
        <v/>
      </c>
      <c r="N124">
        <f>IF($A124="","",IF(OR($D124="B1",$D124="M1",$D124="BTS1"),1,0))</f>
        <v/>
      </c>
      <c r="O124">
        <f>IF($A124="","",SUMIFS(Campagne!$D$1:$D$28,Campagne!$C$1:$C$28,$A124))</f>
        <v/>
      </c>
      <c r="P124">
        <f>IF($A124="","",SUMIFS(Campagne!$E$1:$E$28,Campagne!$C$1:$C$28,$A124))</f>
        <v/>
      </c>
      <c r="Q124">
        <f>IF($A124="","",SUMIFS(Campagne!$F$1:$F$28,Campagne!$C$1:$C$28,$A124))</f>
        <v/>
      </c>
      <c r="R124">
        <f>IF($A124="","",SUMIFS(Campagne!$K$1:$K$28,Campagne!$C$1:$C$28,$A124))</f>
        <v/>
      </c>
      <c r="S124">
        <f>IF($A124="","",SUMIFS(Campagne!$M$1:$M$28,Campagne!$C$1:$C$28,$A124))</f>
        <v/>
      </c>
      <c r="T124">
        <f>IF($A124="","",SUMIFS(Pilotage!$K$19:$K$32,Pilotage!$A$19:$A$32,$A124)*SUMIFS(Pilotage!$J$19:$J$32,Pilotage!$A$19:$A$32,$A124)*(SUM(Pilotage!$K$19:$K$32)/SUMPRODUCT(Pilotage!$K$19:$K$32,Pilotage!$J$19:$J$32)))</f>
        <v/>
      </c>
      <c r="U124">
        <f>IF($A124="","",SUMIFS(Pilotage!$K$19:$K$32,Pilotage!$A$19:$A$32,$A124))</f>
        <v/>
      </c>
      <c r="V124">
        <f>IF($A124="","",IF($B124="V01",Cadrage!$C$22,IF($B124="V02",Cadrage!$D$22,Cadrage!$E$22)))</f>
        <v/>
      </c>
      <c r="W124">
        <f>IF($A124="","",IF($B124="V01",Cadrage!$C$23,IF($B124="V02",Cadrage!$D$23,Cadrage!$E$23)))</f>
        <v/>
      </c>
      <c r="X124">
        <f>IF($A124="","",IF($B124="V01",Cadrage!$C$24,IF($B124="V02",Cadrage!$D$24,Cadrage!$E$24)))</f>
        <v/>
      </c>
      <c r="Y124">
        <f>IF($A124="","",IF($B124="V01",Cadrage!$C$25,IF($B124="V02",Cadrage!$D$25,Cadrage!$E$25)))</f>
        <v/>
      </c>
      <c r="Z124">
        <f>IF($A124="","",IF($B124="V01",Cadrage!$C$26,IF($B124="V02",Cadrage!$D$26,Cadrage!$E$26)))</f>
        <v/>
      </c>
      <c r="AA124">
        <f>IF($A124="","",IF($B124="V01",Cadrage!$C$27,IF($B124="V02",Cadrage!$D$27,Cadrage!$E$27)))</f>
        <v/>
      </c>
      <c r="AB124">
        <f>IF($A124="","",IF($B124="V01",Cadrage!$C$39,IF($B124="V02",Cadrage!$D$39,Cadrage!$E$39)))</f>
        <v/>
      </c>
      <c r="AC124">
        <f>IF($A124="","",IF($F124="MBWAY",Cadrage!$K$11,IF($F124="ISCOM",Cadrage!$K$12,IF($F124="IPAC",Cadrage!$K$13,IF($F124="PIGIER",Cadrage!$K$14,Cadrage!$K$15)))))</f>
        <v/>
      </c>
      <c r="AD124">
        <f>IF($A124="","",($O124*(1+$W124)^$S124+$P124*IFERROR((($T124/$U124)*(1+$V124))^$R124,0))*IFERROR($G124/$Q124,0)*($J124+$Y124)*$K124*($L124+$Z124))</f>
        <v/>
      </c>
      <c r="AE124">
        <f>IF($A124="","",IF($N124=1,$AD124,0))</f>
        <v/>
      </c>
      <c r="AF124">
        <f>IF($A124="","",IF($N124=1,$AD124,$H124*($M124+$AA124)))</f>
        <v/>
      </c>
      <c r="AG124">
        <f>IF($A124="","",$I124*(1+$X124*$AC124))</f>
        <v/>
      </c>
      <c r="AH124">
        <f>IF($A124="","",$AF124*$AG124+$AE124*$AB124)</f>
        <v/>
      </c>
    </row>
    <row r="125">
      <c r="A125">
        <f>IF(Moteur!D125="","",Moteur!D125)</f>
        <v/>
      </c>
      <c r="B125">
        <f>IF(Moteur!B125="","",Moteur!B125)</f>
        <v/>
      </c>
      <c r="C125">
        <f>IF(Moteur!F125="","",Moteur!F125)</f>
        <v/>
      </c>
      <c r="D125">
        <f>IF(Moteur!G125="","",Moteur!G125)</f>
        <v/>
      </c>
      <c r="E125">
        <f>IF(Moteur!H125="","",Moteur!H125)</f>
        <v/>
      </c>
      <c r="F125">
        <f>IF(Moteur!E125="","",Moteur!E125)</f>
        <v/>
      </c>
      <c r="G125">
        <f>IF($A125="","",SUMIFS(Socle!$H$1:$H$379,Socle!$C$1:$C$379,$A125,Socle!$D$1:$D$379,$C125,Socle!$E$1:$E$379,$D125,Socle!$F$1:$F$379,$E125,Socle!$G$1:$G$379,"2026"))</f>
        <v/>
      </c>
      <c r="H125">
        <f>IF($A125="","",SUMIFS(Socle!$N$1:$N$379,Socle!$C$1:$C$379,$A125,Socle!$D$1:$D$379,$C125,Socle!$E$1:$E$379,$D125,Socle!$F$1:$F$379,$E125,Socle!$G$1:$G$379,"2026"))</f>
        <v/>
      </c>
      <c r="I125">
        <f>IF($A125="","",SUMIFS(Socle!$P$1:$P$379,Socle!$C$1:$C$379,$A125,Socle!$D$1:$D$379,$C125,Socle!$E$1:$E$379,$D125,Socle!$F$1:$F$379,$E125,Socle!$G$1:$G$379,"2026"))</f>
        <v/>
      </c>
      <c r="J125">
        <f>IF($A125="","",SUMIFS(Socle!$W$1:$W$379,Socle!$C$1:$C$379,$A125,Socle!$D$1:$D$379,$C125,Socle!$E$1:$E$379,$D125,Socle!$F$1:$F$379,$E125,Socle!$G$1:$G$379,"2026"))</f>
        <v/>
      </c>
      <c r="K125">
        <f>IF($A125="","",SUMIFS(Socle!$X$1:$X$379,Socle!$C$1:$C$379,$A125,Socle!$D$1:$D$379,$C125,Socle!$E$1:$E$379,$D125,Socle!$F$1:$F$379,$E125,Socle!$G$1:$G$379,"2026"))</f>
        <v/>
      </c>
      <c r="L125">
        <f>IF($A125="","",SUMIFS(Socle!$Y$1:$Y$379,Socle!$C$1:$C$379,$A125,Socle!$D$1:$D$379,$C125,Socle!$E$1:$E$379,$D125,Socle!$F$1:$F$379,$E125,Socle!$G$1:$G$379,"2026"))</f>
        <v/>
      </c>
      <c r="M125">
        <f>IF($A125="","",SUMIFS(Socle!$V$1:$V$379,Socle!$C$1:$C$379,$A125,Socle!$D$1:$D$379,$C125,Socle!$E$1:$E$379,$D125,Socle!$F$1:$F$379,$E125,Socle!$G$1:$G$379,"2026"))</f>
        <v/>
      </c>
      <c r="N125">
        <f>IF($A125="","",IF(OR($D125="B1",$D125="M1",$D125="BTS1"),1,0))</f>
        <v/>
      </c>
      <c r="O125">
        <f>IF($A125="","",SUMIFS(Campagne!$D$1:$D$28,Campagne!$C$1:$C$28,$A125))</f>
        <v/>
      </c>
      <c r="P125">
        <f>IF($A125="","",SUMIFS(Campagne!$E$1:$E$28,Campagne!$C$1:$C$28,$A125))</f>
        <v/>
      </c>
      <c r="Q125">
        <f>IF($A125="","",SUMIFS(Campagne!$F$1:$F$28,Campagne!$C$1:$C$28,$A125))</f>
        <v/>
      </c>
      <c r="R125">
        <f>IF($A125="","",SUMIFS(Campagne!$K$1:$K$28,Campagne!$C$1:$C$28,$A125))</f>
        <v/>
      </c>
      <c r="S125">
        <f>IF($A125="","",SUMIFS(Campagne!$M$1:$M$28,Campagne!$C$1:$C$28,$A125))</f>
        <v/>
      </c>
      <c r="T125">
        <f>IF($A125="","",SUMIFS(Pilotage!$K$19:$K$32,Pilotage!$A$19:$A$32,$A125)*SUMIFS(Pilotage!$J$19:$J$32,Pilotage!$A$19:$A$32,$A125)*(SUM(Pilotage!$K$19:$K$32)/SUMPRODUCT(Pilotage!$K$19:$K$32,Pilotage!$J$19:$J$32)))</f>
        <v/>
      </c>
      <c r="U125">
        <f>IF($A125="","",SUMIFS(Pilotage!$K$19:$K$32,Pilotage!$A$19:$A$32,$A125))</f>
        <v/>
      </c>
      <c r="V125">
        <f>IF($A125="","",IF($B125="V01",Cadrage!$C$22,IF($B125="V02",Cadrage!$D$22,Cadrage!$E$22)))</f>
        <v/>
      </c>
      <c r="W125">
        <f>IF($A125="","",IF($B125="V01",Cadrage!$C$23,IF($B125="V02",Cadrage!$D$23,Cadrage!$E$23)))</f>
        <v/>
      </c>
      <c r="X125">
        <f>IF($A125="","",IF($B125="V01",Cadrage!$C$24,IF($B125="V02",Cadrage!$D$24,Cadrage!$E$24)))</f>
        <v/>
      </c>
      <c r="Y125">
        <f>IF($A125="","",IF($B125="V01",Cadrage!$C$25,IF($B125="V02",Cadrage!$D$25,Cadrage!$E$25)))</f>
        <v/>
      </c>
      <c r="Z125">
        <f>IF($A125="","",IF($B125="V01",Cadrage!$C$26,IF($B125="V02",Cadrage!$D$26,Cadrage!$E$26)))</f>
        <v/>
      </c>
      <c r="AA125">
        <f>IF($A125="","",IF($B125="V01",Cadrage!$C$27,IF($B125="V02",Cadrage!$D$27,Cadrage!$E$27)))</f>
        <v/>
      </c>
      <c r="AB125">
        <f>IF($A125="","",IF($B125="V01",Cadrage!$C$39,IF($B125="V02",Cadrage!$D$39,Cadrage!$E$39)))</f>
        <v/>
      </c>
      <c r="AC125">
        <f>IF($A125="","",IF($F125="MBWAY",Cadrage!$K$11,IF($F125="ISCOM",Cadrage!$K$12,IF($F125="IPAC",Cadrage!$K$13,IF($F125="PIGIER",Cadrage!$K$14,Cadrage!$K$15)))))</f>
        <v/>
      </c>
      <c r="AD125">
        <f>IF($A125="","",($O125*(1+$W125)^$S125+$P125*IFERROR((($T125/$U125)*(1+$V125))^$R125,0))*IFERROR($G125/$Q125,0)*($J125+$Y125)*$K125*($L125+$Z125))</f>
        <v/>
      </c>
      <c r="AE125">
        <f>IF($A125="","",IF($N125=1,$AD125,0))</f>
        <v/>
      </c>
      <c r="AF125">
        <f>IF($A125="","",IF($N125=1,$AD125,$H125*($M125+$AA125)))</f>
        <v/>
      </c>
      <c r="AG125">
        <f>IF($A125="","",$I125*(1+$X125*$AC125))</f>
        <v/>
      </c>
      <c r="AH125">
        <f>IF($A125="","",$AF125*$AG125+$AE125*$AB125)</f>
        <v/>
      </c>
    </row>
    <row r="126">
      <c r="A126">
        <f>IF(Moteur!D126="","",Moteur!D126)</f>
        <v/>
      </c>
      <c r="B126">
        <f>IF(Moteur!B126="","",Moteur!B126)</f>
        <v/>
      </c>
      <c r="C126">
        <f>IF(Moteur!F126="","",Moteur!F126)</f>
        <v/>
      </c>
      <c r="D126">
        <f>IF(Moteur!G126="","",Moteur!G126)</f>
        <v/>
      </c>
      <c r="E126">
        <f>IF(Moteur!H126="","",Moteur!H126)</f>
        <v/>
      </c>
      <c r="F126">
        <f>IF(Moteur!E126="","",Moteur!E126)</f>
        <v/>
      </c>
      <c r="G126">
        <f>IF($A126="","",SUMIFS(Socle!$H$1:$H$379,Socle!$C$1:$C$379,$A126,Socle!$D$1:$D$379,$C126,Socle!$E$1:$E$379,$D126,Socle!$F$1:$F$379,$E126,Socle!$G$1:$G$379,"2026"))</f>
        <v/>
      </c>
      <c r="H126">
        <f>IF($A126="","",SUMIFS(Socle!$N$1:$N$379,Socle!$C$1:$C$379,$A126,Socle!$D$1:$D$379,$C126,Socle!$E$1:$E$379,$D126,Socle!$F$1:$F$379,$E126,Socle!$G$1:$G$379,"2026"))</f>
        <v/>
      </c>
      <c r="I126">
        <f>IF($A126="","",SUMIFS(Socle!$P$1:$P$379,Socle!$C$1:$C$379,$A126,Socle!$D$1:$D$379,$C126,Socle!$E$1:$E$379,$D126,Socle!$F$1:$F$379,$E126,Socle!$G$1:$G$379,"2026"))</f>
        <v/>
      </c>
      <c r="J126">
        <f>IF($A126="","",SUMIFS(Socle!$W$1:$W$379,Socle!$C$1:$C$379,$A126,Socle!$D$1:$D$379,$C126,Socle!$E$1:$E$379,$D126,Socle!$F$1:$F$379,$E126,Socle!$G$1:$G$379,"2026"))</f>
        <v/>
      </c>
      <c r="K126">
        <f>IF($A126="","",SUMIFS(Socle!$X$1:$X$379,Socle!$C$1:$C$379,$A126,Socle!$D$1:$D$379,$C126,Socle!$E$1:$E$379,$D126,Socle!$F$1:$F$379,$E126,Socle!$G$1:$G$379,"2026"))</f>
        <v/>
      </c>
      <c r="L126">
        <f>IF($A126="","",SUMIFS(Socle!$Y$1:$Y$379,Socle!$C$1:$C$379,$A126,Socle!$D$1:$D$379,$C126,Socle!$E$1:$E$379,$D126,Socle!$F$1:$F$379,$E126,Socle!$G$1:$G$379,"2026"))</f>
        <v/>
      </c>
      <c r="M126">
        <f>IF($A126="","",SUMIFS(Socle!$V$1:$V$379,Socle!$C$1:$C$379,$A126,Socle!$D$1:$D$379,$C126,Socle!$E$1:$E$379,$D126,Socle!$F$1:$F$379,$E126,Socle!$G$1:$G$379,"2026"))</f>
        <v/>
      </c>
      <c r="N126">
        <f>IF($A126="","",IF(OR($D126="B1",$D126="M1",$D126="BTS1"),1,0))</f>
        <v/>
      </c>
      <c r="O126">
        <f>IF($A126="","",SUMIFS(Campagne!$D$1:$D$28,Campagne!$C$1:$C$28,$A126))</f>
        <v/>
      </c>
      <c r="P126">
        <f>IF($A126="","",SUMIFS(Campagne!$E$1:$E$28,Campagne!$C$1:$C$28,$A126))</f>
        <v/>
      </c>
      <c r="Q126">
        <f>IF($A126="","",SUMIFS(Campagne!$F$1:$F$28,Campagne!$C$1:$C$28,$A126))</f>
        <v/>
      </c>
      <c r="R126">
        <f>IF($A126="","",SUMIFS(Campagne!$K$1:$K$28,Campagne!$C$1:$C$28,$A126))</f>
        <v/>
      </c>
      <c r="S126">
        <f>IF($A126="","",SUMIFS(Campagne!$M$1:$M$28,Campagne!$C$1:$C$28,$A126))</f>
        <v/>
      </c>
      <c r="T126">
        <f>IF($A126="","",SUMIFS(Pilotage!$K$19:$K$32,Pilotage!$A$19:$A$32,$A126)*SUMIFS(Pilotage!$J$19:$J$32,Pilotage!$A$19:$A$32,$A126)*(SUM(Pilotage!$K$19:$K$32)/SUMPRODUCT(Pilotage!$K$19:$K$32,Pilotage!$J$19:$J$32)))</f>
        <v/>
      </c>
      <c r="U126">
        <f>IF($A126="","",SUMIFS(Pilotage!$K$19:$K$32,Pilotage!$A$19:$A$32,$A126))</f>
        <v/>
      </c>
      <c r="V126">
        <f>IF($A126="","",IF($B126="V01",Cadrage!$C$22,IF($B126="V02",Cadrage!$D$22,Cadrage!$E$22)))</f>
        <v/>
      </c>
      <c r="W126">
        <f>IF($A126="","",IF($B126="V01",Cadrage!$C$23,IF($B126="V02",Cadrage!$D$23,Cadrage!$E$23)))</f>
        <v/>
      </c>
      <c r="X126">
        <f>IF($A126="","",IF($B126="V01",Cadrage!$C$24,IF($B126="V02",Cadrage!$D$24,Cadrage!$E$24)))</f>
        <v/>
      </c>
      <c r="Y126">
        <f>IF($A126="","",IF($B126="V01",Cadrage!$C$25,IF($B126="V02",Cadrage!$D$25,Cadrage!$E$25)))</f>
        <v/>
      </c>
      <c r="Z126">
        <f>IF($A126="","",IF($B126="V01",Cadrage!$C$26,IF($B126="V02",Cadrage!$D$26,Cadrage!$E$26)))</f>
        <v/>
      </c>
      <c r="AA126">
        <f>IF($A126="","",IF($B126="V01",Cadrage!$C$27,IF($B126="V02",Cadrage!$D$27,Cadrage!$E$27)))</f>
        <v/>
      </c>
      <c r="AB126">
        <f>IF($A126="","",IF($B126="V01",Cadrage!$C$39,IF($B126="V02",Cadrage!$D$39,Cadrage!$E$39)))</f>
        <v/>
      </c>
      <c r="AC126">
        <f>IF($A126="","",IF($F126="MBWAY",Cadrage!$K$11,IF($F126="ISCOM",Cadrage!$K$12,IF($F126="IPAC",Cadrage!$K$13,IF($F126="PIGIER",Cadrage!$K$14,Cadrage!$K$15)))))</f>
        <v/>
      </c>
      <c r="AD126">
        <f>IF($A126="","",($O126*(1+$W126)^$S126+$P126*IFERROR((($T126/$U126)*(1+$V126))^$R126,0))*IFERROR($G126/$Q126,0)*($J126+$Y126)*$K126*($L126+$Z126))</f>
        <v/>
      </c>
      <c r="AE126">
        <f>IF($A126="","",IF($N126=1,$AD126,0))</f>
        <v/>
      </c>
      <c r="AF126">
        <f>IF($A126="","",IF($N126=1,$AD126,$H126*($M126+$AA126)))</f>
        <v/>
      </c>
      <c r="AG126">
        <f>IF($A126="","",$I126*(1+$X126*$AC126))</f>
        <v/>
      </c>
      <c r="AH126">
        <f>IF($A126="","",$AF126*$AG126+$AE126*$AB126)</f>
        <v/>
      </c>
    </row>
    <row r="127">
      <c r="A127">
        <f>IF(Moteur!D127="","",Moteur!D127)</f>
        <v/>
      </c>
      <c r="B127">
        <f>IF(Moteur!B127="","",Moteur!B127)</f>
        <v/>
      </c>
      <c r="C127">
        <f>IF(Moteur!F127="","",Moteur!F127)</f>
        <v/>
      </c>
      <c r="D127">
        <f>IF(Moteur!G127="","",Moteur!G127)</f>
        <v/>
      </c>
      <c r="E127">
        <f>IF(Moteur!H127="","",Moteur!H127)</f>
        <v/>
      </c>
      <c r="F127">
        <f>IF(Moteur!E127="","",Moteur!E127)</f>
        <v/>
      </c>
      <c r="G127">
        <f>IF($A127="","",SUMIFS(Socle!$H$1:$H$379,Socle!$C$1:$C$379,$A127,Socle!$D$1:$D$379,$C127,Socle!$E$1:$E$379,$D127,Socle!$F$1:$F$379,$E127,Socle!$G$1:$G$379,"2026"))</f>
        <v/>
      </c>
      <c r="H127">
        <f>IF($A127="","",SUMIFS(Socle!$N$1:$N$379,Socle!$C$1:$C$379,$A127,Socle!$D$1:$D$379,$C127,Socle!$E$1:$E$379,$D127,Socle!$F$1:$F$379,$E127,Socle!$G$1:$G$379,"2026"))</f>
        <v/>
      </c>
      <c r="I127">
        <f>IF($A127="","",SUMIFS(Socle!$P$1:$P$379,Socle!$C$1:$C$379,$A127,Socle!$D$1:$D$379,$C127,Socle!$E$1:$E$379,$D127,Socle!$F$1:$F$379,$E127,Socle!$G$1:$G$379,"2026"))</f>
        <v/>
      </c>
      <c r="J127">
        <f>IF($A127="","",SUMIFS(Socle!$W$1:$W$379,Socle!$C$1:$C$379,$A127,Socle!$D$1:$D$379,$C127,Socle!$E$1:$E$379,$D127,Socle!$F$1:$F$379,$E127,Socle!$G$1:$G$379,"2026"))</f>
        <v/>
      </c>
      <c r="K127">
        <f>IF($A127="","",SUMIFS(Socle!$X$1:$X$379,Socle!$C$1:$C$379,$A127,Socle!$D$1:$D$379,$C127,Socle!$E$1:$E$379,$D127,Socle!$F$1:$F$379,$E127,Socle!$G$1:$G$379,"2026"))</f>
        <v/>
      </c>
      <c r="L127">
        <f>IF($A127="","",SUMIFS(Socle!$Y$1:$Y$379,Socle!$C$1:$C$379,$A127,Socle!$D$1:$D$379,$C127,Socle!$E$1:$E$379,$D127,Socle!$F$1:$F$379,$E127,Socle!$G$1:$G$379,"2026"))</f>
        <v/>
      </c>
      <c r="M127">
        <f>IF($A127="","",SUMIFS(Socle!$V$1:$V$379,Socle!$C$1:$C$379,$A127,Socle!$D$1:$D$379,$C127,Socle!$E$1:$E$379,$D127,Socle!$F$1:$F$379,$E127,Socle!$G$1:$G$379,"2026"))</f>
        <v/>
      </c>
      <c r="N127">
        <f>IF($A127="","",IF(OR($D127="B1",$D127="M1",$D127="BTS1"),1,0))</f>
        <v/>
      </c>
      <c r="O127">
        <f>IF($A127="","",SUMIFS(Campagne!$D$1:$D$28,Campagne!$C$1:$C$28,$A127))</f>
        <v/>
      </c>
      <c r="P127">
        <f>IF($A127="","",SUMIFS(Campagne!$E$1:$E$28,Campagne!$C$1:$C$28,$A127))</f>
        <v/>
      </c>
      <c r="Q127">
        <f>IF($A127="","",SUMIFS(Campagne!$F$1:$F$28,Campagne!$C$1:$C$28,$A127))</f>
        <v/>
      </c>
      <c r="R127">
        <f>IF($A127="","",SUMIFS(Campagne!$K$1:$K$28,Campagne!$C$1:$C$28,$A127))</f>
        <v/>
      </c>
      <c r="S127">
        <f>IF($A127="","",SUMIFS(Campagne!$M$1:$M$28,Campagne!$C$1:$C$28,$A127))</f>
        <v/>
      </c>
      <c r="T127">
        <f>IF($A127="","",SUMIFS(Pilotage!$K$19:$K$32,Pilotage!$A$19:$A$32,$A127)*SUMIFS(Pilotage!$J$19:$J$32,Pilotage!$A$19:$A$32,$A127)*(SUM(Pilotage!$K$19:$K$32)/SUMPRODUCT(Pilotage!$K$19:$K$32,Pilotage!$J$19:$J$32)))</f>
        <v/>
      </c>
      <c r="U127">
        <f>IF($A127="","",SUMIFS(Pilotage!$K$19:$K$32,Pilotage!$A$19:$A$32,$A127))</f>
        <v/>
      </c>
      <c r="V127">
        <f>IF($A127="","",IF($B127="V01",Cadrage!$C$22,IF($B127="V02",Cadrage!$D$22,Cadrage!$E$22)))</f>
        <v/>
      </c>
      <c r="W127">
        <f>IF($A127="","",IF($B127="V01",Cadrage!$C$23,IF($B127="V02",Cadrage!$D$23,Cadrage!$E$23)))</f>
        <v/>
      </c>
      <c r="X127">
        <f>IF($A127="","",IF($B127="V01",Cadrage!$C$24,IF($B127="V02",Cadrage!$D$24,Cadrage!$E$24)))</f>
        <v/>
      </c>
      <c r="Y127">
        <f>IF($A127="","",IF($B127="V01",Cadrage!$C$25,IF($B127="V02",Cadrage!$D$25,Cadrage!$E$25)))</f>
        <v/>
      </c>
      <c r="Z127">
        <f>IF($A127="","",IF($B127="V01",Cadrage!$C$26,IF($B127="V02",Cadrage!$D$26,Cadrage!$E$26)))</f>
        <v/>
      </c>
      <c r="AA127">
        <f>IF($A127="","",IF($B127="V01",Cadrage!$C$27,IF($B127="V02",Cadrage!$D$27,Cadrage!$E$27)))</f>
        <v/>
      </c>
      <c r="AB127">
        <f>IF($A127="","",IF($B127="V01",Cadrage!$C$39,IF($B127="V02",Cadrage!$D$39,Cadrage!$E$39)))</f>
        <v/>
      </c>
      <c r="AC127">
        <f>IF($A127="","",IF($F127="MBWAY",Cadrage!$K$11,IF($F127="ISCOM",Cadrage!$K$12,IF($F127="IPAC",Cadrage!$K$13,IF($F127="PIGIER",Cadrage!$K$14,Cadrage!$K$15)))))</f>
        <v/>
      </c>
      <c r="AD127">
        <f>IF($A127="","",($O127*(1+$W127)^$S127+$P127*IFERROR((($T127/$U127)*(1+$V127))^$R127,0))*IFERROR($G127/$Q127,0)*($J127+$Y127)*$K127*($L127+$Z127))</f>
        <v/>
      </c>
      <c r="AE127">
        <f>IF($A127="","",IF($N127=1,$AD127,0))</f>
        <v/>
      </c>
      <c r="AF127">
        <f>IF($A127="","",IF($N127=1,$AD127,$H127*($M127+$AA127)))</f>
        <v/>
      </c>
      <c r="AG127">
        <f>IF($A127="","",$I127*(1+$X127*$AC127))</f>
        <v/>
      </c>
      <c r="AH127">
        <f>IF($A127="","",$AF127*$AG127+$AE127*$AB127)</f>
        <v/>
      </c>
    </row>
    <row r="128">
      <c r="A128">
        <f>IF(Moteur!D128="","",Moteur!D128)</f>
        <v/>
      </c>
      <c r="B128">
        <f>IF(Moteur!B128="","",Moteur!B128)</f>
        <v/>
      </c>
      <c r="C128">
        <f>IF(Moteur!F128="","",Moteur!F128)</f>
        <v/>
      </c>
      <c r="D128">
        <f>IF(Moteur!G128="","",Moteur!G128)</f>
        <v/>
      </c>
      <c r="E128">
        <f>IF(Moteur!H128="","",Moteur!H128)</f>
        <v/>
      </c>
      <c r="F128">
        <f>IF(Moteur!E128="","",Moteur!E128)</f>
        <v/>
      </c>
      <c r="G128">
        <f>IF($A128="","",SUMIFS(Socle!$H$1:$H$379,Socle!$C$1:$C$379,$A128,Socle!$D$1:$D$379,$C128,Socle!$E$1:$E$379,$D128,Socle!$F$1:$F$379,$E128,Socle!$G$1:$G$379,"2026"))</f>
        <v/>
      </c>
      <c r="H128">
        <f>IF($A128="","",SUMIFS(Socle!$N$1:$N$379,Socle!$C$1:$C$379,$A128,Socle!$D$1:$D$379,$C128,Socle!$E$1:$E$379,$D128,Socle!$F$1:$F$379,$E128,Socle!$G$1:$G$379,"2026"))</f>
        <v/>
      </c>
      <c r="I128">
        <f>IF($A128="","",SUMIFS(Socle!$P$1:$P$379,Socle!$C$1:$C$379,$A128,Socle!$D$1:$D$379,$C128,Socle!$E$1:$E$379,$D128,Socle!$F$1:$F$379,$E128,Socle!$G$1:$G$379,"2026"))</f>
        <v/>
      </c>
      <c r="J128">
        <f>IF($A128="","",SUMIFS(Socle!$W$1:$W$379,Socle!$C$1:$C$379,$A128,Socle!$D$1:$D$379,$C128,Socle!$E$1:$E$379,$D128,Socle!$F$1:$F$379,$E128,Socle!$G$1:$G$379,"2026"))</f>
        <v/>
      </c>
      <c r="K128">
        <f>IF($A128="","",SUMIFS(Socle!$X$1:$X$379,Socle!$C$1:$C$379,$A128,Socle!$D$1:$D$379,$C128,Socle!$E$1:$E$379,$D128,Socle!$F$1:$F$379,$E128,Socle!$G$1:$G$379,"2026"))</f>
        <v/>
      </c>
      <c r="L128">
        <f>IF($A128="","",SUMIFS(Socle!$Y$1:$Y$379,Socle!$C$1:$C$379,$A128,Socle!$D$1:$D$379,$C128,Socle!$E$1:$E$379,$D128,Socle!$F$1:$F$379,$E128,Socle!$G$1:$G$379,"2026"))</f>
        <v/>
      </c>
      <c r="M128">
        <f>IF($A128="","",SUMIFS(Socle!$V$1:$V$379,Socle!$C$1:$C$379,$A128,Socle!$D$1:$D$379,$C128,Socle!$E$1:$E$379,$D128,Socle!$F$1:$F$379,$E128,Socle!$G$1:$G$379,"2026"))</f>
        <v/>
      </c>
      <c r="N128">
        <f>IF($A128="","",IF(OR($D128="B1",$D128="M1",$D128="BTS1"),1,0))</f>
        <v/>
      </c>
      <c r="O128">
        <f>IF($A128="","",SUMIFS(Campagne!$D$1:$D$28,Campagne!$C$1:$C$28,$A128))</f>
        <v/>
      </c>
      <c r="P128">
        <f>IF($A128="","",SUMIFS(Campagne!$E$1:$E$28,Campagne!$C$1:$C$28,$A128))</f>
        <v/>
      </c>
      <c r="Q128">
        <f>IF($A128="","",SUMIFS(Campagne!$F$1:$F$28,Campagne!$C$1:$C$28,$A128))</f>
        <v/>
      </c>
      <c r="R128">
        <f>IF($A128="","",SUMIFS(Campagne!$K$1:$K$28,Campagne!$C$1:$C$28,$A128))</f>
        <v/>
      </c>
      <c r="S128">
        <f>IF($A128="","",SUMIFS(Campagne!$M$1:$M$28,Campagne!$C$1:$C$28,$A128))</f>
        <v/>
      </c>
      <c r="T128">
        <f>IF($A128="","",SUMIFS(Pilotage!$K$19:$K$32,Pilotage!$A$19:$A$32,$A128)*SUMIFS(Pilotage!$J$19:$J$32,Pilotage!$A$19:$A$32,$A128)*(SUM(Pilotage!$K$19:$K$32)/SUMPRODUCT(Pilotage!$K$19:$K$32,Pilotage!$J$19:$J$32)))</f>
        <v/>
      </c>
      <c r="U128">
        <f>IF($A128="","",SUMIFS(Pilotage!$K$19:$K$32,Pilotage!$A$19:$A$32,$A128))</f>
        <v/>
      </c>
      <c r="V128">
        <f>IF($A128="","",IF($B128="V01",Cadrage!$C$22,IF($B128="V02",Cadrage!$D$22,Cadrage!$E$22)))</f>
        <v/>
      </c>
      <c r="W128">
        <f>IF($A128="","",IF($B128="V01",Cadrage!$C$23,IF($B128="V02",Cadrage!$D$23,Cadrage!$E$23)))</f>
        <v/>
      </c>
      <c r="X128">
        <f>IF($A128="","",IF($B128="V01",Cadrage!$C$24,IF($B128="V02",Cadrage!$D$24,Cadrage!$E$24)))</f>
        <v/>
      </c>
      <c r="Y128">
        <f>IF($A128="","",IF($B128="V01",Cadrage!$C$25,IF($B128="V02",Cadrage!$D$25,Cadrage!$E$25)))</f>
        <v/>
      </c>
      <c r="Z128">
        <f>IF($A128="","",IF($B128="V01",Cadrage!$C$26,IF($B128="V02",Cadrage!$D$26,Cadrage!$E$26)))</f>
        <v/>
      </c>
      <c r="AA128">
        <f>IF($A128="","",IF($B128="V01",Cadrage!$C$27,IF($B128="V02",Cadrage!$D$27,Cadrage!$E$27)))</f>
        <v/>
      </c>
      <c r="AB128">
        <f>IF($A128="","",IF($B128="V01",Cadrage!$C$39,IF($B128="V02",Cadrage!$D$39,Cadrage!$E$39)))</f>
        <v/>
      </c>
      <c r="AC128">
        <f>IF($A128="","",IF($F128="MBWAY",Cadrage!$K$11,IF($F128="ISCOM",Cadrage!$K$12,IF($F128="IPAC",Cadrage!$K$13,IF($F128="PIGIER",Cadrage!$K$14,Cadrage!$K$15)))))</f>
        <v/>
      </c>
      <c r="AD128">
        <f>IF($A128="","",($O128*(1+$W128)^$S128+$P128*IFERROR((($T128/$U128)*(1+$V128))^$R128,0))*IFERROR($G128/$Q128,0)*($J128+$Y128)*$K128*($L128+$Z128))</f>
        <v/>
      </c>
      <c r="AE128">
        <f>IF($A128="","",IF($N128=1,$AD128,0))</f>
        <v/>
      </c>
      <c r="AF128">
        <f>IF($A128="","",IF($N128=1,$AD128,$H128*($M128+$AA128)))</f>
        <v/>
      </c>
      <c r="AG128">
        <f>IF($A128="","",$I128*(1+$X128*$AC128))</f>
        <v/>
      </c>
      <c r="AH128">
        <f>IF($A128="","",$AF128*$AG128+$AE128*$AB128)</f>
        <v/>
      </c>
    </row>
    <row r="129">
      <c r="A129">
        <f>IF(Moteur!D129="","",Moteur!D129)</f>
        <v/>
      </c>
      <c r="B129">
        <f>IF(Moteur!B129="","",Moteur!B129)</f>
        <v/>
      </c>
      <c r="C129">
        <f>IF(Moteur!F129="","",Moteur!F129)</f>
        <v/>
      </c>
      <c r="D129">
        <f>IF(Moteur!G129="","",Moteur!G129)</f>
        <v/>
      </c>
      <c r="E129">
        <f>IF(Moteur!H129="","",Moteur!H129)</f>
        <v/>
      </c>
      <c r="F129">
        <f>IF(Moteur!E129="","",Moteur!E129)</f>
        <v/>
      </c>
      <c r="G129">
        <f>IF($A129="","",SUMIFS(Socle!$H$1:$H$379,Socle!$C$1:$C$379,$A129,Socle!$D$1:$D$379,$C129,Socle!$E$1:$E$379,$D129,Socle!$F$1:$F$379,$E129,Socle!$G$1:$G$379,"2026"))</f>
        <v/>
      </c>
      <c r="H129">
        <f>IF($A129="","",SUMIFS(Socle!$N$1:$N$379,Socle!$C$1:$C$379,$A129,Socle!$D$1:$D$379,$C129,Socle!$E$1:$E$379,$D129,Socle!$F$1:$F$379,$E129,Socle!$G$1:$G$379,"2026"))</f>
        <v/>
      </c>
      <c r="I129">
        <f>IF($A129="","",SUMIFS(Socle!$P$1:$P$379,Socle!$C$1:$C$379,$A129,Socle!$D$1:$D$379,$C129,Socle!$E$1:$E$379,$D129,Socle!$F$1:$F$379,$E129,Socle!$G$1:$G$379,"2026"))</f>
        <v/>
      </c>
      <c r="J129">
        <f>IF($A129="","",SUMIFS(Socle!$W$1:$W$379,Socle!$C$1:$C$379,$A129,Socle!$D$1:$D$379,$C129,Socle!$E$1:$E$379,$D129,Socle!$F$1:$F$379,$E129,Socle!$G$1:$G$379,"2026"))</f>
        <v/>
      </c>
      <c r="K129">
        <f>IF($A129="","",SUMIFS(Socle!$X$1:$X$379,Socle!$C$1:$C$379,$A129,Socle!$D$1:$D$379,$C129,Socle!$E$1:$E$379,$D129,Socle!$F$1:$F$379,$E129,Socle!$G$1:$G$379,"2026"))</f>
        <v/>
      </c>
      <c r="L129">
        <f>IF($A129="","",SUMIFS(Socle!$Y$1:$Y$379,Socle!$C$1:$C$379,$A129,Socle!$D$1:$D$379,$C129,Socle!$E$1:$E$379,$D129,Socle!$F$1:$F$379,$E129,Socle!$G$1:$G$379,"2026"))</f>
        <v/>
      </c>
      <c r="M129">
        <f>IF($A129="","",SUMIFS(Socle!$V$1:$V$379,Socle!$C$1:$C$379,$A129,Socle!$D$1:$D$379,$C129,Socle!$E$1:$E$379,$D129,Socle!$F$1:$F$379,$E129,Socle!$G$1:$G$379,"2026"))</f>
        <v/>
      </c>
      <c r="N129">
        <f>IF($A129="","",IF(OR($D129="B1",$D129="M1",$D129="BTS1"),1,0))</f>
        <v/>
      </c>
      <c r="O129">
        <f>IF($A129="","",SUMIFS(Campagne!$D$1:$D$28,Campagne!$C$1:$C$28,$A129))</f>
        <v/>
      </c>
      <c r="P129">
        <f>IF($A129="","",SUMIFS(Campagne!$E$1:$E$28,Campagne!$C$1:$C$28,$A129))</f>
        <v/>
      </c>
      <c r="Q129">
        <f>IF($A129="","",SUMIFS(Campagne!$F$1:$F$28,Campagne!$C$1:$C$28,$A129))</f>
        <v/>
      </c>
      <c r="R129">
        <f>IF($A129="","",SUMIFS(Campagne!$K$1:$K$28,Campagne!$C$1:$C$28,$A129))</f>
        <v/>
      </c>
      <c r="S129">
        <f>IF($A129="","",SUMIFS(Campagne!$M$1:$M$28,Campagne!$C$1:$C$28,$A129))</f>
        <v/>
      </c>
      <c r="T129">
        <f>IF($A129="","",SUMIFS(Pilotage!$K$19:$K$32,Pilotage!$A$19:$A$32,$A129)*SUMIFS(Pilotage!$J$19:$J$32,Pilotage!$A$19:$A$32,$A129)*(SUM(Pilotage!$K$19:$K$32)/SUMPRODUCT(Pilotage!$K$19:$K$32,Pilotage!$J$19:$J$32)))</f>
        <v/>
      </c>
      <c r="U129">
        <f>IF($A129="","",SUMIFS(Pilotage!$K$19:$K$32,Pilotage!$A$19:$A$32,$A129))</f>
        <v/>
      </c>
      <c r="V129">
        <f>IF($A129="","",IF($B129="V01",Cadrage!$C$22,IF($B129="V02",Cadrage!$D$22,Cadrage!$E$22)))</f>
        <v/>
      </c>
      <c r="W129">
        <f>IF($A129="","",IF($B129="V01",Cadrage!$C$23,IF($B129="V02",Cadrage!$D$23,Cadrage!$E$23)))</f>
        <v/>
      </c>
      <c r="X129">
        <f>IF($A129="","",IF($B129="V01",Cadrage!$C$24,IF($B129="V02",Cadrage!$D$24,Cadrage!$E$24)))</f>
        <v/>
      </c>
      <c r="Y129">
        <f>IF($A129="","",IF($B129="V01",Cadrage!$C$25,IF($B129="V02",Cadrage!$D$25,Cadrage!$E$25)))</f>
        <v/>
      </c>
      <c r="Z129">
        <f>IF($A129="","",IF($B129="V01",Cadrage!$C$26,IF($B129="V02",Cadrage!$D$26,Cadrage!$E$26)))</f>
        <v/>
      </c>
      <c r="AA129">
        <f>IF($A129="","",IF($B129="V01",Cadrage!$C$27,IF($B129="V02",Cadrage!$D$27,Cadrage!$E$27)))</f>
        <v/>
      </c>
      <c r="AB129">
        <f>IF($A129="","",IF($B129="V01",Cadrage!$C$39,IF($B129="V02",Cadrage!$D$39,Cadrage!$E$39)))</f>
        <v/>
      </c>
      <c r="AC129">
        <f>IF($A129="","",IF($F129="MBWAY",Cadrage!$K$11,IF($F129="ISCOM",Cadrage!$K$12,IF($F129="IPAC",Cadrage!$K$13,IF($F129="PIGIER",Cadrage!$K$14,Cadrage!$K$15)))))</f>
        <v/>
      </c>
      <c r="AD129">
        <f>IF($A129="","",($O129*(1+$W129)^$S129+$P129*IFERROR((($T129/$U129)*(1+$V129))^$R129,0))*IFERROR($G129/$Q129,0)*($J129+$Y129)*$K129*($L129+$Z129))</f>
        <v/>
      </c>
      <c r="AE129">
        <f>IF($A129="","",IF($N129=1,$AD129,0))</f>
        <v/>
      </c>
      <c r="AF129">
        <f>IF($A129="","",IF($N129=1,$AD129,$H129*($M129+$AA129)))</f>
        <v/>
      </c>
      <c r="AG129">
        <f>IF($A129="","",$I129*(1+$X129*$AC129))</f>
        <v/>
      </c>
      <c r="AH129">
        <f>IF($A129="","",$AF129*$AG129+$AE129*$AB129)</f>
        <v/>
      </c>
    </row>
    <row r="130">
      <c r="A130">
        <f>IF(Moteur!D130="","",Moteur!D130)</f>
        <v/>
      </c>
      <c r="B130">
        <f>IF(Moteur!B130="","",Moteur!B130)</f>
        <v/>
      </c>
      <c r="C130">
        <f>IF(Moteur!F130="","",Moteur!F130)</f>
        <v/>
      </c>
      <c r="D130">
        <f>IF(Moteur!G130="","",Moteur!G130)</f>
        <v/>
      </c>
      <c r="E130">
        <f>IF(Moteur!H130="","",Moteur!H130)</f>
        <v/>
      </c>
      <c r="F130">
        <f>IF(Moteur!E130="","",Moteur!E130)</f>
        <v/>
      </c>
      <c r="G130">
        <f>IF($A130="","",SUMIFS(Socle!$H$1:$H$379,Socle!$C$1:$C$379,$A130,Socle!$D$1:$D$379,$C130,Socle!$E$1:$E$379,$D130,Socle!$F$1:$F$379,$E130,Socle!$G$1:$G$379,"2026"))</f>
        <v/>
      </c>
      <c r="H130">
        <f>IF($A130="","",SUMIFS(Socle!$N$1:$N$379,Socle!$C$1:$C$379,$A130,Socle!$D$1:$D$379,$C130,Socle!$E$1:$E$379,$D130,Socle!$F$1:$F$379,$E130,Socle!$G$1:$G$379,"2026"))</f>
        <v/>
      </c>
      <c r="I130">
        <f>IF($A130="","",SUMIFS(Socle!$P$1:$P$379,Socle!$C$1:$C$379,$A130,Socle!$D$1:$D$379,$C130,Socle!$E$1:$E$379,$D130,Socle!$F$1:$F$379,$E130,Socle!$G$1:$G$379,"2026"))</f>
        <v/>
      </c>
      <c r="J130">
        <f>IF($A130="","",SUMIFS(Socle!$W$1:$W$379,Socle!$C$1:$C$379,$A130,Socle!$D$1:$D$379,$C130,Socle!$E$1:$E$379,$D130,Socle!$F$1:$F$379,$E130,Socle!$G$1:$G$379,"2026"))</f>
        <v/>
      </c>
      <c r="K130">
        <f>IF($A130="","",SUMIFS(Socle!$X$1:$X$379,Socle!$C$1:$C$379,$A130,Socle!$D$1:$D$379,$C130,Socle!$E$1:$E$379,$D130,Socle!$F$1:$F$379,$E130,Socle!$G$1:$G$379,"2026"))</f>
        <v/>
      </c>
      <c r="L130">
        <f>IF($A130="","",SUMIFS(Socle!$Y$1:$Y$379,Socle!$C$1:$C$379,$A130,Socle!$D$1:$D$379,$C130,Socle!$E$1:$E$379,$D130,Socle!$F$1:$F$379,$E130,Socle!$G$1:$G$379,"2026"))</f>
        <v/>
      </c>
      <c r="M130">
        <f>IF($A130="","",SUMIFS(Socle!$V$1:$V$379,Socle!$C$1:$C$379,$A130,Socle!$D$1:$D$379,$C130,Socle!$E$1:$E$379,$D130,Socle!$F$1:$F$379,$E130,Socle!$G$1:$G$379,"2026"))</f>
        <v/>
      </c>
      <c r="N130">
        <f>IF($A130="","",IF(OR($D130="B1",$D130="M1",$D130="BTS1"),1,0))</f>
        <v/>
      </c>
      <c r="O130">
        <f>IF($A130="","",SUMIFS(Campagne!$D$1:$D$28,Campagne!$C$1:$C$28,$A130))</f>
        <v/>
      </c>
      <c r="P130">
        <f>IF($A130="","",SUMIFS(Campagne!$E$1:$E$28,Campagne!$C$1:$C$28,$A130))</f>
        <v/>
      </c>
      <c r="Q130">
        <f>IF($A130="","",SUMIFS(Campagne!$F$1:$F$28,Campagne!$C$1:$C$28,$A130))</f>
        <v/>
      </c>
      <c r="R130">
        <f>IF($A130="","",SUMIFS(Campagne!$K$1:$K$28,Campagne!$C$1:$C$28,$A130))</f>
        <v/>
      </c>
      <c r="S130">
        <f>IF($A130="","",SUMIFS(Campagne!$M$1:$M$28,Campagne!$C$1:$C$28,$A130))</f>
        <v/>
      </c>
      <c r="T130">
        <f>IF($A130="","",SUMIFS(Pilotage!$K$19:$K$32,Pilotage!$A$19:$A$32,$A130)*SUMIFS(Pilotage!$J$19:$J$32,Pilotage!$A$19:$A$32,$A130)*(SUM(Pilotage!$K$19:$K$32)/SUMPRODUCT(Pilotage!$K$19:$K$32,Pilotage!$J$19:$J$32)))</f>
        <v/>
      </c>
      <c r="U130">
        <f>IF($A130="","",SUMIFS(Pilotage!$K$19:$K$32,Pilotage!$A$19:$A$32,$A130))</f>
        <v/>
      </c>
      <c r="V130">
        <f>IF($A130="","",IF($B130="V01",Cadrage!$C$22,IF($B130="V02",Cadrage!$D$22,Cadrage!$E$22)))</f>
        <v/>
      </c>
      <c r="W130">
        <f>IF($A130="","",IF($B130="V01",Cadrage!$C$23,IF($B130="V02",Cadrage!$D$23,Cadrage!$E$23)))</f>
        <v/>
      </c>
      <c r="X130">
        <f>IF($A130="","",IF($B130="V01",Cadrage!$C$24,IF($B130="V02",Cadrage!$D$24,Cadrage!$E$24)))</f>
        <v/>
      </c>
      <c r="Y130">
        <f>IF($A130="","",IF($B130="V01",Cadrage!$C$25,IF($B130="V02",Cadrage!$D$25,Cadrage!$E$25)))</f>
        <v/>
      </c>
      <c r="Z130">
        <f>IF($A130="","",IF($B130="V01",Cadrage!$C$26,IF($B130="V02",Cadrage!$D$26,Cadrage!$E$26)))</f>
        <v/>
      </c>
      <c r="AA130">
        <f>IF($A130="","",IF($B130="V01",Cadrage!$C$27,IF($B130="V02",Cadrage!$D$27,Cadrage!$E$27)))</f>
        <v/>
      </c>
      <c r="AB130">
        <f>IF($A130="","",IF($B130="V01",Cadrage!$C$39,IF($B130="V02",Cadrage!$D$39,Cadrage!$E$39)))</f>
        <v/>
      </c>
      <c r="AC130">
        <f>IF($A130="","",IF($F130="MBWAY",Cadrage!$K$11,IF($F130="ISCOM",Cadrage!$K$12,IF($F130="IPAC",Cadrage!$K$13,IF($F130="PIGIER",Cadrage!$K$14,Cadrage!$K$15)))))</f>
        <v/>
      </c>
      <c r="AD130">
        <f>IF($A130="","",($O130*(1+$W130)^$S130+$P130*IFERROR((($T130/$U130)*(1+$V130))^$R130,0))*IFERROR($G130/$Q130,0)*($J130+$Y130)*$K130*($L130+$Z130))</f>
        <v/>
      </c>
      <c r="AE130">
        <f>IF($A130="","",IF($N130=1,$AD130,0))</f>
        <v/>
      </c>
      <c r="AF130">
        <f>IF($A130="","",IF($N130=1,$AD130,$H130*($M130+$AA130)))</f>
        <v/>
      </c>
      <c r="AG130">
        <f>IF($A130="","",$I130*(1+$X130*$AC130))</f>
        <v/>
      </c>
      <c r="AH130">
        <f>IF($A130="","",$AF130*$AG130+$AE130*$AB130)</f>
        <v/>
      </c>
    </row>
    <row r="131">
      <c r="A131">
        <f>IF(Moteur!D131="","",Moteur!D131)</f>
        <v/>
      </c>
      <c r="B131">
        <f>IF(Moteur!B131="","",Moteur!B131)</f>
        <v/>
      </c>
      <c r="C131">
        <f>IF(Moteur!F131="","",Moteur!F131)</f>
        <v/>
      </c>
      <c r="D131">
        <f>IF(Moteur!G131="","",Moteur!G131)</f>
        <v/>
      </c>
      <c r="E131">
        <f>IF(Moteur!H131="","",Moteur!H131)</f>
        <v/>
      </c>
      <c r="F131">
        <f>IF(Moteur!E131="","",Moteur!E131)</f>
        <v/>
      </c>
      <c r="G131">
        <f>IF($A131="","",SUMIFS(Socle!$H$1:$H$379,Socle!$C$1:$C$379,$A131,Socle!$D$1:$D$379,$C131,Socle!$E$1:$E$379,$D131,Socle!$F$1:$F$379,$E131,Socle!$G$1:$G$379,"2026"))</f>
        <v/>
      </c>
      <c r="H131">
        <f>IF($A131="","",SUMIFS(Socle!$N$1:$N$379,Socle!$C$1:$C$379,$A131,Socle!$D$1:$D$379,$C131,Socle!$E$1:$E$379,$D131,Socle!$F$1:$F$379,$E131,Socle!$G$1:$G$379,"2026"))</f>
        <v/>
      </c>
      <c r="I131">
        <f>IF($A131="","",SUMIFS(Socle!$P$1:$P$379,Socle!$C$1:$C$379,$A131,Socle!$D$1:$D$379,$C131,Socle!$E$1:$E$379,$D131,Socle!$F$1:$F$379,$E131,Socle!$G$1:$G$379,"2026"))</f>
        <v/>
      </c>
      <c r="J131">
        <f>IF($A131="","",SUMIFS(Socle!$W$1:$W$379,Socle!$C$1:$C$379,$A131,Socle!$D$1:$D$379,$C131,Socle!$E$1:$E$379,$D131,Socle!$F$1:$F$379,$E131,Socle!$G$1:$G$379,"2026"))</f>
        <v/>
      </c>
      <c r="K131">
        <f>IF($A131="","",SUMIFS(Socle!$X$1:$X$379,Socle!$C$1:$C$379,$A131,Socle!$D$1:$D$379,$C131,Socle!$E$1:$E$379,$D131,Socle!$F$1:$F$379,$E131,Socle!$G$1:$G$379,"2026"))</f>
        <v/>
      </c>
      <c r="L131">
        <f>IF($A131="","",SUMIFS(Socle!$Y$1:$Y$379,Socle!$C$1:$C$379,$A131,Socle!$D$1:$D$379,$C131,Socle!$E$1:$E$379,$D131,Socle!$F$1:$F$379,$E131,Socle!$G$1:$G$379,"2026"))</f>
        <v/>
      </c>
      <c r="M131">
        <f>IF($A131="","",SUMIFS(Socle!$V$1:$V$379,Socle!$C$1:$C$379,$A131,Socle!$D$1:$D$379,$C131,Socle!$E$1:$E$379,$D131,Socle!$F$1:$F$379,$E131,Socle!$G$1:$G$379,"2026"))</f>
        <v/>
      </c>
      <c r="N131">
        <f>IF($A131="","",IF(OR($D131="B1",$D131="M1",$D131="BTS1"),1,0))</f>
        <v/>
      </c>
      <c r="O131">
        <f>IF($A131="","",SUMIFS(Campagne!$D$1:$D$28,Campagne!$C$1:$C$28,$A131))</f>
        <v/>
      </c>
      <c r="P131">
        <f>IF($A131="","",SUMIFS(Campagne!$E$1:$E$28,Campagne!$C$1:$C$28,$A131))</f>
        <v/>
      </c>
      <c r="Q131">
        <f>IF($A131="","",SUMIFS(Campagne!$F$1:$F$28,Campagne!$C$1:$C$28,$A131))</f>
        <v/>
      </c>
      <c r="R131">
        <f>IF($A131="","",SUMIFS(Campagne!$K$1:$K$28,Campagne!$C$1:$C$28,$A131))</f>
        <v/>
      </c>
      <c r="S131">
        <f>IF($A131="","",SUMIFS(Campagne!$M$1:$M$28,Campagne!$C$1:$C$28,$A131))</f>
        <v/>
      </c>
      <c r="T131">
        <f>IF($A131="","",SUMIFS(Pilotage!$K$19:$K$32,Pilotage!$A$19:$A$32,$A131)*SUMIFS(Pilotage!$J$19:$J$32,Pilotage!$A$19:$A$32,$A131)*(SUM(Pilotage!$K$19:$K$32)/SUMPRODUCT(Pilotage!$K$19:$K$32,Pilotage!$J$19:$J$32)))</f>
        <v/>
      </c>
      <c r="U131">
        <f>IF($A131="","",SUMIFS(Pilotage!$K$19:$K$32,Pilotage!$A$19:$A$32,$A131))</f>
        <v/>
      </c>
      <c r="V131">
        <f>IF($A131="","",IF($B131="V01",Cadrage!$C$22,IF($B131="V02",Cadrage!$D$22,Cadrage!$E$22)))</f>
        <v/>
      </c>
      <c r="W131">
        <f>IF($A131="","",IF($B131="V01",Cadrage!$C$23,IF($B131="V02",Cadrage!$D$23,Cadrage!$E$23)))</f>
        <v/>
      </c>
      <c r="X131">
        <f>IF($A131="","",IF($B131="V01",Cadrage!$C$24,IF($B131="V02",Cadrage!$D$24,Cadrage!$E$24)))</f>
        <v/>
      </c>
      <c r="Y131">
        <f>IF($A131="","",IF($B131="V01",Cadrage!$C$25,IF($B131="V02",Cadrage!$D$25,Cadrage!$E$25)))</f>
        <v/>
      </c>
      <c r="Z131">
        <f>IF($A131="","",IF($B131="V01",Cadrage!$C$26,IF($B131="V02",Cadrage!$D$26,Cadrage!$E$26)))</f>
        <v/>
      </c>
      <c r="AA131">
        <f>IF($A131="","",IF($B131="V01",Cadrage!$C$27,IF($B131="V02",Cadrage!$D$27,Cadrage!$E$27)))</f>
        <v/>
      </c>
      <c r="AB131">
        <f>IF($A131="","",IF($B131="V01",Cadrage!$C$39,IF($B131="V02",Cadrage!$D$39,Cadrage!$E$39)))</f>
        <v/>
      </c>
      <c r="AC131">
        <f>IF($A131="","",IF($F131="MBWAY",Cadrage!$K$11,IF($F131="ISCOM",Cadrage!$K$12,IF($F131="IPAC",Cadrage!$K$13,IF($F131="PIGIER",Cadrage!$K$14,Cadrage!$K$15)))))</f>
        <v/>
      </c>
      <c r="AD131">
        <f>IF($A131="","",($O131*(1+$W131)^$S131+$P131*IFERROR((($T131/$U131)*(1+$V131))^$R131,0))*IFERROR($G131/$Q131,0)*($J131+$Y131)*$K131*($L131+$Z131))</f>
        <v/>
      </c>
      <c r="AE131">
        <f>IF($A131="","",IF($N131=1,$AD131,0))</f>
        <v/>
      </c>
      <c r="AF131">
        <f>IF($A131="","",IF($N131=1,$AD131,$H131*($M131+$AA131)))</f>
        <v/>
      </c>
      <c r="AG131">
        <f>IF($A131="","",$I131*(1+$X131*$AC131))</f>
        <v/>
      </c>
      <c r="AH131">
        <f>IF($A131="","",$AF131*$AG131+$AE131*$AB131)</f>
        <v/>
      </c>
    </row>
    <row r="132">
      <c r="A132">
        <f>IF(Moteur!D132="","",Moteur!D132)</f>
        <v/>
      </c>
      <c r="B132">
        <f>IF(Moteur!B132="","",Moteur!B132)</f>
        <v/>
      </c>
      <c r="C132">
        <f>IF(Moteur!F132="","",Moteur!F132)</f>
        <v/>
      </c>
      <c r="D132">
        <f>IF(Moteur!G132="","",Moteur!G132)</f>
        <v/>
      </c>
      <c r="E132">
        <f>IF(Moteur!H132="","",Moteur!H132)</f>
        <v/>
      </c>
      <c r="F132">
        <f>IF(Moteur!E132="","",Moteur!E132)</f>
        <v/>
      </c>
      <c r="G132">
        <f>IF($A132="","",SUMIFS(Socle!$H$1:$H$379,Socle!$C$1:$C$379,$A132,Socle!$D$1:$D$379,$C132,Socle!$E$1:$E$379,$D132,Socle!$F$1:$F$379,$E132,Socle!$G$1:$G$379,"2026"))</f>
        <v/>
      </c>
      <c r="H132">
        <f>IF($A132="","",SUMIFS(Socle!$N$1:$N$379,Socle!$C$1:$C$379,$A132,Socle!$D$1:$D$379,$C132,Socle!$E$1:$E$379,$D132,Socle!$F$1:$F$379,$E132,Socle!$G$1:$G$379,"2026"))</f>
        <v/>
      </c>
      <c r="I132">
        <f>IF($A132="","",SUMIFS(Socle!$P$1:$P$379,Socle!$C$1:$C$379,$A132,Socle!$D$1:$D$379,$C132,Socle!$E$1:$E$379,$D132,Socle!$F$1:$F$379,$E132,Socle!$G$1:$G$379,"2026"))</f>
        <v/>
      </c>
      <c r="J132">
        <f>IF($A132="","",SUMIFS(Socle!$W$1:$W$379,Socle!$C$1:$C$379,$A132,Socle!$D$1:$D$379,$C132,Socle!$E$1:$E$379,$D132,Socle!$F$1:$F$379,$E132,Socle!$G$1:$G$379,"2026"))</f>
        <v/>
      </c>
      <c r="K132">
        <f>IF($A132="","",SUMIFS(Socle!$X$1:$X$379,Socle!$C$1:$C$379,$A132,Socle!$D$1:$D$379,$C132,Socle!$E$1:$E$379,$D132,Socle!$F$1:$F$379,$E132,Socle!$G$1:$G$379,"2026"))</f>
        <v/>
      </c>
      <c r="L132">
        <f>IF($A132="","",SUMIFS(Socle!$Y$1:$Y$379,Socle!$C$1:$C$379,$A132,Socle!$D$1:$D$379,$C132,Socle!$E$1:$E$379,$D132,Socle!$F$1:$F$379,$E132,Socle!$G$1:$G$379,"2026"))</f>
        <v/>
      </c>
      <c r="M132">
        <f>IF($A132="","",SUMIFS(Socle!$V$1:$V$379,Socle!$C$1:$C$379,$A132,Socle!$D$1:$D$379,$C132,Socle!$E$1:$E$379,$D132,Socle!$F$1:$F$379,$E132,Socle!$G$1:$G$379,"2026"))</f>
        <v/>
      </c>
      <c r="N132">
        <f>IF($A132="","",IF(OR($D132="B1",$D132="M1",$D132="BTS1"),1,0))</f>
        <v/>
      </c>
      <c r="O132">
        <f>IF($A132="","",SUMIFS(Campagne!$D$1:$D$28,Campagne!$C$1:$C$28,$A132))</f>
        <v/>
      </c>
      <c r="P132">
        <f>IF($A132="","",SUMIFS(Campagne!$E$1:$E$28,Campagne!$C$1:$C$28,$A132))</f>
        <v/>
      </c>
      <c r="Q132">
        <f>IF($A132="","",SUMIFS(Campagne!$F$1:$F$28,Campagne!$C$1:$C$28,$A132))</f>
        <v/>
      </c>
      <c r="R132">
        <f>IF($A132="","",SUMIFS(Campagne!$K$1:$K$28,Campagne!$C$1:$C$28,$A132))</f>
        <v/>
      </c>
      <c r="S132">
        <f>IF($A132="","",SUMIFS(Campagne!$M$1:$M$28,Campagne!$C$1:$C$28,$A132))</f>
        <v/>
      </c>
      <c r="T132">
        <f>IF($A132="","",SUMIFS(Pilotage!$K$19:$K$32,Pilotage!$A$19:$A$32,$A132)*SUMIFS(Pilotage!$J$19:$J$32,Pilotage!$A$19:$A$32,$A132)*(SUM(Pilotage!$K$19:$K$32)/SUMPRODUCT(Pilotage!$K$19:$K$32,Pilotage!$J$19:$J$32)))</f>
        <v/>
      </c>
      <c r="U132">
        <f>IF($A132="","",SUMIFS(Pilotage!$K$19:$K$32,Pilotage!$A$19:$A$32,$A132))</f>
        <v/>
      </c>
      <c r="V132">
        <f>IF($A132="","",IF($B132="V01",Cadrage!$C$22,IF($B132="V02",Cadrage!$D$22,Cadrage!$E$22)))</f>
        <v/>
      </c>
      <c r="W132">
        <f>IF($A132="","",IF($B132="V01",Cadrage!$C$23,IF($B132="V02",Cadrage!$D$23,Cadrage!$E$23)))</f>
        <v/>
      </c>
      <c r="X132">
        <f>IF($A132="","",IF($B132="V01",Cadrage!$C$24,IF($B132="V02",Cadrage!$D$24,Cadrage!$E$24)))</f>
        <v/>
      </c>
      <c r="Y132">
        <f>IF($A132="","",IF($B132="V01",Cadrage!$C$25,IF($B132="V02",Cadrage!$D$25,Cadrage!$E$25)))</f>
        <v/>
      </c>
      <c r="Z132">
        <f>IF($A132="","",IF($B132="V01",Cadrage!$C$26,IF($B132="V02",Cadrage!$D$26,Cadrage!$E$26)))</f>
        <v/>
      </c>
      <c r="AA132">
        <f>IF($A132="","",IF($B132="V01",Cadrage!$C$27,IF($B132="V02",Cadrage!$D$27,Cadrage!$E$27)))</f>
        <v/>
      </c>
      <c r="AB132">
        <f>IF($A132="","",IF($B132="V01",Cadrage!$C$39,IF($B132="V02",Cadrage!$D$39,Cadrage!$E$39)))</f>
        <v/>
      </c>
      <c r="AC132">
        <f>IF($A132="","",IF($F132="MBWAY",Cadrage!$K$11,IF($F132="ISCOM",Cadrage!$K$12,IF($F132="IPAC",Cadrage!$K$13,IF($F132="PIGIER",Cadrage!$K$14,Cadrage!$K$15)))))</f>
        <v/>
      </c>
      <c r="AD132">
        <f>IF($A132="","",($O132*(1+$W132)^$S132+$P132*IFERROR((($T132/$U132)*(1+$V132))^$R132,0))*IFERROR($G132/$Q132,0)*($J132+$Y132)*$K132*($L132+$Z132))</f>
        <v/>
      </c>
      <c r="AE132">
        <f>IF($A132="","",IF($N132=1,$AD132,0))</f>
        <v/>
      </c>
      <c r="AF132">
        <f>IF($A132="","",IF($N132=1,$AD132,$H132*($M132+$AA132)))</f>
        <v/>
      </c>
      <c r="AG132">
        <f>IF($A132="","",$I132*(1+$X132*$AC132))</f>
        <v/>
      </c>
      <c r="AH132">
        <f>IF($A132="","",$AF132*$AG132+$AE132*$AB132)</f>
        <v/>
      </c>
    </row>
    <row r="133">
      <c r="A133">
        <f>IF(Moteur!D133="","",Moteur!D133)</f>
        <v/>
      </c>
      <c r="B133">
        <f>IF(Moteur!B133="","",Moteur!B133)</f>
        <v/>
      </c>
      <c r="C133">
        <f>IF(Moteur!F133="","",Moteur!F133)</f>
        <v/>
      </c>
      <c r="D133">
        <f>IF(Moteur!G133="","",Moteur!G133)</f>
        <v/>
      </c>
      <c r="E133">
        <f>IF(Moteur!H133="","",Moteur!H133)</f>
        <v/>
      </c>
      <c r="F133">
        <f>IF(Moteur!E133="","",Moteur!E133)</f>
        <v/>
      </c>
      <c r="G133">
        <f>IF($A133="","",SUMIFS(Socle!$H$1:$H$379,Socle!$C$1:$C$379,$A133,Socle!$D$1:$D$379,$C133,Socle!$E$1:$E$379,$D133,Socle!$F$1:$F$379,$E133,Socle!$G$1:$G$379,"2026"))</f>
        <v/>
      </c>
      <c r="H133">
        <f>IF($A133="","",SUMIFS(Socle!$N$1:$N$379,Socle!$C$1:$C$379,$A133,Socle!$D$1:$D$379,$C133,Socle!$E$1:$E$379,$D133,Socle!$F$1:$F$379,$E133,Socle!$G$1:$G$379,"2026"))</f>
        <v/>
      </c>
      <c r="I133">
        <f>IF($A133="","",SUMIFS(Socle!$P$1:$P$379,Socle!$C$1:$C$379,$A133,Socle!$D$1:$D$379,$C133,Socle!$E$1:$E$379,$D133,Socle!$F$1:$F$379,$E133,Socle!$G$1:$G$379,"2026"))</f>
        <v/>
      </c>
      <c r="J133">
        <f>IF($A133="","",SUMIFS(Socle!$W$1:$W$379,Socle!$C$1:$C$379,$A133,Socle!$D$1:$D$379,$C133,Socle!$E$1:$E$379,$D133,Socle!$F$1:$F$379,$E133,Socle!$G$1:$G$379,"2026"))</f>
        <v/>
      </c>
      <c r="K133">
        <f>IF($A133="","",SUMIFS(Socle!$X$1:$X$379,Socle!$C$1:$C$379,$A133,Socle!$D$1:$D$379,$C133,Socle!$E$1:$E$379,$D133,Socle!$F$1:$F$379,$E133,Socle!$G$1:$G$379,"2026"))</f>
        <v/>
      </c>
      <c r="L133">
        <f>IF($A133="","",SUMIFS(Socle!$Y$1:$Y$379,Socle!$C$1:$C$379,$A133,Socle!$D$1:$D$379,$C133,Socle!$E$1:$E$379,$D133,Socle!$F$1:$F$379,$E133,Socle!$G$1:$G$379,"2026"))</f>
        <v/>
      </c>
      <c r="M133">
        <f>IF($A133="","",SUMIFS(Socle!$V$1:$V$379,Socle!$C$1:$C$379,$A133,Socle!$D$1:$D$379,$C133,Socle!$E$1:$E$379,$D133,Socle!$F$1:$F$379,$E133,Socle!$G$1:$G$379,"2026"))</f>
        <v/>
      </c>
      <c r="N133">
        <f>IF($A133="","",IF(OR($D133="B1",$D133="M1",$D133="BTS1"),1,0))</f>
        <v/>
      </c>
      <c r="O133">
        <f>IF($A133="","",SUMIFS(Campagne!$D$1:$D$28,Campagne!$C$1:$C$28,$A133))</f>
        <v/>
      </c>
      <c r="P133">
        <f>IF($A133="","",SUMIFS(Campagne!$E$1:$E$28,Campagne!$C$1:$C$28,$A133))</f>
        <v/>
      </c>
      <c r="Q133">
        <f>IF($A133="","",SUMIFS(Campagne!$F$1:$F$28,Campagne!$C$1:$C$28,$A133))</f>
        <v/>
      </c>
      <c r="R133">
        <f>IF($A133="","",SUMIFS(Campagne!$K$1:$K$28,Campagne!$C$1:$C$28,$A133))</f>
        <v/>
      </c>
      <c r="S133">
        <f>IF($A133="","",SUMIFS(Campagne!$M$1:$M$28,Campagne!$C$1:$C$28,$A133))</f>
        <v/>
      </c>
      <c r="T133">
        <f>IF($A133="","",SUMIFS(Pilotage!$K$19:$K$32,Pilotage!$A$19:$A$32,$A133)*SUMIFS(Pilotage!$J$19:$J$32,Pilotage!$A$19:$A$32,$A133)*(SUM(Pilotage!$K$19:$K$32)/SUMPRODUCT(Pilotage!$K$19:$K$32,Pilotage!$J$19:$J$32)))</f>
        <v/>
      </c>
      <c r="U133">
        <f>IF($A133="","",SUMIFS(Pilotage!$K$19:$K$32,Pilotage!$A$19:$A$32,$A133))</f>
        <v/>
      </c>
      <c r="V133">
        <f>IF($A133="","",IF($B133="V01",Cadrage!$C$22,IF($B133="V02",Cadrage!$D$22,Cadrage!$E$22)))</f>
        <v/>
      </c>
      <c r="W133">
        <f>IF($A133="","",IF($B133="V01",Cadrage!$C$23,IF($B133="V02",Cadrage!$D$23,Cadrage!$E$23)))</f>
        <v/>
      </c>
      <c r="X133">
        <f>IF($A133="","",IF($B133="V01",Cadrage!$C$24,IF($B133="V02",Cadrage!$D$24,Cadrage!$E$24)))</f>
        <v/>
      </c>
      <c r="Y133">
        <f>IF($A133="","",IF($B133="V01",Cadrage!$C$25,IF($B133="V02",Cadrage!$D$25,Cadrage!$E$25)))</f>
        <v/>
      </c>
      <c r="Z133">
        <f>IF($A133="","",IF($B133="V01",Cadrage!$C$26,IF($B133="V02",Cadrage!$D$26,Cadrage!$E$26)))</f>
        <v/>
      </c>
      <c r="AA133">
        <f>IF($A133="","",IF($B133="V01",Cadrage!$C$27,IF($B133="V02",Cadrage!$D$27,Cadrage!$E$27)))</f>
        <v/>
      </c>
      <c r="AB133">
        <f>IF($A133="","",IF($B133="V01",Cadrage!$C$39,IF($B133="V02",Cadrage!$D$39,Cadrage!$E$39)))</f>
        <v/>
      </c>
      <c r="AC133">
        <f>IF($A133="","",IF($F133="MBWAY",Cadrage!$K$11,IF($F133="ISCOM",Cadrage!$K$12,IF($F133="IPAC",Cadrage!$K$13,IF($F133="PIGIER",Cadrage!$K$14,Cadrage!$K$15)))))</f>
        <v/>
      </c>
      <c r="AD133">
        <f>IF($A133="","",($O133*(1+$W133)^$S133+$P133*IFERROR((($T133/$U133)*(1+$V133))^$R133,0))*IFERROR($G133/$Q133,0)*($J133+$Y133)*$K133*($L133+$Z133))</f>
        <v/>
      </c>
      <c r="AE133">
        <f>IF($A133="","",IF($N133=1,$AD133,0))</f>
        <v/>
      </c>
      <c r="AF133">
        <f>IF($A133="","",IF($N133=1,$AD133,$H133*($M133+$AA133)))</f>
        <v/>
      </c>
      <c r="AG133">
        <f>IF($A133="","",$I133*(1+$X133*$AC133))</f>
        <v/>
      </c>
      <c r="AH133">
        <f>IF($A133="","",$AF133*$AG133+$AE133*$AB133)</f>
        <v/>
      </c>
    </row>
    <row r="134">
      <c r="A134">
        <f>IF(Moteur!D134="","",Moteur!D134)</f>
        <v/>
      </c>
      <c r="B134">
        <f>IF(Moteur!B134="","",Moteur!B134)</f>
        <v/>
      </c>
      <c r="C134">
        <f>IF(Moteur!F134="","",Moteur!F134)</f>
        <v/>
      </c>
      <c r="D134">
        <f>IF(Moteur!G134="","",Moteur!G134)</f>
        <v/>
      </c>
      <c r="E134">
        <f>IF(Moteur!H134="","",Moteur!H134)</f>
        <v/>
      </c>
      <c r="F134">
        <f>IF(Moteur!E134="","",Moteur!E134)</f>
        <v/>
      </c>
      <c r="G134">
        <f>IF($A134="","",SUMIFS(Socle!$H$1:$H$379,Socle!$C$1:$C$379,$A134,Socle!$D$1:$D$379,$C134,Socle!$E$1:$E$379,$D134,Socle!$F$1:$F$379,$E134,Socle!$G$1:$G$379,"2026"))</f>
        <v/>
      </c>
      <c r="H134">
        <f>IF($A134="","",SUMIFS(Socle!$N$1:$N$379,Socle!$C$1:$C$379,$A134,Socle!$D$1:$D$379,$C134,Socle!$E$1:$E$379,$D134,Socle!$F$1:$F$379,$E134,Socle!$G$1:$G$379,"2026"))</f>
        <v/>
      </c>
      <c r="I134">
        <f>IF($A134="","",SUMIFS(Socle!$P$1:$P$379,Socle!$C$1:$C$379,$A134,Socle!$D$1:$D$379,$C134,Socle!$E$1:$E$379,$D134,Socle!$F$1:$F$379,$E134,Socle!$G$1:$G$379,"2026"))</f>
        <v/>
      </c>
      <c r="J134">
        <f>IF($A134="","",SUMIFS(Socle!$W$1:$W$379,Socle!$C$1:$C$379,$A134,Socle!$D$1:$D$379,$C134,Socle!$E$1:$E$379,$D134,Socle!$F$1:$F$379,$E134,Socle!$G$1:$G$379,"2026"))</f>
        <v/>
      </c>
      <c r="K134">
        <f>IF($A134="","",SUMIFS(Socle!$X$1:$X$379,Socle!$C$1:$C$379,$A134,Socle!$D$1:$D$379,$C134,Socle!$E$1:$E$379,$D134,Socle!$F$1:$F$379,$E134,Socle!$G$1:$G$379,"2026"))</f>
        <v/>
      </c>
      <c r="L134">
        <f>IF($A134="","",SUMIFS(Socle!$Y$1:$Y$379,Socle!$C$1:$C$379,$A134,Socle!$D$1:$D$379,$C134,Socle!$E$1:$E$379,$D134,Socle!$F$1:$F$379,$E134,Socle!$G$1:$G$379,"2026"))</f>
        <v/>
      </c>
      <c r="M134">
        <f>IF($A134="","",SUMIFS(Socle!$V$1:$V$379,Socle!$C$1:$C$379,$A134,Socle!$D$1:$D$379,$C134,Socle!$E$1:$E$379,$D134,Socle!$F$1:$F$379,$E134,Socle!$G$1:$G$379,"2026"))</f>
        <v/>
      </c>
      <c r="N134">
        <f>IF($A134="","",IF(OR($D134="B1",$D134="M1",$D134="BTS1"),1,0))</f>
        <v/>
      </c>
      <c r="O134">
        <f>IF($A134="","",SUMIFS(Campagne!$D$1:$D$28,Campagne!$C$1:$C$28,$A134))</f>
        <v/>
      </c>
      <c r="P134">
        <f>IF($A134="","",SUMIFS(Campagne!$E$1:$E$28,Campagne!$C$1:$C$28,$A134))</f>
        <v/>
      </c>
      <c r="Q134">
        <f>IF($A134="","",SUMIFS(Campagne!$F$1:$F$28,Campagne!$C$1:$C$28,$A134))</f>
        <v/>
      </c>
      <c r="R134">
        <f>IF($A134="","",SUMIFS(Campagne!$K$1:$K$28,Campagne!$C$1:$C$28,$A134))</f>
        <v/>
      </c>
      <c r="S134">
        <f>IF($A134="","",SUMIFS(Campagne!$M$1:$M$28,Campagne!$C$1:$C$28,$A134))</f>
        <v/>
      </c>
      <c r="T134">
        <f>IF($A134="","",SUMIFS(Pilotage!$K$19:$K$32,Pilotage!$A$19:$A$32,$A134)*SUMIFS(Pilotage!$J$19:$J$32,Pilotage!$A$19:$A$32,$A134)*(SUM(Pilotage!$K$19:$K$32)/SUMPRODUCT(Pilotage!$K$19:$K$32,Pilotage!$J$19:$J$32)))</f>
        <v/>
      </c>
      <c r="U134">
        <f>IF($A134="","",SUMIFS(Pilotage!$K$19:$K$32,Pilotage!$A$19:$A$32,$A134))</f>
        <v/>
      </c>
      <c r="V134">
        <f>IF($A134="","",IF($B134="V01",Cadrage!$C$22,IF($B134="V02",Cadrage!$D$22,Cadrage!$E$22)))</f>
        <v/>
      </c>
      <c r="W134">
        <f>IF($A134="","",IF($B134="V01",Cadrage!$C$23,IF($B134="V02",Cadrage!$D$23,Cadrage!$E$23)))</f>
        <v/>
      </c>
      <c r="X134">
        <f>IF($A134="","",IF($B134="V01",Cadrage!$C$24,IF($B134="V02",Cadrage!$D$24,Cadrage!$E$24)))</f>
        <v/>
      </c>
      <c r="Y134">
        <f>IF($A134="","",IF($B134="V01",Cadrage!$C$25,IF($B134="V02",Cadrage!$D$25,Cadrage!$E$25)))</f>
        <v/>
      </c>
      <c r="Z134">
        <f>IF($A134="","",IF($B134="V01",Cadrage!$C$26,IF($B134="V02",Cadrage!$D$26,Cadrage!$E$26)))</f>
        <v/>
      </c>
      <c r="AA134">
        <f>IF($A134="","",IF($B134="V01",Cadrage!$C$27,IF($B134="V02",Cadrage!$D$27,Cadrage!$E$27)))</f>
        <v/>
      </c>
      <c r="AB134">
        <f>IF($A134="","",IF($B134="V01",Cadrage!$C$39,IF($B134="V02",Cadrage!$D$39,Cadrage!$E$39)))</f>
        <v/>
      </c>
      <c r="AC134">
        <f>IF($A134="","",IF($F134="MBWAY",Cadrage!$K$11,IF($F134="ISCOM",Cadrage!$K$12,IF($F134="IPAC",Cadrage!$K$13,IF($F134="PIGIER",Cadrage!$K$14,Cadrage!$K$15)))))</f>
        <v/>
      </c>
      <c r="AD134">
        <f>IF($A134="","",($O134*(1+$W134)^$S134+$P134*IFERROR((($T134/$U134)*(1+$V134))^$R134,0))*IFERROR($G134/$Q134,0)*($J134+$Y134)*$K134*($L134+$Z134))</f>
        <v/>
      </c>
      <c r="AE134">
        <f>IF($A134="","",IF($N134=1,$AD134,0))</f>
        <v/>
      </c>
      <c r="AF134">
        <f>IF($A134="","",IF($N134=1,$AD134,$H134*($M134+$AA134)))</f>
        <v/>
      </c>
      <c r="AG134">
        <f>IF($A134="","",$I134*(1+$X134*$AC134))</f>
        <v/>
      </c>
      <c r="AH134">
        <f>IF($A134="","",$AF134*$AG134+$AE134*$AB134)</f>
        <v/>
      </c>
    </row>
    <row r="135">
      <c r="A135">
        <f>IF(Moteur!D135="","",Moteur!D135)</f>
        <v/>
      </c>
      <c r="B135">
        <f>IF(Moteur!B135="","",Moteur!B135)</f>
        <v/>
      </c>
      <c r="C135">
        <f>IF(Moteur!F135="","",Moteur!F135)</f>
        <v/>
      </c>
      <c r="D135">
        <f>IF(Moteur!G135="","",Moteur!G135)</f>
        <v/>
      </c>
      <c r="E135">
        <f>IF(Moteur!H135="","",Moteur!H135)</f>
        <v/>
      </c>
      <c r="F135">
        <f>IF(Moteur!E135="","",Moteur!E135)</f>
        <v/>
      </c>
      <c r="G135">
        <f>IF($A135="","",SUMIFS(Socle!$H$1:$H$379,Socle!$C$1:$C$379,$A135,Socle!$D$1:$D$379,$C135,Socle!$E$1:$E$379,$D135,Socle!$F$1:$F$379,$E135,Socle!$G$1:$G$379,"2026"))</f>
        <v/>
      </c>
      <c r="H135">
        <f>IF($A135="","",SUMIFS(Socle!$N$1:$N$379,Socle!$C$1:$C$379,$A135,Socle!$D$1:$D$379,$C135,Socle!$E$1:$E$379,$D135,Socle!$F$1:$F$379,$E135,Socle!$G$1:$G$379,"2026"))</f>
        <v/>
      </c>
      <c r="I135">
        <f>IF($A135="","",SUMIFS(Socle!$P$1:$P$379,Socle!$C$1:$C$379,$A135,Socle!$D$1:$D$379,$C135,Socle!$E$1:$E$379,$D135,Socle!$F$1:$F$379,$E135,Socle!$G$1:$G$379,"2026"))</f>
        <v/>
      </c>
      <c r="J135">
        <f>IF($A135="","",SUMIFS(Socle!$W$1:$W$379,Socle!$C$1:$C$379,$A135,Socle!$D$1:$D$379,$C135,Socle!$E$1:$E$379,$D135,Socle!$F$1:$F$379,$E135,Socle!$G$1:$G$379,"2026"))</f>
        <v/>
      </c>
      <c r="K135">
        <f>IF($A135="","",SUMIFS(Socle!$X$1:$X$379,Socle!$C$1:$C$379,$A135,Socle!$D$1:$D$379,$C135,Socle!$E$1:$E$379,$D135,Socle!$F$1:$F$379,$E135,Socle!$G$1:$G$379,"2026"))</f>
        <v/>
      </c>
      <c r="L135">
        <f>IF($A135="","",SUMIFS(Socle!$Y$1:$Y$379,Socle!$C$1:$C$379,$A135,Socle!$D$1:$D$379,$C135,Socle!$E$1:$E$379,$D135,Socle!$F$1:$F$379,$E135,Socle!$G$1:$G$379,"2026"))</f>
        <v/>
      </c>
      <c r="M135">
        <f>IF($A135="","",SUMIFS(Socle!$V$1:$V$379,Socle!$C$1:$C$379,$A135,Socle!$D$1:$D$379,$C135,Socle!$E$1:$E$379,$D135,Socle!$F$1:$F$379,$E135,Socle!$G$1:$G$379,"2026"))</f>
        <v/>
      </c>
      <c r="N135">
        <f>IF($A135="","",IF(OR($D135="B1",$D135="M1",$D135="BTS1"),1,0))</f>
        <v/>
      </c>
      <c r="O135">
        <f>IF($A135="","",SUMIFS(Campagne!$D$1:$D$28,Campagne!$C$1:$C$28,$A135))</f>
        <v/>
      </c>
      <c r="P135">
        <f>IF($A135="","",SUMIFS(Campagne!$E$1:$E$28,Campagne!$C$1:$C$28,$A135))</f>
        <v/>
      </c>
      <c r="Q135">
        <f>IF($A135="","",SUMIFS(Campagne!$F$1:$F$28,Campagne!$C$1:$C$28,$A135))</f>
        <v/>
      </c>
      <c r="R135">
        <f>IF($A135="","",SUMIFS(Campagne!$K$1:$K$28,Campagne!$C$1:$C$28,$A135))</f>
        <v/>
      </c>
      <c r="S135">
        <f>IF($A135="","",SUMIFS(Campagne!$M$1:$M$28,Campagne!$C$1:$C$28,$A135))</f>
        <v/>
      </c>
      <c r="T135">
        <f>IF($A135="","",SUMIFS(Pilotage!$K$19:$K$32,Pilotage!$A$19:$A$32,$A135)*SUMIFS(Pilotage!$J$19:$J$32,Pilotage!$A$19:$A$32,$A135)*(SUM(Pilotage!$K$19:$K$32)/SUMPRODUCT(Pilotage!$K$19:$K$32,Pilotage!$J$19:$J$32)))</f>
        <v/>
      </c>
      <c r="U135">
        <f>IF($A135="","",SUMIFS(Pilotage!$K$19:$K$32,Pilotage!$A$19:$A$32,$A135))</f>
        <v/>
      </c>
      <c r="V135">
        <f>IF($A135="","",IF($B135="V01",Cadrage!$C$22,IF($B135="V02",Cadrage!$D$22,Cadrage!$E$22)))</f>
        <v/>
      </c>
      <c r="W135">
        <f>IF($A135="","",IF($B135="V01",Cadrage!$C$23,IF($B135="V02",Cadrage!$D$23,Cadrage!$E$23)))</f>
        <v/>
      </c>
      <c r="X135">
        <f>IF($A135="","",IF($B135="V01",Cadrage!$C$24,IF($B135="V02",Cadrage!$D$24,Cadrage!$E$24)))</f>
        <v/>
      </c>
      <c r="Y135">
        <f>IF($A135="","",IF($B135="V01",Cadrage!$C$25,IF($B135="V02",Cadrage!$D$25,Cadrage!$E$25)))</f>
        <v/>
      </c>
      <c r="Z135">
        <f>IF($A135="","",IF($B135="V01",Cadrage!$C$26,IF($B135="V02",Cadrage!$D$26,Cadrage!$E$26)))</f>
        <v/>
      </c>
      <c r="AA135">
        <f>IF($A135="","",IF($B135="V01",Cadrage!$C$27,IF($B135="V02",Cadrage!$D$27,Cadrage!$E$27)))</f>
        <v/>
      </c>
      <c r="AB135">
        <f>IF($A135="","",IF($B135="V01",Cadrage!$C$39,IF($B135="V02",Cadrage!$D$39,Cadrage!$E$39)))</f>
        <v/>
      </c>
      <c r="AC135">
        <f>IF($A135="","",IF($F135="MBWAY",Cadrage!$K$11,IF($F135="ISCOM",Cadrage!$K$12,IF($F135="IPAC",Cadrage!$K$13,IF($F135="PIGIER",Cadrage!$K$14,Cadrage!$K$15)))))</f>
        <v/>
      </c>
      <c r="AD135">
        <f>IF($A135="","",($O135*(1+$W135)^$S135+$P135*IFERROR((($T135/$U135)*(1+$V135))^$R135,0))*IFERROR($G135/$Q135,0)*($J135+$Y135)*$K135*($L135+$Z135))</f>
        <v/>
      </c>
      <c r="AE135">
        <f>IF($A135="","",IF($N135=1,$AD135,0))</f>
        <v/>
      </c>
      <c r="AF135">
        <f>IF($A135="","",IF($N135=1,$AD135,$H135*($M135+$AA135)))</f>
        <v/>
      </c>
      <c r="AG135">
        <f>IF($A135="","",$I135*(1+$X135*$AC135))</f>
        <v/>
      </c>
      <c r="AH135">
        <f>IF($A135="","",$AF135*$AG135+$AE135*$AB135)</f>
        <v/>
      </c>
    </row>
    <row r="136">
      <c r="A136">
        <f>IF(Moteur!D136="","",Moteur!D136)</f>
        <v/>
      </c>
      <c r="B136">
        <f>IF(Moteur!B136="","",Moteur!B136)</f>
        <v/>
      </c>
      <c r="C136">
        <f>IF(Moteur!F136="","",Moteur!F136)</f>
        <v/>
      </c>
      <c r="D136">
        <f>IF(Moteur!G136="","",Moteur!G136)</f>
        <v/>
      </c>
      <c r="E136">
        <f>IF(Moteur!H136="","",Moteur!H136)</f>
        <v/>
      </c>
      <c r="F136">
        <f>IF(Moteur!E136="","",Moteur!E136)</f>
        <v/>
      </c>
      <c r="G136">
        <f>IF($A136="","",SUMIFS(Socle!$H$1:$H$379,Socle!$C$1:$C$379,$A136,Socle!$D$1:$D$379,$C136,Socle!$E$1:$E$379,$D136,Socle!$F$1:$F$379,$E136,Socle!$G$1:$G$379,"2026"))</f>
        <v/>
      </c>
      <c r="H136">
        <f>IF($A136="","",SUMIFS(Socle!$N$1:$N$379,Socle!$C$1:$C$379,$A136,Socle!$D$1:$D$379,$C136,Socle!$E$1:$E$379,$D136,Socle!$F$1:$F$379,$E136,Socle!$G$1:$G$379,"2026"))</f>
        <v/>
      </c>
      <c r="I136">
        <f>IF($A136="","",SUMIFS(Socle!$P$1:$P$379,Socle!$C$1:$C$379,$A136,Socle!$D$1:$D$379,$C136,Socle!$E$1:$E$379,$D136,Socle!$F$1:$F$379,$E136,Socle!$G$1:$G$379,"2026"))</f>
        <v/>
      </c>
      <c r="J136">
        <f>IF($A136="","",SUMIFS(Socle!$W$1:$W$379,Socle!$C$1:$C$379,$A136,Socle!$D$1:$D$379,$C136,Socle!$E$1:$E$379,$D136,Socle!$F$1:$F$379,$E136,Socle!$G$1:$G$379,"2026"))</f>
        <v/>
      </c>
      <c r="K136">
        <f>IF($A136="","",SUMIFS(Socle!$X$1:$X$379,Socle!$C$1:$C$379,$A136,Socle!$D$1:$D$379,$C136,Socle!$E$1:$E$379,$D136,Socle!$F$1:$F$379,$E136,Socle!$G$1:$G$379,"2026"))</f>
        <v/>
      </c>
      <c r="L136">
        <f>IF($A136="","",SUMIFS(Socle!$Y$1:$Y$379,Socle!$C$1:$C$379,$A136,Socle!$D$1:$D$379,$C136,Socle!$E$1:$E$379,$D136,Socle!$F$1:$F$379,$E136,Socle!$G$1:$G$379,"2026"))</f>
        <v/>
      </c>
      <c r="M136">
        <f>IF($A136="","",SUMIFS(Socle!$V$1:$V$379,Socle!$C$1:$C$379,$A136,Socle!$D$1:$D$379,$C136,Socle!$E$1:$E$379,$D136,Socle!$F$1:$F$379,$E136,Socle!$G$1:$G$379,"2026"))</f>
        <v/>
      </c>
      <c r="N136">
        <f>IF($A136="","",IF(OR($D136="B1",$D136="M1",$D136="BTS1"),1,0))</f>
        <v/>
      </c>
      <c r="O136">
        <f>IF($A136="","",SUMIFS(Campagne!$D$1:$D$28,Campagne!$C$1:$C$28,$A136))</f>
        <v/>
      </c>
      <c r="P136">
        <f>IF($A136="","",SUMIFS(Campagne!$E$1:$E$28,Campagne!$C$1:$C$28,$A136))</f>
        <v/>
      </c>
      <c r="Q136">
        <f>IF($A136="","",SUMIFS(Campagne!$F$1:$F$28,Campagne!$C$1:$C$28,$A136))</f>
        <v/>
      </c>
      <c r="R136">
        <f>IF($A136="","",SUMIFS(Campagne!$K$1:$K$28,Campagne!$C$1:$C$28,$A136))</f>
        <v/>
      </c>
      <c r="S136">
        <f>IF($A136="","",SUMIFS(Campagne!$M$1:$M$28,Campagne!$C$1:$C$28,$A136))</f>
        <v/>
      </c>
      <c r="T136">
        <f>IF($A136="","",SUMIFS(Pilotage!$K$19:$K$32,Pilotage!$A$19:$A$32,$A136)*SUMIFS(Pilotage!$J$19:$J$32,Pilotage!$A$19:$A$32,$A136)*(SUM(Pilotage!$K$19:$K$32)/SUMPRODUCT(Pilotage!$K$19:$K$32,Pilotage!$J$19:$J$32)))</f>
        <v/>
      </c>
      <c r="U136">
        <f>IF($A136="","",SUMIFS(Pilotage!$K$19:$K$32,Pilotage!$A$19:$A$32,$A136))</f>
        <v/>
      </c>
      <c r="V136">
        <f>IF($A136="","",IF($B136="V01",Cadrage!$C$22,IF($B136="V02",Cadrage!$D$22,Cadrage!$E$22)))</f>
        <v/>
      </c>
      <c r="W136">
        <f>IF($A136="","",IF($B136="V01",Cadrage!$C$23,IF($B136="V02",Cadrage!$D$23,Cadrage!$E$23)))</f>
        <v/>
      </c>
      <c r="X136">
        <f>IF($A136="","",IF($B136="V01",Cadrage!$C$24,IF($B136="V02",Cadrage!$D$24,Cadrage!$E$24)))</f>
        <v/>
      </c>
      <c r="Y136">
        <f>IF($A136="","",IF($B136="V01",Cadrage!$C$25,IF($B136="V02",Cadrage!$D$25,Cadrage!$E$25)))</f>
        <v/>
      </c>
      <c r="Z136">
        <f>IF($A136="","",IF($B136="V01",Cadrage!$C$26,IF($B136="V02",Cadrage!$D$26,Cadrage!$E$26)))</f>
        <v/>
      </c>
      <c r="AA136">
        <f>IF($A136="","",IF($B136="V01",Cadrage!$C$27,IF($B136="V02",Cadrage!$D$27,Cadrage!$E$27)))</f>
        <v/>
      </c>
      <c r="AB136">
        <f>IF($A136="","",IF($B136="V01",Cadrage!$C$39,IF($B136="V02",Cadrage!$D$39,Cadrage!$E$39)))</f>
        <v/>
      </c>
      <c r="AC136">
        <f>IF($A136="","",IF($F136="MBWAY",Cadrage!$K$11,IF($F136="ISCOM",Cadrage!$K$12,IF($F136="IPAC",Cadrage!$K$13,IF($F136="PIGIER",Cadrage!$K$14,Cadrage!$K$15)))))</f>
        <v/>
      </c>
      <c r="AD136">
        <f>IF($A136="","",($O136*(1+$W136)^$S136+$P136*IFERROR((($T136/$U136)*(1+$V136))^$R136,0))*IFERROR($G136/$Q136,0)*($J136+$Y136)*$K136*($L136+$Z136))</f>
        <v/>
      </c>
      <c r="AE136">
        <f>IF($A136="","",IF($N136=1,$AD136,0))</f>
        <v/>
      </c>
      <c r="AF136">
        <f>IF($A136="","",IF($N136=1,$AD136,$H136*($M136+$AA136)))</f>
        <v/>
      </c>
      <c r="AG136">
        <f>IF($A136="","",$I136*(1+$X136*$AC136))</f>
        <v/>
      </c>
      <c r="AH136">
        <f>IF($A136="","",$AF136*$AG136+$AE136*$AB136)</f>
        <v/>
      </c>
    </row>
    <row r="137">
      <c r="A137">
        <f>IF(Moteur!D137="","",Moteur!D137)</f>
        <v/>
      </c>
      <c r="B137">
        <f>IF(Moteur!B137="","",Moteur!B137)</f>
        <v/>
      </c>
      <c r="C137">
        <f>IF(Moteur!F137="","",Moteur!F137)</f>
        <v/>
      </c>
      <c r="D137">
        <f>IF(Moteur!G137="","",Moteur!G137)</f>
        <v/>
      </c>
      <c r="E137">
        <f>IF(Moteur!H137="","",Moteur!H137)</f>
        <v/>
      </c>
      <c r="F137">
        <f>IF(Moteur!E137="","",Moteur!E137)</f>
        <v/>
      </c>
      <c r="G137">
        <f>IF($A137="","",SUMIFS(Socle!$H$1:$H$379,Socle!$C$1:$C$379,$A137,Socle!$D$1:$D$379,$C137,Socle!$E$1:$E$379,$D137,Socle!$F$1:$F$379,$E137,Socle!$G$1:$G$379,"2026"))</f>
        <v/>
      </c>
      <c r="H137">
        <f>IF($A137="","",SUMIFS(Socle!$N$1:$N$379,Socle!$C$1:$C$379,$A137,Socle!$D$1:$D$379,$C137,Socle!$E$1:$E$379,$D137,Socle!$F$1:$F$379,$E137,Socle!$G$1:$G$379,"2026"))</f>
        <v/>
      </c>
      <c r="I137">
        <f>IF($A137="","",SUMIFS(Socle!$P$1:$P$379,Socle!$C$1:$C$379,$A137,Socle!$D$1:$D$379,$C137,Socle!$E$1:$E$379,$D137,Socle!$F$1:$F$379,$E137,Socle!$G$1:$G$379,"2026"))</f>
        <v/>
      </c>
      <c r="J137">
        <f>IF($A137="","",SUMIFS(Socle!$W$1:$W$379,Socle!$C$1:$C$379,$A137,Socle!$D$1:$D$379,$C137,Socle!$E$1:$E$379,$D137,Socle!$F$1:$F$379,$E137,Socle!$G$1:$G$379,"2026"))</f>
        <v/>
      </c>
      <c r="K137">
        <f>IF($A137="","",SUMIFS(Socle!$X$1:$X$379,Socle!$C$1:$C$379,$A137,Socle!$D$1:$D$379,$C137,Socle!$E$1:$E$379,$D137,Socle!$F$1:$F$379,$E137,Socle!$G$1:$G$379,"2026"))</f>
        <v/>
      </c>
      <c r="L137">
        <f>IF($A137="","",SUMIFS(Socle!$Y$1:$Y$379,Socle!$C$1:$C$379,$A137,Socle!$D$1:$D$379,$C137,Socle!$E$1:$E$379,$D137,Socle!$F$1:$F$379,$E137,Socle!$G$1:$G$379,"2026"))</f>
        <v/>
      </c>
      <c r="M137">
        <f>IF($A137="","",SUMIFS(Socle!$V$1:$V$379,Socle!$C$1:$C$379,$A137,Socle!$D$1:$D$379,$C137,Socle!$E$1:$E$379,$D137,Socle!$F$1:$F$379,$E137,Socle!$G$1:$G$379,"2026"))</f>
        <v/>
      </c>
      <c r="N137">
        <f>IF($A137="","",IF(OR($D137="B1",$D137="M1",$D137="BTS1"),1,0))</f>
        <v/>
      </c>
      <c r="O137">
        <f>IF($A137="","",SUMIFS(Campagne!$D$1:$D$28,Campagne!$C$1:$C$28,$A137))</f>
        <v/>
      </c>
      <c r="P137">
        <f>IF($A137="","",SUMIFS(Campagne!$E$1:$E$28,Campagne!$C$1:$C$28,$A137))</f>
        <v/>
      </c>
      <c r="Q137">
        <f>IF($A137="","",SUMIFS(Campagne!$F$1:$F$28,Campagne!$C$1:$C$28,$A137))</f>
        <v/>
      </c>
      <c r="R137">
        <f>IF($A137="","",SUMIFS(Campagne!$K$1:$K$28,Campagne!$C$1:$C$28,$A137))</f>
        <v/>
      </c>
      <c r="S137">
        <f>IF($A137="","",SUMIFS(Campagne!$M$1:$M$28,Campagne!$C$1:$C$28,$A137))</f>
        <v/>
      </c>
      <c r="T137">
        <f>IF($A137="","",SUMIFS(Pilotage!$K$19:$K$32,Pilotage!$A$19:$A$32,$A137)*SUMIFS(Pilotage!$J$19:$J$32,Pilotage!$A$19:$A$32,$A137)*(SUM(Pilotage!$K$19:$K$32)/SUMPRODUCT(Pilotage!$K$19:$K$32,Pilotage!$J$19:$J$32)))</f>
        <v/>
      </c>
      <c r="U137">
        <f>IF($A137="","",SUMIFS(Pilotage!$K$19:$K$32,Pilotage!$A$19:$A$32,$A137))</f>
        <v/>
      </c>
      <c r="V137">
        <f>IF($A137="","",IF($B137="V01",Cadrage!$C$22,IF($B137="V02",Cadrage!$D$22,Cadrage!$E$22)))</f>
        <v/>
      </c>
      <c r="W137">
        <f>IF($A137="","",IF($B137="V01",Cadrage!$C$23,IF($B137="V02",Cadrage!$D$23,Cadrage!$E$23)))</f>
        <v/>
      </c>
      <c r="X137">
        <f>IF($A137="","",IF($B137="V01",Cadrage!$C$24,IF($B137="V02",Cadrage!$D$24,Cadrage!$E$24)))</f>
        <v/>
      </c>
      <c r="Y137">
        <f>IF($A137="","",IF($B137="V01",Cadrage!$C$25,IF($B137="V02",Cadrage!$D$25,Cadrage!$E$25)))</f>
        <v/>
      </c>
      <c r="Z137">
        <f>IF($A137="","",IF($B137="V01",Cadrage!$C$26,IF($B137="V02",Cadrage!$D$26,Cadrage!$E$26)))</f>
        <v/>
      </c>
      <c r="AA137">
        <f>IF($A137="","",IF($B137="V01",Cadrage!$C$27,IF($B137="V02",Cadrage!$D$27,Cadrage!$E$27)))</f>
        <v/>
      </c>
      <c r="AB137">
        <f>IF($A137="","",IF($B137="V01",Cadrage!$C$39,IF($B137="V02",Cadrage!$D$39,Cadrage!$E$39)))</f>
        <v/>
      </c>
      <c r="AC137">
        <f>IF($A137="","",IF($F137="MBWAY",Cadrage!$K$11,IF($F137="ISCOM",Cadrage!$K$12,IF($F137="IPAC",Cadrage!$K$13,IF($F137="PIGIER",Cadrage!$K$14,Cadrage!$K$15)))))</f>
        <v/>
      </c>
      <c r="AD137">
        <f>IF($A137="","",($O137*(1+$W137)^$S137+$P137*IFERROR((($T137/$U137)*(1+$V137))^$R137,0))*IFERROR($G137/$Q137,0)*($J137+$Y137)*$K137*($L137+$Z137))</f>
        <v/>
      </c>
      <c r="AE137">
        <f>IF($A137="","",IF($N137=1,$AD137,0))</f>
        <v/>
      </c>
      <c r="AF137">
        <f>IF($A137="","",IF($N137=1,$AD137,$H137*($M137+$AA137)))</f>
        <v/>
      </c>
      <c r="AG137">
        <f>IF($A137="","",$I137*(1+$X137*$AC137))</f>
        <v/>
      </c>
      <c r="AH137">
        <f>IF($A137="","",$AF137*$AG137+$AE137*$AB137)</f>
        <v/>
      </c>
    </row>
    <row r="138">
      <c r="A138">
        <f>IF(Moteur!D138="","",Moteur!D138)</f>
        <v/>
      </c>
      <c r="B138">
        <f>IF(Moteur!B138="","",Moteur!B138)</f>
        <v/>
      </c>
      <c r="C138">
        <f>IF(Moteur!F138="","",Moteur!F138)</f>
        <v/>
      </c>
      <c r="D138">
        <f>IF(Moteur!G138="","",Moteur!G138)</f>
        <v/>
      </c>
      <c r="E138">
        <f>IF(Moteur!H138="","",Moteur!H138)</f>
        <v/>
      </c>
      <c r="F138">
        <f>IF(Moteur!E138="","",Moteur!E138)</f>
        <v/>
      </c>
      <c r="G138">
        <f>IF($A138="","",SUMIFS(Socle!$H$1:$H$379,Socle!$C$1:$C$379,$A138,Socle!$D$1:$D$379,$C138,Socle!$E$1:$E$379,$D138,Socle!$F$1:$F$379,$E138,Socle!$G$1:$G$379,"2026"))</f>
        <v/>
      </c>
      <c r="H138">
        <f>IF($A138="","",SUMIFS(Socle!$N$1:$N$379,Socle!$C$1:$C$379,$A138,Socle!$D$1:$D$379,$C138,Socle!$E$1:$E$379,$D138,Socle!$F$1:$F$379,$E138,Socle!$G$1:$G$379,"2026"))</f>
        <v/>
      </c>
      <c r="I138">
        <f>IF($A138="","",SUMIFS(Socle!$P$1:$P$379,Socle!$C$1:$C$379,$A138,Socle!$D$1:$D$379,$C138,Socle!$E$1:$E$379,$D138,Socle!$F$1:$F$379,$E138,Socle!$G$1:$G$379,"2026"))</f>
        <v/>
      </c>
      <c r="J138">
        <f>IF($A138="","",SUMIFS(Socle!$W$1:$W$379,Socle!$C$1:$C$379,$A138,Socle!$D$1:$D$379,$C138,Socle!$E$1:$E$379,$D138,Socle!$F$1:$F$379,$E138,Socle!$G$1:$G$379,"2026"))</f>
        <v/>
      </c>
      <c r="K138">
        <f>IF($A138="","",SUMIFS(Socle!$X$1:$X$379,Socle!$C$1:$C$379,$A138,Socle!$D$1:$D$379,$C138,Socle!$E$1:$E$379,$D138,Socle!$F$1:$F$379,$E138,Socle!$G$1:$G$379,"2026"))</f>
        <v/>
      </c>
      <c r="L138">
        <f>IF($A138="","",SUMIFS(Socle!$Y$1:$Y$379,Socle!$C$1:$C$379,$A138,Socle!$D$1:$D$379,$C138,Socle!$E$1:$E$379,$D138,Socle!$F$1:$F$379,$E138,Socle!$G$1:$G$379,"2026"))</f>
        <v/>
      </c>
      <c r="M138">
        <f>IF($A138="","",SUMIFS(Socle!$V$1:$V$379,Socle!$C$1:$C$379,$A138,Socle!$D$1:$D$379,$C138,Socle!$E$1:$E$379,$D138,Socle!$F$1:$F$379,$E138,Socle!$G$1:$G$379,"2026"))</f>
        <v/>
      </c>
      <c r="N138">
        <f>IF($A138="","",IF(OR($D138="B1",$D138="M1",$D138="BTS1"),1,0))</f>
        <v/>
      </c>
      <c r="O138">
        <f>IF($A138="","",SUMIFS(Campagne!$D$1:$D$28,Campagne!$C$1:$C$28,$A138))</f>
        <v/>
      </c>
      <c r="P138">
        <f>IF($A138="","",SUMIFS(Campagne!$E$1:$E$28,Campagne!$C$1:$C$28,$A138))</f>
        <v/>
      </c>
      <c r="Q138">
        <f>IF($A138="","",SUMIFS(Campagne!$F$1:$F$28,Campagne!$C$1:$C$28,$A138))</f>
        <v/>
      </c>
      <c r="R138">
        <f>IF($A138="","",SUMIFS(Campagne!$K$1:$K$28,Campagne!$C$1:$C$28,$A138))</f>
        <v/>
      </c>
      <c r="S138">
        <f>IF($A138="","",SUMIFS(Campagne!$M$1:$M$28,Campagne!$C$1:$C$28,$A138))</f>
        <v/>
      </c>
      <c r="T138">
        <f>IF($A138="","",SUMIFS(Pilotage!$K$19:$K$32,Pilotage!$A$19:$A$32,$A138)*SUMIFS(Pilotage!$J$19:$J$32,Pilotage!$A$19:$A$32,$A138)*(SUM(Pilotage!$K$19:$K$32)/SUMPRODUCT(Pilotage!$K$19:$K$32,Pilotage!$J$19:$J$32)))</f>
        <v/>
      </c>
      <c r="U138">
        <f>IF($A138="","",SUMIFS(Pilotage!$K$19:$K$32,Pilotage!$A$19:$A$32,$A138))</f>
        <v/>
      </c>
      <c r="V138">
        <f>IF($A138="","",IF($B138="V01",Cadrage!$C$22,IF($B138="V02",Cadrage!$D$22,Cadrage!$E$22)))</f>
        <v/>
      </c>
      <c r="W138">
        <f>IF($A138="","",IF($B138="V01",Cadrage!$C$23,IF($B138="V02",Cadrage!$D$23,Cadrage!$E$23)))</f>
        <v/>
      </c>
      <c r="X138">
        <f>IF($A138="","",IF($B138="V01",Cadrage!$C$24,IF($B138="V02",Cadrage!$D$24,Cadrage!$E$24)))</f>
        <v/>
      </c>
      <c r="Y138">
        <f>IF($A138="","",IF($B138="V01",Cadrage!$C$25,IF($B138="V02",Cadrage!$D$25,Cadrage!$E$25)))</f>
        <v/>
      </c>
      <c r="Z138">
        <f>IF($A138="","",IF($B138="V01",Cadrage!$C$26,IF($B138="V02",Cadrage!$D$26,Cadrage!$E$26)))</f>
        <v/>
      </c>
      <c r="AA138">
        <f>IF($A138="","",IF($B138="V01",Cadrage!$C$27,IF($B138="V02",Cadrage!$D$27,Cadrage!$E$27)))</f>
        <v/>
      </c>
      <c r="AB138">
        <f>IF($A138="","",IF($B138="V01",Cadrage!$C$39,IF($B138="V02",Cadrage!$D$39,Cadrage!$E$39)))</f>
        <v/>
      </c>
      <c r="AC138">
        <f>IF($A138="","",IF($F138="MBWAY",Cadrage!$K$11,IF($F138="ISCOM",Cadrage!$K$12,IF($F138="IPAC",Cadrage!$K$13,IF($F138="PIGIER",Cadrage!$K$14,Cadrage!$K$15)))))</f>
        <v/>
      </c>
      <c r="AD138">
        <f>IF($A138="","",($O138*(1+$W138)^$S138+$P138*IFERROR((($T138/$U138)*(1+$V138))^$R138,0))*IFERROR($G138/$Q138,0)*($J138+$Y138)*$K138*($L138+$Z138))</f>
        <v/>
      </c>
      <c r="AE138">
        <f>IF($A138="","",IF($N138=1,$AD138,0))</f>
        <v/>
      </c>
      <c r="AF138">
        <f>IF($A138="","",IF($N138=1,$AD138,$H138*($M138+$AA138)))</f>
        <v/>
      </c>
      <c r="AG138">
        <f>IF($A138="","",$I138*(1+$X138*$AC138))</f>
        <v/>
      </c>
      <c r="AH138">
        <f>IF($A138="","",$AF138*$AG138+$AE138*$AB138)</f>
        <v/>
      </c>
    </row>
    <row r="139">
      <c r="A139">
        <f>IF(Moteur!D139="","",Moteur!D139)</f>
        <v/>
      </c>
      <c r="B139">
        <f>IF(Moteur!B139="","",Moteur!B139)</f>
        <v/>
      </c>
      <c r="C139">
        <f>IF(Moteur!F139="","",Moteur!F139)</f>
        <v/>
      </c>
      <c r="D139">
        <f>IF(Moteur!G139="","",Moteur!G139)</f>
        <v/>
      </c>
      <c r="E139">
        <f>IF(Moteur!H139="","",Moteur!H139)</f>
        <v/>
      </c>
      <c r="F139">
        <f>IF(Moteur!E139="","",Moteur!E139)</f>
        <v/>
      </c>
      <c r="G139">
        <f>IF($A139="","",SUMIFS(Socle!$H$1:$H$379,Socle!$C$1:$C$379,$A139,Socle!$D$1:$D$379,$C139,Socle!$E$1:$E$379,$D139,Socle!$F$1:$F$379,$E139,Socle!$G$1:$G$379,"2026"))</f>
        <v/>
      </c>
      <c r="H139">
        <f>IF($A139="","",SUMIFS(Socle!$N$1:$N$379,Socle!$C$1:$C$379,$A139,Socle!$D$1:$D$379,$C139,Socle!$E$1:$E$379,$D139,Socle!$F$1:$F$379,$E139,Socle!$G$1:$G$379,"2026"))</f>
        <v/>
      </c>
      <c r="I139">
        <f>IF($A139="","",SUMIFS(Socle!$P$1:$P$379,Socle!$C$1:$C$379,$A139,Socle!$D$1:$D$379,$C139,Socle!$E$1:$E$379,$D139,Socle!$F$1:$F$379,$E139,Socle!$G$1:$G$379,"2026"))</f>
        <v/>
      </c>
      <c r="J139">
        <f>IF($A139="","",SUMIFS(Socle!$W$1:$W$379,Socle!$C$1:$C$379,$A139,Socle!$D$1:$D$379,$C139,Socle!$E$1:$E$379,$D139,Socle!$F$1:$F$379,$E139,Socle!$G$1:$G$379,"2026"))</f>
        <v/>
      </c>
      <c r="K139">
        <f>IF($A139="","",SUMIFS(Socle!$X$1:$X$379,Socle!$C$1:$C$379,$A139,Socle!$D$1:$D$379,$C139,Socle!$E$1:$E$379,$D139,Socle!$F$1:$F$379,$E139,Socle!$G$1:$G$379,"2026"))</f>
        <v/>
      </c>
      <c r="L139">
        <f>IF($A139="","",SUMIFS(Socle!$Y$1:$Y$379,Socle!$C$1:$C$379,$A139,Socle!$D$1:$D$379,$C139,Socle!$E$1:$E$379,$D139,Socle!$F$1:$F$379,$E139,Socle!$G$1:$G$379,"2026"))</f>
        <v/>
      </c>
      <c r="M139">
        <f>IF($A139="","",SUMIFS(Socle!$V$1:$V$379,Socle!$C$1:$C$379,$A139,Socle!$D$1:$D$379,$C139,Socle!$E$1:$E$379,$D139,Socle!$F$1:$F$379,$E139,Socle!$G$1:$G$379,"2026"))</f>
        <v/>
      </c>
      <c r="N139">
        <f>IF($A139="","",IF(OR($D139="B1",$D139="M1",$D139="BTS1"),1,0))</f>
        <v/>
      </c>
      <c r="O139">
        <f>IF($A139="","",SUMIFS(Campagne!$D$1:$D$28,Campagne!$C$1:$C$28,$A139))</f>
        <v/>
      </c>
      <c r="P139">
        <f>IF($A139="","",SUMIFS(Campagne!$E$1:$E$28,Campagne!$C$1:$C$28,$A139))</f>
        <v/>
      </c>
      <c r="Q139">
        <f>IF($A139="","",SUMIFS(Campagne!$F$1:$F$28,Campagne!$C$1:$C$28,$A139))</f>
        <v/>
      </c>
      <c r="R139">
        <f>IF($A139="","",SUMIFS(Campagne!$K$1:$K$28,Campagne!$C$1:$C$28,$A139))</f>
        <v/>
      </c>
      <c r="S139">
        <f>IF($A139="","",SUMIFS(Campagne!$M$1:$M$28,Campagne!$C$1:$C$28,$A139))</f>
        <v/>
      </c>
      <c r="T139">
        <f>IF($A139="","",SUMIFS(Pilotage!$K$19:$K$32,Pilotage!$A$19:$A$32,$A139)*SUMIFS(Pilotage!$J$19:$J$32,Pilotage!$A$19:$A$32,$A139)*(SUM(Pilotage!$K$19:$K$32)/SUMPRODUCT(Pilotage!$K$19:$K$32,Pilotage!$J$19:$J$32)))</f>
        <v/>
      </c>
      <c r="U139">
        <f>IF($A139="","",SUMIFS(Pilotage!$K$19:$K$32,Pilotage!$A$19:$A$32,$A139))</f>
        <v/>
      </c>
      <c r="V139">
        <f>IF($A139="","",IF($B139="V01",Cadrage!$C$22,IF($B139="V02",Cadrage!$D$22,Cadrage!$E$22)))</f>
        <v/>
      </c>
      <c r="W139">
        <f>IF($A139="","",IF($B139="V01",Cadrage!$C$23,IF($B139="V02",Cadrage!$D$23,Cadrage!$E$23)))</f>
        <v/>
      </c>
      <c r="X139">
        <f>IF($A139="","",IF($B139="V01",Cadrage!$C$24,IF($B139="V02",Cadrage!$D$24,Cadrage!$E$24)))</f>
        <v/>
      </c>
      <c r="Y139">
        <f>IF($A139="","",IF($B139="V01",Cadrage!$C$25,IF($B139="V02",Cadrage!$D$25,Cadrage!$E$25)))</f>
        <v/>
      </c>
      <c r="Z139">
        <f>IF($A139="","",IF($B139="V01",Cadrage!$C$26,IF($B139="V02",Cadrage!$D$26,Cadrage!$E$26)))</f>
        <v/>
      </c>
      <c r="AA139">
        <f>IF($A139="","",IF($B139="V01",Cadrage!$C$27,IF($B139="V02",Cadrage!$D$27,Cadrage!$E$27)))</f>
        <v/>
      </c>
      <c r="AB139">
        <f>IF($A139="","",IF($B139="V01",Cadrage!$C$39,IF($B139="V02",Cadrage!$D$39,Cadrage!$E$39)))</f>
        <v/>
      </c>
      <c r="AC139">
        <f>IF($A139="","",IF($F139="MBWAY",Cadrage!$K$11,IF($F139="ISCOM",Cadrage!$K$12,IF($F139="IPAC",Cadrage!$K$13,IF($F139="PIGIER",Cadrage!$K$14,Cadrage!$K$15)))))</f>
        <v/>
      </c>
      <c r="AD139">
        <f>IF($A139="","",($O139*(1+$W139)^$S139+$P139*IFERROR((($T139/$U139)*(1+$V139))^$R139,0))*IFERROR($G139/$Q139,0)*($J139+$Y139)*$K139*($L139+$Z139))</f>
        <v/>
      </c>
      <c r="AE139">
        <f>IF($A139="","",IF($N139=1,$AD139,0))</f>
        <v/>
      </c>
      <c r="AF139">
        <f>IF($A139="","",IF($N139=1,$AD139,$H139*($M139+$AA139)))</f>
        <v/>
      </c>
      <c r="AG139">
        <f>IF($A139="","",$I139*(1+$X139*$AC139))</f>
        <v/>
      </c>
      <c r="AH139">
        <f>IF($A139="","",$AF139*$AG139+$AE139*$AB139)</f>
        <v/>
      </c>
    </row>
    <row r="140">
      <c r="A140">
        <f>IF(Moteur!D140="","",Moteur!D140)</f>
        <v/>
      </c>
      <c r="B140">
        <f>IF(Moteur!B140="","",Moteur!B140)</f>
        <v/>
      </c>
      <c r="C140">
        <f>IF(Moteur!F140="","",Moteur!F140)</f>
        <v/>
      </c>
      <c r="D140">
        <f>IF(Moteur!G140="","",Moteur!G140)</f>
        <v/>
      </c>
      <c r="E140">
        <f>IF(Moteur!H140="","",Moteur!H140)</f>
        <v/>
      </c>
      <c r="F140">
        <f>IF(Moteur!E140="","",Moteur!E140)</f>
        <v/>
      </c>
      <c r="G140">
        <f>IF($A140="","",SUMIFS(Socle!$H$1:$H$379,Socle!$C$1:$C$379,$A140,Socle!$D$1:$D$379,$C140,Socle!$E$1:$E$379,$D140,Socle!$F$1:$F$379,$E140,Socle!$G$1:$G$379,"2026"))</f>
        <v/>
      </c>
      <c r="H140">
        <f>IF($A140="","",SUMIFS(Socle!$N$1:$N$379,Socle!$C$1:$C$379,$A140,Socle!$D$1:$D$379,$C140,Socle!$E$1:$E$379,$D140,Socle!$F$1:$F$379,$E140,Socle!$G$1:$G$379,"2026"))</f>
        <v/>
      </c>
      <c r="I140">
        <f>IF($A140="","",SUMIFS(Socle!$P$1:$P$379,Socle!$C$1:$C$379,$A140,Socle!$D$1:$D$379,$C140,Socle!$E$1:$E$379,$D140,Socle!$F$1:$F$379,$E140,Socle!$G$1:$G$379,"2026"))</f>
        <v/>
      </c>
      <c r="J140">
        <f>IF($A140="","",SUMIFS(Socle!$W$1:$W$379,Socle!$C$1:$C$379,$A140,Socle!$D$1:$D$379,$C140,Socle!$E$1:$E$379,$D140,Socle!$F$1:$F$379,$E140,Socle!$G$1:$G$379,"2026"))</f>
        <v/>
      </c>
      <c r="K140">
        <f>IF($A140="","",SUMIFS(Socle!$X$1:$X$379,Socle!$C$1:$C$379,$A140,Socle!$D$1:$D$379,$C140,Socle!$E$1:$E$379,$D140,Socle!$F$1:$F$379,$E140,Socle!$G$1:$G$379,"2026"))</f>
        <v/>
      </c>
      <c r="L140">
        <f>IF($A140="","",SUMIFS(Socle!$Y$1:$Y$379,Socle!$C$1:$C$379,$A140,Socle!$D$1:$D$379,$C140,Socle!$E$1:$E$379,$D140,Socle!$F$1:$F$379,$E140,Socle!$G$1:$G$379,"2026"))</f>
        <v/>
      </c>
      <c r="M140">
        <f>IF($A140="","",SUMIFS(Socle!$V$1:$V$379,Socle!$C$1:$C$379,$A140,Socle!$D$1:$D$379,$C140,Socle!$E$1:$E$379,$D140,Socle!$F$1:$F$379,$E140,Socle!$G$1:$G$379,"2026"))</f>
        <v/>
      </c>
      <c r="N140">
        <f>IF($A140="","",IF(OR($D140="B1",$D140="M1",$D140="BTS1"),1,0))</f>
        <v/>
      </c>
      <c r="O140">
        <f>IF($A140="","",SUMIFS(Campagne!$D$1:$D$28,Campagne!$C$1:$C$28,$A140))</f>
        <v/>
      </c>
      <c r="P140">
        <f>IF($A140="","",SUMIFS(Campagne!$E$1:$E$28,Campagne!$C$1:$C$28,$A140))</f>
        <v/>
      </c>
      <c r="Q140">
        <f>IF($A140="","",SUMIFS(Campagne!$F$1:$F$28,Campagne!$C$1:$C$28,$A140))</f>
        <v/>
      </c>
      <c r="R140">
        <f>IF($A140="","",SUMIFS(Campagne!$K$1:$K$28,Campagne!$C$1:$C$28,$A140))</f>
        <v/>
      </c>
      <c r="S140">
        <f>IF($A140="","",SUMIFS(Campagne!$M$1:$M$28,Campagne!$C$1:$C$28,$A140))</f>
        <v/>
      </c>
      <c r="T140">
        <f>IF($A140="","",SUMIFS(Pilotage!$K$19:$K$32,Pilotage!$A$19:$A$32,$A140)*SUMIFS(Pilotage!$J$19:$J$32,Pilotage!$A$19:$A$32,$A140)*(SUM(Pilotage!$K$19:$K$32)/SUMPRODUCT(Pilotage!$K$19:$K$32,Pilotage!$J$19:$J$32)))</f>
        <v/>
      </c>
      <c r="U140">
        <f>IF($A140="","",SUMIFS(Pilotage!$K$19:$K$32,Pilotage!$A$19:$A$32,$A140))</f>
        <v/>
      </c>
      <c r="V140">
        <f>IF($A140="","",IF($B140="V01",Cadrage!$C$22,IF($B140="V02",Cadrage!$D$22,Cadrage!$E$22)))</f>
        <v/>
      </c>
      <c r="W140">
        <f>IF($A140="","",IF($B140="V01",Cadrage!$C$23,IF($B140="V02",Cadrage!$D$23,Cadrage!$E$23)))</f>
        <v/>
      </c>
      <c r="X140">
        <f>IF($A140="","",IF($B140="V01",Cadrage!$C$24,IF($B140="V02",Cadrage!$D$24,Cadrage!$E$24)))</f>
        <v/>
      </c>
      <c r="Y140">
        <f>IF($A140="","",IF($B140="V01",Cadrage!$C$25,IF($B140="V02",Cadrage!$D$25,Cadrage!$E$25)))</f>
        <v/>
      </c>
      <c r="Z140">
        <f>IF($A140="","",IF($B140="V01",Cadrage!$C$26,IF($B140="V02",Cadrage!$D$26,Cadrage!$E$26)))</f>
        <v/>
      </c>
      <c r="AA140">
        <f>IF($A140="","",IF($B140="V01",Cadrage!$C$27,IF($B140="V02",Cadrage!$D$27,Cadrage!$E$27)))</f>
        <v/>
      </c>
      <c r="AB140">
        <f>IF($A140="","",IF($B140="V01",Cadrage!$C$39,IF($B140="V02",Cadrage!$D$39,Cadrage!$E$39)))</f>
        <v/>
      </c>
      <c r="AC140">
        <f>IF($A140="","",IF($F140="MBWAY",Cadrage!$K$11,IF($F140="ISCOM",Cadrage!$K$12,IF($F140="IPAC",Cadrage!$K$13,IF($F140="PIGIER",Cadrage!$K$14,Cadrage!$K$15)))))</f>
        <v/>
      </c>
      <c r="AD140">
        <f>IF($A140="","",($O140*(1+$W140)^$S140+$P140*IFERROR((($T140/$U140)*(1+$V140))^$R140,0))*IFERROR($G140/$Q140,0)*($J140+$Y140)*$K140*($L140+$Z140))</f>
        <v/>
      </c>
      <c r="AE140">
        <f>IF($A140="","",IF($N140=1,$AD140,0))</f>
        <v/>
      </c>
      <c r="AF140">
        <f>IF($A140="","",IF($N140=1,$AD140,$H140*($M140+$AA140)))</f>
        <v/>
      </c>
      <c r="AG140">
        <f>IF($A140="","",$I140*(1+$X140*$AC140))</f>
        <v/>
      </c>
      <c r="AH140">
        <f>IF($A140="","",$AF140*$AG140+$AE140*$AB140)</f>
        <v/>
      </c>
    </row>
    <row r="141">
      <c r="A141">
        <f>IF(Moteur!D141="","",Moteur!D141)</f>
        <v/>
      </c>
      <c r="B141">
        <f>IF(Moteur!B141="","",Moteur!B141)</f>
        <v/>
      </c>
      <c r="C141">
        <f>IF(Moteur!F141="","",Moteur!F141)</f>
        <v/>
      </c>
      <c r="D141">
        <f>IF(Moteur!G141="","",Moteur!G141)</f>
        <v/>
      </c>
      <c r="E141">
        <f>IF(Moteur!H141="","",Moteur!H141)</f>
        <v/>
      </c>
      <c r="F141">
        <f>IF(Moteur!E141="","",Moteur!E141)</f>
        <v/>
      </c>
      <c r="G141">
        <f>IF($A141="","",SUMIFS(Socle!$H$1:$H$379,Socle!$C$1:$C$379,$A141,Socle!$D$1:$D$379,$C141,Socle!$E$1:$E$379,$D141,Socle!$F$1:$F$379,$E141,Socle!$G$1:$G$379,"2026"))</f>
        <v/>
      </c>
      <c r="H141">
        <f>IF($A141="","",SUMIFS(Socle!$N$1:$N$379,Socle!$C$1:$C$379,$A141,Socle!$D$1:$D$379,$C141,Socle!$E$1:$E$379,$D141,Socle!$F$1:$F$379,$E141,Socle!$G$1:$G$379,"2026"))</f>
        <v/>
      </c>
      <c r="I141">
        <f>IF($A141="","",SUMIFS(Socle!$P$1:$P$379,Socle!$C$1:$C$379,$A141,Socle!$D$1:$D$379,$C141,Socle!$E$1:$E$379,$D141,Socle!$F$1:$F$379,$E141,Socle!$G$1:$G$379,"2026"))</f>
        <v/>
      </c>
      <c r="J141">
        <f>IF($A141="","",SUMIFS(Socle!$W$1:$W$379,Socle!$C$1:$C$379,$A141,Socle!$D$1:$D$379,$C141,Socle!$E$1:$E$379,$D141,Socle!$F$1:$F$379,$E141,Socle!$G$1:$G$379,"2026"))</f>
        <v/>
      </c>
      <c r="K141">
        <f>IF($A141="","",SUMIFS(Socle!$X$1:$X$379,Socle!$C$1:$C$379,$A141,Socle!$D$1:$D$379,$C141,Socle!$E$1:$E$379,$D141,Socle!$F$1:$F$379,$E141,Socle!$G$1:$G$379,"2026"))</f>
        <v/>
      </c>
      <c r="L141">
        <f>IF($A141="","",SUMIFS(Socle!$Y$1:$Y$379,Socle!$C$1:$C$379,$A141,Socle!$D$1:$D$379,$C141,Socle!$E$1:$E$379,$D141,Socle!$F$1:$F$379,$E141,Socle!$G$1:$G$379,"2026"))</f>
        <v/>
      </c>
      <c r="M141">
        <f>IF($A141="","",SUMIFS(Socle!$V$1:$V$379,Socle!$C$1:$C$379,$A141,Socle!$D$1:$D$379,$C141,Socle!$E$1:$E$379,$D141,Socle!$F$1:$F$379,$E141,Socle!$G$1:$G$379,"2026"))</f>
        <v/>
      </c>
      <c r="N141">
        <f>IF($A141="","",IF(OR($D141="B1",$D141="M1",$D141="BTS1"),1,0))</f>
        <v/>
      </c>
      <c r="O141">
        <f>IF($A141="","",SUMIFS(Campagne!$D$1:$D$28,Campagne!$C$1:$C$28,$A141))</f>
        <v/>
      </c>
      <c r="P141">
        <f>IF($A141="","",SUMIFS(Campagne!$E$1:$E$28,Campagne!$C$1:$C$28,$A141))</f>
        <v/>
      </c>
      <c r="Q141">
        <f>IF($A141="","",SUMIFS(Campagne!$F$1:$F$28,Campagne!$C$1:$C$28,$A141))</f>
        <v/>
      </c>
      <c r="R141">
        <f>IF($A141="","",SUMIFS(Campagne!$K$1:$K$28,Campagne!$C$1:$C$28,$A141))</f>
        <v/>
      </c>
      <c r="S141">
        <f>IF($A141="","",SUMIFS(Campagne!$M$1:$M$28,Campagne!$C$1:$C$28,$A141))</f>
        <v/>
      </c>
      <c r="T141">
        <f>IF($A141="","",SUMIFS(Pilotage!$K$19:$K$32,Pilotage!$A$19:$A$32,$A141)*SUMIFS(Pilotage!$J$19:$J$32,Pilotage!$A$19:$A$32,$A141)*(SUM(Pilotage!$K$19:$K$32)/SUMPRODUCT(Pilotage!$K$19:$K$32,Pilotage!$J$19:$J$32)))</f>
        <v/>
      </c>
      <c r="U141">
        <f>IF($A141="","",SUMIFS(Pilotage!$K$19:$K$32,Pilotage!$A$19:$A$32,$A141))</f>
        <v/>
      </c>
      <c r="V141">
        <f>IF($A141="","",IF($B141="V01",Cadrage!$C$22,IF($B141="V02",Cadrage!$D$22,Cadrage!$E$22)))</f>
        <v/>
      </c>
      <c r="W141">
        <f>IF($A141="","",IF($B141="V01",Cadrage!$C$23,IF($B141="V02",Cadrage!$D$23,Cadrage!$E$23)))</f>
        <v/>
      </c>
      <c r="X141">
        <f>IF($A141="","",IF($B141="V01",Cadrage!$C$24,IF($B141="V02",Cadrage!$D$24,Cadrage!$E$24)))</f>
        <v/>
      </c>
      <c r="Y141">
        <f>IF($A141="","",IF($B141="V01",Cadrage!$C$25,IF($B141="V02",Cadrage!$D$25,Cadrage!$E$25)))</f>
        <v/>
      </c>
      <c r="Z141">
        <f>IF($A141="","",IF($B141="V01",Cadrage!$C$26,IF($B141="V02",Cadrage!$D$26,Cadrage!$E$26)))</f>
        <v/>
      </c>
      <c r="AA141">
        <f>IF($A141="","",IF($B141="V01",Cadrage!$C$27,IF($B141="V02",Cadrage!$D$27,Cadrage!$E$27)))</f>
        <v/>
      </c>
      <c r="AB141">
        <f>IF($A141="","",IF($B141="V01",Cadrage!$C$39,IF($B141="V02",Cadrage!$D$39,Cadrage!$E$39)))</f>
        <v/>
      </c>
      <c r="AC141">
        <f>IF($A141="","",IF($F141="MBWAY",Cadrage!$K$11,IF($F141="ISCOM",Cadrage!$K$12,IF($F141="IPAC",Cadrage!$K$13,IF($F141="PIGIER",Cadrage!$K$14,Cadrage!$K$15)))))</f>
        <v/>
      </c>
      <c r="AD141">
        <f>IF($A141="","",($O141*(1+$W141)^$S141+$P141*IFERROR((($T141/$U141)*(1+$V141))^$R141,0))*IFERROR($G141/$Q141,0)*($J141+$Y141)*$K141*($L141+$Z141))</f>
        <v/>
      </c>
      <c r="AE141">
        <f>IF($A141="","",IF($N141=1,$AD141,0))</f>
        <v/>
      </c>
      <c r="AF141">
        <f>IF($A141="","",IF($N141=1,$AD141,$H141*($M141+$AA141)))</f>
        <v/>
      </c>
      <c r="AG141">
        <f>IF($A141="","",$I141*(1+$X141*$AC141))</f>
        <v/>
      </c>
      <c r="AH141">
        <f>IF($A141="","",$AF141*$AG141+$AE141*$AB141)</f>
        <v/>
      </c>
    </row>
    <row r="142">
      <c r="A142">
        <f>IF(Moteur!D142="","",Moteur!D142)</f>
        <v/>
      </c>
      <c r="B142">
        <f>IF(Moteur!B142="","",Moteur!B142)</f>
        <v/>
      </c>
      <c r="C142">
        <f>IF(Moteur!F142="","",Moteur!F142)</f>
        <v/>
      </c>
      <c r="D142">
        <f>IF(Moteur!G142="","",Moteur!G142)</f>
        <v/>
      </c>
      <c r="E142">
        <f>IF(Moteur!H142="","",Moteur!H142)</f>
        <v/>
      </c>
      <c r="F142">
        <f>IF(Moteur!E142="","",Moteur!E142)</f>
        <v/>
      </c>
      <c r="G142">
        <f>IF($A142="","",SUMIFS(Socle!$H$1:$H$379,Socle!$C$1:$C$379,$A142,Socle!$D$1:$D$379,$C142,Socle!$E$1:$E$379,$D142,Socle!$F$1:$F$379,$E142,Socle!$G$1:$G$379,"2026"))</f>
        <v/>
      </c>
      <c r="H142">
        <f>IF($A142="","",SUMIFS(Socle!$N$1:$N$379,Socle!$C$1:$C$379,$A142,Socle!$D$1:$D$379,$C142,Socle!$E$1:$E$379,$D142,Socle!$F$1:$F$379,$E142,Socle!$G$1:$G$379,"2026"))</f>
        <v/>
      </c>
      <c r="I142">
        <f>IF($A142="","",SUMIFS(Socle!$P$1:$P$379,Socle!$C$1:$C$379,$A142,Socle!$D$1:$D$379,$C142,Socle!$E$1:$E$379,$D142,Socle!$F$1:$F$379,$E142,Socle!$G$1:$G$379,"2026"))</f>
        <v/>
      </c>
      <c r="J142">
        <f>IF($A142="","",SUMIFS(Socle!$W$1:$W$379,Socle!$C$1:$C$379,$A142,Socle!$D$1:$D$379,$C142,Socle!$E$1:$E$379,$D142,Socle!$F$1:$F$379,$E142,Socle!$G$1:$G$379,"2026"))</f>
        <v/>
      </c>
      <c r="K142">
        <f>IF($A142="","",SUMIFS(Socle!$X$1:$X$379,Socle!$C$1:$C$379,$A142,Socle!$D$1:$D$379,$C142,Socle!$E$1:$E$379,$D142,Socle!$F$1:$F$379,$E142,Socle!$G$1:$G$379,"2026"))</f>
        <v/>
      </c>
      <c r="L142">
        <f>IF($A142="","",SUMIFS(Socle!$Y$1:$Y$379,Socle!$C$1:$C$379,$A142,Socle!$D$1:$D$379,$C142,Socle!$E$1:$E$379,$D142,Socle!$F$1:$F$379,$E142,Socle!$G$1:$G$379,"2026"))</f>
        <v/>
      </c>
      <c r="M142">
        <f>IF($A142="","",SUMIFS(Socle!$V$1:$V$379,Socle!$C$1:$C$379,$A142,Socle!$D$1:$D$379,$C142,Socle!$E$1:$E$379,$D142,Socle!$F$1:$F$379,$E142,Socle!$G$1:$G$379,"2026"))</f>
        <v/>
      </c>
      <c r="N142">
        <f>IF($A142="","",IF(OR($D142="B1",$D142="M1",$D142="BTS1"),1,0))</f>
        <v/>
      </c>
      <c r="O142">
        <f>IF($A142="","",SUMIFS(Campagne!$D$1:$D$28,Campagne!$C$1:$C$28,$A142))</f>
        <v/>
      </c>
      <c r="P142">
        <f>IF($A142="","",SUMIFS(Campagne!$E$1:$E$28,Campagne!$C$1:$C$28,$A142))</f>
        <v/>
      </c>
      <c r="Q142">
        <f>IF($A142="","",SUMIFS(Campagne!$F$1:$F$28,Campagne!$C$1:$C$28,$A142))</f>
        <v/>
      </c>
      <c r="R142">
        <f>IF($A142="","",SUMIFS(Campagne!$K$1:$K$28,Campagne!$C$1:$C$28,$A142))</f>
        <v/>
      </c>
      <c r="S142">
        <f>IF($A142="","",SUMIFS(Campagne!$M$1:$M$28,Campagne!$C$1:$C$28,$A142))</f>
        <v/>
      </c>
      <c r="T142">
        <f>IF($A142="","",SUMIFS(Pilotage!$K$19:$K$32,Pilotage!$A$19:$A$32,$A142)*SUMIFS(Pilotage!$J$19:$J$32,Pilotage!$A$19:$A$32,$A142)*(SUM(Pilotage!$K$19:$K$32)/SUMPRODUCT(Pilotage!$K$19:$K$32,Pilotage!$J$19:$J$32)))</f>
        <v/>
      </c>
      <c r="U142">
        <f>IF($A142="","",SUMIFS(Pilotage!$K$19:$K$32,Pilotage!$A$19:$A$32,$A142))</f>
        <v/>
      </c>
      <c r="V142">
        <f>IF($A142="","",IF($B142="V01",Cadrage!$C$22,IF($B142="V02",Cadrage!$D$22,Cadrage!$E$22)))</f>
        <v/>
      </c>
      <c r="W142">
        <f>IF($A142="","",IF($B142="V01",Cadrage!$C$23,IF($B142="V02",Cadrage!$D$23,Cadrage!$E$23)))</f>
        <v/>
      </c>
      <c r="X142">
        <f>IF($A142="","",IF($B142="V01",Cadrage!$C$24,IF($B142="V02",Cadrage!$D$24,Cadrage!$E$24)))</f>
        <v/>
      </c>
      <c r="Y142">
        <f>IF($A142="","",IF($B142="V01",Cadrage!$C$25,IF($B142="V02",Cadrage!$D$25,Cadrage!$E$25)))</f>
        <v/>
      </c>
      <c r="Z142">
        <f>IF($A142="","",IF($B142="V01",Cadrage!$C$26,IF($B142="V02",Cadrage!$D$26,Cadrage!$E$26)))</f>
        <v/>
      </c>
      <c r="AA142">
        <f>IF($A142="","",IF($B142="V01",Cadrage!$C$27,IF($B142="V02",Cadrage!$D$27,Cadrage!$E$27)))</f>
        <v/>
      </c>
      <c r="AB142">
        <f>IF($A142="","",IF($B142="V01",Cadrage!$C$39,IF($B142="V02",Cadrage!$D$39,Cadrage!$E$39)))</f>
        <v/>
      </c>
      <c r="AC142">
        <f>IF($A142="","",IF($F142="MBWAY",Cadrage!$K$11,IF($F142="ISCOM",Cadrage!$K$12,IF($F142="IPAC",Cadrage!$K$13,IF($F142="PIGIER",Cadrage!$K$14,Cadrage!$K$15)))))</f>
        <v/>
      </c>
      <c r="AD142">
        <f>IF($A142="","",($O142*(1+$W142)^$S142+$P142*IFERROR((($T142/$U142)*(1+$V142))^$R142,0))*IFERROR($G142/$Q142,0)*($J142+$Y142)*$K142*($L142+$Z142))</f>
        <v/>
      </c>
      <c r="AE142">
        <f>IF($A142="","",IF($N142=1,$AD142,0))</f>
        <v/>
      </c>
      <c r="AF142">
        <f>IF($A142="","",IF($N142=1,$AD142,$H142*($M142+$AA142)))</f>
        <v/>
      </c>
      <c r="AG142">
        <f>IF($A142="","",$I142*(1+$X142*$AC142))</f>
        <v/>
      </c>
      <c r="AH142">
        <f>IF($A142="","",$AF142*$AG142+$AE142*$AB142)</f>
        <v/>
      </c>
    </row>
    <row r="143">
      <c r="A143">
        <f>IF(Moteur!D143="","",Moteur!D143)</f>
        <v/>
      </c>
      <c r="B143">
        <f>IF(Moteur!B143="","",Moteur!B143)</f>
        <v/>
      </c>
      <c r="C143">
        <f>IF(Moteur!F143="","",Moteur!F143)</f>
        <v/>
      </c>
      <c r="D143">
        <f>IF(Moteur!G143="","",Moteur!G143)</f>
        <v/>
      </c>
      <c r="E143">
        <f>IF(Moteur!H143="","",Moteur!H143)</f>
        <v/>
      </c>
      <c r="F143">
        <f>IF(Moteur!E143="","",Moteur!E143)</f>
        <v/>
      </c>
      <c r="G143">
        <f>IF($A143="","",SUMIFS(Socle!$H$1:$H$379,Socle!$C$1:$C$379,$A143,Socle!$D$1:$D$379,$C143,Socle!$E$1:$E$379,$D143,Socle!$F$1:$F$379,$E143,Socle!$G$1:$G$379,"2026"))</f>
        <v/>
      </c>
      <c r="H143">
        <f>IF($A143="","",SUMIFS(Socle!$N$1:$N$379,Socle!$C$1:$C$379,$A143,Socle!$D$1:$D$379,$C143,Socle!$E$1:$E$379,$D143,Socle!$F$1:$F$379,$E143,Socle!$G$1:$G$379,"2026"))</f>
        <v/>
      </c>
      <c r="I143">
        <f>IF($A143="","",SUMIFS(Socle!$P$1:$P$379,Socle!$C$1:$C$379,$A143,Socle!$D$1:$D$379,$C143,Socle!$E$1:$E$379,$D143,Socle!$F$1:$F$379,$E143,Socle!$G$1:$G$379,"2026"))</f>
        <v/>
      </c>
      <c r="J143">
        <f>IF($A143="","",SUMIFS(Socle!$W$1:$W$379,Socle!$C$1:$C$379,$A143,Socle!$D$1:$D$379,$C143,Socle!$E$1:$E$379,$D143,Socle!$F$1:$F$379,$E143,Socle!$G$1:$G$379,"2026"))</f>
        <v/>
      </c>
      <c r="K143">
        <f>IF($A143="","",SUMIFS(Socle!$X$1:$X$379,Socle!$C$1:$C$379,$A143,Socle!$D$1:$D$379,$C143,Socle!$E$1:$E$379,$D143,Socle!$F$1:$F$379,$E143,Socle!$G$1:$G$379,"2026"))</f>
        <v/>
      </c>
      <c r="L143">
        <f>IF($A143="","",SUMIFS(Socle!$Y$1:$Y$379,Socle!$C$1:$C$379,$A143,Socle!$D$1:$D$379,$C143,Socle!$E$1:$E$379,$D143,Socle!$F$1:$F$379,$E143,Socle!$G$1:$G$379,"2026"))</f>
        <v/>
      </c>
      <c r="M143">
        <f>IF($A143="","",SUMIFS(Socle!$V$1:$V$379,Socle!$C$1:$C$379,$A143,Socle!$D$1:$D$379,$C143,Socle!$E$1:$E$379,$D143,Socle!$F$1:$F$379,$E143,Socle!$G$1:$G$379,"2026"))</f>
        <v/>
      </c>
      <c r="N143">
        <f>IF($A143="","",IF(OR($D143="B1",$D143="M1",$D143="BTS1"),1,0))</f>
        <v/>
      </c>
      <c r="O143">
        <f>IF($A143="","",SUMIFS(Campagne!$D$1:$D$28,Campagne!$C$1:$C$28,$A143))</f>
        <v/>
      </c>
      <c r="P143">
        <f>IF($A143="","",SUMIFS(Campagne!$E$1:$E$28,Campagne!$C$1:$C$28,$A143))</f>
        <v/>
      </c>
      <c r="Q143">
        <f>IF($A143="","",SUMIFS(Campagne!$F$1:$F$28,Campagne!$C$1:$C$28,$A143))</f>
        <v/>
      </c>
      <c r="R143">
        <f>IF($A143="","",SUMIFS(Campagne!$K$1:$K$28,Campagne!$C$1:$C$28,$A143))</f>
        <v/>
      </c>
      <c r="S143">
        <f>IF($A143="","",SUMIFS(Campagne!$M$1:$M$28,Campagne!$C$1:$C$28,$A143))</f>
        <v/>
      </c>
      <c r="T143">
        <f>IF($A143="","",SUMIFS(Pilotage!$K$19:$K$32,Pilotage!$A$19:$A$32,$A143)*SUMIFS(Pilotage!$J$19:$J$32,Pilotage!$A$19:$A$32,$A143)*(SUM(Pilotage!$K$19:$K$32)/SUMPRODUCT(Pilotage!$K$19:$K$32,Pilotage!$J$19:$J$32)))</f>
        <v/>
      </c>
      <c r="U143">
        <f>IF($A143="","",SUMIFS(Pilotage!$K$19:$K$32,Pilotage!$A$19:$A$32,$A143))</f>
        <v/>
      </c>
      <c r="V143">
        <f>IF($A143="","",IF($B143="V01",Cadrage!$C$22,IF($B143="V02",Cadrage!$D$22,Cadrage!$E$22)))</f>
        <v/>
      </c>
      <c r="W143">
        <f>IF($A143="","",IF($B143="V01",Cadrage!$C$23,IF($B143="V02",Cadrage!$D$23,Cadrage!$E$23)))</f>
        <v/>
      </c>
      <c r="X143">
        <f>IF($A143="","",IF($B143="V01",Cadrage!$C$24,IF($B143="V02",Cadrage!$D$24,Cadrage!$E$24)))</f>
        <v/>
      </c>
      <c r="Y143">
        <f>IF($A143="","",IF($B143="V01",Cadrage!$C$25,IF($B143="V02",Cadrage!$D$25,Cadrage!$E$25)))</f>
        <v/>
      </c>
      <c r="Z143">
        <f>IF($A143="","",IF($B143="V01",Cadrage!$C$26,IF($B143="V02",Cadrage!$D$26,Cadrage!$E$26)))</f>
        <v/>
      </c>
      <c r="AA143">
        <f>IF($A143="","",IF($B143="V01",Cadrage!$C$27,IF($B143="V02",Cadrage!$D$27,Cadrage!$E$27)))</f>
        <v/>
      </c>
      <c r="AB143">
        <f>IF($A143="","",IF($B143="V01",Cadrage!$C$39,IF($B143="V02",Cadrage!$D$39,Cadrage!$E$39)))</f>
        <v/>
      </c>
      <c r="AC143">
        <f>IF($A143="","",IF($F143="MBWAY",Cadrage!$K$11,IF($F143="ISCOM",Cadrage!$K$12,IF($F143="IPAC",Cadrage!$K$13,IF($F143="PIGIER",Cadrage!$K$14,Cadrage!$K$15)))))</f>
        <v/>
      </c>
      <c r="AD143">
        <f>IF($A143="","",($O143*(1+$W143)^$S143+$P143*IFERROR((($T143/$U143)*(1+$V143))^$R143,0))*IFERROR($G143/$Q143,0)*($J143+$Y143)*$K143*($L143+$Z143))</f>
        <v/>
      </c>
      <c r="AE143">
        <f>IF($A143="","",IF($N143=1,$AD143,0))</f>
        <v/>
      </c>
      <c r="AF143">
        <f>IF($A143="","",IF($N143=1,$AD143,$H143*($M143+$AA143)))</f>
        <v/>
      </c>
      <c r="AG143">
        <f>IF($A143="","",$I143*(1+$X143*$AC143))</f>
        <v/>
      </c>
      <c r="AH143">
        <f>IF($A143="","",$AF143*$AG143+$AE143*$AB143)</f>
        <v/>
      </c>
    </row>
    <row r="144">
      <c r="A144">
        <f>IF(Moteur!D144="","",Moteur!D144)</f>
        <v/>
      </c>
      <c r="B144">
        <f>IF(Moteur!B144="","",Moteur!B144)</f>
        <v/>
      </c>
      <c r="C144">
        <f>IF(Moteur!F144="","",Moteur!F144)</f>
        <v/>
      </c>
      <c r="D144">
        <f>IF(Moteur!G144="","",Moteur!G144)</f>
        <v/>
      </c>
      <c r="E144">
        <f>IF(Moteur!H144="","",Moteur!H144)</f>
        <v/>
      </c>
      <c r="F144">
        <f>IF(Moteur!E144="","",Moteur!E144)</f>
        <v/>
      </c>
      <c r="G144">
        <f>IF($A144="","",SUMIFS(Socle!$H$1:$H$379,Socle!$C$1:$C$379,$A144,Socle!$D$1:$D$379,$C144,Socle!$E$1:$E$379,$D144,Socle!$F$1:$F$379,$E144,Socle!$G$1:$G$379,"2026"))</f>
        <v/>
      </c>
      <c r="H144">
        <f>IF($A144="","",SUMIFS(Socle!$N$1:$N$379,Socle!$C$1:$C$379,$A144,Socle!$D$1:$D$379,$C144,Socle!$E$1:$E$379,$D144,Socle!$F$1:$F$379,$E144,Socle!$G$1:$G$379,"2026"))</f>
        <v/>
      </c>
      <c r="I144">
        <f>IF($A144="","",SUMIFS(Socle!$P$1:$P$379,Socle!$C$1:$C$379,$A144,Socle!$D$1:$D$379,$C144,Socle!$E$1:$E$379,$D144,Socle!$F$1:$F$379,$E144,Socle!$G$1:$G$379,"2026"))</f>
        <v/>
      </c>
      <c r="J144">
        <f>IF($A144="","",SUMIFS(Socle!$W$1:$W$379,Socle!$C$1:$C$379,$A144,Socle!$D$1:$D$379,$C144,Socle!$E$1:$E$379,$D144,Socle!$F$1:$F$379,$E144,Socle!$G$1:$G$379,"2026"))</f>
        <v/>
      </c>
      <c r="K144">
        <f>IF($A144="","",SUMIFS(Socle!$X$1:$X$379,Socle!$C$1:$C$379,$A144,Socle!$D$1:$D$379,$C144,Socle!$E$1:$E$379,$D144,Socle!$F$1:$F$379,$E144,Socle!$G$1:$G$379,"2026"))</f>
        <v/>
      </c>
      <c r="L144">
        <f>IF($A144="","",SUMIFS(Socle!$Y$1:$Y$379,Socle!$C$1:$C$379,$A144,Socle!$D$1:$D$379,$C144,Socle!$E$1:$E$379,$D144,Socle!$F$1:$F$379,$E144,Socle!$G$1:$G$379,"2026"))</f>
        <v/>
      </c>
      <c r="M144">
        <f>IF($A144="","",SUMIFS(Socle!$V$1:$V$379,Socle!$C$1:$C$379,$A144,Socle!$D$1:$D$379,$C144,Socle!$E$1:$E$379,$D144,Socle!$F$1:$F$379,$E144,Socle!$G$1:$G$379,"2026"))</f>
        <v/>
      </c>
      <c r="N144">
        <f>IF($A144="","",IF(OR($D144="B1",$D144="M1",$D144="BTS1"),1,0))</f>
        <v/>
      </c>
      <c r="O144">
        <f>IF($A144="","",SUMIFS(Campagne!$D$1:$D$28,Campagne!$C$1:$C$28,$A144))</f>
        <v/>
      </c>
      <c r="P144">
        <f>IF($A144="","",SUMIFS(Campagne!$E$1:$E$28,Campagne!$C$1:$C$28,$A144))</f>
        <v/>
      </c>
      <c r="Q144">
        <f>IF($A144="","",SUMIFS(Campagne!$F$1:$F$28,Campagne!$C$1:$C$28,$A144))</f>
        <v/>
      </c>
      <c r="R144">
        <f>IF($A144="","",SUMIFS(Campagne!$K$1:$K$28,Campagne!$C$1:$C$28,$A144))</f>
        <v/>
      </c>
      <c r="S144">
        <f>IF($A144="","",SUMIFS(Campagne!$M$1:$M$28,Campagne!$C$1:$C$28,$A144))</f>
        <v/>
      </c>
      <c r="T144">
        <f>IF($A144="","",SUMIFS(Pilotage!$K$19:$K$32,Pilotage!$A$19:$A$32,$A144)*SUMIFS(Pilotage!$J$19:$J$32,Pilotage!$A$19:$A$32,$A144)*(SUM(Pilotage!$K$19:$K$32)/SUMPRODUCT(Pilotage!$K$19:$K$32,Pilotage!$J$19:$J$32)))</f>
        <v/>
      </c>
      <c r="U144">
        <f>IF($A144="","",SUMIFS(Pilotage!$K$19:$K$32,Pilotage!$A$19:$A$32,$A144))</f>
        <v/>
      </c>
      <c r="V144">
        <f>IF($A144="","",IF($B144="V01",Cadrage!$C$22,IF($B144="V02",Cadrage!$D$22,Cadrage!$E$22)))</f>
        <v/>
      </c>
      <c r="W144">
        <f>IF($A144="","",IF($B144="V01",Cadrage!$C$23,IF($B144="V02",Cadrage!$D$23,Cadrage!$E$23)))</f>
        <v/>
      </c>
      <c r="X144">
        <f>IF($A144="","",IF($B144="V01",Cadrage!$C$24,IF($B144="V02",Cadrage!$D$24,Cadrage!$E$24)))</f>
        <v/>
      </c>
      <c r="Y144">
        <f>IF($A144="","",IF($B144="V01",Cadrage!$C$25,IF($B144="V02",Cadrage!$D$25,Cadrage!$E$25)))</f>
        <v/>
      </c>
      <c r="Z144">
        <f>IF($A144="","",IF($B144="V01",Cadrage!$C$26,IF($B144="V02",Cadrage!$D$26,Cadrage!$E$26)))</f>
        <v/>
      </c>
      <c r="AA144">
        <f>IF($A144="","",IF($B144="V01",Cadrage!$C$27,IF($B144="V02",Cadrage!$D$27,Cadrage!$E$27)))</f>
        <v/>
      </c>
      <c r="AB144">
        <f>IF($A144="","",IF($B144="V01",Cadrage!$C$39,IF($B144="V02",Cadrage!$D$39,Cadrage!$E$39)))</f>
        <v/>
      </c>
      <c r="AC144">
        <f>IF($A144="","",IF($F144="MBWAY",Cadrage!$K$11,IF($F144="ISCOM",Cadrage!$K$12,IF($F144="IPAC",Cadrage!$K$13,IF($F144="PIGIER",Cadrage!$K$14,Cadrage!$K$15)))))</f>
        <v/>
      </c>
      <c r="AD144">
        <f>IF($A144="","",($O144*(1+$W144)^$S144+$P144*IFERROR((($T144/$U144)*(1+$V144))^$R144,0))*IFERROR($G144/$Q144,0)*($J144+$Y144)*$K144*($L144+$Z144))</f>
        <v/>
      </c>
      <c r="AE144">
        <f>IF($A144="","",IF($N144=1,$AD144,0))</f>
        <v/>
      </c>
      <c r="AF144">
        <f>IF($A144="","",IF($N144=1,$AD144,$H144*($M144+$AA144)))</f>
        <v/>
      </c>
      <c r="AG144">
        <f>IF($A144="","",$I144*(1+$X144*$AC144))</f>
        <v/>
      </c>
      <c r="AH144">
        <f>IF($A144="","",$AF144*$AG144+$AE144*$AB144)</f>
        <v/>
      </c>
    </row>
    <row r="145">
      <c r="A145">
        <f>IF(Moteur!D145="","",Moteur!D145)</f>
        <v/>
      </c>
      <c r="B145">
        <f>IF(Moteur!B145="","",Moteur!B145)</f>
        <v/>
      </c>
      <c r="C145">
        <f>IF(Moteur!F145="","",Moteur!F145)</f>
        <v/>
      </c>
      <c r="D145">
        <f>IF(Moteur!G145="","",Moteur!G145)</f>
        <v/>
      </c>
      <c r="E145">
        <f>IF(Moteur!H145="","",Moteur!H145)</f>
        <v/>
      </c>
      <c r="F145">
        <f>IF(Moteur!E145="","",Moteur!E145)</f>
        <v/>
      </c>
      <c r="G145">
        <f>IF($A145="","",SUMIFS(Socle!$H$1:$H$379,Socle!$C$1:$C$379,$A145,Socle!$D$1:$D$379,$C145,Socle!$E$1:$E$379,$D145,Socle!$F$1:$F$379,$E145,Socle!$G$1:$G$379,"2026"))</f>
        <v/>
      </c>
      <c r="H145">
        <f>IF($A145="","",SUMIFS(Socle!$N$1:$N$379,Socle!$C$1:$C$379,$A145,Socle!$D$1:$D$379,$C145,Socle!$E$1:$E$379,$D145,Socle!$F$1:$F$379,$E145,Socle!$G$1:$G$379,"2026"))</f>
        <v/>
      </c>
      <c r="I145">
        <f>IF($A145="","",SUMIFS(Socle!$P$1:$P$379,Socle!$C$1:$C$379,$A145,Socle!$D$1:$D$379,$C145,Socle!$E$1:$E$379,$D145,Socle!$F$1:$F$379,$E145,Socle!$G$1:$G$379,"2026"))</f>
        <v/>
      </c>
      <c r="J145">
        <f>IF($A145="","",SUMIFS(Socle!$W$1:$W$379,Socle!$C$1:$C$379,$A145,Socle!$D$1:$D$379,$C145,Socle!$E$1:$E$379,$D145,Socle!$F$1:$F$379,$E145,Socle!$G$1:$G$379,"2026"))</f>
        <v/>
      </c>
      <c r="K145">
        <f>IF($A145="","",SUMIFS(Socle!$X$1:$X$379,Socle!$C$1:$C$379,$A145,Socle!$D$1:$D$379,$C145,Socle!$E$1:$E$379,$D145,Socle!$F$1:$F$379,$E145,Socle!$G$1:$G$379,"2026"))</f>
        <v/>
      </c>
      <c r="L145">
        <f>IF($A145="","",SUMIFS(Socle!$Y$1:$Y$379,Socle!$C$1:$C$379,$A145,Socle!$D$1:$D$379,$C145,Socle!$E$1:$E$379,$D145,Socle!$F$1:$F$379,$E145,Socle!$G$1:$G$379,"2026"))</f>
        <v/>
      </c>
      <c r="M145">
        <f>IF($A145="","",SUMIFS(Socle!$V$1:$V$379,Socle!$C$1:$C$379,$A145,Socle!$D$1:$D$379,$C145,Socle!$E$1:$E$379,$D145,Socle!$F$1:$F$379,$E145,Socle!$G$1:$G$379,"2026"))</f>
        <v/>
      </c>
      <c r="N145">
        <f>IF($A145="","",IF(OR($D145="B1",$D145="M1",$D145="BTS1"),1,0))</f>
        <v/>
      </c>
      <c r="O145">
        <f>IF($A145="","",SUMIFS(Campagne!$D$1:$D$28,Campagne!$C$1:$C$28,$A145))</f>
        <v/>
      </c>
      <c r="P145">
        <f>IF($A145="","",SUMIFS(Campagne!$E$1:$E$28,Campagne!$C$1:$C$28,$A145))</f>
        <v/>
      </c>
      <c r="Q145">
        <f>IF($A145="","",SUMIFS(Campagne!$F$1:$F$28,Campagne!$C$1:$C$28,$A145))</f>
        <v/>
      </c>
      <c r="R145">
        <f>IF($A145="","",SUMIFS(Campagne!$K$1:$K$28,Campagne!$C$1:$C$28,$A145))</f>
        <v/>
      </c>
      <c r="S145">
        <f>IF($A145="","",SUMIFS(Campagne!$M$1:$M$28,Campagne!$C$1:$C$28,$A145))</f>
        <v/>
      </c>
      <c r="T145">
        <f>IF($A145="","",SUMIFS(Pilotage!$K$19:$K$32,Pilotage!$A$19:$A$32,$A145)*SUMIFS(Pilotage!$J$19:$J$32,Pilotage!$A$19:$A$32,$A145)*(SUM(Pilotage!$K$19:$K$32)/SUMPRODUCT(Pilotage!$K$19:$K$32,Pilotage!$J$19:$J$32)))</f>
        <v/>
      </c>
      <c r="U145">
        <f>IF($A145="","",SUMIFS(Pilotage!$K$19:$K$32,Pilotage!$A$19:$A$32,$A145))</f>
        <v/>
      </c>
      <c r="V145">
        <f>IF($A145="","",IF($B145="V01",Cadrage!$C$22,IF($B145="V02",Cadrage!$D$22,Cadrage!$E$22)))</f>
        <v/>
      </c>
      <c r="W145">
        <f>IF($A145="","",IF($B145="V01",Cadrage!$C$23,IF($B145="V02",Cadrage!$D$23,Cadrage!$E$23)))</f>
        <v/>
      </c>
      <c r="X145">
        <f>IF($A145="","",IF($B145="V01",Cadrage!$C$24,IF($B145="V02",Cadrage!$D$24,Cadrage!$E$24)))</f>
        <v/>
      </c>
      <c r="Y145">
        <f>IF($A145="","",IF($B145="V01",Cadrage!$C$25,IF($B145="V02",Cadrage!$D$25,Cadrage!$E$25)))</f>
        <v/>
      </c>
      <c r="Z145">
        <f>IF($A145="","",IF($B145="V01",Cadrage!$C$26,IF($B145="V02",Cadrage!$D$26,Cadrage!$E$26)))</f>
        <v/>
      </c>
      <c r="AA145">
        <f>IF($A145="","",IF($B145="V01",Cadrage!$C$27,IF($B145="V02",Cadrage!$D$27,Cadrage!$E$27)))</f>
        <v/>
      </c>
      <c r="AB145">
        <f>IF($A145="","",IF($B145="V01",Cadrage!$C$39,IF($B145="V02",Cadrage!$D$39,Cadrage!$E$39)))</f>
        <v/>
      </c>
      <c r="AC145">
        <f>IF($A145="","",IF($F145="MBWAY",Cadrage!$K$11,IF($F145="ISCOM",Cadrage!$K$12,IF($F145="IPAC",Cadrage!$K$13,IF($F145="PIGIER",Cadrage!$K$14,Cadrage!$K$15)))))</f>
        <v/>
      </c>
      <c r="AD145">
        <f>IF($A145="","",($O145*(1+$W145)^$S145+$P145*IFERROR((($T145/$U145)*(1+$V145))^$R145,0))*IFERROR($G145/$Q145,0)*($J145+$Y145)*$K145*($L145+$Z145))</f>
        <v/>
      </c>
      <c r="AE145">
        <f>IF($A145="","",IF($N145=1,$AD145,0))</f>
        <v/>
      </c>
      <c r="AF145">
        <f>IF($A145="","",IF($N145=1,$AD145,$H145*($M145+$AA145)))</f>
        <v/>
      </c>
      <c r="AG145">
        <f>IF($A145="","",$I145*(1+$X145*$AC145))</f>
        <v/>
      </c>
      <c r="AH145">
        <f>IF($A145="","",$AF145*$AG145+$AE145*$AB145)</f>
        <v/>
      </c>
    </row>
    <row r="146">
      <c r="A146">
        <f>IF(Moteur!D146="","",Moteur!D146)</f>
        <v/>
      </c>
      <c r="B146">
        <f>IF(Moteur!B146="","",Moteur!B146)</f>
        <v/>
      </c>
      <c r="C146">
        <f>IF(Moteur!F146="","",Moteur!F146)</f>
        <v/>
      </c>
      <c r="D146">
        <f>IF(Moteur!G146="","",Moteur!G146)</f>
        <v/>
      </c>
      <c r="E146">
        <f>IF(Moteur!H146="","",Moteur!H146)</f>
        <v/>
      </c>
      <c r="F146">
        <f>IF(Moteur!E146="","",Moteur!E146)</f>
        <v/>
      </c>
      <c r="G146">
        <f>IF($A146="","",SUMIFS(Socle!$H$1:$H$379,Socle!$C$1:$C$379,$A146,Socle!$D$1:$D$379,$C146,Socle!$E$1:$E$379,$D146,Socle!$F$1:$F$379,$E146,Socle!$G$1:$G$379,"2026"))</f>
        <v/>
      </c>
      <c r="H146">
        <f>IF($A146="","",SUMIFS(Socle!$N$1:$N$379,Socle!$C$1:$C$379,$A146,Socle!$D$1:$D$379,$C146,Socle!$E$1:$E$379,$D146,Socle!$F$1:$F$379,$E146,Socle!$G$1:$G$379,"2026"))</f>
        <v/>
      </c>
      <c r="I146">
        <f>IF($A146="","",SUMIFS(Socle!$P$1:$P$379,Socle!$C$1:$C$379,$A146,Socle!$D$1:$D$379,$C146,Socle!$E$1:$E$379,$D146,Socle!$F$1:$F$379,$E146,Socle!$G$1:$G$379,"2026"))</f>
        <v/>
      </c>
      <c r="J146">
        <f>IF($A146="","",SUMIFS(Socle!$W$1:$W$379,Socle!$C$1:$C$379,$A146,Socle!$D$1:$D$379,$C146,Socle!$E$1:$E$379,$D146,Socle!$F$1:$F$379,$E146,Socle!$G$1:$G$379,"2026"))</f>
        <v/>
      </c>
      <c r="K146">
        <f>IF($A146="","",SUMIFS(Socle!$X$1:$X$379,Socle!$C$1:$C$379,$A146,Socle!$D$1:$D$379,$C146,Socle!$E$1:$E$379,$D146,Socle!$F$1:$F$379,$E146,Socle!$G$1:$G$379,"2026"))</f>
        <v/>
      </c>
      <c r="L146">
        <f>IF($A146="","",SUMIFS(Socle!$Y$1:$Y$379,Socle!$C$1:$C$379,$A146,Socle!$D$1:$D$379,$C146,Socle!$E$1:$E$379,$D146,Socle!$F$1:$F$379,$E146,Socle!$G$1:$G$379,"2026"))</f>
        <v/>
      </c>
      <c r="M146">
        <f>IF($A146="","",SUMIFS(Socle!$V$1:$V$379,Socle!$C$1:$C$379,$A146,Socle!$D$1:$D$379,$C146,Socle!$E$1:$E$379,$D146,Socle!$F$1:$F$379,$E146,Socle!$G$1:$G$379,"2026"))</f>
        <v/>
      </c>
      <c r="N146">
        <f>IF($A146="","",IF(OR($D146="B1",$D146="M1",$D146="BTS1"),1,0))</f>
        <v/>
      </c>
      <c r="O146">
        <f>IF($A146="","",SUMIFS(Campagne!$D$1:$D$28,Campagne!$C$1:$C$28,$A146))</f>
        <v/>
      </c>
      <c r="P146">
        <f>IF($A146="","",SUMIFS(Campagne!$E$1:$E$28,Campagne!$C$1:$C$28,$A146))</f>
        <v/>
      </c>
      <c r="Q146">
        <f>IF($A146="","",SUMIFS(Campagne!$F$1:$F$28,Campagne!$C$1:$C$28,$A146))</f>
        <v/>
      </c>
      <c r="R146">
        <f>IF($A146="","",SUMIFS(Campagne!$K$1:$K$28,Campagne!$C$1:$C$28,$A146))</f>
        <v/>
      </c>
      <c r="S146">
        <f>IF($A146="","",SUMIFS(Campagne!$M$1:$M$28,Campagne!$C$1:$C$28,$A146))</f>
        <v/>
      </c>
      <c r="T146">
        <f>IF($A146="","",SUMIFS(Pilotage!$K$19:$K$32,Pilotage!$A$19:$A$32,$A146)*SUMIFS(Pilotage!$J$19:$J$32,Pilotage!$A$19:$A$32,$A146)*(SUM(Pilotage!$K$19:$K$32)/SUMPRODUCT(Pilotage!$K$19:$K$32,Pilotage!$J$19:$J$32)))</f>
        <v/>
      </c>
      <c r="U146">
        <f>IF($A146="","",SUMIFS(Pilotage!$K$19:$K$32,Pilotage!$A$19:$A$32,$A146))</f>
        <v/>
      </c>
      <c r="V146">
        <f>IF($A146="","",IF($B146="V01",Cadrage!$C$22,IF($B146="V02",Cadrage!$D$22,Cadrage!$E$22)))</f>
        <v/>
      </c>
      <c r="W146">
        <f>IF($A146="","",IF($B146="V01",Cadrage!$C$23,IF($B146="V02",Cadrage!$D$23,Cadrage!$E$23)))</f>
        <v/>
      </c>
      <c r="X146">
        <f>IF($A146="","",IF($B146="V01",Cadrage!$C$24,IF($B146="V02",Cadrage!$D$24,Cadrage!$E$24)))</f>
        <v/>
      </c>
      <c r="Y146">
        <f>IF($A146="","",IF($B146="V01",Cadrage!$C$25,IF($B146="V02",Cadrage!$D$25,Cadrage!$E$25)))</f>
        <v/>
      </c>
      <c r="Z146">
        <f>IF($A146="","",IF($B146="V01",Cadrage!$C$26,IF($B146="V02",Cadrage!$D$26,Cadrage!$E$26)))</f>
        <v/>
      </c>
      <c r="AA146">
        <f>IF($A146="","",IF($B146="V01",Cadrage!$C$27,IF($B146="V02",Cadrage!$D$27,Cadrage!$E$27)))</f>
        <v/>
      </c>
      <c r="AB146">
        <f>IF($A146="","",IF($B146="V01",Cadrage!$C$39,IF($B146="V02",Cadrage!$D$39,Cadrage!$E$39)))</f>
        <v/>
      </c>
      <c r="AC146">
        <f>IF($A146="","",IF($F146="MBWAY",Cadrage!$K$11,IF($F146="ISCOM",Cadrage!$K$12,IF($F146="IPAC",Cadrage!$K$13,IF($F146="PIGIER",Cadrage!$K$14,Cadrage!$K$15)))))</f>
        <v/>
      </c>
      <c r="AD146">
        <f>IF($A146="","",($O146*(1+$W146)^$S146+$P146*IFERROR((($T146/$U146)*(1+$V146))^$R146,0))*IFERROR($G146/$Q146,0)*($J146+$Y146)*$K146*($L146+$Z146))</f>
        <v/>
      </c>
      <c r="AE146">
        <f>IF($A146="","",IF($N146=1,$AD146,0))</f>
        <v/>
      </c>
      <c r="AF146">
        <f>IF($A146="","",IF($N146=1,$AD146,$H146*($M146+$AA146)))</f>
        <v/>
      </c>
      <c r="AG146">
        <f>IF($A146="","",$I146*(1+$X146*$AC146))</f>
        <v/>
      </c>
      <c r="AH146">
        <f>IF($A146="","",$AF146*$AG146+$AE146*$AB146)</f>
        <v/>
      </c>
    </row>
    <row r="147">
      <c r="A147">
        <f>IF(Moteur!D147="","",Moteur!D147)</f>
        <v/>
      </c>
      <c r="B147">
        <f>IF(Moteur!B147="","",Moteur!B147)</f>
        <v/>
      </c>
      <c r="C147">
        <f>IF(Moteur!F147="","",Moteur!F147)</f>
        <v/>
      </c>
      <c r="D147">
        <f>IF(Moteur!G147="","",Moteur!G147)</f>
        <v/>
      </c>
      <c r="E147">
        <f>IF(Moteur!H147="","",Moteur!H147)</f>
        <v/>
      </c>
      <c r="F147">
        <f>IF(Moteur!E147="","",Moteur!E147)</f>
        <v/>
      </c>
      <c r="G147">
        <f>IF($A147="","",SUMIFS(Socle!$H$1:$H$379,Socle!$C$1:$C$379,$A147,Socle!$D$1:$D$379,$C147,Socle!$E$1:$E$379,$D147,Socle!$F$1:$F$379,$E147,Socle!$G$1:$G$379,"2026"))</f>
        <v/>
      </c>
      <c r="H147">
        <f>IF($A147="","",SUMIFS(Socle!$N$1:$N$379,Socle!$C$1:$C$379,$A147,Socle!$D$1:$D$379,$C147,Socle!$E$1:$E$379,$D147,Socle!$F$1:$F$379,$E147,Socle!$G$1:$G$379,"2026"))</f>
        <v/>
      </c>
      <c r="I147">
        <f>IF($A147="","",SUMIFS(Socle!$P$1:$P$379,Socle!$C$1:$C$379,$A147,Socle!$D$1:$D$379,$C147,Socle!$E$1:$E$379,$D147,Socle!$F$1:$F$379,$E147,Socle!$G$1:$G$379,"2026"))</f>
        <v/>
      </c>
      <c r="J147">
        <f>IF($A147="","",SUMIFS(Socle!$W$1:$W$379,Socle!$C$1:$C$379,$A147,Socle!$D$1:$D$379,$C147,Socle!$E$1:$E$379,$D147,Socle!$F$1:$F$379,$E147,Socle!$G$1:$G$379,"2026"))</f>
        <v/>
      </c>
      <c r="K147">
        <f>IF($A147="","",SUMIFS(Socle!$X$1:$X$379,Socle!$C$1:$C$379,$A147,Socle!$D$1:$D$379,$C147,Socle!$E$1:$E$379,$D147,Socle!$F$1:$F$379,$E147,Socle!$G$1:$G$379,"2026"))</f>
        <v/>
      </c>
      <c r="L147">
        <f>IF($A147="","",SUMIFS(Socle!$Y$1:$Y$379,Socle!$C$1:$C$379,$A147,Socle!$D$1:$D$379,$C147,Socle!$E$1:$E$379,$D147,Socle!$F$1:$F$379,$E147,Socle!$G$1:$G$379,"2026"))</f>
        <v/>
      </c>
      <c r="M147">
        <f>IF($A147="","",SUMIFS(Socle!$V$1:$V$379,Socle!$C$1:$C$379,$A147,Socle!$D$1:$D$379,$C147,Socle!$E$1:$E$379,$D147,Socle!$F$1:$F$379,$E147,Socle!$G$1:$G$379,"2026"))</f>
        <v/>
      </c>
      <c r="N147">
        <f>IF($A147="","",IF(OR($D147="B1",$D147="M1",$D147="BTS1"),1,0))</f>
        <v/>
      </c>
      <c r="O147">
        <f>IF($A147="","",SUMIFS(Campagne!$D$1:$D$28,Campagne!$C$1:$C$28,$A147))</f>
        <v/>
      </c>
      <c r="P147">
        <f>IF($A147="","",SUMIFS(Campagne!$E$1:$E$28,Campagne!$C$1:$C$28,$A147))</f>
        <v/>
      </c>
      <c r="Q147">
        <f>IF($A147="","",SUMIFS(Campagne!$F$1:$F$28,Campagne!$C$1:$C$28,$A147))</f>
        <v/>
      </c>
      <c r="R147">
        <f>IF($A147="","",SUMIFS(Campagne!$K$1:$K$28,Campagne!$C$1:$C$28,$A147))</f>
        <v/>
      </c>
      <c r="S147">
        <f>IF($A147="","",SUMIFS(Campagne!$M$1:$M$28,Campagne!$C$1:$C$28,$A147))</f>
        <v/>
      </c>
      <c r="T147">
        <f>IF($A147="","",SUMIFS(Pilotage!$K$19:$K$32,Pilotage!$A$19:$A$32,$A147)*SUMIFS(Pilotage!$J$19:$J$32,Pilotage!$A$19:$A$32,$A147)*(SUM(Pilotage!$K$19:$K$32)/SUMPRODUCT(Pilotage!$K$19:$K$32,Pilotage!$J$19:$J$32)))</f>
        <v/>
      </c>
      <c r="U147">
        <f>IF($A147="","",SUMIFS(Pilotage!$K$19:$K$32,Pilotage!$A$19:$A$32,$A147))</f>
        <v/>
      </c>
      <c r="V147">
        <f>IF($A147="","",IF($B147="V01",Cadrage!$C$22,IF($B147="V02",Cadrage!$D$22,Cadrage!$E$22)))</f>
        <v/>
      </c>
      <c r="W147">
        <f>IF($A147="","",IF($B147="V01",Cadrage!$C$23,IF($B147="V02",Cadrage!$D$23,Cadrage!$E$23)))</f>
        <v/>
      </c>
      <c r="X147">
        <f>IF($A147="","",IF($B147="V01",Cadrage!$C$24,IF($B147="V02",Cadrage!$D$24,Cadrage!$E$24)))</f>
        <v/>
      </c>
      <c r="Y147">
        <f>IF($A147="","",IF($B147="V01",Cadrage!$C$25,IF($B147="V02",Cadrage!$D$25,Cadrage!$E$25)))</f>
        <v/>
      </c>
      <c r="Z147">
        <f>IF($A147="","",IF($B147="V01",Cadrage!$C$26,IF($B147="V02",Cadrage!$D$26,Cadrage!$E$26)))</f>
        <v/>
      </c>
      <c r="AA147">
        <f>IF($A147="","",IF($B147="V01",Cadrage!$C$27,IF($B147="V02",Cadrage!$D$27,Cadrage!$E$27)))</f>
        <v/>
      </c>
      <c r="AB147">
        <f>IF($A147="","",IF($B147="V01",Cadrage!$C$39,IF($B147="V02",Cadrage!$D$39,Cadrage!$E$39)))</f>
        <v/>
      </c>
      <c r="AC147">
        <f>IF($A147="","",IF($F147="MBWAY",Cadrage!$K$11,IF($F147="ISCOM",Cadrage!$K$12,IF($F147="IPAC",Cadrage!$K$13,IF($F147="PIGIER",Cadrage!$K$14,Cadrage!$K$15)))))</f>
        <v/>
      </c>
      <c r="AD147">
        <f>IF($A147="","",($O147*(1+$W147)^$S147+$P147*IFERROR((($T147/$U147)*(1+$V147))^$R147,0))*IFERROR($G147/$Q147,0)*($J147+$Y147)*$K147*($L147+$Z147))</f>
        <v/>
      </c>
      <c r="AE147">
        <f>IF($A147="","",IF($N147=1,$AD147,0))</f>
        <v/>
      </c>
      <c r="AF147">
        <f>IF($A147="","",IF($N147=1,$AD147,$H147*($M147+$AA147)))</f>
        <v/>
      </c>
      <c r="AG147">
        <f>IF($A147="","",$I147*(1+$X147*$AC147))</f>
        <v/>
      </c>
      <c r="AH147">
        <f>IF($A147="","",$AF147*$AG147+$AE147*$AB147)</f>
        <v/>
      </c>
    </row>
    <row r="148">
      <c r="A148">
        <f>IF(Moteur!D148="","",Moteur!D148)</f>
        <v/>
      </c>
      <c r="B148">
        <f>IF(Moteur!B148="","",Moteur!B148)</f>
        <v/>
      </c>
      <c r="C148">
        <f>IF(Moteur!F148="","",Moteur!F148)</f>
        <v/>
      </c>
      <c r="D148">
        <f>IF(Moteur!G148="","",Moteur!G148)</f>
        <v/>
      </c>
      <c r="E148">
        <f>IF(Moteur!H148="","",Moteur!H148)</f>
        <v/>
      </c>
      <c r="F148">
        <f>IF(Moteur!E148="","",Moteur!E148)</f>
        <v/>
      </c>
      <c r="G148">
        <f>IF($A148="","",SUMIFS(Socle!$H$1:$H$379,Socle!$C$1:$C$379,$A148,Socle!$D$1:$D$379,$C148,Socle!$E$1:$E$379,$D148,Socle!$F$1:$F$379,$E148,Socle!$G$1:$G$379,"2026"))</f>
        <v/>
      </c>
      <c r="H148">
        <f>IF($A148="","",SUMIFS(Socle!$N$1:$N$379,Socle!$C$1:$C$379,$A148,Socle!$D$1:$D$379,$C148,Socle!$E$1:$E$379,$D148,Socle!$F$1:$F$379,$E148,Socle!$G$1:$G$379,"2026"))</f>
        <v/>
      </c>
      <c r="I148">
        <f>IF($A148="","",SUMIFS(Socle!$P$1:$P$379,Socle!$C$1:$C$379,$A148,Socle!$D$1:$D$379,$C148,Socle!$E$1:$E$379,$D148,Socle!$F$1:$F$379,$E148,Socle!$G$1:$G$379,"2026"))</f>
        <v/>
      </c>
      <c r="J148">
        <f>IF($A148="","",SUMIFS(Socle!$W$1:$W$379,Socle!$C$1:$C$379,$A148,Socle!$D$1:$D$379,$C148,Socle!$E$1:$E$379,$D148,Socle!$F$1:$F$379,$E148,Socle!$G$1:$G$379,"2026"))</f>
        <v/>
      </c>
      <c r="K148">
        <f>IF($A148="","",SUMIFS(Socle!$X$1:$X$379,Socle!$C$1:$C$379,$A148,Socle!$D$1:$D$379,$C148,Socle!$E$1:$E$379,$D148,Socle!$F$1:$F$379,$E148,Socle!$G$1:$G$379,"2026"))</f>
        <v/>
      </c>
      <c r="L148">
        <f>IF($A148="","",SUMIFS(Socle!$Y$1:$Y$379,Socle!$C$1:$C$379,$A148,Socle!$D$1:$D$379,$C148,Socle!$E$1:$E$379,$D148,Socle!$F$1:$F$379,$E148,Socle!$G$1:$G$379,"2026"))</f>
        <v/>
      </c>
      <c r="M148">
        <f>IF($A148="","",SUMIFS(Socle!$V$1:$V$379,Socle!$C$1:$C$379,$A148,Socle!$D$1:$D$379,$C148,Socle!$E$1:$E$379,$D148,Socle!$F$1:$F$379,$E148,Socle!$G$1:$G$379,"2026"))</f>
        <v/>
      </c>
      <c r="N148">
        <f>IF($A148="","",IF(OR($D148="B1",$D148="M1",$D148="BTS1"),1,0))</f>
        <v/>
      </c>
      <c r="O148">
        <f>IF($A148="","",SUMIFS(Campagne!$D$1:$D$28,Campagne!$C$1:$C$28,$A148))</f>
        <v/>
      </c>
      <c r="P148">
        <f>IF($A148="","",SUMIFS(Campagne!$E$1:$E$28,Campagne!$C$1:$C$28,$A148))</f>
        <v/>
      </c>
      <c r="Q148">
        <f>IF($A148="","",SUMIFS(Campagne!$F$1:$F$28,Campagne!$C$1:$C$28,$A148))</f>
        <v/>
      </c>
      <c r="R148">
        <f>IF($A148="","",SUMIFS(Campagne!$K$1:$K$28,Campagne!$C$1:$C$28,$A148))</f>
        <v/>
      </c>
      <c r="S148">
        <f>IF($A148="","",SUMIFS(Campagne!$M$1:$M$28,Campagne!$C$1:$C$28,$A148))</f>
        <v/>
      </c>
      <c r="T148">
        <f>IF($A148="","",SUMIFS(Pilotage!$K$19:$K$32,Pilotage!$A$19:$A$32,$A148)*SUMIFS(Pilotage!$J$19:$J$32,Pilotage!$A$19:$A$32,$A148)*(SUM(Pilotage!$K$19:$K$32)/SUMPRODUCT(Pilotage!$K$19:$K$32,Pilotage!$J$19:$J$32)))</f>
        <v/>
      </c>
      <c r="U148">
        <f>IF($A148="","",SUMIFS(Pilotage!$K$19:$K$32,Pilotage!$A$19:$A$32,$A148))</f>
        <v/>
      </c>
      <c r="V148">
        <f>IF($A148="","",IF($B148="V01",Cadrage!$C$22,IF($B148="V02",Cadrage!$D$22,Cadrage!$E$22)))</f>
        <v/>
      </c>
      <c r="W148">
        <f>IF($A148="","",IF($B148="V01",Cadrage!$C$23,IF($B148="V02",Cadrage!$D$23,Cadrage!$E$23)))</f>
        <v/>
      </c>
      <c r="X148">
        <f>IF($A148="","",IF($B148="V01",Cadrage!$C$24,IF($B148="V02",Cadrage!$D$24,Cadrage!$E$24)))</f>
        <v/>
      </c>
      <c r="Y148">
        <f>IF($A148="","",IF($B148="V01",Cadrage!$C$25,IF($B148="V02",Cadrage!$D$25,Cadrage!$E$25)))</f>
        <v/>
      </c>
      <c r="Z148">
        <f>IF($A148="","",IF($B148="V01",Cadrage!$C$26,IF($B148="V02",Cadrage!$D$26,Cadrage!$E$26)))</f>
        <v/>
      </c>
      <c r="AA148">
        <f>IF($A148="","",IF($B148="V01",Cadrage!$C$27,IF($B148="V02",Cadrage!$D$27,Cadrage!$E$27)))</f>
        <v/>
      </c>
      <c r="AB148">
        <f>IF($A148="","",IF($B148="V01",Cadrage!$C$39,IF($B148="V02",Cadrage!$D$39,Cadrage!$E$39)))</f>
        <v/>
      </c>
      <c r="AC148">
        <f>IF($A148="","",IF($F148="MBWAY",Cadrage!$K$11,IF($F148="ISCOM",Cadrage!$K$12,IF($F148="IPAC",Cadrage!$K$13,IF($F148="PIGIER",Cadrage!$K$14,Cadrage!$K$15)))))</f>
        <v/>
      </c>
      <c r="AD148">
        <f>IF($A148="","",($O148*(1+$W148)^$S148+$P148*IFERROR((($T148/$U148)*(1+$V148))^$R148,0))*IFERROR($G148/$Q148,0)*($J148+$Y148)*$K148*($L148+$Z148))</f>
        <v/>
      </c>
      <c r="AE148">
        <f>IF($A148="","",IF($N148=1,$AD148,0))</f>
        <v/>
      </c>
      <c r="AF148">
        <f>IF($A148="","",IF($N148=1,$AD148,$H148*($M148+$AA148)))</f>
        <v/>
      </c>
      <c r="AG148">
        <f>IF($A148="","",$I148*(1+$X148*$AC148))</f>
        <v/>
      </c>
      <c r="AH148">
        <f>IF($A148="","",$AF148*$AG148+$AE148*$AB148)</f>
        <v/>
      </c>
    </row>
    <row r="149">
      <c r="A149">
        <f>IF(Moteur!D149="","",Moteur!D149)</f>
        <v/>
      </c>
      <c r="B149">
        <f>IF(Moteur!B149="","",Moteur!B149)</f>
        <v/>
      </c>
      <c r="C149">
        <f>IF(Moteur!F149="","",Moteur!F149)</f>
        <v/>
      </c>
      <c r="D149">
        <f>IF(Moteur!G149="","",Moteur!G149)</f>
        <v/>
      </c>
      <c r="E149">
        <f>IF(Moteur!H149="","",Moteur!H149)</f>
        <v/>
      </c>
      <c r="F149">
        <f>IF(Moteur!E149="","",Moteur!E149)</f>
        <v/>
      </c>
      <c r="G149">
        <f>IF($A149="","",SUMIFS(Socle!$H$1:$H$379,Socle!$C$1:$C$379,$A149,Socle!$D$1:$D$379,$C149,Socle!$E$1:$E$379,$D149,Socle!$F$1:$F$379,$E149,Socle!$G$1:$G$379,"2026"))</f>
        <v/>
      </c>
      <c r="H149">
        <f>IF($A149="","",SUMIFS(Socle!$N$1:$N$379,Socle!$C$1:$C$379,$A149,Socle!$D$1:$D$379,$C149,Socle!$E$1:$E$379,$D149,Socle!$F$1:$F$379,$E149,Socle!$G$1:$G$379,"2026"))</f>
        <v/>
      </c>
      <c r="I149">
        <f>IF($A149="","",SUMIFS(Socle!$P$1:$P$379,Socle!$C$1:$C$379,$A149,Socle!$D$1:$D$379,$C149,Socle!$E$1:$E$379,$D149,Socle!$F$1:$F$379,$E149,Socle!$G$1:$G$379,"2026"))</f>
        <v/>
      </c>
      <c r="J149">
        <f>IF($A149="","",SUMIFS(Socle!$W$1:$W$379,Socle!$C$1:$C$379,$A149,Socle!$D$1:$D$379,$C149,Socle!$E$1:$E$379,$D149,Socle!$F$1:$F$379,$E149,Socle!$G$1:$G$379,"2026"))</f>
        <v/>
      </c>
      <c r="K149">
        <f>IF($A149="","",SUMIFS(Socle!$X$1:$X$379,Socle!$C$1:$C$379,$A149,Socle!$D$1:$D$379,$C149,Socle!$E$1:$E$379,$D149,Socle!$F$1:$F$379,$E149,Socle!$G$1:$G$379,"2026"))</f>
        <v/>
      </c>
      <c r="L149">
        <f>IF($A149="","",SUMIFS(Socle!$Y$1:$Y$379,Socle!$C$1:$C$379,$A149,Socle!$D$1:$D$379,$C149,Socle!$E$1:$E$379,$D149,Socle!$F$1:$F$379,$E149,Socle!$G$1:$G$379,"2026"))</f>
        <v/>
      </c>
      <c r="M149">
        <f>IF($A149="","",SUMIFS(Socle!$V$1:$V$379,Socle!$C$1:$C$379,$A149,Socle!$D$1:$D$379,$C149,Socle!$E$1:$E$379,$D149,Socle!$F$1:$F$379,$E149,Socle!$G$1:$G$379,"2026"))</f>
        <v/>
      </c>
      <c r="N149">
        <f>IF($A149="","",IF(OR($D149="B1",$D149="M1",$D149="BTS1"),1,0))</f>
        <v/>
      </c>
      <c r="O149">
        <f>IF($A149="","",SUMIFS(Campagne!$D$1:$D$28,Campagne!$C$1:$C$28,$A149))</f>
        <v/>
      </c>
      <c r="P149">
        <f>IF($A149="","",SUMIFS(Campagne!$E$1:$E$28,Campagne!$C$1:$C$28,$A149))</f>
        <v/>
      </c>
      <c r="Q149">
        <f>IF($A149="","",SUMIFS(Campagne!$F$1:$F$28,Campagne!$C$1:$C$28,$A149))</f>
        <v/>
      </c>
      <c r="R149">
        <f>IF($A149="","",SUMIFS(Campagne!$K$1:$K$28,Campagne!$C$1:$C$28,$A149))</f>
        <v/>
      </c>
      <c r="S149">
        <f>IF($A149="","",SUMIFS(Campagne!$M$1:$M$28,Campagne!$C$1:$C$28,$A149))</f>
        <v/>
      </c>
      <c r="T149">
        <f>IF($A149="","",SUMIFS(Pilotage!$K$19:$K$32,Pilotage!$A$19:$A$32,$A149)*SUMIFS(Pilotage!$J$19:$J$32,Pilotage!$A$19:$A$32,$A149)*(SUM(Pilotage!$K$19:$K$32)/SUMPRODUCT(Pilotage!$K$19:$K$32,Pilotage!$J$19:$J$32)))</f>
        <v/>
      </c>
      <c r="U149">
        <f>IF($A149="","",SUMIFS(Pilotage!$K$19:$K$32,Pilotage!$A$19:$A$32,$A149))</f>
        <v/>
      </c>
      <c r="V149">
        <f>IF($A149="","",IF($B149="V01",Cadrage!$C$22,IF($B149="V02",Cadrage!$D$22,Cadrage!$E$22)))</f>
        <v/>
      </c>
      <c r="W149">
        <f>IF($A149="","",IF($B149="V01",Cadrage!$C$23,IF($B149="V02",Cadrage!$D$23,Cadrage!$E$23)))</f>
        <v/>
      </c>
      <c r="X149">
        <f>IF($A149="","",IF($B149="V01",Cadrage!$C$24,IF($B149="V02",Cadrage!$D$24,Cadrage!$E$24)))</f>
        <v/>
      </c>
      <c r="Y149">
        <f>IF($A149="","",IF($B149="V01",Cadrage!$C$25,IF($B149="V02",Cadrage!$D$25,Cadrage!$E$25)))</f>
        <v/>
      </c>
      <c r="Z149">
        <f>IF($A149="","",IF($B149="V01",Cadrage!$C$26,IF($B149="V02",Cadrage!$D$26,Cadrage!$E$26)))</f>
        <v/>
      </c>
      <c r="AA149">
        <f>IF($A149="","",IF($B149="V01",Cadrage!$C$27,IF($B149="V02",Cadrage!$D$27,Cadrage!$E$27)))</f>
        <v/>
      </c>
      <c r="AB149">
        <f>IF($A149="","",IF($B149="V01",Cadrage!$C$39,IF($B149="V02",Cadrage!$D$39,Cadrage!$E$39)))</f>
        <v/>
      </c>
      <c r="AC149">
        <f>IF($A149="","",IF($F149="MBWAY",Cadrage!$K$11,IF($F149="ISCOM",Cadrage!$K$12,IF($F149="IPAC",Cadrage!$K$13,IF($F149="PIGIER",Cadrage!$K$14,Cadrage!$K$15)))))</f>
        <v/>
      </c>
      <c r="AD149">
        <f>IF($A149="","",($O149*(1+$W149)^$S149+$P149*IFERROR((($T149/$U149)*(1+$V149))^$R149,0))*IFERROR($G149/$Q149,0)*($J149+$Y149)*$K149*($L149+$Z149))</f>
        <v/>
      </c>
      <c r="AE149">
        <f>IF($A149="","",IF($N149=1,$AD149,0))</f>
        <v/>
      </c>
      <c r="AF149">
        <f>IF($A149="","",IF($N149=1,$AD149,$H149*($M149+$AA149)))</f>
        <v/>
      </c>
      <c r="AG149">
        <f>IF($A149="","",$I149*(1+$X149*$AC149))</f>
        <v/>
      </c>
      <c r="AH149">
        <f>IF($A149="","",$AF149*$AG149+$AE149*$AB149)</f>
        <v/>
      </c>
    </row>
    <row r="150">
      <c r="A150">
        <f>IF(Moteur!D150="","",Moteur!D150)</f>
        <v/>
      </c>
      <c r="B150">
        <f>IF(Moteur!B150="","",Moteur!B150)</f>
        <v/>
      </c>
      <c r="C150">
        <f>IF(Moteur!F150="","",Moteur!F150)</f>
        <v/>
      </c>
      <c r="D150">
        <f>IF(Moteur!G150="","",Moteur!G150)</f>
        <v/>
      </c>
      <c r="E150">
        <f>IF(Moteur!H150="","",Moteur!H150)</f>
        <v/>
      </c>
      <c r="F150">
        <f>IF(Moteur!E150="","",Moteur!E150)</f>
        <v/>
      </c>
      <c r="G150">
        <f>IF($A150="","",SUMIFS(Socle!$H$1:$H$379,Socle!$C$1:$C$379,$A150,Socle!$D$1:$D$379,$C150,Socle!$E$1:$E$379,$D150,Socle!$F$1:$F$379,$E150,Socle!$G$1:$G$379,"2026"))</f>
        <v/>
      </c>
      <c r="H150">
        <f>IF($A150="","",SUMIFS(Socle!$N$1:$N$379,Socle!$C$1:$C$379,$A150,Socle!$D$1:$D$379,$C150,Socle!$E$1:$E$379,$D150,Socle!$F$1:$F$379,$E150,Socle!$G$1:$G$379,"2026"))</f>
        <v/>
      </c>
      <c r="I150">
        <f>IF($A150="","",SUMIFS(Socle!$P$1:$P$379,Socle!$C$1:$C$379,$A150,Socle!$D$1:$D$379,$C150,Socle!$E$1:$E$379,$D150,Socle!$F$1:$F$379,$E150,Socle!$G$1:$G$379,"2026"))</f>
        <v/>
      </c>
      <c r="J150">
        <f>IF($A150="","",SUMIFS(Socle!$W$1:$W$379,Socle!$C$1:$C$379,$A150,Socle!$D$1:$D$379,$C150,Socle!$E$1:$E$379,$D150,Socle!$F$1:$F$379,$E150,Socle!$G$1:$G$379,"2026"))</f>
        <v/>
      </c>
      <c r="K150">
        <f>IF($A150="","",SUMIFS(Socle!$X$1:$X$379,Socle!$C$1:$C$379,$A150,Socle!$D$1:$D$379,$C150,Socle!$E$1:$E$379,$D150,Socle!$F$1:$F$379,$E150,Socle!$G$1:$G$379,"2026"))</f>
        <v/>
      </c>
      <c r="L150">
        <f>IF($A150="","",SUMIFS(Socle!$Y$1:$Y$379,Socle!$C$1:$C$379,$A150,Socle!$D$1:$D$379,$C150,Socle!$E$1:$E$379,$D150,Socle!$F$1:$F$379,$E150,Socle!$G$1:$G$379,"2026"))</f>
        <v/>
      </c>
      <c r="M150">
        <f>IF($A150="","",SUMIFS(Socle!$V$1:$V$379,Socle!$C$1:$C$379,$A150,Socle!$D$1:$D$379,$C150,Socle!$E$1:$E$379,$D150,Socle!$F$1:$F$379,$E150,Socle!$G$1:$G$379,"2026"))</f>
        <v/>
      </c>
      <c r="N150">
        <f>IF($A150="","",IF(OR($D150="B1",$D150="M1",$D150="BTS1"),1,0))</f>
        <v/>
      </c>
      <c r="O150">
        <f>IF($A150="","",SUMIFS(Campagne!$D$1:$D$28,Campagne!$C$1:$C$28,$A150))</f>
        <v/>
      </c>
      <c r="P150">
        <f>IF($A150="","",SUMIFS(Campagne!$E$1:$E$28,Campagne!$C$1:$C$28,$A150))</f>
        <v/>
      </c>
      <c r="Q150">
        <f>IF($A150="","",SUMIFS(Campagne!$F$1:$F$28,Campagne!$C$1:$C$28,$A150))</f>
        <v/>
      </c>
      <c r="R150">
        <f>IF($A150="","",SUMIFS(Campagne!$K$1:$K$28,Campagne!$C$1:$C$28,$A150))</f>
        <v/>
      </c>
      <c r="S150">
        <f>IF($A150="","",SUMIFS(Campagne!$M$1:$M$28,Campagne!$C$1:$C$28,$A150))</f>
        <v/>
      </c>
      <c r="T150">
        <f>IF($A150="","",SUMIFS(Pilotage!$K$19:$K$32,Pilotage!$A$19:$A$32,$A150)*SUMIFS(Pilotage!$J$19:$J$32,Pilotage!$A$19:$A$32,$A150)*(SUM(Pilotage!$K$19:$K$32)/SUMPRODUCT(Pilotage!$K$19:$K$32,Pilotage!$J$19:$J$32)))</f>
        <v/>
      </c>
      <c r="U150">
        <f>IF($A150="","",SUMIFS(Pilotage!$K$19:$K$32,Pilotage!$A$19:$A$32,$A150))</f>
        <v/>
      </c>
      <c r="V150">
        <f>IF($A150="","",IF($B150="V01",Cadrage!$C$22,IF($B150="V02",Cadrage!$D$22,Cadrage!$E$22)))</f>
        <v/>
      </c>
      <c r="W150">
        <f>IF($A150="","",IF($B150="V01",Cadrage!$C$23,IF($B150="V02",Cadrage!$D$23,Cadrage!$E$23)))</f>
        <v/>
      </c>
      <c r="X150">
        <f>IF($A150="","",IF($B150="V01",Cadrage!$C$24,IF($B150="V02",Cadrage!$D$24,Cadrage!$E$24)))</f>
        <v/>
      </c>
      <c r="Y150">
        <f>IF($A150="","",IF($B150="V01",Cadrage!$C$25,IF($B150="V02",Cadrage!$D$25,Cadrage!$E$25)))</f>
        <v/>
      </c>
      <c r="Z150">
        <f>IF($A150="","",IF($B150="V01",Cadrage!$C$26,IF($B150="V02",Cadrage!$D$26,Cadrage!$E$26)))</f>
        <v/>
      </c>
      <c r="AA150">
        <f>IF($A150="","",IF($B150="V01",Cadrage!$C$27,IF($B150="V02",Cadrage!$D$27,Cadrage!$E$27)))</f>
        <v/>
      </c>
      <c r="AB150">
        <f>IF($A150="","",IF($B150="V01",Cadrage!$C$39,IF($B150="V02",Cadrage!$D$39,Cadrage!$E$39)))</f>
        <v/>
      </c>
      <c r="AC150">
        <f>IF($A150="","",IF($F150="MBWAY",Cadrage!$K$11,IF($F150="ISCOM",Cadrage!$K$12,IF($F150="IPAC",Cadrage!$K$13,IF($F150="PIGIER",Cadrage!$K$14,Cadrage!$K$15)))))</f>
        <v/>
      </c>
      <c r="AD150">
        <f>IF($A150="","",($O150*(1+$W150)^$S150+$P150*IFERROR((($T150/$U150)*(1+$V150))^$R150,0))*IFERROR($G150/$Q150,0)*($J150+$Y150)*$K150*($L150+$Z150))</f>
        <v/>
      </c>
      <c r="AE150">
        <f>IF($A150="","",IF($N150=1,$AD150,0))</f>
        <v/>
      </c>
      <c r="AF150">
        <f>IF($A150="","",IF($N150=1,$AD150,$H150*($M150+$AA150)))</f>
        <v/>
      </c>
      <c r="AG150">
        <f>IF($A150="","",$I150*(1+$X150*$AC150))</f>
        <v/>
      </c>
      <c r="AH150">
        <f>IF($A150="","",$AF150*$AG150+$AE150*$AB150)</f>
        <v/>
      </c>
    </row>
    <row r="151">
      <c r="A151">
        <f>IF(Moteur!D151="","",Moteur!D151)</f>
        <v/>
      </c>
      <c r="B151">
        <f>IF(Moteur!B151="","",Moteur!B151)</f>
        <v/>
      </c>
      <c r="C151">
        <f>IF(Moteur!F151="","",Moteur!F151)</f>
        <v/>
      </c>
      <c r="D151">
        <f>IF(Moteur!G151="","",Moteur!G151)</f>
        <v/>
      </c>
      <c r="E151">
        <f>IF(Moteur!H151="","",Moteur!H151)</f>
        <v/>
      </c>
      <c r="F151">
        <f>IF(Moteur!E151="","",Moteur!E151)</f>
        <v/>
      </c>
      <c r="G151">
        <f>IF($A151="","",SUMIFS(Socle!$H$1:$H$379,Socle!$C$1:$C$379,$A151,Socle!$D$1:$D$379,$C151,Socle!$E$1:$E$379,$D151,Socle!$F$1:$F$379,$E151,Socle!$G$1:$G$379,"2026"))</f>
        <v/>
      </c>
      <c r="H151">
        <f>IF($A151="","",SUMIFS(Socle!$N$1:$N$379,Socle!$C$1:$C$379,$A151,Socle!$D$1:$D$379,$C151,Socle!$E$1:$E$379,$D151,Socle!$F$1:$F$379,$E151,Socle!$G$1:$G$379,"2026"))</f>
        <v/>
      </c>
      <c r="I151">
        <f>IF($A151="","",SUMIFS(Socle!$P$1:$P$379,Socle!$C$1:$C$379,$A151,Socle!$D$1:$D$379,$C151,Socle!$E$1:$E$379,$D151,Socle!$F$1:$F$379,$E151,Socle!$G$1:$G$379,"2026"))</f>
        <v/>
      </c>
      <c r="J151">
        <f>IF($A151="","",SUMIFS(Socle!$W$1:$W$379,Socle!$C$1:$C$379,$A151,Socle!$D$1:$D$379,$C151,Socle!$E$1:$E$379,$D151,Socle!$F$1:$F$379,$E151,Socle!$G$1:$G$379,"2026"))</f>
        <v/>
      </c>
      <c r="K151">
        <f>IF($A151="","",SUMIFS(Socle!$X$1:$X$379,Socle!$C$1:$C$379,$A151,Socle!$D$1:$D$379,$C151,Socle!$E$1:$E$379,$D151,Socle!$F$1:$F$379,$E151,Socle!$G$1:$G$379,"2026"))</f>
        <v/>
      </c>
      <c r="L151">
        <f>IF($A151="","",SUMIFS(Socle!$Y$1:$Y$379,Socle!$C$1:$C$379,$A151,Socle!$D$1:$D$379,$C151,Socle!$E$1:$E$379,$D151,Socle!$F$1:$F$379,$E151,Socle!$G$1:$G$379,"2026"))</f>
        <v/>
      </c>
      <c r="M151">
        <f>IF($A151="","",SUMIFS(Socle!$V$1:$V$379,Socle!$C$1:$C$379,$A151,Socle!$D$1:$D$379,$C151,Socle!$E$1:$E$379,$D151,Socle!$F$1:$F$379,$E151,Socle!$G$1:$G$379,"2026"))</f>
        <v/>
      </c>
      <c r="N151">
        <f>IF($A151="","",IF(OR($D151="B1",$D151="M1",$D151="BTS1"),1,0))</f>
        <v/>
      </c>
      <c r="O151">
        <f>IF($A151="","",SUMIFS(Campagne!$D$1:$D$28,Campagne!$C$1:$C$28,$A151))</f>
        <v/>
      </c>
      <c r="P151">
        <f>IF($A151="","",SUMIFS(Campagne!$E$1:$E$28,Campagne!$C$1:$C$28,$A151))</f>
        <v/>
      </c>
      <c r="Q151">
        <f>IF($A151="","",SUMIFS(Campagne!$F$1:$F$28,Campagne!$C$1:$C$28,$A151))</f>
        <v/>
      </c>
      <c r="R151">
        <f>IF($A151="","",SUMIFS(Campagne!$K$1:$K$28,Campagne!$C$1:$C$28,$A151))</f>
        <v/>
      </c>
      <c r="S151">
        <f>IF($A151="","",SUMIFS(Campagne!$M$1:$M$28,Campagne!$C$1:$C$28,$A151))</f>
        <v/>
      </c>
      <c r="T151">
        <f>IF($A151="","",SUMIFS(Pilotage!$K$19:$K$32,Pilotage!$A$19:$A$32,$A151)*SUMIFS(Pilotage!$J$19:$J$32,Pilotage!$A$19:$A$32,$A151)*(SUM(Pilotage!$K$19:$K$32)/SUMPRODUCT(Pilotage!$K$19:$K$32,Pilotage!$J$19:$J$32)))</f>
        <v/>
      </c>
      <c r="U151">
        <f>IF($A151="","",SUMIFS(Pilotage!$K$19:$K$32,Pilotage!$A$19:$A$32,$A151))</f>
        <v/>
      </c>
      <c r="V151">
        <f>IF($A151="","",IF($B151="V01",Cadrage!$C$22,IF($B151="V02",Cadrage!$D$22,Cadrage!$E$22)))</f>
        <v/>
      </c>
      <c r="W151">
        <f>IF($A151="","",IF($B151="V01",Cadrage!$C$23,IF($B151="V02",Cadrage!$D$23,Cadrage!$E$23)))</f>
        <v/>
      </c>
      <c r="X151">
        <f>IF($A151="","",IF($B151="V01",Cadrage!$C$24,IF($B151="V02",Cadrage!$D$24,Cadrage!$E$24)))</f>
        <v/>
      </c>
      <c r="Y151">
        <f>IF($A151="","",IF($B151="V01",Cadrage!$C$25,IF($B151="V02",Cadrage!$D$25,Cadrage!$E$25)))</f>
        <v/>
      </c>
      <c r="Z151">
        <f>IF($A151="","",IF($B151="V01",Cadrage!$C$26,IF($B151="V02",Cadrage!$D$26,Cadrage!$E$26)))</f>
        <v/>
      </c>
      <c r="AA151">
        <f>IF($A151="","",IF($B151="V01",Cadrage!$C$27,IF($B151="V02",Cadrage!$D$27,Cadrage!$E$27)))</f>
        <v/>
      </c>
      <c r="AB151">
        <f>IF($A151="","",IF($B151="V01",Cadrage!$C$39,IF($B151="V02",Cadrage!$D$39,Cadrage!$E$39)))</f>
        <v/>
      </c>
      <c r="AC151">
        <f>IF($A151="","",IF($F151="MBWAY",Cadrage!$K$11,IF($F151="ISCOM",Cadrage!$K$12,IF($F151="IPAC",Cadrage!$K$13,IF($F151="PIGIER",Cadrage!$K$14,Cadrage!$K$15)))))</f>
        <v/>
      </c>
      <c r="AD151">
        <f>IF($A151="","",($O151*(1+$W151)^$S151+$P151*IFERROR((($T151/$U151)*(1+$V151))^$R151,0))*IFERROR($G151/$Q151,0)*($J151+$Y151)*$K151*($L151+$Z151))</f>
        <v/>
      </c>
      <c r="AE151">
        <f>IF($A151="","",IF($N151=1,$AD151,0))</f>
        <v/>
      </c>
      <c r="AF151">
        <f>IF($A151="","",IF($N151=1,$AD151,$H151*($M151+$AA151)))</f>
        <v/>
      </c>
      <c r="AG151">
        <f>IF($A151="","",$I151*(1+$X151*$AC151))</f>
        <v/>
      </c>
      <c r="AH151">
        <f>IF($A151="","",$AF151*$AG151+$AE151*$AB151)</f>
        <v/>
      </c>
    </row>
    <row r="152">
      <c r="A152">
        <f>IF(Moteur!D152="","",Moteur!D152)</f>
        <v/>
      </c>
      <c r="B152">
        <f>IF(Moteur!B152="","",Moteur!B152)</f>
        <v/>
      </c>
      <c r="C152">
        <f>IF(Moteur!F152="","",Moteur!F152)</f>
        <v/>
      </c>
      <c r="D152">
        <f>IF(Moteur!G152="","",Moteur!G152)</f>
        <v/>
      </c>
      <c r="E152">
        <f>IF(Moteur!H152="","",Moteur!H152)</f>
        <v/>
      </c>
      <c r="F152">
        <f>IF(Moteur!E152="","",Moteur!E152)</f>
        <v/>
      </c>
      <c r="G152">
        <f>IF($A152="","",SUMIFS(Socle!$H$1:$H$379,Socle!$C$1:$C$379,$A152,Socle!$D$1:$D$379,$C152,Socle!$E$1:$E$379,$D152,Socle!$F$1:$F$379,$E152,Socle!$G$1:$G$379,"2026"))</f>
        <v/>
      </c>
      <c r="H152">
        <f>IF($A152="","",SUMIFS(Socle!$N$1:$N$379,Socle!$C$1:$C$379,$A152,Socle!$D$1:$D$379,$C152,Socle!$E$1:$E$379,$D152,Socle!$F$1:$F$379,$E152,Socle!$G$1:$G$379,"2026"))</f>
        <v/>
      </c>
      <c r="I152">
        <f>IF($A152="","",SUMIFS(Socle!$P$1:$P$379,Socle!$C$1:$C$379,$A152,Socle!$D$1:$D$379,$C152,Socle!$E$1:$E$379,$D152,Socle!$F$1:$F$379,$E152,Socle!$G$1:$G$379,"2026"))</f>
        <v/>
      </c>
      <c r="J152">
        <f>IF($A152="","",SUMIFS(Socle!$W$1:$W$379,Socle!$C$1:$C$379,$A152,Socle!$D$1:$D$379,$C152,Socle!$E$1:$E$379,$D152,Socle!$F$1:$F$379,$E152,Socle!$G$1:$G$379,"2026"))</f>
        <v/>
      </c>
      <c r="K152">
        <f>IF($A152="","",SUMIFS(Socle!$X$1:$X$379,Socle!$C$1:$C$379,$A152,Socle!$D$1:$D$379,$C152,Socle!$E$1:$E$379,$D152,Socle!$F$1:$F$379,$E152,Socle!$G$1:$G$379,"2026"))</f>
        <v/>
      </c>
      <c r="L152">
        <f>IF($A152="","",SUMIFS(Socle!$Y$1:$Y$379,Socle!$C$1:$C$379,$A152,Socle!$D$1:$D$379,$C152,Socle!$E$1:$E$379,$D152,Socle!$F$1:$F$379,$E152,Socle!$G$1:$G$379,"2026"))</f>
        <v/>
      </c>
      <c r="M152">
        <f>IF($A152="","",SUMIFS(Socle!$V$1:$V$379,Socle!$C$1:$C$379,$A152,Socle!$D$1:$D$379,$C152,Socle!$E$1:$E$379,$D152,Socle!$F$1:$F$379,$E152,Socle!$G$1:$G$379,"2026"))</f>
        <v/>
      </c>
      <c r="N152">
        <f>IF($A152="","",IF(OR($D152="B1",$D152="M1",$D152="BTS1"),1,0))</f>
        <v/>
      </c>
      <c r="O152">
        <f>IF($A152="","",SUMIFS(Campagne!$D$1:$D$28,Campagne!$C$1:$C$28,$A152))</f>
        <v/>
      </c>
      <c r="P152">
        <f>IF($A152="","",SUMIFS(Campagne!$E$1:$E$28,Campagne!$C$1:$C$28,$A152))</f>
        <v/>
      </c>
      <c r="Q152">
        <f>IF($A152="","",SUMIFS(Campagne!$F$1:$F$28,Campagne!$C$1:$C$28,$A152))</f>
        <v/>
      </c>
      <c r="R152">
        <f>IF($A152="","",SUMIFS(Campagne!$K$1:$K$28,Campagne!$C$1:$C$28,$A152))</f>
        <v/>
      </c>
      <c r="S152">
        <f>IF($A152="","",SUMIFS(Campagne!$M$1:$M$28,Campagne!$C$1:$C$28,$A152))</f>
        <v/>
      </c>
      <c r="T152">
        <f>IF($A152="","",SUMIFS(Pilotage!$K$19:$K$32,Pilotage!$A$19:$A$32,$A152)*SUMIFS(Pilotage!$J$19:$J$32,Pilotage!$A$19:$A$32,$A152)*(SUM(Pilotage!$K$19:$K$32)/SUMPRODUCT(Pilotage!$K$19:$K$32,Pilotage!$J$19:$J$32)))</f>
        <v/>
      </c>
      <c r="U152">
        <f>IF($A152="","",SUMIFS(Pilotage!$K$19:$K$32,Pilotage!$A$19:$A$32,$A152))</f>
        <v/>
      </c>
      <c r="V152">
        <f>IF($A152="","",IF($B152="V01",Cadrage!$C$22,IF($B152="V02",Cadrage!$D$22,Cadrage!$E$22)))</f>
        <v/>
      </c>
      <c r="W152">
        <f>IF($A152="","",IF($B152="V01",Cadrage!$C$23,IF($B152="V02",Cadrage!$D$23,Cadrage!$E$23)))</f>
        <v/>
      </c>
      <c r="X152">
        <f>IF($A152="","",IF($B152="V01",Cadrage!$C$24,IF($B152="V02",Cadrage!$D$24,Cadrage!$E$24)))</f>
        <v/>
      </c>
      <c r="Y152">
        <f>IF($A152="","",IF($B152="V01",Cadrage!$C$25,IF($B152="V02",Cadrage!$D$25,Cadrage!$E$25)))</f>
        <v/>
      </c>
      <c r="Z152">
        <f>IF($A152="","",IF($B152="V01",Cadrage!$C$26,IF($B152="V02",Cadrage!$D$26,Cadrage!$E$26)))</f>
        <v/>
      </c>
      <c r="AA152">
        <f>IF($A152="","",IF($B152="V01",Cadrage!$C$27,IF($B152="V02",Cadrage!$D$27,Cadrage!$E$27)))</f>
        <v/>
      </c>
      <c r="AB152">
        <f>IF($A152="","",IF($B152="V01",Cadrage!$C$39,IF($B152="V02",Cadrage!$D$39,Cadrage!$E$39)))</f>
        <v/>
      </c>
      <c r="AC152">
        <f>IF($A152="","",IF($F152="MBWAY",Cadrage!$K$11,IF($F152="ISCOM",Cadrage!$K$12,IF($F152="IPAC",Cadrage!$K$13,IF($F152="PIGIER",Cadrage!$K$14,Cadrage!$K$15)))))</f>
        <v/>
      </c>
      <c r="AD152">
        <f>IF($A152="","",($O152*(1+$W152)^$S152+$P152*IFERROR((($T152/$U152)*(1+$V152))^$R152,0))*IFERROR($G152/$Q152,0)*($J152+$Y152)*$K152*($L152+$Z152))</f>
        <v/>
      </c>
      <c r="AE152">
        <f>IF($A152="","",IF($N152=1,$AD152,0))</f>
        <v/>
      </c>
      <c r="AF152">
        <f>IF($A152="","",IF($N152=1,$AD152,$H152*($M152+$AA152)))</f>
        <v/>
      </c>
      <c r="AG152">
        <f>IF($A152="","",$I152*(1+$X152*$AC152))</f>
        <v/>
      </c>
      <c r="AH152">
        <f>IF($A152="","",$AF152*$AG152+$AE152*$AB152)</f>
        <v/>
      </c>
    </row>
    <row r="153">
      <c r="A153">
        <f>IF(Moteur!D153="","",Moteur!D153)</f>
        <v/>
      </c>
      <c r="B153">
        <f>IF(Moteur!B153="","",Moteur!B153)</f>
        <v/>
      </c>
      <c r="C153">
        <f>IF(Moteur!F153="","",Moteur!F153)</f>
        <v/>
      </c>
      <c r="D153">
        <f>IF(Moteur!G153="","",Moteur!G153)</f>
        <v/>
      </c>
      <c r="E153">
        <f>IF(Moteur!H153="","",Moteur!H153)</f>
        <v/>
      </c>
      <c r="F153">
        <f>IF(Moteur!E153="","",Moteur!E153)</f>
        <v/>
      </c>
      <c r="G153">
        <f>IF($A153="","",SUMIFS(Socle!$H$1:$H$379,Socle!$C$1:$C$379,$A153,Socle!$D$1:$D$379,$C153,Socle!$E$1:$E$379,$D153,Socle!$F$1:$F$379,$E153,Socle!$G$1:$G$379,"2026"))</f>
        <v/>
      </c>
      <c r="H153">
        <f>IF($A153="","",SUMIFS(Socle!$N$1:$N$379,Socle!$C$1:$C$379,$A153,Socle!$D$1:$D$379,$C153,Socle!$E$1:$E$379,$D153,Socle!$F$1:$F$379,$E153,Socle!$G$1:$G$379,"2026"))</f>
        <v/>
      </c>
      <c r="I153">
        <f>IF($A153="","",SUMIFS(Socle!$P$1:$P$379,Socle!$C$1:$C$379,$A153,Socle!$D$1:$D$379,$C153,Socle!$E$1:$E$379,$D153,Socle!$F$1:$F$379,$E153,Socle!$G$1:$G$379,"2026"))</f>
        <v/>
      </c>
      <c r="J153">
        <f>IF($A153="","",SUMIFS(Socle!$W$1:$W$379,Socle!$C$1:$C$379,$A153,Socle!$D$1:$D$379,$C153,Socle!$E$1:$E$379,$D153,Socle!$F$1:$F$379,$E153,Socle!$G$1:$G$379,"2026"))</f>
        <v/>
      </c>
      <c r="K153">
        <f>IF($A153="","",SUMIFS(Socle!$X$1:$X$379,Socle!$C$1:$C$379,$A153,Socle!$D$1:$D$379,$C153,Socle!$E$1:$E$379,$D153,Socle!$F$1:$F$379,$E153,Socle!$G$1:$G$379,"2026"))</f>
        <v/>
      </c>
      <c r="L153">
        <f>IF($A153="","",SUMIFS(Socle!$Y$1:$Y$379,Socle!$C$1:$C$379,$A153,Socle!$D$1:$D$379,$C153,Socle!$E$1:$E$379,$D153,Socle!$F$1:$F$379,$E153,Socle!$G$1:$G$379,"2026"))</f>
        <v/>
      </c>
      <c r="M153">
        <f>IF($A153="","",SUMIFS(Socle!$V$1:$V$379,Socle!$C$1:$C$379,$A153,Socle!$D$1:$D$379,$C153,Socle!$E$1:$E$379,$D153,Socle!$F$1:$F$379,$E153,Socle!$G$1:$G$379,"2026"))</f>
        <v/>
      </c>
      <c r="N153">
        <f>IF($A153="","",IF(OR($D153="B1",$D153="M1",$D153="BTS1"),1,0))</f>
        <v/>
      </c>
      <c r="O153">
        <f>IF($A153="","",SUMIFS(Campagne!$D$1:$D$28,Campagne!$C$1:$C$28,$A153))</f>
        <v/>
      </c>
      <c r="P153">
        <f>IF($A153="","",SUMIFS(Campagne!$E$1:$E$28,Campagne!$C$1:$C$28,$A153))</f>
        <v/>
      </c>
      <c r="Q153">
        <f>IF($A153="","",SUMIFS(Campagne!$F$1:$F$28,Campagne!$C$1:$C$28,$A153))</f>
        <v/>
      </c>
      <c r="R153">
        <f>IF($A153="","",SUMIFS(Campagne!$K$1:$K$28,Campagne!$C$1:$C$28,$A153))</f>
        <v/>
      </c>
      <c r="S153">
        <f>IF($A153="","",SUMIFS(Campagne!$M$1:$M$28,Campagne!$C$1:$C$28,$A153))</f>
        <v/>
      </c>
      <c r="T153">
        <f>IF($A153="","",SUMIFS(Pilotage!$K$19:$K$32,Pilotage!$A$19:$A$32,$A153)*SUMIFS(Pilotage!$J$19:$J$32,Pilotage!$A$19:$A$32,$A153)*(SUM(Pilotage!$K$19:$K$32)/SUMPRODUCT(Pilotage!$K$19:$K$32,Pilotage!$J$19:$J$32)))</f>
        <v/>
      </c>
      <c r="U153">
        <f>IF($A153="","",SUMIFS(Pilotage!$K$19:$K$32,Pilotage!$A$19:$A$32,$A153))</f>
        <v/>
      </c>
      <c r="V153">
        <f>IF($A153="","",IF($B153="V01",Cadrage!$C$22,IF($B153="V02",Cadrage!$D$22,Cadrage!$E$22)))</f>
        <v/>
      </c>
      <c r="W153">
        <f>IF($A153="","",IF($B153="V01",Cadrage!$C$23,IF($B153="V02",Cadrage!$D$23,Cadrage!$E$23)))</f>
        <v/>
      </c>
      <c r="X153">
        <f>IF($A153="","",IF($B153="V01",Cadrage!$C$24,IF($B153="V02",Cadrage!$D$24,Cadrage!$E$24)))</f>
        <v/>
      </c>
      <c r="Y153">
        <f>IF($A153="","",IF($B153="V01",Cadrage!$C$25,IF($B153="V02",Cadrage!$D$25,Cadrage!$E$25)))</f>
        <v/>
      </c>
      <c r="Z153">
        <f>IF($A153="","",IF($B153="V01",Cadrage!$C$26,IF($B153="V02",Cadrage!$D$26,Cadrage!$E$26)))</f>
        <v/>
      </c>
      <c r="AA153">
        <f>IF($A153="","",IF($B153="V01",Cadrage!$C$27,IF($B153="V02",Cadrage!$D$27,Cadrage!$E$27)))</f>
        <v/>
      </c>
      <c r="AB153">
        <f>IF($A153="","",IF($B153="V01",Cadrage!$C$39,IF($B153="V02",Cadrage!$D$39,Cadrage!$E$39)))</f>
        <v/>
      </c>
      <c r="AC153">
        <f>IF($A153="","",IF($F153="MBWAY",Cadrage!$K$11,IF($F153="ISCOM",Cadrage!$K$12,IF($F153="IPAC",Cadrage!$K$13,IF($F153="PIGIER",Cadrage!$K$14,Cadrage!$K$15)))))</f>
        <v/>
      </c>
      <c r="AD153">
        <f>IF($A153="","",($O153*(1+$W153)^$S153+$P153*IFERROR((($T153/$U153)*(1+$V153))^$R153,0))*IFERROR($G153/$Q153,0)*($J153+$Y153)*$K153*($L153+$Z153))</f>
        <v/>
      </c>
      <c r="AE153">
        <f>IF($A153="","",IF($N153=1,$AD153,0))</f>
        <v/>
      </c>
      <c r="AF153">
        <f>IF($A153="","",IF($N153=1,$AD153,$H153*($M153+$AA153)))</f>
        <v/>
      </c>
      <c r="AG153">
        <f>IF($A153="","",$I153*(1+$X153*$AC153))</f>
        <v/>
      </c>
      <c r="AH153">
        <f>IF($A153="","",$AF153*$AG153+$AE153*$AB153)</f>
        <v/>
      </c>
    </row>
    <row r="154">
      <c r="A154">
        <f>IF(Moteur!D154="","",Moteur!D154)</f>
        <v/>
      </c>
      <c r="B154">
        <f>IF(Moteur!B154="","",Moteur!B154)</f>
        <v/>
      </c>
      <c r="C154">
        <f>IF(Moteur!F154="","",Moteur!F154)</f>
        <v/>
      </c>
      <c r="D154">
        <f>IF(Moteur!G154="","",Moteur!G154)</f>
        <v/>
      </c>
      <c r="E154">
        <f>IF(Moteur!H154="","",Moteur!H154)</f>
        <v/>
      </c>
      <c r="F154">
        <f>IF(Moteur!E154="","",Moteur!E154)</f>
        <v/>
      </c>
      <c r="G154">
        <f>IF($A154="","",SUMIFS(Socle!$H$1:$H$379,Socle!$C$1:$C$379,$A154,Socle!$D$1:$D$379,$C154,Socle!$E$1:$E$379,$D154,Socle!$F$1:$F$379,$E154,Socle!$G$1:$G$379,"2026"))</f>
        <v/>
      </c>
      <c r="H154">
        <f>IF($A154="","",SUMIFS(Socle!$N$1:$N$379,Socle!$C$1:$C$379,$A154,Socle!$D$1:$D$379,$C154,Socle!$E$1:$E$379,$D154,Socle!$F$1:$F$379,$E154,Socle!$G$1:$G$379,"2026"))</f>
        <v/>
      </c>
      <c r="I154">
        <f>IF($A154="","",SUMIFS(Socle!$P$1:$P$379,Socle!$C$1:$C$379,$A154,Socle!$D$1:$D$379,$C154,Socle!$E$1:$E$379,$D154,Socle!$F$1:$F$379,$E154,Socle!$G$1:$G$379,"2026"))</f>
        <v/>
      </c>
      <c r="J154">
        <f>IF($A154="","",SUMIFS(Socle!$W$1:$W$379,Socle!$C$1:$C$379,$A154,Socle!$D$1:$D$379,$C154,Socle!$E$1:$E$379,$D154,Socle!$F$1:$F$379,$E154,Socle!$G$1:$G$379,"2026"))</f>
        <v/>
      </c>
      <c r="K154">
        <f>IF($A154="","",SUMIFS(Socle!$X$1:$X$379,Socle!$C$1:$C$379,$A154,Socle!$D$1:$D$379,$C154,Socle!$E$1:$E$379,$D154,Socle!$F$1:$F$379,$E154,Socle!$G$1:$G$379,"2026"))</f>
        <v/>
      </c>
      <c r="L154">
        <f>IF($A154="","",SUMIFS(Socle!$Y$1:$Y$379,Socle!$C$1:$C$379,$A154,Socle!$D$1:$D$379,$C154,Socle!$E$1:$E$379,$D154,Socle!$F$1:$F$379,$E154,Socle!$G$1:$G$379,"2026"))</f>
        <v/>
      </c>
      <c r="M154">
        <f>IF($A154="","",SUMIFS(Socle!$V$1:$V$379,Socle!$C$1:$C$379,$A154,Socle!$D$1:$D$379,$C154,Socle!$E$1:$E$379,$D154,Socle!$F$1:$F$379,$E154,Socle!$G$1:$G$379,"2026"))</f>
        <v/>
      </c>
      <c r="N154">
        <f>IF($A154="","",IF(OR($D154="B1",$D154="M1",$D154="BTS1"),1,0))</f>
        <v/>
      </c>
      <c r="O154">
        <f>IF($A154="","",SUMIFS(Campagne!$D$1:$D$28,Campagne!$C$1:$C$28,$A154))</f>
        <v/>
      </c>
      <c r="P154">
        <f>IF($A154="","",SUMIFS(Campagne!$E$1:$E$28,Campagne!$C$1:$C$28,$A154))</f>
        <v/>
      </c>
      <c r="Q154">
        <f>IF($A154="","",SUMIFS(Campagne!$F$1:$F$28,Campagne!$C$1:$C$28,$A154))</f>
        <v/>
      </c>
      <c r="R154">
        <f>IF($A154="","",SUMIFS(Campagne!$K$1:$K$28,Campagne!$C$1:$C$28,$A154))</f>
        <v/>
      </c>
      <c r="S154">
        <f>IF($A154="","",SUMIFS(Campagne!$M$1:$M$28,Campagne!$C$1:$C$28,$A154))</f>
        <v/>
      </c>
      <c r="T154">
        <f>IF($A154="","",SUMIFS(Pilotage!$K$19:$K$32,Pilotage!$A$19:$A$32,$A154)*SUMIFS(Pilotage!$J$19:$J$32,Pilotage!$A$19:$A$32,$A154)*(SUM(Pilotage!$K$19:$K$32)/SUMPRODUCT(Pilotage!$K$19:$K$32,Pilotage!$J$19:$J$32)))</f>
        <v/>
      </c>
      <c r="U154">
        <f>IF($A154="","",SUMIFS(Pilotage!$K$19:$K$32,Pilotage!$A$19:$A$32,$A154))</f>
        <v/>
      </c>
      <c r="V154">
        <f>IF($A154="","",IF($B154="V01",Cadrage!$C$22,IF($B154="V02",Cadrage!$D$22,Cadrage!$E$22)))</f>
        <v/>
      </c>
      <c r="W154">
        <f>IF($A154="","",IF($B154="V01",Cadrage!$C$23,IF($B154="V02",Cadrage!$D$23,Cadrage!$E$23)))</f>
        <v/>
      </c>
      <c r="X154">
        <f>IF($A154="","",IF($B154="V01",Cadrage!$C$24,IF($B154="V02",Cadrage!$D$24,Cadrage!$E$24)))</f>
        <v/>
      </c>
      <c r="Y154">
        <f>IF($A154="","",IF($B154="V01",Cadrage!$C$25,IF($B154="V02",Cadrage!$D$25,Cadrage!$E$25)))</f>
        <v/>
      </c>
      <c r="Z154">
        <f>IF($A154="","",IF($B154="V01",Cadrage!$C$26,IF($B154="V02",Cadrage!$D$26,Cadrage!$E$26)))</f>
        <v/>
      </c>
      <c r="AA154">
        <f>IF($A154="","",IF($B154="V01",Cadrage!$C$27,IF($B154="V02",Cadrage!$D$27,Cadrage!$E$27)))</f>
        <v/>
      </c>
      <c r="AB154">
        <f>IF($A154="","",IF($B154="V01",Cadrage!$C$39,IF($B154="V02",Cadrage!$D$39,Cadrage!$E$39)))</f>
        <v/>
      </c>
      <c r="AC154">
        <f>IF($A154="","",IF($F154="MBWAY",Cadrage!$K$11,IF($F154="ISCOM",Cadrage!$K$12,IF($F154="IPAC",Cadrage!$K$13,IF($F154="PIGIER",Cadrage!$K$14,Cadrage!$K$15)))))</f>
        <v/>
      </c>
      <c r="AD154">
        <f>IF($A154="","",($O154*(1+$W154)^$S154+$P154*IFERROR((($T154/$U154)*(1+$V154))^$R154,0))*IFERROR($G154/$Q154,0)*($J154+$Y154)*$K154*($L154+$Z154))</f>
        <v/>
      </c>
      <c r="AE154">
        <f>IF($A154="","",IF($N154=1,$AD154,0))</f>
        <v/>
      </c>
      <c r="AF154">
        <f>IF($A154="","",IF($N154=1,$AD154,$H154*($M154+$AA154)))</f>
        <v/>
      </c>
      <c r="AG154">
        <f>IF($A154="","",$I154*(1+$X154*$AC154))</f>
        <v/>
      </c>
      <c r="AH154">
        <f>IF($A154="","",$AF154*$AG154+$AE154*$AB154)</f>
        <v/>
      </c>
    </row>
    <row r="155">
      <c r="A155">
        <f>IF(Moteur!D155="","",Moteur!D155)</f>
        <v/>
      </c>
      <c r="B155">
        <f>IF(Moteur!B155="","",Moteur!B155)</f>
        <v/>
      </c>
      <c r="C155">
        <f>IF(Moteur!F155="","",Moteur!F155)</f>
        <v/>
      </c>
      <c r="D155">
        <f>IF(Moteur!G155="","",Moteur!G155)</f>
        <v/>
      </c>
      <c r="E155">
        <f>IF(Moteur!H155="","",Moteur!H155)</f>
        <v/>
      </c>
      <c r="F155">
        <f>IF(Moteur!E155="","",Moteur!E155)</f>
        <v/>
      </c>
      <c r="G155">
        <f>IF($A155="","",SUMIFS(Socle!$H$1:$H$379,Socle!$C$1:$C$379,$A155,Socle!$D$1:$D$379,$C155,Socle!$E$1:$E$379,$D155,Socle!$F$1:$F$379,$E155,Socle!$G$1:$G$379,"2026"))</f>
        <v/>
      </c>
      <c r="H155">
        <f>IF($A155="","",SUMIFS(Socle!$N$1:$N$379,Socle!$C$1:$C$379,$A155,Socle!$D$1:$D$379,$C155,Socle!$E$1:$E$379,$D155,Socle!$F$1:$F$379,$E155,Socle!$G$1:$G$379,"2026"))</f>
        <v/>
      </c>
      <c r="I155">
        <f>IF($A155="","",SUMIFS(Socle!$P$1:$P$379,Socle!$C$1:$C$379,$A155,Socle!$D$1:$D$379,$C155,Socle!$E$1:$E$379,$D155,Socle!$F$1:$F$379,$E155,Socle!$G$1:$G$379,"2026"))</f>
        <v/>
      </c>
      <c r="J155">
        <f>IF($A155="","",SUMIFS(Socle!$W$1:$W$379,Socle!$C$1:$C$379,$A155,Socle!$D$1:$D$379,$C155,Socle!$E$1:$E$379,$D155,Socle!$F$1:$F$379,$E155,Socle!$G$1:$G$379,"2026"))</f>
        <v/>
      </c>
      <c r="K155">
        <f>IF($A155="","",SUMIFS(Socle!$X$1:$X$379,Socle!$C$1:$C$379,$A155,Socle!$D$1:$D$379,$C155,Socle!$E$1:$E$379,$D155,Socle!$F$1:$F$379,$E155,Socle!$G$1:$G$379,"2026"))</f>
        <v/>
      </c>
      <c r="L155">
        <f>IF($A155="","",SUMIFS(Socle!$Y$1:$Y$379,Socle!$C$1:$C$379,$A155,Socle!$D$1:$D$379,$C155,Socle!$E$1:$E$379,$D155,Socle!$F$1:$F$379,$E155,Socle!$G$1:$G$379,"2026"))</f>
        <v/>
      </c>
      <c r="M155">
        <f>IF($A155="","",SUMIFS(Socle!$V$1:$V$379,Socle!$C$1:$C$379,$A155,Socle!$D$1:$D$379,$C155,Socle!$E$1:$E$379,$D155,Socle!$F$1:$F$379,$E155,Socle!$G$1:$G$379,"2026"))</f>
        <v/>
      </c>
      <c r="N155">
        <f>IF($A155="","",IF(OR($D155="B1",$D155="M1",$D155="BTS1"),1,0))</f>
        <v/>
      </c>
      <c r="O155">
        <f>IF($A155="","",SUMIFS(Campagne!$D$1:$D$28,Campagne!$C$1:$C$28,$A155))</f>
        <v/>
      </c>
      <c r="P155">
        <f>IF($A155="","",SUMIFS(Campagne!$E$1:$E$28,Campagne!$C$1:$C$28,$A155))</f>
        <v/>
      </c>
      <c r="Q155">
        <f>IF($A155="","",SUMIFS(Campagne!$F$1:$F$28,Campagne!$C$1:$C$28,$A155))</f>
        <v/>
      </c>
      <c r="R155">
        <f>IF($A155="","",SUMIFS(Campagne!$K$1:$K$28,Campagne!$C$1:$C$28,$A155))</f>
        <v/>
      </c>
      <c r="S155">
        <f>IF($A155="","",SUMIFS(Campagne!$M$1:$M$28,Campagne!$C$1:$C$28,$A155))</f>
        <v/>
      </c>
      <c r="T155">
        <f>IF($A155="","",SUMIFS(Pilotage!$K$19:$K$32,Pilotage!$A$19:$A$32,$A155)*SUMIFS(Pilotage!$J$19:$J$32,Pilotage!$A$19:$A$32,$A155)*(SUM(Pilotage!$K$19:$K$32)/SUMPRODUCT(Pilotage!$K$19:$K$32,Pilotage!$J$19:$J$32)))</f>
        <v/>
      </c>
      <c r="U155">
        <f>IF($A155="","",SUMIFS(Pilotage!$K$19:$K$32,Pilotage!$A$19:$A$32,$A155))</f>
        <v/>
      </c>
      <c r="V155">
        <f>IF($A155="","",IF($B155="V01",Cadrage!$C$22,IF($B155="V02",Cadrage!$D$22,Cadrage!$E$22)))</f>
        <v/>
      </c>
      <c r="W155">
        <f>IF($A155="","",IF($B155="V01",Cadrage!$C$23,IF($B155="V02",Cadrage!$D$23,Cadrage!$E$23)))</f>
        <v/>
      </c>
      <c r="X155">
        <f>IF($A155="","",IF($B155="V01",Cadrage!$C$24,IF($B155="V02",Cadrage!$D$24,Cadrage!$E$24)))</f>
        <v/>
      </c>
      <c r="Y155">
        <f>IF($A155="","",IF($B155="V01",Cadrage!$C$25,IF($B155="V02",Cadrage!$D$25,Cadrage!$E$25)))</f>
        <v/>
      </c>
      <c r="Z155">
        <f>IF($A155="","",IF($B155="V01",Cadrage!$C$26,IF($B155="V02",Cadrage!$D$26,Cadrage!$E$26)))</f>
        <v/>
      </c>
      <c r="AA155">
        <f>IF($A155="","",IF($B155="V01",Cadrage!$C$27,IF($B155="V02",Cadrage!$D$27,Cadrage!$E$27)))</f>
        <v/>
      </c>
      <c r="AB155">
        <f>IF($A155="","",IF($B155="V01",Cadrage!$C$39,IF($B155="V02",Cadrage!$D$39,Cadrage!$E$39)))</f>
        <v/>
      </c>
      <c r="AC155">
        <f>IF($A155="","",IF($F155="MBWAY",Cadrage!$K$11,IF($F155="ISCOM",Cadrage!$K$12,IF($F155="IPAC",Cadrage!$K$13,IF($F155="PIGIER",Cadrage!$K$14,Cadrage!$K$15)))))</f>
        <v/>
      </c>
      <c r="AD155">
        <f>IF($A155="","",($O155*(1+$W155)^$S155+$P155*IFERROR((($T155/$U155)*(1+$V155))^$R155,0))*IFERROR($G155/$Q155,0)*($J155+$Y155)*$K155*($L155+$Z155))</f>
        <v/>
      </c>
      <c r="AE155">
        <f>IF($A155="","",IF($N155=1,$AD155,0))</f>
        <v/>
      </c>
      <c r="AF155">
        <f>IF($A155="","",IF($N155=1,$AD155,$H155*($M155+$AA155)))</f>
        <v/>
      </c>
      <c r="AG155">
        <f>IF($A155="","",$I155*(1+$X155*$AC155))</f>
        <v/>
      </c>
      <c r="AH155">
        <f>IF($A155="","",$AF155*$AG155+$AE155*$AB155)</f>
        <v/>
      </c>
    </row>
    <row r="156">
      <c r="A156">
        <f>IF(Moteur!D156="","",Moteur!D156)</f>
        <v/>
      </c>
      <c r="B156">
        <f>IF(Moteur!B156="","",Moteur!B156)</f>
        <v/>
      </c>
      <c r="C156">
        <f>IF(Moteur!F156="","",Moteur!F156)</f>
        <v/>
      </c>
      <c r="D156">
        <f>IF(Moteur!G156="","",Moteur!G156)</f>
        <v/>
      </c>
      <c r="E156">
        <f>IF(Moteur!H156="","",Moteur!H156)</f>
        <v/>
      </c>
      <c r="F156">
        <f>IF(Moteur!E156="","",Moteur!E156)</f>
        <v/>
      </c>
      <c r="G156">
        <f>IF($A156="","",SUMIFS(Socle!$H$1:$H$379,Socle!$C$1:$C$379,$A156,Socle!$D$1:$D$379,$C156,Socle!$E$1:$E$379,$D156,Socle!$F$1:$F$379,$E156,Socle!$G$1:$G$379,"2026"))</f>
        <v/>
      </c>
      <c r="H156">
        <f>IF($A156="","",SUMIFS(Socle!$N$1:$N$379,Socle!$C$1:$C$379,$A156,Socle!$D$1:$D$379,$C156,Socle!$E$1:$E$379,$D156,Socle!$F$1:$F$379,$E156,Socle!$G$1:$G$379,"2026"))</f>
        <v/>
      </c>
      <c r="I156">
        <f>IF($A156="","",SUMIFS(Socle!$P$1:$P$379,Socle!$C$1:$C$379,$A156,Socle!$D$1:$D$379,$C156,Socle!$E$1:$E$379,$D156,Socle!$F$1:$F$379,$E156,Socle!$G$1:$G$379,"2026"))</f>
        <v/>
      </c>
      <c r="J156">
        <f>IF($A156="","",SUMIFS(Socle!$W$1:$W$379,Socle!$C$1:$C$379,$A156,Socle!$D$1:$D$379,$C156,Socle!$E$1:$E$379,$D156,Socle!$F$1:$F$379,$E156,Socle!$G$1:$G$379,"2026"))</f>
        <v/>
      </c>
      <c r="K156">
        <f>IF($A156="","",SUMIFS(Socle!$X$1:$X$379,Socle!$C$1:$C$379,$A156,Socle!$D$1:$D$379,$C156,Socle!$E$1:$E$379,$D156,Socle!$F$1:$F$379,$E156,Socle!$G$1:$G$379,"2026"))</f>
        <v/>
      </c>
      <c r="L156">
        <f>IF($A156="","",SUMIFS(Socle!$Y$1:$Y$379,Socle!$C$1:$C$379,$A156,Socle!$D$1:$D$379,$C156,Socle!$E$1:$E$379,$D156,Socle!$F$1:$F$379,$E156,Socle!$G$1:$G$379,"2026"))</f>
        <v/>
      </c>
      <c r="M156">
        <f>IF($A156="","",SUMIFS(Socle!$V$1:$V$379,Socle!$C$1:$C$379,$A156,Socle!$D$1:$D$379,$C156,Socle!$E$1:$E$379,$D156,Socle!$F$1:$F$379,$E156,Socle!$G$1:$G$379,"2026"))</f>
        <v/>
      </c>
      <c r="N156">
        <f>IF($A156="","",IF(OR($D156="B1",$D156="M1",$D156="BTS1"),1,0))</f>
        <v/>
      </c>
      <c r="O156">
        <f>IF($A156="","",SUMIFS(Campagne!$D$1:$D$28,Campagne!$C$1:$C$28,$A156))</f>
        <v/>
      </c>
      <c r="P156">
        <f>IF($A156="","",SUMIFS(Campagne!$E$1:$E$28,Campagne!$C$1:$C$28,$A156))</f>
        <v/>
      </c>
      <c r="Q156">
        <f>IF($A156="","",SUMIFS(Campagne!$F$1:$F$28,Campagne!$C$1:$C$28,$A156))</f>
        <v/>
      </c>
      <c r="R156">
        <f>IF($A156="","",SUMIFS(Campagne!$K$1:$K$28,Campagne!$C$1:$C$28,$A156))</f>
        <v/>
      </c>
      <c r="S156">
        <f>IF($A156="","",SUMIFS(Campagne!$M$1:$M$28,Campagne!$C$1:$C$28,$A156))</f>
        <v/>
      </c>
      <c r="T156">
        <f>IF($A156="","",SUMIFS(Pilotage!$K$19:$K$32,Pilotage!$A$19:$A$32,$A156)*SUMIFS(Pilotage!$J$19:$J$32,Pilotage!$A$19:$A$32,$A156)*(SUM(Pilotage!$K$19:$K$32)/SUMPRODUCT(Pilotage!$K$19:$K$32,Pilotage!$J$19:$J$32)))</f>
        <v/>
      </c>
      <c r="U156">
        <f>IF($A156="","",SUMIFS(Pilotage!$K$19:$K$32,Pilotage!$A$19:$A$32,$A156))</f>
        <v/>
      </c>
      <c r="V156">
        <f>IF($A156="","",IF($B156="V01",Cadrage!$C$22,IF($B156="V02",Cadrage!$D$22,Cadrage!$E$22)))</f>
        <v/>
      </c>
      <c r="W156">
        <f>IF($A156="","",IF($B156="V01",Cadrage!$C$23,IF($B156="V02",Cadrage!$D$23,Cadrage!$E$23)))</f>
        <v/>
      </c>
      <c r="X156">
        <f>IF($A156="","",IF($B156="V01",Cadrage!$C$24,IF($B156="V02",Cadrage!$D$24,Cadrage!$E$24)))</f>
        <v/>
      </c>
      <c r="Y156">
        <f>IF($A156="","",IF($B156="V01",Cadrage!$C$25,IF($B156="V02",Cadrage!$D$25,Cadrage!$E$25)))</f>
        <v/>
      </c>
      <c r="Z156">
        <f>IF($A156="","",IF($B156="V01",Cadrage!$C$26,IF($B156="V02",Cadrage!$D$26,Cadrage!$E$26)))</f>
        <v/>
      </c>
      <c r="AA156">
        <f>IF($A156="","",IF($B156="V01",Cadrage!$C$27,IF($B156="V02",Cadrage!$D$27,Cadrage!$E$27)))</f>
        <v/>
      </c>
      <c r="AB156">
        <f>IF($A156="","",IF($B156="V01",Cadrage!$C$39,IF($B156="V02",Cadrage!$D$39,Cadrage!$E$39)))</f>
        <v/>
      </c>
      <c r="AC156">
        <f>IF($A156="","",IF($F156="MBWAY",Cadrage!$K$11,IF($F156="ISCOM",Cadrage!$K$12,IF($F156="IPAC",Cadrage!$K$13,IF($F156="PIGIER",Cadrage!$K$14,Cadrage!$K$15)))))</f>
        <v/>
      </c>
      <c r="AD156">
        <f>IF($A156="","",($O156*(1+$W156)^$S156+$P156*IFERROR((($T156/$U156)*(1+$V156))^$R156,0))*IFERROR($G156/$Q156,0)*($J156+$Y156)*$K156*($L156+$Z156))</f>
        <v/>
      </c>
      <c r="AE156">
        <f>IF($A156="","",IF($N156=1,$AD156,0))</f>
        <v/>
      </c>
      <c r="AF156">
        <f>IF($A156="","",IF($N156=1,$AD156,$H156*($M156+$AA156)))</f>
        <v/>
      </c>
      <c r="AG156">
        <f>IF($A156="","",$I156*(1+$X156*$AC156))</f>
        <v/>
      </c>
      <c r="AH156">
        <f>IF($A156="","",$AF156*$AG156+$AE156*$AB156)</f>
        <v/>
      </c>
    </row>
    <row r="157">
      <c r="A157">
        <f>IF(Moteur!D157="","",Moteur!D157)</f>
        <v/>
      </c>
      <c r="B157">
        <f>IF(Moteur!B157="","",Moteur!B157)</f>
        <v/>
      </c>
      <c r="C157">
        <f>IF(Moteur!F157="","",Moteur!F157)</f>
        <v/>
      </c>
      <c r="D157">
        <f>IF(Moteur!G157="","",Moteur!G157)</f>
        <v/>
      </c>
      <c r="E157">
        <f>IF(Moteur!H157="","",Moteur!H157)</f>
        <v/>
      </c>
      <c r="F157">
        <f>IF(Moteur!E157="","",Moteur!E157)</f>
        <v/>
      </c>
      <c r="G157">
        <f>IF($A157="","",SUMIFS(Socle!$H$1:$H$379,Socle!$C$1:$C$379,$A157,Socle!$D$1:$D$379,$C157,Socle!$E$1:$E$379,$D157,Socle!$F$1:$F$379,$E157,Socle!$G$1:$G$379,"2026"))</f>
        <v/>
      </c>
      <c r="H157">
        <f>IF($A157="","",SUMIFS(Socle!$N$1:$N$379,Socle!$C$1:$C$379,$A157,Socle!$D$1:$D$379,$C157,Socle!$E$1:$E$379,$D157,Socle!$F$1:$F$379,$E157,Socle!$G$1:$G$379,"2026"))</f>
        <v/>
      </c>
      <c r="I157">
        <f>IF($A157="","",SUMIFS(Socle!$P$1:$P$379,Socle!$C$1:$C$379,$A157,Socle!$D$1:$D$379,$C157,Socle!$E$1:$E$379,$D157,Socle!$F$1:$F$379,$E157,Socle!$G$1:$G$379,"2026"))</f>
        <v/>
      </c>
      <c r="J157">
        <f>IF($A157="","",SUMIFS(Socle!$W$1:$W$379,Socle!$C$1:$C$379,$A157,Socle!$D$1:$D$379,$C157,Socle!$E$1:$E$379,$D157,Socle!$F$1:$F$379,$E157,Socle!$G$1:$G$379,"2026"))</f>
        <v/>
      </c>
      <c r="K157">
        <f>IF($A157="","",SUMIFS(Socle!$X$1:$X$379,Socle!$C$1:$C$379,$A157,Socle!$D$1:$D$379,$C157,Socle!$E$1:$E$379,$D157,Socle!$F$1:$F$379,$E157,Socle!$G$1:$G$379,"2026"))</f>
        <v/>
      </c>
      <c r="L157">
        <f>IF($A157="","",SUMIFS(Socle!$Y$1:$Y$379,Socle!$C$1:$C$379,$A157,Socle!$D$1:$D$379,$C157,Socle!$E$1:$E$379,$D157,Socle!$F$1:$F$379,$E157,Socle!$G$1:$G$379,"2026"))</f>
        <v/>
      </c>
      <c r="M157">
        <f>IF($A157="","",SUMIFS(Socle!$V$1:$V$379,Socle!$C$1:$C$379,$A157,Socle!$D$1:$D$379,$C157,Socle!$E$1:$E$379,$D157,Socle!$F$1:$F$379,$E157,Socle!$G$1:$G$379,"2026"))</f>
        <v/>
      </c>
      <c r="N157">
        <f>IF($A157="","",IF(OR($D157="B1",$D157="M1",$D157="BTS1"),1,0))</f>
        <v/>
      </c>
      <c r="O157">
        <f>IF($A157="","",SUMIFS(Campagne!$D$1:$D$28,Campagne!$C$1:$C$28,$A157))</f>
        <v/>
      </c>
      <c r="P157">
        <f>IF($A157="","",SUMIFS(Campagne!$E$1:$E$28,Campagne!$C$1:$C$28,$A157))</f>
        <v/>
      </c>
      <c r="Q157">
        <f>IF($A157="","",SUMIFS(Campagne!$F$1:$F$28,Campagne!$C$1:$C$28,$A157))</f>
        <v/>
      </c>
      <c r="R157">
        <f>IF($A157="","",SUMIFS(Campagne!$K$1:$K$28,Campagne!$C$1:$C$28,$A157))</f>
        <v/>
      </c>
      <c r="S157">
        <f>IF($A157="","",SUMIFS(Campagne!$M$1:$M$28,Campagne!$C$1:$C$28,$A157))</f>
        <v/>
      </c>
      <c r="T157">
        <f>IF($A157="","",SUMIFS(Pilotage!$K$19:$K$32,Pilotage!$A$19:$A$32,$A157)*SUMIFS(Pilotage!$J$19:$J$32,Pilotage!$A$19:$A$32,$A157)*(SUM(Pilotage!$K$19:$K$32)/SUMPRODUCT(Pilotage!$K$19:$K$32,Pilotage!$J$19:$J$32)))</f>
        <v/>
      </c>
      <c r="U157">
        <f>IF($A157="","",SUMIFS(Pilotage!$K$19:$K$32,Pilotage!$A$19:$A$32,$A157))</f>
        <v/>
      </c>
      <c r="V157">
        <f>IF($A157="","",IF($B157="V01",Cadrage!$C$22,IF($B157="V02",Cadrage!$D$22,Cadrage!$E$22)))</f>
        <v/>
      </c>
      <c r="W157">
        <f>IF($A157="","",IF($B157="V01",Cadrage!$C$23,IF($B157="V02",Cadrage!$D$23,Cadrage!$E$23)))</f>
        <v/>
      </c>
      <c r="X157">
        <f>IF($A157="","",IF($B157="V01",Cadrage!$C$24,IF($B157="V02",Cadrage!$D$24,Cadrage!$E$24)))</f>
        <v/>
      </c>
      <c r="Y157">
        <f>IF($A157="","",IF($B157="V01",Cadrage!$C$25,IF($B157="V02",Cadrage!$D$25,Cadrage!$E$25)))</f>
        <v/>
      </c>
      <c r="Z157">
        <f>IF($A157="","",IF($B157="V01",Cadrage!$C$26,IF($B157="V02",Cadrage!$D$26,Cadrage!$E$26)))</f>
        <v/>
      </c>
      <c r="AA157">
        <f>IF($A157="","",IF($B157="V01",Cadrage!$C$27,IF($B157="V02",Cadrage!$D$27,Cadrage!$E$27)))</f>
        <v/>
      </c>
      <c r="AB157">
        <f>IF($A157="","",IF($B157="V01",Cadrage!$C$39,IF($B157="V02",Cadrage!$D$39,Cadrage!$E$39)))</f>
        <v/>
      </c>
      <c r="AC157">
        <f>IF($A157="","",IF($F157="MBWAY",Cadrage!$K$11,IF($F157="ISCOM",Cadrage!$K$12,IF($F157="IPAC",Cadrage!$K$13,IF($F157="PIGIER",Cadrage!$K$14,Cadrage!$K$15)))))</f>
        <v/>
      </c>
      <c r="AD157">
        <f>IF($A157="","",($O157*(1+$W157)^$S157+$P157*IFERROR((($T157/$U157)*(1+$V157))^$R157,0))*IFERROR($G157/$Q157,0)*($J157+$Y157)*$K157*($L157+$Z157))</f>
        <v/>
      </c>
      <c r="AE157">
        <f>IF($A157="","",IF($N157=1,$AD157,0))</f>
        <v/>
      </c>
      <c r="AF157">
        <f>IF($A157="","",IF($N157=1,$AD157,$H157*($M157+$AA157)))</f>
        <v/>
      </c>
      <c r="AG157">
        <f>IF($A157="","",$I157*(1+$X157*$AC157))</f>
        <v/>
      </c>
      <c r="AH157">
        <f>IF($A157="","",$AF157*$AG157+$AE157*$AB157)</f>
        <v/>
      </c>
    </row>
    <row r="158">
      <c r="A158">
        <f>IF(Moteur!D158="","",Moteur!D158)</f>
        <v/>
      </c>
      <c r="B158">
        <f>IF(Moteur!B158="","",Moteur!B158)</f>
        <v/>
      </c>
      <c r="C158">
        <f>IF(Moteur!F158="","",Moteur!F158)</f>
        <v/>
      </c>
      <c r="D158">
        <f>IF(Moteur!G158="","",Moteur!G158)</f>
        <v/>
      </c>
      <c r="E158">
        <f>IF(Moteur!H158="","",Moteur!H158)</f>
        <v/>
      </c>
      <c r="F158">
        <f>IF(Moteur!E158="","",Moteur!E158)</f>
        <v/>
      </c>
      <c r="G158">
        <f>IF($A158="","",SUMIFS(Socle!$H$1:$H$379,Socle!$C$1:$C$379,$A158,Socle!$D$1:$D$379,$C158,Socle!$E$1:$E$379,$D158,Socle!$F$1:$F$379,$E158,Socle!$G$1:$G$379,"2026"))</f>
        <v/>
      </c>
      <c r="H158">
        <f>IF($A158="","",SUMIFS(Socle!$N$1:$N$379,Socle!$C$1:$C$379,$A158,Socle!$D$1:$D$379,$C158,Socle!$E$1:$E$379,$D158,Socle!$F$1:$F$379,$E158,Socle!$G$1:$G$379,"2026"))</f>
        <v/>
      </c>
      <c r="I158">
        <f>IF($A158="","",SUMIFS(Socle!$P$1:$P$379,Socle!$C$1:$C$379,$A158,Socle!$D$1:$D$379,$C158,Socle!$E$1:$E$379,$D158,Socle!$F$1:$F$379,$E158,Socle!$G$1:$G$379,"2026"))</f>
        <v/>
      </c>
      <c r="J158">
        <f>IF($A158="","",SUMIFS(Socle!$W$1:$W$379,Socle!$C$1:$C$379,$A158,Socle!$D$1:$D$379,$C158,Socle!$E$1:$E$379,$D158,Socle!$F$1:$F$379,$E158,Socle!$G$1:$G$379,"2026"))</f>
        <v/>
      </c>
      <c r="K158">
        <f>IF($A158="","",SUMIFS(Socle!$X$1:$X$379,Socle!$C$1:$C$379,$A158,Socle!$D$1:$D$379,$C158,Socle!$E$1:$E$379,$D158,Socle!$F$1:$F$379,$E158,Socle!$G$1:$G$379,"2026"))</f>
        <v/>
      </c>
      <c r="L158">
        <f>IF($A158="","",SUMIFS(Socle!$Y$1:$Y$379,Socle!$C$1:$C$379,$A158,Socle!$D$1:$D$379,$C158,Socle!$E$1:$E$379,$D158,Socle!$F$1:$F$379,$E158,Socle!$G$1:$G$379,"2026"))</f>
        <v/>
      </c>
      <c r="M158">
        <f>IF($A158="","",SUMIFS(Socle!$V$1:$V$379,Socle!$C$1:$C$379,$A158,Socle!$D$1:$D$379,$C158,Socle!$E$1:$E$379,$D158,Socle!$F$1:$F$379,$E158,Socle!$G$1:$G$379,"2026"))</f>
        <v/>
      </c>
      <c r="N158">
        <f>IF($A158="","",IF(OR($D158="B1",$D158="M1",$D158="BTS1"),1,0))</f>
        <v/>
      </c>
      <c r="O158">
        <f>IF($A158="","",SUMIFS(Campagne!$D$1:$D$28,Campagne!$C$1:$C$28,$A158))</f>
        <v/>
      </c>
      <c r="P158">
        <f>IF($A158="","",SUMIFS(Campagne!$E$1:$E$28,Campagne!$C$1:$C$28,$A158))</f>
        <v/>
      </c>
      <c r="Q158">
        <f>IF($A158="","",SUMIFS(Campagne!$F$1:$F$28,Campagne!$C$1:$C$28,$A158))</f>
        <v/>
      </c>
      <c r="R158">
        <f>IF($A158="","",SUMIFS(Campagne!$K$1:$K$28,Campagne!$C$1:$C$28,$A158))</f>
        <v/>
      </c>
      <c r="S158">
        <f>IF($A158="","",SUMIFS(Campagne!$M$1:$M$28,Campagne!$C$1:$C$28,$A158))</f>
        <v/>
      </c>
      <c r="T158">
        <f>IF($A158="","",SUMIFS(Pilotage!$K$19:$K$32,Pilotage!$A$19:$A$32,$A158)*SUMIFS(Pilotage!$J$19:$J$32,Pilotage!$A$19:$A$32,$A158)*(SUM(Pilotage!$K$19:$K$32)/SUMPRODUCT(Pilotage!$K$19:$K$32,Pilotage!$J$19:$J$32)))</f>
        <v/>
      </c>
      <c r="U158">
        <f>IF($A158="","",SUMIFS(Pilotage!$K$19:$K$32,Pilotage!$A$19:$A$32,$A158))</f>
        <v/>
      </c>
      <c r="V158">
        <f>IF($A158="","",IF($B158="V01",Cadrage!$C$22,IF($B158="V02",Cadrage!$D$22,Cadrage!$E$22)))</f>
        <v/>
      </c>
      <c r="W158">
        <f>IF($A158="","",IF($B158="V01",Cadrage!$C$23,IF($B158="V02",Cadrage!$D$23,Cadrage!$E$23)))</f>
        <v/>
      </c>
      <c r="X158">
        <f>IF($A158="","",IF($B158="V01",Cadrage!$C$24,IF($B158="V02",Cadrage!$D$24,Cadrage!$E$24)))</f>
        <v/>
      </c>
      <c r="Y158">
        <f>IF($A158="","",IF($B158="V01",Cadrage!$C$25,IF($B158="V02",Cadrage!$D$25,Cadrage!$E$25)))</f>
        <v/>
      </c>
      <c r="Z158">
        <f>IF($A158="","",IF($B158="V01",Cadrage!$C$26,IF($B158="V02",Cadrage!$D$26,Cadrage!$E$26)))</f>
        <v/>
      </c>
      <c r="AA158">
        <f>IF($A158="","",IF($B158="V01",Cadrage!$C$27,IF($B158="V02",Cadrage!$D$27,Cadrage!$E$27)))</f>
        <v/>
      </c>
      <c r="AB158">
        <f>IF($A158="","",IF($B158="V01",Cadrage!$C$39,IF($B158="V02",Cadrage!$D$39,Cadrage!$E$39)))</f>
        <v/>
      </c>
      <c r="AC158">
        <f>IF($A158="","",IF($F158="MBWAY",Cadrage!$K$11,IF($F158="ISCOM",Cadrage!$K$12,IF($F158="IPAC",Cadrage!$K$13,IF($F158="PIGIER",Cadrage!$K$14,Cadrage!$K$15)))))</f>
        <v/>
      </c>
      <c r="AD158">
        <f>IF($A158="","",($O158*(1+$W158)^$S158+$P158*IFERROR((($T158/$U158)*(1+$V158))^$R158,0))*IFERROR($G158/$Q158,0)*($J158+$Y158)*$K158*($L158+$Z158))</f>
        <v/>
      </c>
      <c r="AE158">
        <f>IF($A158="","",IF($N158=1,$AD158,0))</f>
        <v/>
      </c>
      <c r="AF158">
        <f>IF($A158="","",IF($N158=1,$AD158,$H158*($M158+$AA158)))</f>
        <v/>
      </c>
      <c r="AG158">
        <f>IF($A158="","",$I158*(1+$X158*$AC158))</f>
        <v/>
      </c>
      <c r="AH158">
        <f>IF($A158="","",$AF158*$AG158+$AE158*$AB158)</f>
        <v/>
      </c>
    </row>
    <row r="159">
      <c r="A159">
        <f>IF(Moteur!D159="","",Moteur!D159)</f>
        <v/>
      </c>
      <c r="B159">
        <f>IF(Moteur!B159="","",Moteur!B159)</f>
        <v/>
      </c>
      <c r="C159">
        <f>IF(Moteur!F159="","",Moteur!F159)</f>
        <v/>
      </c>
      <c r="D159">
        <f>IF(Moteur!G159="","",Moteur!G159)</f>
        <v/>
      </c>
      <c r="E159">
        <f>IF(Moteur!H159="","",Moteur!H159)</f>
        <v/>
      </c>
      <c r="F159">
        <f>IF(Moteur!E159="","",Moteur!E159)</f>
        <v/>
      </c>
      <c r="G159">
        <f>IF($A159="","",SUMIFS(Socle!$H$1:$H$379,Socle!$C$1:$C$379,$A159,Socle!$D$1:$D$379,$C159,Socle!$E$1:$E$379,$D159,Socle!$F$1:$F$379,$E159,Socle!$G$1:$G$379,"2026"))</f>
        <v/>
      </c>
      <c r="H159">
        <f>IF($A159="","",SUMIFS(Socle!$N$1:$N$379,Socle!$C$1:$C$379,$A159,Socle!$D$1:$D$379,$C159,Socle!$E$1:$E$379,$D159,Socle!$F$1:$F$379,$E159,Socle!$G$1:$G$379,"2026"))</f>
        <v/>
      </c>
      <c r="I159">
        <f>IF($A159="","",SUMIFS(Socle!$P$1:$P$379,Socle!$C$1:$C$379,$A159,Socle!$D$1:$D$379,$C159,Socle!$E$1:$E$379,$D159,Socle!$F$1:$F$379,$E159,Socle!$G$1:$G$379,"2026"))</f>
        <v/>
      </c>
      <c r="J159">
        <f>IF($A159="","",SUMIFS(Socle!$W$1:$W$379,Socle!$C$1:$C$379,$A159,Socle!$D$1:$D$379,$C159,Socle!$E$1:$E$379,$D159,Socle!$F$1:$F$379,$E159,Socle!$G$1:$G$379,"2026"))</f>
        <v/>
      </c>
      <c r="K159">
        <f>IF($A159="","",SUMIFS(Socle!$X$1:$X$379,Socle!$C$1:$C$379,$A159,Socle!$D$1:$D$379,$C159,Socle!$E$1:$E$379,$D159,Socle!$F$1:$F$379,$E159,Socle!$G$1:$G$379,"2026"))</f>
        <v/>
      </c>
      <c r="L159">
        <f>IF($A159="","",SUMIFS(Socle!$Y$1:$Y$379,Socle!$C$1:$C$379,$A159,Socle!$D$1:$D$379,$C159,Socle!$E$1:$E$379,$D159,Socle!$F$1:$F$379,$E159,Socle!$G$1:$G$379,"2026"))</f>
        <v/>
      </c>
      <c r="M159">
        <f>IF($A159="","",SUMIFS(Socle!$V$1:$V$379,Socle!$C$1:$C$379,$A159,Socle!$D$1:$D$379,$C159,Socle!$E$1:$E$379,$D159,Socle!$F$1:$F$379,$E159,Socle!$G$1:$G$379,"2026"))</f>
        <v/>
      </c>
      <c r="N159">
        <f>IF($A159="","",IF(OR($D159="B1",$D159="M1",$D159="BTS1"),1,0))</f>
        <v/>
      </c>
      <c r="O159">
        <f>IF($A159="","",SUMIFS(Campagne!$D$1:$D$28,Campagne!$C$1:$C$28,$A159))</f>
        <v/>
      </c>
      <c r="P159">
        <f>IF($A159="","",SUMIFS(Campagne!$E$1:$E$28,Campagne!$C$1:$C$28,$A159))</f>
        <v/>
      </c>
      <c r="Q159">
        <f>IF($A159="","",SUMIFS(Campagne!$F$1:$F$28,Campagne!$C$1:$C$28,$A159))</f>
        <v/>
      </c>
      <c r="R159">
        <f>IF($A159="","",SUMIFS(Campagne!$K$1:$K$28,Campagne!$C$1:$C$28,$A159))</f>
        <v/>
      </c>
      <c r="S159">
        <f>IF($A159="","",SUMIFS(Campagne!$M$1:$M$28,Campagne!$C$1:$C$28,$A159))</f>
        <v/>
      </c>
      <c r="T159">
        <f>IF($A159="","",SUMIFS(Pilotage!$K$19:$K$32,Pilotage!$A$19:$A$32,$A159)*SUMIFS(Pilotage!$J$19:$J$32,Pilotage!$A$19:$A$32,$A159)*(SUM(Pilotage!$K$19:$K$32)/SUMPRODUCT(Pilotage!$K$19:$K$32,Pilotage!$J$19:$J$32)))</f>
        <v/>
      </c>
      <c r="U159">
        <f>IF($A159="","",SUMIFS(Pilotage!$K$19:$K$32,Pilotage!$A$19:$A$32,$A159))</f>
        <v/>
      </c>
      <c r="V159">
        <f>IF($A159="","",IF($B159="V01",Cadrage!$C$22,IF($B159="V02",Cadrage!$D$22,Cadrage!$E$22)))</f>
        <v/>
      </c>
      <c r="W159">
        <f>IF($A159="","",IF($B159="V01",Cadrage!$C$23,IF($B159="V02",Cadrage!$D$23,Cadrage!$E$23)))</f>
        <v/>
      </c>
      <c r="X159">
        <f>IF($A159="","",IF($B159="V01",Cadrage!$C$24,IF($B159="V02",Cadrage!$D$24,Cadrage!$E$24)))</f>
        <v/>
      </c>
      <c r="Y159">
        <f>IF($A159="","",IF($B159="V01",Cadrage!$C$25,IF($B159="V02",Cadrage!$D$25,Cadrage!$E$25)))</f>
        <v/>
      </c>
      <c r="Z159">
        <f>IF($A159="","",IF($B159="V01",Cadrage!$C$26,IF($B159="V02",Cadrage!$D$26,Cadrage!$E$26)))</f>
        <v/>
      </c>
      <c r="AA159">
        <f>IF($A159="","",IF($B159="V01",Cadrage!$C$27,IF($B159="V02",Cadrage!$D$27,Cadrage!$E$27)))</f>
        <v/>
      </c>
      <c r="AB159">
        <f>IF($A159="","",IF($B159="V01",Cadrage!$C$39,IF($B159="V02",Cadrage!$D$39,Cadrage!$E$39)))</f>
        <v/>
      </c>
      <c r="AC159">
        <f>IF($A159="","",IF($F159="MBWAY",Cadrage!$K$11,IF($F159="ISCOM",Cadrage!$K$12,IF($F159="IPAC",Cadrage!$K$13,IF($F159="PIGIER",Cadrage!$K$14,Cadrage!$K$15)))))</f>
        <v/>
      </c>
      <c r="AD159">
        <f>IF($A159="","",($O159*(1+$W159)^$S159+$P159*IFERROR((($T159/$U159)*(1+$V159))^$R159,0))*IFERROR($G159/$Q159,0)*($J159+$Y159)*$K159*($L159+$Z159))</f>
        <v/>
      </c>
      <c r="AE159">
        <f>IF($A159="","",IF($N159=1,$AD159,0))</f>
        <v/>
      </c>
      <c r="AF159">
        <f>IF($A159="","",IF($N159=1,$AD159,$H159*($M159+$AA159)))</f>
        <v/>
      </c>
      <c r="AG159">
        <f>IF($A159="","",$I159*(1+$X159*$AC159))</f>
        <v/>
      </c>
      <c r="AH159">
        <f>IF($A159="","",$AF159*$AG159+$AE159*$AB159)</f>
        <v/>
      </c>
    </row>
    <row r="160">
      <c r="A160">
        <f>IF(Moteur!D160="","",Moteur!D160)</f>
        <v/>
      </c>
      <c r="B160">
        <f>IF(Moteur!B160="","",Moteur!B160)</f>
        <v/>
      </c>
      <c r="C160">
        <f>IF(Moteur!F160="","",Moteur!F160)</f>
        <v/>
      </c>
      <c r="D160">
        <f>IF(Moteur!G160="","",Moteur!G160)</f>
        <v/>
      </c>
      <c r="E160">
        <f>IF(Moteur!H160="","",Moteur!H160)</f>
        <v/>
      </c>
      <c r="F160">
        <f>IF(Moteur!E160="","",Moteur!E160)</f>
        <v/>
      </c>
      <c r="G160">
        <f>IF($A160="","",SUMIFS(Socle!$H$1:$H$379,Socle!$C$1:$C$379,$A160,Socle!$D$1:$D$379,$C160,Socle!$E$1:$E$379,$D160,Socle!$F$1:$F$379,$E160,Socle!$G$1:$G$379,"2026"))</f>
        <v/>
      </c>
      <c r="H160">
        <f>IF($A160="","",SUMIFS(Socle!$N$1:$N$379,Socle!$C$1:$C$379,$A160,Socle!$D$1:$D$379,$C160,Socle!$E$1:$E$379,$D160,Socle!$F$1:$F$379,$E160,Socle!$G$1:$G$379,"2026"))</f>
        <v/>
      </c>
      <c r="I160">
        <f>IF($A160="","",SUMIFS(Socle!$P$1:$P$379,Socle!$C$1:$C$379,$A160,Socle!$D$1:$D$379,$C160,Socle!$E$1:$E$379,$D160,Socle!$F$1:$F$379,$E160,Socle!$G$1:$G$379,"2026"))</f>
        <v/>
      </c>
      <c r="J160">
        <f>IF($A160="","",SUMIFS(Socle!$W$1:$W$379,Socle!$C$1:$C$379,$A160,Socle!$D$1:$D$379,$C160,Socle!$E$1:$E$379,$D160,Socle!$F$1:$F$379,$E160,Socle!$G$1:$G$379,"2026"))</f>
        <v/>
      </c>
      <c r="K160">
        <f>IF($A160="","",SUMIFS(Socle!$X$1:$X$379,Socle!$C$1:$C$379,$A160,Socle!$D$1:$D$379,$C160,Socle!$E$1:$E$379,$D160,Socle!$F$1:$F$379,$E160,Socle!$G$1:$G$379,"2026"))</f>
        <v/>
      </c>
      <c r="L160">
        <f>IF($A160="","",SUMIFS(Socle!$Y$1:$Y$379,Socle!$C$1:$C$379,$A160,Socle!$D$1:$D$379,$C160,Socle!$E$1:$E$379,$D160,Socle!$F$1:$F$379,$E160,Socle!$G$1:$G$379,"2026"))</f>
        <v/>
      </c>
      <c r="M160">
        <f>IF($A160="","",SUMIFS(Socle!$V$1:$V$379,Socle!$C$1:$C$379,$A160,Socle!$D$1:$D$379,$C160,Socle!$E$1:$E$379,$D160,Socle!$F$1:$F$379,$E160,Socle!$G$1:$G$379,"2026"))</f>
        <v/>
      </c>
      <c r="N160">
        <f>IF($A160="","",IF(OR($D160="B1",$D160="M1",$D160="BTS1"),1,0))</f>
        <v/>
      </c>
      <c r="O160">
        <f>IF($A160="","",SUMIFS(Campagne!$D$1:$D$28,Campagne!$C$1:$C$28,$A160))</f>
        <v/>
      </c>
      <c r="P160">
        <f>IF($A160="","",SUMIFS(Campagne!$E$1:$E$28,Campagne!$C$1:$C$28,$A160))</f>
        <v/>
      </c>
      <c r="Q160">
        <f>IF($A160="","",SUMIFS(Campagne!$F$1:$F$28,Campagne!$C$1:$C$28,$A160))</f>
        <v/>
      </c>
      <c r="R160">
        <f>IF($A160="","",SUMIFS(Campagne!$K$1:$K$28,Campagne!$C$1:$C$28,$A160))</f>
        <v/>
      </c>
      <c r="S160">
        <f>IF($A160="","",SUMIFS(Campagne!$M$1:$M$28,Campagne!$C$1:$C$28,$A160))</f>
        <v/>
      </c>
      <c r="T160">
        <f>IF($A160="","",SUMIFS(Pilotage!$K$19:$K$32,Pilotage!$A$19:$A$32,$A160)*SUMIFS(Pilotage!$J$19:$J$32,Pilotage!$A$19:$A$32,$A160)*(SUM(Pilotage!$K$19:$K$32)/SUMPRODUCT(Pilotage!$K$19:$K$32,Pilotage!$J$19:$J$32)))</f>
        <v/>
      </c>
      <c r="U160">
        <f>IF($A160="","",SUMIFS(Pilotage!$K$19:$K$32,Pilotage!$A$19:$A$32,$A160))</f>
        <v/>
      </c>
      <c r="V160">
        <f>IF($A160="","",IF($B160="V01",Cadrage!$C$22,IF($B160="V02",Cadrage!$D$22,Cadrage!$E$22)))</f>
        <v/>
      </c>
      <c r="W160">
        <f>IF($A160="","",IF($B160="V01",Cadrage!$C$23,IF($B160="V02",Cadrage!$D$23,Cadrage!$E$23)))</f>
        <v/>
      </c>
      <c r="X160">
        <f>IF($A160="","",IF($B160="V01",Cadrage!$C$24,IF($B160="V02",Cadrage!$D$24,Cadrage!$E$24)))</f>
        <v/>
      </c>
      <c r="Y160">
        <f>IF($A160="","",IF($B160="V01",Cadrage!$C$25,IF($B160="V02",Cadrage!$D$25,Cadrage!$E$25)))</f>
        <v/>
      </c>
      <c r="Z160">
        <f>IF($A160="","",IF($B160="V01",Cadrage!$C$26,IF($B160="V02",Cadrage!$D$26,Cadrage!$E$26)))</f>
        <v/>
      </c>
      <c r="AA160">
        <f>IF($A160="","",IF($B160="V01",Cadrage!$C$27,IF($B160="V02",Cadrage!$D$27,Cadrage!$E$27)))</f>
        <v/>
      </c>
      <c r="AB160">
        <f>IF($A160="","",IF($B160="V01",Cadrage!$C$39,IF($B160="V02",Cadrage!$D$39,Cadrage!$E$39)))</f>
        <v/>
      </c>
      <c r="AC160">
        <f>IF($A160="","",IF($F160="MBWAY",Cadrage!$K$11,IF($F160="ISCOM",Cadrage!$K$12,IF($F160="IPAC",Cadrage!$K$13,IF($F160="PIGIER",Cadrage!$K$14,Cadrage!$K$15)))))</f>
        <v/>
      </c>
      <c r="AD160">
        <f>IF($A160="","",($O160*(1+$W160)^$S160+$P160*IFERROR((($T160/$U160)*(1+$V160))^$R160,0))*IFERROR($G160/$Q160,0)*($J160+$Y160)*$K160*($L160+$Z160))</f>
        <v/>
      </c>
      <c r="AE160">
        <f>IF($A160="","",IF($N160=1,$AD160,0))</f>
        <v/>
      </c>
      <c r="AF160">
        <f>IF($A160="","",IF($N160=1,$AD160,$H160*($M160+$AA160)))</f>
        <v/>
      </c>
      <c r="AG160">
        <f>IF($A160="","",$I160*(1+$X160*$AC160))</f>
        <v/>
      </c>
      <c r="AH160">
        <f>IF($A160="","",$AF160*$AG160+$AE160*$AB160)</f>
        <v/>
      </c>
    </row>
    <row r="161">
      <c r="A161">
        <f>IF(Moteur!D161="","",Moteur!D161)</f>
        <v/>
      </c>
      <c r="B161">
        <f>IF(Moteur!B161="","",Moteur!B161)</f>
        <v/>
      </c>
      <c r="C161">
        <f>IF(Moteur!F161="","",Moteur!F161)</f>
        <v/>
      </c>
      <c r="D161">
        <f>IF(Moteur!G161="","",Moteur!G161)</f>
        <v/>
      </c>
      <c r="E161">
        <f>IF(Moteur!H161="","",Moteur!H161)</f>
        <v/>
      </c>
      <c r="F161">
        <f>IF(Moteur!E161="","",Moteur!E161)</f>
        <v/>
      </c>
      <c r="G161">
        <f>IF($A161="","",SUMIFS(Socle!$H$1:$H$379,Socle!$C$1:$C$379,$A161,Socle!$D$1:$D$379,$C161,Socle!$E$1:$E$379,$D161,Socle!$F$1:$F$379,$E161,Socle!$G$1:$G$379,"2026"))</f>
        <v/>
      </c>
      <c r="H161">
        <f>IF($A161="","",SUMIFS(Socle!$N$1:$N$379,Socle!$C$1:$C$379,$A161,Socle!$D$1:$D$379,$C161,Socle!$E$1:$E$379,$D161,Socle!$F$1:$F$379,$E161,Socle!$G$1:$G$379,"2026"))</f>
        <v/>
      </c>
      <c r="I161">
        <f>IF($A161="","",SUMIFS(Socle!$P$1:$P$379,Socle!$C$1:$C$379,$A161,Socle!$D$1:$D$379,$C161,Socle!$E$1:$E$379,$D161,Socle!$F$1:$F$379,$E161,Socle!$G$1:$G$379,"2026"))</f>
        <v/>
      </c>
      <c r="J161">
        <f>IF($A161="","",SUMIFS(Socle!$W$1:$W$379,Socle!$C$1:$C$379,$A161,Socle!$D$1:$D$379,$C161,Socle!$E$1:$E$379,$D161,Socle!$F$1:$F$379,$E161,Socle!$G$1:$G$379,"2026"))</f>
        <v/>
      </c>
      <c r="K161">
        <f>IF($A161="","",SUMIFS(Socle!$X$1:$X$379,Socle!$C$1:$C$379,$A161,Socle!$D$1:$D$379,$C161,Socle!$E$1:$E$379,$D161,Socle!$F$1:$F$379,$E161,Socle!$G$1:$G$379,"2026"))</f>
        <v/>
      </c>
      <c r="L161">
        <f>IF($A161="","",SUMIFS(Socle!$Y$1:$Y$379,Socle!$C$1:$C$379,$A161,Socle!$D$1:$D$379,$C161,Socle!$E$1:$E$379,$D161,Socle!$F$1:$F$379,$E161,Socle!$G$1:$G$379,"2026"))</f>
        <v/>
      </c>
      <c r="M161">
        <f>IF($A161="","",SUMIFS(Socle!$V$1:$V$379,Socle!$C$1:$C$379,$A161,Socle!$D$1:$D$379,$C161,Socle!$E$1:$E$379,$D161,Socle!$F$1:$F$379,$E161,Socle!$G$1:$G$379,"2026"))</f>
        <v/>
      </c>
      <c r="N161">
        <f>IF($A161="","",IF(OR($D161="B1",$D161="M1",$D161="BTS1"),1,0))</f>
        <v/>
      </c>
      <c r="O161">
        <f>IF($A161="","",SUMIFS(Campagne!$D$1:$D$28,Campagne!$C$1:$C$28,$A161))</f>
        <v/>
      </c>
      <c r="P161">
        <f>IF($A161="","",SUMIFS(Campagne!$E$1:$E$28,Campagne!$C$1:$C$28,$A161))</f>
        <v/>
      </c>
      <c r="Q161">
        <f>IF($A161="","",SUMIFS(Campagne!$F$1:$F$28,Campagne!$C$1:$C$28,$A161))</f>
        <v/>
      </c>
      <c r="R161">
        <f>IF($A161="","",SUMIFS(Campagne!$K$1:$K$28,Campagne!$C$1:$C$28,$A161))</f>
        <v/>
      </c>
      <c r="S161">
        <f>IF($A161="","",SUMIFS(Campagne!$M$1:$M$28,Campagne!$C$1:$C$28,$A161))</f>
        <v/>
      </c>
      <c r="T161">
        <f>IF($A161="","",SUMIFS(Pilotage!$K$19:$K$32,Pilotage!$A$19:$A$32,$A161)*SUMIFS(Pilotage!$J$19:$J$32,Pilotage!$A$19:$A$32,$A161)*(SUM(Pilotage!$K$19:$K$32)/SUMPRODUCT(Pilotage!$K$19:$K$32,Pilotage!$J$19:$J$32)))</f>
        <v/>
      </c>
      <c r="U161">
        <f>IF($A161="","",SUMIFS(Pilotage!$K$19:$K$32,Pilotage!$A$19:$A$32,$A161))</f>
        <v/>
      </c>
      <c r="V161">
        <f>IF($A161="","",IF($B161="V01",Cadrage!$C$22,IF($B161="V02",Cadrage!$D$22,Cadrage!$E$22)))</f>
        <v/>
      </c>
      <c r="W161">
        <f>IF($A161="","",IF($B161="V01",Cadrage!$C$23,IF($B161="V02",Cadrage!$D$23,Cadrage!$E$23)))</f>
        <v/>
      </c>
      <c r="X161">
        <f>IF($A161="","",IF($B161="V01",Cadrage!$C$24,IF($B161="V02",Cadrage!$D$24,Cadrage!$E$24)))</f>
        <v/>
      </c>
      <c r="Y161">
        <f>IF($A161="","",IF($B161="V01",Cadrage!$C$25,IF($B161="V02",Cadrage!$D$25,Cadrage!$E$25)))</f>
        <v/>
      </c>
      <c r="Z161">
        <f>IF($A161="","",IF($B161="V01",Cadrage!$C$26,IF($B161="V02",Cadrage!$D$26,Cadrage!$E$26)))</f>
        <v/>
      </c>
      <c r="AA161">
        <f>IF($A161="","",IF($B161="V01",Cadrage!$C$27,IF($B161="V02",Cadrage!$D$27,Cadrage!$E$27)))</f>
        <v/>
      </c>
      <c r="AB161">
        <f>IF($A161="","",IF($B161="V01",Cadrage!$C$39,IF($B161="V02",Cadrage!$D$39,Cadrage!$E$39)))</f>
        <v/>
      </c>
      <c r="AC161">
        <f>IF($A161="","",IF($F161="MBWAY",Cadrage!$K$11,IF($F161="ISCOM",Cadrage!$K$12,IF($F161="IPAC",Cadrage!$K$13,IF($F161="PIGIER",Cadrage!$K$14,Cadrage!$K$15)))))</f>
        <v/>
      </c>
      <c r="AD161">
        <f>IF($A161="","",($O161*(1+$W161)^$S161+$P161*IFERROR((($T161/$U161)*(1+$V161))^$R161,0))*IFERROR($G161/$Q161,0)*($J161+$Y161)*$K161*($L161+$Z161))</f>
        <v/>
      </c>
      <c r="AE161">
        <f>IF($A161="","",IF($N161=1,$AD161,0))</f>
        <v/>
      </c>
      <c r="AF161">
        <f>IF($A161="","",IF($N161=1,$AD161,$H161*($M161+$AA161)))</f>
        <v/>
      </c>
      <c r="AG161">
        <f>IF($A161="","",$I161*(1+$X161*$AC161))</f>
        <v/>
      </c>
      <c r="AH161">
        <f>IF($A161="","",$AF161*$AG161+$AE161*$AB161)</f>
        <v/>
      </c>
    </row>
    <row r="162">
      <c r="A162">
        <f>IF(Moteur!D162="","",Moteur!D162)</f>
        <v/>
      </c>
      <c r="B162">
        <f>IF(Moteur!B162="","",Moteur!B162)</f>
        <v/>
      </c>
      <c r="C162">
        <f>IF(Moteur!F162="","",Moteur!F162)</f>
        <v/>
      </c>
      <c r="D162">
        <f>IF(Moteur!G162="","",Moteur!G162)</f>
        <v/>
      </c>
      <c r="E162">
        <f>IF(Moteur!H162="","",Moteur!H162)</f>
        <v/>
      </c>
      <c r="F162">
        <f>IF(Moteur!E162="","",Moteur!E162)</f>
        <v/>
      </c>
      <c r="G162">
        <f>IF($A162="","",SUMIFS(Socle!$H$1:$H$379,Socle!$C$1:$C$379,$A162,Socle!$D$1:$D$379,$C162,Socle!$E$1:$E$379,$D162,Socle!$F$1:$F$379,$E162,Socle!$G$1:$G$379,"2026"))</f>
        <v/>
      </c>
      <c r="H162">
        <f>IF($A162="","",SUMIFS(Socle!$N$1:$N$379,Socle!$C$1:$C$379,$A162,Socle!$D$1:$D$379,$C162,Socle!$E$1:$E$379,$D162,Socle!$F$1:$F$379,$E162,Socle!$G$1:$G$379,"2026"))</f>
        <v/>
      </c>
      <c r="I162">
        <f>IF($A162="","",SUMIFS(Socle!$P$1:$P$379,Socle!$C$1:$C$379,$A162,Socle!$D$1:$D$379,$C162,Socle!$E$1:$E$379,$D162,Socle!$F$1:$F$379,$E162,Socle!$G$1:$G$379,"2026"))</f>
        <v/>
      </c>
      <c r="J162">
        <f>IF($A162="","",SUMIFS(Socle!$W$1:$W$379,Socle!$C$1:$C$379,$A162,Socle!$D$1:$D$379,$C162,Socle!$E$1:$E$379,$D162,Socle!$F$1:$F$379,$E162,Socle!$G$1:$G$379,"2026"))</f>
        <v/>
      </c>
      <c r="K162">
        <f>IF($A162="","",SUMIFS(Socle!$X$1:$X$379,Socle!$C$1:$C$379,$A162,Socle!$D$1:$D$379,$C162,Socle!$E$1:$E$379,$D162,Socle!$F$1:$F$379,$E162,Socle!$G$1:$G$379,"2026"))</f>
        <v/>
      </c>
      <c r="L162">
        <f>IF($A162="","",SUMIFS(Socle!$Y$1:$Y$379,Socle!$C$1:$C$379,$A162,Socle!$D$1:$D$379,$C162,Socle!$E$1:$E$379,$D162,Socle!$F$1:$F$379,$E162,Socle!$G$1:$G$379,"2026"))</f>
        <v/>
      </c>
      <c r="M162">
        <f>IF($A162="","",SUMIFS(Socle!$V$1:$V$379,Socle!$C$1:$C$379,$A162,Socle!$D$1:$D$379,$C162,Socle!$E$1:$E$379,$D162,Socle!$F$1:$F$379,$E162,Socle!$G$1:$G$379,"2026"))</f>
        <v/>
      </c>
      <c r="N162">
        <f>IF($A162="","",IF(OR($D162="B1",$D162="M1",$D162="BTS1"),1,0))</f>
        <v/>
      </c>
      <c r="O162">
        <f>IF($A162="","",SUMIFS(Campagne!$D$1:$D$28,Campagne!$C$1:$C$28,$A162))</f>
        <v/>
      </c>
      <c r="P162">
        <f>IF($A162="","",SUMIFS(Campagne!$E$1:$E$28,Campagne!$C$1:$C$28,$A162))</f>
        <v/>
      </c>
      <c r="Q162">
        <f>IF($A162="","",SUMIFS(Campagne!$F$1:$F$28,Campagne!$C$1:$C$28,$A162))</f>
        <v/>
      </c>
      <c r="R162">
        <f>IF($A162="","",SUMIFS(Campagne!$K$1:$K$28,Campagne!$C$1:$C$28,$A162))</f>
        <v/>
      </c>
      <c r="S162">
        <f>IF($A162="","",SUMIFS(Campagne!$M$1:$M$28,Campagne!$C$1:$C$28,$A162))</f>
        <v/>
      </c>
      <c r="T162">
        <f>IF($A162="","",SUMIFS(Pilotage!$K$19:$K$32,Pilotage!$A$19:$A$32,$A162)*SUMIFS(Pilotage!$J$19:$J$32,Pilotage!$A$19:$A$32,$A162)*(SUM(Pilotage!$K$19:$K$32)/SUMPRODUCT(Pilotage!$K$19:$K$32,Pilotage!$J$19:$J$32)))</f>
        <v/>
      </c>
      <c r="U162">
        <f>IF($A162="","",SUMIFS(Pilotage!$K$19:$K$32,Pilotage!$A$19:$A$32,$A162))</f>
        <v/>
      </c>
      <c r="V162">
        <f>IF($A162="","",IF($B162="V01",Cadrage!$C$22,IF($B162="V02",Cadrage!$D$22,Cadrage!$E$22)))</f>
        <v/>
      </c>
      <c r="W162">
        <f>IF($A162="","",IF($B162="V01",Cadrage!$C$23,IF($B162="V02",Cadrage!$D$23,Cadrage!$E$23)))</f>
        <v/>
      </c>
      <c r="X162">
        <f>IF($A162="","",IF($B162="V01",Cadrage!$C$24,IF($B162="V02",Cadrage!$D$24,Cadrage!$E$24)))</f>
        <v/>
      </c>
      <c r="Y162">
        <f>IF($A162="","",IF($B162="V01",Cadrage!$C$25,IF($B162="V02",Cadrage!$D$25,Cadrage!$E$25)))</f>
        <v/>
      </c>
      <c r="Z162">
        <f>IF($A162="","",IF($B162="V01",Cadrage!$C$26,IF($B162="V02",Cadrage!$D$26,Cadrage!$E$26)))</f>
        <v/>
      </c>
      <c r="AA162">
        <f>IF($A162="","",IF($B162="V01",Cadrage!$C$27,IF($B162="V02",Cadrage!$D$27,Cadrage!$E$27)))</f>
        <v/>
      </c>
      <c r="AB162">
        <f>IF($A162="","",IF($B162="V01",Cadrage!$C$39,IF($B162="V02",Cadrage!$D$39,Cadrage!$E$39)))</f>
        <v/>
      </c>
      <c r="AC162">
        <f>IF($A162="","",IF($F162="MBWAY",Cadrage!$K$11,IF($F162="ISCOM",Cadrage!$K$12,IF($F162="IPAC",Cadrage!$K$13,IF($F162="PIGIER",Cadrage!$K$14,Cadrage!$K$15)))))</f>
        <v/>
      </c>
      <c r="AD162">
        <f>IF($A162="","",($O162*(1+$W162)^$S162+$P162*IFERROR((($T162/$U162)*(1+$V162))^$R162,0))*IFERROR($G162/$Q162,0)*($J162+$Y162)*$K162*($L162+$Z162))</f>
        <v/>
      </c>
      <c r="AE162">
        <f>IF($A162="","",IF($N162=1,$AD162,0))</f>
        <v/>
      </c>
      <c r="AF162">
        <f>IF($A162="","",IF($N162=1,$AD162,$H162*($M162+$AA162)))</f>
        <v/>
      </c>
      <c r="AG162">
        <f>IF($A162="","",$I162*(1+$X162*$AC162))</f>
        <v/>
      </c>
      <c r="AH162">
        <f>IF($A162="","",$AF162*$AG162+$AE162*$AB162)</f>
        <v/>
      </c>
    </row>
    <row r="163">
      <c r="A163">
        <f>IF(Moteur!D163="","",Moteur!D163)</f>
        <v/>
      </c>
      <c r="B163">
        <f>IF(Moteur!B163="","",Moteur!B163)</f>
        <v/>
      </c>
      <c r="C163">
        <f>IF(Moteur!F163="","",Moteur!F163)</f>
        <v/>
      </c>
      <c r="D163">
        <f>IF(Moteur!G163="","",Moteur!G163)</f>
        <v/>
      </c>
      <c r="E163">
        <f>IF(Moteur!H163="","",Moteur!H163)</f>
        <v/>
      </c>
      <c r="F163">
        <f>IF(Moteur!E163="","",Moteur!E163)</f>
        <v/>
      </c>
      <c r="G163">
        <f>IF($A163="","",SUMIFS(Socle!$H$1:$H$379,Socle!$C$1:$C$379,$A163,Socle!$D$1:$D$379,$C163,Socle!$E$1:$E$379,$D163,Socle!$F$1:$F$379,$E163,Socle!$G$1:$G$379,"2026"))</f>
        <v/>
      </c>
      <c r="H163">
        <f>IF($A163="","",SUMIFS(Socle!$N$1:$N$379,Socle!$C$1:$C$379,$A163,Socle!$D$1:$D$379,$C163,Socle!$E$1:$E$379,$D163,Socle!$F$1:$F$379,$E163,Socle!$G$1:$G$379,"2026"))</f>
        <v/>
      </c>
      <c r="I163">
        <f>IF($A163="","",SUMIFS(Socle!$P$1:$P$379,Socle!$C$1:$C$379,$A163,Socle!$D$1:$D$379,$C163,Socle!$E$1:$E$379,$D163,Socle!$F$1:$F$379,$E163,Socle!$G$1:$G$379,"2026"))</f>
        <v/>
      </c>
      <c r="J163">
        <f>IF($A163="","",SUMIFS(Socle!$W$1:$W$379,Socle!$C$1:$C$379,$A163,Socle!$D$1:$D$379,$C163,Socle!$E$1:$E$379,$D163,Socle!$F$1:$F$379,$E163,Socle!$G$1:$G$379,"2026"))</f>
        <v/>
      </c>
      <c r="K163">
        <f>IF($A163="","",SUMIFS(Socle!$X$1:$X$379,Socle!$C$1:$C$379,$A163,Socle!$D$1:$D$379,$C163,Socle!$E$1:$E$379,$D163,Socle!$F$1:$F$379,$E163,Socle!$G$1:$G$379,"2026"))</f>
        <v/>
      </c>
      <c r="L163">
        <f>IF($A163="","",SUMIFS(Socle!$Y$1:$Y$379,Socle!$C$1:$C$379,$A163,Socle!$D$1:$D$379,$C163,Socle!$E$1:$E$379,$D163,Socle!$F$1:$F$379,$E163,Socle!$G$1:$G$379,"2026"))</f>
        <v/>
      </c>
      <c r="M163">
        <f>IF($A163="","",SUMIFS(Socle!$V$1:$V$379,Socle!$C$1:$C$379,$A163,Socle!$D$1:$D$379,$C163,Socle!$E$1:$E$379,$D163,Socle!$F$1:$F$379,$E163,Socle!$G$1:$G$379,"2026"))</f>
        <v/>
      </c>
      <c r="N163">
        <f>IF($A163="","",IF(OR($D163="B1",$D163="M1",$D163="BTS1"),1,0))</f>
        <v/>
      </c>
      <c r="O163">
        <f>IF($A163="","",SUMIFS(Campagne!$D$1:$D$28,Campagne!$C$1:$C$28,$A163))</f>
        <v/>
      </c>
      <c r="P163">
        <f>IF($A163="","",SUMIFS(Campagne!$E$1:$E$28,Campagne!$C$1:$C$28,$A163))</f>
        <v/>
      </c>
      <c r="Q163">
        <f>IF($A163="","",SUMIFS(Campagne!$F$1:$F$28,Campagne!$C$1:$C$28,$A163))</f>
        <v/>
      </c>
      <c r="R163">
        <f>IF($A163="","",SUMIFS(Campagne!$K$1:$K$28,Campagne!$C$1:$C$28,$A163))</f>
        <v/>
      </c>
      <c r="S163">
        <f>IF($A163="","",SUMIFS(Campagne!$M$1:$M$28,Campagne!$C$1:$C$28,$A163))</f>
        <v/>
      </c>
      <c r="T163">
        <f>IF($A163="","",SUMIFS(Pilotage!$K$19:$K$32,Pilotage!$A$19:$A$32,$A163)*SUMIFS(Pilotage!$J$19:$J$32,Pilotage!$A$19:$A$32,$A163)*(SUM(Pilotage!$K$19:$K$32)/SUMPRODUCT(Pilotage!$K$19:$K$32,Pilotage!$J$19:$J$32)))</f>
        <v/>
      </c>
      <c r="U163">
        <f>IF($A163="","",SUMIFS(Pilotage!$K$19:$K$32,Pilotage!$A$19:$A$32,$A163))</f>
        <v/>
      </c>
      <c r="V163">
        <f>IF($A163="","",IF($B163="V01",Cadrage!$C$22,IF($B163="V02",Cadrage!$D$22,Cadrage!$E$22)))</f>
        <v/>
      </c>
      <c r="W163">
        <f>IF($A163="","",IF($B163="V01",Cadrage!$C$23,IF($B163="V02",Cadrage!$D$23,Cadrage!$E$23)))</f>
        <v/>
      </c>
      <c r="X163">
        <f>IF($A163="","",IF($B163="V01",Cadrage!$C$24,IF($B163="V02",Cadrage!$D$24,Cadrage!$E$24)))</f>
        <v/>
      </c>
      <c r="Y163">
        <f>IF($A163="","",IF($B163="V01",Cadrage!$C$25,IF($B163="V02",Cadrage!$D$25,Cadrage!$E$25)))</f>
        <v/>
      </c>
      <c r="Z163">
        <f>IF($A163="","",IF($B163="V01",Cadrage!$C$26,IF($B163="V02",Cadrage!$D$26,Cadrage!$E$26)))</f>
        <v/>
      </c>
      <c r="AA163">
        <f>IF($A163="","",IF($B163="V01",Cadrage!$C$27,IF($B163="V02",Cadrage!$D$27,Cadrage!$E$27)))</f>
        <v/>
      </c>
      <c r="AB163">
        <f>IF($A163="","",IF($B163="V01",Cadrage!$C$39,IF($B163="V02",Cadrage!$D$39,Cadrage!$E$39)))</f>
        <v/>
      </c>
      <c r="AC163">
        <f>IF($A163="","",IF($F163="MBWAY",Cadrage!$K$11,IF($F163="ISCOM",Cadrage!$K$12,IF($F163="IPAC",Cadrage!$K$13,IF($F163="PIGIER",Cadrage!$K$14,Cadrage!$K$15)))))</f>
        <v/>
      </c>
      <c r="AD163">
        <f>IF($A163="","",($O163*(1+$W163)^$S163+$P163*IFERROR((($T163/$U163)*(1+$V163))^$R163,0))*IFERROR($G163/$Q163,0)*($J163+$Y163)*$K163*($L163+$Z163))</f>
        <v/>
      </c>
      <c r="AE163">
        <f>IF($A163="","",IF($N163=1,$AD163,0))</f>
        <v/>
      </c>
      <c r="AF163">
        <f>IF($A163="","",IF($N163=1,$AD163,$H163*($M163+$AA163)))</f>
        <v/>
      </c>
      <c r="AG163">
        <f>IF($A163="","",$I163*(1+$X163*$AC163))</f>
        <v/>
      </c>
      <c r="AH163">
        <f>IF($A163="","",$AF163*$AG163+$AE163*$AB163)</f>
        <v/>
      </c>
    </row>
    <row r="164">
      <c r="A164">
        <f>IF(Moteur!D164="","",Moteur!D164)</f>
        <v/>
      </c>
      <c r="B164">
        <f>IF(Moteur!B164="","",Moteur!B164)</f>
        <v/>
      </c>
      <c r="C164">
        <f>IF(Moteur!F164="","",Moteur!F164)</f>
        <v/>
      </c>
      <c r="D164">
        <f>IF(Moteur!G164="","",Moteur!G164)</f>
        <v/>
      </c>
      <c r="E164">
        <f>IF(Moteur!H164="","",Moteur!H164)</f>
        <v/>
      </c>
      <c r="F164">
        <f>IF(Moteur!E164="","",Moteur!E164)</f>
        <v/>
      </c>
      <c r="G164">
        <f>IF($A164="","",SUMIFS(Socle!$H$1:$H$379,Socle!$C$1:$C$379,$A164,Socle!$D$1:$D$379,$C164,Socle!$E$1:$E$379,$D164,Socle!$F$1:$F$379,$E164,Socle!$G$1:$G$379,"2026"))</f>
        <v/>
      </c>
      <c r="H164">
        <f>IF($A164="","",SUMIFS(Socle!$N$1:$N$379,Socle!$C$1:$C$379,$A164,Socle!$D$1:$D$379,$C164,Socle!$E$1:$E$379,$D164,Socle!$F$1:$F$379,$E164,Socle!$G$1:$G$379,"2026"))</f>
        <v/>
      </c>
      <c r="I164">
        <f>IF($A164="","",SUMIFS(Socle!$P$1:$P$379,Socle!$C$1:$C$379,$A164,Socle!$D$1:$D$379,$C164,Socle!$E$1:$E$379,$D164,Socle!$F$1:$F$379,$E164,Socle!$G$1:$G$379,"2026"))</f>
        <v/>
      </c>
      <c r="J164">
        <f>IF($A164="","",SUMIFS(Socle!$W$1:$W$379,Socle!$C$1:$C$379,$A164,Socle!$D$1:$D$379,$C164,Socle!$E$1:$E$379,$D164,Socle!$F$1:$F$379,$E164,Socle!$G$1:$G$379,"2026"))</f>
        <v/>
      </c>
      <c r="K164">
        <f>IF($A164="","",SUMIFS(Socle!$X$1:$X$379,Socle!$C$1:$C$379,$A164,Socle!$D$1:$D$379,$C164,Socle!$E$1:$E$379,$D164,Socle!$F$1:$F$379,$E164,Socle!$G$1:$G$379,"2026"))</f>
        <v/>
      </c>
      <c r="L164">
        <f>IF($A164="","",SUMIFS(Socle!$Y$1:$Y$379,Socle!$C$1:$C$379,$A164,Socle!$D$1:$D$379,$C164,Socle!$E$1:$E$379,$D164,Socle!$F$1:$F$379,$E164,Socle!$G$1:$G$379,"2026"))</f>
        <v/>
      </c>
      <c r="M164">
        <f>IF($A164="","",SUMIFS(Socle!$V$1:$V$379,Socle!$C$1:$C$379,$A164,Socle!$D$1:$D$379,$C164,Socle!$E$1:$E$379,$D164,Socle!$F$1:$F$379,$E164,Socle!$G$1:$G$379,"2026"))</f>
        <v/>
      </c>
      <c r="N164">
        <f>IF($A164="","",IF(OR($D164="B1",$D164="M1",$D164="BTS1"),1,0))</f>
        <v/>
      </c>
      <c r="O164">
        <f>IF($A164="","",SUMIFS(Campagne!$D$1:$D$28,Campagne!$C$1:$C$28,$A164))</f>
        <v/>
      </c>
      <c r="P164">
        <f>IF($A164="","",SUMIFS(Campagne!$E$1:$E$28,Campagne!$C$1:$C$28,$A164))</f>
        <v/>
      </c>
      <c r="Q164">
        <f>IF($A164="","",SUMIFS(Campagne!$F$1:$F$28,Campagne!$C$1:$C$28,$A164))</f>
        <v/>
      </c>
      <c r="R164">
        <f>IF($A164="","",SUMIFS(Campagne!$K$1:$K$28,Campagne!$C$1:$C$28,$A164))</f>
        <v/>
      </c>
      <c r="S164">
        <f>IF($A164="","",SUMIFS(Campagne!$M$1:$M$28,Campagne!$C$1:$C$28,$A164))</f>
        <v/>
      </c>
      <c r="T164">
        <f>IF($A164="","",SUMIFS(Pilotage!$K$19:$K$32,Pilotage!$A$19:$A$32,$A164)*SUMIFS(Pilotage!$J$19:$J$32,Pilotage!$A$19:$A$32,$A164)*(SUM(Pilotage!$K$19:$K$32)/SUMPRODUCT(Pilotage!$K$19:$K$32,Pilotage!$J$19:$J$32)))</f>
        <v/>
      </c>
      <c r="U164">
        <f>IF($A164="","",SUMIFS(Pilotage!$K$19:$K$32,Pilotage!$A$19:$A$32,$A164))</f>
        <v/>
      </c>
      <c r="V164">
        <f>IF($A164="","",IF($B164="V01",Cadrage!$C$22,IF($B164="V02",Cadrage!$D$22,Cadrage!$E$22)))</f>
        <v/>
      </c>
      <c r="W164">
        <f>IF($A164="","",IF($B164="V01",Cadrage!$C$23,IF($B164="V02",Cadrage!$D$23,Cadrage!$E$23)))</f>
        <v/>
      </c>
      <c r="X164">
        <f>IF($A164="","",IF($B164="V01",Cadrage!$C$24,IF($B164="V02",Cadrage!$D$24,Cadrage!$E$24)))</f>
        <v/>
      </c>
      <c r="Y164">
        <f>IF($A164="","",IF($B164="V01",Cadrage!$C$25,IF($B164="V02",Cadrage!$D$25,Cadrage!$E$25)))</f>
        <v/>
      </c>
      <c r="Z164">
        <f>IF($A164="","",IF($B164="V01",Cadrage!$C$26,IF($B164="V02",Cadrage!$D$26,Cadrage!$E$26)))</f>
        <v/>
      </c>
      <c r="AA164">
        <f>IF($A164="","",IF($B164="V01",Cadrage!$C$27,IF($B164="V02",Cadrage!$D$27,Cadrage!$E$27)))</f>
        <v/>
      </c>
      <c r="AB164">
        <f>IF($A164="","",IF($B164="V01",Cadrage!$C$39,IF($B164="V02",Cadrage!$D$39,Cadrage!$E$39)))</f>
        <v/>
      </c>
      <c r="AC164">
        <f>IF($A164="","",IF($F164="MBWAY",Cadrage!$K$11,IF($F164="ISCOM",Cadrage!$K$12,IF($F164="IPAC",Cadrage!$K$13,IF($F164="PIGIER",Cadrage!$K$14,Cadrage!$K$15)))))</f>
        <v/>
      </c>
      <c r="AD164">
        <f>IF($A164="","",($O164*(1+$W164)^$S164+$P164*IFERROR((($T164/$U164)*(1+$V164))^$R164,0))*IFERROR($G164/$Q164,0)*($J164+$Y164)*$K164*($L164+$Z164))</f>
        <v/>
      </c>
      <c r="AE164">
        <f>IF($A164="","",IF($N164=1,$AD164,0))</f>
        <v/>
      </c>
      <c r="AF164">
        <f>IF($A164="","",IF($N164=1,$AD164,$H164*($M164+$AA164)))</f>
        <v/>
      </c>
      <c r="AG164">
        <f>IF($A164="","",$I164*(1+$X164*$AC164))</f>
        <v/>
      </c>
      <c r="AH164">
        <f>IF($A164="","",$AF164*$AG164+$AE164*$AB164)</f>
        <v/>
      </c>
    </row>
    <row r="165">
      <c r="A165">
        <f>IF(Moteur!D165="","",Moteur!D165)</f>
        <v/>
      </c>
      <c r="B165">
        <f>IF(Moteur!B165="","",Moteur!B165)</f>
        <v/>
      </c>
      <c r="C165">
        <f>IF(Moteur!F165="","",Moteur!F165)</f>
        <v/>
      </c>
      <c r="D165">
        <f>IF(Moteur!G165="","",Moteur!G165)</f>
        <v/>
      </c>
      <c r="E165">
        <f>IF(Moteur!H165="","",Moteur!H165)</f>
        <v/>
      </c>
      <c r="F165">
        <f>IF(Moteur!E165="","",Moteur!E165)</f>
        <v/>
      </c>
      <c r="G165">
        <f>IF($A165="","",SUMIFS(Socle!$H$1:$H$379,Socle!$C$1:$C$379,$A165,Socle!$D$1:$D$379,$C165,Socle!$E$1:$E$379,$D165,Socle!$F$1:$F$379,$E165,Socle!$G$1:$G$379,"2026"))</f>
        <v/>
      </c>
      <c r="H165">
        <f>IF($A165="","",SUMIFS(Socle!$N$1:$N$379,Socle!$C$1:$C$379,$A165,Socle!$D$1:$D$379,$C165,Socle!$E$1:$E$379,$D165,Socle!$F$1:$F$379,$E165,Socle!$G$1:$G$379,"2026"))</f>
        <v/>
      </c>
      <c r="I165">
        <f>IF($A165="","",SUMIFS(Socle!$P$1:$P$379,Socle!$C$1:$C$379,$A165,Socle!$D$1:$D$379,$C165,Socle!$E$1:$E$379,$D165,Socle!$F$1:$F$379,$E165,Socle!$G$1:$G$379,"2026"))</f>
        <v/>
      </c>
      <c r="J165">
        <f>IF($A165="","",SUMIFS(Socle!$W$1:$W$379,Socle!$C$1:$C$379,$A165,Socle!$D$1:$D$379,$C165,Socle!$E$1:$E$379,$D165,Socle!$F$1:$F$379,$E165,Socle!$G$1:$G$379,"2026"))</f>
        <v/>
      </c>
      <c r="K165">
        <f>IF($A165="","",SUMIFS(Socle!$X$1:$X$379,Socle!$C$1:$C$379,$A165,Socle!$D$1:$D$379,$C165,Socle!$E$1:$E$379,$D165,Socle!$F$1:$F$379,$E165,Socle!$G$1:$G$379,"2026"))</f>
        <v/>
      </c>
      <c r="L165">
        <f>IF($A165="","",SUMIFS(Socle!$Y$1:$Y$379,Socle!$C$1:$C$379,$A165,Socle!$D$1:$D$379,$C165,Socle!$E$1:$E$379,$D165,Socle!$F$1:$F$379,$E165,Socle!$G$1:$G$379,"2026"))</f>
        <v/>
      </c>
      <c r="M165">
        <f>IF($A165="","",SUMIFS(Socle!$V$1:$V$379,Socle!$C$1:$C$379,$A165,Socle!$D$1:$D$379,$C165,Socle!$E$1:$E$379,$D165,Socle!$F$1:$F$379,$E165,Socle!$G$1:$G$379,"2026"))</f>
        <v/>
      </c>
      <c r="N165">
        <f>IF($A165="","",IF(OR($D165="B1",$D165="M1",$D165="BTS1"),1,0))</f>
        <v/>
      </c>
      <c r="O165">
        <f>IF($A165="","",SUMIFS(Campagne!$D$1:$D$28,Campagne!$C$1:$C$28,$A165))</f>
        <v/>
      </c>
      <c r="P165">
        <f>IF($A165="","",SUMIFS(Campagne!$E$1:$E$28,Campagne!$C$1:$C$28,$A165))</f>
        <v/>
      </c>
      <c r="Q165">
        <f>IF($A165="","",SUMIFS(Campagne!$F$1:$F$28,Campagne!$C$1:$C$28,$A165))</f>
        <v/>
      </c>
      <c r="R165">
        <f>IF($A165="","",SUMIFS(Campagne!$K$1:$K$28,Campagne!$C$1:$C$28,$A165))</f>
        <v/>
      </c>
      <c r="S165">
        <f>IF($A165="","",SUMIFS(Campagne!$M$1:$M$28,Campagne!$C$1:$C$28,$A165))</f>
        <v/>
      </c>
      <c r="T165">
        <f>IF($A165="","",SUMIFS(Pilotage!$K$19:$K$32,Pilotage!$A$19:$A$32,$A165)*SUMIFS(Pilotage!$J$19:$J$32,Pilotage!$A$19:$A$32,$A165)*(SUM(Pilotage!$K$19:$K$32)/SUMPRODUCT(Pilotage!$K$19:$K$32,Pilotage!$J$19:$J$32)))</f>
        <v/>
      </c>
      <c r="U165">
        <f>IF($A165="","",SUMIFS(Pilotage!$K$19:$K$32,Pilotage!$A$19:$A$32,$A165))</f>
        <v/>
      </c>
      <c r="V165">
        <f>IF($A165="","",IF($B165="V01",Cadrage!$C$22,IF($B165="V02",Cadrage!$D$22,Cadrage!$E$22)))</f>
        <v/>
      </c>
      <c r="W165">
        <f>IF($A165="","",IF($B165="V01",Cadrage!$C$23,IF($B165="V02",Cadrage!$D$23,Cadrage!$E$23)))</f>
        <v/>
      </c>
      <c r="X165">
        <f>IF($A165="","",IF($B165="V01",Cadrage!$C$24,IF($B165="V02",Cadrage!$D$24,Cadrage!$E$24)))</f>
        <v/>
      </c>
      <c r="Y165">
        <f>IF($A165="","",IF($B165="V01",Cadrage!$C$25,IF($B165="V02",Cadrage!$D$25,Cadrage!$E$25)))</f>
        <v/>
      </c>
      <c r="Z165">
        <f>IF($A165="","",IF($B165="V01",Cadrage!$C$26,IF($B165="V02",Cadrage!$D$26,Cadrage!$E$26)))</f>
        <v/>
      </c>
      <c r="AA165">
        <f>IF($A165="","",IF($B165="V01",Cadrage!$C$27,IF($B165="V02",Cadrage!$D$27,Cadrage!$E$27)))</f>
        <v/>
      </c>
      <c r="AB165">
        <f>IF($A165="","",IF($B165="V01",Cadrage!$C$39,IF($B165="V02",Cadrage!$D$39,Cadrage!$E$39)))</f>
        <v/>
      </c>
      <c r="AC165">
        <f>IF($A165="","",IF($F165="MBWAY",Cadrage!$K$11,IF($F165="ISCOM",Cadrage!$K$12,IF($F165="IPAC",Cadrage!$K$13,IF($F165="PIGIER",Cadrage!$K$14,Cadrage!$K$15)))))</f>
        <v/>
      </c>
      <c r="AD165">
        <f>IF($A165="","",($O165*(1+$W165)^$S165+$P165*IFERROR((($T165/$U165)*(1+$V165))^$R165,0))*IFERROR($G165/$Q165,0)*($J165+$Y165)*$K165*($L165+$Z165))</f>
        <v/>
      </c>
      <c r="AE165">
        <f>IF($A165="","",IF($N165=1,$AD165,0))</f>
        <v/>
      </c>
      <c r="AF165">
        <f>IF($A165="","",IF($N165=1,$AD165,$H165*($M165+$AA165)))</f>
        <v/>
      </c>
      <c r="AG165">
        <f>IF($A165="","",$I165*(1+$X165*$AC165))</f>
        <v/>
      </c>
      <c r="AH165">
        <f>IF($A165="","",$AF165*$AG165+$AE165*$AB165)</f>
        <v/>
      </c>
    </row>
    <row r="166">
      <c r="A166">
        <f>IF(Moteur!D166="","",Moteur!D166)</f>
        <v/>
      </c>
      <c r="B166">
        <f>IF(Moteur!B166="","",Moteur!B166)</f>
        <v/>
      </c>
      <c r="C166">
        <f>IF(Moteur!F166="","",Moteur!F166)</f>
        <v/>
      </c>
      <c r="D166">
        <f>IF(Moteur!G166="","",Moteur!G166)</f>
        <v/>
      </c>
      <c r="E166">
        <f>IF(Moteur!H166="","",Moteur!H166)</f>
        <v/>
      </c>
      <c r="F166">
        <f>IF(Moteur!E166="","",Moteur!E166)</f>
        <v/>
      </c>
      <c r="G166">
        <f>IF($A166="","",SUMIFS(Socle!$H$1:$H$379,Socle!$C$1:$C$379,$A166,Socle!$D$1:$D$379,$C166,Socle!$E$1:$E$379,$D166,Socle!$F$1:$F$379,$E166,Socle!$G$1:$G$379,"2026"))</f>
        <v/>
      </c>
      <c r="H166">
        <f>IF($A166="","",SUMIFS(Socle!$N$1:$N$379,Socle!$C$1:$C$379,$A166,Socle!$D$1:$D$379,$C166,Socle!$E$1:$E$379,$D166,Socle!$F$1:$F$379,$E166,Socle!$G$1:$G$379,"2026"))</f>
        <v/>
      </c>
      <c r="I166">
        <f>IF($A166="","",SUMIFS(Socle!$P$1:$P$379,Socle!$C$1:$C$379,$A166,Socle!$D$1:$D$379,$C166,Socle!$E$1:$E$379,$D166,Socle!$F$1:$F$379,$E166,Socle!$G$1:$G$379,"2026"))</f>
        <v/>
      </c>
      <c r="J166">
        <f>IF($A166="","",SUMIFS(Socle!$W$1:$W$379,Socle!$C$1:$C$379,$A166,Socle!$D$1:$D$379,$C166,Socle!$E$1:$E$379,$D166,Socle!$F$1:$F$379,$E166,Socle!$G$1:$G$379,"2026"))</f>
        <v/>
      </c>
      <c r="K166">
        <f>IF($A166="","",SUMIFS(Socle!$X$1:$X$379,Socle!$C$1:$C$379,$A166,Socle!$D$1:$D$379,$C166,Socle!$E$1:$E$379,$D166,Socle!$F$1:$F$379,$E166,Socle!$G$1:$G$379,"2026"))</f>
        <v/>
      </c>
      <c r="L166">
        <f>IF($A166="","",SUMIFS(Socle!$Y$1:$Y$379,Socle!$C$1:$C$379,$A166,Socle!$D$1:$D$379,$C166,Socle!$E$1:$E$379,$D166,Socle!$F$1:$F$379,$E166,Socle!$G$1:$G$379,"2026"))</f>
        <v/>
      </c>
      <c r="M166">
        <f>IF($A166="","",SUMIFS(Socle!$V$1:$V$379,Socle!$C$1:$C$379,$A166,Socle!$D$1:$D$379,$C166,Socle!$E$1:$E$379,$D166,Socle!$F$1:$F$379,$E166,Socle!$G$1:$G$379,"2026"))</f>
        <v/>
      </c>
      <c r="N166">
        <f>IF($A166="","",IF(OR($D166="B1",$D166="M1",$D166="BTS1"),1,0))</f>
        <v/>
      </c>
      <c r="O166">
        <f>IF($A166="","",SUMIFS(Campagne!$D$1:$D$28,Campagne!$C$1:$C$28,$A166))</f>
        <v/>
      </c>
      <c r="P166">
        <f>IF($A166="","",SUMIFS(Campagne!$E$1:$E$28,Campagne!$C$1:$C$28,$A166))</f>
        <v/>
      </c>
      <c r="Q166">
        <f>IF($A166="","",SUMIFS(Campagne!$F$1:$F$28,Campagne!$C$1:$C$28,$A166))</f>
        <v/>
      </c>
      <c r="R166">
        <f>IF($A166="","",SUMIFS(Campagne!$K$1:$K$28,Campagne!$C$1:$C$28,$A166))</f>
        <v/>
      </c>
      <c r="S166">
        <f>IF($A166="","",SUMIFS(Campagne!$M$1:$M$28,Campagne!$C$1:$C$28,$A166))</f>
        <v/>
      </c>
      <c r="T166">
        <f>IF($A166="","",SUMIFS(Pilotage!$K$19:$K$32,Pilotage!$A$19:$A$32,$A166)*SUMIFS(Pilotage!$J$19:$J$32,Pilotage!$A$19:$A$32,$A166)*(SUM(Pilotage!$K$19:$K$32)/SUMPRODUCT(Pilotage!$K$19:$K$32,Pilotage!$J$19:$J$32)))</f>
        <v/>
      </c>
      <c r="U166">
        <f>IF($A166="","",SUMIFS(Pilotage!$K$19:$K$32,Pilotage!$A$19:$A$32,$A166))</f>
        <v/>
      </c>
      <c r="V166">
        <f>IF($A166="","",IF($B166="V01",Cadrage!$C$22,IF($B166="V02",Cadrage!$D$22,Cadrage!$E$22)))</f>
        <v/>
      </c>
      <c r="W166">
        <f>IF($A166="","",IF($B166="V01",Cadrage!$C$23,IF($B166="V02",Cadrage!$D$23,Cadrage!$E$23)))</f>
        <v/>
      </c>
      <c r="X166">
        <f>IF($A166="","",IF($B166="V01",Cadrage!$C$24,IF($B166="V02",Cadrage!$D$24,Cadrage!$E$24)))</f>
        <v/>
      </c>
      <c r="Y166">
        <f>IF($A166="","",IF($B166="V01",Cadrage!$C$25,IF($B166="V02",Cadrage!$D$25,Cadrage!$E$25)))</f>
        <v/>
      </c>
      <c r="Z166">
        <f>IF($A166="","",IF($B166="V01",Cadrage!$C$26,IF($B166="V02",Cadrage!$D$26,Cadrage!$E$26)))</f>
        <v/>
      </c>
      <c r="AA166">
        <f>IF($A166="","",IF($B166="V01",Cadrage!$C$27,IF($B166="V02",Cadrage!$D$27,Cadrage!$E$27)))</f>
        <v/>
      </c>
      <c r="AB166">
        <f>IF($A166="","",IF($B166="V01",Cadrage!$C$39,IF($B166="V02",Cadrage!$D$39,Cadrage!$E$39)))</f>
        <v/>
      </c>
      <c r="AC166">
        <f>IF($A166="","",IF($F166="MBWAY",Cadrage!$K$11,IF($F166="ISCOM",Cadrage!$K$12,IF($F166="IPAC",Cadrage!$K$13,IF($F166="PIGIER",Cadrage!$K$14,Cadrage!$K$15)))))</f>
        <v/>
      </c>
      <c r="AD166">
        <f>IF($A166="","",($O166*(1+$W166)^$S166+$P166*IFERROR((($T166/$U166)*(1+$V166))^$R166,0))*IFERROR($G166/$Q166,0)*($J166+$Y166)*$K166*($L166+$Z166))</f>
        <v/>
      </c>
      <c r="AE166">
        <f>IF($A166="","",IF($N166=1,$AD166,0))</f>
        <v/>
      </c>
      <c r="AF166">
        <f>IF($A166="","",IF($N166=1,$AD166,$H166*($M166+$AA166)))</f>
        <v/>
      </c>
      <c r="AG166">
        <f>IF($A166="","",$I166*(1+$X166*$AC166))</f>
        <v/>
      </c>
      <c r="AH166">
        <f>IF($A166="","",$AF166*$AG166+$AE166*$AB166)</f>
        <v/>
      </c>
    </row>
    <row r="167">
      <c r="A167">
        <f>IF(Moteur!D167="","",Moteur!D167)</f>
        <v/>
      </c>
      <c r="B167">
        <f>IF(Moteur!B167="","",Moteur!B167)</f>
        <v/>
      </c>
      <c r="C167">
        <f>IF(Moteur!F167="","",Moteur!F167)</f>
        <v/>
      </c>
      <c r="D167">
        <f>IF(Moteur!G167="","",Moteur!G167)</f>
        <v/>
      </c>
      <c r="E167">
        <f>IF(Moteur!H167="","",Moteur!H167)</f>
        <v/>
      </c>
      <c r="F167">
        <f>IF(Moteur!E167="","",Moteur!E167)</f>
        <v/>
      </c>
      <c r="G167">
        <f>IF($A167="","",SUMIFS(Socle!$H$1:$H$379,Socle!$C$1:$C$379,$A167,Socle!$D$1:$D$379,$C167,Socle!$E$1:$E$379,$D167,Socle!$F$1:$F$379,$E167,Socle!$G$1:$G$379,"2026"))</f>
        <v/>
      </c>
      <c r="H167">
        <f>IF($A167="","",SUMIFS(Socle!$N$1:$N$379,Socle!$C$1:$C$379,$A167,Socle!$D$1:$D$379,$C167,Socle!$E$1:$E$379,$D167,Socle!$F$1:$F$379,$E167,Socle!$G$1:$G$379,"2026"))</f>
        <v/>
      </c>
      <c r="I167">
        <f>IF($A167="","",SUMIFS(Socle!$P$1:$P$379,Socle!$C$1:$C$379,$A167,Socle!$D$1:$D$379,$C167,Socle!$E$1:$E$379,$D167,Socle!$F$1:$F$379,$E167,Socle!$G$1:$G$379,"2026"))</f>
        <v/>
      </c>
      <c r="J167">
        <f>IF($A167="","",SUMIFS(Socle!$W$1:$W$379,Socle!$C$1:$C$379,$A167,Socle!$D$1:$D$379,$C167,Socle!$E$1:$E$379,$D167,Socle!$F$1:$F$379,$E167,Socle!$G$1:$G$379,"2026"))</f>
        <v/>
      </c>
      <c r="K167">
        <f>IF($A167="","",SUMIFS(Socle!$X$1:$X$379,Socle!$C$1:$C$379,$A167,Socle!$D$1:$D$379,$C167,Socle!$E$1:$E$379,$D167,Socle!$F$1:$F$379,$E167,Socle!$G$1:$G$379,"2026"))</f>
        <v/>
      </c>
      <c r="L167">
        <f>IF($A167="","",SUMIFS(Socle!$Y$1:$Y$379,Socle!$C$1:$C$379,$A167,Socle!$D$1:$D$379,$C167,Socle!$E$1:$E$379,$D167,Socle!$F$1:$F$379,$E167,Socle!$G$1:$G$379,"2026"))</f>
        <v/>
      </c>
      <c r="M167">
        <f>IF($A167="","",SUMIFS(Socle!$V$1:$V$379,Socle!$C$1:$C$379,$A167,Socle!$D$1:$D$379,$C167,Socle!$E$1:$E$379,$D167,Socle!$F$1:$F$379,$E167,Socle!$G$1:$G$379,"2026"))</f>
        <v/>
      </c>
      <c r="N167">
        <f>IF($A167="","",IF(OR($D167="B1",$D167="M1",$D167="BTS1"),1,0))</f>
        <v/>
      </c>
      <c r="O167">
        <f>IF($A167="","",SUMIFS(Campagne!$D$1:$D$28,Campagne!$C$1:$C$28,$A167))</f>
        <v/>
      </c>
      <c r="P167">
        <f>IF($A167="","",SUMIFS(Campagne!$E$1:$E$28,Campagne!$C$1:$C$28,$A167))</f>
        <v/>
      </c>
      <c r="Q167">
        <f>IF($A167="","",SUMIFS(Campagne!$F$1:$F$28,Campagne!$C$1:$C$28,$A167))</f>
        <v/>
      </c>
      <c r="R167">
        <f>IF($A167="","",SUMIFS(Campagne!$K$1:$K$28,Campagne!$C$1:$C$28,$A167))</f>
        <v/>
      </c>
      <c r="S167">
        <f>IF($A167="","",SUMIFS(Campagne!$M$1:$M$28,Campagne!$C$1:$C$28,$A167))</f>
        <v/>
      </c>
      <c r="T167">
        <f>IF($A167="","",SUMIFS(Pilotage!$K$19:$K$32,Pilotage!$A$19:$A$32,$A167)*SUMIFS(Pilotage!$J$19:$J$32,Pilotage!$A$19:$A$32,$A167)*(SUM(Pilotage!$K$19:$K$32)/SUMPRODUCT(Pilotage!$K$19:$K$32,Pilotage!$J$19:$J$32)))</f>
        <v/>
      </c>
      <c r="U167">
        <f>IF($A167="","",SUMIFS(Pilotage!$K$19:$K$32,Pilotage!$A$19:$A$32,$A167))</f>
        <v/>
      </c>
      <c r="V167">
        <f>IF($A167="","",IF($B167="V01",Cadrage!$C$22,IF($B167="V02",Cadrage!$D$22,Cadrage!$E$22)))</f>
        <v/>
      </c>
      <c r="W167">
        <f>IF($A167="","",IF($B167="V01",Cadrage!$C$23,IF($B167="V02",Cadrage!$D$23,Cadrage!$E$23)))</f>
        <v/>
      </c>
      <c r="X167">
        <f>IF($A167="","",IF($B167="V01",Cadrage!$C$24,IF($B167="V02",Cadrage!$D$24,Cadrage!$E$24)))</f>
        <v/>
      </c>
      <c r="Y167">
        <f>IF($A167="","",IF($B167="V01",Cadrage!$C$25,IF($B167="V02",Cadrage!$D$25,Cadrage!$E$25)))</f>
        <v/>
      </c>
      <c r="Z167">
        <f>IF($A167="","",IF($B167="V01",Cadrage!$C$26,IF($B167="V02",Cadrage!$D$26,Cadrage!$E$26)))</f>
        <v/>
      </c>
      <c r="AA167">
        <f>IF($A167="","",IF($B167="V01",Cadrage!$C$27,IF($B167="V02",Cadrage!$D$27,Cadrage!$E$27)))</f>
        <v/>
      </c>
      <c r="AB167">
        <f>IF($A167="","",IF($B167="V01",Cadrage!$C$39,IF($B167="V02",Cadrage!$D$39,Cadrage!$E$39)))</f>
        <v/>
      </c>
      <c r="AC167">
        <f>IF($A167="","",IF($F167="MBWAY",Cadrage!$K$11,IF($F167="ISCOM",Cadrage!$K$12,IF($F167="IPAC",Cadrage!$K$13,IF($F167="PIGIER",Cadrage!$K$14,Cadrage!$K$15)))))</f>
        <v/>
      </c>
      <c r="AD167">
        <f>IF($A167="","",($O167*(1+$W167)^$S167+$P167*IFERROR((($T167/$U167)*(1+$V167))^$R167,0))*IFERROR($G167/$Q167,0)*($J167+$Y167)*$K167*($L167+$Z167))</f>
        <v/>
      </c>
      <c r="AE167">
        <f>IF($A167="","",IF($N167=1,$AD167,0))</f>
        <v/>
      </c>
      <c r="AF167">
        <f>IF($A167="","",IF($N167=1,$AD167,$H167*($M167+$AA167)))</f>
        <v/>
      </c>
      <c r="AG167">
        <f>IF($A167="","",$I167*(1+$X167*$AC167))</f>
        <v/>
      </c>
      <c r="AH167">
        <f>IF($A167="","",$AF167*$AG167+$AE167*$AB167)</f>
        <v/>
      </c>
    </row>
    <row r="168">
      <c r="A168">
        <f>IF(Moteur!D168="","",Moteur!D168)</f>
        <v/>
      </c>
      <c r="B168">
        <f>IF(Moteur!B168="","",Moteur!B168)</f>
        <v/>
      </c>
      <c r="C168">
        <f>IF(Moteur!F168="","",Moteur!F168)</f>
        <v/>
      </c>
      <c r="D168">
        <f>IF(Moteur!G168="","",Moteur!G168)</f>
        <v/>
      </c>
      <c r="E168">
        <f>IF(Moteur!H168="","",Moteur!H168)</f>
        <v/>
      </c>
      <c r="F168">
        <f>IF(Moteur!E168="","",Moteur!E168)</f>
        <v/>
      </c>
      <c r="G168">
        <f>IF($A168="","",SUMIFS(Socle!$H$1:$H$379,Socle!$C$1:$C$379,$A168,Socle!$D$1:$D$379,$C168,Socle!$E$1:$E$379,$D168,Socle!$F$1:$F$379,$E168,Socle!$G$1:$G$379,"2026"))</f>
        <v/>
      </c>
      <c r="H168">
        <f>IF($A168="","",SUMIFS(Socle!$N$1:$N$379,Socle!$C$1:$C$379,$A168,Socle!$D$1:$D$379,$C168,Socle!$E$1:$E$379,$D168,Socle!$F$1:$F$379,$E168,Socle!$G$1:$G$379,"2026"))</f>
        <v/>
      </c>
      <c r="I168">
        <f>IF($A168="","",SUMIFS(Socle!$P$1:$P$379,Socle!$C$1:$C$379,$A168,Socle!$D$1:$D$379,$C168,Socle!$E$1:$E$379,$D168,Socle!$F$1:$F$379,$E168,Socle!$G$1:$G$379,"2026"))</f>
        <v/>
      </c>
      <c r="J168">
        <f>IF($A168="","",SUMIFS(Socle!$W$1:$W$379,Socle!$C$1:$C$379,$A168,Socle!$D$1:$D$379,$C168,Socle!$E$1:$E$379,$D168,Socle!$F$1:$F$379,$E168,Socle!$G$1:$G$379,"2026"))</f>
        <v/>
      </c>
      <c r="K168">
        <f>IF($A168="","",SUMIFS(Socle!$X$1:$X$379,Socle!$C$1:$C$379,$A168,Socle!$D$1:$D$379,$C168,Socle!$E$1:$E$379,$D168,Socle!$F$1:$F$379,$E168,Socle!$G$1:$G$379,"2026"))</f>
        <v/>
      </c>
      <c r="L168">
        <f>IF($A168="","",SUMIFS(Socle!$Y$1:$Y$379,Socle!$C$1:$C$379,$A168,Socle!$D$1:$D$379,$C168,Socle!$E$1:$E$379,$D168,Socle!$F$1:$F$379,$E168,Socle!$G$1:$G$379,"2026"))</f>
        <v/>
      </c>
      <c r="M168">
        <f>IF($A168="","",SUMIFS(Socle!$V$1:$V$379,Socle!$C$1:$C$379,$A168,Socle!$D$1:$D$379,$C168,Socle!$E$1:$E$379,$D168,Socle!$F$1:$F$379,$E168,Socle!$G$1:$G$379,"2026"))</f>
        <v/>
      </c>
      <c r="N168">
        <f>IF($A168="","",IF(OR($D168="B1",$D168="M1",$D168="BTS1"),1,0))</f>
        <v/>
      </c>
      <c r="O168">
        <f>IF($A168="","",SUMIFS(Campagne!$D$1:$D$28,Campagne!$C$1:$C$28,$A168))</f>
        <v/>
      </c>
      <c r="P168">
        <f>IF($A168="","",SUMIFS(Campagne!$E$1:$E$28,Campagne!$C$1:$C$28,$A168))</f>
        <v/>
      </c>
      <c r="Q168">
        <f>IF($A168="","",SUMIFS(Campagne!$F$1:$F$28,Campagne!$C$1:$C$28,$A168))</f>
        <v/>
      </c>
      <c r="R168">
        <f>IF($A168="","",SUMIFS(Campagne!$K$1:$K$28,Campagne!$C$1:$C$28,$A168))</f>
        <v/>
      </c>
      <c r="S168">
        <f>IF($A168="","",SUMIFS(Campagne!$M$1:$M$28,Campagne!$C$1:$C$28,$A168))</f>
        <v/>
      </c>
      <c r="T168">
        <f>IF($A168="","",SUMIFS(Pilotage!$K$19:$K$32,Pilotage!$A$19:$A$32,$A168)*SUMIFS(Pilotage!$J$19:$J$32,Pilotage!$A$19:$A$32,$A168)*(SUM(Pilotage!$K$19:$K$32)/SUMPRODUCT(Pilotage!$K$19:$K$32,Pilotage!$J$19:$J$32)))</f>
        <v/>
      </c>
      <c r="U168">
        <f>IF($A168="","",SUMIFS(Pilotage!$K$19:$K$32,Pilotage!$A$19:$A$32,$A168))</f>
        <v/>
      </c>
      <c r="V168">
        <f>IF($A168="","",IF($B168="V01",Cadrage!$C$22,IF($B168="V02",Cadrage!$D$22,Cadrage!$E$22)))</f>
        <v/>
      </c>
      <c r="W168">
        <f>IF($A168="","",IF($B168="V01",Cadrage!$C$23,IF($B168="V02",Cadrage!$D$23,Cadrage!$E$23)))</f>
        <v/>
      </c>
      <c r="X168">
        <f>IF($A168="","",IF($B168="V01",Cadrage!$C$24,IF($B168="V02",Cadrage!$D$24,Cadrage!$E$24)))</f>
        <v/>
      </c>
      <c r="Y168">
        <f>IF($A168="","",IF($B168="V01",Cadrage!$C$25,IF($B168="V02",Cadrage!$D$25,Cadrage!$E$25)))</f>
        <v/>
      </c>
      <c r="Z168">
        <f>IF($A168="","",IF($B168="V01",Cadrage!$C$26,IF($B168="V02",Cadrage!$D$26,Cadrage!$E$26)))</f>
        <v/>
      </c>
      <c r="AA168">
        <f>IF($A168="","",IF($B168="V01",Cadrage!$C$27,IF($B168="V02",Cadrage!$D$27,Cadrage!$E$27)))</f>
        <v/>
      </c>
      <c r="AB168">
        <f>IF($A168="","",IF($B168="V01",Cadrage!$C$39,IF($B168="V02",Cadrage!$D$39,Cadrage!$E$39)))</f>
        <v/>
      </c>
      <c r="AC168">
        <f>IF($A168="","",IF($F168="MBWAY",Cadrage!$K$11,IF($F168="ISCOM",Cadrage!$K$12,IF($F168="IPAC",Cadrage!$K$13,IF($F168="PIGIER",Cadrage!$K$14,Cadrage!$K$15)))))</f>
        <v/>
      </c>
      <c r="AD168">
        <f>IF($A168="","",($O168*(1+$W168)^$S168+$P168*IFERROR((($T168/$U168)*(1+$V168))^$R168,0))*IFERROR($G168/$Q168,0)*($J168+$Y168)*$K168*($L168+$Z168))</f>
        <v/>
      </c>
      <c r="AE168">
        <f>IF($A168="","",IF($N168=1,$AD168,0))</f>
        <v/>
      </c>
      <c r="AF168">
        <f>IF($A168="","",IF($N168=1,$AD168,$H168*($M168+$AA168)))</f>
        <v/>
      </c>
      <c r="AG168">
        <f>IF($A168="","",$I168*(1+$X168*$AC168))</f>
        <v/>
      </c>
      <c r="AH168">
        <f>IF($A168="","",$AF168*$AG168+$AE168*$AB168)</f>
        <v/>
      </c>
    </row>
    <row r="169">
      <c r="A169">
        <f>IF(Moteur!D169="","",Moteur!D169)</f>
        <v/>
      </c>
      <c r="B169">
        <f>IF(Moteur!B169="","",Moteur!B169)</f>
        <v/>
      </c>
      <c r="C169">
        <f>IF(Moteur!F169="","",Moteur!F169)</f>
        <v/>
      </c>
      <c r="D169">
        <f>IF(Moteur!G169="","",Moteur!G169)</f>
        <v/>
      </c>
      <c r="E169">
        <f>IF(Moteur!H169="","",Moteur!H169)</f>
        <v/>
      </c>
      <c r="F169">
        <f>IF(Moteur!E169="","",Moteur!E169)</f>
        <v/>
      </c>
      <c r="G169">
        <f>IF($A169="","",SUMIFS(Socle!$H$1:$H$379,Socle!$C$1:$C$379,$A169,Socle!$D$1:$D$379,$C169,Socle!$E$1:$E$379,$D169,Socle!$F$1:$F$379,$E169,Socle!$G$1:$G$379,"2026"))</f>
        <v/>
      </c>
      <c r="H169">
        <f>IF($A169="","",SUMIFS(Socle!$N$1:$N$379,Socle!$C$1:$C$379,$A169,Socle!$D$1:$D$379,$C169,Socle!$E$1:$E$379,$D169,Socle!$F$1:$F$379,$E169,Socle!$G$1:$G$379,"2026"))</f>
        <v/>
      </c>
      <c r="I169">
        <f>IF($A169="","",SUMIFS(Socle!$P$1:$P$379,Socle!$C$1:$C$379,$A169,Socle!$D$1:$D$379,$C169,Socle!$E$1:$E$379,$D169,Socle!$F$1:$F$379,$E169,Socle!$G$1:$G$379,"2026"))</f>
        <v/>
      </c>
      <c r="J169">
        <f>IF($A169="","",SUMIFS(Socle!$W$1:$W$379,Socle!$C$1:$C$379,$A169,Socle!$D$1:$D$379,$C169,Socle!$E$1:$E$379,$D169,Socle!$F$1:$F$379,$E169,Socle!$G$1:$G$379,"2026"))</f>
        <v/>
      </c>
      <c r="K169">
        <f>IF($A169="","",SUMIFS(Socle!$X$1:$X$379,Socle!$C$1:$C$379,$A169,Socle!$D$1:$D$379,$C169,Socle!$E$1:$E$379,$D169,Socle!$F$1:$F$379,$E169,Socle!$G$1:$G$379,"2026"))</f>
        <v/>
      </c>
      <c r="L169">
        <f>IF($A169="","",SUMIFS(Socle!$Y$1:$Y$379,Socle!$C$1:$C$379,$A169,Socle!$D$1:$D$379,$C169,Socle!$E$1:$E$379,$D169,Socle!$F$1:$F$379,$E169,Socle!$G$1:$G$379,"2026"))</f>
        <v/>
      </c>
      <c r="M169">
        <f>IF($A169="","",SUMIFS(Socle!$V$1:$V$379,Socle!$C$1:$C$379,$A169,Socle!$D$1:$D$379,$C169,Socle!$E$1:$E$379,$D169,Socle!$F$1:$F$379,$E169,Socle!$G$1:$G$379,"2026"))</f>
        <v/>
      </c>
      <c r="N169">
        <f>IF($A169="","",IF(OR($D169="B1",$D169="M1",$D169="BTS1"),1,0))</f>
        <v/>
      </c>
      <c r="O169">
        <f>IF($A169="","",SUMIFS(Campagne!$D$1:$D$28,Campagne!$C$1:$C$28,$A169))</f>
        <v/>
      </c>
      <c r="P169">
        <f>IF($A169="","",SUMIFS(Campagne!$E$1:$E$28,Campagne!$C$1:$C$28,$A169))</f>
        <v/>
      </c>
      <c r="Q169">
        <f>IF($A169="","",SUMIFS(Campagne!$F$1:$F$28,Campagne!$C$1:$C$28,$A169))</f>
        <v/>
      </c>
      <c r="R169">
        <f>IF($A169="","",SUMIFS(Campagne!$K$1:$K$28,Campagne!$C$1:$C$28,$A169))</f>
        <v/>
      </c>
      <c r="S169">
        <f>IF($A169="","",SUMIFS(Campagne!$M$1:$M$28,Campagne!$C$1:$C$28,$A169))</f>
        <v/>
      </c>
      <c r="T169">
        <f>IF($A169="","",SUMIFS(Pilotage!$K$19:$K$32,Pilotage!$A$19:$A$32,$A169)*SUMIFS(Pilotage!$J$19:$J$32,Pilotage!$A$19:$A$32,$A169)*(SUM(Pilotage!$K$19:$K$32)/SUMPRODUCT(Pilotage!$K$19:$K$32,Pilotage!$J$19:$J$32)))</f>
        <v/>
      </c>
      <c r="U169">
        <f>IF($A169="","",SUMIFS(Pilotage!$K$19:$K$32,Pilotage!$A$19:$A$32,$A169))</f>
        <v/>
      </c>
      <c r="V169">
        <f>IF($A169="","",IF($B169="V01",Cadrage!$C$22,IF($B169="V02",Cadrage!$D$22,Cadrage!$E$22)))</f>
        <v/>
      </c>
      <c r="W169">
        <f>IF($A169="","",IF($B169="V01",Cadrage!$C$23,IF($B169="V02",Cadrage!$D$23,Cadrage!$E$23)))</f>
        <v/>
      </c>
      <c r="X169">
        <f>IF($A169="","",IF($B169="V01",Cadrage!$C$24,IF($B169="V02",Cadrage!$D$24,Cadrage!$E$24)))</f>
        <v/>
      </c>
      <c r="Y169">
        <f>IF($A169="","",IF($B169="V01",Cadrage!$C$25,IF($B169="V02",Cadrage!$D$25,Cadrage!$E$25)))</f>
        <v/>
      </c>
      <c r="Z169">
        <f>IF($A169="","",IF($B169="V01",Cadrage!$C$26,IF($B169="V02",Cadrage!$D$26,Cadrage!$E$26)))</f>
        <v/>
      </c>
      <c r="AA169">
        <f>IF($A169="","",IF($B169="V01",Cadrage!$C$27,IF($B169="V02",Cadrage!$D$27,Cadrage!$E$27)))</f>
        <v/>
      </c>
      <c r="AB169">
        <f>IF($A169="","",IF($B169="V01",Cadrage!$C$39,IF($B169="V02",Cadrage!$D$39,Cadrage!$E$39)))</f>
        <v/>
      </c>
      <c r="AC169">
        <f>IF($A169="","",IF($F169="MBWAY",Cadrage!$K$11,IF($F169="ISCOM",Cadrage!$K$12,IF($F169="IPAC",Cadrage!$K$13,IF($F169="PIGIER",Cadrage!$K$14,Cadrage!$K$15)))))</f>
        <v/>
      </c>
      <c r="AD169">
        <f>IF($A169="","",($O169*(1+$W169)^$S169+$P169*IFERROR((($T169/$U169)*(1+$V169))^$R169,0))*IFERROR($G169/$Q169,0)*($J169+$Y169)*$K169*($L169+$Z169))</f>
        <v/>
      </c>
      <c r="AE169">
        <f>IF($A169="","",IF($N169=1,$AD169,0))</f>
        <v/>
      </c>
      <c r="AF169">
        <f>IF($A169="","",IF($N169=1,$AD169,$H169*($M169+$AA169)))</f>
        <v/>
      </c>
      <c r="AG169">
        <f>IF($A169="","",$I169*(1+$X169*$AC169))</f>
        <v/>
      </c>
      <c r="AH169">
        <f>IF($A169="","",$AF169*$AG169+$AE169*$AB169)</f>
        <v/>
      </c>
    </row>
    <row r="170">
      <c r="A170">
        <f>IF(Moteur!D170="","",Moteur!D170)</f>
        <v/>
      </c>
      <c r="B170">
        <f>IF(Moteur!B170="","",Moteur!B170)</f>
        <v/>
      </c>
      <c r="C170">
        <f>IF(Moteur!F170="","",Moteur!F170)</f>
        <v/>
      </c>
      <c r="D170">
        <f>IF(Moteur!G170="","",Moteur!G170)</f>
        <v/>
      </c>
      <c r="E170">
        <f>IF(Moteur!H170="","",Moteur!H170)</f>
        <v/>
      </c>
      <c r="F170">
        <f>IF(Moteur!E170="","",Moteur!E170)</f>
        <v/>
      </c>
      <c r="G170">
        <f>IF($A170="","",SUMIFS(Socle!$H$1:$H$379,Socle!$C$1:$C$379,$A170,Socle!$D$1:$D$379,$C170,Socle!$E$1:$E$379,$D170,Socle!$F$1:$F$379,$E170,Socle!$G$1:$G$379,"2026"))</f>
        <v/>
      </c>
      <c r="H170">
        <f>IF($A170="","",SUMIFS(Socle!$N$1:$N$379,Socle!$C$1:$C$379,$A170,Socle!$D$1:$D$379,$C170,Socle!$E$1:$E$379,$D170,Socle!$F$1:$F$379,$E170,Socle!$G$1:$G$379,"2026"))</f>
        <v/>
      </c>
      <c r="I170">
        <f>IF($A170="","",SUMIFS(Socle!$P$1:$P$379,Socle!$C$1:$C$379,$A170,Socle!$D$1:$D$379,$C170,Socle!$E$1:$E$379,$D170,Socle!$F$1:$F$379,$E170,Socle!$G$1:$G$379,"2026"))</f>
        <v/>
      </c>
      <c r="J170">
        <f>IF($A170="","",SUMIFS(Socle!$W$1:$W$379,Socle!$C$1:$C$379,$A170,Socle!$D$1:$D$379,$C170,Socle!$E$1:$E$379,$D170,Socle!$F$1:$F$379,$E170,Socle!$G$1:$G$379,"2026"))</f>
        <v/>
      </c>
      <c r="K170">
        <f>IF($A170="","",SUMIFS(Socle!$X$1:$X$379,Socle!$C$1:$C$379,$A170,Socle!$D$1:$D$379,$C170,Socle!$E$1:$E$379,$D170,Socle!$F$1:$F$379,$E170,Socle!$G$1:$G$379,"2026"))</f>
        <v/>
      </c>
      <c r="L170">
        <f>IF($A170="","",SUMIFS(Socle!$Y$1:$Y$379,Socle!$C$1:$C$379,$A170,Socle!$D$1:$D$379,$C170,Socle!$E$1:$E$379,$D170,Socle!$F$1:$F$379,$E170,Socle!$G$1:$G$379,"2026"))</f>
        <v/>
      </c>
      <c r="M170">
        <f>IF($A170="","",SUMIFS(Socle!$V$1:$V$379,Socle!$C$1:$C$379,$A170,Socle!$D$1:$D$379,$C170,Socle!$E$1:$E$379,$D170,Socle!$F$1:$F$379,$E170,Socle!$G$1:$G$379,"2026"))</f>
        <v/>
      </c>
      <c r="N170">
        <f>IF($A170="","",IF(OR($D170="B1",$D170="M1",$D170="BTS1"),1,0))</f>
        <v/>
      </c>
      <c r="O170">
        <f>IF($A170="","",SUMIFS(Campagne!$D$1:$D$28,Campagne!$C$1:$C$28,$A170))</f>
        <v/>
      </c>
      <c r="P170">
        <f>IF($A170="","",SUMIFS(Campagne!$E$1:$E$28,Campagne!$C$1:$C$28,$A170))</f>
        <v/>
      </c>
      <c r="Q170">
        <f>IF($A170="","",SUMIFS(Campagne!$F$1:$F$28,Campagne!$C$1:$C$28,$A170))</f>
        <v/>
      </c>
      <c r="R170">
        <f>IF($A170="","",SUMIFS(Campagne!$K$1:$K$28,Campagne!$C$1:$C$28,$A170))</f>
        <v/>
      </c>
      <c r="S170">
        <f>IF($A170="","",SUMIFS(Campagne!$M$1:$M$28,Campagne!$C$1:$C$28,$A170))</f>
        <v/>
      </c>
      <c r="T170">
        <f>IF($A170="","",SUMIFS(Pilotage!$K$19:$K$32,Pilotage!$A$19:$A$32,$A170)*SUMIFS(Pilotage!$J$19:$J$32,Pilotage!$A$19:$A$32,$A170)*(SUM(Pilotage!$K$19:$K$32)/SUMPRODUCT(Pilotage!$K$19:$K$32,Pilotage!$J$19:$J$32)))</f>
        <v/>
      </c>
      <c r="U170">
        <f>IF($A170="","",SUMIFS(Pilotage!$K$19:$K$32,Pilotage!$A$19:$A$32,$A170))</f>
        <v/>
      </c>
      <c r="V170">
        <f>IF($A170="","",IF($B170="V01",Cadrage!$C$22,IF($B170="V02",Cadrage!$D$22,Cadrage!$E$22)))</f>
        <v/>
      </c>
      <c r="W170">
        <f>IF($A170="","",IF($B170="V01",Cadrage!$C$23,IF($B170="V02",Cadrage!$D$23,Cadrage!$E$23)))</f>
        <v/>
      </c>
      <c r="X170">
        <f>IF($A170="","",IF($B170="V01",Cadrage!$C$24,IF($B170="V02",Cadrage!$D$24,Cadrage!$E$24)))</f>
        <v/>
      </c>
      <c r="Y170">
        <f>IF($A170="","",IF($B170="V01",Cadrage!$C$25,IF($B170="V02",Cadrage!$D$25,Cadrage!$E$25)))</f>
        <v/>
      </c>
      <c r="Z170">
        <f>IF($A170="","",IF($B170="V01",Cadrage!$C$26,IF($B170="V02",Cadrage!$D$26,Cadrage!$E$26)))</f>
        <v/>
      </c>
      <c r="AA170">
        <f>IF($A170="","",IF($B170="V01",Cadrage!$C$27,IF($B170="V02",Cadrage!$D$27,Cadrage!$E$27)))</f>
        <v/>
      </c>
      <c r="AB170">
        <f>IF($A170="","",IF($B170="V01",Cadrage!$C$39,IF($B170="V02",Cadrage!$D$39,Cadrage!$E$39)))</f>
        <v/>
      </c>
      <c r="AC170">
        <f>IF($A170="","",IF($F170="MBWAY",Cadrage!$K$11,IF($F170="ISCOM",Cadrage!$K$12,IF($F170="IPAC",Cadrage!$K$13,IF($F170="PIGIER",Cadrage!$K$14,Cadrage!$K$15)))))</f>
        <v/>
      </c>
      <c r="AD170">
        <f>IF($A170="","",($O170*(1+$W170)^$S170+$P170*IFERROR((($T170/$U170)*(1+$V170))^$R170,0))*IFERROR($G170/$Q170,0)*($J170+$Y170)*$K170*($L170+$Z170))</f>
        <v/>
      </c>
      <c r="AE170">
        <f>IF($A170="","",IF($N170=1,$AD170,0))</f>
        <v/>
      </c>
      <c r="AF170">
        <f>IF($A170="","",IF($N170=1,$AD170,$H170*($M170+$AA170)))</f>
        <v/>
      </c>
      <c r="AG170">
        <f>IF($A170="","",$I170*(1+$X170*$AC170))</f>
        <v/>
      </c>
      <c r="AH170">
        <f>IF($A170="","",$AF170*$AG170+$AE170*$AB170)</f>
        <v/>
      </c>
    </row>
    <row r="171">
      <c r="A171">
        <f>IF(Moteur!D171="","",Moteur!D171)</f>
        <v/>
      </c>
      <c r="B171">
        <f>IF(Moteur!B171="","",Moteur!B171)</f>
        <v/>
      </c>
      <c r="C171">
        <f>IF(Moteur!F171="","",Moteur!F171)</f>
        <v/>
      </c>
      <c r="D171">
        <f>IF(Moteur!G171="","",Moteur!G171)</f>
        <v/>
      </c>
      <c r="E171">
        <f>IF(Moteur!H171="","",Moteur!H171)</f>
        <v/>
      </c>
      <c r="F171">
        <f>IF(Moteur!E171="","",Moteur!E171)</f>
        <v/>
      </c>
      <c r="G171">
        <f>IF($A171="","",SUMIFS(Socle!$H$1:$H$379,Socle!$C$1:$C$379,$A171,Socle!$D$1:$D$379,$C171,Socle!$E$1:$E$379,$D171,Socle!$F$1:$F$379,$E171,Socle!$G$1:$G$379,"2026"))</f>
        <v/>
      </c>
      <c r="H171">
        <f>IF($A171="","",SUMIFS(Socle!$N$1:$N$379,Socle!$C$1:$C$379,$A171,Socle!$D$1:$D$379,$C171,Socle!$E$1:$E$379,$D171,Socle!$F$1:$F$379,$E171,Socle!$G$1:$G$379,"2026"))</f>
        <v/>
      </c>
      <c r="I171">
        <f>IF($A171="","",SUMIFS(Socle!$P$1:$P$379,Socle!$C$1:$C$379,$A171,Socle!$D$1:$D$379,$C171,Socle!$E$1:$E$379,$D171,Socle!$F$1:$F$379,$E171,Socle!$G$1:$G$379,"2026"))</f>
        <v/>
      </c>
      <c r="J171">
        <f>IF($A171="","",SUMIFS(Socle!$W$1:$W$379,Socle!$C$1:$C$379,$A171,Socle!$D$1:$D$379,$C171,Socle!$E$1:$E$379,$D171,Socle!$F$1:$F$379,$E171,Socle!$G$1:$G$379,"2026"))</f>
        <v/>
      </c>
      <c r="K171">
        <f>IF($A171="","",SUMIFS(Socle!$X$1:$X$379,Socle!$C$1:$C$379,$A171,Socle!$D$1:$D$379,$C171,Socle!$E$1:$E$379,$D171,Socle!$F$1:$F$379,$E171,Socle!$G$1:$G$379,"2026"))</f>
        <v/>
      </c>
      <c r="L171">
        <f>IF($A171="","",SUMIFS(Socle!$Y$1:$Y$379,Socle!$C$1:$C$379,$A171,Socle!$D$1:$D$379,$C171,Socle!$E$1:$E$379,$D171,Socle!$F$1:$F$379,$E171,Socle!$G$1:$G$379,"2026"))</f>
        <v/>
      </c>
      <c r="M171">
        <f>IF($A171="","",SUMIFS(Socle!$V$1:$V$379,Socle!$C$1:$C$379,$A171,Socle!$D$1:$D$379,$C171,Socle!$E$1:$E$379,$D171,Socle!$F$1:$F$379,$E171,Socle!$G$1:$G$379,"2026"))</f>
        <v/>
      </c>
      <c r="N171">
        <f>IF($A171="","",IF(OR($D171="B1",$D171="M1",$D171="BTS1"),1,0))</f>
        <v/>
      </c>
      <c r="O171">
        <f>IF($A171="","",SUMIFS(Campagne!$D$1:$D$28,Campagne!$C$1:$C$28,$A171))</f>
        <v/>
      </c>
      <c r="P171">
        <f>IF($A171="","",SUMIFS(Campagne!$E$1:$E$28,Campagne!$C$1:$C$28,$A171))</f>
        <v/>
      </c>
      <c r="Q171">
        <f>IF($A171="","",SUMIFS(Campagne!$F$1:$F$28,Campagne!$C$1:$C$28,$A171))</f>
        <v/>
      </c>
      <c r="R171">
        <f>IF($A171="","",SUMIFS(Campagne!$K$1:$K$28,Campagne!$C$1:$C$28,$A171))</f>
        <v/>
      </c>
      <c r="S171">
        <f>IF($A171="","",SUMIFS(Campagne!$M$1:$M$28,Campagne!$C$1:$C$28,$A171))</f>
        <v/>
      </c>
      <c r="T171">
        <f>IF($A171="","",SUMIFS(Pilotage!$K$19:$K$32,Pilotage!$A$19:$A$32,$A171)*SUMIFS(Pilotage!$J$19:$J$32,Pilotage!$A$19:$A$32,$A171)*(SUM(Pilotage!$K$19:$K$32)/SUMPRODUCT(Pilotage!$K$19:$K$32,Pilotage!$J$19:$J$32)))</f>
        <v/>
      </c>
      <c r="U171">
        <f>IF($A171="","",SUMIFS(Pilotage!$K$19:$K$32,Pilotage!$A$19:$A$32,$A171))</f>
        <v/>
      </c>
      <c r="V171">
        <f>IF($A171="","",IF($B171="V01",Cadrage!$C$22,IF($B171="V02",Cadrage!$D$22,Cadrage!$E$22)))</f>
        <v/>
      </c>
      <c r="W171">
        <f>IF($A171="","",IF($B171="V01",Cadrage!$C$23,IF($B171="V02",Cadrage!$D$23,Cadrage!$E$23)))</f>
        <v/>
      </c>
      <c r="X171">
        <f>IF($A171="","",IF($B171="V01",Cadrage!$C$24,IF($B171="V02",Cadrage!$D$24,Cadrage!$E$24)))</f>
        <v/>
      </c>
      <c r="Y171">
        <f>IF($A171="","",IF($B171="V01",Cadrage!$C$25,IF($B171="V02",Cadrage!$D$25,Cadrage!$E$25)))</f>
        <v/>
      </c>
      <c r="Z171">
        <f>IF($A171="","",IF($B171="V01",Cadrage!$C$26,IF($B171="V02",Cadrage!$D$26,Cadrage!$E$26)))</f>
        <v/>
      </c>
      <c r="AA171">
        <f>IF($A171="","",IF($B171="V01",Cadrage!$C$27,IF($B171="V02",Cadrage!$D$27,Cadrage!$E$27)))</f>
        <v/>
      </c>
      <c r="AB171">
        <f>IF($A171="","",IF($B171="V01",Cadrage!$C$39,IF($B171="V02",Cadrage!$D$39,Cadrage!$E$39)))</f>
        <v/>
      </c>
      <c r="AC171">
        <f>IF($A171="","",IF($F171="MBWAY",Cadrage!$K$11,IF($F171="ISCOM",Cadrage!$K$12,IF($F171="IPAC",Cadrage!$K$13,IF($F171="PIGIER",Cadrage!$K$14,Cadrage!$K$15)))))</f>
        <v/>
      </c>
      <c r="AD171">
        <f>IF($A171="","",($O171*(1+$W171)^$S171+$P171*IFERROR((($T171/$U171)*(1+$V171))^$R171,0))*IFERROR($G171/$Q171,0)*($J171+$Y171)*$K171*($L171+$Z171))</f>
        <v/>
      </c>
      <c r="AE171">
        <f>IF($A171="","",IF($N171=1,$AD171,0))</f>
        <v/>
      </c>
      <c r="AF171">
        <f>IF($A171="","",IF($N171=1,$AD171,$H171*($M171+$AA171)))</f>
        <v/>
      </c>
      <c r="AG171">
        <f>IF($A171="","",$I171*(1+$X171*$AC171))</f>
        <v/>
      </c>
      <c r="AH171">
        <f>IF($A171="","",$AF171*$AG171+$AE171*$AB171)</f>
        <v/>
      </c>
    </row>
    <row r="172">
      <c r="A172">
        <f>IF(Moteur!D172="","",Moteur!D172)</f>
        <v/>
      </c>
      <c r="B172">
        <f>IF(Moteur!B172="","",Moteur!B172)</f>
        <v/>
      </c>
      <c r="C172">
        <f>IF(Moteur!F172="","",Moteur!F172)</f>
        <v/>
      </c>
      <c r="D172">
        <f>IF(Moteur!G172="","",Moteur!G172)</f>
        <v/>
      </c>
      <c r="E172">
        <f>IF(Moteur!H172="","",Moteur!H172)</f>
        <v/>
      </c>
      <c r="F172">
        <f>IF(Moteur!E172="","",Moteur!E172)</f>
        <v/>
      </c>
      <c r="G172">
        <f>IF($A172="","",SUMIFS(Socle!$H$1:$H$379,Socle!$C$1:$C$379,$A172,Socle!$D$1:$D$379,$C172,Socle!$E$1:$E$379,$D172,Socle!$F$1:$F$379,$E172,Socle!$G$1:$G$379,"2026"))</f>
        <v/>
      </c>
      <c r="H172">
        <f>IF($A172="","",SUMIFS(Socle!$N$1:$N$379,Socle!$C$1:$C$379,$A172,Socle!$D$1:$D$379,$C172,Socle!$E$1:$E$379,$D172,Socle!$F$1:$F$379,$E172,Socle!$G$1:$G$379,"2026"))</f>
        <v/>
      </c>
      <c r="I172">
        <f>IF($A172="","",SUMIFS(Socle!$P$1:$P$379,Socle!$C$1:$C$379,$A172,Socle!$D$1:$D$379,$C172,Socle!$E$1:$E$379,$D172,Socle!$F$1:$F$379,$E172,Socle!$G$1:$G$379,"2026"))</f>
        <v/>
      </c>
      <c r="J172">
        <f>IF($A172="","",SUMIFS(Socle!$W$1:$W$379,Socle!$C$1:$C$379,$A172,Socle!$D$1:$D$379,$C172,Socle!$E$1:$E$379,$D172,Socle!$F$1:$F$379,$E172,Socle!$G$1:$G$379,"2026"))</f>
        <v/>
      </c>
      <c r="K172">
        <f>IF($A172="","",SUMIFS(Socle!$X$1:$X$379,Socle!$C$1:$C$379,$A172,Socle!$D$1:$D$379,$C172,Socle!$E$1:$E$379,$D172,Socle!$F$1:$F$379,$E172,Socle!$G$1:$G$379,"2026"))</f>
        <v/>
      </c>
      <c r="L172">
        <f>IF($A172="","",SUMIFS(Socle!$Y$1:$Y$379,Socle!$C$1:$C$379,$A172,Socle!$D$1:$D$379,$C172,Socle!$E$1:$E$379,$D172,Socle!$F$1:$F$379,$E172,Socle!$G$1:$G$379,"2026"))</f>
        <v/>
      </c>
      <c r="M172">
        <f>IF($A172="","",SUMIFS(Socle!$V$1:$V$379,Socle!$C$1:$C$379,$A172,Socle!$D$1:$D$379,$C172,Socle!$E$1:$E$379,$D172,Socle!$F$1:$F$379,$E172,Socle!$G$1:$G$379,"2026"))</f>
        <v/>
      </c>
      <c r="N172">
        <f>IF($A172="","",IF(OR($D172="B1",$D172="M1",$D172="BTS1"),1,0))</f>
        <v/>
      </c>
      <c r="O172">
        <f>IF($A172="","",SUMIFS(Campagne!$D$1:$D$28,Campagne!$C$1:$C$28,$A172))</f>
        <v/>
      </c>
      <c r="P172">
        <f>IF($A172="","",SUMIFS(Campagne!$E$1:$E$28,Campagne!$C$1:$C$28,$A172))</f>
        <v/>
      </c>
      <c r="Q172">
        <f>IF($A172="","",SUMIFS(Campagne!$F$1:$F$28,Campagne!$C$1:$C$28,$A172))</f>
        <v/>
      </c>
      <c r="R172">
        <f>IF($A172="","",SUMIFS(Campagne!$K$1:$K$28,Campagne!$C$1:$C$28,$A172))</f>
        <v/>
      </c>
      <c r="S172">
        <f>IF($A172="","",SUMIFS(Campagne!$M$1:$M$28,Campagne!$C$1:$C$28,$A172))</f>
        <v/>
      </c>
      <c r="T172">
        <f>IF($A172="","",SUMIFS(Pilotage!$K$19:$K$32,Pilotage!$A$19:$A$32,$A172)*SUMIFS(Pilotage!$J$19:$J$32,Pilotage!$A$19:$A$32,$A172)*(SUM(Pilotage!$K$19:$K$32)/SUMPRODUCT(Pilotage!$K$19:$K$32,Pilotage!$J$19:$J$32)))</f>
        <v/>
      </c>
      <c r="U172">
        <f>IF($A172="","",SUMIFS(Pilotage!$K$19:$K$32,Pilotage!$A$19:$A$32,$A172))</f>
        <v/>
      </c>
      <c r="V172">
        <f>IF($A172="","",IF($B172="V01",Cadrage!$C$22,IF($B172="V02",Cadrage!$D$22,Cadrage!$E$22)))</f>
        <v/>
      </c>
      <c r="W172">
        <f>IF($A172="","",IF($B172="V01",Cadrage!$C$23,IF($B172="V02",Cadrage!$D$23,Cadrage!$E$23)))</f>
        <v/>
      </c>
      <c r="X172">
        <f>IF($A172="","",IF($B172="V01",Cadrage!$C$24,IF($B172="V02",Cadrage!$D$24,Cadrage!$E$24)))</f>
        <v/>
      </c>
      <c r="Y172">
        <f>IF($A172="","",IF($B172="V01",Cadrage!$C$25,IF($B172="V02",Cadrage!$D$25,Cadrage!$E$25)))</f>
        <v/>
      </c>
      <c r="Z172">
        <f>IF($A172="","",IF($B172="V01",Cadrage!$C$26,IF($B172="V02",Cadrage!$D$26,Cadrage!$E$26)))</f>
        <v/>
      </c>
      <c r="AA172">
        <f>IF($A172="","",IF($B172="V01",Cadrage!$C$27,IF($B172="V02",Cadrage!$D$27,Cadrage!$E$27)))</f>
        <v/>
      </c>
      <c r="AB172">
        <f>IF($A172="","",IF($B172="V01",Cadrage!$C$39,IF($B172="V02",Cadrage!$D$39,Cadrage!$E$39)))</f>
        <v/>
      </c>
      <c r="AC172">
        <f>IF($A172="","",IF($F172="MBWAY",Cadrage!$K$11,IF($F172="ISCOM",Cadrage!$K$12,IF($F172="IPAC",Cadrage!$K$13,IF($F172="PIGIER",Cadrage!$K$14,Cadrage!$K$15)))))</f>
        <v/>
      </c>
      <c r="AD172">
        <f>IF($A172="","",($O172*(1+$W172)^$S172+$P172*IFERROR((($T172/$U172)*(1+$V172))^$R172,0))*IFERROR($G172/$Q172,0)*($J172+$Y172)*$K172*($L172+$Z172))</f>
        <v/>
      </c>
      <c r="AE172">
        <f>IF($A172="","",IF($N172=1,$AD172,0))</f>
        <v/>
      </c>
      <c r="AF172">
        <f>IF($A172="","",IF($N172=1,$AD172,$H172*($M172+$AA172)))</f>
        <v/>
      </c>
      <c r="AG172">
        <f>IF($A172="","",$I172*(1+$X172*$AC172))</f>
        <v/>
      </c>
      <c r="AH172">
        <f>IF($A172="","",$AF172*$AG172+$AE172*$AB172)</f>
        <v/>
      </c>
    </row>
    <row r="173">
      <c r="A173">
        <f>IF(Moteur!D173="","",Moteur!D173)</f>
        <v/>
      </c>
      <c r="B173">
        <f>IF(Moteur!B173="","",Moteur!B173)</f>
        <v/>
      </c>
      <c r="C173">
        <f>IF(Moteur!F173="","",Moteur!F173)</f>
        <v/>
      </c>
      <c r="D173">
        <f>IF(Moteur!G173="","",Moteur!G173)</f>
        <v/>
      </c>
      <c r="E173">
        <f>IF(Moteur!H173="","",Moteur!H173)</f>
        <v/>
      </c>
      <c r="F173">
        <f>IF(Moteur!E173="","",Moteur!E173)</f>
        <v/>
      </c>
      <c r="G173">
        <f>IF($A173="","",SUMIFS(Socle!$H$1:$H$379,Socle!$C$1:$C$379,$A173,Socle!$D$1:$D$379,$C173,Socle!$E$1:$E$379,$D173,Socle!$F$1:$F$379,$E173,Socle!$G$1:$G$379,"2026"))</f>
        <v/>
      </c>
      <c r="H173">
        <f>IF($A173="","",SUMIFS(Socle!$N$1:$N$379,Socle!$C$1:$C$379,$A173,Socle!$D$1:$D$379,$C173,Socle!$E$1:$E$379,$D173,Socle!$F$1:$F$379,$E173,Socle!$G$1:$G$379,"2026"))</f>
        <v/>
      </c>
      <c r="I173">
        <f>IF($A173="","",SUMIFS(Socle!$P$1:$P$379,Socle!$C$1:$C$379,$A173,Socle!$D$1:$D$379,$C173,Socle!$E$1:$E$379,$D173,Socle!$F$1:$F$379,$E173,Socle!$G$1:$G$379,"2026"))</f>
        <v/>
      </c>
      <c r="J173">
        <f>IF($A173="","",SUMIFS(Socle!$W$1:$W$379,Socle!$C$1:$C$379,$A173,Socle!$D$1:$D$379,$C173,Socle!$E$1:$E$379,$D173,Socle!$F$1:$F$379,$E173,Socle!$G$1:$G$379,"2026"))</f>
        <v/>
      </c>
      <c r="K173">
        <f>IF($A173="","",SUMIFS(Socle!$X$1:$X$379,Socle!$C$1:$C$379,$A173,Socle!$D$1:$D$379,$C173,Socle!$E$1:$E$379,$D173,Socle!$F$1:$F$379,$E173,Socle!$G$1:$G$379,"2026"))</f>
        <v/>
      </c>
      <c r="L173">
        <f>IF($A173="","",SUMIFS(Socle!$Y$1:$Y$379,Socle!$C$1:$C$379,$A173,Socle!$D$1:$D$379,$C173,Socle!$E$1:$E$379,$D173,Socle!$F$1:$F$379,$E173,Socle!$G$1:$G$379,"2026"))</f>
        <v/>
      </c>
      <c r="M173">
        <f>IF($A173="","",SUMIFS(Socle!$V$1:$V$379,Socle!$C$1:$C$379,$A173,Socle!$D$1:$D$379,$C173,Socle!$E$1:$E$379,$D173,Socle!$F$1:$F$379,$E173,Socle!$G$1:$G$379,"2026"))</f>
        <v/>
      </c>
      <c r="N173">
        <f>IF($A173="","",IF(OR($D173="B1",$D173="M1",$D173="BTS1"),1,0))</f>
        <v/>
      </c>
      <c r="O173">
        <f>IF($A173="","",SUMIFS(Campagne!$D$1:$D$28,Campagne!$C$1:$C$28,$A173))</f>
        <v/>
      </c>
      <c r="P173">
        <f>IF($A173="","",SUMIFS(Campagne!$E$1:$E$28,Campagne!$C$1:$C$28,$A173))</f>
        <v/>
      </c>
      <c r="Q173">
        <f>IF($A173="","",SUMIFS(Campagne!$F$1:$F$28,Campagne!$C$1:$C$28,$A173))</f>
        <v/>
      </c>
      <c r="R173">
        <f>IF($A173="","",SUMIFS(Campagne!$K$1:$K$28,Campagne!$C$1:$C$28,$A173))</f>
        <v/>
      </c>
      <c r="S173">
        <f>IF($A173="","",SUMIFS(Campagne!$M$1:$M$28,Campagne!$C$1:$C$28,$A173))</f>
        <v/>
      </c>
      <c r="T173">
        <f>IF($A173="","",SUMIFS(Pilotage!$K$19:$K$32,Pilotage!$A$19:$A$32,$A173)*SUMIFS(Pilotage!$J$19:$J$32,Pilotage!$A$19:$A$32,$A173)*(SUM(Pilotage!$K$19:$K$32)/SUMPRODUCT(Pilotage!$K$19:$K$32,Pilotage!$J$19:$J$32)))</f>
        <v/>
      </c>
      <c r="U173">
        <f>IF($A173="","",SUMIFS(Pilotage!$K$19:$K$32,Pilotage!$A$19:$A$32,$A173))</f>
        <v/>
      </c>
      <c r="V173">
        <f>IF($A173="","",IF($B173="V01",Cadrage!$C$22,IF($B173="V02",Cadrage!$D$22,Cadrage!$E$22)))</f>
        <v/>
      </c>
      <c r="W173">
        <f>IF($A173="","",IF($B173="V01",Cadrage!$C$23,IF($B173="V02",Cadrage!$D$23,Cadrage!$E$23)))</f>
        <v/>
      </c>
      <c r="X173">
        <f>IF($A173="","",IF($B173="V01",Cadrage!$C$24,IF($B173="V02",Cadrage!$D$24,Cadrage!$E$24)))</f>
        <v/>
      </c>
      <c r="Y173">
        <f>IF($A173="","",IF($B173="V01",Cadrage!$C$25,IF($B173="V02",Cadrage!$D$25,Cadrage!$E$25)))</f>
        <v/>
      </c>
      <c r="Z173">
        <f>IF($A173="","",IF($B173="V01",Cadrage!$C$26,IF($B173="V02",Cadrage!$D$26,Cadrage!$E$26)))</f>
        <v/>
      </c>
      <c r="AA173">
        <f>IF($A173="","",IF($B173="V01",Cadrage!$C$27,IF($B173="V02",Cadrage!$D$27,Cadrage!$E$27)))</f>
        <v/>
      </c>
      <c r="AB173">
        <f>IF($A173="","",IF($B173="V01",Cadrage!$C$39,IF($B173="V02",Cadrage!$D$39,Cadrage!$E$39)))</f>
        <v/>
      </c>
      <c r="AC173">
        <f>IF($A173="","",IF($F173="MBWAY",Cadrage!$K$11,IF($F173="ISCOM",Cadrage!$K$12,IF($F173="IPAC",Cadrage!$K$13,IF($F173="PIGIER",Cadrage!$K$14,Cadrage!$K$15)))))</f>
        <v/>
      </c>
      <c r="AD173">
        <f>IF($A173="","",($O173*(1+$W173)^$S173+$P173*IFERROR((($T173/$U173)*(1+$V173))^$R173,0))*IFERROR($G173/$Q173,0)*($J173+$Y173)*$K173*($L173+$Z173))</f>
        <v/>
      </c>
      <c r="AE173">
        <f>IF($A173="","",IF($N173=1,$AD173,0))</f>
        <v/>
      </c>
      <c r="AF173">
        <f>IF($A173="","",IF($N173=1,$AD173,$H173*($M173+$AA173)))</f>
        <v/>
      </c>
      <c r="AG173">
        <f>IF($A173="","",$I173*(1+$X173*$AC173))</f>
        <v/>
      </c>
      <c r="AH173">
        <f>IF($A173="","",$AF173*$AG173+$AE173*$AB173)</f>
        <v/>
      </c>
    </row>
    <row r="174">
      <c r="A174">
        <f>IF(Moteur!D174="","",Moteur!D174)</f>
        <v/>
      </c>
      <c r="B174">
        <f>IF(Moteur!B174="","",Moteur!B174)</f>
        <v/>
      </c>
      <c r="C174">
        <f>IF(Moteur!F174="","",Moteur!F174)</f>
        <v/>
      </c>
      <c r="D174">
        <f>IF(Moteur!G174="","",Moteur!G174)</f>
        <v/>
      </c>
      <c r="E174">
        <f>IF(Moteur!H174="","",Moteur!H174)</f>
        <v/>
      </c>
      <c r="F174">
        <f>IF(Moteur!E174="","",Moteur!E174)</f>
        <v/>
      </c>
      <c r="G174">
        <f>IF($A174="","",SUMIFS(Socle!$H$1:$H$379,Socle!$C$1:$C$379,$A174,Socle!$D$1:$D$379,$C174,Socle!$E$1:$E$379,$D174,Socle!$F$1:$F$379,$E174,Socle!$G$1:$G$379,"2026"))</f>
        <v/>
      </c>
      <c r="H174">
        <f>IF($A174="","",SUMIFS(Socle!$N$1:$N$379,Socle!$C$1:$C$379,$A174,Socle!$D$1:$D$379,$C174,Socle!$E$1:$E$379,$D174,Socle!$F$1:$F$379,$E174,Socle!$G$1:$G$379,"2026"))</f>
        <v/>
      </c>
      <c r="I174">
        <f>IF($A174="","",SUMIFS(Socle!$P$1:$P$379,Socle!$C$1:$C$379,$A174,Socle!$D$1:$D$379,$C174,Socle!$E$1:$E$379,$D174,Socle!$F$1:$F$379,$E174,Socle!$G$1:$G$379,"2026"))</f>
        <v/>
      </c>
      <c r="J174">
        <f>IF($A174="","",SUMIFS(Socle!$W$1:$W$379,Socle!$C$1:$C$379,$A174,Socle!$D$1:$D$379,$C174,Socle!$E$1:$E$379,$D174,Socle!$F$1:$F$379,$E174,Socle!$G$1:$G$379,"2026"))</f>
        <v/>
      </c>
      <c r="K174">
        <f>IF($A174="","",SUMIFS(Socle!$X$1:$X$379,Socle!$C$1:$C$379,$A174,Socle!$D$1:$D$379,$C174,Socle!$E$1:$E$379,$D174,Socle!$F$1:$F$379,$E174,Socle!$G$1:$G$379,"2026"))</f>
        <v/>
      </c>
      <c r="L174">
        <f>IF($A174="","",SUMIFS(Socle!$Y$1:$Y$379,Socle!$C$1:$C$379,$A174,Socle!$D$1:$D$379,$C174,Socle!$E$1:$E$379,$D174,Socle!$F$1:$F$379,$E174,Socle!$G$1:$G$379,"2026"))</f>
        <v/>
      </c>
      <c r="M174">
        <f>IF($A174="","",SUMIFS(Socle!$V$1:$V$379,Socle!$C$1:$C$379,$A174,Socle!$D$1:$D$379,$C174,Socle!$E$1:$E$379,$D174,Socle!$F$1:$F$379,$E174,Socle!$G$1:$G$379,"2026"))</f>
        <v/>
      </c>
      <c r="N174">
        <f>IF($A174="","",IF(OR($D174="B1",$D174="M1",$D174="BTS1"),1,0))</f>
        <v/>
      </c>
      <c r="O174">
        <f>IF($A174="","",SUMIFS(Campagne!$D$1:$D$28,Campagne!$C$1:$C$28,$A174))</f>
        <v/>
      </c>
      <c r="P174">
        <f>IF($A174="","",SUMIFS(Campagne!$E$1:$E$28,Campagne!$C$1:$C$28,$A174))</f>
        <v/>
      </c>
      <c r="Q174">
        <f>IF($A174="","",SUMIFS(Campagne!$F$1:$F$28,Campagne!$C$1:$C$28,$A174))</f>
        <v/>
      </c>
      <c r="R174">
        <f>IF($A174="","",SUMIFS(Campagne!$K$1:$K$28,Campagne!$C$1:$C$28,$A174))</f>
        <v/>
      </c>
      <c r="S174">
        <f>IF($A174="","",SUMIFS(Campagne!$M$1:$M$28,Campagne!$C$1:$C$28,$A174))</f>
        <v/>
      </c>
      <c r="T174">
        <f>IF($A174="","",SUMIFS(Pilotage!$K$19:$K$32,Pilotage!$A$19:$A$32,$A174)*SUMIFS(Pilotage!$J$19:$J$32,Pilotage!$A$19:$A$32,$A174)*(SUM(Pilotage!$K$19:$K$32)/SUMPRODUCT(Pilotage!$K$19:$K$32,Pilotage!$J$19:$J$32)))</f>
        <v/>
      </c>
      <c r="U174">
        <f>IF($A174="","",SUMIFS(Pilotage!$K$19:$K$32,Pilotage!$A$19:$A$32,$A174))</f>
        <v/>
      </c>
      <c r="V174">
        <f>IF($A174="","",IF($B174="V01",Cadrage!$C$22,IF($B174="V02",Cadrage!$D$22,Cadrage!$E$22)))</f>
        <v/>
      </c>
      <c r="W174">
        <f>IF($A174="","",IF($B174="V01",Cadrage!$C$23,IF($B174="V02",Cadrage!$D$23,Cadrage!$E$23)))</f>
        <v/>
      </c>
      <c r="X174">
        <f>IF($A174="","",IF($B174="V01",Cadrage!$C$24,IF($B174="V02",Cadrage!$D$24,Cadrage!$E$24)))</f>
        <v/>
      </c>
      <c r="Y174">
        <f>IF($A174="","",IF($B174="V01",Cadrage!$C$25,IF($B174="V02",Cadrage!$D$25,Cadrage!$E$25)))</f>
        <v/>
      </c>
      <c r="Z174">
        <f>IF($A174="","",IF($B174="V01",Cadrage!$C$26,IF($B174="V02",Cadrage!$D$26,Cadrage!$E$26)))</f>
        <v/>
      </c>
      <c r="AA174">
        <f>IF($A174="","",IF($B174="V01",Cadrage!$C$27,IF($B174="V02",Cadrage!$D$27,Cadrage!$E$27)))</f>
        <v/>
      </c>
      <c r="AB174">
        <f>IF($A174="","",IF($B174="V01",Cadrage!$C$39,IF($B174="V02",Cadrage!$D$39,Cadrage!$E$39)))</f>
        <v/>
      </c>
      <c r="AC174">
        <f>IF($A174="","",IF($F174="MBWAY",Cadrage!$K$11,IF($F174="ISCOM",Cadrage!$K$12,IF($F174="IPAC",Cadrage!$K$13,IF($F174="PIGIER",Cadrage!$K$14,Cadrage!$K$15)))))</f>
        <v/>
      </c>
      <c r="AD174">
        <f>IF($A174="","",($O174*(1+$W174)^$S174+$P174*IFERROR((($T174/$U174)*(1+$V174))^$R174,0))*IFERROR($G174/$Q174,0)*($J174+$Y174)*$K174*($L174+$Z174))</f>
        <v/>
      </c>
      <c r="AE174">
        <f>IF($A174="","",IF($N174=1,$AD174,0))</f>
        <v/>
      </c>
      <c r="AF174">
        <f>IF($A174="","",IF($N174=1,$AD174,$H174*($M174+$AA174)))</f>
        <v/>
      </c>
      <c r="AG174">
        <f>IF($A174="","",$I174*(1+$X174*$AC174))</f>
        <v/>
      </c>
      <c r="AH174">
        <f>IF($A174="","",$AF174*$AG174+$AE174*$AB174)</f>
        <v/>
      </c>
    </row>
    <row r="175">
      <c r="A175">
        <f>IF(Moteur!D175="","",Moteur!D175)</f>
        <v/>
      </c>
      <c r="B175">
        <f>IF(Moteur!B175="","",Moteur!B175)</f>
        <v/>
      </c>
      <c r="C175">
        <f>IF(Moteur!F175="","",Moteur!F175)</f>
        <v/>
      </c>
      <c r="D175">
        <f>IF(Moteur!G175="","",Moteur!G175)</f>
        <v/>
      </c>
      <c r="E175">
        <f>IF(Moteur!H175="","",Moteur!H175)</f>
        <v/>
      </c>
      <c r="F175">
        <f>IF(Moteur!E175="","",Moteur!E175)</f>
        <v/>
      </c>
      <c r="G175">
        <f>IF($A175="","",SUMIFS(Socle!$H$1:$H$379,Socle!$C$1:$C$379,$A175,Socle!$D$1:$D$379,$C175,Socle!$E$1:$E$379,$D175,Socle!$F$1:$F$379,$E175,Socle!$G$1:$G$379,"2026"))</f>
        <v/>
      </c>
      <c r="H175">
        <f>IF($A175="","",SUMIFS(Socle!$N$1:$N$379,Socle!$C$1:$C$379,$A175,Socle!$D$1:$D$379,$C175,Socle!$E$1:$E$379,$D175,Socle!$F$1:$F$379,$E175,Socle!$G$1:$G$379,"2026"))</f>
        <v/>
      </c>
      <c r="I175">
        <f>IF($A175="","",SUMIFS(Socle!$P$1:$P$379,Socle!$C$1:$C$379,$A175,Socle!$D$1:$D$379,$C175,Socle!$E$1:$E$379,$D175,Socle!$F$1:$F$379,$E175,Socle!$G$1:$G$379,"2026"))</f>
        <v/>
      </c>
      <c r="J175">
        <f>IF($A175="","",SUMIFS(Socle!$W$1:$W$379,Socle!$C$1:$C$379,$A175,Socle!$D$1:$D$379,$C175,Socle!$E$1:$E$379,$D175,Socle!$F$1:$F$379,$E175,Socle!$G$1:$G$379,"2026"))</f>
        <v/>
      </c>
      <c r="K175">
        <f>IF($A175="","",SUMIFS(Socle!$X$1:$X$379,Socle!$C$1:$C$379,$A175,Socle!$D$1:$D$379,$C175,Socle!$E$1:$E$379,$D175,Socle!$F$1:$F$379,$E175,Socle!$G$1:$G$379,"2026"))</f>
        <v/>
      </c>
      <c r="L175">
        <f>IF($A175="","",SUMIFS(Socle!$Y$1:$Y$379,Socle!$C$1:$C$379,$A175,Socle!$D$1:$D$379,$C175,Socle!$E$1:$E$379,$D175,Socle!$F$1:$F$379,$E175,Socle!$G$1:$G$379,"2026"))</f>
        <v/>
      </c>
      <c r="M175">
        <f>IF($A175="","",SUMIFS(Socle!$V$1:$V$379,Socle!$C$1:$C$379,$A175,Socle!$D$1:$D$379,$C175,Socle!$E$1:$E$379,$D175,Socle!$F$1:$F$379,$E175,Socle!$G$1:$G$379,"2026"))</f>
        <v/>
      </c>
      <c r="N175">
        <f>IF($A175="","",IF(OR($D175="B1",$D175="M1",$D175="BTS1"),1,0))</f>
        <v/>
      </c>
      <c r="O175">
        <f>IF($A175="","",SUMIFS(Campagne!$D$1:$D$28,Campagne!$C$1:$C$28,$A175))</f>
        <v/>
      </c>
      <c r="P175">
        <f>IF($A175="","",SUMIFS(Campagne!$E$1:$E$28,Campagne!$C$1:$C$28,$A175))</f>
        <v/>
      </c>
      <c r="Q175">
        <f>IF($A175="","",SUMIFS(Campagne!$F$1:$F$28,Campagne!$C$1:$C$28,$A175))</f>
        <v/>
      </c>
      <c r="R175">
        <f>IF($A175="","",SUMIFS(Campagne!$K$1:$K$28,Campagne!$C$1:$C$28,$A175))</f>
        <v/>
      </c>
      <c r="S175">
        <f>IF($A175="","",SUMIFS(Campagne!$M$1:$M$28,Campagne!$C$1:$C$28,$A175))</f>
        <v/>
      </c>
      <c r="T175">
        <f>IF($A175="","",SUMIFS(Pilotage!$K$19:$K$32,Pilotage!$A$19:$A$32,$A175)*SUMIFS(Pilotage!$J$19:$J$32,Pilotage!$A$19:$A$32,$A175)*(SUM(Pilotage!$K$19:$K$32)/SUMPRODUCT(Pilotage!$K$19:$K$32,Pilotage!$J$19:$J$32)))</f>
        <v/>
      </c>
      <c r="U175">
        <f>IF($A175="","",SUMIFS(Pilotage!$K$19:$K$32,Pilotage!$A$19:$A$32,$A175))</f>
        <v/>
      </c>
      <c r="V175">
        <f>IF($A175="","",IF($B175="V01",Cadrage!$C$22,IF($B175="V02",Cadrage!$D$22,Cadrage!$E$22)))</f>
        <v/>
      </c>
      <c r="W175">
        <f>IF($A175="","",IF($B175="V01",Cadrage!$C$23,IF($B175="V02",Cadrage!$D$23,Cadrage!$E$23)))</f>
        <v/>
      </c>
      <c r="X175">
        <f>IF($A175="","",IF($B175="V01",Cadrage!$C$24,IF($B175="V02",Cadrage!$D$24,Cadrage!$E$24)))</f>
        <v/>
      </c>
      <c r="Y175">
        <f>IF($A175="","",IF($B175="V01",Cadrage!$C$25,IF($B175="V02",Cadrage!$D$25,Cadrage!$E$25)))</f>
        <v/>
      </c>
      <c r="Z175">
        <f>IF($A175="","",IF($B175="V01",Cadrage!$C$26,IF($B175="V02",Cadrage!$D$26,Cadrage!$E$26)))</f>
        <v/>
      </c>
      <c r="AA175">
        <f>IF($A175="","",IF($B175="V01",Cadrage!$C$27,IF($B175="V02",Cadrage!$D$27,Cadrage!$E$27)))</f>
        <v/>
      </c>
      <c r="AB175">
        <f>IF($A175="","",IF($B175="V01",Cadrage!$C$39,IF($B175="V02",Cadrage!$D$39,Cadrage!$E$39)))</f>
        <v/>
      </c>
      <c r="AC175">
        <f>IF($A175="","",IF($F175="MBWAY",Cadrage!$K$11,IF($F175="ISCOM",Cadrage!$K$12,IF($F175="IPAC",Cadrage!$K$13,IF($F175="PIGIER",Cadrage!$K$14,Cadrage!$K$15)))))</f>
        <v/>
      </c>
      <c r="AD175">
        <f>IF($A175="","",($O175*(1+$W175)^$S175+$P175*IFERROR((($T175/$U175)*(1+$V175))^$R175,0))*IFERROR($G175/$Q175,0)*($J175+$Y175)*$K175*($L175+$Z175))</f>
        <v/>
      </c>
      <c r="AE175">
        <f>IF($A175="","",IF($N175=1,$AD175,0))</f>
        <v/>
      </c>
      <c r="AF175">
        <f>IF($A175="","",IF($N175=1,$AD175,$H175*($M175+$AA175)))</f>
        <v/>
      </c>
      <c r="AG175">
        <f>IF($A175="","",$I175*(1+$X175*$AC175))</f>
        <v/>
      </c>
      <c r="AH175">
        <f>IF($A175="","",$AF175*$AG175+$AE175*$AB175)</f>
        <v/>
      </c>
    </row>
    <row r="176">
      <c r="A176">
        <f>IF(Moteur!D176="","",Moteur!D176)</f>
        <v/>
      </c>
      <c r="B176">
        <f>IF(Moteur!B176="","",Moteur!B176)</f>
        <v/>
      </c>
      <c r="C176">
        <f>IF(Moteur!F176="","",Moteur!F176)</f>
        <v/>
      </c>
      <c r="D176">
        <f>IF(Moteur!G176="","",Moteur!G176)</f>
        <v/>
      </c>
      <c r="E176">
        <f>IF(Moteur!H176="","",Moteur!H176)</f>
        <v/>
      </c>
      <c r="F176">
        <f>IF(Moteur!E176="","",Moteur!E176)</f>
        <v/>
      </c>
      <c r="G176">
        <f>IF($A176="","",SUMIFS(Socle!$H$1:$H$379,Socle!$C$1:$C$379,$A176,Socle!$D$1:$D$379,$C176,Socle!$E$1:$E$379,$D176,Socle!$F$1:$F$379,$E176,Socle!$G$1:$G$379,"2026"))</f>
        <v/>
      </c>
      <c r="H176">
        <f>IF($A176="","",SUMIFS(Socle!$N$1:$N$379,Socle!$C$1:$C$379,$A176,Socle!$D$1:$D$379,$C176,Socle!$E$1:$E$379,$D176,Socle!$F$1:$F$379,$E176,Socle!$G$1:$G$379,"2026"))</f>
        <v/>
      </c>
      <c r="I176">
        <f>IF($A176="","",SUMIFS(Socle!$P$1:$P$379,Socle!$C$1:$C$379,$A176,Socle!$D$1:$D$379,$C176,Socle!$E$1:$E$379,$D176,Socle!$F$1:$F$379,$E176,Socle!$G$1:$G$379,"2026"))</f>
        <v/>
      </c>
      <c r="J176">
        <f>IF($A176="","",SUMIFS(Socle!$W$1:$W$379,Socle!$C$1:$C$379,$A176,Socle!$D$1:$D$379,$C176,Socle!$E$1:$E$379,$D176,Socle!$F$1:$F$379,$E176,Socle!$G$1:$G$379,"2026"))</f>
        <v/>
      </c>
      <c r="K176">
        <f>IF($A176="","",SUMIFS(Socle!$X$1:$X$379,Socle!$C$1:$C$379,$A176,Socle!$D$1:$D$379,$C176,Socle!$E$1:$E$379,$D176,Socle!$F$1:$F$379,$E176,Socle!$G$1:$G$379,"2026"))</f>
        <v/>
      </c>
      <c r="L176">
        <f>IF($A176="","",SUMIFS(Socle!$Y$1:$Y$379,Socle!$C$1:$C$379,$A176,Socle!$D$1:$D$379,$C176,Socle!$E$1:$E$379,$D176,Socle!$F$1:$F$379,$E176,Socle!$G$1:$G$379,"2026"))</f>
        <v/>
      </c>
      <c r="M176">
        <f>IF($A176="","",SUMIFS(Socle!$V$1:$V$379,Socle!$C$1:$C$379,$A176,Socle!$D$1:$D$379,$C176,Socle!$E$1:$E$379,$D176,Socle!$F$1:$F$379,$E176,Socle!$G$1:$G$379,"2026"))</f>
        <v/>
      </c>
      <c r="N176">
        <f>IF($A176="","",IF(OR($D176="B1",$D176="M1",$D176="BTS1"),1,0))</f>
        <v/>
      </c>
      <c r="O176">
        <f>IF($A176="","",SUMIFS(Campagne!$D$1:$D$28,Campagne!$C$1:$C$28,$A176))</f>
        <v/>
      </c>
      <c r="P176">
        <f>IF($A176="","",SUMIFS(Campagne!$E$1:$E$28,Campagne!$C$1:$C$28,$A176))</f>
        <v/>
      </c>
      <c r="Q176">
        <f>IF($A176="","",SUMIFS(Campagne!$F$1:$F$28,Campagne!$C$1:$C$28,$A176))</f>
        <v/>
      </c>
      <c r="R176">
        <f>IF($A176="","",SUMIFS(Campagne!$K$1:$K$28,Campagne!$C$1:$C$28,$A176))</f>
        <v/>
      </c>
      <c r="S176">
        <f>IF($A176="","",SUMIFS(Campagne!$M$1:$M$28,Campagne!$C$1:$C$28,$A176))</f>
        <v/>
      </c>
      <c r="T176">
        <f>IF($A176="","",SUMIFS(Pilotage!$K$19:$K$32,Pilotage!$A$19:$A$32,$A176)*SUMIFS(Pilotage!$J$19:$J$32,Pilotage!$A$19:$A$32,$A176)*(SUM(Pilotage!$K$19:$K$32)/SUMPRODUCT(Pilotage!$K$19:$K$32,Pilotage!$J$19:$J$32)))</f>
        <v/>
      </c>
      <c r="U176">
        <f>IF($A176="","",SUMIFS(Pilotage!$K$19:$K$32,Pilotage!$A$19:$A$32,$A176))</f>
        <v/>
      </c>
      <c r="V176">
        <f>IF($A176="","",IF($B176="V01",Cadrage!$C$22,IF($B176="V02",Cadrage!$D$22,Cadrage!$E$22)))</f>
        <v/>
      </c>
      <c r="W176">
        <f>IF($A176="","",IF($B176="V01",Cadrage!$C$23,IF($B176="V02",Cadrage!$D$23,Cadrage!$E$23)))</f>
        <v/>
      </c>
      <c r="X176">
        <f>IF($A176="","",IF($B176="V01",Cadrage!$C$24,IF($B176="V02",Cadrage!$D$24,Cadrage!$E$24)))</f>
        <v/>
      </c>
      <c r="Y176">
        <f>IF($A176="","",IF($B176="V01",Cadrage!$C$25,IF($B176="V02",Cadrage!$D$25,Cadrage!$E$25)))</f>
        <v/>
      </c>
      <c r="Z176">
        <f>IF($A176="","",IF($B176="V01",Cadrage!$C$26,IF($B176="V02",Cadrage!$D$26,Cadrage!$E$26)))</f>
        <v/>
      </c>
      <c r="AA176">
        <f>IF($A176="","",IF($B176="V01",Cadrage!$C$27,IF($B176="V02",Cadrage!$D$27,Cadrage!$E$27)))</f>
        <v/>
      </c>
      <c r="AB176">
        <f>IF($A176="","",IF($B176="V01",Cadrage!$C$39,IF($B176="V02",Cadrage!$D$39,Cadrage!$E$39)))</f>
        <v/>
      </c>
      <c r="AC176">
        <f>IF($A176="","",IF($F176="MBWAY",Cadrage!$K$11,IF($F176="ISCOM",Cadrage!$K$12,IF($F176="IPAC",Cadrage!$K$13,IF($F176="PIGIER",Cadrage!$K$14,Cadrage!$K$15)))))</f>
        <v/>
      </c>
      <c r="AD176">
        <f>IF($A176="","",($O176*(1+$W176)^$S176+$P176*IFERROR((($T176/$U176)*(1+$V176))^$R176,0))*IFERROR($G176/$Q176,0)*($J176+$Y176)*$K176*($L176+$Z176))</f>
        <v/>
      </c>
      <c r="AE176">
        <f>IF($A176="","",IF($N176=1,$AD176,0))</f>
        <v/>
      </c>
      <c r="AF176">
        <f>IF($A176="","",IF($N176=1,$AD176,$H176*($M176+$AA176)))</f>
        <v/>
      </c>
      <c r="AG176">
        <f>IF($A176="","",$I176*(1+$X176*$AC176))</f>
        <v/>
      </c>
      <c r="AH176">
        <f>IF($A176="","",$AF176*$AG176+$AE176*$AB176)</f>
        <v/>
      </c>
    </row>
    <row r="177">
      <c r="A177">
        <f>IF(Moteur!D177="","",Moteur!D177)</f>
        <v/>
      </c>
      <c r="B177">
        <f>IF(Moteur!B177="","",Moteur!B177)</f>
        <v/>
      </c>
      <c r="C177">
        <f>IF(Moteur!F177="","",Moteur!F177)</f>
        <v/>
      </c>
      <c r="D177">
        <f>IF(Moteur!G177="","",Moteur!G177)</f>
        <v/>
      </c>
      <c r="E177">
        <f>IF(Moteur!H177="","",Moteur!H177)</f>
        <v/>
      </c>
      <c r="F177">
        <f>IF(Moteur!E177="","",Moteur!E177)</f>
        <v/>
      </c>
      <c r="G177">
        <f>IF($A177="","",SUMIFS(Socle!$H$1:$H$379,Socle!$C$1:$C$379,$A177,Socle!$D$1:$D$379,$C177,Socle!$E$1:$E$379,$D177,Socle!$F$1:$F$379,$E177,Socle!$G$1:$G$379,"2026"))</f>
        <v/>
      </c>
      <c r="H177">
        <f>IF($A177="","",SUMIFS(Socle!$N$1:$N$379,Socle!$C$1:$C$379,$A177,Socle!$D$1:$D$379,$C177,Socle!$E$1:$E$379,$D177,Socle!$F$1:$F$379,$E177,Socle!$G$1:$G$379,"2026"))</f>
        <v/>
      </c>
      <c r="I177">
        <f>IF($A177="","",SUMIFS(Socle!$P$1:$P$379,Socle!$C$1:$C$379,$A177,Socle!$D$1:$D$379,$C177,Socle!$E$1:$E$379,$D177,Socle!$F$1:$F$379,$E177,Socle!$G$1:$G$379,"2026"))</f>
        <v/>
      </c>
      <c r="J177">
        <f>IF($A177="","",SUMIFS(Socle!$W$1:$W$379,Socle!$C$1:$C$379,$A177,Socle!$D$1:$D$379,$C177,Socle!$E$1:$E$379,$D177,Socle!$F$1:$F$379,$E177,Socle!$G$1:$G$379,"2026"))</f>
        <v/>
      </c>
      <c r="K177">
        <f>IF($A177="","",SUMIFS(Socle!$X$1:$X$379,Socle!$C$1:$C$379,$A177,Socle!$D$1:$D$379,$C177,Socle!$E$1:$E$379,$D177,Socle!$F$1:$F$379,$E177,Socle!$G$1:$G$379,"2026"))</f>
        <v/>
      </c>
      <c r="L177">
        <f>IF($A177="","",SUMIFS(Socle!$Y$1:$Y$379,Socle!$C$1:$C$379,$A177,Socle!$D$1:$D$379,$C177,Socle!$E$1:$E$379,$D177,Socle!$F$1:$F$379,$E177,Socle!$G$1:$G$379,"2026"))</f>
        <v/>
      </c>
      <c r="M177">
        <f>IF($A177="","",SUMIFS(Socle!$V$1:$V$379,Socle!$C$1:$C$379,$A177,Socle!$D$1:$D$379,$C177,Socle!$E$1:$E$379,$D177,Socle!$F$1:$F$379,$E177,Socle!$G$1:$G$379,"2026"))</f>
        <v/>
      </c>
      <c r="N177">
        <f>IF($A177="","",IF(OR($D177="B1",$D177="M1",$D177="BTS1"),1,0))</f>
        <v/>
      </c>
      <c r="O177">
        <f>IF($A177="","",SUMIFS(Campagne!$D$1:$D$28,Campagne!$C$1:$C$28,$A177))</f>
        <v/>
      </c>
      <c r="P177">
        <f>IF($A177="","",SUMIFS(Campagne!$E$1:$E$28,Campagne!$C$1:$C$28,$A177))</f>
        <v/>
      </c>
      <c r="Q177">
        <f>IF($A177="","",SUMIFS(Campagne!$F$1:$F$28,Campagne!$C$1:$C$28,$A177))</f>
        <v/>
      </c>
      <c r="R177">
        <f>IF($A177="","",SUMIFS(Campagne!$K$1:$K$28,Campagne!$C$1:$C$28,$A177))</f>
        <v/>
      </c>
      <c r="S177">
        <f>IF($A177="","",SUMIFS(Campagne!$M$1:$M$28,Campagne!$C$1:$C$28,$A177))</f>
        <v/>
      </c>
      <c r="T177">
        <f>IF($A177="","",SUMIFS(Pilotage!$K$19:$K$32,Pilotage!$A$19:$A$32,$A177)*SUMIFS(Pilotage!$J$19:$J$32,Pilotage!$A$19:$A$32,$A177)*(SUM(Pilotage!$K$19:$K$32)/SUMPRODUCT(Pilotage!$K$19:$K$32,Pilotage!$J$19:$J$32)))</f>
        <v/>
      </c>
      <c r="U177">
        <f>IF($A177="","",SUMIFS(Pilotage!$K$19:$K$32,Pilotage!$A$19:$A$32,$A177))</f>
        <v/>
      </c>
      <c r="V177">
        <f>IF($A177="","",IF($B177="V01",Cadrage!$C$22,IF($B177="V02",Cadrage!$D$22,Cadrage!$E$22)))</f>
        <v/>
      </c>
      <c r="W177">
        <f>IF($A177="","",IF($B177="V01",Cadrage!$C$23,IF($B177="V02",Cadrage!$D$23,Cadrage!$E$23)))</f>
        <v/>
      </c>
      <c r="X177">
        <f>IF($A177="","",IF($B177="V01",Cadrage!$C$24,IF($B177="V02",Cadrage!$D$24,Cadrage!$E$24)))</f>
        <v/>
      </c>
      <c r="Y177">
        <f>IF($A177="","",IF($B177="V01",Cadrage!$C$25,IF($B177="V02",Cadrage!$D$25,Cadrage!$E$25)))</f>
        <v/>
      </c>
      <c r="Z177">
        <f>IF($A177="","",IF($B177="V01",Cadrage!$C$26,IF($B177="V02",Cadrage!$D$26,Cadrage!$E$26)))</f>
        <v/>
      </c>
      <c r="AA177">
        <f>IF($A177="","",IF($B177="V01",Cadrage!$C$27,IF($B177="V02",Cadrage!$D$27,Cadrage!$E$27)))</f>
        <v/>
      </c>
      <c r="AB177">
        <f>IF($A177="","",IF($B177="V01",Cadrage!$C$39,IF($B177="V02",Cadrage!$D$39,Cadrage!$E$39)))</f>
        <v/>
      </c>
      <c r="AC177">
        <f>IF($A177="","",IF($F177="MBWAY",Cadrage!$K$11,IF($F177="ISCOM",Cadrage!$K$12,IF($F177="IPAC",Cadrage!$K$13,IF($F177="PIGIER",Cadrage!$K$14,Cadrage!$K$15)))))</f>
        <v/>
      </c>
      <c r="AD177">
        <f>IF($A177="","",($O177*(1+$W177)^$S177+$P177*IFERROR((($T177/$U177)*(1+$V177))^$R177,0))*IFERROR($G177/$Q177,0)*($J177+$Y177)*$K177*($L177+$Z177))</f>
        <v/>
      </c>
      <c r="AE177">
        <f>IF($A177="","",IF($N177=1,$AD177,0))</f>
        <v/>
      </c>
      <c r="AF177">
        <f>IF($A177="","",IF($N177=1,$AD177,$H177*($M177+$AA177)))</f>
        <v/>
      </c>
      <c r="AG177">
        <f>IF($A177="","",$I177*(1+$X177*$AC177))</f>
        <v/>
      </c>
      <c r="AH177">
        <f>IF($A177="","",$AF177*$AG177+$AE177*$AB177)</f>
        <v/>
      </c>
    </row>
    <row r="178">
      <c r="A178">
        <f>IF(Moteur!D178="","",Moteur!D178)</f>
        <v/>
      </c>
      <c r="B178">
        <f>IF(Moteur!B178="","",Moteur!B178)</f>
        <v/>
      </c>
      <c r="C178">
        <f>IF(Moteur!F178="","",Moteur!F178)</f>
        <v/>
      </c>
      <c r="D178">
        <f>IF(Moteur!G178="","",Moteur!G178)</f>
        <v/>
      </c>
      <c r="E178">
        <f>IF(Moteur!H178="","",Moteur!H178)</f>
        <v/>
      </c>
      <c r="F178">
        <f>IF(Moteur!E178="","",Moteur!E178)</f>
        <v/>
      </c>
      <c r="G178">
        <f>IF($A178="","",SUMIFS(Socle!$H$1:$H$379,Socle!$C$1:$C$379,$A178,Socle!$D$1:$D$379,$C178,Socle!$E$1:$E$379,$D178,Socle!$F$1:$F$379,$E178,Socle!$G$1:$G$379,"2026"))</f>
        <v/>
      </c>
      <c r="H178">
        <f>IF($A178="","",SUMIFS(Socle!$N$1:$N$379,Socle!$C$1:$C$379,$A178,Socle!$D$1:$D$379,$C178,Socle!$E$1:$E$379,$D178,Socle!$F$1:$F$379,$E178,Socle!$G$1:$G$379,"2026"))</f>
        <v/>
      </c>
      <c r="I178">
        <f>IF($A178="","",SUMIFS(Socle!$P$1:$P$379,Socle!$C$1:$C$379,$A178,Socle!$D$1:$D$379,$C178,Socle!$E$1:$E$379,$D178,Socle!$F$1:$F$379,$E178,Socle!$G$1:$G$379,"2026"))</f>
        <v/>
      </c>
      <c r="J178">
        <f>IF($A178="","",SUMIFS(Socle!$W$1:$W$379,Socle!$C$1:$C$379,$A178,Socle!$D$1:$D$379,$C178,Socle!$E$1:$E$379,$D178,Socle!$F$1:$F$379,$E178,Socle!$G$1:$G$379,"2026"))</f>
        <v/>
      </c>
      <c r="K178">
        <f>IF($A178="","",SUMIFS(Socle!$X$1:$X$379,Socle!$C$1:$C$379,$A178,Socle!$D$1:$D$379,$C178,Socle!$E$1:$E$379,$D178,Socle!$F$1:$F$379,$E178,Socle!$G$1:$G$379,"2026"))</f>
        <v/>
      </c>
      <c r="L178">
        <f>IF($A178="","",SUMIFS(Socle!$Y$1:$Y$379,Socle!$C$1:$C$379,$A178,Socle!$D$1:$D$379,$C178,Socle!$E$1:$E$379,$D178,Socle!$F$1:$F$379,$E178,Socle!$G$1:$G$379,"2026"))</f>
        <v/>
      </c>
      <c r="M178">
        <f>IF($A178="","",SUMIFS(Socle!$V$1:$V$379,Socle!$C$1:$C$379,$A178,Socle!$D$1:$D$379,$C178,Socle!$E$1:$E$379,$D178,Socle!$F$1:$F$379,$E178,Socle!$G$1:$G$379,"2026"))</f>
        <v/>
      </c>
      <c r="N178">
        <f>IF($A178="","",IF(OR($D178="B1",$D178="M1",$D178="BTS1"),1,0))</f>
        <v/>
      </c>
      <c r="O178">
        <f>IF($A178="","",SUMIFS(Campagne!$D$1:$D$28,Campagne!$C$1:$C$28,$A178))</f>
        <v/>
      </c>
      <c r="P178">
        <f>IF($A178="","",SUMIFS(Campagne!$E$1:$E$28,Campagne!$C$1:$C$28,$A178))</f>
        <v/>
      </c>
      <c r="Q178">
        <f>IF($A178="","",SUMIFS(Campagne!$F$1:$F$28,Campagne!$C$1:$C$28,$A178))</f>
        <v/>
      </c>
      <c r="R178">
        <f>IF($A178="","",SUMIFS(Campagne!$K$1:$K$28,Campagne!$C$1:$C$28,$A178))</f>
        <v/>
      </c>
      <c r="S178">
        <f>IF($A178="","",SUMIFS(Campagne!$M$1:$M$28,Campagne!$C$1:$C$28,$A178))</f>
        <v/>
      </c>
      <c r="T178">
        <f>IF($A178="","",SUMIFS(Pilotage!$K$19:$K$32,Pilotage!$A$19:$A$32,$A178)*SUMIFS(Pilotage!$J$19:$J$32,Pilotage!$A$19:$A$32,$A178)*(SUM(Pilotage!$K$19:$K$32)/SUMPRODUCT(Pilotage!$K$19:$K$32,Pilotage!$J$19:$J$32)))</f>
        <v/>
      </c>
      <c r="U178">
        <f>IF($A178="","",SUMIFS(Pilotage!$K$19:$K$32,Pilotage!$A$19:$A$32,$A178))</f>
        <v/>
      </c>
      <c r="V178">
        <f>IF($A178="","",IF($B178="V01",Cadrage!$C$22,IF($B178="V02",Cadrage!$D$22,Cadrage!$E$22)))</f>
        <v/>
      </c>
      <c r="W178">
        <f>IF($A178="","",IF($B178="V01",Cadrage!$C$23,IF($B178="V02",Cadrage!$D$23,Cadrage!$E$23)))</f>
        <v/>
      </c>
      <c r="X178">
        <f>IF($A178="","",IF($B178="V01",Cadrage!$C$24,IF($B178="V02",Cadrage!$D$24,Cadrage!$E$24)))</f>
        <v/>
      </c>
      <c r="Y178">
        <f>IF($A178="","",IF($B178="V01",Cadrage!$C$25,IF($B178="V02",Cadrage!$D$25,Cadrage!$E$25)))</f>
        <v/>
      </c>
      <c r="Z178">
        <f>IF($A178="","",IF($B178="V01",Cadrage!$C$26,IF($B178="V02",Cadrage!$D$26,Cadrage!$E$26)))</f>
        <v/>
      </c>
      <c r="AA178">
        <f>IF($A178="","",IF($B178="V01",Cadrage!$C$27,IF($B178="V02",Cadrage!$D$27,Cadrage!$E$27)))</f>
        <v/>
      </c>
      <c r="AB178">
        <f>IF($A178="","",IF($B178="V01",Cadrage!$C$39,IF($B178="V02",Cadrage!$D$39,Cadrage!$E$39)))</f>
        <v/>
      </c>
      <c r="AC178">
        <f>IF($A178="","",IF($F178="MBWAY",Cadrage!$K$11,IF($F178="ISCOM",Cadrage!$K$12,IF($F178="IPAC",Cadrage!$K$13,IF($F178="PIGIER",Cadrage!$K$14,Cadrage!$K$15)))))</f>
        <v/>
      </c>
      <c r="AD178">
        <f>IF($A178="","",($O178*(1+$W178)^$S178+$P178*IFERROR((($T178/$U178)*(1+$V178))^$R178,0))*IFERROR($G178/$Q178,0)*($J178+$Y178)*$K178*($L178+$Z178))</f>
        <v/>
      </c>
      <c r="AE178">
        <f>IF($A178="","",IF($N178=1,$AD178,0))</f>
        <v/>
      </c>
      <c r="AF178">
        <f>IF($A178="","",IF($N178=1,$AD178,$H178*($M178+$AA178)))</f>
        <v/>
      </c>
      <c r="AG178">
        <f>IF($A178="","",$I178*(1+$X178*$AC178))</f>
        <v/>
      </c>
      <c r="AH178">
        <f>IF($A178="","",$AF178*$AG178+$AE178*$AB178)</f>
        <v/>
      </c>
    </row>
    <row r="179">
      <c r="A179">
        <f>IF(Moteur!D179="","",Moteur!D179)</f>
        <v/>
      </c>
      <c r="B179">
        <f>IF(Moteur!B179="","",Moteur!B179)</f>
        <v/>
      </c>
      <c r="C179">
        <f>IF(Moteur!F179="","",Moteur!F179)</f>
        <v/>
      </c>
      <c r="D179">
        <f>IF(Moteur!G179="","",Moteur!G179)</f>
        <v/>
      </c>
      <c r="E179">
        <f>IF(Moteur!H179="","",Moteur!H179)</f>
        <v/>
      </c>
      <c r="F179">
        <f>IF(Moteur!E179="","",Moteur!E179)</f>
        <v/>
      </c>
      <c r="G179">
        <f>IF($A179="","",SUMIFS(Socle!$H$1:$H$379,Socle!$C$1:$C$379,$A179,Socle!$D$1:$D$379,$C179,Socle!$E$1:$E$379,$D179,Socle!$F$1:$F$379,$E179,Socle!$G$1:$G$379,"2026"))</f>
        <v/>
      </c>
      <c r="H179">
        <f>IF($A179="","",SUMIFS(Socle!$N$1:$N$379,Socle!$C$1:$C$379,$A179,Socle!$D$1:$D$379,$C179,Socle!$E$1:$E$379,$D179,Socle!$F$1:$F$379,$E179,Socle!$G$1:$G$379,"2026"))</f>
        <v/>
      </c>
      <c r="I179">
        <f>IF($A179="","",SUMIFS(Socle!$P$1:$P$379,Socle!$C$1:$C$379,$A179,Socle!$D$1:$D$379,$C179,Socle!$E$1:$E$379,$D179,Socle!$F$1:$F$379,$E179,Socle!$G$1:$G$379,"2026"))</f>
        <v/>
      </c>
      <c r="J179">
        <f>IF($A179="","",SUMIFS(Socle!$W$1:$W$379,Socle!$C$1:$C$379,$A179,Socle!$D$1:$D$379,$C179,Socle!$E$1:$E$379,$D179,Socle!$F$1:$F$379,$E179,Socle!$G$1:$G$379,"2026"))</f>
        <v/>
      </c>
      <c r="K179">
        <f>IF($A179="","",SUMIFS(Socle!$X$1:$X$379,Socle!$C$1:$C$379,$A179,Socle!$D$1:$D$379,$C179,Socle!$E$1:$E$379,$D179,Socle!$F$1:$F$379,$E179,Socle!$G$1:$G$379,"2026"))</f>
        <v/>
      </c>
      <c r="L179">
        <f>IF($A179="","",SUMIFS(Socle!$Y$1:$Y$379,Socle!$C$1:$C$379,$A179,Socle!$D$1:$D$379,$C179,Socle!$E$1:$E$379,$D179,Socle!$F$1:$F$379,$E179,Socle!$G$1:$G$379,"2026"))</f>
        <v/>
      </c>
      <c r="M179">
        <f>IF($A179="","",SUMIFS(Socle!$V$1:$V$379,Socle!$C$1:$C$379,$A179,Socle!$D$1:$D$379,$C179,Socle!$E$1:$E$379,$D179,Socle!$F$1:$F$379,$E179,Socle!$G$1:$G$379,"2026"))</f>
        <v/>
      </c>
      <c r="N179">
        <f>IF($A179="","",IF(OR($D179="B1",$D179="M1",$D179="BTS1"),1,0))</f>
        <v/>
      </c>
      <c r="O179">
        <f>IF($A179="","",SUMIFS(Campagne!$D$1:$D$28,Campagne!$C$1:$C$28,$A179))</f>
        <v/>
      </c>
      <c r="P179">
        <f>IF($A179="","",SUMIFS(Campagne!$E$1:$E$28,Campagne!$C$1:$C$28,$A179))</f>
        <v/>
      </c>
      <c r="Q179">
        <f>IF($A179="","",SUMIFS(Campagne!$F$1:$F$28,Campagne!$C$1:$C$28,$A179))</f>
        <v/>
      </c>
      <c r="R179">
        <f>IF($A179="","",SUMIFS(Campagne!$K$1:$K$28,Campagne!$C$1:$C$28,$A179))</f>
        <v/>
      </c>
      <c r="S179">
        <f>IF($A179="","",SUMIFS(Campagne!$M$1:$M$28,Campagne!$C$1:$C$28,$A179))</f>
        <v/>
      </c>
      <c r="T179">
        <f>IF($A179="","",SUMIFS(Pilotage!$K$19:$K$32,Pilotage!$A$19:$A$32,$A179)*SUMIFS(Pilotage!$J$19:$J$32,Pilotage!$A$19:$A$32,$A179)*(SUM(Pilotage!$K$19:$K$32)/SUMPRODUCT(Pilotage!$K$19:$K$32,Pilotage!$J$19:$J$32)))</f>
        <v/>
      </c>
      <c r="U179">
        <f>IF($A179="","",SUMIFS(Pilotage!$K$19:$K$32,Pilotage!$A$19:$A$32,$A179))</f>
        <v/>
      </c>
      <c r="V179">
        <f>IF($A179="","",IF($B179="V01",Cadrage!$C$22,IF($B179="V02",Cadrage!$D$22,Cadrage!$E$22)))</f>
        <v/>
      </c>
      <c r="W179">
        <f>IF($A179="","",IF($B179="V01",Cadrage!$C$23,IF($B179="V02",Cadrage!$D$23,Cadrage!$E$23)))</f>
        <v/>
      </c>
      <c r="X179">
        <f>IF($A179="","",IF($B179="V01",Cadrage!$C$24,IF($B179="V02",Cadrage!$D$24,Cadrage!$E$24)))</f>
        <v/>
      </c>
      <c r="Y179">
        <f>IF($A179="","",IF($B179="V01",Cadrage!$C$25,IF($B179="V02",Cadrage!$D$25,Cadrage!$E$25)))</f>
        <v/>
      </c>
      <c r="Z179">
        <f>IF($A179="","",IF($B179="V01",Cadrage!$C$26,IF($B179="V02",Cadrage!$D$26,Cadrage!$E$26)))</f>
        <v/>
      </c>
      <c r="AA179">
        <f>IF($A179="","",IF($B179="V01",Cadrage!$C$27,IF($B179="V02",Cadrage!$D$27,Cadrage!$E$27)))</f>
        <v/>
      </c>
      <c r="AB179">
        <f>IF($A179="","",IF($B179="V01",Cadrage!$C$39,IF($B179="V02",Cadrage!$D$39,Cadrage!$E$39)))</f>
        <v/>
      </c>
      <c r="AC179">
        <f>IF($A179="","",IF($F179="MBWAY",Cadrage!$K$11,IF($F179="ISCOM",Cadrage!$K$12,IF($F179="IPAC",Cadrage!$K$13,IF($F179="PIGIER",Cadrage!$K$14,Cadrage!$K$15)))))</f>
        <v/>
      </c>
      <c r="AD179">
        <f>IF($A179="","",($O179*(1+$W179)^$S179+$P179*IFERROR((($T179/$U179)*(1+$V179))^$R179,0))*IFERROR($G179/$Q179,0)*($J179+$Y179)*$K179*($L179+$Z179))</f>
        <v/>
      </c>
      <c r="AE179">
        <f>IF($A179="","",IF($N179=1,$AD179,0))</f>
        <v/>
      </c>
      <c r="AF179">
        <f>IF($A179="","",IF($N179=1,$AD179,$H179*($M179+$AA179)))</f>
        <v/>
      </c>
      <c r="AG179">
        <f>IF($A179="","",$I179*(1+$X179*$AC179))</f>
        <v/>
      </c>
      <c r="AH179">
        <f>IF($A179="","",$AF179*$AG179+$AE179*$AB179)</f>
        <v/>
      </c>
    </row>
    <row r="180">
      <c r="A180">
        <f>IF(Moteur!D180="","",Moteur!D180)</f>
        <v/>
      </c>
      <c r="B180">
        <f>IF(Moteur!B180="","",Moteur!B180)</f>
        <v/>
      </c>
      <c r="C180">
        <f>IF(Moteur!F180="","",Moteur!F180)</f>
        <v/>
      </c>
      <c r="D180">
        <f>IF(Moteur!G180="","",Moteur!G180)</f>
        <v/>
      </c>
      <c r="E180">
        <f>IF(Moteur!H180="","",Moteur!H180)</f>
        <v/>
      </c>
      <c r="F180">
        <f>IF(Moteur!E180="","",Moteur!E180)</f>
        <v/>
      </c>
      <c r="G180">
        <f>IF($A180="","",SUMIFS(Socle!$H$1:$H$379,Socle!$C$1:$C$379,$A180,Socle!$D$1:$D$379,$C180,Socle!$E$1:$E$379,$D180,Socle!$F$1:$F$379,$E180,Socle!$G$1:$G$379,"2026"))</f>
        <v/>
      </c>
      <c r="H180">
        <f>IF($A180="","",SUMIFS(Socle!$N$1:$N$379,Socle!$C$1:$C$379,$A180,Socle!$D$1:$D$379,$C180,Socle!$E$1:$E$379,$D180,Socle!$F$1:$F$379,$E180,Socle!$G$1:$G$379,"2026"))</f>
        <v/>
      </c>
      <c r="I180">
        <f>IF($A180="","",SUMIFS(Socle!$P$1:$P$379,Socle!$C$1:$C$379,$A180,Socle!$D$1:$D$379,$C180,Socle!$E$1:$E$379,$D180,Socle!$F$1:$F$379,$E180,Socle!$G$1:$G$379,"2026"))</f>
        <v/>
      </c>
      <c r="J180">
        <f>IF($A180="","",SUMIFS(Socle!$W$1:$W$379,Socle!$C$1:$C$379,$A180,Socle!$D$1:$D$379,$C180,Socle!$E$1:$E$379,$D180,Socle!$F$1:$F$379,$E180,Socle!$G$1:$G$379,"2026"))</f>
        <v/>
      </c>
      <c r="K180">
        <f>IF($A180="","",SUMIFS(Socle!$X$1:$X$379,Socle!$C$1:$C$379,$A180,Socle!$D$1:$D$379,$C180,Socle!$E$1:$E$379,$D180,Socle!$F$1:$F$379,$E180,Socle!$G$1:$G$379,"2026"))</f>
        <v/>
      </c>
      <c r="L180">
        <f>IF($A180="","",SUMIFS(Socle!$Y$1:$Y$379,Socle!$C$1:$C$379,$A180,Socle!$D$1:$D$379,$C180,Socle!$E$1:$E$379,$D180,Socle!$F$1:$F$379,$E180,Socle!$G$1:$G$379,"2026"))</f>
        <v/>
      </c>
      <c r="M180">
        <f>IF($A180="","",SUMIFS(Socle!$V$1:$V$379,Socle!$C$1:$C$379,$A180,Socle!$D$1:$D$379,$C180,Socle!$E$1:$E$379,$D180,Socle!$F$1:$F$379,$E180,Socle!$G$1:$G$379,"2026"))</f>
        <v/>
      </c>
      <c r="N180">
        <f>IF($A180="","",IF(OR($D180="B1",$D180="M1",$D180="BTS1"),1,0))</f>
        <v/>
      </c>
      <c r="O180">
        <f>IF($A180="","",SUMIFS(Campagne!$D$1:$D$28,Campagne!$C$1:$C$28,$A180))</f>
        <v/>
      </c>
      <c r="P180">
        <f>IF($A180="","",SUMIFS(Campagne!$E$1:$E$28,Campagne!$C$1:$C$28,$A180))</f>
        <v/>
      </c>
      <c r="Q180">
        <f>IF($A180="","",SUMIFS(Campagne!$F$1:$F$28,Campagne!$C$1:$C$28,$A180))</f>
        <v/>
      </c>
      <c r="R180">
        <f>IF($A180="","",SUMIFS(Campagne!$K$1:$K$28,Campagne!$C$1:$C$28,$A180))</f>
        <v/>
      </c>
      <c r="S180">
        <f>IF($A180="","",SUMIFS(Campagne!$M$1:$M$28,Campagne!$C$1:$C$28,$A180))</f>
        <v/>
      </c>
      <c r="T180">
        <f>IF($A180="","",SUMIFS(Pilotage!$K$19:$K$32,Pilotage!$A$19:$A$32,$A180)*SUMIFS(Pilotage!$J$19:$J$32,Pilotage!$A$19:$A$32,$A180)*(SUM(Pilotage!$K$19:$K$32)/SUMPRODUCT(Pilotage!$K$19:$K$32,Pilotage!$J$19:$J$32)))</f>
        <v/>
      </c>
      <c r="U180">
        <f>IF($A180="","",SUMIFS(Pilotage!$K$19:$K$32,Pilotage!$A$19:$A$32,$A180))</f>
        <v/>
      </c>
      <c r="V180">
        <f>IF($A180="","",IF($B180="V01",Cadrage!$C$22,IF($B180="V02",Cadrage!$D$22,Cadrage!$E$22)))</f>
        <v/>
      </c>
      <c r="W180">
        <f>IF($A180="","",IF($B180="V01",Cadrage!$C$23,IF($B180="V02",Cadrage!$D$23,Cadrage!$E$23)))</f>
        <v/>
      </c>
      <c r="X180">
        <f>IF($A180="","",IF($B180="V01",Cadrage!$C$24,IF($B180="V02",Cadrage!$D$24,Cadrage!$E$24)))</f>
        <v/>
      </c>
      <c r="Y180">
        <f>IF($A180="","",IF($B180="V01",Cadrage!$C$25,IF($B180="V02",Cadrage!$D$25,Cadrage!$E$25)))</f>
        <v/>
      </c>
      <c r="Z180">
        <f>IF($A180="","",IF($B180="V01",Cadrage!$C$26,IF($B180="V02",Cadrage!$D$26,Cadrage!$E$26)))</f>
        <v/>
      </c>
      <c r="AA180">
        <f>IF($A180="","",IF($B180="V01",Cadrage!$C$27,IF($B180="V02",Cadrage!$D$27,Cadrage!$E$27)))</f>
        <v/>
      </c>
      <c r="AB180">
        <f>IF($A180="","",IF($B180="V01",Cadrage!$C$39,IF($B180="V02",Cadrage!$D$39,Cadrage!$E$39)))</f>
        <v/>
      </c>
      <c r="AC180">
        <f>IF($A180="","",IF($F180="MBWAY",Cadrage!$K$11,IF($F180="ISCOM",Cadrage!$K$12,IF($F180="IPAC",Cadrage!$K$13,IF($F180="PIGIER",Cadrage!$K$14,Cadrage!$K$15)))))</f>
        <v/>
      </c>
      <c r="AD180">
        <f>IF($A180="","",($O180*(1+$W180)^$S180+$P180*IFERROR((($T180/$U180)*(1+$V180))^$R180,0))*IFERROR($G180/$Q180,0)*($J180+$Y180)*$K180*($L180+$Z180))</f>
        <v/>
      </c>
      <c r="AE180">
        <f>IF($A180="","",IF($N180=1,$AD180,0))</f>
        <v/>
      </c>
      <c r="AF180">
        <f>IF($A180="","",IF($N180=1,$AD180,$H180*($M180+$AA180)))</f>
        <v/>
      </c>
      <c r="AG180">
        <f>IF($A180="","",$I180*(1+$X180*$AC180))</f>
        <v/>
      </c>
      <c r="AH180">
        <f>IF($A180="","",$AF180*$AG180+$AE180*$AB180)</f>
        <v/>
      </c>
    </row>
    <row r="181">
      <c r="A181">
        <f>IF(Moteur!D181="","",Moteur!D181)</f>
        <v/>
      </c>
      <c r="B181">
        <f>IF(Moteur!B181="","",Moteur!B181)</f>
        <v/>
      </c>
      <c r="C181">
        <f>IF(Moteur!F181="","",Moteur!F181)</f>
        <v/>
      </c>
      <c r="D181">
        <f>IF(Moteur!G181="","",Moteur!G181)</f>
        <v/>
      </c>
      <c r="E181">
        <f>IF(Moteur!H181="","",Moteur!H181)</f>
        <v/>
      </c>
      <c r="F181">
        <f>IF(Moteur!E181="","",Moteur!E181)</f>
        <v/>
      </c>
      <c r="G181">
        <f>IF($A181="","",SUMIFS(Socle!$H$1:$H$379,Socle!$C$1:$C$379,$A181,Socle!$D$1:$D$379,$C181,Socle!$E$1:$E$379,$D181,Socle!$F$1:$F$379,$E181,Socle!$G$1:$G$379,"2026"))</f>
        <v/>
      </c>
      <c r="H181">
        <f>IF($A181="","",SUMIFS(Socle!$N$1:$N$379,Socle!$C$1:$C$379,$A181,Socle!$D$1:$D$379,$C181,Socle!$E$1:$E$379,$D181,Socle!$F$1:$F$379,$E181,Socle!$G$1:$G$379,"2026"))</f>
        <v/>
      </c>
      <c r="I181">
        <f>IF($A181="","",SUMIFS(Socle!$P$1:$P$379,Socle!$C$1:$C$379,$A181,Socle!$D$1:$D$379,$C181,Socle!$E$1:$E$379,$D181,Socle!$F$1:$F$379,$E181,Socle!$G$1:$G$379,"2026"))</f>
        <v/>
      </c>
      <c r="J181">
        <f>IF($A181="","",SUMIFS(Socle!$W$1:$W$379,Socle!$C$1:$C$379,$A181,Socle!$D$1:$D$379,$C181,Socle!$E$1:$E$379,$D181,Socle!$F$1:$F$379,$E181,Socle!$G$1:$G$379,"2026"))</f>
        <v/>
      </c>
      <c r="K181">
        <f>IF($A181="","",SUMIFS(Socle!$X$1:$X$379,Socle!$C$1:$C$379,$A181,Socle!$D$1:$D$379,$C181,Socle!$E$1:$E$379,$D181,Socle!$F$1:$F$379,$E181,Socle!$G$1:$G$379,"2026"))</f>
        <v/>
      </c>
      <c r="L181">
        <f>IF($A181="","",SUMIFS(Socle!$Y$1:$Y$379,Socle!$C$1:$C$379,$A181,Socle!$D$1:$D$379,$C181,Socle!$E$1:$E$379,$D181,Socle!$F$1:$F$379,$E181,Socle!$G$1:$G$379,"2026"))</f>
        <v/>
      </c>
      <c r="M181">
        <f>IF($A181="","",SUMIFS(Socle!$V$1:$V$379,Socle!$C$1:$C$379,$A181,Socle!$D$1:$D$379,$C181,Socle!$E$1:$E$379,$D181,Socle!$F$1:$F$379,$E181,Socle!$G$1:$G$379,"2026"))</f>
        <v/>
      </c>
      <c r="N181">
        <f>IF($A181="","",IF(OR($D181="B1",$D181="M1",$D181="BTS1"),1,0))</f>
        <v/>
      </c>
      <c r="O181">
        <f>IF($A181="","",SUMIFS(Campagne!$D$1:$D$28,Campagne!$C$1:$C$28,$A181))</f>
        <v/>
      </c>
      <c r="P181">
        <f>IF($A181="","",SUMIFS(Campagne!$E$1:$E$28,Campagne!$C$1:$C$28,$A181))</f>
        <v/>
      </c>
      <c r="Q181">
        <f>IF($A181="","",SUMIFS(Campagne!$F$1:$F$28,Campagne!$C$1:$C$28,$A181))</f>
        <v/>
      </c>
      <c r="R181">
        <f>IF($A181="","",SUMIFS(Campagne!$K$1:$K$28,Campagne!$C$1:$C$28,$A181))</f>
        <v/>
      </c>
      <c r="S181">
        <f>IF($A181="","",SUMIFS(Campagne!$M$1:$M$28,Campagne!$C$1:$C$28,$A181))</f>
        <v/>
      </c>
      <c r="T181">
        <f>IF($A181="","",SUMIFS(Pilotage!$K$19:$K$32,Pilotage!$A$19:$A$32,$A181)*SUMIFS(Pilotage!$J$19:$J$32,Pilotage!$A$19:$A$32,$A181)*(SUM(Pilotage!$K$19:$K$32)/SUMPRODUCT(Pilotage!$K$19:$K$32,Pilotage!$J$19:$J$32)))</f>
        <v/>
      </c>
      <c r="U181">
        <f>IF($A181="","",SUMIFS(Pilotage!$K$19:$K$32,Pilotage!$A$19:$A$32,$A181))</f>
        <v/>
      </c>
      <c r="V181">
        <f>IF($A181="","",IF($B181="V01",Cadrage!$C$22,IF($B181="V02",Cadrage!$D$22,Cadrage!$E$22)))</f>
        <v/>
      </c>
      <c r="W181">
        <f>IF($A181="","",IF($B181="V01",Cadrage!$C$23,IF($B181="V02",Cadrage!$D$23,Cadrage!$E$23)))</f>
        <v/>
      </c>
      <c r="X181">
        <f>IF($A181="","",IF($B181="V01",Cadrage!$C$24,IF($B181="V02",Cadrage!$D$24,Cadrage!$E$24)))</f>
        <v/>
      </c>
      <c r="Y181">
        <f>IF($A181="","",IF($B181="V01",Cadrage!$C$25,IF($B181="V02",Cadrage!$D$25,Cadrage!$E$25)))</f>
        <v/>
      </c>
      <c r="Z181">
        <f>IF($A181="","",IF($B181="V01",Cadrage!$C$26,IF($B181="V02",Cadrage!$D$26,Cadrage!$E$26)))</f>
        <v/>
      </c>
      <c r="AA181">
        <f>IF($A181="","",IF($B181="V01",Cadrage!$C$27,IF($B181="V02",Cadrage!$D$27,Cadrage!$E$27)))</f>
        <v/>
      </c>
      <c r="AB181">
        <f>IF($A181="","",IF($B181="V01",Cadrage!$C$39,IF($B181="V02",Cadrage!$D$39,Cadrage!$E$39)))</f>
        <v/>
      </c>
      <c r="AC181">
        <f>IF($A181="","",IF($F181="MBWAY",Cadrage!$K$11,IF($F181="ISCOM",Cadrage!$K$12,IF($F181="IPAC",Cadrage!$K$13,IF($F181="PIGIER",Cadrage!$K$14,Cadrage!$K$15)))))</f>
        <v/>
      </c>
      <c r="AD181">
        <f>IF($A181="","",($O181*(1+$W181)^$S181+$P181*IFERROR((($T181/$U181)*(1+$V181))^$R181,0))*IFERROR($G181/$Q181,0)*($J181+$Y181)*$K181*($L181+$Z181))</f>
        <v/>
      </c>
      <c r="AE181">
        <f>IF($A181="","",IF($N181=1,$AD181,0))</f>
        <v/>
      </c>
      <c r="AF181">
        <f>IF($A181="","",IF($N181=1,$AD181,$H181*($M181+$AA181)))</f>
        <v/>
      </c>
      <c r="AG181">
        <f>IF($A181="","",$I181*(1+$X181*$AC181))</f>
        <v/>
      </c>
      <c r="AH181">
        <f>IF($A181="","",$AF181*$AG181+$AE181*$AB181)</f>
        <v/>
      </c>
    </row>
    <row r="182">
      <c r="A182">
        <f>IF(Moteur!D182="","",Moteur!D182)</f>
        <v/>
      </c>
      <c r="B182">
        <f>IF(Moteur!B182="","",Moteur!B182)</f>
        <v/>
      </c>
      <c r="C182">
        <f>IF(Moteur!F182="","",Moteur!F182)</f>
        <v/>
      </c>
      <c r="D182">
        <f>IF(Moteur!G182="","",Moteur!G182)</f>
        <v/>
      </c>
      <c r="E182">
        <f>IF(Moteur!H182="","",Moteur!H182)</f>
        <v/>
      </c>
      <c r="F182">
        <f>IF(Moteur!E182="","",Moteur!E182)</f>
        <v/>
      </c>
      <c r="G182">
        <f>IF($A182="","",SUMIFS(Socle!$H$1:$H$379,Socle!$C$1:$C$379,$A182,Socle!$D$1:$D$379,$C182,Socle!$E$1:$E$379,$D182,Socle!$F$1:$F$379,$E182,Socle!$G$1:$G$379,"2026"))</f>
        <v/>
      </c>
      <c r="H182">
        <f>IF($A182="","",SUMIFS(Socle!$N$1:$N$379,Socle!$C$1:$C$379,$A182,Socle!$D$1:$D$379,$C182,Socle!$E$1:$E$379,$D182,Socle!$F$1:$F$379,$E182,Socle!$G$1:$G$379,"2026"))</f>
        <v/>
      </c>
      <c r="I182">
        <f>IF($A182="","",SUMIFS(Socle!$P$1:$P$379,Socle!$C$1:$C$379,$A182,Socle!$D$1:$D$379,$C182,Socle!$E$1:$E$379,$D182,Socle!$F$1:$F$379,$E182,Socle!$G$1:$G$379,"2026"))</f>
        <v/>
      </c>
      <c r="J182">
        <f>IF($A182="","",SUMIFS(Socle!$W$1:$W$379,Socle!$C$1:$C$379,$A182,Socle!$D$1:$D$379,$C182,Socle!$E$1:$E$379,$D182,Socle!$F$1:$F$379,$E182,Socle!$G$1:$G$379,"2026"))</f>
        <v/>
      </c>
      <c r="K182">
        <f>IF($A182="","",SUMIFS(Socle!$X$1:$X$379,Socle!$C$1:$C$379,$A182,Socle!$D$1:$D$379,$C182,Socle!$E$1:$E$379,$D182,Socle!$F$1:$F$379,$E182,Socle!$G$1:$G$379,"2026"))</f>
        <v/>
      </c>
      <c r="L182">
        <f>IF($A182="","",SUMIFS(Socle!$Y$1:$Y$379,Socle!$C$1:$C$379,$A182,Socle!$D$1:$D$379,$C182,Socle!$E$1:$E$379,$D182,Socle!$F$1:$F$379,$E182,Socle!$G$1:$G$379,"2026"))</f>
        <v/>
      </c>
      <c r="M182">
        <f>IF($A182="","",SUMIFS(Socle!$V$1:$V$379,Socle!$C$1:$C$379,$A182,Socle!$D$1:$D$379,$C182,Socle!$E$1:$E$379,$D182,Socle!$F$1:$F$379,$E182,Socle!$G$1:$G$379,"2026"))</f>
        <v/>
      </c>
      <c r="N182">
        <f>IF($A182="","",IF(OR($D182="B1",$D182="M1",$D182="BTS1"),1,0))</f>
        <v/>
      </c>
      <c r="O182">
        <f>IF($A182="","",SUMIFS(Campagne!$D$1:$D$28,Campagne!$C$1:$C$28,$A182))</f>
        <v/>
      </c>
      <c r="P182">
        <f>IF($A182="","",SUMIFS(Campagne!$E$1:$E$28,Campagne!$C$1:$C$28,$A182))</f>
        <v/>
      </c>
      <c r="Q182">
        <f>IF($A182="","",SUMIFS(Campagne!$F$1:$F$28,Campagne!$C$1:$C$28,$A182))</f>
        <v/>
      </c>
      <c r="R182">
        <f>IF($A182="","",SUMIFS(Campagne!$K$1:$K$28,Campagne!$C$1:$C$28,$A182))</f>
        <v/>
      </c>
      <c r="S182">
        <f>IF($A182="","",SUMIFS(Campagne!$M$1:$M$28,Campagne!$C$1:$C$28,$A182))</f>
        <v/>
      </c>
      <c r="T182">
        <f>IF($A182="","",SUMIFS(Pilotage!$K$19:$K$32,Pilotage!$A$19:$A$32,$A182)*SUMIFS(Pilotage!$J$19:$J$32,Pilotage!$A$19:$A$32,$A182)*(SUM(Pilotage!$K$19:$K$32)/SUMPRODUCT(Pilotage!$K$19:$K$32,Pilotage!$J$19:$J$32)))</f>
        <v/>
      </c>
      <c r="U182">
        <f>IF($A182="","",SUMIFS(Pilotage!$K$19:$K$32,Pilotage!$A$19:$A$32,$A182))</f>
        <v/>
      </c>
      <c r="V182">
        <f>IF($A182="","",IF($B182="V01",Cadrage!$C$22,IF($B182="V02",Cadrage!$D$22,Cadrage!$E$22)))</f>
        <v/>
      </c>
      <c r="W182">
        <f>IF($A182="","",IF($B182="V01",Cadrage!$C$23,IF($B182="V02",Cadrage!$D$23,Cadrage!$E$23)))</f>
        <v/>
      </c>
      <c r="X182">
        <f>IF($A182="","",IF($B182="V01",Cadrage!$C$24,IF($B182="V02",Cadrage!$D$24,Cadrage!$E$24)))</f>
        <v/>
      </c>
      <c r="Y182">
        <f>IF($A182="","",IF($B182="V01",Cadrage!$C$25,IF($B182="V02",Cadrage!$D$25,Cadrage!$E$25)))</f>
        <v/>
      </c>
      <c r="Z182">
        <f>IF($A182="","",IF($B182="V01",Cadrage!$C$26,IF($B182="V02",Cadrage!$D$26,Cadrage!$E$26)))</f>
        <v/>
      </c>
      <c r="AA182">
        <f>IF($A182="","",IF($B182="V01",Cadrage!$C$27,IF($B182="V02",Cadrage!$D$27,Cadrage!$E$27)))</f>
        <v/>
      </c>
      <c r="AB182">
        <f>IF($A182="","",IF($B182="V01",Cadrage!$C$39,IF($B182="V02",Cadrage!$D$39,Cadrage!$E$39)))</f>
        <v/>
      </c>
      <c r="AC182">
        <f>IF($A182="","",IF($F182="MBWAY",Cadrage!$K$11,IF($F182="ISCOM",Cadrage!$K$12,IF($F182="IPAC",Cadrage!$K$13,IF($F182="PIGIER",Cadrage!$K$14,Cadrage!$K$15)))))</f>
        <v/>
      </c>
      <c r="AD182">
        <f>IF($A182="","",($O182*(1+$W182)^$S182+$P182*IFERROR((($T182/$U182)*(1+$V182))^$R182,0))*IFERROR($G182/$Q182,0)*($J182+$Y182)*$K182*($L182+$Z182))</f>
        <v/>
      </c>
      <c r="AE182">
        <f>IF($A182="","",IF($N182=1,$AD182,0))</f>
        <v/>
      </c>
      <c r="AF182">
        <f>IF($A182="","",IF($N182=1,$AD182,$H182*($M182+$AA182)))</f>
        <v/>
      </c>
      <c r="AG182">
        <f>IF($A182="","",$I182*(1+$X182*$AC182))</f>
        <v/>
      </c>
      <c r="AH182">
        <f>IF($A182="","",$AF182*$AG182+$AE182*$AB182)</f>
        <v/>
      </c>
    </row>
    <row r="183">
      <c r="A183">
        <f>IF(Moteur!D183="","",Moteur!D183)</f>
        <v/>
      </c>
      <c r="B183">
        <f>IF(Moteur!B183="","",Moteur!B183)</f>
        <v/>
      </c>
      <c r="C183">
        <f>IF(Moteur!F183="","",Moteur!F183)</f>
        <v/>
      </c>
      <c r="D183">
        <f>IF(Moteur!G183="","",Moteur!G183)</f>
        <v/>
      </c>
      <c r="E183">
        <f>IF(Moteur!H183="","",Moteur!H183)</f>
        <v/>
      </c>
      <c r="F183">
        <f>IF(Moteur!E183="","",Moteur!E183)</f>
        <v/>
      </c>
      <c r="G183">
        <f>IF($A183="","",SUMIFS(Socle!$H$1:$H$379,Socle!$C$1:$C$379,$A183,Socle!$D$1:$D$379,$C183,Socle!$E$1:$E$379,$D183,Socle!$F$1:$F$379,$E183,Socle!$G$1:$G$379,"2026"))</f>
        <v/>
      </c>
      <c r="H183">
        <f>IF($A183="","",SUMIFS(Socle!$N$1:$N$379,Socle!$C$1:$C$379,$A183,Socle!$D$1:$D$379,$C183,Socle!$E$1:$E$379,$D183,Socle!$F$1:$F$379,$E183,Socle!$G$1:$G$379,"2026"))</f>
        <v/>
      </c>
      <c r="I183">
        <f>IF($A183="","",SUMIFS(Socle!$P$1:$P$379,Socle!$C$1:$C$379,$A183,Socle!$D$1:$D$379,$C183,Socle!$E$1:$E$379,$D183,Socle!$F$1:$F$379,$E183,Socle!$G$1:$G$379,"2026"))</f>
        <v/>
      </c>
      <c r="J183">
        <f>IF($A183="","",SUMIFS(Socle!$W$1:$W$379,Socle!$C$1:$C$379,$A183,Socle!$D$1:$D$379,$C183,Socle!$E$1:$E$379,$D183,Socle!$F$1:$F$379,$E183,Socle!$G$1:$G$379,"2026"))</f>
        <v/>
      </c>
      <c r="K183">
        <f>IF($A183="","",SUMIFS(Socle!$X$1:$X$379,Socle!$C$1:$C$379,$A183,Socle!$D$1:$D$379,$C183,Socle!$E$1:$E$379,$D183,Socle!$F$1:$F$379,$E183,Socle!$G$1:$G$379,"2026"))</f>
        <v/>
      </c>
      <c r="L183">
        <f>IF($A183="","",SUMIFS(Socle!$Y$1:$Y$379,Socle!$C$1:$C$379,$A183,Socle!$D$1:$D$379,$C183,Socle!$E$1:$E$379,$D183,Socle!$F$1:$F$379,$E183,Socle!$G$1:$G$379,"2026"))</f>
        <v/>
      </c>
      <c r="M183">
        <f>IF($A183="","",SUMIFS(Socle!$V$1:$V$379,Socle!$C$1:$C$379,$A183,Socle!$D$1:$D$379,$C183,Socle!$E$1:$E$379,$D183,Socle!$F$1:$F$379,$E183,Socle!$G$1:$G$379,"2026"))</f>
        <v/>
      </c>
      <c r="N183">
        <f>IF($A183="","",IF(OR($D183="B1",$D183="M1",$D183="BTS1"),1,0))</f>
        <v/>
      </c>
      <c r="O183">
        <f>IF($A183="","",SUMIFS(Campagne!$D$1:$D$28,Campagne!$C$1:$C$28,$A183))</f>
        <v/>
      </c>
      <c r="P183">
        <f>IF($A183="","",SUMIFS(Campagne!$E$1:$E$28,Campagne!$C$1:$C$28,$A183))</f>
        <v/>
      </c>
      <c r="Q183">
        <f>IF($A183="","",SUMIFS(Campagne!$F$1:$F$28,Campagne!$C$1:$C$28,$A183))</f>
        <v/>
      </c>
      <c r="R183">
        <f>IF($A183="","",SUMIFS(Campagne!$K$1:$K$28,Campagne!$C$1:$C$28,$A183))</f>
        <v/>
      </c>
      <c r="S183">
        <f>IF($A183="","",SUMIFS(Campagne!$M$1:$M$28,Campagne!$C$1:$C$28,$A183))</f>
        <v/>
      </c>
      <c r="T183">
        <f>IF($A183="","",SUMIFS(Pilotage!$K$19:$K$32,Pilotage!$A$19:$A$32,$A183)*SUMIFS(Pilotage!$J$19:$J$32,Pilotage!$A$19:$A$32,$A183)*(SUM(Pilotage!$K$19:$K$32)/SUMPRODUCT(Pilotage!$K$19:$K$32,Pilotage!$J$19:$J$32)))</f>
        <v/>
      </c>
      <c r="U183">
        <f>IF($A183="","",SUMIFS(Pilotage!$K$19:$K$32,Pilotage!$A$19:$A$32,$A183))</f>
        <v/>
      </c>
      <c r="V183">
        <f>IF($A183="","",IF($B183="V01",Cadrage!$C$22,IF($B183="V02",Cadrage!$D$22,Cadrage!$E$22)))</f>
        <v/>
      </c>
      <c r="W183">
        <f>IF($A183="","",IF($B183="V01",Cadrage!$C$23,IF($B183="V02",Cadrage!$D$23,Cadrage!$E$23)))</f>
        <v/>
      </c>
      <c r="X183">
        <f>IF($A183="","",IF($B183="V01",Cadrage!$C$24,IF($B183="V02",Cadrage!$D$24,Cadrage!$E$24)))</f>
        <v/>
      </c>
      <c r="Y183">
        <f>IF($A183="","",IF($B183="V01",Cadrage!$C$25,IF($B183="V02",Cadrage!$D$25,Cadrage!$E$25)))</f>
        <v/>
      </c>
      <c r="Z183">
        <f>IF($A183="","",IF($B183="V01",Cadrage!$C$26,IF($B183="V02",Cadrage!$D$26,Cadrage!$E$26)))</f>
        <v/>
      </c>
      <c r="AA183">
        <f>IF($A183="","",IF($B183="V01",Cadrage!$C$27,IF($B183="V02",Cadrage!$D$27,Cadrage!$E$27)))</f>
        <v/>
      </c>
      <c r="AB183">
        <f>IF($A183="","",IF($B183="V01",Cadrage!$C$39,IF($B183="V02",Cadrage!$D$39,Cadrage!$E$39)))</f>
        <v/>
      </c>
      <c r="AC183">
        <f>IF($A183="","",IF($F183="MBWAY",Cadrage!$K$11,IF($F183="ISCOM",Cadrage!$K$12,IF($F183="IPAC",Cadrage!$K$13,IF($F183="PIGIER",Cadrage!$K$14,Cadrage!$K$15)))))</f>
        <v/>
      </c>
      <c r="AD183">
        <f>IF($A183="","",($O183*(1+$W183)^$S183+$P183*IFERROR((($T183/$U183)*(1+$V183))^$R183,0))*IFERROR($G183/$Q183,0)*($J183+$Y183)*$K183*($L183+$Z183))</f>
        <v/>
      </c>
      <c r="AE183">
        <f>IF($A183="","",IF($N183=1,$AD183,0))</f>
        <v/>
      </c>
      <c r="AF183">
        <f>IF($A183="","",IF($N183=1,$AD183,$H183*($M183+$AA183)))</f>
        <v/>
      </c>
      <c r="AG183">
        <f>IF($A183="","",$I183*(1+$X183*$AC183))</f>
        <v/>
      </c>
      <c r="AH183">
        <f>IF($A183="","",$AF183*$AG183+$AE183*$AB183)</f>
        <v/>
      </c>
    </row>
    <row r="184">
      <c r="A184">
        <f>IF(Moteur!D184="","",Moteur!D184)</f>
        <v/>
      </c>
      <c r="B184">
        <f>IF(Moteur!B184="","",Moteur!B184)</f>
        <v/>
      </c>
      <c r="C184">
        <f>IF(Moteur!F184="","",Moteur!F184)</f>
        <v/>
      </c>
      <c r="D184">
        <f>IF(Moteur!G184="","",Moteur!G184)</f>
        <v/>
      </c>
      <c r="E184">
        <f>IF(Moteur!H184="","",Moteur!H184)</f>
        <v/>
      </c>
      <c r="F184">
        <f>IF(Moteur!E184="","",Moteur!E184)</f>
        <v/>
      </c>
      <c r="G184">
        <f>IF($A184="","",SUMIFS(Socle!$H$1:$H$379,Socle!$C$1:$C$379,$A184,Socle!$D$1:$D$379,$C184,Socle!$E$1:$E$379,$D184,Socle!$F$1:$F$379,$E184,Socle!$G$1:$G$379,"2026"))</f>
        <v/>
      </c>
      <c r="H184">
        <f>IF($A184="","",SUMIFS(Socle!$N$1:$N$379,Socle!$C$1:$C$379,$A184,Socle!$D$1:$D$379,$C184,Socle!$E$1:$E$379,$D184,Socle!$F$1:$F$379,$E184,Socle!$G$1:$G$379,"2026"))</f>
        <v/>
      </c>
      <c r="I184">
        <f>IF($A184="","",SUMIFS(Socle!$P$1:$P$379,Socle!$C$1:$C$379,$A184,Socle!$D$1:$D$379,$C184,Socle!$E$1:$E$379,$D184,Socle!$F$1:$F$379,$E184,Socle!$G$1:$G$379,"2026"))</f>
        <v/>
      </c>
      <c r="J184">
        <f>IF($A184="","",SUMIFS(Socle!$W$1:$W$379,Socle!$C$1:$C$379,$A184,Socle!$D$1:$D$379,$C184,Socle!$E$1:$E$379,$D184,Socle!$F$1:$F$379,$E184,Socle!$G$1:$G$379,"2026"))</f>
        <v/>
      </c>
      <c r="K184">
        <f>IF($A184="","",SUMIFS(Socle!$X$1:$X$379,Socle!$C$1:$C$379,$A184,Socle!$D$1:$D$379,$C184,Socle!$E$1:$E$379,$D184,Socle!$F$1:$F$379,$E184,Socle!$G$1:$G$379,"2026"))</f>
        <v/>
      </c>
      <c r="L184">
        <f>IF($A184="","",SUMIFS(Socle!$Y$1:$Y$379,Socle!$C$1:$C$379,$A184,Socle!$D$1:$D$379,$C184,Socle!$E$1:$E$379,$D184,Socle!$F$1:$F$379,$E184,Socle!$G$1:$G$379,"2026"))</f>
        <v/>
      </c>
      <c r="M184">
        <f>IF($A184="","",SUMIFS(Socle!$V$1:$V$379,Socle!$C$1:$C$379,$A184,Socle!$D$1:$D$379,$C184,Socle!$E$1:$E$379,$D184,Socle!$F$1:$F$379,$E184,Socle!$G$1:$G$379,"2026"))</f>
        <v/>
      </c>
      <c r="N184">
        <f>IF($A184="","",IF(OR($D184="B1",$D184="M1",$D184="BTS1"),1,0))</f>
        <v/>
      </c>
      <c r="O184">
        <f>IF($A184="","",SUMIFS(Campagne!$D$1:$D$28,Campagne!$C$1:$C$28,$A184))</f>
        <v/>
      </c>
      <c r="P184">
        <f>IF($A184="","",SUMIFS(Campagne!$E$1:$E$28,Campagne!$C$1:$C$28,$A184))</f>
        <v/>
      </c>
      <c r="Q184">
        <f>IF($A184="","",SUMIFS(Campagne!$F$1:$F$28,Campagne!$C$1:$C$28,$A184))</f>
        <v/>
      </c>
      <c r="R184">
        <f>IF($A184="","",SUMIFS(Campagne!$K$1:$K$28,Campagne!$C$1:$C$28,$A184))</f>
        <v/>
      </c>
      <c r="S184">
        <f>IF($A184="","",SUMIFS(Campagne!$M$1:$M$28,Campagne!$C$1:$C$28,$A184))</f>
        <v/>
      </c>
      <c r="T184">
        <f>IF($A184="","",SUMIFS(Pilotage!$K$19:$K$32,Pilotage!$A$19:$A$32,$A184)*SUMIFS(Pilotage!$J$19:$J$32,Pilotage!$A$19:$A$32,$A184)*(SUM(Pilotage!$K$19:$K$32)/SUMPRODUCT(Pilotage!$K$19:$K$32,Pilotage!$J$19:$J$32)))</f>
        <v/>
      </c>
      <c r="U184">
        <f>IF($A184="","",SUMIFS(Pilotage!$K$19:$K$32,Pilotage!$A$19:$A$32,$A184))</f>
        <v/>
      </c>
      <c r="V184">
        <f>IF($A184="","",IF($B184="V01",Cadrage!$C$22,IF($B184="V02",Cadrage!$D$22,Cadrage!$E$22)))</f>
        <v/>
      </c>
      <c r="W184">
        <f>IF($A184="","",IF($B184="V01",Cadrage!$C$23,IF($B184="V02",Cadrage!$D$23,Cadrage!$E$23)))</f>
        <v/>
      </c>
      <c r="X184">
        <f>IF($A184="","",IF($B184="V01",Cadrage!$C$24,IF($B184="V02",Cadrage!$D$24,Cadrage!$E$24)))</f>
        <v/>
      </c>
      <c r="Y184">
        <f>IF($A184="","",IF($B184="V01",Cadrage!$C$25,IF($B184="V02",Cadrage!$D$25,Cadrage!$E$25)))</f>
        <v/>
      </c>
      <c r="Z184">
        <f>IF($A184="","",IF($B184="V01",Cadrage!$C$26,IF($B184="V02",Cadrage!$D$26,Cadrage!$E$26)))</f>
        <v/>
      </c>
      <c r="AA184">
        <f>IF($A184="","",IF($B184="V01",Cadrage!$C$27,IF($B184="V02",Cadrage!$D$27,Cadrage!$E$27)))</f>
        <v/>
      </c>
      <c r="AB184">
        <f>IF($A184="","",IF($B184="V01",Cadrage!$C$39,IF($B184="V02",Cadrage!$D$39,Cadrage!$E$39)))</f>
        <v/>
      </c>
      <c r="AC184">
        <f>IF($A184="","",IF($F184="MBWAY",Cadrage!$K$11,IF($F184="ISCOM",Cadrage!$K$12,IF($F184="IPAC",Cadrage!$K$13,IF($F184="PIGIER",Cadrage!$K$14,Cadrage!$K$15)))))</f>
        <v/>
      </c>
      <c r="AD184">
        <f>IF($A184="","",($O184*(1+$W184)^$S184+$P184*IFERROR((($T184/$U184)*(1+$V184))^$R184,0))*IFERROR($G184/$Q184,0)*($J184+$Y184)*$K184*($L184+$Z184))</f>
        <v/>
      </c>
      <c r="AE184">
        <f>IF($A184="","",IF($N184=1,$AD184,0))</f>
        <v/>
      </c>
      <c r="AF184">
        <f>IF($A184="","",IF($N184=1,$AD184,$H184*($M184+$AA184)))</f>
        <v/>
      </c>
      <c r="AG184">
        <f>IF($A184="","",$I184*(1+$X184*$AC184))</f>
        <v/>
      </c>
      <c r="AH184">
        <f>IF($A184="","",$AF184*$AG184+$AE184*$AB184)</f>
        <v/>
      </c>
    </row>
    <row r="185">
      <c r="A185">
        <f>IF(Moteur!D185="","",Moteur!D185)</f>
        <v/>
      </c>
      <c r="B185">
        <f>IF(Moteur!B185="","",Moteur!B185)</f>
        <v/>
      </c>
      <c r="C185">
        <f>IF(Moteur!F185="","",Moteur!F185)</f>
        <v/>
      </c>
      <c r="D185">
        <f>IF(Moteur!G185="","",Moteur!G185)</f>
        <v/>
      </c>
      <c r="E185">
        <f>IF(Moteur!H185="","",Moteur!H185)</f>
        <v/>
      </c>
      <c r="F185">
        <f>IF(Moteur!E185="","",Moteur!E185)</f>
        <v/>
      </c>
      <c r="G185">
        <f>IF($A185="","",SUMIFS(Socle!$H$1:$H$379,Socle!$C$1:$C$379,$A185,Socle!$D$1:$D$379,$C185,Socle!$E$1:$E$379,$D185,Socle!$F$1:$F$379,$E185,Socle!$G$1:$G$379,"2026"))</f>
        <v/>
      </c>
      <c r="H185">
        <f>IF($A185="","",SUMIFS(Socle!$N$1:$N$379,Socle!$C$1:$C$379,$A185,Socle!$D$1:$D$379,$C185,Socle!$E$1:$E$379,$D185,Socle!$F$1:$F$379,$E185,Socle!$G$1:$G$379,"2026"))</f>
        <v/>
      </c>
      <c r="I185">
        <f>IF($A185="","",SUMIFS(Socle!$P$1:$P$379,Socle!$C$1:$C$379,$A185,Socle!$D$1:$D$379,$C185,Socle!$E$1:$E$379,$D185,Socle!$F$1:$F$379,$E185,Socle!$G$1:$G$379,"2026"))</f>
        <v/>
      </c>
      <c r="J185">
        <f>IF($A185="","",SUMIFS(Socle!$W$1:$W$379,Socle!$C$1:$C$379,$A185,Socle!$D$1:$D$379,$C185,Socle!$E$1:$E$379,$D185,Socle!$F$1:$F$379,$E185,Socle!$G$1:$G$379,"2026"))</f>
        <v/>
      </c>
      <c r="K185">
        <f>IF($A185="","",SUMIFS(Socle!$X$1:$X$379,Socle!$C$1:$C$379,$A185,Socle!$D$1:$D$379,$C185,Socle!$E$1:$E$379,$D185,Socle!$F$1:$F$379,$E185,Socle!$G$1:$G$379,"2026"))</f>
        <v/>
      </c>
      <c r="L185">
        <f>IF($A185="","",SUMIFS(Socle!$Y$1:$Y$379,Socle!$C$1:$C$379,$A185,Socle!$D$1:$D$379,$C185,Socle!$E$1:$E$379,$D185,Socle!$F$1:$F$379,$E185,Socle!$G$1:$G$379,"2026"))</f>
        <v/>
      </c>
      <c r="M185">
        <f>IF($A185="","",SUMIFS(Socle!$V$1:$V$379,Socle!$C$1:$C$379,$A185,Socle!$D$1:$D$379,$C185,Socle!$E$1:$E$379,$D185,Socle!$F$1:$F$379,$E185,Socle!$G$1:$G$379,"2026"))</f>
        <v/>
      </c>
      <c r="N185">
        <f>IF($A185="","",IF(OR($D185="B1",$D185="M1",$D185="BTS1"),1,0))</f>
        <v/>
      </c>
      <c r="O185">
        <f>IF($A185="","",SUMIFS(Campagne!$D$1:$D$28,Campagne!$C$1:$C$28,$A185))</f>
        <v/>
      </c>
      <c r="P185">
        <f>IF($A185="","",SUMIFS(Campagne!$E$1:$E$28,Campagne!$C$1:$C$28,$A185))</f>
        <v/>
      </c>
      <c r="Q185">
        <f>IF($A185="","",SUMIFS(Campagne!$F$1:$F$28,Campagne!$C$1:$C$28,$A185))</f>
        <v/>
      </c>
      <c r="R185">
        <f>IF($A185="","",SUMIFS(Campagne!$K$1:$K$28,Campagne!$C$1:$C$28,$A185))</f>
        <v/>
      </c>
      <c r="S185">
        <f>IF($A185="","",SUMIFS(Campagne!$M$1:$M$28,Campagne!$C$1:$C$28,$A185))</f>
        <v/>
      </c>
      <c r="T185">
        <f>IF($A185="","",SUMIFS(Pilotage!$K$19:$K$32,Pilotage!$A$19:$A$32,$A185)*SUMIFS(Pilotage!$J$19:$J$32,Pilotage!$A$19:$A$32,$A185)*(SUM(Pilotage!$K$19:$K$32)/SUMPRODUCT(Pilotage!$K$19:$K$32,Pilotage!$J$19:$J$32)))</f>
        <v/>
      </c>
      <c r="U185">
        <f>IF($A185="","",SUMIFS(Pilotage!$K$19:$K$32,Pilotage!$A$19:$A$32,$A185))</f>
        <v/>
      </c>
      <c r="V185">
        <f>IF($A185="","",IF($B185="V01",Cadrage!$C$22,IF($B185="V02",Cadrage!$D$22,Cadrage!$E$22)))</f>
        <v/>
      </c>
      <c r="W185">
        <f>IF($A185="","",IF($B185="V01",Cadrage!$C$23,IF($B185="V02",Cadrage!$D$23,Cadrage!$E$23)))</f>
        <v/>
      </c>
      <c r="X185">
        <f>IF($A185="","",IF($B185="V01",Cadrage!$C$24,IF($B185="V02",Cadrage!$D$24,Cadrage!$E$24)))</f>
        <v/>
      </c>
      <c r="Y185">
        <f>IF($A185="","",IF($B185="V01",Cadrage!$C$25,IF($B185="V02",Cadrage!$D$25,Cadrage!$E$25)))</f>
        <v/>
      </c>
      <c r="Z185">
        <f>IF($A185="","",IF($B185="V01",Cadrage!$C$26,IF($B185="V02",Cadrage!$D$26,Cadrage!$E$26)))</f>
        <v/>
      </c>
      <c r="AA185">
        <f>IF($A185="","",IF($B185="V01",Cadrage!$C$27,IF($B185="V02",Cadrage!$D$27,Cadrage!$E$27)))</f>
        <v/>
      </c>
      <c r="AB185">
        <f>IF($A185="","",IF($B185="V01",Cadrage!$C$39,IF($B185="V02",Cadrage!$D$39,Cadrage!$E$39)))</f>
        <v/>
      </c>
      <c r="AC185">
        <f>IF($A185="","",IF($F185="MBWAY",Cadrage!$K$11,IF($F185="ISCOM",Cadrage!$K$12,IF($F185="IPAC",Cadrage!$K$13,IF($F185="PIGIER",Cadrage!$K$14,Cadrage!$K$15)))))</f>
        <v/>
      </c>
      <c r="AD185">
        <f>IF($A185="","",($O185*(1+$W185)^$S185+$P185*IFERROR((($T185/$U185)*(1+$V185))^$R185,0))*IFERROR($G185/$Q185,0)*($J185+$Y185)*$K185*($L185+$Z185))</f>
        <v/>
      </c>
      <c r="AE185">
        <f>IF($A185="","",IF($N185=1,$AD185,0))</f>
        <v/>
      </c>
      <c r="AF185">
        <f>IF($A185="","",IF($N185=1,$AD185,$H185*($M185+$AA185)))</f>
        <v/>
      </c>
      <c r="AG185">
        <f>IF($A185="","",$I185*(1+$X185*$AC185))</f>
        <v/>
      </c>
      <c r="AH185">
        <f>IF($A185="","",$AF185*$AG185+$AE185*$AB185)</f>
        <v/>
      </c>
    </row>
    <row r="186">
      <c r="A186">
        <f>IF(Moteur!D186="","",Moteur!D186)</f>
        <v/>
      </c>
      <c r="B186">
        <f>IF(Moteur!B186="","",Moteur!B186)</f>
        <v/>
      </c>
      <c r="C186">
        <f>IF(Moteur!F186="","",Moteur!F186)</f>
        <v/>
      </c>
      <c r="D186">
        <f>IF(Moteur!G186="","",Moteur!G186)</f>
        <v/>
      </c>
      <c r="E186">
        <f>IF(Moteur!H186="","",Moteur!H186)</f>
        <v/>
      </c>
      <c r="F186">
        <f>IF(Moteur!E186="","",Moteur!E186)</f>
        <v/>
      </c>
      <c r="G186">
        <f>IF($A186="","",SUMIFS(Socle!$H$1:$H$379,Socle!$C$1:$C$379,$A186,Socle!$D$1:$D$379,$C186,Socle!$E$1:$E$379,$D186,Socle!$F$1:$F$379,$E186,Socle!$G$1:$G$379,"2026"))</f>
        <v/>
      </c>
      <c r="H186">
        <f>IF($A186="","",SUMIFS(Socle!$N$1:$N$379,Socle!$C$1:$C$379,$A186,Socle!$D$1:$D$379,$C186,Socle!$E$1:$E$379,$D186,Socle!$F$1:$F$379,$E186,Socle!$G$1:$G$379,"2026"))</f>
        <v/>
      </c>
      <c r="I186">
        <f>IF($A186="","",SUMIFS(Socle!$P$1:$P$379,Socle!$C$1:$C$379,$A186,Socle!$D$1:$D$379,$C186,Socle!$E$1:$E$379,$D186,Socle!$F$1:$F$379,$E186,Socle!$G$1:$G$379,"2026"))</f>
        <v/>
      </c>
      <c r="J186">
        <f>IF($A186="","",SUMIFS(Socle!$W$1:$W$379,Socle!$C$1:$C$379,$A186,Socle!$D$1:$D$379,$C186,Socle!$E$1:$E$379,$D186,Socle!$F$1:$F$379,$E186,Socle!$G$1:$G$379,"2026"))</f>
        <v/>
      </c>
      <c r="K186">
        <f>IF($A186="","",SUMIFS(Socle!$X$1:$X$379,Socle!$C$1:$C$379,$A186,Socle!$D$1:$D$379,$C186,Socle!$E$1:$E$379,$D186,Socle!$F$1:$F$379,$E186,Socle!$G$1:$G$379,"2026"))</f>
        <v/>
      </c>
      <c r="L186">
        <f>IF($A186="","",SUMIFS(Socle!$Y$1:$Y$379,Socle!$C$1:$C$379,$A186,Socle!$D$1:$D$379,$C186,Socle!$E$1:$E$379,$D186,Socle!$F$1:$F$379,$E186,Socle!$G$1:$G$379,"2026"))</f>
        <v/>
      </c>
      <c r="M186">
        <f>IF($A186="","",SUMIFS(Socle!$V$1:$V$379,Socle!$C$1:$C$379,$A186,Socle!$D$1:$D$379,$C186,Socle!$E$1:$E$379,$D186,Socle!$F$1:$F$379,$E186,Socle!$G$1:$G$379,"2026"))</f>
        <v/>
      </c>
      <c r="N186">
        <f>IF($A186="","",IF(OR($D186="B1",$D186="M1",$D186="BTS1"),1,0))</f>
        <v/>
      </c>
      <c r="O186">
        <f>IF($A186="","",SUMIFS(Campagne!$D$1:$D$28,Campagne!$C$1:$C$28,$A186))</f>
        <v/>
      </c>
      <c r="P186">
        <f>IF($A186="","",SUMIFS(Campagne!$E$1:$E$28,Campagne!$C$1:$C$28,$A186))</f>
        <v/>
      </c>
      <c r="Q186">
        <f>IF($A186="","",SUMIFS(Campagne!$F$1:$F$28,Campagne!$C$1:$C$28,$A186))</f>
        <v/>
      </c>
      <c r="R186">
        <f>IF($A186="","",SUMIFS(Campagne!$K$1:$K$28,Campagne!$C$1:$C$28,$A186))</f>
        <v/>
      </c>
      <c r="S186">
        <f>IF($A186="","",SUMIFS(Campagne!$M$1:$M$28,Campagne!$C$1:$C$28,$A186))</f>
        <v/>
      </c>
      <c r="T186">
        <f>IF($A186="","",SUMIFS(Pilotage!$K$19:$K$32,Pilotage!$A$19:$A$32,$A186)*SUMIFS(Pilotage!$J$19:$J$32,Pilotage!$A$19:$A$32,$A186)*(SUM(Pilotage!$K$19:$K$32)/SUMPRODUCT(Pilotage!$K$19:$K$32,Pilotage!$J$19:$J$32)))</f>
        <v/>
      </c>
      <c r="U186">
        <f>IF($A186="","",SUMIFS(Pilotage!$K$19:$K$32,Pilotage!$A$19:$A$32,$A186))</f>
        <v/>
      </c>
      <c r="V186">
        <f>IF($A186="","",IF($B186="V01",Cadrage!$C$22,IF($B186="V02",Cadrage!$D$22,Cadrage!$E$22)))</f>
        <v/>
      </c>
      <c r="W186">
        <f>IF($A186="","",IF($B186="V01",Cadrage!$C$23,IF($B186="V02",Cadrage!$D$23,Cadrage!$E$23)))</f>
        <v/>
      </c>
      <c r="X186">
        <f>IF($A186="","",IF($B186="V01",Cadrage!$C$24,IF($B186="V02",Cadrage!$D$24,Cadrage!$E$24)))</f>
        <v/>
      </c>
      <c r="Y186">
        <f>IF($A186="","",IF($B186="V01",Cadrage!$C$25,IF($B186="V02",Cadrage!$D$25,Cadrage!$E$25)))</f>
        <v/>
      </c>
      <c r="Z186">
        <f>IF($A186="","",IF($B186="V01",Cadrage!$C$26,IF($B186="V02",Cadrage!$D$26,Cadrage!$E$26)))</f>
        <v/>
      </c>
      <c r="AA186">
        <f>IF($A186="","",IF($B186="V01",Cadrage!$C$27,IF($B186="V02",Cadrage!$D$27,Cadrage!$E$27)))</f>
        <v/>
      </c>
      <c r="AB186">
        <f>IF($A186="","",IF($B186="V01",Cadrage!$C$39,IF($B186="V02",Cadrage!$D$39,Cadrage!$E$39)))</f>
        <v/>
      </c>
      <c r="AC186">
        <f>IF($A186="","",IF($F186="MBWAY",Cadrage!$K$11,IF($F186="ISCOM",Cadrage!$K$12,IF($F186="IPAC",Cadrage!$K$13,IF($F186="PIGIER",Cadrage!$K$14,Cadrage!$K$15)))))</f>
        <v/>
      </c>
      <c r="AD186">
        <f>IF($A186="","",($O186*(1+$W186)^$S186+$P186*IFERROR((($T186/$U186)*(1+$V186))^$R186,0))*IFERROR($G186/$Q186,0)*($J186+$Y186)*$K186*($L186+$Z186))</f>
        <v/>
      </c>
      <c r="AE186">
        <f>IF($A186="","",IF($N186=1,$AD186,0))</f>
        <v/>
      </c>
      <c r="AF186">
        <f>IF($A186="","",IF($N186=1,$AD186,$H186*($M186+$AA186)))</f>
        <v/>
      </c>
      <c r="AG186">
        <f>IF($A186="","",$I186*(1+$X186*$AC186))</f>
        <v/>
      </c>
      <c r="AH186">
        <f>IF($A186="","",$AF186*$AG186+$AE186*$AB186)</f>
        <v/>
      </c>
    </row>
    <row r="187">
      <c r="A187">
        <f>IF(Moteur!D187="","",Moteur!D187)</f>
        <v/>
      </c>
      <c r="B187">
        <f>IF(Moteur!B187="","",Moteur!B187)</f>
        <v/>
      </c>
      <c r="C187">
        <f>IF(Moteur!F187="","",Moteur!F187)</f>
        <v/>
      </c>
      <c r="D187">
        <f>IF(Moteur!G187="","",Moteur!G187)</f>
        <v/>
      </c>
      <c r="E187">
        <f>IF(Moteur!H187="","",Moteur!H187)</f>
        <v/>
      </c>
      <c r="F187">
        <f>IF(Moteur!E187="","",Moteur!E187)</f>
        <v/>
      </c>
      <c r="G187">
        <f>IF($A187="","",SUMIFS(Socle!$H$1:$H$379,Socle!$C$1:$C$379,$A187,Socle!$D$1:$D$379,$C187,Socle!$E$1:$E$379,$D187,Socle!$F$1:$F$379,$E187,Socle!$G$1:$G$379,"2026"))</f>
        <v/>
      </c>
      <c r="H187">
        <f>IF($A187="","",SUMIFS(Socle!$N$1:$N$379,Socle!$C$1:$C$379,$A187,Socle!$D$1:$D$379,$C187,Socle!$E$1:$E$379,$D187,Socle!$F$1:$F$379,$E187,Socle!$G$1:$G$379,"2026"))</f>
        <v/>
      </c>
      <c r="I187">
        <f>IF($A187="","",SUMIFS(Socle!$P$1:$P$379,Socle!$C$1:$C$379,$A187,Socle!$D$1:$D$379,$C187,Socle!$E$1:$E$379,$D187,Socle!$F$1:$F$379,$E187,Socle!$G$1:$G$379,"2026"))</f>
        <v/>
      </c>
      <c r="J187">
        <f>IF($A187="","",SUMIFS(Socle!$W$1:$W$379,Socle!$C$1:$C$379,$A187,Socle!$D$1:$D$379,$C187,Socle!$E$1:$E$379,$D187,Socle!$F$1:$F$379,$E187,Socle!$G$1:$G$379,"2026"))</f>
        <v/>
      </c>
      <c r="K187">
        <f>IF($A187="","",SUMIFS(Socle!$X$1:$X$379,Socle!$C$1:$C$379,$A187,Socle!$D$1:$D$379,$C187,Socle!$E$1:$E$379,$D187,Socle!$F$1:$F$379,$E187,Socle!$G$1:$G$379,"2026"))</f>
        <v/>
      </c>
      <c r="L187">
        <f>IF($A187="","",SUMIFS(Socle!$Y$1:$Y$379,Socle!$C$1:$C$379,$A187,Socle!$D$1:$D$379,$C187,Socle!$E$1:$E$379,$D187,Socle!$F$1:$F$379,$E187,Socle!$G$1:$G$379,"2026"))</f>
        <v/>
      </c>
      <c r="M187">
        <f>IF($A187="","",SUMIFS(Socle!$V$1:$V$379,Socle!$C$1:$C$379,$A187,Socle!$D$1:$D$379,$C187,Socle!$E$1:$E$379,$D187,Socle!$F$1:$F$379,$E187,Socle!$G$1:$G$379,"2026"))</f>
        <v/>
      </c>
      <c r="N187">
        <f>IF($A187="","",IF(OR($D187="B1",$D187="M1",$D187="BTS1"),1,0))</f>
        <v/>
      </c>
      <c r="O187">
        <f>IF($A187="","",SUMIFS(Campagne!$D$1:$D$28,Campagne!$C$1:$C$28,$A187))</f>
        <v/>
      </c>
      <c r="P187">
        <f>IF($A187="","",SUMIFS(Campagne!$E$1:$E$28,Campagne!$C$1:$C$28,$A187))</f>
        <v/>
      </c>
      <c r="Q187">
        <f>IF($A187="","",SUMIFS(Campagne!$F$1:$F$28,Campagne!$C$1:$C$28,$A187))</f>
        <v/>
      </c>
      <c r="R187">
        <f>IF($A187="","",SUMIFS(Campagne!$K$1:$K$28,Campagne!$C$1:$C$28,$A187))</f>
        <v/>
      </c>
      <c r="S187">
        <f>IF($A187="","",SUMIFS(Campagne!$M$1:$M$28,Campagne!$C$1:$C$28,$A187))</f>
        <v/>
      </c>
      <c r="T187">
        <f>IF($A187="","",SUMIFS(Pilotage!$K$19:$K$32,Pilotage!$A$19:$A$32,$A187)*SUMIFS(Pilotage!$J$19:$J$32,Pilotage!$A$19:$A$32,$A187)*(SUM(Pilotage!$K$19:$K$32)/SUMPRODUCT(Pilotage!$K$19:$K$32,Pilotage!$J$19:$J$32)))</f>
        <v/>
      </c>
      <c r="U187">
        <f>IF($A187="","",SUMIFS(Pilotage!$K$19:$K$32,Pilotage!$A$19:$A$32,$A187))</f>
        <v/>
      </c>
      <c r="V187">
        <f>IF($A187="","",IF($B187="V01",Cadrage!$C$22,IF($B187="V02",Cadrage!$D$22,Cadrage!$E$22)))</f>
        <v/>
      </c>
      <c r="W187">
        <f>IF($A187="","",IF($B187="V01",Cadrage!$C$23,IF($B187="V02",Cadrage!$D$23,Cadrage!$E$23)))</f>
        <v/>
      </c>
      <c r="X187">
        <f>IF($A187="","",IF($B187="V01",Cadrage!$C$24,IF($B187="V02",Cadrage!$D$24,Cadrage!$E$24)))</f>
        <v/>
      </c>
      <c r="Y187">
        <f>IF($A187="","",IF($B187="V01",Cadrage!$C$25,IF($B187="V02",Cadrage!$D$25,Cadrage!$E$25)))</f>
        <v/>
      </c>
      <c r="Z187">
        <f>IF($A187="","",IF($B187="V01",Cadrage!$C$26,IF($B187="V02",Cadrage!$D$26,Cadrage!$E$26)))</f>
        <v/>
      </c>
      <c r="AA187">
        <f>IF($A187="","",IF($B187="V01",Cadrage!$C$27,IF($B187="V02",Cadrage!$D$27,Cadrage!$E$27)))</f>
        <v/>
      </c>
      <c r="AB187">
        <f>IF($A187="","",IF($B187="V01",Cadrage!$C$39,IF($B187="V02",Cadrage!$D$39,Cadrage!$E$39)))</f>
        <v/>
      </c>
      <c r="AC187">
        <f>IF($A187="","",IF($F187="MBWAY",Cadrage!$K$11,IF($F187="ISCOM",Cadrage!$K$12,IF($F187="IPAC",Cadrage!$K$13,IF($F187="PIGIER",Cadrage!$K$14,Cadrage!$K$15)))))</f>
        <v/>
      </c>
      <c r="AD187">
        <f>IF($A187="","",($O187*(1+$W187)^$S187+$P187*IFERROR((($T187/$U187)*(1+$V187))^$R187,0))*IFERROR($G187/$Q187,0)*($J187+$Y187)*$K187*($L187+$Z187))</f>
        <v/>
      </c>
      <c r="AE187">
        <f>IF($A187="","",IF($N187=1,$AD187,0))</f>
        <v/>
      </c>
      <c r="AF187">
        <f>IF($A187="","",IF($N187=1,$AD187,$H187*($M187+$AA187)))</f>
        <v/>
      </c>
      <c r="AG187">
        <f>IF($A187="","",$I187*(1+$X187*$AC187))</f>
        <v/>
      </c>
      <c r="AH187">
        <f>IF($A187="","",$AF187*$AG187+$AE187*$AB187)</f>
        <v/>
      </c>
    </row>
    <row r="188">
      <c r="A188">
        <f>IF(Moteur!D188="","",Moteur!D188)</f>
        <v/>
      </c>
      <c r="B188">
        <f>IF(Moteur!B188="","",Moteur!B188)</f>
        <v/>
      </c>
      <c r="C188">
        <f>IF(Moteur!F188="","",Moteur!F188)</f>
        <v/>
      </c>
      <c r="D188">
        <f>IF(Moteur!G188="","",Moteur!G188)</f>
        <v/>
      </c>
      <c r="E188">
        <f>IF(Moteur!H188="","",Moteur!H188)</f>
        <v/>
      </c>
      <c r="F188">
        <f>IF(Moteur!E188="","",Moteur!E188)</f>
        <v/>
      </c>
      <c r="G188">
        <f>IF($A188="","",SUMIFS(Socle!$H$1:$H$379,Socle!$C$1:$C$379,$A188,Socle!$D$1:$D$379,$C188,Socle!$E$1:$E$379,$D188,Socle!$F$1:$F$379,$E188,Socle!$G$1:$G$379,"2026"))</f>
        <v/>
      </c>
      <c r="H188">
        <f>IF($A188="","",SUMIFS(Socle!$N$1:$N$379,Socle!$C$1:$C$379,$A188,Socle!$D$1:$D$379,$C188,Socle!$E$1:$E$379,$D188,Socle!$F$1:$F$379,$E188,Socle!$G$1:$G$379,"2026"))</f>
        <v/>
      </c>
      <c r="I188">
        <f>IF($A188="","",SUMIFS(Socle!$P$1:$P$379,Socle!$C$1:$C$379,$A188,Socle!$D$1:$D$379,$C188,Socle!$E$1:$E$379,$D188,Socle!$F$1:$F$379,$E188,Socle!$G$1:$G$379,"2026"))</f>
        <v/>
      </c>
      <c r="J188">
        <f>IF($A188="","",SUMIFS(Socle!$W$1:$W$379,Socle!$C$1:$C$379,$A188,Socle!$D$1:$D$379,$C188,Socle!$E$1:$E$379,$D188,Socle!$F$1:$F$379,$E188,Socle!$G$1:$G$379,"2026"))</f>
        <v/>
      </c>
      <c r="K188">
        <f>IF($A188="","",SUMIFS(Socle!$X$1:$X$379,Socle!$C$1:$C$379,$A188,Socle!$D$1:$D$379,$C188,Socle!$E$1:$E$379,$D188,Socle!$F$1:$F$379,$E188,Socle!$G$1:$G$379,"2026"))</f>
        <v/>
      </c>
      <c r="L188">
        <f>IF($A188="","",SUMIFS(Socle!$Y$1:$Y$379,Socle!$C$1:$C$379,$A188,Socle!$D$1:$D$379,$C188,Socle!$E$1:$E$379,$D188,Socle!$F$1:$F$379,$E188,Socle!$G$1:$G$379,"2026"))</f>
        <v/>
      </c>
      <c r="M188">
        <f>IF($A188="","",SUMIFS(Socle!$V$1:$V$379,Socle!$C$1:$C$379,$A188,Socle!$D$1:$D$379,$C188,Socle!$E$1:$E$379,$D188,Socle!$F$1:$F$379,$E188,Socle!$G$1:$G$379,"2026"))</f>
        <v/>
      </c>
      <c r="N188">
        <f>IF($A188="","",IF(OR($D188="B1",$D188="M1",$D188="BTS1"),1,0))</f>
        <v/>
      </c>
      <c r="O188">
        <f>IF($A188="","",SUMIFS(Campagne!$D$1:$D$28,Campagne!$C$1:$C$28,$A188))</f>
        <v/>
      </c>
      <c r="P188">
        <f>IF($A188="","",SUMIFS(Campagne!$E$1:$E$28,Campagne!$C$1:$C$28,$A188))</f>
        <v/>
      </c>
      <c r="Q188">
        <f>IF($A188="","",SUMIFS(Campagne!$F$1:$F$28,Campagne!$C$1:$C$28,$A188))</f>
        <v/>
      </c>
      <c r="R188">
        <f>IF($A188="","",SUMIFS(Campagne!$K$1:$K$28,Campagne!$C$1:$C$28,$A188))</f>
        <v/>
      </c>
      <c r="S188">
        <f>IF($A188="","",SUMIFS(Campagne!$M$1:$M$28,Campagne!$C$1:$C$28,$A188))</f>
        <v/>
      </c>
      <c r="T188">
        <f>IF($A188="","",SUMIFS(Pilotage!$K$19:$K$32,Pilotage!$A$19:$A$32,$A188)*SUMIFS(Pilotage!$J$19:$J$32,Pilotage!$A$19:$A$32,$A188)*(SUM(Pilotage!$K$19:$K$32)/SUMPRODUCT(Pilotage!$K$19:$K$32,Pilotage!$J$19:$J$32)))</f>
        <v/>
      </c>
      <c r="U188">
        <f>IF($A188="","",SUMIFS(Pilotage!$K$19:$K$32,Pilotage!$A$19:$A$32,$A188))</f>
        <v/>
      </c>
      <c r="V188">
        <f>IF($A188="","",IF($B188="V01",Cadrage!$C$22,IF($B188="V02",Cadrage!$D$22,Cadrage!$E$22)))</f>
        <v/>
      </c>
      <c r="W188">
        <f>IF($A188="","",IF($B188="V01",Cadrage!$C$23,IF($B188="V02",Cadrage!$D$23,Cadrage!$E$23)))</f>
        <v/>
      </c>
      <c r="X188">
        <f>IF($A188="","",IF($B188="V01",Cadrage!$C$24,IF($B188="V02",Cadrage!$D$24,Cadrage!$E$24)))</f>
        <v/>
      </c>
      <c r="Y188">
        <f>IF($A188="","",IF($B188="V01",Cadrage!$C$25,IF($B188="V02",Cadrage!$D$25,Cadrage!$E$25)))</f>
        <v/>
      </c>
      <c r="Z188">
        <f>IF($A188="","",IF($B188="V01",Cadrage!$C$26,IF($B188="V02",Cadrage!$D$26,Cadrage!$E$26)))</f>
        <v/>
      </c>
      <c r="AA188">
        <f>IF($A188="","",IF($B188="V01",Cadrage!$C$27,IF($B188="V02",Cadrage!$D$27,Cadrage!$E$27)))</f>
        <v/>
      </c>
      <c r="AB188">
        <f>IF($A188="","",IF($B188="V01",Cadrage!$C$39,IF($B188="V02",Cadrage!$D$39,Cadrage!$E$39)))</f>
        <v/>
      </c>
      <c r="AC188">
        <f>IF($A188="","",IF($F188="MBWAY",Cadrage!$K$11,IF($F188="ISCOM",Cadrage!$K$12,IF($F188="IPAC",Cadrage!$K$13,IF($F188="PIGIER",Cadrage!$K$14,Cadrage!$K$15)))))</f>
        <v/>
      </c>
      <c r="AD188">
        <f>IF($A188="","",($O188*(1+$W188)^$S188+$P188*IFERROR((($T188/$U188)*(1+$V188))^$R188,0))*IFERROR($G188/$Q188,0)*($J188+$Y188)*$K188*($L188+$Z188))</f>
        <v/>
      </c>
      <c r="AE188">
        <f>IF($A188="","",IF($N188=1,$AD188,0))</f>
        <v/>
      </c>
      <c r="AF188">
        <f>IF($A188="","",IF($N188=1,$AD188,$H188*($M188+$AA188)))</f>
        <v/>
      </c>
      <c r="AG188">
        <f>IF($A188="","",$I188*(1+$X188*$AC188))</f>
        <v/>
      </c>
      <c r="AH188">
        <f>IF($A188="","",$AF188*$AG188+$AE188*$AB188)</f>
        <v/>
      </c>
    </row>
    <row r="189">
      <c r="A189">
        <f>IF(Moteur!D189="","",Moteur!D189)</f>
        <v/>
      </c>
      <c r="B189">
        <f>IF(Moteur!B189="","",Moteur!B189)</f>
        <v/>
      </c>
      <c r="C189">
        <f>IF(Moteur!F189="","",Moteur!F189)</f>
        <v/>
      </c>
      <c r="D189">
        <f>IF(Moteur!G189="","",Moteur!G189)</f>
        <v/>
      </c>
      <c r="E189">
        <f>IF(Moteur!H189="","",Moteur!H189)</f>
        <v/>
      </c>
      <c r="F189">
        <f>IF(Moteur!E189="","",Moteur!E189)</f>
        <v/>
      </c>
      <c r="G189">
        <f>IF($A189="","",SUMIFS(Socle!$H$1:$H$379,Socle!$C$1:$C$379,$A189,Socle!$D$1:$D$379,$C189,Socle!$E$1:$E$379,$D189,Socle!$F$1:$F$379,$E189,Socle!$G$1:$G$379,"2026"))</f>
        <v/>
      </c>
      <c r="H189">
        <f>IF($A189="","",SUMIFS(Socle!$N$1:$N$379,Socle!$C$1:$C$379,$A189,Socle!$D$1:$D$379,$C189,Socle!$E$1:$E$379,$D189,Socle!$F$1:$F$379,$E189,Socle!$G$1:$G$379,"2026"))</f>
        <v/>
      </c>
      <c r="I189">
        <f>IF($A189="","",SUMIFS(Socle!$P$1:$P$379,Socle!$C$1:$C$379,$A189,Socle!$D$1:$D$379,$C189,Socle!$E$1:$E$379,$D189,Socle!$F$1:$F$379,$E189,Socle!$G$1:$G$379,"2026"))</f>
        <v/>
      </c>
      <c r="J189">
        <f>IF($A189="","",SUMIFS(Socle!$W$1:$W$379,Socle!$C$1:$C$379,$A189,Socle!$D$1:$D$379,$C189,Socle!$E$1:$E$379,$D189,Socle!$F$1:$F$379,$E189,Socle!$G$1:$G$379,"2026"))</f>
        <v/>
      </c>
      <c r="K189">
        <f>IF($A189="","",SUMIFS(Socle!$X$1:$X$379,Socle!$C$1:$C$379,$A189,Socle!$D$1:$D$379,$C189,Socle!$E$1:$E$379,$D189,Socle!$F$1:$F$379,$E189,Socle!$G$1:$G$379,"2026"))</f>
        <v/>
      </c>
      <c r="L189">
        <f>IF($A189="","",SUMIFS(Socle!$Y$1:$Y$379,Socle!$C$1:$C$379,$A189,Socle!$D$1:$D$379,$C189,Socle!$E$1:$E$379,$D189,Socle!$F$1:$F$379,$E189,Socle!$G$1:$G$379,"2026"))</f>
        <v/>
      </c>
      <c r="M189">
        <f>IF($A189="","",SUMIFS(Socle!$V$1:$V$379,Socle!$C$1:$C$379,$A189,Socle!$D$1:$D$379,$C189,Socle!$E$1:$E$379,$D189,Socle!$F$1:$F$379,$E189,Socle!$G$1:$G$379,"2026"))</f>
        <v/>
      </c>
      <c r="N189">
        <f>IF($A189="","",IF(OR($D189="B1",$D189="M1",$D189="BTS1"),1,0))</f>
        <v/>
      </c>
      <c r="O189">
        <f>IF($A189="","",SUMIFS(Campagne!$D$1:$D$28,Campagne!$C$1:$C$28,$A189))</f>
        <v/>
      </c>
      <c r="P189">
        <f>IF($A189="","",SUMIFS(Campagne!$E$1:$E$28,Campagne!$C$1:$C$28,$A189))</f>
        <v/>
      </c>
      <c r="Q189">
        <f>IF($A189="","",SUMIFS(Campagne!$F$1:$F$28,Campagne!$C$1:$C$28,$A189))</f>
        <v/>
      </c>
      <c r="R189">
        <f>IF($A189="","",SUMIFS(Campagne!$K$1:$K$28,Campagne!$C$1:$C$28,$A189))</f>
        <v/>
      </c>
      <c r="S189">
        <f>IF($A189="","",SUMIFS(Campagne!$M$1:$M$28,Campagne!$C$1:$C$28,$A189))</f>
        <v/>
      </c>
      <c r="T189">
        <f>IF($A189="","",SUMIFS(Pilotage!$K$19:$K$32,Pilotage!$A$19:$A$32,$A189)*SUMIFS(Pilotage!$J$19:$J$32,Pilotage!$A$19:$A$32,$A189)*(SUM(Pilotage!$K$19:$K$32)/SUMPRODUCT(Pilotage!$K$19:$K$32,Pilotage!$J$19:$J$32)))</f>
        <v/>
      </c>
      <c r="U189">
        <f>IF($A189="","",SUMIFS(Pilotage!$K$19:$K$32,Pilotage!$A$19:$A$32,$A189))</f>
        <v/>
      </c>
      <c r="V189">
        <f>IF($A189="","",IF($B189="V01",Cadrage!$C$22,IF($B189="V02",Cadrage!$D$22,Cadrage!$E$22)))</f>
        <v/>
      </c>
      <c r="W189">
        <f>IF($A189="","",IF($B189="V01",Cadrage!$C$23,IF($B189="V02",Cadrage!$D$23,Cadrage!$E$23)))</f>
        <v/>
      </c>
      <c r="X189">
        <f>IF($A189="","",IF($B189="V01",Cadrage!$C$24,IF($B189="V02",Cadrage!$D$24,Cadrage!$E$24)))</f>
        <v/>
      </c>
      <c r="Y189">
        <f>IF($A189="","",IF($B189="V01",Cadrage!$C$25,IF($B189="V02",Cadrage!$D$25,Cadrage!$E$25)))</f>
        <v/>
      </c>
      <c r="Z189">
        <f>IF($A189="","",IF($B189="V01",Cadrage!$C$26,IF($B189="V02",Cadrage!$D$26,Cadrage!$E$26)))</f>
        <v/>
      </c>
      <c r="AA189">
        <f>IF($A189="","",IF($B189="V01",Cadrage!$C$27,IF($B189="V02",Cadrage!$D$27,Cadrage!$E$27)))</f>
        <v/>
      </c>
      <c r="AB189">
        <f>IF($A189="","",IF($B189="V01",Cadrage!$C$39,IF($B189="V02",Cadrage!$D$39,Cadrage!$E$39)))</f>
        <v/>
      </c>
      <c r="AC189">
        <f>IF($A189="","",IF($F189="MBWAY",Cadrage!$K$11,IF($F189="ISCOM",Cadrage!$K$12,IF($F189="IPAC",Cadrage!$K$13,IF($F189="PIGIER",Cadrage!$K$14,Cadrage!$K$15)))))</f>
        <v/>
      </c>
      <c r="AD189">
        <f>IF($A189="","",($O189*(1+$W189)^$S189+$P189*IFERROR((($T189/$U189)*(1+$V189))^$R189,0))*IFERROR($G189/$Q189,0)*($J189+$Y189)*$K189*($L189+$Z189))</f>
        <v/>
      </c>
      <c r="AE189">
        <f>IF($A189="","",IF($N189=1,$AD189,0))</f>
        <v/>
      </c>
      <c r="AF189">
        <f>IF($A189="","",IF($N189=1,$AD189,$H189*($M189+$AA189)))</f>
        <v/>
      </c>
      <c r="AG189">
        <f>IF($A189="","",$I189*(1+$X189*$AC189))</f>
        <v/>
      </c>
      <c r="AH189">
        <f>IF($A189="","",$AF189*$AG189+$AE189*$AB189)</f>
        <v/>
      </c>
    </row>
    <row r="190">
      <c r="A190">
        <f>IF(Moteur!D190="","",Moteur!D190)</f>
        <v/>
      </c>
      <c r="B190">
        <f>IF(Moteur!B190="","",Moteur!B190)</f>
        <v/>
      </c>
      <c r="C190">
        <f>IF(Moteur!F190="","",Moteur!F190)</f>
        <v/>
      </c>
      <c r="D190">
        <f>IF(Moteur!G190="","",Moteur!G190)</f>
        <v/>
      </c>
      <c r="E190">
        <f>IF(Moteur!H190="","",Moteur!H190)</f>
        <v/>
      </c>
      <c r="F190">
        <f>IF(Moteur!E190="","",Moteur!E190)</f>
        <v/>
      </c>
      <c r="G190">
        <f>IF($A190="","",SUMIFS(Socle!$H$1:$H$379,Socle!$C$1:$C$379,$A190,Socle!$D$1:$D$379,$C190,Socle!$E$1:$E$379,$D190,Socle!$F$1:$F$379,$E190,Socle!$G$1:$G$379,"2026"))</f>
        <v/>
      </c>
      <c r="H190">
        <f>IF($A190="","",SUMIFS(Socle!$N$1:$N$379,Socle!$C$1:$C$379,$A190,Socle!$D$1:$D$379,$C190,Socle!$E$1:$E$379,$D190,Socle!$F$1:$F$379,$E190,Socle!$G$1:$G$379,"2026"))</f>
        <v/>
      </c>
      <c r="I190">
        <f>IF($A190="","",SUMIFS(Socle!$P$1:$P$379,Socle!$C$1:$C$379,$A190,Socle!$D$1:$D$379,$C190,Socle!$E$1:$E$379,$D190,Socle!$F$1:$F$379,$E190,Socle!$G$1:$G$379,"2026"))</f>
        <v/>
      </c>
      <c r="J190">
        <f>IF($A190="","",SUMIFS(Socle!$W$1:$W$379,Socle!$C$1:$C$379,$A190,Socle!$D$1:$D$379,$C190,Socle!$E$1:$E$379,$D190,Socle!$F$1:$F$379,$E190,Socle!$G$1:$G$379,"2026"))</f>
        <v/>
      </c>
      <c r="K190">
        <f>IF($A190="","",SUMIFS(Socle!$X$1:$X$379,Socle!$C$1:$C$379,$A190,Socle!$D$1:$D$379,$C190,Socle!$E$1:$E$379,$D190,Socle!$F$1:$F$379,$E190,Socle!$G$1:$G$379,"2026"))</f>
        <v/>
      </c>
      <c r="L190">
        <f>IF($A190="","",SUMIFS(Socle!$Y$1:$Y$379,Socle!$C$1:$C$379,$A190,Socle!$D$1:$D$379,$C190,Socle!$E$1:$E$379,$D190,Socle!$F$1:$F$379,$E190,Socle!$G$1:$G$379,"2026"))</f>
        <v/>
      </c>
      <c r="M190">
        <f>IF($A190="","",SUMIFS(Socle!$V$1:$V$379,Socle!$C$1:$C$379,$A190,Socle!$D$1:$D$379,$C190,Socle!$E$1:$E$379,$D190,Socle!$F$1:$F$379,$E190,Socle!$G$1:$G$379,"2026"))</f>
        <v/>
      </c>
      <c r="N190">
        <f>IF($A190="","",IF(OR($D190="B1",$D190="M1",$D190="BTS1"),1,0))</f>
        <v/>
      </c>
      <c r="O190">
        <f>IF($A190="","",SUMIFS(Campagne!$D$1:$D$28,Campagne!$C$1:$C$28,$A190))</f>
        <v/>
      </c>
      <c r="P190">
        <f>IF($A190="","",SUMIFS(Campagne!$E$1:$E$28,Campagne!$C$1:$C$28,$A190))</f>
        <v/>
      </c>
      <c r="Q190">
        <f>IF($A190="","",SUMIFS(Campagne!$F$1:$F$28,Campagne!$C$1:$C$28,$A190))</f>
        <v/>
      </c>
      <c r="R190">
        <f>IF($A190="","",SUMIFS(Campagne!$K$1:$K$28,Campagne!$C$1:$C$28,$A190))</f>
        <v/>
      </c>
      <c r="S190">
        <f>IF($A190="","",SUMIFS(Campagne!$M$1:$M$28,Campagne!$C$1:$C$28,$A190))</f>
        <v/>
      </c>
      <c r="T190">
        <f>IF($A190="","",SUMIFS(Pilotage!$K$19:$K$32,Pilotage!$A$19:$A$32,$A190)*SUMIFS(Pilotage!$J$19:$J$32,Pilotage!$A$19:$A$32,$A190)*(SUM(Pilotage!$K$19:$K$32)/SUMPRODUCT(Pilotage!$K$19:$K$32,Pilotage!$J$19:$J$32)))</f>
        <v/>
      </c>
      <c r="U190">
        <f>IF($A190="","",SUMIFS(Pilotage!$K$19:$K$32,Pilotage!$A$19:$A$32,$A190))</f>
        <v/>
      </c>
      <c r="V190">
        <f>IF($A190="","",IF($B190="V01",Cadrage!$C$22,IF($B190="V02",Cadrage!$D$22,Cadrage!$E$22)))</f>
        <v/>
      </c>
      <c r="W190">
        <f>IF($A190="","",IF($B190="V01",Cadrage!$C$23,IF($B190="V02",Cadrage!$D$23,Cadrage!$E$23)))</f>
        <v/>
      </c>
      <c r="X190">
        <f>IF($A190="","",IF($B190="V01",Cadrage!$C$24,IF($B190="V02",Cadrage!$D$24,Cadrage!$E$24)))</f>
        <v/>
      </c>
      <c r="Y190">
        <f>IF($A190="","",IF($B190="V01",Cadrage!$C$25,IF($B190="V02",Cadrage!$D$25,Cadrage!$E$25)))</f>
        <v/>
      </c>
      <c r="Z190">
        <f>IF($A190="","",IF($B190="V01",Cadrage!$C$26,IF($B190="V02",Cadrage!$D$26,Cadrage!$E$26)))</f>
        <v/>
      </c>
      <c r="AA190">
        <f>IF($A190="","",IF($B190="V01",Cadrage!$C$27,IF($B190="V02",Cadrage!$D$27,Cadrage!$E$27)))</f>
        <v/>
      </c>
      <c r="AB190">
        <f>IF($A190="","",IF($B190="V01",Cadrage!$C$39,IF($B190="V02",Cadrage!$D$39,Cadrage!$E$39)))</f>
        <v/>
      </c>
      <c r="AC190">
        <f>IF($A190="","",IF($F190="MBWAY",Cadrage!$K$11,IF($F190="ISCOM",Cadrage!$K$12,IF($F190="IPAC",Cadrage!$K$13,IF($F190="PIGIER",Cadrage!$K$14,Cadrage!$K$15)))))</f>
        <v/>
      </c>
      <c r="AD190">
        <f>IF($A190="","",($O190*(1+$W190)^$S190+$P190*IFERROR((($T190/$U190)*(1+$V190))^$R190,0))*IFERROR($G190/$Q190,0)*($J190+$Y190)*$K190*($L190+$Z190))</f>
        <v/>
      </c>
      <c r="AE190">
        <f>IF($A190="","",IF($N190=1,$AD190,0))</f>
        <v/>
      </c>
      <c r="AF190">
        <f>IF($A190="","",IF($N190=1,$AD190,$H190*($M190+$AA190)))</f>
        <v/>
      </c>
      <c r="AG190">
        <f>IF($A190="","",$I190*(1+$X190*$AC190))</f>
        <v/>
      </c>
      <c r="AH190">
        <f>IF($A190="","",$AF190*$AG190+$AE190*$AB190)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35"/>
  <sheetViews>
    <sheetView workbookViewId="0">
      <selection activeCell="A2" sqref="A2"/>
    </sheetView>
  </sheetViews>
  <sheetFormatPr baseColWidth="10" defaultColWidth="9.06640625" defaultRowHeight="14.25"/>
  <sheetData>
    <row r="1">
      <c r="A1" t="inlineStr">
        <is>
          <t>ENT</t>
        </is>
      </c>
      <c r="B1" t="inlineStr">
        <is>
          <t>ACC</t>
        </is>
      </c>
      <c r="C1" t="inlineStr">
        <is>
          <t>EX</t>
        </is>
      </c>
      <c r="D1" t="inlineStr">
        <is>
          <t>VER</t>
        </is>
      </c>
      <c r="E1" t="inlineStr">
        <is>
          <t>ISBUD</t>
        </is>
      </c>
      <c r="F1" t="inlineStr">
        <is>
          <t>CPT26</t>
        </is>
      </c>
      <c r="G1" t="inlineStr">
        <is>
          <t>ACQ</t>
        </is>
      </c>
      <c r="H1" t="inlineStr">
        <is>
          <t>BRAND</t>
        </is>
      </c>
      <c r="I1" t="inlineStr">
        <is>
          <t>INFL</t>
        </is>
      </c>
      <c r="J1" t="inlineStr">
        <is>
          <t>SAL</t>
        </is>
      </c>
      <c r="K1" t="inlineStr">
        <is>
          <t>FTE</t>
        </is>
      </c>
      <c r="L1" t="inlineStr">
        <is>
          <t>PROD</t>
        </is>
      </c>
      <c r="M1" t="inlineStr">
        <is>
          <t>STRUCT</t>
        </is>
      </c>
      <c r="N1" t="inlineStr">
        <is>
          <t>CAF</t>
        </is>
      </c>
      <c r="O1" t="inlineStr">
        <is>
          <t>FAC</t>
        </is>
      </c>
      <c r="P1" t="inlineStr">
        <is>
          <t>AMT_LIVE</t>
        </is>
      </c>
      <c r="R1">
        <f>SUMIFS(Comptabilité!$F$1:$F$675,Comptabilité!$B$1:$B$675,"7062",Comptabilité!$C$1:$C$675,"2026")+SUMIFS(Comptabilité!$F$1:$F$675,Comptabilité!$B$1:$B$675,"706",Comptabilité!$C$1:$C$675,"2026")+SUMIFS(Comptabilité!$F$1:$F$675,Comptabilité!$B$1:$B$675,"708",Comptabilité!$C$1:$C$675,"2026")</f>
        <v/>
      </c>
      <c r="T1" t="inlineStr">
        <is>
          <t>EBITDA_SIGNED</t>
        </is>
      </c>
      <c r="V1" t="inlineStr">
        <is>
          <t>■ VIOLET = colonne branchee sur une saisie (cad / Pilotage / 3_Allocation) -&gt; a recabler cote Tagetik</t>
        </is>
      </c>
    </row>
    <row r="2">
      <c r="A2">
        <f>IF(PNL!A2="","",PNL!A2)</f>
        <v/>
      </c>
      <c r="B2">
        <f>IF(PNL!B2="","",PNL!B2)</f>
        <v/>
      </c>
      <c r="C2">
        <f>IF(PNL!C2="","",PNL!C2)</f>
        <v/>
      </c>
      <c r="D2">
        <f>IF(PNL!D2="","",PNL!D2)</f>
        <v/>
      </c>
      <c r="E2">
        <f>IF($A2="","",IF(AND($C2="2027",OR($D2="V01",$D2="V02",$D2="V03")),1,0))</f>
        <v/>
      </c>
      <c r="F2">
        <f>IF($A2="","",IF($E2=1,SUMIFS(Comptabilité!$F$1:$F$675,Comptabilité!$A$1:$A$675,$A2,Comptabilité!$B$1:$B$675,$B2,Comptabilité!$C$1:$C$675,"2026"),0))</f>
        <v/>
      </c>
      <c r="G2">
        <f>IF($A2="","",IF($D2="V01",Cadrage!$C$22,IF($D2="V02",Cadrage!$D$22,Cadrage!$E$22)))</f>
        <v/>
      </c>
      <c r="H2">
        <f>IF($A2="","",IF($D2="V01",Cadrage!$C$23,IF($D2="V02",Cadrage!$D$23,Cadrage!$E$23)))</f>
        <v/>
      </c>
      <c r="I2">
        <f>IF($A2="","",IF($D2="V01",Cadrage!$C$31,IF($D2="V02",Cadrage!$D$31,Cadrage!$E$31)))</f>
        <v/>
      </c>
      <c r="J2">
        <f>IF($A2="","",IF($D2="V01",Cadrage!$C$32,IF($D2="V02",Cadrage!$D$32,Cadrage!$E$32)))</f>
        <v/>
      </c>
      <c r="K2">
        <f>IF($A2="","",IF($D2="V01",Cadrage!$C$33,IF($D2="V02",Cadrage!$D$33,Cadrage!$E$33)))</f>
        <v/>
      </c>
      <c r="L2">
        <f>IF($A2="","",IF($D2="V01",Cadrage!$C$34,IF($D2="V02",Cadrage!$D$34,Cadrage!$E$34)))</f>
        <v/>
      </c>
      <c r="M2">
        <f>IF($A2="","",IF($D2="V01",Cadrage!$C$35,IF($D2="V02",Cadrage!$D$35,Cadrage!$E$35)))</f>
        <v/>
      </c>
      <c r="N2">
        <f>IF($A2="","",IF($D2="V01",$R$2,IF($D2="V02",$R$3,$R$4)))</f>
        <v/>
      </c>
      <c r="O2">
        <f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/>
      </c>
      <c r="P2">
        <f>IF($A2="","",IF($E2=1,$F2*$O2,PNL!G2))</f>
        <v/>
      </c>
      <c r="R2">
        <f>SUMIFS(Moteur!$R$1:$R$200,Moteur!$B$1:$B$200,"V01")/$R$1</f>
        <v/>
      </c>
      <c r="T2">
        <f>IF($A2="","",IF($E2=1,IF(OR($B2="7062",$B2="706",$B2="708"),$P2,IF(AND(LEFT($B2,1)="6",$B2&lt;&gt;"6811"),-$P2,0)),0))</f>
        <v/>
      </c>
    </row>
    <row r="3">
      <c r="A3">
        <f>IF(PNL!A3="","",PNL!A3)</f>
        <v/>
      </c>
      <c r="B3">
        <f>IF(PNL!B3="","",PNL!B3)</f>
        <v/>
      </c>
      <c r="C3">
        <f>IF(PNL!C3="","",PNL!C3)</f>
        <v/>
      </c>
      <c r="D3">
        <f>IF(PNL!D3="","",PNL!D3)</f>
        <v/>
      </c>
      <c r="E3">
        <f>IF($A3="","",IF(AND($C3="2027",OR($D3="V01",$D3="V02",$D3="V03")),1,0))</f>
        <v/>
      </c>
      <c r="F3">
        <f>IF($A3="","",IF($E3=1,SUMIFS(Comptabilité!$F$1:$F$675,Comptabilité!$A$1:$A$675,$A3,Comptabilité!$B$1:$B$675,$B3,Comptabilité!$C$1:$C$675,"2026"),0))</f>
        <v/>
      </c>
      <c r="G3">
        <f>IF($A3="","",IF($D3="V01",Cadrage!$C$22,IF($D3="V02",Cadrage!$D$22,Cadrage!$E$22)))</f>
        <v/>
      </c>
      <c r="H3">
        <f>IF($A3="","",IF($D3="V01",Cadrage!$C$23,IF($D3="V02",Cadrage!$D$23,Cadrage!$E$23)))</f>
        <v/>
      </c>
      <c r="I3">
        <f>IF($A3="","",IF($D3="V01",Cadrage!$C$31,IF($D3="V02",Cadrage!$D$31,Cadrage!$E$31)))</f>
        <v/>
      </c>
      <c r="J3">
        <f>IF($A3="","",IF($D3="V01",Cadrage!$C$32,IF($D3="V02",Cadrage!$D$32,Cadrage!$E$32)))</f>
        <v/>
      </c>
      <c r="K3">
        <f>IF($A3="","",IF($D3="V01",Cadrage!$C$33,IF($D3="V02",Cadrage!$D$33,Cadrage!$E$33)))</f>
        <v/>
      </c>
      <c r="L3">
        <f>IF($A3="","",IF($D3="V01",Cadrage!$C$34,IF($D3="V02",Cadrage!$D$34,Cadrage!$E$34)))</f>
        <v/>
      </c>
      <c r="M3">
        <f>IF($A3="","",IF($D3="V01",Cadrage!$C$35,IF($D3="V02",Cadrage!$D$35,Cadrage!$E$35)))</f>
        <v/>
      </c>
      <c r="N3">
        <f>IF($A3="","",IF($D3="V01",$R$2,IF($D3="V02",$R$3,$R$4)))</f>
        <v/>
      </c>
      <c r="O3">
        <f>IF($A3="","",IF(OR($B3="7062",$B3="706",$B3="708"),$N3,IF($B3="6231",1+$G3,IF($B3="6236",1+$H3,IF(OR($B3="621",$B3="604",$B3="6063"),$N3*(1-$L3),IF(OR($B3="6411",$B3="6413",$B3="6414",$B3="645"),(1+$J3)*(1+$K3),IF(OR($B3="613",$B3="615",$B3="616",$B3="6226",$B3="625",$B3="626",$B3="6281"),(1+$I3)*(1-$L3)*(1+$M3),IF(OR($B3="6331",$B3="63511",$B3="6333"),(1+$I3)*(1-$L3),IF($B3="6811",1+$I3,1)))))))))</f>
        <v/>
      </c>
      <c r="P3">
        <f>IF($A3="","",IF($E3=1,$F3*$O3,PNL!G3))</f>
        <v/>
      </c>
      <c r="R3">
        <f>SUMIFS(Moteur!$R$1:$R$200,Moteur!$B$1:$B$200,"V02")/$R$1</f>
        <v/>
      </c>
      <c r="T3">
        <f>IF($A3="","",IF($E3=1,IF(OR($B3="7062",$B3="706",$B3="708"),$P3,IF(AND(LEFT($B3,1)="6",$B3&lt;&gt;"6811"),-$P3,0)),0))</f>
        <v/>
      </c>
    </row>
    <row r="4">
      <c r="A4">
        <f>IF(PNL!A4="","",PNL!A4)</f>
        <v/>
      </c>
      <c r="B4">
        <f>IF(PNL!B4="","",PNL!B4)</f>
        <v/>
      </c>
      <c r="C4">
        <f>IF(PNL!C4="","",PNL!C4)</f>
        <v/>
      </c>
      <c r="D4">
        <f>IF(PNL!D4="","",PNL!D4)</f>
        <v/>
      </c>
      <c r="E4">
        <f>IF($A4="","",IF(AND($C4="2027",OR($D4="V01",$D4="V02",$D4="V03")),1,0))</f>
        <v/>
      </c>
      <c r="F4">
        <f>IF($A4="","",IF($E4=1,SUMIFS(Comptabilité!$F$1:$F$675,Comptabilité!$A$1:$A$675,$A4,Comptabilité!$B$1:$B$675,$B4,Comptabilité!$C$1:$C$675,"2026"),0))</f>
        <v/>
      </c>
      <c r="G4">
        <f>IF($A4="","",IF($D4="V01",Cadrage!$C$22,IF($D4="V02",Cadrage!$D$22,Cadrage!$E$22)))</f>
        <v/>
      </c>
      <c r="H4">
        <f>IF($A4="","",IF($D4="V01",Cadrage!$C$23,IF($D4="V02",Cadrage!$D$23,Cadrage!$E$23)))</f>
        <v/>
      </c>
      <c r="I4">
        <f>IF($A4="","",IF($D4="V01",Cadrage!$C$31,IF($D4="V02",Cadrage!$D$31,Cadrage!$E$31)))</f>
        <v/>
      </c>
      <c r="J4">
        <f>IF($A4="","",IF($D4="V01",Cadrage!$C$32,IF($D4="V02",Cadrage!$D$32,Cadrage!$E$32)))</f>
        <v/>
      </c>
      <c r="K4">
        <f>IF($A4="","",IF($D4="V01",Cadrage!$C$33,IF($D4="V02",Cadrage!$D$33,Cadrage!$E$33)))</f>
        <v/>
      </c>
      <c r="L4">
        <f>IF($A4="","",IF($D4="V01",Cadrage!$C$34,IF($D4="V02",Cadrage!$D$34,Cadrage!$E$34)))</f>
        <v/>
      </c>
      <c r="M4">
        <f>IF($A4="","",IF($D4="V01",Cadrage!$C$35,IF($D4="V02",Cadrage!$D$35,Cadrage!$E$35)))</f>
        <v/>
      </c>
      <c r="N4">
        <f>IF($A4="","",IF($D4="V01",$R$2,IF($D4="V02",$R$3,$R$4)))</f>
        <v/>
      </c>
      <c r="O4">
        <f>IF($A4="","",IF(OR($B4="7062",$B4="706",$B4="708"),$N4,IF($B4="6231",1+$G4,IF($B4="6236",1+$H4,IF(OR($B4="621",$B4="604",$B4="6063"),$N4*(1-$L4),IF(OR($B4="6411",$B4="6413",$B4="6414",$B4="645"),(1+$J4)*(1+$K4),IF(OR($B4="613",$B4="615",$B4="616",$B4="6226",$B4="625",$B4="626",$B4="6281"),(1+$I4)*(1-$L4)*(1+$M4),IF(OR($B4="6331",$B4="63511",$B4="6333"),(1+$I4)*(1-$L4),IF($B4="6811",1+$I4,1)))))))))</f>
        <v/>
      </c>
      <c r="P4">
        <f>IF($A4="","",IF($E4=1,$F4*$O4,PNL!G4))</f>
        <v/>
      </c>
      <c r="R4">
        <f>SUMIFS(Moteur!$R$1:$R$200,Moteur!$B$1:$B$200,"V03")/$R$1</f>
        <v/>
      </c>
      <c r="T4">
        <f>IF($A4="","",IF($E4=1,IF(OR($B4="7062",$B4="706",$B4="708"),$P4,IF(AND(LEFT($B4,1)="6",$B4&lt;&gt;"6811"),-$P4,0)),0))</f>
        <v/>
      </c>
    </row>
    <row r="5">
      <c r="A5">
        <f>IF(PNL!A5="","",PNL!A5)</f>
        <v/>
      </c>
      <c r="B5">
        <f>IF(PNL!B5="","",PNL!B5)</f>
        <v/>
      </c>
      <c r="C5">
        <f>IF(PNL!C5="","",PNL!C5)</f>
        <v/>
      </c>
      <c r="D5">
        <f>IF(PNL!D5="","",PNL!D5)</f>
        <v/>
      </c>
      <c r="E5">
        <f>IF($A5="","",IF(AND($C5="2027",OR($D5="V01",$D5="V02",$D5="V03")),1,0))</f>
        <v/>
      </c>
      <c r="F5">
        <f>IF($A5="","",IF($E5=1,SUMIFS(Comptabilité!$F$1:$F$675,Comptabilité!$A$1:$A$675,$A5,Comptabilité!$B$1:$B$675,$B5,Comptabilité!$C$1:$C$675,"2026"),0))</f>
        <v/>
      </c>
      <c r="G5">
        <f>IF($A5="","",IF($D5="V01",Cadrage!$C$22,IF($D5="V02",Cadrage!$D$22,Cadrage!$E$22)))</f>
        <v/>
      </c>
      <c r="H5">
        <f>IF($A5="","",IF($D5="V01",Cadrage!$C$23,IF($D5="V02",Cadrage!$D$23,Cadrage!$E$23)))</f>
        <v/>
      </c>
      <c r="I5">
        <f>IF($A5="","",IF($D5="V01",Cadrage!$C$31,IF($D5="V02",Cadrage!$D$31,Cadrage!$E$31)))</f>
        <v/>
      </c>
      <c r="J5">
        <f>IF($A5="","",IF($D5="V01",Cadrage!$C$32,IF($D5="V02",Cadrage!$D$32,Cadrage!$E$32)))</f>
        <v/>
      </c>
      <c r="K5">
        <f>IF($A5="","",IF($D5="V01",Cadrage!$C$33,IF($D5="V02",Cadrage!$D$33,Cadrage!$E$33)))</f>
        <v/>
      </c>
      <c r="L5">
        <f>IF($A5="","",IF($D5="V01",Cadrage!$C$34,IF($D5="V02",Cadrage!$D$34,Cadrage!$E$34)))</f>
        <v/>
      </c>
      <c r="M5">
        <f>IF($A5="","",IF($D5="V01",Cadrage!$C$35,IF($D5="V02",Cadrage!$D$35,Cadrage!$E$35)))</f>
        <v/>
      </c>
      <c r="N5">
        <f>IF($A5="","",IF($D5="V01",$R$2,IF($D5="V02",$R$3,$R$4)))</f>
        <v/>
      </c>
      <c r="O5">
        <f>IF($A5="","",IF(OR($B5="7062",$B5="706",$B5="708"),$N5,IF($B5="6231",1+$G5,IF($B5="6236",1+$H5,IF(OR($B5="621",$B5="604",$B5="6063"),$N5*(1-$L5),IF(OR($B5="6411",$B5="6413",$B5="6414",$B5="645"),(1+$J5)*(1+$K5),IF(OR($B5="613",$B5="615",$B5="616",$B5="6226",$B5="625",$B5="626",$B5="6281"),(1+$I5)*(1-$L5)*(1+$M5),IF(OR($B5="6331",$B5="63511",$B5="6333"),(1+$I5)*(1-$L5),IF($B5="6811",1+$I5,1)))))))))</f>
        <v/>
      </c>
      <c r="P5">
        <f>IF($A5="","",IF($E5=1,$F5*$O5,PNL!G5))</f>
        <v/>
      </c>
      <c r="T5">
        <f>IF($A5="","",IF($E5=1,IF(OR($B5="7062",$B5="706",$B5="708"),$P5,IF(AND(LEFT($B5,1)="6",$B5&lt;&gt;"6811"),-$P5,0)),0))</f>
        <v/>
      </c>
    </row>
    <row r="6">
      <c r="A6">
        <f>IF(PNL!A6="","",PNL!A6)</f>
        <v/>
      </c>
      <c r="B6">
        <f>IF(PNL!B6="","",PNL!B6)</f>
        <v/>
      </c>
      <c r="C6">
        <f>IF(PNL!C6="","",PNL!C6)</f>
        <v/>
      </c>
      <c r="D6">
        <f>IF(PNL!D6="","",PNL!D6)</f>
        <v/>
      </c>
      <c r="E6">
        <f>IF($A6="","",IF(AND($C6="2027",OR($D6="V01",$D6="V02",$D6="V03")),1,0))</f>
        <v/>
      </c>
      <c r="F6">
        <f>IF($A6="","",IF($E6=1,SUMIFS(Comptabilité!$F$1:$F$675,Comptabilité!$A$1:$A$675,$A6,Comptabilité!$B$1:$B$675,$B6,Comptabilité!$C$1:$C$675,"2026"),0))</f>
        <v/>
      </c>
      <c r="G6">
        <f>IF($A6="","",IF($D6="V01",Cadrage!$C$22,IF($D6="V02",Cadrage!$D$22,Cadrage!$E$22)))</f>
        <v/>
      </c>
      <c r="H6">
        <f>IF($A6="","",IF($D6="V01",Cadrage!$C$23,IF($D6="V02",Cadrage!$D$23,Cadrage!$E$23)))</f>
        <v/>
      </c>
      <c r="I6">
        <f>IF($A6="","",IF($D6="V01",Cadrage!$C$31,IF($D6="V02",Cadrage!$D$31,Cadrage!$E$31)))</f>
        <v/>
      </c>
      <c r="J6">
        <f>IF($A6="","",IF($D6="V01",Cadrage!$C$32,IF($D6="V02",Cadrage!$D$32,Cadrage!$E$32)))</f>
        <v/>
      </c>
      <c r="K6">
        <f>IF($A6="","",IF($D6="V01",Cadrage!$C$33,IF($D6="V02",Cadrage!$D$33,Cadrage!$E$33)))</f>
        <v/>
      </c>
      <c r="L6">
        <f>IF($A6="","",IF($D6="V01",Cadrage!$C$34,IF($D6="V02",Cadrage!$D$34,Cadrage!$E$34)))</f>
        <v/>
      </c>
      <c r="M6">
        <f>IF($A6="","",IF($D6="V01",Cadrage!$C$35,IF($D6="V02",Cadrage!$D$35,Cadrage!$E$35)))</f>
        <v/>
      </c>
      <c r="N6">
        <f>IF($A6="","",IF($D6="V01",$R$2,IF($D6="V02",$R$3,$R$4)))</f>
        <v/>
      </c>
      <c r="O6">
        <f>IF($A6="","",IF(OR($B6="7062",$B6="706",$B6="708"),$N6,IF($B6="6231",1+$G6,IF($B6="6236",1+$H6,IF(OR($B6="621",$B6="604",$B6="6063"),$N6*(1-$L6),IF(OR($B6="6411",$B6="6413",$B6="6414",$B6="645"),(1+$J6)*(1+$K6),IF(OR($B6="613",$B6="615",$B6="616",$B6="6226",$B6="625",$B6="626",$B6="6281"),(1+$I6)*(1-$L6)*(1+$M6),IF(OR($B6="6331",$B6="63511",$B6="6333"),(1+$I6)*(1-$L6),IF($B6="6811",1+$I6,1)))))))))</f>
        <v/>
      </c>
      <c r="P6">
        <f>IF($A6="","",IF($E6=1,$F6*$O6,PNL!G6))</f>
        <v/>
      </c>
      <c r="T6">
        <f>IF($A6="","",IF($E6=1,IF(OR($B6="7062",$B6="706",$B6="708"),$P6,IF(AND(LEFT($B6,1)="6",$B6&lt;&gt;"6811"),-$P6,0)),0))</f>
        <v/>
      </c>
    </row>
    <row r="7">
      <c r="A7">
        <f>IF(PNL!A7="","",PNL!A7)</f>
        <v/>
      </c>
      <c r="B7">
        <f>IF(PNL!B7="","",PNL!B7)</f>
        <v/>
      </c>
      <c r="C7">
        <f>IF(PNL!C7="","",PNL!C7)</f>
        <v/>
      </c>
      <c r="D7">
        <f>IF(PNL!D7="","",PNL!D7)</f>
        <v/>
      </c>
      <c r="E7">
        <f>IF($A7="","",IF(AND($C7="2027",OR($D7="V01",$D7="V02",$D7="V03")),1,0))</f>
        <v/>
      </c>
      <c r="F7">
        <f>IF($A7="","",IF($E7=1,SUMIFS(Comptabilité!$F$1:$F$675,Comptabilité!$A$1:$A$675,$A7,Comptabilité!$B$1:$B$675,$B7,Comptabilité!$C$1:$C$675,"2026"),0))</f>
        <v/>
      </c>
      <c r="G7">
        <f>IF($A7="","",IF($D7="V01",Cadrage!$C$22,IF($D7="V02",Cadrage!$D$22,Cadrage!$E$22)))</f>
        <v/>
      </c>
      <c r="H7">
        <f>IF($A7="","",IF($D7="V01",Cadrage!$C$23,IF($D7="V02",Cadrage!$D$23,Cadrage!$E$23)))</f>
        <v/>
      </c>
      <c r="I7">
        <f>IF($A7="","",IF($D7="V01",Cadrage!$C$31,IF($D7="V02",Cadrage!$D$31,Cadrage!$E$31)))</f>
        <v/>
      </c>
      <c r="J7">
        <f>IF($A7="","",IF($D7="V01",Cadrage!$C$32,IF($D7="V02",Cadrage!$D$32,Cadrage!$E$32)))</f>
        <v/>
      </c>
      <c r="K7">
        <f>IF($A7="","",IF($D7="V01",Cadrage!$C$33,IF($D7="V02",Cadrage!$D$33,Cadrage!$E$33)))</f>
        <v/>
      </c>
      <c r="L7">
        <f>IF($A7="","",IF($D7="V01",Cadrage!$C$34,IF($D7="V02",Cadrage!$D$34,Cadrage!$E$34)))</f>
        <v/>
      </c>
      <c r="M7">
        <f>IF($A7="","",IF($D7="V01",Cadrage!$C$35,IF($D7="V02",Cadrage!$D$35,Cadrage!$E$35)))</f>
        <v/>
      </c>
      <c r="N7">
        <f>IF($A7="","",IF($D7="V01",$R$2,IF($D7="V02",$R$3,$R$4)))</f>
        <v/>
      </c>
      <c r="O7">
        <f>IF($A7="","",IF(OR($B7="7062",$B7="706",$B7="708"),$N7,IF($B7="6231",1+$G7,IF($B7="6236",1+$H7,IF(OR($B7="621",$B7="604",$B7="6063"),$N7*(1-$L7),IF(OR($B7="6411",$B7="6413",$B7="6414",$B7="645"),(1+$J7)*(1+$K7),IF(OR($B7="613",$B7="615",$B7="616",$B7="6226",$B7="625",$B7="626",$B7="6281"),(1+$I7)*(1-$L7)*(1+$M7),IF(OR($B7="6331",$B7="63511",$B7="6333"),(1+$I7)*(1-$L7),IF($B7="6811",1+$I7,1)))))))))</f>
        <v/>
      </c>
      <c r="P7">
        <f>IF($A7="","",IF($E7=1,$F7*$O7,PNL!G7))</f>
        <v/>
      </c>
      <c r="T7">
        <f>IF($A7="","",IF($E7=1,IF(OR($B7="7062",$B7="706",$B7="708"),$P7,IF(AND(LEFT($B7,1)="6",$B7&lt;&gt;"6811"),-$P7,0)),0))</f>
        <v/>
      </c>
    </row>
    <row r="8">
      <c r="A8">
        <f>IF(PNL!A8="","",PNL!A8)</f>
        <v/>
      </c>
      <c r="B8">
        <f>IF(PNL!B8="","",PNL!B8)</f>
        <v/>
      </c>
      <c r="C8">
        <f>IF(PNL!C8="","",PNL!C8)</f>
        <v/>
      </c>
      <c r="D8">
        <f>IF(PNL!D8="","",PNL!D8)</f>
        <v/>
      </c>
      <c r="E8">
        <f>IF($A8="","",IF(AND($C8="2027",OR($D8="V01",$D8="V02",$D8="V03")),1,0))</f>
        <v/>
      </c>
      <c r="F8">
        <f>IF($A8="","",IF($E8=1,SUMIFS(Comptabilité!$F$1:$F$675,Comptabilité!$A$1:$A$675,$A8,Comptabilité!$B$1:$B$675,$B8,Comptabilité!$C$1:$C$675,"2026"),0))</f>
        <v/>
      </c>
      <c r="G8">
        <f>IF($A8="","",IF($D8="V01",Cadrage!$C$22,IF($D8="V02",Cadrage!$D$22,Cadrage!$E$22)))</f>
        <v/>
      </c>
      <c r="H8">
        <f>IF($A8="","",IF($D8="V01",Cadrage!$C$23,IF($D8="V02",Cadrage!$D$23,Cadrage!$E$23)))</f>
        <v/>
      </c>
      <c r="I8">
        <f>IF($A8="","",IF($D8="V01",Cadrage!$C$31,IF($D8="V02",Cadrage!$D$31,Cadrage!$E$31)))</f>
        <v/>
      </c>
      <c r="J8">
        <f>IF($A8="","",IF($D8="V01",Cadrage!$C$32,IF($D8="V02",Cadrage!$D$32,Cadrage!$E$32)))</f>
        <v/>
      </c>
      <c r="K8">
        <f>IF($A8="","",IF($D8="V01",Cadrage!$C$33,IF($D8="V02",Cadrage!$D$33,Cadrage!$E$33)))</f>
        <v/>
      </c>
      <c r="L8">
        <f>IF($A8="","",IF($D8="V01",Cadrage!$C$34,IF($D8="V02",Cadrage!$D$34,Cadrage!$E$34)))</f>
        <v/>
      </c>
      <c r="M8">
        <f>IF($A8="","",IF($D8="V01",Cadrage!$C$35,IF($D8="V02",Cadrage!$D$35,Cadrage!$E$35)))</f>
        <v/>
      </c>
      <c r="N8">
        <f>IF($A8="","",IF($D8="V01",$R$2,IF($D8="V02",$R$3,$R$4)))</f>
        <v/>
      </c>
      <c r="O8">
        <f>IF($A8="","",IF(OR($B8="7062",$B8="706",$B8="708"),$N8,IF($B8="6231",1+$G8,IF($B8="6236",1+$H8,IF(OR($B8="621",$B8="604",$B8="6063"),$N8*(1-$L8),IF(OR($B8="6411",$B8="6413",$B8="6414",$B8="645"),(1+$J8)*(1+$K8),IF(OR($B8="613",$B8="615",$B8="616",$B8="6226",$B8="625",$B8="626",$B8="6281"),(1+$I8)*(1-$L8)*(1+$M8),IF(OR($B8="6331",$B8="63511",$B8="6333"),(1+$I8)*(1-$L8),IF($B8="6811",1+$I8,1)))))))))</f>
        <v/>
      </c>
      <c r="P8">
        <f>IF($A8="","",IF($E8=1,$F8*$O8,PNL!G8))</f>
        <v/>
      </c>
      <c r="T8">
        <f>IF($A8="","",IF($E8=1,IF(OR($B8="7062",$B8="706",$B8="708"),$P8,IF(AND(LEFT($B8,1)="6",$B8&lt;&gt;"6811"),-$P8,0)),0))</f>
        <v/>
      </c>
    </row>
    <row r="9">
      <c r="A9">
        <f>IF(PNL!A9="","",PNL!A9)</f>
        <v/>
      </c>
      <c r="B9">
        <f>IF(PNL!B9="","",PNL!B9)</f>
        <v/>
      </c>
      <c r="C9">
        <f>IF(PNL!C9="","",PNL!C9)</f>
        <v/>
      </c>
      <c r="D9">
        <f>IF(PNL!D9="","",PNL!D9)</f>
        <v/>
      </c>
      <c r="E9">
        <f>IF($A9="","",IF(AND($C9="2027",OR($D9="V01",$D9="V02",$D9="V03")),1,0))</f>
        <v/>
      </c>
      <c r="F9">
        <f>IF($A9="","",IF($E9=1,SUMIFS(Comptabilité!$F$1:$F$675,Comptabilité!$A$1:$A$675,$A9,Comptabilité!$B$1:$B$675,$B9,Comptabilité!$C$1:$C$675,"2026"),0))</f>
        <v/>
      </c>
      <c r="G9">
        <f>IF($A9="","",IF($D9="V01",Cadrage!$C$22,IF($D9="V02",Cadrage!$D$22,Cadrage!$E$22)))</f>
        <v/>
      </c>
      <c r="H9">
        <f>IF($A9="","",IF($D9="V01",Cadrage!$C$23,IF($D9="V02",Cadrage!$D$23,Cadrage!$E$23)))</f>
        <v/>
      </c>
      <c r="I9">
        <f>IF($A9="","",IF($D9="V01",Cadrage!$C$31,IF($D9="V02",Cadrage!$D$31,Cadrage!$E$31)))</f>
        <v/>
      </c>
      <c r="J9">
        <f>IF($A9="","",IF($D9="V01",Cadrage!$C$32,IF($D9="V02",Cadrage!$D$32,Cadrage!$E$32)))</f>
        <v/>
      </c>
      <c r="K9">
        <f>IF($A9="","",IF($D9="V01",Cadrage!$C$33,IF($D9="V02",Cadrage!$D$33,Cadrage!$E$33)))</f>
        <v/>
      </c>
      <c r="L9">
        <f>IF($A9="","",IF($D9="V01",Cadrage!$C$34,IF($D9="V02",Cadrage!$D$34,Cadrage!$E$34)))</f>
        <v/>
      </c>
      <c r="M9">
        <f>IF($A9="","",IF($D9="V01",Cadrage!$C$35,IF($D9="V02",Cadrage!$D$35,Cadrage!$E$35)))</f>
        <v/>
      </c>
      <c r="N9">
        <f>IF($A9="","",IF($D9="V01",$R$2,IF($D9="V02",$R$3,$R$4)))</f>
        <v/>
      </c>
      <c r="O9">
        <f>IF($A9="","",IF(OR($B9="7062",$B9="706",$B9="708"),$N9,IF($B9="6231",1+$G9,IF($B9="6236",1+$H9,IF(OR($B9="621",$B9="604",$B9="6063"),$N9*(1-$L9),IF(OR($B9="6411",$B9="6413",$B9="6414",$B9="645"),(1+$J9)*(1+$K9),IF(OR($B9="613",$B9="615",$B9="616",$B9="6226",$B9="625",$B9="626",$B9="6281"),(1+$I9)*(1-$L9)*(1+$M9),IF(OR($B9="6331",$B9="63511",$B9="6333"),(1+$I9)*(1-$L9),IF($B9="6811",1+$I9,1)))))))))</f>
        <v/>
      </c>
      <c r="P9">
        <f>IF($A9="","",IF($E9=1,$F9*$O9,PNL!G9))</f>
        <v/>
      </c>
      <c r="T9">
        <f>IF($A9="","",IF($E9=1,IF(OR($B9="7062",$B9="706",$B9="708"),$P9,IF(AND(LEFT($B9,1)="6",$B9&lt;&gt;"6811"),-$P9,0)),0))</f>
        <v/>
      </c>
    </row>
    <row r="10">
      <c r="A10">
        <f>IF(PNL!A10="","",PNL!A10)</f>
        <v/>
      </c>
      <c r="B10">
        <f>IF(PNL!B10="","",PNL!B10)</f>
        <v/>
      </c>
      <c r="C10">
        <f>IF(PNL!C10="","",PNL!C10)</f>
        <v/>
      </c>
      <c r="D10">
        <f>IF(PNL!D10="","",PNL!D10)</f>
        <v/>
      </c>
      <c r="E10">
        <f>IF($A10="","",IF(AND($C10="2027",OR($D10="V01",$D10="V02",$D10="V03")),1,0))</f>
        <v/>
      </c>
      <c r="F10">
        <f>IF($A10="","",IF($E10=1,SUMIFS(Comptabilité!$F$1:$F$675,Comptabilité!$A$1:$A$675,$A10,Comptabilité!$B$1:$B$675,$B10,Comptabilité!$C$1:$C$675,"2026"),0))</f>
        <v/>
      </c>
      <c r="G10">
        <f>IF($A10="","",IF($D10="V01",Cadrage!$C$22,IF($D10="V02",Cadrage!$D$22,Cadrage!$E$22)))</f>
        <v/>
      </c>
      <c r="H10">
        <f>IF($A10="","",IF($D10="V01",Cadrage!$C$23,IF($D10="V02",Cadrage!$D$23,Cadrage!$E$23)))</f>
        <v/>
      </c>
      <c r="I10">
        <f>IF($A10="","",IF($D10="V01",Cadrage!$C$31,IF($D10="V02",Cadrage!$D$31,Cadrage!$E$31)))</f>
        <v/>
      </c>
      <c r="J10">
        <f>IF($A10="","",IF($D10="V01",Cadrage!$C$32,IF($D10="V02",Cadrage!$D$32,Cadrage!$E$32)))</f>
        <v/>
      </c>
      <c r="K10">
        <f>IF($A10="","",IF($D10="V01",Cadrage!$C$33,IF($D10="V02",Cadrage!$D$33,Cadrage!$E$33)))</f>
        <v/>
      </c>
      <c r="L10">
        <f>IF($A10="","",IF($D10="V01",Cadrage!$C$34,IF($D10="V02",Cadrage!$D$34,Cadrage!$E$34)))</f>
        <v/>
      </c>
      <c r="M10">
        <f>IF($A10="","",IF($D10="V01",Cadrage!$C$35,IF($D10="V02",Cadrage!$D$35,Cadrage!$E$35)))</f>
        <v/>
      </c>
      <c r="N10">
        <f>IF($A10="","",IF($D10="V01",$R$2,IF($D10="V02",$R$3,$R$4)))</f>
        <v/>
      </c>
      <c r="O10">
        <f>IF($A10="","",IF(OR($B10="7062",$B10="706",$B10="708"),$N10,IF($B10="6231",1+$G10,IF($B10="6236",1+$H10,IF(OR($B10="621",$B10="604",$B10="6063"),$N10*(1-$L10),IF(OR($B10="6411",$B10="6413",$B10="6414",$B10="645"),(1+$J10)*(1+$K10),IF(OR($B10="613",$B10="615",$B10="616",$B10="6226",$B10="625",$B10="626",$B10="6281"),(1+$I10)*(1-$L10)*(1+$M10),IF(OR($B10="6331",$B10="63511",$B10="6333"),(1+$I10)*(1-$L10),IF($B10="6811",1+$I10,1)))))))))</f>
        <v/>
      </c>
      <c r="P10">
        <f>IF($A10="","",IF($E10=1,$F10*$O10,PNL!G10))</f>
        <v/>
      </c>
      <c r="T10">
        <f>IF($A10="","",IF($E10=1,IF(OR($B10="7062",$B10="706",$B10="708"),$P10,IF(AND(LEFT($B10,1)="6",$B10&lt;&gt;"6811"),-$P10,0)),0))</f>
        <v/>
      </c>
    </row>
    <row r="11">
      <c r="A11">
        <f>IF(PNL!A11="","",PNL!A11)</f>
        <v/>
      </c>
      <c r="B11">
        <f>IF(PNL!B11="","",PNL!B11)</f>
        <v/>
      </c>
      <c r="C11">
        <f>IF(PNL!C11="","",PNL!C11)</f>
        <v/>
      </c>
      <c r="D11">
        <f>IF(PNL!D11="","",PNL!D11)</f>
        <v/>
      </c>
      <c r="E11">
        <f>IF($A11="","",IF(AND($C11="2027",OR($D11="V01",$D11="V02",$D11="V03")),1,0))</f>
        <v/>
      </c>
      <c r="F11">
        <f>IF($A11="","",IF($E11=1,SUMIFS(Comptabilité!$F$1:$F$675,Comptabilité!$A$1:$A$675,$A11,Comptabilité!$B$1:$B$675,$B11,Comptabilité!$C$1:$C$675,"2026"),0))</f>
        <v/>
      </c>
      <c r="G11">
        <f>IF($A11="","",IF($D11="V01",Cadrage!$C$22,IF($D11="V02",Cadrage!$D$22,Cadrage!$E$22)))</f>
        <v/>
      </c>
      <c r="H11">
        <f>IF($A11="","",IF($D11="V01",Cadrage!$C$23,IF($D11="V02",Cadrage!$D$23,Cadrage!$E$23)))</f>
        <v/>
      </c>
      <c r="I11">
        <f>IF($A11="","",IF($D11="V01",Cadrage!$C$31,IF($D11="V02",Cadrage!$D$31,Cadrage!$E$31)))</f>
        <v/>
      </c>
      <c r="J11">
        <f>IF($A11="","",IF($D11="V01",Cadrage!$C$32,IF($D11="V02",Cadrage!$D$32,Cadrage!$E$32)))</f>
        <v/>
      </c>
      <c r="K11">
        <f>IF($A11="","",IF($D11="V01",Cadrage!$C$33,IF($D11="V02",Cadrage!$D$33,Cadrage!$E$33)))</f>
        <v/>
      </c>
      <c r="L11">
        <f>IF($A11="","",IF($D11="V01",Cadrage!$C$34,IF($D11="V02",Cadrage!$D$34,Cadrage!$E$34)))</f>
        <v/>
      </c>
      <c r="M11">
        <f>IF($A11="","",IF($D11="V01",Cadrage!$C$35,IF($D11="V02",Cadrage!$D$35,Cadrage!$E$35)))</f>
        <v/>
      </c>
      <c r="N11">
        <f>IF($A11="","",IF($D11="V01",$R$2,IF($D11="V02",$R$3,$R$4)))</f>
        <v/>
      </c>
      <c r="O11">
        <f>IF($A11="","",IF(OR($B11="7062",$B11="706",$B11="708"),$N11,IF($B11="6231",1+$G11,IF($B11="6236",1+$H11,IF(OR($B11="621",$B11="604",$B11="6063"),$N11*(1-$L11),IF(OR($B11="6411",$B11="6413",$B11="6414",$B11="645"),(1+$J11)*(1+$K11),IF(OR($B11="613",$B11="615",$B11="616",$B11="6226",$B11="625",$B11="626",$B11="6281"),(1+$I11)*(1-$L11)*(1+$M11),IF(OR($B11="6331",$B11="63511",$B11="6333"),(1+$I11)*(1-$L11),IF($B11="6811",1+$I11,1)))))))))</f>
        <v/>
      </c>
      <c r="P11">
        <f>IF($A11="","",IF($E11=1,$F11*$O11,PNL!G11))</f>
        <v/>
      </c>
      <c r="T11">
        <f>IF($A11="","",IF($E11=1,IF(OR($B11="7062",$B11="706",$B11="708"),$P11,IF(AND(LEFT($B11,1)="6",$B11&lt;&gt;"6811"),-$P11,0)),0))</f>
        <v/>
      </c>
    </row>
    <row r="12">
      <c r="A12">
        <f>IF(PNL!A12="","",PNL!A12)</f>
        <v/>
      </c>
      <c r="B12">
        <f>IF(PNL!B12="","",PNL!B12)</f>
        <v/>
      </c>
      <c r="C12">
        <f>IF(PNL!C12="","",PNL!C12)</f>
        <v/>
      </c>
      <c r="D12">
        <f>IF(PNL!D12="","",PNL!D12)</f>
        <v/>
      </c>
      <c r="E12">
        <f>IF($A12="","",IF(AND($C12="2027",OR($D12="V01",$D12="V02",$D12="V03")),1,0))</f>
        <v/>
      </c>
      <c r="F12">
        <f>IF($A12="","",IF($E12=1,SUMIFS(Comptabilité!$F$1:$F$675,Comptabilité!$A$1:$A$675,$A12,Comptabilité!$B$1:$B$675,$B12,Comptabilité!$C$1:$C$675,"2026"),0))</f>
        <v/>
      </c>
      <c r="G12">
        <f>IF($A12="","",IF($D12="V01",Cadrage!$C$22,IF($D12="V02",Cadrage!$D$22,Cadrage!$E$22)))</f>
        <v/>
      </c>
      <c r="H12">
        <f>IF($A12="","",IF($D12="V01",Cadrage!$C$23,IF($D12="V02",Cadrage!$D$23,Cadrage!$E$23)))</f>
        <v/>
      </c>
      <c r="I12">
        <f>IF($A12="","",IF($D12="V01",Cadrage!$C$31,IF($D12="V02",Cadrage!$D$31,Cadrage!$E$31)))</f>
        <v/>
      </c>
      <c r="J12">
        <f>IF($A12="","",IF($D12="V01",Cadrage!$C$32,IF($D12="V02",Cadrage!$D$32,Cadrage!$E$32)))</f>
        <v/>
      </c>
      <c r="K12">
        <f>IF($A12="","",IF($D12="V01",Cadrage!$C$33,IF($D12="V02",Cadrage!$D$33,Cadrage!$E$33)))</f>
        <v/>
      </c>
      <c r="L12">
        <f>IF($A12="","",IF($D12="V01",Cadrage!$C$34,IF($D12="V02",Cadrage!$D$34,Cadrage!$E$34)))</f>
        <v/>
      </c>
      <c r="M12">
        <f>IF($A12="","",IF($D12="V01",Cadrage!$C$35,IF($D12="V02",Cadrage!$D$35,Cadrage!$E$35)))</f>
        <v/>
      </c>
      <c r="N12">
        <f>IF($A12="","",IF($D12="V01",$R$2,IF($D12="V02",$R$3,$R$4)))</f>
        <v/>
      </c>
      <c r="O12">
        <f>IF($A12="","",IF(OR($B12="7062",$B12="706",$B12="708"),$N12,IF($B12="6231",1+$G12,IF($B12="6236",1+$H12,IF(OR($B12="621",$B12="604",$B12="6063"),$N12*(1-$L12),IF(OR($B12="6411",$B12="6413",$B12="6414",$B12="645"),(1+$J12)*(1+$K12),IF(OR($B12="613",$B12="615",$B12="616",$B12="6226",$B12="625",$B12="626",$B12="6281"),(1+$I12)*(1-$L12)*(1+$M12),IF(OR($B12="6331",$B12="63511",$B12="6333"),(1+$I12)*(1-$L12),IF($B12="6811",1+$I12,1)))))))))</f>
        <v/>
      </c>
      <c r="P12">
        <f>IF($A12="","",IF($E12=1,$F12*$O12,PNL!G12))</f>
        <v/>
      </c>
      <c r="T12">
        <f>IF($A12="","",IF($E12=1,IF(OR($B12="7062",$B12="706",$B12="708"),$P12,IF(AND(LEFT($B12,1)="6",$B12&lt;&gt;"6811"),-$P12,0)),0))</f>
        <v/>
      </c>
    </row>
    <row r="13">
      <c r="A13">
        <f>IF(PNL!A13="","",PNL!A13)</f>
        <v/>
      </c>
      <c r="B13">
        <f>IF(PNL!B13="","",PNL!B13)</f>
        <v/>
      </c>
      <c r="C13">
        <f>IF(PNL!C13="","",PNL!C13)</f>
        <v/>
      </c>
      <c r="D13">
        <f>IF(PNL!D13="","",PNL!D13)</f>
        <v/>
      </c>
      <c r="E13">
        <f>IF($A13="","",IF(AND($C13="2027",OR($D13="V01",$D13="V02",$D13="V03")),1,0))</f>
        <v/>
      </c>
      <c r="F13">
        <f>IF($A13="","",IF($E13=1,SUMIFS(Comptabilité!$F$1:$F$675,Comptabilité!$A$1:$A$675,$A13,Comptabilité!$B$1:$B$675,$B13,Comptabilité!$C$1:$C$675,"2026"),0))</f>
        <v/>
      </c>
      <c r="G13">
        <f>IF($A13="","",IF($D13="V01",Cadrage!$C$22,IF($D13="V02",Cadrage!$D$22,Cadrage!$E$22)))</f>
        <v/>
      </c>
      <c r="H13">
        <f>IF($A13="","",IF($D13="V01",Cadrage!$C$23,IF($D13="V02",Cadrage!$D$23,Cadrage!$E$23)))</f>
        <v/>
      </c>
      <c r="I13">
        <f>IF($A13="","",IF($D13="V01",Cadrage!$C$31,IF($D13="V02",Cadrage!$D$31,Cadrage!$E$31)))</f>
        <v/>
      </c>
      <c r="J13">
        <f>IF($A13="","",IF($D13="V01",Cadrage!$C$32,IF($D13="V02",Cadrage!$D$32,Cadrage!$E$32)))</f>
        <v/>
      </c>
      <c r="K13">
        <f>IF($A13="","",IF($D13="V01",Cadrage!$C$33,IF($D13="V02",Cadrage!$D$33,Cadrage!$E$33)))</f>
        <v/>
      </c>
      <c r="L13">
        <f>IF($A13="","",IF($D13="V01",Cadrage!$C$34,IF($D13="V02",Cadrage!$D$34,Cadrage!$E$34)))</f>
        <v/>
      </c>
      <c r="M13">
        <f>IF($A13="","",IF($D13="V01",Cadrage!$C$35,IF($D13="V02",Cadrage!$D$35,Cadrage!$E$35)))</f>
        <v/>
      </c>
      <c r="N13">
        <f>IF($A13="","",IF($D13="V01",$R$2,IF($D13="V02",$R$3,$R$4)))</f>
        <v/>
      </c>
      <c r="O13">
        <f>IF($A13="","",IF(OR($B13="7062",$B13="706",$B13="708"),$N13,IF($B13="6231",1+$G13,IF($B13="6236",1+$H13,IF(OR($B13="621",$B13="604",$B13="6063"),$N13*(1-$L13),IF(OR($B13="6411",$B13="6413",$B13="6414",$B13="645"),(1+$J13)*(1+$K13),IF(OR($B13="613",$B13="615",$B13="616",$B13="6226",$B13="625",$B13="626",$B13="6281"),(1+$I13)*(1-$L13)*(1+$M13),IF(OR($B13="6331",$B13="63511",$B13="6333"),(1+$I13)*(1-$L13),IF($B13="6811",1+$I13,1)))))))))</f>
        <v/>
      </c>
      <c r="P13">
        <f>IF($A13="","",IF($E13=1,$F13*$O13,PNL!G13))</f>
        <v/>
      </c>
      <c r="T13">
        <f>IF($A13="","",IF($E13=1,IF(OR($B13="7062",$B13="706",$B13="708"),$P13,IF(AND(LEFT($B13,1)="6",$B13&lt;&gt;"6811"),-$P13,0)),0))</f>
        <v/>
      </c>
    </row>
    <row r="14">
      <c r="A14">
        <f>IF(PNL!A14="","",PNL!A14)</f>
        <v/>
      </c>
      <c r="B14">
        <f>IF(PNL!B14="","",PNL!B14)</f>
        <v/>
      </c>
      <c r="C14">
        <f>IF(PNL!C14="","",PNL!C14)</f>
        <v/>
      </c>
      <c r="D14">
        <f>IF(PNL!D14="","",PNL!D14)</f>
        <v/>
      </c>
      <c r="E14">
        <f>IF($A14="","",IF(AND($C14="2027",OR($D14="V01",$D14="V02",$D14="V03")),1,0))</f>
        <v/>
      </c>
      <c r="F14">
        <f>IF($A14="","",IF($E14=1,SUMIFS(Comptabilité!$F$1:$F$675,Comptabilité!$A$1:$A$675,$A14,Comptabilité!$B$1:$B$675,$B14,Comptabilité!$C$1:$C$675,"2026"),0))</f>
        <v/>
      </c>
      <c r="G14">
        <f>IF($A14="","",IF($D14="V01",Cadrage!$C$22,IF($D14="V02",Cadrage!$D$22,Cadrage!$E$22)))</f>
        <v/>
      </c>
      <c r="H14">
        <f>IF($A14="","",IF($D14="V01",Cadrage!$C$23,IF($D14="V02",Cadrage!$D$23,Cadrage!$E$23)))</f>
        <v/>
      </c>
      <c r="I14">
        <f>IF($A14="","",IF($D14="V01",Cadrage!$C$31,IF($D14="V02",Cadrage!$D$31,Cadrage!$E$31)))</f>
        <v/>
      </c>
      <c r="J14">
        <f>IF($A14="","",IF($D14="V01",Cadrage!$C$32,IF($D14="V02",Cadrage!$D$32,Cadrage!$E$32)))</f>
        <v/>
      </c>
      <c r="K14">
        <f>IF($A14="","",IF($D14="V01",Cadrage!$C$33,IF($D14="V02",Cadrage!$D$33,Cadrage!$E$33)))</f>
        <v/>
      </c>
      <c r="L14">
        <f>IF($A14="","",IF($D14="V01",Cadrage!$C$34,IF($D14="V02",Cadrage!$D$34,Cadrage!$E$34)))</f>
        <v/>
      </c>
      <c r="M14">
        <f>IF($A14="","",IF($D14="V01",Cadrage!$C$35,IF($D14="V02",Cadrage!$D$35,Cadrage!$E$35)))</f>
        <v/>
      </c>
      <c r="N14">
        <f>IF($A14="","",IF($D14="V01",$R$2,IF($D14="V02",$R$3,$R$4)))</f>
        <v/>
      </c>
      <c r="O14">
        <f>IF($A14="","",IF(OR($B14="7062",$B14="706",$B14="708"),$N14,IF($B14="6231",1+$G14,IF($B14="6236",1+$H14,IF(OR($B14="621",$B14="604",$B14="6063"),$N14*(1-$L14),IF(OR($B14="6411",$B14="6413",$B14="6414",$B14="645"),(1+$J14)*(1+$K14),IF(OR($B14="613",$B14="615",$B14="616",$B14="6226",$B14="625",$B14="626",$B14="6281"),(1+$I14)*(1-$L14)*(1+$M14),IF(OR($B14="6331",$B14="63511",$B14="6333"),(1+$I14)*(1-$L14),IF($B14="6811",1+$I14,1)))))))))</f>
        <v/>
      </c>
      <c r="P14">
        <f>IF($A14="","",IF($E14=1,$F14*$O14,PNL!G14))</f>
        <v/>
      </c>
      <c r="T14">
        <f>IF($A14="","",IF($E14=1,IF(OR($B14="7062",$B14="706",$B14="708"),$P14,IF(AND(LEFT($B14,1)="6",$B14&lt;&gt;"6811"),-$P14,0)),0))</f>
        <v/>
      </c>
    </row>
    <row r="15">
      <c r="A15">
        <f>IF(PNL!A15="","",PNL!A15)</f>
        <v/>
      </c>
      <c r="B15">
        <f>IF(PNL!B15="","",PNL!B15)</f>
        <v/>
      </c>
      <c r="C15">
        <f>IF(PNL!C15="","",PNL!C15)</f>
        <v/>
      </c>
      <c r="D15">
        <f>IF(PNL!D15="","",PNL!D15)</f>
        <v/>
      </c>
      <c r="E15">
        <f>IF($A15="","",IF(AND($C15="2027",OR($D15="V01",$D15="V02",$D15="V03")),1,0))</f>
        <v/>
      </c>
      <c r="F15">
        <f>IF($A15="","",IF($E15=1,SUMIFS(Comptabilité!$F$1:$F$675,Comptabilité!$A$1:$A$675,$A15,Comptabilité!$B$1:$B$675,$B15,Comptabilité!$C$1:$C$675,"2026"),0))</f>
        <v/>
      </c>
      <c r="G15">
        <f>IF($A15="","",IF($D15="V01",Cadrage!$C$22,IF($D15="V02",Cadrage!$D$22,Cadrage!$E$22)))</f>
        <v/>
      </c>
      <c r="H15">
        <f>IF($A15="","",IF($D15="V01",Cadrage!$C$23,IF($D15="V02",Cadrage!$D$23,Cadrage!$E$23)))</f>
        <v/>
      </c>
      <c r="I15">
        <f>IF($A15="","",IF($D15="V01",Cadrage!$C$31,IF($D15="V02",Cadrage!$D$31,Cadrage!$E$31)))</f>
        <v/>
      </c>
      <c r="J15">
        <f>IF($A15="","",IF($D15="V01",Cadrage!$C$32,IF($D15="V02",Cadrage!$D$32,Cadrage!$E$32)))</f>
        <v/>
      </c>
      <c r="K15">
        <f>IF($A15="","",IF($D15="V01",Cadrage!$C$33,IF($D15="V02",Cadrage!$D$33,Cadrage!$E$33)))</f>
        <v/>
      </c>
      <c r="L15">
        <f>IF($A15="","",IF($D15="V01",Cadrage!$C$34,IF($D15="V02",Cadrage!$D$34,Cadrage!$E$34)))</f>
        <v/>
      </c>
      <c r="M15">
        <f>IF($A15="","",IF($D15="V01",Cadrage!$C$35,IF($D15="V02",Cadrage!$D$35,Cadrage!$E$35)))</f>
        <v/>
      </c>
      <c r="N15">
        <f>IF($A15="","",IF($D15="V01",$R$2,IF($D15="V02",$R$3,$R$4)))</f>
        <v/>
      </c>
      <c r="O15">
        <f>IF($A15="","",IF(OR($B15="7062",$B15="706",$B15="708"),$N15,IF($B15="6231",1+$G15,IF($B15="6236",1+$H15,IF(OR($B15="621",$B15="604",$B15="6063"),$N15*(1-$L15),IF(OR($B15="6411",$B15="6413",$B15="6414",$B15="645"),(1+$J15)*(1+$K15),IF(OR($B15="613",$B15="615",$B15="616",$B15="6226",$B15="625",$B15="626",$B15="6281"),(1+$I15)*(1-$L15)*(1+$M15),IF(OR($B15="6331",$B15="63511",$B15="6333"),(1+$I15)*(1-$L15),IF($B15="6811",1+$I15,1)))))))))</f>
        <v/>
      </c>
      <c r="P15">
        <f>IF($A15="","",IF($E15=1,$F15*$O15,PNL!G15))</f>
        <v/>
      </c>
      <c r="T15">
        <f>IF($A15="","",IF($E15=1,IF(OR($B15="7062",$B15="706",$B15="708"),$P15,IF(AND(LEFT($B15,1)="6",$B15&lt;&gt;"6811"),-$P15,0)),0))</f>
        <v/>
      </c>
    </row>
    <row r="16">
      <c r="A16">
        <f>IF(PNL!A16="","",PNL!A16)</f>
        <v/>
      </c>
      <c r="B16">
        <f>IF(PNL!B16="","",PNL!B16)</f>
        <v/>
      </c>
      <c r="C16">
        <f>IF(PNL!C16="","",PNL!C16)</f>
        <v/>
      </c>
      <c r="D16">
        <f>IF(PNL!D16="","",PNL!D16)</f>
        <v/>
      </c>
      <c r="E16">
        <f>IF($A16="","",IF(AND($C16="2027",OR($D16="V01",$D16="V02",$D16="V03")),1,0))</f>
        <v/>
      </c>
      <c r="F16">
        <f>IF($A16="","",IF($E16=1,SUMIFS(Comptabilité!$F$1:$F$675,Comptabilité!$A$1:$A$675,$A16,Comptabilité!$B$1:$B$675,$B16,Comptabilité!$C$1:$C$675,"2026"),0))</f>
        <v/>
      </c>
      <c r="G16">
        <f>IF($A16="","",IF($D16="V01",Cadrage!$C$22,IF($D16="V02",Cadrage!$D$22,Cadrage!$E$22)))</f>
        <v/>
      </c>
      <c r="H16">
        <f>IF($A16="","",IF($D16="V01",Cadrage!$C$23,IF($D16="V02",Cadrage!$D$23,Cadrage!$E$23)))</f>
        <v/>
      </c>
      <c r="I16">
        <f>IF($A16="","",IF($D16="V01",Cadrage!$C$31,IF($D16="V02",Cadrage!$D$31,Cadrage!$E$31)))</f>
        <v/>
      </c>
      <c r="J16">
        <f>IF($A16="","",IF($D16="V01",Cadrage!$C$32,IF($D16="V02",Cadrage!$D$32,Cadrage!$E$32)))</f>
        <v/>
      </c>
      <c r="K16">
        <f>IF($A16="","",IF($D16="V01",Cadrage!$C$33,IF($D16="V02",Cadrage!$D$33,Cadrage!$E$33)))</f>
        <v/>
      </c>
      <c r="L16">
        <f>IF($A16="","",IF($D16="V01",Cadrage!$C$34,IF($D16="V02",Cadrage!$D$34,Cadrage!$E$34)))</f>
        <v/>
      </c>
      <c r="M16">
        <f>IF($A16="","",IF($D16="V01",Cadrage!$C$35,IF($D16="V02",Cadrage!$D$35,Cadrage!$E$35)))</f>
        <v/>
      </c>
      <c r="N16">
        <f>IF($A16="","",IF($D16="V01",$R$2,IF($D16="V02",$R$3,$R$4)))</f>
        <v/>
      </c>
      <c r="O16">
        <f>IF($A16="","",IF(OR($B16="7062",$B16="706",$B16="708"),$N16,IF($B16="6231",1+$G16,IF($B16="6236",1+$H16,IF(OR($B16="621",$B16="604",$B16="6063"),$N16*(1-$L16),IF(OR($B16="6411",$B16="6413",$B16="6414",$B16="645"),(1+$J16)*(1+$K16),IF(OR($B16="613",$B16="615",$B16="616",$B16="6226",$B16="625",$B16="626",$B16="6281"),(1+$I16)*(1-$L16)*(1+$M16),IF(OR($B16="6331",$B16="63511",$B16="6333"),(1+$I16)*(1-$L16),IF($B16="6811",1+$I16,1)))))))))</f>
        <v/>
      </c>
      <c r="P16">
        <f>IF($A16="","",IF($E16=1,$F16*$O16,PNL!G16))</f>
        <v/>
      </c>
      <c r="T16">
        <f>IF($A16="","",IF($E16=1,IF(OR($B16="7062",$B16="706",$B16="708"),$P16,IF(AND(LEFT($B16,1)="6",$B16&lt;&gt;"6811"),-$P16,0)),0))</f>
        <v/>
      </c>
    </row>
    <row r="17">
      <c r="A17">
        <f>IF(PNL!A17="","",PNL!A17)</f>
        <v/>
      </c>
      <c r="B17">
        <f>IF(PNL!B17="","",PNL!B17)</f>
        <v/>
      </c>
      <c r="C17">
        <f>IF(PNL!C17="","",PNL!C17)</f>
        <v/>
      </c>
      <c r="D17">
        <f>IF(PNL!D17="","",PNL!D17)</f>
        <v/>
      </c>
      <c r="E17">
        <f>IF($A17="","",IF(AND($C17="2027",OR($D17="V01",$D17="V02",$D17="V03")),1,0))</f>
        <v/>
      </c>
      <c r="F17">
        <f>IF($A17="","",IF($E17=1,SUMIFS(Comptabilité!$F$1:$F$675,Comptabilité!$A$1:$A$675,$A17,Comptabilité!$B$1:$B$675,$B17,Comptabilité!$C$1:$C$675,"2026"),0))</f>
        <v/>
      </c>
      <c r="G17">
        <f>IF($A17="","",IF($D17="V01",Cadrage!$C$22,IF($D17="V02",Cadrage!$D$22,Cadrage!$E$22)))</f>
        <v/>
      </c>
      <c r="H17">
        <f>IF($A17="","",IF($D17="V01",Cadrage!$C$23,IF($D17="V02",Cadrage!$D$23,Cadrage!$E$23)))</f>
        <v/>
      </c>
      <c r="I17">
        <f>IF($A17="","",IF($D17="V01",Cadrage!$C$31,IF($D17="V02",Cadrage!$D$31,Cadrage!$E$31)))</f>
        <v/>
      </c>
      <c r="J17">
        <f>IF($A17="","",IF($D17="V01",Cadrage!$C$32,IF($D17="V02",Cadrage!$D$32,Cadrage!$E$32)))</f>
        <v/>
      </c>
      <c r="K17">
        <f>IF($A17="","",IF($D17="V01",Cadrage!$C$33,IF($D17="V02",Cadrage!$D$33,Cadrage!$E$33)))</f>
        <v/>
      </c>
      <c r="L17">
        <f>IF($A17="","",IF($D17="V01",Cadrage!$C$34,IF($D17="V02",Cadrage!$D$34,Cadrage!$E$34)))</f>
        <v/>
      </c>
      <c r="M17">
        <f>IF($A17="","",IF($D17="V01",Cadrage!$C$35,IF($D17="V02",Cadrage!$D$35,Cadrage!$E$35)))</f>
        <v/>
      </c>
      <c r="N17">
        <f>IF($A17="","",IF($D17="V01",$R$2,IF($D17="V02",$R$3,$R$4)))</f>
        <v/>
      </c>
      <c r="O17">
        <f>IF($A17="","",IF(OR($B17="7062",$B17="706",$B17="708"),$N17,IF($B17="6231",1+$G17,IF($B17="6236",1+$H17,IF(OR($B17="621",$B17="604",$B17="6063"),$N17*(1-$L17),IF(OR($B17="6411",$B17="6413",$B17="6414",$B17="645"),(1+$J17)*(1+$K17),IF(OR($B17="613",$B17="615",$B17="616",$B17="6226",$B17="625",$B17="626",$B17="6281"),(1+$I17)*(1-$L17)*(1+$M17),IF(OR($B17="6331",$B17="63511",$B17="6333"),(1+$I17)*(1-$L17),IF($B17="6811",1+$I17,1)))))))))</f>
        <v/>
      </c>
      <c r="P17">
        <f>IF($A17="","",IF($E17=1,$F17*$O17,PNL!G17))</f>
        <v/>
      </c>
      <c r="T17">
        <f>IF($A17="","",IF($E17=1,IF(OR($B17="7062",$B17="706",$B17="708"),$P17,IF(AND(LEFT($B17,1)="6",$B17&lt;&gt;"6811"),-$P17,0)),0))</f>
        <v/>
      </c>
    </row>
    <row r="18">
      <c r="A18">
        <f>IF(PNL!A18="","",PNL!A18)</f>
        <v/>
      </c>
      <c r="B18">
        <f>IF(PNL!B18="","",PNL!B18)</f>
        <v/>
      </c>
      <c r="C18">
        <f>IF(PNL!C18="","",PNL!C18)</f>
        <v/>
      </c>
      <c r="D18">
        <f>IF(PNL!D18="","",PNL!D18)</f>
        <v/>
      </c>
      <c r="E18">
        <f>IF($A18="","",IF(AND($C18="2027",OR($D18="V01",$D18="V02",$D18="V03")),1,0))</f>
        <v/>
      </c>
      <c r="F18">
        <f>IF($A18="","",IF($E18=1,SUMIFS(Comptabilité!$F$1:$F$675,Comptabilité!$A$1:$A$675,$A18,Comptabilité!$B$1:$B$675,$B18,Comptabilité!$C$1:$C$675,"2026"),0))</f>
        <v/>
      </c>
      <c r="G18">
        <f>IF($A18="","",IF($D18="V01",Cadrage!$C$22,IF($D18="V02",Cadrage!$D$22,Cadrage!$E$22)))</f>
        <v/>
      </c>
      <c r="H18">
        <f>IF($A18="","",IF($D18="V01",Cadrage!$C$23,IF($D18="V02",Cadrage!$D$23,Cadrage!$E$23)))</f>
        <v/>
      </c>
      <c r="I18">
        <f>IF($A18="","",IF($D18="V01",Cadrage!$C$31,IF($D18="V02",Cadrage!$D$31,Cadrage!$E$31)))</f>
        <v/>
      </c>
      <c r="J18">
        <f>IF($A18="","",IF($D18="V01",Cadrage!$C$32,IF($D18="V02",Cadrage!$D$32,Cadrage!$E$32)))</f>
        <v/>
      </c>
      <c r="K18">
        <f>IF($A18="","",IF($D18="V01",Cadrage!$C$33,IF($D18="V02",Cadrage!$D$33,Cadrage!$E$33)))</f>
        <v/>
      </c>
      <c r="L18">
        <f>IF($A18="","",IF($D18="V01",Cadrage!$C$34,IF($D18="V02",Cadrage!$D$34,Cadrage!$E$34)))</f>
        <v/>
      </c>
      <c r="M18">
        <f>IF($A18="","",IF($D18="V01",Cadrage!$C$35,IF($D18="V02",Cadrage!$D$35,Cadrage!$E$35)))</f>
        <v/>
      </c>
      <c r="N18">
        <f>IF($A18="","",IF($D18="V01",$R$2,IF($D18="V02",$R$3,$R$4)))</f>
        <v/>
      </c>
      <c r="O18">
        <f>IF($A18="","",IF(OR($B18="7062",$B18="706",$B18="708"),$N18,IF($B18="6231",1+$G18,IF($B18="6236",1+$H18,IF(OR($B18="621",$B18="604",$B18="6063"),$N18*(1-$L18),IF(OR($B18="6411",$B18="6413",$B18="6414",$B18="645"),(1+$J18)*(1+$K18),IF(OR($B18="613",$B18="615",$B18="616",$B18="6226",$B18="625",$B18="626",$B18="6281"),(1+$I18)*(1-$L18)*(1+$M18),IF(OR($B18="6331",$B18="63511",$B18="6333"),(1+$I18)*(1-$L18),IF($B18="6811",1+$I18,1)))))))))</f>
        <v/>
      </c>
      <c r="P18">
        <f>IF($A18="","",IF($E18=1,$F18*$O18,PNL!G18))</f>
        <v/>
      </c>
      <c r="T18">
        <f>IF($A18="","",IF($E18=1,IF(OR($B18="7062",$B18="706",$B18="708"),$P18,IF(AND(LEFT($B18,1)="6",$B18&lt;&gt;"6811"),-$P18,0)),0))</f>
        <v/>
      </c>
    </row>
    <row r="19">
      <c r="A19">
        <f>IF(PNL!A19="","",PNL!A19)</f>
        <v/>
      </c>
      <c r="B19">
        <f>IF(PNL!B19="","",PNL!B19)</f>
        <v/>
      </c>
      <c r="C19">
        <f>IF(PNL!C19="","",PNL!C19)</f>
        <v/>
      </c>
      <c r="D19">
        <f>IF(PNL!D19="","",PNL!D19)</f>
        <v/>
      </c>
      <c r="E19">
        <f>IF($A19="","",IF(AND($C19="2027",OR($D19="V01",$D19="V02",$D19="V03")),1,0))</f>
        <v/>
      </c>
      <c r="F19">
        <f>IF($A19="","",IF($E19=1,SUMIFS(Comptabilité!$F$1:$F$675,Comptabilité!$A$1:$A$675,$A19,Comptabilité!$B$1:$B$675,$B19,Comptabilité!$C$1:$C$675,"2026"),0))</f>
        <v/>
      </c>
      <c r="G19">
        <f>IF($A19="","",IF($D19="V01",Cadrage!$C$22,IF($D19="V02",Cadrage!$D$22,Cadrage!$E$22)))</f>
        <v/>
      </c>
      <c r="H19">
        <f>IF($A19="","",IF($D19="V01",Cadrage!$C$23,IF($D19="V02",Cadrage!$D$23,Cadrage!$E$23)))</f>
        <v/>
      </c>
      <c r="I19">
        <f>IF($A19="","",IF($D19="V01",Cadrage!$C$31,IF($D19="V02",Cadrage!$D$31,Cadrage!$E$31)))</f>
        <v/>
      </c>
      <c r="J19">
        <f>IF($A19="","",IF($D19="V01",Cadrage!$C$32,IF($D19="V02",Cadrage!$D$32,Cadrage!$E$32)))</f>
        <v/>
      </c>
      <c r="K19">
        <f>IF($A19="","",IF($D19="V01",Cadrage!$C$33,IF($D19="V02",Cadrage!$D$33,Cadrage!$E$33)))</f>
        <v/>
      </c>
      <c r="L19">
        <f>IF($A19="","",IF($D19="V01",Cadrage!$C$34,IF($D19="V02",Cadrage!$D$34,Cadrage!$E$34)))</f>
        <v/>
      </c>
      <c r="M19">
        <f>IF($A19="","",IF($D19="V01",Cadrage!$C$35,IF($D19="V02",Cadrage!$D$35,Cadrage!$E$35)))</f>
        <v/>
      </c>
      <c r="N19">
        <f>IF($A19="","",IF($D19="V01",$R$2,IF($D19="V02",$R$3,$R$4)))</f>
        <v/>
      </c>
      <c r="O19">
        <f>IF($A19="","",IF(OR($B19="7062",$B19="706",$B19="708"),$N19,IF($B19="6231",1+$G19,IF($B19="6236",1+$H19,IF(OR($B19="621",$B19="604",$B19="6063"),$N19*(1-$L19),IF(OR($B19="6411",$B19="6413",$B19="6414",$B19="645"),(1+$J19)*(1+$K19),IF(OR($B19="613",$B19="615",$B19="616",$B19="6226",$B19="625",$B19="626",$B19="6281"),(1+$I19)*(1-$L19)*(1+$M19),IF(OR($B19="6331",$B19="63511",$B19="6333"),(1+$I19)*(1-$L19),IF($B19="6811",1+$I19,1)))))))))</f>
        <v/>
      </c>
      <c r="P19">
        <f>IF($A19="","",IF($E19=1,$F19*$O19,PNL!G19))</f>
        <v/>
      </c>
      <c r="T19">
        <f>IF($A19="","",IF($E19=1,IF(OR($B19="7062",$B19="706",$B19="708"),$P19,IF(AND(LEFT($B19,1)="6",$B19&lt;&gt;"6811"),-$P19,0)),0))</f>
        <v/>
      </c>
    </row>
    <row r="20">
      <c r="A20">
        <f>IF(PNL!A20="","",PNL!A20)</f>
        <v/>
      </c>
      <c r="B20">
        <f>IF(PNL!B20="","",PNL!B20)</f>
        <v/>
      </c>
      <c r="C20">
        <f>IF(PNL!C20="","",PNL!C20)</f>
        <v/>
      </c>
      <c r="D20">
        <f>IF(PNL!D20="","",PNL!D20)</f>
        <v/>
      </c>
      <c r="E20">
        <f>IF($A20="","",IF(AND($C20="2027",OR($D20="V01",$D20="V02",$D20="V03")),1,0))</f>
        <v/>
      </c>
      <c r="F20">
        <f>IF($A20="","",IF($E20=1,SUMIFS(Comptabilité!$F$1:$F$675,Comptabilité!$A$1:$A$675,$A20,Comptabilité!$B$1:$B$675,$B20,Comptabilité!$C$1:$C$675,"2026"),0))</f>
        <v/>
      </c>
      <c r="G20">
        <f>IF($A20="","",IF($D20="V01",Cadrage!$C$22,IF($D20="V02",Cadrage!$D$22,Cadrage!$E$22)))</f>
        <v/>
      </c>
      <c r="H20">
        <f>IF($A20="","",IF($D20="V01",Cadrage!$C$23,IF($D20="V02",Cadrage!$D$23,Cadrage!$E$23)))</f>
        <v/>
      </c>
      <c r="I20">
        <f>IF($A20="","",IF($D20="V01",Cadrage!$C$31,IF($D20="V02",Cadrage!$D$31,Cadrage!$E$31)))</f>
        <v/>
      </c>
      <c r="J20">
        <f>IF($A20="","",IF($D20="V01",Cadrage!$C$32,IF($D20="V02",Cadrage!$D$32,Cadrage!$E$32)))</f>
        <v/>
      </c>
      <c r="K20">
        <f>IF($A20="","",IF($D20="V01",Cadrage!$C$33,IF($D20="V02",Cadrage!$D$33,Cadrage!$E$33)))</f>
        <v/>
      </c>
      <c r="L20">
        <f>IF($A20="","",IF($D20="V01",Cadrage!$C$34,IF($D20="V02",Cadrage!$D$34,Cadrage!$E$34)))</f>
        <v/>
      </c>
      <c r="M20">
        <f>IF($A20="","",IF($D20="V01",Cadrage!$C$35,IF($D20="V02",Cadrage!$D$35,Cadrage!$E$35)))</f>
        <v/>
      </c>
      <c r="N20">
        <f>IF($A20="","",IF($D20="V01",$R$2,IF($D20="V02",$R$3,$R$4)))</f>
        <v/>
      </c>
      <c r="O20">
        <f>IF($A20="","",IF(OR($B20="7062",$B20="706",$B20="708"),$N20,IF($B20="6231",1+$G20,IF($B20="6236",1+$H20,IF(OR($B20="621",$B20="604",$B20="6063"),$N20*(1-$L20),IF(OR($B20="6411",$B20="6413",$B20="6414",$B20="645"),(1+$J20)*(1+$K20),IF(OR($B20="613",$B20="615",$B20="616",$B20="6226",$B20="625",$B20="626",$B20="6281"),(1+$I20)*(1-$L20)*(1+$M20),IF(OR($B20="6331",$B20="63511",$B20="6333"),(1+$I20)*(1-$L20),IF($B20="6811",1+$I20,1)))))))))</f>
        <v/>
      </c>
      <c r="P20">
        <f>IF($A20="","",IF($E20=1,$F20*$O20,PNL!G20))</f>
        <v/>
      </c>
      <c r="T20">
        <f>IF($A20="","",IF($E20=1,IF(OR($B20="7062",$B20="706",$B20="708"),$P20,IF(AND(LEFT($B20,1)="6",$B20&lt;&gt;"6811"),-$P20,0)),0))</f>
        <v/>
      </c>
    </row>
    <row r="21">
      <c r="A21">
        <f>IF(PNL!A21="","",PNL!A21)</f>
        <v/>
      </c>
      <c r="B21">
        <f>IF(PNL!B21="","",PNL!B21)</f>
        <v/>
      </c>
      <c r="C21">
        <f>IF(PNL!C21="","",PNL!C21)</f>
        <v/>
      </c>
      <c r="D21">
        <f>IF(PNL!D21="","",PNL!D21)</f>
        <v/>
      </c>
      <c r="E21">
        <f>IF($A21="","",IF(AND($C21="2027",OR($D21="V01",$D21="V02",$D21="V03")),1,0))</f>
        <v/>
      </c>
      <c r="F21">
        <f>IF($A21="","",IF($E21=1,SUMIFS(Comptabilité!$F$1:$F$675,Comptabilité!$A$1:$A$675,$A21,Comptabilité!$B$1:$B$675,$B21,Comptabilité!$C$1:$C$675,"2026"),0))</f>
        <v/>
      </c>
      <c r="G21">
        <f>IF($A21="","",IF($D21="V01",Cadrage!$C$22,IF($D21="V02",Cadrage!$D$22,Cadrage!$E$22)))</f>
        <v/>
      </c>
      <c r="H21">
        <f>IF($A21="","",IF($D21="V01",Cadrage!$C$23,IF($D21="V02",Cadrage!$D$23,Cadrage!$E$23)))</f>
        <v/>
      </c>
      <c r="I21">
        <f>IF($A21="","",IF($D21="V01",Cadrage!$C$31,IF($D21="V02",Cadrage!$D$31,Cadrage!$E$31)))</f>
        <v/>
      </c>
      <c r="J21">
        <f>IF($A21="","",IF($D21="V01",Cadrage!$C$32,IF($D21="V02",Cadrage!$D$32,Cadrage!$E$32)))</f>
        <v/>
      </c>
      <c r="K21">
        <f>IF($A21="","",IF($D21="V01",Cadrage!$C$33,IF($D21="V02",Cadrage!$D$33,Cadrage!$E$33)))</f>
        <v/>
      </c>
      <c r="L21">
        <f>IF($A21="","",IF($D21="V01",Cadrage!$C$34,IF($D21="V02",Cadrage!$D$34,Cadrage!$E$34)))</f>
        <v/>
      </c>
      <c r="M21">
        <f>IF($A21="","",IF($D21="V01",Cadrage!$C$35,IF($D21="V02",Cadrage!$D$35,Cadrage!$E$35)))</f>
        <v/>
      </c>
      <c r="N21">
        <f>IF($A21="","",IF($D21="V01",$R$2,IF($D21="V02",$R$3,$R$4)))</f>
        <v/>
      </c>
      <c r="O21">
        <f>IF($A21="","",IF(OR($B21="7062",$B21="706",$B21="708"),$N21,IF($B21="6231",1+$G21,IF($B21="6236",1+$H21,IF(OR($B21="621",$B21="604",$B21="6063"),$N21*(1-$L21),IF(OR($B21="6411",$B21="6413",$B21="6414",$B21="645"),(1+$J21)*(1+$K21),IF(OR($B21="613",$B21="615",$B21="616",$B21="6226",$B21="625",$B21="626",$B21="6281"),(1+$I21)*(1-$L21)*(1+$M21),IF(OR($B21="6331",$B21="63511",$B21="6333"),(1+$I21)*(1-$L21),IF($B21="6811",1+$I21,1)))))))))</f>
        <v/>
      </c>
      <c r="P21">
        <f>IF($A21="","",IF($E21=1,$F21*$O21,PNL!G21))</f>
        <v/>
      </c>
      <c r="T21">
        <f>IF($A21="","",IF($E21=1,IF(OR($B21="7062",$B21="706",$B21="708"),$P21,IF(AND(LEFT($B21,1)="6",$B21&lt;&gt;"6811"),-$P21,0)),0))</f>
        <v/>
      </c>
    </row>
    <row r="22">
      <c r="A22">
        <f>IF(PNL!A22="","",PNL!A22)</f>
        <v/>
      </c>
      <c r="B22">
        <f>IF(PNL!B22="","",PNL!B22)</f>
        <v/>
      </c>
      <c r="C22">
        <f>IF(PNL!C22="","",PNL!C22)</f>
        <v/>
      </c>
      <c r="D22">
        <f>IF(PNL!D22="","",PNL!D22)</f>
        <v/>
      </c>
      <c r="E22">
        <f>IF($A22="","",IF(AND($C22="2027",OR($D22="V01",$D22="V02",$D22="V03")),1,0))</f>
        <v/>
      </c>
      <c r="F22">
        <f>IF($A22="","",IF($E22=1,SUMIFS(Comptabilité!$F$1:$F$675,Comptabilité!$A$1:$A$675,$A22,Comptabilité!$B$1:$B$675,$B22,Comptabilité!$C$1:$C$675,"2026"),0))</f>
        <v/>
      </c>
      <c r="G22">
        <f>IF($A22="","",IF($D22="V01",Cadrage!$C$22,IF($D22="V02",Cadrage!$D$22,Cadrage!$E$22)))</f>
        <v/>
      </c>
      <c r="H22">
        <f>IF($A22="","",IF($D22="V01",Cadrage!$C$23,IF($D22="V02",Cadrage!$D$23,Cadrage!$E$23)))</f>
        <v/>
      </c>
      <c r="I22">
        <f>IF($A22="","",IF($D22="V01",Cadrage!$C$31,IF($D22="V02",Cadrage!$D$31,Cadrage!$E$31)))</f>
        <v/>
      </c>
      <c r="J22">
        <f>IF($A22="","",IF($D22="V01",Cadrage!$C$32,IF($D22="V02",Cadrage!$D$32,Cadrage!$E$32)))</f>
        <v/>
      </c>
      <c r="K22">
        <f>IF($A22="","",IF($D22="V01",Cadrage!$C$33,IF($D22="V02",Cadrage!$D$33,Cadrage!$E$33)))</f>
        <v/>
      </c>
      <c r="L22">
        <f>IF($A22="","",IF($D22="V01",Cadrage!$C$34,IF($D22="V02",Cadrage!$D$34,Cadrage!$E$34)))</f>
        <v/>
      </c>
      <c r="M22">
        <f>IF($A22="","",IF($D22="V01",Cadrage!$C$35,IF($D22="V02",Cadrage!$D$35,Cadrage!$E$35)))</f>
        <v/>
      </c>
      <c r="N22">
        <f>IF($A22="","",IF($D22="V01",$R$2,IF($D22="V02",$R$3,$R$4)))</f>
        <v/>
      </c>
      <c r="O22">
        <f>IF($A22="","",IF(OR($B22="7062",$B22="706",$B22="708"),$N22,IF($B22="6231",1+$G22,IF($B22="6236",1+$H22,IF(OR($B22="621",$B22="604",$B22="6063"),$N22*(1-$L22),IF(OR($B22="6411",$B22="6413",$B22="6414",$B22="645"),(1+$J22)*(1+$K22),IF(OR($B22="613",$B22="615",$B22="616",$B22="6226",$B22="625",$B22="626",$B22="6281"),(1+$I22)*(1-$L22)*(1+$M22),IF(OR($B22="6331",$B22="63511",$B22="6333"),(1+$I22)*(1-$L22),IF($B22="6811",1+$I22,1)))))))))</f>
        <v/>
      </c>
      <c r="P22">
        <f>IF($A22="","",IF($E22=1,$F22*$O22,PNL!G22))</f>
        <v/>
      </c>
      <c r="T22">
        <f>IF($A22="","",IF($E22=1,IF(OR($B22="7062",$B22="706",$B22="708"),$P22,IF(AND(LEFT($B22,1)="6",$B22&lt;&gt;"6811"),-$P22,0)),0))</f>
        <v/>
      </c>
    </row>
    <row r="23">
      <c r="A23">
        <f>IF(PNL!A23="","",PNL!A23)</f>
        <v/>
      </c>
      <c r="B23">
        <f>IF(PNL!B23="","",PNL!B23)</f>
        <v/>
      </c>
      <c r="C23">
        <f>IF(PNL!C23="","",PNL!C23)</f>
        <v/>
      </c>
      <c r="D23">
        <f>IF(PNL!D23="","",PNL!D23)</f>
        <v/>
      </c>
      <c r="E23">
        <f>IF($A23="","",IF(AND($C23="2027",OR($D23="V01",$D23="V02",$D23="V03")),1,0))</f>
        <v/>
      </c>
      <c r="F23">
        <f>IF($A23="","",IF($E23=1,SUMIFS(Comptabilité!$F$1:$F$675,Comptabilité!$A$1:$A$675,$A23,Comptabilité!$B$1:$B$675,$B23,Comptabilité!$C$1:$C$675,"2026"),0))</f>
        <v/>
      </c>
      <c r="G23">
        <f>IF($A23="","",IF($D23="V01",Cadrage!$C$22,IF($D23="V02",Cadrage!$D$22,Cadrage!$E$22)))</f>
        <v/>
      </c>
      <c r="H23">
        <f>IF($A23="","",IF($D23="V01",Cadrage!$C$23,IF($D23="V02",Cadrage!$D$23,Cadrage!$E$23)))</f>
        <v/>
      </c>
      <c r="I23">
        <f>IF($A23="","",IF($D23="V01",Cadrage!$C$31,IF($D23="V02",Cadrage!$D$31,Cadrage!$E$31)))</f>
        <v/>
      </c>
      <c r="J23">
        <f>IF($A23="","",IF($D23="V01",Cadrage!$C$32,IF($D23="V02",Cadrage!$D$32,Cadrage!$E$32)))</f>
        <v/>
      </c>
      <c r="K23">
        <f>IF($A23="","",IF($D23="V01",Cadrage!$C$33,IF($D23="V02",Cadrage!$D$33,Cadrage!$E$33)))</f>
        <v/>
      </c>
      <c r="L23">
        <f>IF($A23="","",IF($D23="V01",Cadrage!$C$34,IF($D23="V02",Cadrage!$D$34,Cadrage!$E$34)))</f>
        <v/>
      </c>
      <c r="M23">
        <f>IF($A23="","",IF($D23="V01",Cadrage!$C$35,IF($D23="V02",Cadrage!$D$35,Cadrage!$E$35)))</f>
        <v/>
      </c>
      <c r="N23">
        <f>IF($A23="","",IF($D23="V01",$R$2,IF($D23="V02",$R$3,$R$4)))</f>
        <v/>
      </c>
      <c r="O23">
        <f>IF($A23="","",IF(OR($B23="7062",$B23="706",$B23="708"),$N23,IF($B23="6231",1+$G23,IF($B23="6236",1+$H23,IF(OR($B23="621",$B23="604",$B23="6063"),$N23*(1-$L23),IF(OR($B23="6411",$B23="6413",$B23="6414",$B23="645"),(1+$J23)*(1+$K23),IF(OR($B23="613",$B23="615",$B23="616",$B23="6226",$B23="625",$B23="626",$B23="6281"),(1+$I23)*(1-$L23)*(1+$M23),IF(OR($B23="6331",$B23="63511",$B23="6333"),(1+$I23)*(1-$L23),IF($B23="6811",1+$I23,1)))))))))</f>
        <v/>
      </c>
      <c r="P23">
        <f>IF($A23="","",IF($E23=1,$F23*$O23,PNL!G23))</f>
        <v/>
      </c>
      <c r="T23">
        <f>IF($A23="","",IF($E23=1,IF(OR($B23="7062",$B23="706",$B23="708"),$P23,IF(AND(LEFT($B23,1)="6",$B23&lt;&gt;"6811"),-$P23,0)),0))</f>
        <v/>
      </c>
    </row>
    <row r="24">
      <c r="A24">
        <f>IF(PNL!A24="","",PNL!A24)</f>
        <v/>
      </c>
      <c r="B24">
        <f>IF(PNL!B24="","",PNL!B24)</f>
        <v/>
      </c>
      <c r="C24">
        <f>IF(PNL!C24="","",PNL!C24)</f>
        <v/>
      </c>
      <c r="D24">
        <f>IF(PNL!D24="","",PNL!D24)</f>
        <v/>
      </c>
      <c r="E24">
        <f>IF($A24="","",IF(AND($C24="2027",OR($D24="V01",$D24="V02",$D24="V03")),1,0))</f>
        <v/>
      </c>
      <c r="F24">
        <f>IF($A24="","",IF($E24=1,SUMIFS(Comptabilité!$F$1:$F$675,Comptabilité!$A$1:$A$675,$A24,Comptabilité!$B$1:$B$675,$B24,Comptabilité!$C$1:$C$675,"2026"),0))</f>
        <v/>
      </c>
      <c r="G24">
        <f>IF($A24="","",IF($D24="V01",Cadrage!$C$22,IF($D24="V02",Cadrage!$D$22,Cadrage!$E$22)))</f>
        <v/>
      </c>
      <c r="H24">
        <f>IF($A24="","",IF($D24="V01",Cadrage!$C$23,IF($D24="V02",Cadrage!$D$23,Cadrage!$E$23)))</f>
        <v/>
      </c>
      <c r="I24">
        <f>IF($A24="","",IF($D24="V01",Cadrage!$C$31,IF($D24="V02",Cadrage!$D$31,Cadrage!$E$31)))</f>
        <v/>
      </c>
      <c r="J24">
        <f>IF($A24="","",IF($D24="V01",Cadrage!$C$32,IF($D24="V02",Cadrage!$D$32,Cadrage!$E$32)))</f>
        <v/>
      </c>
      <c r="K24">
        <f>IF($A24="","",IF($D24="V01",Cadrage!$C$33,IF($D24="V02",Cadrage!$D$33,Cadrage!$E$33)))</f>
        <v/>
      </c>
      <c r="L24">
        <f>IF($A24="","",IF($D24="V01",Cadrage!$C$34,IF($D24="V02",Cadrage!$D$34,Cadrage!$E$34)))</f>
        <v/>
      </c>
      <c r="M24">
        <f>IF($A24="","",IF($D24="V01",Cadrage!$C$35,IF($D24="V02",Cadrage!$D$35,Cadrage!$E$35)))</f>
        <v/>
      </c>
      <c r="N24">
        <f>IF($A24="","",IF($D24="V01",$R$2,IF($D24="V02",$R$3,$R$4)))</f>
        <v/>
      </c>
      <c r="O24">
        <f>IF($A24="","",IF(OR($B24="7062",$B24="706",$B24="708"),$N24,IF($B24="6231",1+$G24,IF($B24="6236",1+$H24,IF(OR($B24="621",$B24="604",$B24="6063"),$N24*(1-$L24),IF(OR($B24="6411",$B24="6413",$B24="6414",$B24="645"),(1+$J24)*(1+$K24),IF(OR($B24="613",$B24="615",$B24="616",$B24="6226",$B24="625",$B24="626",$B24="6281"),(1+$I24)*(1-$L24)*(1+$M24),IF(OR($B24="6331",$B24="63511",$B24="6333"),(1+$I24)*(1-$L24),IF($B24="6811",1+$I24,1)))))))))</f>
        <v/>
      </c>
      <c r="P24">
        <f>IF($A24="","",IF($E24=1,$F24*$O24,PNL!G24))</f>
        <v/>
      </c>
      <c r="T24">
        <f>IF($A24="","",IF($E24=1,IF(OR($B24="7062",$B24="706",$B24="708"),$P24,IF(AND(LEFT($B24,1)="6",$B24&lt;&gt;"6811"),-$P24,0)),0))</f>
        <v/>
      </c>
    </row>
    <row r="25">
      <c r="A25">
        <f>IF(PNL!A25="","",PNL!A25)</f>
        <v/>
      </c>
      <c r="B25">
        <f>IF(PNL!B25="","",PNL!B25)</f>
        <v/>
      </c>
      <c r="C25">
        <f>IF(PNL!C25="","",PNL!C25)</f>
        <v/>
      </c>
      <c r="D25">
        <f>IF(PNL!D25="","",PNL!D25)</f>
        <v/>
      </c>
      <c r="E25">
        <f>IF($A25="","",IF(AND($C25="2027",OR($D25="V01",$D25="V02",$D25="V03")),1,0))</f>
        <v/>
      </c>
      <c r="F25">
        <f>IF($A25="","",IF($E25=1,SUMIFS(Comptabilité!$F$1:$F$675,Comptabilité!$A$1:$A$675,$A25,Comptabilité!$B$1:$B$675,$B25,Comptabilité!$C$1:$C$675,"2026"),0))</f>
        <v/>
      </c>
      <c r="G25">
        <f>IF($A25="","",IF($D25="V01",Cadrage!$C$22,IF($D25="V02",Cadrage!$D$22,Cadrage!$E$22)))</f>
        <v/>
      </c>
      <c r="H25">
        <f>IF($A25="","",IF($D25="V01",Cadrage!$C$23,IF($D25="V02",Cadrage!$D$23,Cadrage!$E$23)))</f>
        <v/>
      </c>
      <c r="I25">
        <f>IF($A25="","",IF($D25="V01",Cadrage!$C$31,IF($D25="V02",Cadrage!$D$31,Cadrage!$E$31)))</f>
        <v/>
      </c>
      <c r="J25">
        <f>IF($A25="","",IF($D25="V01",Cadrage!$C$32,IF($D25="V02",Cadrage!$D$32,Cadrage!$E$32)))</f>
        <v/>
      </c>
      <c r="K25">
        <f>IF($A25="","",IF($D25="V01",Cadrage!$C$33,IF($D25="V02",Cadrage!$D$33,Cadrage!$E$33)))</f>
        <v/>
      </c>
      <c r="L25">
        <f>IF($A25="","",IF($D25="V01",Cadrage!$C$34,IF($D25="V02",Cadrage!$D$34,Cadrage!$E$34)))</f>
        <v/>
      </c>
      <c r="M25">
        <f>IF($A25="","",IF($D25="V01",Cadrage!$C$35,IF($D25="V02",Cadrage!$D$35,Cadrage!$E$35)))</f>
        <v/>
      </c>
      <c r="N25">
        <f>IF($A25="","",IF($D25="V01",$R$2,IF($D25="V02",$R$3,$R$4)))</f>
        <v/>
      </c>
      <c r="O25">
        <f>IF($A25="","",IF(OR($B25="7062",$B25="706",$B25="708"),$N25,IF($B25="6231",1+$G25,IF($B25="6236",1+$H25,IF(OR($B25="621",$B25="604",$B25="6063"),$N25*(1-$L25),IF(OR($B25="6411",$B25="6413",$B25="6414",$B25="645"),(1+$J25)*(1+$K25),IF(OR($B25="613",$B25="615",$B25="616",$B25="6226",$B25="625",$B25="626",$B25="6281"),(1+$I25)*(1-$L25)*(1+$M25),IF(OR($B25="6331",$B25="63511",$B25="6333"),(1+$I25)*(1-$L25),IF($B25="6811",1+$I25,1)))))))))</f>
        <v/>
      </c>
      <c r="P25">
        <f>IF($A25="","",IF($E25=1,$F25*$O25,PNL!G25))</f>
        <v/>
      </c>
      <c r="T25">
        <f>IF($A25="","",IF($E25=1,IF(OR($B25="7062",$B25="706",$B25="708"),$P25,IF(AND(LEFT($B25,1)="6",$B25&lt;&gt;"6811"),-$P25,0)),0))</f>
        <v/>
      </c>
    </row>
    <row r="26">
      <c r="A26">
        <f>IF(PNL!A26="","",PNL!A26)</f>
        <v/>
      </c>
      <c r="B26">
        <f>IF(PNL!B26="","",PNL!B26)</f>
        <v/>
      </c>
      <c r="C26">
        <f>IF(PNL!C26="","",PNL!C26)</f>
        <v/>
      </c>
      <c r="D26">
        <f>IF(PNL!D26="","",PNL!D26)</f>
        <v/>
      </c>
      <c r="E26">
        <f>IF($A26="","",IF(AND($C26="2027",OR($D26="V01",$D26="V02",$D26="V03")),1,0))</f>
        <v/>
      </c>
      <c r="F26">
        <f>IF($A26="","",IF($E26=1,SUMIFS(Comptabilité!$F$1:$F$675,Comptabilité!$A$1:$A$675,$A26,Comptabilité!$B$1:$B$675,$B26,Comptabilité!$C$1:$C$675,"2026"),0))</f>
        <v/>
      </c>
      <c r="G26">
        <f>IF($A26="","",IF($D26="V01",Cadrage!$C$22,IF($D26="V02",Cadrage!$D$22,Cadrage!$E$22)))</f>
        <v/>
      </c>
      <c r="H26">
        <f>IF($A26="","",IF($D26="V01",Cadrage!$C$23,IF($D26="V02",Cadrage!$D$23,Cadrage!$E$23)))</f>
        <v/>
      </c>
      <c r="I26">
        <f>IF($A26="","",IF($D26="V01",Cadrage!$C$31,IF($D26="V02",Cadrage!$D$31,Cadrage!$E$31)))</f>
        <v/>
      </c>
      <c r="J26">
        <f>IF($A26="","",IF($D26="V01",Cadrage!$C$32,IF($D26="V02",Cadrage!$D$32,Cadrage!$E$32)))</f>
        <v/>
      </c>
      <c r="K26">
        <f>IF($A26="","",IF($D26="V01",Cadrage!$C$33,IF($D26="V02",Cadrage!$D$33,Cadrage!$E$33)))</f>
        <v/>
      </c>
      <c r="L26">
        <f>IF($A26="","",IF($D26="V01",Cadrage!$C$34,IF($D26="V02",Cadrage!$D$34,Cadrage!$E$34)))</f>
        <v/>
      </c>
      <c r="M26">
        <f>IF($A26="","",IF($D26="V01",Cadrage!$C$35,IF($D26="V02",Cadrage!$D$35,Cadrage!$E$35)))</f>
        <v/>
      </c>
      <c r="N26">
        <f>IF($A26="","",IF($D26="V01",$R$2,IF($D26="V02",$R$3,$R$4)))</f>
        <v/>
      </c>
      <c r="O26">
        <f>IF($A26="","",IF(OR($B26="7062",$B26="706",$B26="708"),$N26,IF($B26="6231",1+$G26,IF($B26="6236",1+$H26,IF(OR($B26="621",$B26="604",$B26="6063"),$N26*(1-$L26),IF(OR($B26="6411",$B26="6413",$B26="6414",$B26="645"),(1+$J26)*(1+$K26),IF(OR($B26="613",$B26="615",$B26="616",$B26="6226",$B26="625",$B26="626",$B26="6281"),(1+$I26)*(1-$L26)*(1+$M26),IF(OR($B26="6331",$B26="63511",$B26="6333"),(1+$I26)*(1-$L26),IF($B26="6811",1+$I26,1)))))))))</f>
        <v/>
      </c>
      <c r="P26">
        <f>IF($A26="","",IF($E26=1,$F26*$O26,PNL!G26))</f>
        <v/>
      </c>
      <c r="T26">
        <f>IF($A26="","",IF($E26=1,IF(OR($B26="7062",$B26="706",$B26="708"),$P26,IF(AND(LEFT($B26,1)="6",$B26&lt;&gt;"6811"),-$P26,0)),0))</f>
        <v/>
      </c>
    </row>
    <row r="27">
      <c r="A27">
        <f>IF(PNL!A27="","",PNL!A27)</f>
        <v/>
      </c>
      <c r="B27">
        <f>IF(PNL!B27="","",PNL!B27)</f>
        <v/>
      </c>
      <c r="C27">
        <f>IF(PNL!C27="","",PNL!C27)</f>
        <v/>
      </c>
      <c r="D27">
        <f>IF(PNL!D27="","",PNL!D27)</f>
        <v/>
      </c>
      <c r="E27">
        <f>IF($A27="","",IF(AND($C27="2027",OR($D27="V01",$D27="V02",$D27="V03")),1,0))</f>
        <v/>
      </c>
      <c r="F27">
        <f>IF($A27="","",IF($E27=1,SUMIFS(Comptabilité!$F$1:$F$675,Comptabilité!$A$1:$A$675,$A27,Comptabilité!$B$1:$B$675,$B27,Comptabilité!$C$1:$C$675,"2026"),0))</f>
        <v/>
      </c>
      <c r="G27">
        <f>IF($A27="","",IF($D27="V01",Cadrage!$C$22,IF($D27="V02",Cadrage!$D$22,Cadrage!$E$22)))</f>
        <v/>
      </c>
      <c r="H27">
        <f>IF($A27="","",IF($D27="V01",Cadrage!$C$23,IF($D27="V02",Cadrage!$D$23,Cadrage!$E$23)))</f>
        <v/>
      </c>
      <c r="I27">
        <f>IF($A27="","",IF($D27="V01",Cadrage!$C$31,IF($D27="V02",Cadrage!$D$31,Cadrage!$E$31)))</f>
        <v/>
      </c>
      <c r="J27">
        <f>IF($A27="","",IF($D27="V01",Cadrage!$C$32,IF($D27="V02",Cadrage!$D$32,Cadrage!$E$32)))</f>
        <v/>
      </c>
      <c r="K27">
        <f>IF($A27="","",IF($D27="V01",Cadrage!$C$33,IF($D27="V02",Cadrage!$D$33,Cadrage!$E$33)))</f>
        <v/>
      </c>
      <c r="L27">
        <f>IF($A27="","",IF($D27="V01",Cadrage!$C$34,IF($D27="V02",Cadrage!$D$34,Cadrage!$E$34)))</f>
        <v/>
      </c>
      <c r="M27">
        <f>IF($A27="","",IF($D27="V01",Cadrage!$C$35,IF($D27="V02",Cadrage!$D$35,Cadrage!$E$35)))</f>
        <v/>
      </c>
      <c r="N27">
        <f>IF($A27="","",IF($D27="V01",$R$2,IF($D27="V02",$R$3,$R$4)))</f>
        <v/>
      </c>
      <c r="O27">
        <f>IF($A27="","",IF(OR($B27="7062",$B27="706",$B27="708"),$N27,IF($B27="6231",1+$G27,IF($B27="6236",1+$H27,IF(OR($B27="621",$B27="604",$B27="6063"),$N27*(1-$L27),IF(OR($B27="6411",$B27="6413",$B27="6414",$B27="645"),(1+$J27)*(1+$K27),IF(OR($B27="613",$B27="615",$B27="616",$B27="6226",$B27="625",$B27="626",$B27="6281"),(1+$I27)*(1-$L27)*(1+$M27),IF(OR($B27="6331",$B27="63511",$B27="6333"),(1+$I27)*(1-$L27),IF($B27="6811",1+$I27,1)))))))))</f>
        <v/>
      </c>
      <c r="P27">
        <f>IF($A27="","",IF($E27=1,$F27*$O27,PNL!G27))</f>
        <v/>
      </c>
      <c r="T27">
        <f>IF($A27="","",IF($E27=1,IF(OR($B27="7062",$B27="706",$B27="708"),$P27,IF(AND(LEFT($B27,1)="6",$B27&lt;&gt;"6811"),-$P27,0)),0))</f>
        <v/>
      </c>
    </row>
    <row r="28">
      <c r="A28">
        <f>IF(PNL!A28="","",PNL!A28)</f>
        <v/>
      </c>
      <c r="B28">
        <f>IF(PNL!B28="","",PNL!B28)</f>
        <v/>
      </c>
      <c r="C28">
        <f>IF(PNL!C28="","",PNL!C28)</f>
        <v/>
      </c>
      <c r="D28">
        <f>IF(PNL!D28="","",PNL!D28)</f>
        <v/>
      </c>
      <c r="E28">
        <f>IF($A28="","",IF(AND($C28="2027",OR($D28="V01",$D28="V02",$D28="V03")),1,0))</f>
        <v/>
      </c>
      <c r="F28">
        <f>IF($A28="","",IF($E28=1,SUMIFS(Comptabilité!$F$1:$F$675,Comptabilité!$A$1:$A$675,$A28,Comptabilité!$B$1:$B$675,$B28,Comptabilité!$C$1:$C$675,"2026"),0))</f>
        <v/>
      </c>
      <c r="G28">
        <f>IF($A28="","",IF($D28="V01",Cadrage!$C$22,IF($D28="V02",Cadrage!$D$22,Cadrage!$E$22)))</f>
        <v/>
      </c>
      <c r="H28">
        <f>IF($A28="","",IF($D28="V01",Cadrage!$C$23,IF($D28="V02",Cadrage!$D$23,Cadrage!$E$23)))</f>
        <v/>
      </c>
      <c r="I28">
        <f>IF($A28="","",IF($D28="V01",Cadrage!$C$31,IF($D28="V02",Cadrage!$D$31,Cadrage!$E$31)))</f>
        <v/>
      </c>
      <c r="J28">
        <f>IF($A28="","",IF($D28="V01",Cadrage!$C$32,IF($D28="V02",Cadrage!$D$32,Cadrage!$E$32)))</f>
        <v/>
      </c>
      <c r="K28">
        <f>IF($A28="","",IF($D28="V01",Cadrage!$C$33,IF($D28="V02",Cadrage!$D$33,Cadrage!$E$33)))</f>
        <v/>
      </c>
      <c r="L28">
        <f>IF($A28="","",IF($D28="V01",Cadrage!$C$34,IF($D28="V02",Cadrage!$D$34,Cadrage!$E$34)))</f>
        <v/>
      </c>
      <c r="M28">
        <f>IF($A28="","",IF($D28="V01",Cadrage!$C$35,IF($D28="V02",Cadrage!$D$35,Cadrage!$E$35)))</f>
        <v/>
      </c>
      <c r="N28">
        <f>IF($A28="","",IF($D28="V01",$R$2,IF($D28="V02",$R$3,$R$4)))</f>
        <v/>
      </c>
      <c r="O28">
        <f>IF($A28="","",IF(OR($B28="7062",$B28="706",$B28="708"),$N28,IF($B28="6231",1+$G28,IF($B28="6236",1+$H28,IF(OR($B28="621",$B28="604",$B28="6063"),$N28*(1-$L28),IF(OR($B28="6411",$B28="6413",$B28="6414",$B28="645"),(1+$J28)*(1+$K28),IF(OR($B28="613",$B28="615",$B28="616",$B28="6226",$B28="625",$B28="626",$B28="6281"),(1+$I28)*(1-$L28)*(1+$M28),IF(OR($B28="6331",$B28="63511",$B28="6333"),(1+$I28)*(1-$L28),IF($B28="6811",1+$I28,1)))))))))</f>
        <v/>
      </c>
      <c r="P28">
        <f>IF($A28="","",IF($E28=1,$F28*$O28,PNL!G28))</f>
        <v/>
      </c>
      <c r="T28">
        <f>IF($A28="","",IF($E28=1,IF(OR($B28="7062",$B28="706",$B28="708"),$P28,IF(AND(LEFT($B28,1)="6",$B28&lt;&gt;"6811"),-$P28,0)),0))</f>
        <v/>
      </c>
    </row>
    <row r="29">
      <c r="A29">
        <f>IF(PNL!A29="","",PNL!A29)</f>
        <v/>
      </c>
      <c r="B29">
        <f>IF(PNL!B29="","",PNL!B29)</f>
        <v/>
      </c>
      <c r="C29">
        <f>IF(PNL!C29="","",PNL!C29)</f>
        <v/>
      </c>
      <c r="D29">
        <f>IF(PNL!D29="","",PNL!D29)</f>
        <v/>
      </c>
      <c r="E29">
        <f>IF($A29="","",IF(AND($C29="2027",OR($D29="V01",$D29="V02",$D29="V03")),1,0))</f>
        <v/>
      </c>
      <c r="F29">
        <f>IF($A29="","",IF($E29=1,SUMIFS(Comptabilité!$F$1:$F$675,Comptabilité!$A$1:$A$675,$A29,Comptabilité!$B$1:$B$675,$B29,Comptabilité!$C$1:$C$675,"2026"),0))</f>
        <v/>
      </c>
      <c r="G29">
        <f>IF($A29="","",IF($D29="V01",Cadrage!$C$22,IF($D29="V02",Cadrage!$D$22,Cadrage!$E$22)))</f>
        <v/>
      </c>
      <c r="H29">
        <f>IF($A29="","",IF($D29="V01",Cadrage!$C$23,IF($D29="V02",Cadrage!$D$23,Cadrage!$E$23)))</f>
        <v/>
      </c>
      <c r="I29">
        <f>IF($A29="","",IF($D29="V01",Cadrage!$C$31,IF($D29="V02",Cadrage!$D$31,Cadrage!$E$31)))</f>
        <v/>
      </c>
      <c r="J29">
        <f>IF($A29="","",IF($D29="V01",Cadrage!$C$32,IF($D29="V02",Cadrage!$D$32,Cadrage!$E$32)))</f>
        <v/>
      </c>
      <c r="K29">
        <f>IF($A29="","",IF($D29="V01",Cadrage!$C$33,IF($D29="V02",Cadrage!$D$33,Cadrage!$E$33)))</f>
        <v/>
      </c>
      <c r="L29">
        <f>IF($A29="","",IF($D29="V01",Cadrage!$C$34,IF($D29="V02",Cadrage!$D$34,Cadrage!$E$34)))</f>
        <v/>
      </c>
      <c r="M29">
        <f>IF($A29="","",IF($D29="V01",Cadrage!$C$35,IF($D29="V02",Cadrage!$D$35,Cadrage!$E$35)))</f>
        <v/>
      </c>
      <c r="N29">
        <f>IF($A29="","",IF($D29="V01",$R$2,IF($D29="V02",$R$3,$R$4)))</f>
        <v/>
      </c>
      <c r="O29">
        <f>IF($A29="","",IF(OR($B29="7062",$B29="706",$B29="708"),$N29,IF($B29="6231",1+$G29,IF($B29="6236",1+$H29,IF(OR($B29="621",$B29="604",$B29="6063"),$N29*(1-$L29),IF(OR($B29="6411",$B29="6413",$B29="6414",$B29="645"),(1+$J29)*(1+$K29),IF(OR($B29="613",$B29="615",$B29="616",$B29="6226",$B29="625",$B29="626",$B29="6281"),(1+$I29)*(1-$L29)*(1+$M29),IF(OR($B29="6331",$B29="63511",$B29="6333"),(1+$I29)*(1-$L29),IF($B29="6811",1+$I29,1)))))))))</f>
        <v/>
      </c>
      <c r="P29">
        <f>IF($A29="","",IF($E29=1,$F29*$O29,PNL!G29))</f>
        <v/>
      </c>
      <c r="T29">
        <f>IF($A29="","",IF($E29=1,IF(OR($B29="7062",$B29="706",$B29="708"),$P29,IF(AND(LEFT($B29,1)="6",$B29&lt;&gt;"6811"),-$P29,0)),0))</f>
        <v/>
      </c>
    </row>
    <row r="30">
      <c r="A30">
        <f>IF(PNL!A30="","",PNL!A30)</f>
        <v/>
      </c>
      <c r="B30">
        <f>IF(PNL!B30="","",PNL!B30)</f>
        <v/>
      </c>
      <c r="C30">
        <f>IF(PNL!C30="","",PNL!C30)</f>
        <v/>
      </c>
      <c r="D30">
        <f>IF(PNL!D30="","",PNL!D30)</f>
        <v/>
      </c>
      <c r="E30">
        <f>IF($A30="","",IF(AND($C30="2027",OR($D30="V01",$D30="V02",$D30="V03")),1,0))</f>
        <v/>
      </c>
      <c r="F30">
        <f>IF($A30="","",IF($E30=1,SUMIFS(Comptabilité!$F$1:$F$675,Comptabilité!$A$1:$A$675,$A30,Comptabilité!$B$1:$B$675,$B30,Comptabilité!$C$1:$C$675,"2026"),0))</f>
        <v/>
      </c>
      <c r="G30">
        <f>IF($A30="","",IF($D30="V01",Cadrage!$C$22,IF($D30="V02",Cadrage!$D$22,Cadrage!$E$22)))</f>
        <v/>
      </c>
      <c r="H30">
        <f>IF($A30="","",IF($D30="V01",Cadrage!$C$23,IF($D30="V02",Cadrage!$D$23,Cadrage!$E$23)))</f>
        <v/>
      </c>
      <c r="I30">
        <f>IF($A30="","",IF($D30="V01",Cadrage!$C$31,IF($D30="V02",Cadrage!$D$31,Cadrage!$E$31)))</f>
        <v/>
      </c>
      <c r="J30">
        <f>IF($A30="","",IF($D30="V01",Cadrage!$C$32,IF($D30="V02",Cadrage!$D$32,Cadrage!$E$32)))</f>
        <v/>
      </c>
      <c r="K30">
        <f>IF($A30="","",IF($D30="V01",Cadrage!$C$33,IF($D30="V02",Cadrage!$D$33,Cadrage!$E$33)))</f>
        <v/>
      </c>
      <c r="L30">
        <f>IF($A30="","",IF($D30="V01",Cadrage!$C$34,IF($D30="V02",Cadrage!$D$34,Cadrage!$E$34)))</f>
        <v/>
      </c>
      <c r="M30">
        <f>IF($A30="","",IF($D30="V01",Cadrage!$C$35,IF($D30="V02",Cadrage!$D$35,Cadrage!$E$35)))</f>
        <v/>
      </c>
      <c r="N30">
        <f>IF($A30="","",IF($D30="V01",$R$2,IF($D30="V02",$R$3,$R$4)))</f>
        <v/>
      </c>
      <c r="O30">
        <f>IF($A30="","",IF(OR($B30="7062",$B30="706",$B30="708"),$N30,IF($B30="6231",1+$G30,IF($B30="6236",1+$H30,IF(OR($B30="621",$B30="604",$B30="6063"),$N30*(1-$L30),IF(OR($B30="6411",$B30="6413",$B30="6414",$B30="645"),(1+$J30)*(1+$K30),IF(OR($B30="613",$B30="615",$B30="616",$B30="6226",$B30="625",$B30="626",$B30="6281"),(1+$I30)*(1-$L30)*(1+$M30),IF(OR($B30="6331",$B30="63511",$B30="6333"),(1+$I30)*(1-$L30),IF($B30="6811",1+$I30,1)))))))))</f>
        <v/>
      </c>
      <c r="P30">
        <f>IF($A30="","",IF($E30=1,$F30*$O30,PNL!G30))</f>
        <v/>
      </c>
      <c r="T30">
        <f>IF($A30="","",IF($E30=1,IF(OR($B30="7062",$B30="706",$B30="708"),$P30,IF(AND(LEFT($B30,1)="6",$B30&lt;&gt;"6811"),-$P30,0)),0))</f>
        <v/>
      </c>
    </row>
    <row r="31">
      <c r="A31">
        <f>IF(PNL!A31="","",PNL!A31)</f>
        <v/>
      </c>
      <c r="B31">
        <f>IF(PNL!B31="","",PNL!B31)</f>
        <v/>
      </c>
      <c r="C31">
        <f>IF(PNL!C31="","",PNL!C31)</f>
        <v/>
      </c>
      <c r="D31">
        <f>IF(PNL!D31="","",PNL!D31)</f>
        <v/>
      </c>
      <c r="E31">
        <f>IF($A31="","",IF(AND($C31="2027",OR($D31="V01",$D31="V02",$D31="V03")),1,0))</f>
        <v/>
      </c>
      <c r="F31">
        <f>IF($A31="","",IF($E31=1,SUMIFS(Comptabilité!$F$1:$F$675,Comptabilité!$A$1:$A$675,$A31,Comptabilité!$B$1:$B$675,$B31,Comptabilité!$C$1:$C$675,"2026"),0))</f>
        <v/>
      </c>
      <c r="G31">
        <f>IF($A31="","",IF($D31="V01",Cadrage!$C$22,IF($D31="V02",Cadrage!$D$22,Cadrage!$E$22)))</f>
        <v/>
      </c>
      <c r="H31">
        <f>IF($A31="","",IF($D31="V01",Cadrage!$C$23,IF($D31="V02",Cadrage!$D$23,Cadrage!$E$23)))</f>
        <v/>
      </c>
      <c r="I31">
        <f>IF($A31="","",IF($D31="V01",Cadrage!$C$31,IF($D31="V02",Cadrage!$D$31,Cadrage!$E$31)))</f>
        <v/>
      </c>
      <c r="J31">
        <f>IF($A31="","",IF($D31="V01",Cadrage!$C$32,IF($D31="V02",Cadrage!$D$32,Cadrage!$E$32)))</f>
        <v/>
      </c>
      <c r="K31">
        <f>IF($A31="","",IF($D31="V01",Cadrage!$C$33,IF($D31="V02",Cadrage!$D$33,Cadrage!$E$33)))</f>
        <v/>
      </c>
      <c r="L31">
        <f>IF($A31="","",IF($D31="V01",Cadrage!$C$34,IF($D31="V02",Cadrage!$D$34,Cadrage!$E$34)))</f>
        <v/>
      </c>
      <c r="M31">
        <f>IF($A31="","",IF($D31="V01",Cadrage!$C$35,IF($D31="V02",Cadrage!$D$35,Cadrage!$E$35)))</f>
        <v/>
      </c>
      <c r="N31">
        <f>IF($A31="","",IF($D31="V01",$R$2,IF($D31="V02",$R$3,$R$4)))</f>
        <v/>
      </c>
      <c r="O31">
        <f>IF($A31="","",IF(OR($B31="7062",$B31="706",$B31="708"),$N31,IF($B31="6231",1+$G31,IF($B31="6236",1+$H31,IF(OR($B31="621",$B31="604",$B31="6063"),$N31*(1-$L31),IF(OR($B31="6411",$B31="6413",$B31="6414",$B31="645"),(1+$J31)*(1+$K31),IF(OR($B31="613",$B31="615",$B31="616",$B31="6226",$B31="625",$B31="626",$B31="6281"),(1+$I31)*(1-$L31)*(1+$M31),IF(OR($B31="6331",$B31="63511",$B31="6333"),(1+$I31)*(1-$L31),IF($B31="6811",1+$I31,1)))))))))</f>
        <v/>
      </c>
      <c r="P31">
        <f>IF($A31="","",IF($E31=1,$F31*$O31,PNL!G31))</f>
        <v/>
      </c>
      <c r="T31">
        <f>IF($A31="","",IF($E31=1,IF(OR($B31="7062",$B31="706",$B31="708"),$P31,IF(AND(LEFT($B31,1)="6",$B31&lt;&gt;"6811"),-$P31,0)),0))</f>
        <v/>
      </c>
    </row>
    <row r="32">
      <c r="A32">
        <f>IF(PNL!A32="","",PNL!A32)</f>
        <v/>
      </c>
      <c r="B32">
        <f>IF(PNL!B32="","",PNL!B32)</f>
        <v/>
      </c>
      <c r="C32">
        <f>IF(PNL!C32="","",PNL!C32)</f>
        <v/>
      </c>
      <c r="D32">
        <f>IF(PNL!D32="","",PNL!D32)</f>
        <v/>
      </c>
      <c r="E32">
        <f>IF($A32="","",IF(AND($C32="2027",OR($D32="V01",$D32="V02",$D32="V03")),1,0))</f>
        <v/>
      </c>
      <c r="F32">
        <f>IF($A32="","",IF($E32=1,SUMIFS(Comptabilité!$F$1:$F$675,Comptabilité!$A$1:$A$675,$A32,Comptabilité!$B$1:$B$675,$B32,Comptabilité!$C$1:$C$675,"2026"),0))</f>
        <v/>
      </c>
      <c r="G32">
        <f>IF($A32="","",IF($D32="V01",Cadrage!$C$22,IF($D32="V02",Cadrage!$D$22,Cadrage!$E$22)))</f>
        <v/>
      </c>
      <c r="H32">
        <f>IF($A32="","",IF($D32="V01",Cadrage!$C$23,IF($D32="V02",Cadrage!$D$23,Cadrage!$E$23)))</f>
        <v/>
      </c>
      <c r="I32">
        <f>IF($A32="","",IF($D32="V01",Cadrage!$C$31,IF($D32="V02",Cadrage!$D$31,Cadrage!$E$31)))</f>
        <v/>
      </c>
      <c r="J32">
        <f>IF($A32="","",IF($D32="V01",Cadrage!$C$32,IF($D32="V02",Cadrage!$D$32,Cadrage!$E$32)))</f>
        <v/>
      </c>
      <c r="K32">
        <f>IF($A32="","",IF($D32="V01",Cadrage!$C$33,IF($D32="V02",Cadrage!$D$33,Cadrage!$E$33)))</f>
        <v/>
      </c>
      <c r="L32">
        <f>IF($A32="","",IF($D32="V01",Cadrage!$C$34,IF($D32="V02",Cadrage!$D$34,Cadrage!$E$34)))</f>
        <v/>
      </c>
      <c r="M32">
        <f>IF($A32="","",IF($D32="V01",Cadrage!$C$35,IF($D32="V02",Cadrage!$D$35,Cadrage!$E$35)))</f>
        <v/>
      </c>
      <c r="N32">
        <f>IF($A32="","",IF($D32="V01",$R$2,IF($D32="V02",$R$3,$R$4)))</f>
        <v/>
      </c>
      <c r="O32">
        <f>IF($A32="","",IF(OR($B32="7062",$B32="706",$B32="708"),$N32,IF($B32="6231",1+$G32,IF($B32="6236",1+$H32,IF(OR($B32="621",$B32="604",$B32="6063"),$N32*(1-$L32),IF(OR($B32="6411",$B32="6413",$B32="6414",$B32="645"),(1+$J32)*(1+$K32),IF(OR($B32="613",$B32="615",$B32="616",$B32="6226",$B32="625",$B32="626",$B32="6281"),(1+$I32)*(1-$L32)*(1+$M32),IF(OR($B32="6331",$B32="63511",$B32="6333"),(1+$I32)*(1-$L32),IF($B32="6811",1+$I32,1)))))))))</f>
        <v/>
      </c>
      <c r="P32">
        <f>IF($A32="","",IF($E32=1,$F32*$O32,PNL!G32))</f>
        <v/>
      </c>
      <c r="T32">
        <f>IF($A32="","",IF($E32=1,IF(OR($B32="7062",$B32="706",$B32="708"),$P32,IF(AND(LEFT($B32,1)="6",$B32&lt;&gt;"6811"),-$P32,0)),0))</f>
        <v/>
      </c>
    </row>
    <row r="33">
      <c r="A33">
        <f>IF(PNL!A33="","",PNL!A33)</f>
        <v/>
      </c>
      <c r="B33">
        <f>IF(PNL!B33="","",PNL!B33)</f>
        <v/>
      </c>
      <c r="C33">
        <f>IF(PNL!C33="","",PNL!C33)</f>
        <v/>
      </c>
      <c r="D33">
        <f>IF(PNL!D33="","",PNL!D33)</f>
        <v/>
      </c>
      <c r="E33">
        <f>IF($A33="","",IF(AND($C33="2027",OR($D33="V01",$D33="V02",$D33="V03")),1,0))</f>
        <v/>
      </c>
      <c r="F33">
        <f>IF($A33="","",IF($E33=1,SUMIFS(Comptabilité!$F$1:$F$675,Comptabilité!$A$1:$A$675,$A33,Comptabilité!$B$1:$B$675,$B33,Comptabilité!$C$1:$C$675,"2026"),0))</f>
        <v/>
      </c>
      <c r="G33">
        <f>IF($A33="","",IF($D33="V01",Cadrage!$C$22,IF($D33="V02",Cadrage!$D$22,Cadrage!$E$22)))</f>
        <v/>
      </c>
      <c r="H33">
        <f>IF($A33="","",IF($D33="V01",Cadrage!$C$23,IF($D33="V02",Cadrage!$D$23,Cadrage!$E$23)))</f>
        <v/>
      </c>
      <c r="I33">
        <f>IF($A33="","",IF($D33="V01",Cadrage!$C$31,IF($D33="V02",Cadrage!$D$31,Cadrage!$E$31)))</f>
        <v/>
      </c>
      <c r="J33">
        <f>IF($A33="","",IF($D33="V01",Cadrage!$C$32,IF($D33="V02",Cadrage!$D$32,Cadrage!$E$32)))</f>
        <v/>
      </c>
      <c r="K33">
        <f>IF($A33="","",IF($D33="V01",Cadrage!$C$33,IF($D33="V02",Cadrage!$D$33,Cadrage!$E$33)))</f>
        <v/>
      </c>
      <c r="L33">
        <f>IF($A33="","",IF($D33="V01",Cadrage!$C$34,IF($D33="V02",Cadrage!$D$34,Cadrage!$E$34)))</f>
        <v/>
      </c>
      <c r="M33">
        <f>IF($A33="","",IF($D33="V01",Cadrage!$C$35,IF($D33="V02",Cadrage!$D$35,Cadrage!$E$35)))</f>
        <v/>
      </c>
      <c r="N33">
        <f>IF($A33="","",IF($D33="V01",$R$2,IF($D33="V02",$R$3,$R$4)))</f>
        <v/>
      </c>
      <c r="O33">
        <f>IF($A33="","",IF(OR($B33="7062",$B33="706",$B33="708"),$N33,IF($B33="6231",1+$G33,IF($B33="6236",1+$H33,IF(OR($B33="621",$B33="604",$B33="6063"),$N33*(1-$L33),IF(OR($B33="6411",$B33="6413",$B33="6414",$B33="645"),(1+$J33)*(1+$K33),IF(OR($B33="613",$B33="615",$B33="616",$B33="6226",$B33="625",$B33="626",$B33="6281"),(1+$I33)*(1-$L33)*(1+$M33),IF(OR($B33="6331",$B33="63511",$B33="6333"),(1+$I33)*(1-$L33),IF($B33="6811",1+$I33,1)))))))))</f>
        <v/>
      </c>
      <c r="P33">
        <f>IF($A33="","",IF($E33=1,$F33*$O33,PNL!G33))</f>
        <v/>
      </c>
      <c r="T33">
        <f>IF($A33="","",IF($E33=1,IF(OR($B33="7062",$B33="706",$B33="708"),$P33,IF(AND(LEFT($B33,1)="6",$B33&lt;&gt;"6811"),-$P33,0)),0))</f>
        <v/>
      </c>
    </row>
    <row r="34">
      <c r="A34">
        <f>IF(PNL!A34="","",PNL!A34)</f>
        <v/>
      </c>
      <c r="B34">
        <f>IF(PNL!B34="","",PNL!B34)</f>
        <v/>
      </c>
      <c r="C34">
        <f>IF(PNL!C34="","",PNL!C34)</f>
        <v/>
      </c>
      <c r="D34">
        <f>IF(PNL!D34="","",PNL!D34)</f>
        <v/>
      </c>
      <c r="E34">
        <f>IF($A34="","",IF(AND($C34="2027",OR($D34="V01",$D34="V02",$D34="V03")),1,0))</f>
        <v/>
      </c>
      <c r="F34">
        <f>IF($A34="","",IF($E34=1,SUMIFS(Comptabilité!$F$1:$F$675,Comptabilité!$A$1:$A$675,$A34,Comptabilité!$B$1:$B$675,$B34,Comptabilité!$C$1:$C$675,"2026"),0))</f>
        <v/>
      </c>
      <c r="G34">
        <f>IF($A34="","",IF($D34="V01",Cadrage!$C$22,IF($D34="V02",Cadrage!$D$22,Cadrage!$E$22)))</f>
        <v/>
      </c>
      <c r="H34">
        <f>IF($A34="","",IF($D34="V01",Cadrage!$C$23,IF($D34="V02",Cadrage!$D$23,Cadrage!$E$23)))</f>
        <v/>
      </c>
      <c r="I34">
        <f>IF($A34="","",IF($D34="V01",Cadrage!$C$31,IF($D34="V02",Cadrage!$D$31,Cadrage!$E$31)))</f>
        <v/>
      </c>
      <c r="J34">
        <f>IF($A34="","",IF($D34="V01",Cadrage!$C$32,IF($D34="V02",Cadrage!$D$32,Cadrage!$E$32)))</f>
        <v/>
      </c>
      <c r="K34">
        <f>IF($A34="","",IF($D34="V01",Cadrage!$C$33,IF($D34="V02",Cadrage!$D$33,Cadrage!$E$33)))</f>
        <v/>
      </c>
      <c r="L34">
        <f>IF($A34="","",IF($D34="V01",Cadrage!$C$34,IF($D34="V02",Cadrage!$D$34,Cadrage!$E$34)))</f>
        <v/>
      </c>
      <c r="M34">
        <f>IF($A34="","",IF($D34="V01",Cadrage!$C$35,IF($D34="V02",Cadrage!$D$35,Cadrage!$E$35)))</f>
        <v/>
      </c>
      <c r="N34">
        <f>IF($A34="","",IF($D34="V01",$R$2,IF($D34="V02",$R$3,$R$4)))</f>
        <v/>
      </c>
      <c r="O34">
        <f>IF($A34="","",IF(OR($B34="7062",$B34="706",$B34="708"),$N34,IF($B34="6231",1+$G34,IF($B34="6236",1+$H34,IF(OR($B34="621",$B34="604",$B34="6063"),$N34*(1-$L34),IF(OR($B34="6411",$B34="6413",$B34="6414",$B34="645"),(1+$J34)*(1+$K34),IF(OR($B34="613",$B34="615",$B34="616",$B34="6226",$B34="625",$B34="626",$B34="6281"),(1+$I34)*(1-$L34)*(1+$M34),IF(OR($B34="6331",$B34="63511",$B34="6333"),(1+$I34)*(1-$L34),IF($B34="6811",1+$I34,1)))))))))</f>
        <v/>
      </c>
      <c r="P34">
        <f>IF($A34="","",IF($E34=1,$F34*$O34,PNL!G34))</f>
        <v/>
      </c>
      <c r="T34">
        <f>IF($A34="","",IF($E34=1,IF(OR($B34="7062",$B34="706",$B34="708"),$P34,IF(AND(LEFT($B34,1)="6",$B34&lt;&gt;"6811"),-$P34,0)),0))</f>
        <v/>
      </c>
    </row>
    <row r="35">
      <c r="A35">
        <f>IF(PNL!A35="","",PNL!A35)</f>
        <v/>
      </c>
      <c r="B35">
        <f>IF(PNL!B35="","",PNL!B35)</f>
        <v/>
      </c>
      <c r="C35">
        <f>IF(PNL!C35="","",PNL!C35)</f>
        <v/>
      </c>
      <c r="D35">
        <f>IF(PNL!D35="","",PNL!D35)</f>
        <v/>
      </c>
      <c r="E35">
        <f>IF($A35="","",IF(AND($C35="2027",OR($D35="V01",$D35="V02",$D35="V03")),1,0))</f>
        <v/>
      </c>
      <c r="F35">
        <f>IF($A35="","",IF($E35=1,SUMIFS(Comptabilité!$F$1:$F$675,Comptabilité!$A$1:$A$675,$A35,Comptabilité!$B$1:$B$675,$B35,Comptabilité!$C$1:$C$675,"2026"),0))</f>
        <v/>
      </c>
      <c r="G35">
        <f>IF($A35="","",IF($D35="V01",Cadrage!$C$22,IF($D35="V02",Cadrage!$D$22,Cadrage!$E$22)))</f>
        <v/>
      </c>
      <c r="H35">
        <f>IF($A35="","",IF($D35="V01",Cadrage!$C$23,IF($D35="V02",Cadrage!$D$23,Cadrage!$E$23)))</f>
        <v/>
      </c>
      <c r="I35">
        <f>IF($A35="","",IF($D35="V01",Cadrage!$C$31,IF($D35="V02",Cadrage!$D$31,Cadrage!$E$31)))</f>
        <v/>
      </c>
      <c r="J35">
        <f>IF($A35="","",IF($D35="V01",Cadrage!$C$32,IF($D35="V02",Cadrage!$D$32,Cadrage!$E$32)))</f>
        <v/>
      </c>
      <c r="K35">
        <f>IF($A35="","",IF($D35="V01",Cadrage!$C$33,IF($D35="V02",Cadrage!$D$33,Cadrage!$E$33)))</f>
        <v/>
      </c>
      <c r="L35">
        <f>IF($A35="","",IF($D35="V01",Cadrage!$C$34,IF($D35="V02",Cadrage!$D$34,Cadrage!$E$34)))</f>
        <v/>
      </c>
      <c r="M35">
        <f>IF($A35="","",IF($D35="V01",Cadrage!$C$35,IF($D35="V02",Cadrage!$D$35,Cadrage!$E$35)))</f>
        <v/>
      </c>
      <c r="N35">
        <f>IF($A35="","",IF($D35="V01",$R$2,IF($D35="V02",$R$3,$R$4)))</f>
        <v/>
      </c>
      <c r="O35">
        <f>IF($A35="","",IF(OR($B35="7062",$B35="706",$B35="708"),$N35,IF($B35="6231",1+$G35,IF($B35="6236",1+$H35,IF(OR($B35="621",$B35="604",$B35="6063"),$N35*(1-$L35),IF(OR($B35="6411",$B35="6413",$B35="6414",$B35="645"),(1+$J35)*(1+$K35),IF(OR($B35="613",$B35="615",$B35="616",$B35="6226",$B35="625",$B35="626",$B35="6281"),(1+$I35)*(1-$L35)*(1+$M35),IF(OR($B35="6331",$B35="63511",$B35="6333"),(1+$I35)*(1-$L35),IF($B35="6811",1+$I35,1)))))))))</f>
        <v/>
      </c>
      <c r="P35">
        <f>IF($A35="","",IF($E35=1,$F35*$O35,PNL!G35))</f>
        <v/>
      </c>
      <c r="T35">
        <f>IF($A35="","",IF($E35=1,IF(OR($B35="7062",$B35="706",$B35="708"),$P35,IF(AND(LEFT($B35,1)="6",$B35&lt;&gt;"6811"),-$P35,0)),0))</f>
        <v/>
      </c>
    </row>
    <row r="36">
      <c r="A36">
        <f>IF(PNL!A36="","",PNL!A36)</f>
        <v/>
      </c>
      <c r="B36">
        <f>IF(PNL!B36="","",PNL!B36)</f>
        <v/>
      </c>
      <c r="C36">
        <f>IF(PNL!C36="","",PNL!C36)</f>
        <v/>
      </c>
      <c r="D36">
        <f>IF(PNL!D36="","",PNL!D36)</f>
        <v/>
      </c>
      <c r="E36">
        <f>IF($A36="","",IF(AND($C36="2027",OR($D36="V01",$D36="V02",$D36="V03")),1,0))</f>
        <v/>
      </c>
      <c r="F36">
        <f>IF($A36="","",IF($E36=1,SUMIFS(Comptabilité!$F$1:$F$675,Comptabilité!$A$1:$A$675,$A36,Comptabilité!$B$1:$B$675,$B36,Comptabilité!$C$1:$C$675,"2026"),0))</f>
        <v/>
      </c>
      <c r="G36">
        <f>IF($A36="","",IF($D36="V01",Cadrage!$C$22,IF($D36="V02",Cadrage!$D$22,Cadrage!$E$22)))</f>
        <v/>
      </c>
      <c r="H36">
        <f>IF($A36="","",IF($D36="V01",Cadrage!$C$23,IF($D36="V02",Cadrage!$D$23,Cadrage!$E$23)))</f>
        <v/>
      </c>
      <c r="I36">
        <f>IF($A36="","",IF($D36="V01",Cadrage!$C$31,IF($D36="V02",Cadrage!$D$31,Cadrage!$E$31)))</f>
        <v/>
      </c>
      <c r="J36">
        <f>IF($A36="","",IF($D36="V01",Cadrage!$C$32,IF($D36="V02",Cadrage!$D$32,Cadrage!$E$32)))</f>
        <v/>
      </c>
      <c r="K36">
        <f>IF($A36="","",IF($D36="V01",Cadrage!$C$33,IF($D36="V02",Cadrage!$D$33,Cadrage!$E$33)))</f>
        <v/>
      </c>
      <c r="L36">
        <f>IF($A36="","",IF($D36="V01",Cadrage!$C$34,IF($D36="V02",Cadrage!$D$34,Cadrage!$E$34)))</f>
        <v/>
      </c>
      <c r="M36">
        <f>IF($A36="","",IF($D36="V01",Cadrage!$C$35,IF($D36="V02",Cadrage!$D$35,Cadrage!$E$35)))</f>
        <v/>
      </c>
      <c r="N36">
        <f>IF($A36="","",IF($D36="V01",$R$2,IF($D36="V02",$R$3,$R$4)))</f>
        <v/>
      </c>
      <c r="O36">
        <f>IF($A36="","",IF(OR($B36="7062",$B36="706",$B36="708"),$N36,IF($B36="6231",1+$G36,IF($B36="6236",1+$H36,IF(OR($B36="621",$B36="604",$B36="6063"),$N36*(1-$L36),IF(OR($B36="6411",$B36="6413",$B36="6414",$B36="645"),(1+$J36)*(1+$K36),IF(OR($B36="613",$B36="615",$B36="616",$B36="6226",$B36="625",$B36="626",$B36="6281"),(1+$I36)*(1-$L36)*(1+$M36),IF(OR($B36="6331",$B36="63511",$B36="6333"),(1+$I36)*(1-$L36),IF($B36="6811",1+$I36,1)))))))))</f>
        <v/>
      </c>
      <c r="P36">
        <f>IF($A36="","",IF($E36=1,$F36*$O36,PNL!G36))</f>
        <v/>
      </c>
      <c r="T36">
        <f>IF($A36="","",IF($E36=1,IF(OR($B36="7062",$B36="706",$B36="708"),$P36,IF(AND(LEFT($B36,1)="6",$B36&lt;&gt;"6811"),-$P36,0)),0))</f>
        <v/>
      </c>
    </row>
    <row r="37">
      <c r="A37">
        <f>IF(PNL!A37="","",PNL!A37)</f>
        <v/>
      </c>
      <c r="B37">
        <f>IF(PNL!B37="","",PNL!B37)</f>
        <v/>
      </c>
      <c r="C37">
        <f>IF(PNL!C37="","",PNL!C37)</f>
        <v/>
      </c>
      <c r="D37">
        <f>IF(PNL!D37="","",PNL!D37)</f>
        <v/>
      </c>
      <c r="E37">
        <f>IF($A37="","",IF(AND($C37="2027",OR($D37="V01",$D37="V02",$D37="V03")),1,0))</f>
        <v/>
      </c>
      <c r="F37">
        <f>IF($A37="","",IF($E37=1,SUMIFS(Comptabilité!$F$1:$F$675,Comptabilité!$A$1:$A$675,$A37,Comptabilité!$B$1:$B$675,$B37,Comptabilité!$C$1:$C$675,"2026"),0))</f>
        <v/>
      </c>
      <c r="G37">
        <f>IF($A37="","",IF($D37="V01",Cadrage!$C$22,IF($D37="V02",Cadrage!$D$22,Cadrage!$E$22)))</f>
        <v/>
      </c>
      <c r="H37">
        <f>IF($A37="","",IF($D37="V01",Cadrage!$C$23,IF($D37="V02",Cadrage!$D$23,Cadrage!$E$23)))</f>
        <v/>
      </c>
      <c r="I37">
        <f>IF($A37="","",IF($D37="V01",Cadrage!$C$31,IF($D37="V02",Cadrage!$D$31,Cadrage!$E$31)))</f>
        <v/>
      </c>
      <c r="J37">
        <f>IF($A37="","",IF($D37="V01",Cadrage!$C$32,IF($D37="V02",Cadrage!$D$32,Cadrage!$E$32)))</f>
        <v/>
      </c>
      <c r="K37">
        <f>IF($A37="","",IF($D37="V01",Cadrage!$C$33,IF($D37="V02",Cadrage!$D$33,Cadrage!$E$33)))</f>
        <v/>
      </c>
      <c r="L37">
        <f>IF($A37="","",IF($D37="V01",Cadrage!$C$34,IF($D37="V02",Cadrage!$D$34,Cadrage!$E$34)))</f>
        <v/>
      </c>
      <c r="M37">
        <f>IF($A37="","",IF($D37="V01",Cadrage!$C$35,IF($D37="V02",Cadrage!$D$35,Cadrage!$E$35)))</f>
        <v/>
      </c>
      <c r="N37">
        <f>IF($A37="","",IF($D37="V01",$R$2,IF($D37="V02",$R$3,$R$4)))</f>
        <v/>
      </c>
      <c r="O37">
        <f>IF($A37="","",IF(OR($B37="7062",$B37="706",$B37="708"),$N37,IF($B37="6231",1+$G37,IF($B37="6236",1+$H37,IF(OR($B37="621",$B37="604",$B37="6063"),$N37*(1-$L37),IF(OR($B37="6411",$B37="6413",$B37="6414",$B37="645"),(1+$J37)*(1+$K37),IF(OR($B37="613",$B37="615",$B37="616",$B37="6226",$B37="625",$B37="626",$B37="6281"),(1+$I37)*(1-$L37)*(1+$M37),IF(OR($B37="6331",$B37="63511",$B37="6333"),(1+$I37)*(1-$L37),IF($B37="6811",1+$I37,1)))))))))</f>
        <v/>
      </c>
      <c r="P37">
        <f>IF($A37="","",IF($E37=1,$F37*$O37,PNL!G37))</f>
        <v/>
      </c>
      <c r="T37">
        <f>IF($A37="","",IF($E37=1,IF(OR($B37="7062",$B37="706",$B37="708"),$P37,IF(AND(LEFT($B37,1)="6",$B37&lt;&gt;"6811"),-$P37,0)),0))</f>
        <v/>
      </c>
    </row>
    <row r="38">
      <c r="A38">
        <f>IF(PNL!A38="","",PNL!A38)</f>
        <v/>
      </c>
      <c r="B38">
        <f>IF(PNL!B38="","",PNL!B38)</f>
        <v/>
      </c>
      <c r="C38">
        <f>IF(PNL!C38="","",PNL!C38)</f>
        <v/>
      </c>
      <c r="D38">
        <f>IF(PNL!D38="","",PNL!D38)</f>
        <v/>
      </c>
      <c r="E38">
        <f>IF($A38="","",IF(AND($C38="2027",OR($D38="V01",$D38="V02",$D38="V03")),1,0))</f>
        <v/>
      </c>
      <c r="F38">
        <f>IF($A38="","",IF($E38=1,SUMIFS(Comptabilité!$F$1:$F$675,Comptabilité!$A$1:$A$675,$A38,Comptabilité!$B$1:$B$675,$B38,Comptabilité!$C$1:$C$675,"2026"),0))</f>
        <v/>
      </c>
      <c r="G38">
        <f>IF($A38="","",IF($D38="V01",Cadrage!$C$22,IF($D38="V02",Cadrage!$D$22,Cadrage!$E$22)))</f>
        <v/>
      </c>
      <c r="H38">
        <f>IF($A38="","",IF($D38="V01",Cadrage!$C$23,IF($D38="V02",Cadrage!$D$23,Cadrage!$E$23)))</f>
        <v/>
      </c>
      <c r="I38">
        <f>IF($A38="","",IF($D38="V01",Cadrage!$C$31,IF($D38="V02",Cadrage!$D$31,Cadrage!$E$31)))</f>
        <v/>
      </c>
      <c r="J38">
        <f>IF($A38="","",IF($D38="V01",Cadrage!$C$32,IF($D38="V02",Cadrage!$D$32,Cadrage!$E$32)))</f>
        <v/>
      </c>
      <c r="K38">
        <f>IF($A38="","",IF($D38="V01",Cadrage!$C$33,IF($D38="V02",Cadrage!$D$33,Cadrage!$E$33)))</f>
        <v/>
      </c>
      <c r="L38">
        <f>IF($A38="","",IF($D38="V01",Cadrage!$C$34,IF($D38="V02",Cadrage!$D$34,Cadrage!$E$34)))</f>
        <v/>
      </c>
      <c r="M38">
        <f>IF($A38="","",IF($D38="V01",Cadrage!$C$35,IF($D38="V02",Cadrage!$D$35,Cadrage!$E$35)))</f>
        <v/>
      </c>
      <c r="N38">
        <f>IF($A38="","",IF($D38="V01",$R$2,IF($D38="V02",$R$3,$R$4)))</f>
        <v/>
      </c>
      <c r="O38">
        <f>IF($A38="","",IF(OR($B38="7062",$B38="706",$B38="708"),$N38,IF($B38="6231",1+$G38,IF($B38="6236",1+$H38,IF(OR($B38="621",$B38="604",$B38="6063"),$N38*(1-$L38),IF(OR($B38="6411",$B38="6413",$B38="6414",$B38="645"),(1+$J38)*(1+$K38),IF(OR($B38="613",$B38="615",$B38="616",$B38="6226",$B38="625",$B38="626",$B38="6281"),(1+$I38)*(1-$L38)*(1+$M38),IF(OR($B38="6331",$B38="63511",$B38="6333"),(1+$I38)*(1-$L38),IF($B38="6811",1+$I38,1)))))))))</f>
        <v/>
      </c>
      <c r="P38">
        <f>IF($A38="","",IF($E38=1,$F38*$O38,PNL!G38))</f>
        <v/>
      </c>
      <c r="T38">
        <f>IF($A38="","",IF($E38=1,IF(OR($B38="7062",$B38="706",$B38="708"),$P38,IF(AND(LEFT($B38,1)="6",$B38&lt;&gt;"6811"),-$P38,0)),0))</f>
        <v/>
      </c>
    </row>
    <row r="39">
      <c r="A39">
        <f>IF(PNL!A39="","",PNL!A39)</f>
        <v/>
      </c>
      <c r="B39">
        <f>IF(PNL!B39="","",PNL!B39)</f>
        <v/>
      </c>
      <c r="C39">
        <f>IF(PNL!C39="","",PNL!C39)</f>
        <v/>
      </c>
      <c r="D39">
        <f>IF(PNL!D39="","",PNL!D39)</f>
        <v/>
      </c>
      <c r="E39">
        <f>IF($A39="","",IF(AND($C39="2027",OR($D39="V01",$D39="V02",$D39="V03")),1,0))</f>
        <v/>
      </c>
      <c r="F39">
        <f>IF($A39="","",IF($E39=1,SUMIFS(Comptabilité!$F$1:$F$675,Comptabilité!$A$1:$A$675,$A39,Comptabilité!$B$1:$B$675,$B39,Comptabilité!$C$1:$C$675,"2026"),0))</f>
        <v/>
      </c>
      <c r="G39">
        <f>IF($A39="","",IF($D39="V01",Cadrage!$C$22,IF($D39="V02",Cadrage!$D$22,Cadrage!$E$22)))</f>
        <v/>
      </c>
      <c r="H39">
        <f>IF($A39="","",IF($D39="V01",Cadrage!$C$23,IF($D39="V02",Cadrage!$D$23,Cadrage!$E$23)))</f>
        <v/>
      </c>
      <c r="I39">
        <f>IF($A39="","",IF($D39="V01",Cadrage!$C$31,IF($D39="V02",Cadrage!$D$31,Cadrage!$E$31)))</f>
        <v/>
      </c>
      <c r="J39">
        <f>IF($A39="","",IF($D39="V01",Cadrage!$C$32,IF($D39="V02",Cadrage!$D$32,Cadrage!$E$32)))</f>
        <v/>
      </c>
      <c r="K39">
        <f>IF($A39="","",IF($D39="V01",Cadrage!$C$33,IF($D39="V02",Cadrage!$D$33,Cadrage!$E$33)))</f>
        <v/>
      </c>
      <c r="L39">
        <f>IF($A39="","",IF($D39="V01",Cadrage!$C$34,IF($D39="V02",Cadrage!$D$34,Cadrage!$E$34)))</f>
        <v/>
      </c>
      <c r="M39">
        <f>IF($A39="","",IF($D39="V01",Cadrage!$C$35,IF($D39="V02",Cadrage!$D$35,Cadrage!$E$35)))</f>
        <v/>
      </c>
      <c r="N39">
        <f>IF($A39="","",IF($D39="V01",$R$2,IF($D39="V02",$R$3,$R$4)))</f>
        <v/>
      </c>
      <c r="O39">
        <f>IF($A39="","",IF(OR($B39="7062",$B39="706",$B39="708"),$N39,IF($B39="6231",1+$G39,IF($B39="6236",1+$H39,IF(OR($B39="621",$B39="604",$B39="6063"),$N39*(1-$L39),IF(OR($B39="6411",$B39="6413",$B39="6414",$B39="645"),(1+$J39)*(1+$K39),IF(OR($B39="613",$B39="615",$B39="616",$B39="6226",$B39="625",$B39="626",$B39="6281"),(1+$I39)*(1-$L39)*(1+$M39),IF(OR($B39="6331",$B39="63511",$B39="6333"),(1+$I39)*(1-$L39),IF($B39="6811",1+$I39,1)))))))))</f>
        <v/>
      </c>
      <c r="P39">
        <f>IF($A39="","",IF($E39=1,$F39*$O39,PNL!G39))</f>
        <v/>
      </c>
      <c r="T39">
        <f>IF($A39="","",IF($E39=1,IF(OR($B39="7062",$B39="706",$B39="708"),$P39,IF(AND(LEFT($B39,1)="6",$B39&lt;&gt;"6811"),-$P39,0)),0))</f>
        <v/>
      </c>
    </row>
    <row r="40">
      <c r="A40">
        <f>IF(PNL!A40="","",PNL!A40)</f>
        <v/>
      </c>
      <c r="B40">
        <f>IF(PNL!B40="","",PNL!B40)</f>
        <v/>
      </c>
      <c r="C40">
        <f>IF(PNL!C40="","",PNL!C40)</f>
        <v/>
      </c>
      <c r="D40">
        <f>IF(PNL!D40="","",PNL!D40)</f>
        <v/>
      </c>
      <c r="E40">
        <f>IF($A40="","",IF(AND($C40="2027",OR($D40="V01",$D40="V02",$D40="V03")),1,0))</f>
        <v/>
      </c>
      <c r="F40">
        <f>IF($A40="","",IF($E40=1,SUMIFS(Comptabilité!$F$1:$F$675,Comptabilité!$A$1:$A$675,$A40,Comptabilité!$B$1:$B$675,$B40,Comptabilité!$C$1:$C$675,"2026"),0))</f>
        <v/>
      </c>
      <c r="G40">
        <f>IF($A40="","",IF($D40="V01",Cadrage!$C$22,IF($D40="V02",Cadrage!$D$22,Cadrage!$E$22)))</f>
        <v/>
      </c>
      <c r="H40">
        <f>IF($A40="","",IF($D40="V01",Cadrage!$C$23,IF($D40="V02",Cadrage!$D$23,Cadrage!$E$23)))</f>
        <v/>
      </c>
      <c r="I40">
        <f>IF($A40="","",IF($D40="V01",Cadrage!$C$31,IF($D40="V02",Cadrage!$D$31,Cadrage!$E$31)))</f>
        <v/>
      </c>
      <c r="J40">
        <f>IF($A40="","",IF($D40="V01",Cadrage!$C$32,IF($D40="V02",Cadrage!$D$32,Cadrage!$E$32)))</f>
        <v/>
      </c>
      <c r="K40">
        <f>IF($A40="","",IF($D40="V01",Cadrage!$C$33,IF($D40="V02",Cadrage!$D$33,Cadrage!$E$33)))</f>
        <v/>
      </c>
      <c r="L40">
        <f>IF($A40="","",IF($D40="V01",Cadrage!$C$34,IF($D40="V02",Cadrage!$D$34,Cadrage!$E$34)))</f>
        <v/>
      </c>
      <c r="M40">
        <f>IF($A40="","",IF($D40="V01",Cadrage!$C$35,IF($D40="V02",Cadrage!$D$35,Cadrage!$E$35)))</f>
        <v/>
      </c>
      <c r="N40">
        <f>IF($A40="","",IF($D40="V01",$R$2,IF($D40="V02",$R$3,$R$4)))</f>
        <v/>
      </c>
      <c r="O40">
        <f>IF($A40="","",IF(OR($B40="7062",$B40="706",$B40="708"),$N40,IF($B40="6231",1+$G40,IF($B40="6236",1+$H40,IF(OR($B40="621",$B40="604",$B40="6063"),$N40*(1-$L40),IF(OR($B40="6411",$B40="6413",$B40="6414",$B40="645"),(1+$J40)*(1+$K40),IF(OR($B40="613",$B40="615",$B40="616",$B40="6226",$B40="625",$B40="626",$B40="6281"),(1+$I40)*(1-$L40)*(1+$M40),IF(OR($B40="6331",$B40="63511",$B40="6333"),(1+$I40)*(1-$L40),IF($B40="6811",1+$I40,1)))))))))</f>
        <v/>
      </c>
      <c r="P40">
        <f>IF($A40="","",IF($E40=1,$F40*$O40,PNL!G40))</f>
        <v/>
      </c>
      <c r="T40">
        <f>IF($A40="","",IF($E40=1,IF(OR($B40="7062",$B40="706",$B40="708"),$P40,IF(AND(LEFT($B40,1)="6",$B40&lt;&gt;"6811"),-$P40,0)),0))</f>
        <v/>
      </c>
    </row>
    <row r="41">
      <c r="A41">
        <f>IF(PNL!A41="","",PNL!A41)</f>
        <v/>
      </c>
      <c r="B41">
        <f>IF(PNL!B41="","",PNL!B41)</f>
        <v/>
      </c>
      <c r="C41">
        <f>IF(PNL!C41="","",PNL!C41)</f>
        <v/>
      </c>
      <c r="D41">
        <f>IF(PNL!D41="","",PNL!D41)</f>
        <v/>
      </c>
      <c r="E41">
        <f>IF($A41="","",IF(AND($C41="2027",OR($D41="V01",$D41="V02",$D41="V03")),1,0))</f>
        <v/>
      </c>
      <c r="F41">
        <f>IF($A41="","",IF($E41=1,SUMIFS(Comptabilité!$F$1:$F$675,Comptabilité!$A$1:$A$675,$A41,Comptabilité!$B$1:$B$675,$B41,Comptabilité!$C$1:$C$675,"2026"),0))</f>
        <v/>
      </c>
      <c r="G41">
        <f>IF($A41="","",IF($D41="V01",Cadrage!$C$22,IF($D41="V02",Cadrage!$D$22,Cadrage!$E$22)))</f>
        <v/>
      </c>
      <c r="H41">
        <f>IF($A41="","",IF($D41="V01",Cadrage!$C$23,IF($D41="V02",Cadrage!$D$23,Cadrage!$E$23)))</f>
        <v/>
      </c>
      <c r="I41">
        <f>IF($A41="","",IF($D41="V01",Cadrage!$C$31,IF($D41="V02",Cadrage!$D$31,Cadrage!$E$31)))</f>
        <v/>
      </c>
      <c r="J41">
        <f>IF($A41="","",IF($D41="V01",Cadrage!$C$32,IF($D41="V02",Cadrage!$D$32,Cadrage!$E$32)))</f>
        <v/>
      </c>
      <c r="K41">
        <f>IF($A41="","",IF($D41="V01",Cadrage!$C$33,IF($D41="V02",Cadrage!$D$33,Cadrage!$E$33)))</f>
        <v/>
      </c>
      <c r="L41">
        <f>IF($A41="","",IF($D41="V01",Cadrage!$C$34,IF($D41="V02",Cadrage!$D$34,Cadrage!$E$34)))</f>
        <v/>
      </c>
      <c r="M41">
        <f>IF($A41="","",IF($D41="V01",Cadrage!$C$35,IF($D41="V02",Cadrage!$D$35,Cadrage!$E$35)))</f>
        <v/>
      </c>
      <c r="N41">
        <f>IF($A41="","",IF($D41="V01",$R$2,IF($D41="V02",$R$3,$R$4)))</f>
        <v/>
      </c>
      <c r="O41">
        <f>IF($A41="","",IF(OR($B41="7062",$B41="706",$B41="708"),$N41,IF($B41="6231",1+$G41,IF($B41="6236",1+$H41,IF(OR($B41="621",$B41="604",$B41="6063"),$N41*(1-$L41),IF(OR($B41="6411",$B41="6413",$B41="6414",$B41="645"),(1+$J41)*(1+$K41),IF(OR($B41="613",$B41="615",$B41="616",$B41="6226",$B41="625",$B41="626",$B41="6281"),(1+$I41)*(1-$L41)*(1+$M41),IF(OR($B41="6331",$B41="63511",$B41="6333"),(1+$I41)*(1-$L41),IF($B41="6811",1+$I41,1)))))))))</f>
        <v/>
      </c>
      <c r="P41">
        <f>IF($A41="","",IF($E41=1,$F41*$O41,PNL!G41))</f>
        <v/>
      </c>
      <c r="T41">
        <f>IF($A41="","",IF($E41=1,IF(OR($B41="7062",$B41="706",$B41="708"),$P41,IF(AND(LEFT($B41,1)="6",$B41&lt;&gt;"6811"),-$P41,0)),0))</f>
        <v/>
      </c>
    </row>
    <row r="42">
      <c r="A42">
        <f>IF(PNL!A42="","",PNL!A42)</f>
        <v/>
      </c>
      <c r="B42">
        <f>IF(PNL!B42="","",PNL!B42)</f>
        <v/>
      </c>
      <c r="C42">
        <f>IF(PNL!C42="","",PNL!C42)</f>
        <v/>
      </c>
      <c r="D42">
        <f>IF(PNL!D42="","",PNL!D42)</f>
        <v/>
      </c>
      <c r="E42">
        <f>IF($A42="","",IF(AND($C42="2027",OR($D42="V01",$D42="V02",$D42="V03")),1,0))</f>
        <v/>
      </c>
      <c r="F42">
        <f>IF($A42="","",IF($E42=1,SUMIFS(Comptabilité!$F$1:$F$675,Comptabilité!$A$1:$A$675,$A42,Comptabilité!$B$1:$B$675,$B42,Comptabilité!$C$1:$C$675,"2026"),0))</f>
        <v/>
      </c>
      <c r="G42">
        <f>IF($A42="","",IF($D42="V01",Cadrage!$C$22,IF($D42="V02",Cadrage!$D$22,Cadrage!$E$22)))</f>
        <v/>
      </c>
      <c r="H42">
        <f>IF($A42="","",IF($D42="V01",Cadrage!$C$23,IF($D42="V02",Cadrage!$D$23,Cadrage!$E$23)))</f>
        <v/>
      </c>
      <c r="I42">
        <f>IF($A42="","",IF($D42="V01",Cadrage!$C$31,IF($D42="V02",Cadrage!$D$31,Cadrage!$E$31)))</f>
        <v/>
      </c>
      <c r="J42">
        <f>IF($A42="","",IF($D42="V01",Cadrage!$C$32,IF($D42="V02",Cadrage!$D$32,Cadrage!$E$32)))</f>
        <v/>
      </c>
      <c r="K42">
        <f>IF($A42="","",IF($D42="V01",Cadrage!$C$33,IF($D42="V02",Cadrage!$D$33,Cadrage!$E$33)))</f>
        <v/>
      </c>
      <c r="L42">
        <f>IF($A42="","",IF($D42="V01",Cadrage!$C$34,IF($D42="V02",Cadrage!$D$34,Cadrage!$E$34)))</f>
        <v/>
      </c>
      <c r="M42">
        <f>IF($A42="","",IF($D42="V01",Cadrage!$C$35,IF($D42="V02",Cadrage!$D$35,Cadrage!$E$35)))</f>
        <v/>
      </c>
      <c r="N42">
        <f>IF($A42="","",IF($D42="V01",$R$2,IF($D42="V02",$R$3,$R$4)))</f>
        <v/>
      </c>
      <c r="O42">
        <f>IF($A42="","",IF(OR($B42="7062",$B42="706",$B42="708"),$N42,IF($B42="6231",1+$G42,IF($B42="6236",1+$H42,IF(OR($B42="621",$B42="604",$B42="6063"),$N42*(1-$L42),IF(OR($B42="6411",$B42="6413",$B42="6414",$B42="645"),(1+$J42)*(1+$K42),IF(OR($B42="613",$B42="615",$B42="616",$B42="6226",$B42="625",$B42="626",$B42="6281"),(1+$I42)*(1-$L42)*(1+$M42),IF(OR($B42="6331",$B42="63511",$B42="6333"),(1+$I42)*(1-$L42),IF($B42="6811",1+$I42,1)))))))))</f>
        <v/>
      </c>
      <c r="P42">
        <f>IF($A42="","",IF($E42=1,$F42*$O42,PNL!G42))</f>
        <v/>
      </c>
      <c r="T42">
        <f>IF($A42="","",IF($E42=1,IF(OR($B42="7062",$B42="706",$B42="708"),$P42,IF(AND(LEFT($B42,1)="6",$B42&lt;&gt;"6811"),-$P42,0)),0))</f>
        <v/>
      </c>
    </row>
    <row r="43">
      <c r="A43">
        <f>IF(PNL!A43="","",PNL!A43)</f>
        <v/>
      </c>
      <c r="B43">
        <f>IF(PNL!B43="","",PNL!B43)</f>
        <v/>
      </c>
      <c r="C43">
        <f>IF(PNL!C43="","",PNL!C43)</f>
        <v/>
      </c>
      <c r="D43">
        <f>IF(PNL!D43="","",PNL!D43)</f>
        <v/>
      </c>
      <c r="E43">
        <f>IF($A43="","",IF(AND($C43="2027",OR($D43="V01",$D43="V02",$D43="V03")),1,0))</f>
        <v/>
      </c>
      <c r="F43">
        <f>IF($A43="","",IF($E43=1,SUMIFS(Comptabilité!$F$1:$F$675,Comptabilité!$A$1:$A$675,$A43,Comptabilité!$B$1:$B$675,$B43,Comptabilité!$C$1:$C$675,"2026"),0))</f>
        <v/>
      </c>
      <c r="G43">
        <f>IF($A43="","",IF($D43="V01",Cadrage!$C$22,IF($D43="V02",Cadrage!$D$22,Cadrage!$E$22)))</f>
        <v/>
      </c>
      <c r="H43">
        <f>IF($A43="","",IF($D43="V01",Cadrage!$C$23,IF($D43="V02",Cadrage!$D$23,Cadrage!$E$23)))</f>
        <v/>
      </c>
      <c r="I43">
        <f>IF($A43="","",IF($D43="V01",Cadrage!$C$31,IF($D43="V02",Cadrage!$D$31,Cadrage!$E$31)))</f>
        <v/>
      </c>
      <c r="J43">
        <f>IF($A43="","",IF($D43="V01",Cadrage!$C$32,IF($D43="V02",Cadrage!$D$32,Cadrage!$E$32)))</f>
        <v/>
      </c>
      <c r="K43">
        <f>IF($A43="","",IF($D43="V01",Cadrage!$C$33,IF($D43="V02",Cadrage!$D$33,Cadrage!$E$33)))</f>
        <v/>
      </c>
      <c r="L43">
        <f>IF($A43="","",IF($D43="V01",Cadrage!$C$34,IF($D43="V02",Cadrage!$D$34,Cadrage!$E$34)))</f>
        <v/>
      </c>
      <c r="M43">
        <f>IF($A43="","",IF($D43="V01",Cadrage!$C$35,IF($D43="V02",Cadrage!$D$35,Cadrage!$E$35)))</f>
        <v/>
      </c>
      <c r="N43">
        <f>IF($A43="","",IF($D43="V01",$R$2,IF($D43="V02",$R$3,$R$4)))</f>
        <v/>
      </c>
      <c r="O43">
        <f>IF($A43="","",IF(OR($B43="7062",$B43="706",$B43="708"),$N43,IF($B43="6231",1+$G43,IF($B43="6236",1+$H43,IF(OR($B43="621",$B43="604",$B43="6063"),$N43*(1-$L43),IF(OR($B43="6411",$B43="6413",$B43="6414",$B43="645"),(1+$J43)*(1+$K43),IF(OR($B43="613",$B43="615",$B43="616",$B43="6226",$B43="625",$B43="626",$B43="6281"),(1+$I43)*(1-$L43)*(1+$M43),IF(OR($B43="6331",$B43="63511",$B43="6333"),(1+$I43)*(1-$L43),IF($B43="6811",1+$I43,1)))))))))</f>
        <v/>
      </c>
      <c r="P43">
        <f>IF($A43="","",IF($E43=1,$F43*$O43,PNL!G43))</f>
        <v/>
      </c>
      <c r="T43">
        <f>IF($A43="","",IF($E43=1,IF(OR($B43="7062",$B43="706",$B43="708"),$P43,IF(AND(LEFT($B43,1)="6",$B43&lt;&gt;"6811"),-$P43,0)),0))</f>
        <v/>
      </c>
    </row>
    <row r="44">
      <c r="A44">
        <f>IF(PNL!A44="","",PNL!A44)</f>
        <v/>
      </c>
      <c r="B44">
        <f>IF(PNL!B44="","",PNL!B44)</f>
        <v/>
      </c>
      <c r="C44">
        <f>IF(PNL!C44="","",PNL!C44)</f>
        <v/>
      </c>
      <c r="D44">
        <f>IF(PNL!D44="","",PNL!D44)</f>
        <v/>
      </c>
      <c r="E44">
        <f>IF($A44="","",IF(AND($C44="2027",OR($D44="V01",$D44="V02",$D44="V03")),1,0))</f>
        <v/>
      </c>
      <c r="F44">
        <f>IF($A44="","",IF($E44=1,SUMIFS(Comptabilité!$F$1:$F$675,Comptabilité!$A$1:$A$675,$A44,Comptabilité!$B$1:$B$675,$B44,Comptabilité!$C$1:$C$675,"2026"),0))</f>
        <v/>
      </c>
      <c r="G44">
        <f>IF($A44="","",IF($D44="V01",Cadrage!$C$22,IF($D44="V02",Cadrage!$D$22,Cadrage!$E$22)))</f>
        <v/>
      </c>
      <c r="H44">
        <f>IF($A44="","",IF($D44="V01",Cadrage!$C$23,IF($D44="V02",Cadrage!$D$23,Cadrage!$E$23)))</f>
        <v/>
      </c>
      <c r="I44">
        <f>IF($A44="","",IF($D44="V01",Cadrage!$C$31,IF($D44="V02",Cadrage!$D$31,Cadrage!$E$31)))</f>
        <v/>
      </c>
      <c r="J44">
        <f>IF($A44="","",IF($D44="V01",Cadrage!$C$32,IF($D44="V02",Cadrage!$D$32,Cadrage!$E$32)))</f>
        <v/>
      </c>
      <c r="K44">
        <f>IF($A44="","",IF($D44="V01",Cadrage!$C$33,IF($D44="V02",Cadrage!$D$33,Cadrage!$E$33)))</f>
        <v/>
      </c>
      <c r="L44">
        <f>IF($A44="","",IF($D44="V01",Cadrage!$C$34,IF($D44="V02",Cadrage!$D$34,Cadrage!$E$34)))</f>
        <v/>
      </c>
      <c r="M44">
        <f>IF($A44="","",IF($D44="V01",Cadrage!$C$35,IF($D44="V02",Cadrage!$D$35,Cadrage!$E$35)))</f>
        <v/>
      </c>
      <c r="N44">
        <f>IF($A44="","",IF($D44="V01",$R$2,IF($D44="V02",$R$3,$R$4)))</f>
        <v/>
      </c>
      <c r="O44">
        <f>IF($A44="","",IF(OR($B44="7062",$B44="706",$B44="708"),$N44,IF($B44="6231",1+$G44,IF($B44="6236",1+$H44,IF(OR($B44="621",$B44="604",$B44="6063"),$N44*(1-$L44),IF(OR($B44="6411",$B44="6413",$B44="6414",$B44="645"),(1+$J44)*(1+$K44),IF(OR($B44="613",$B44="615",$B44="616",$B44="6226",$B44="625",$B44="626",$B44="6281"),(1+$I44)*(1-$L44)*(1+$M44),IF(OR($B44="6331",$B44="63511",$B44="6333"),(1+$I44)*(1-$L44),IF($B44="6811",1+$I44,1)))))))))</f>
        <v/>
      </c>
      <c r="P44">
        <f>IF($A44="","",IF($E44=1,$F44*$O44,PNL!G44))</f>
        <v/>
      </c>
      <c r="T44">
        <f>IF($A44="","",IF($E44=1,IF(OR($B44="7062",$B44="706",$B44="708"),$P44,IF(AND(LEFT($B44,1)="6",$B44&lt;&gt;"6811"),-$P44,0)),0))</f>
        <v/>
      </c>
    </row>
    <row r="45">
      <c r="A45">
        <f>IF(PNL!A45="","",PNL!A45)</f>
        <v/>
      </c>
      <c r="B45">
        <f>IF(PNL!B45="","",PNL!B45)</f>
        <v/>
      </c>
      <c r="C45">
        <f>IF(PNL!C45="","",PNL!C45)</f>
        <v/>
      </c>
      <c r="D45">
        <f>IF(PNL!D45="","",PNL!D45)</f>
        <v/>
      </c>
      <c r="E45">
        <f>IF($A45="","",IF(AND($C45="2027",OR($D45="V01",$D45="V02",$D45="V03")),1,0))</f>
        <v/>
      </c>
      <c r="F45">
        <f>IF($A45="","",IF($E45=1,SUMIFS(Comptabilité!$F$1:$F$675,Comptabilité!$A$1:$A$675,$A45,Comptabilité!$B$1:$B$675,$B45,Comptabilité!$C$1:$C$675,"2026"),0))</f>
        <v/>
      </c>
      <c r="G45">
        <f>IF($A45="","",IF($D45="V01",Cadrage!$C$22,IF($D45="V02",Cadrage!$D$22,Cadrage!$E$22)))</f>
        <v/>
      </c>
      <c r="H45">
        <f>IF($A45="","",IF($D45="V01",Cadrage!$C$23,IF($D45="V02",Cadrage!$D$23,Cadrage!$E$23)))</f>
        <v/>
      </c>
      <c r="I45">
        <f>IF($A45="","",IF($D45="V01",Cadrage!$C$31,IF($D45="V02",Cadrage!$D$31,Cadrage!$E$31)))</f>
        <v/>
      </c>
      <c r="J45">
        <f>IF($A45="","",IF($D45="V01",Cadrage!$C$32,IF($D45="V02",Cadrage!$D$32,Cadrage!$E$32)))</f>
        <v/>
      </c>
      <c r="K45">
        <f>IF($A45="","",IF($D45="V01",Cadrage!$C$33,IF($D45="V02",Cadrage!$D$33,Cadrage!$E$33)))</f>
        <v/>
      </c>
      <c r="L45">
        <f>IF($A45="","",IF($D45="V01",Cadrage!$C$34,IF($D45="V02",Cadrage!$D$34,Cadrage!$E$34)))</f>
        <v/>
      </c>
      <c r="M45">
        <f>IF($A45="","",IF($D45="V01",Cadrage!$C$35,IF($D45="V02",Cadrage!$D$35,Cadrage!$E$35)))</f>
        <v/>
      </c>
      <c r="N45">
        <f>IF($A45="","",IF($D45="V01",$R$2,IF($D45="V02",$R$3,$R$4)))</f>
        <v/>
      </c>
      <c r="O45">
        <f>IF($A45="","",IF(OR($B45="7062",$B45="706",$B45="708"),$N45,IF($B45="6231",1+$G45,IF($B45="6236",1+$H45,IF(OR($B45="621",$B45="604",$B45="6063"),$N45*(1-$L45),IF(OR($B45="6411",$B45="6413",$B45="6414",$B45="645"),(1+$J45)*(1+$K45),IF(OR($B45="613",$B45="615",$B45="616",$B45="6226",$B45="625",$B45="626",$B45="6281"),(1+$I45)*(1-$L45)*(1+$M45),IF(OR($B45="6331",$B45="63511",$B45="6333"),(1+$I45)*(1-$L45),IF($B45="6811",1+$I45,1)))))))))</f>
        <v/>
      </c>
      <c r="P45">
        <f>IF($A45="","",IF($E45=1,$F45*$O45,PNL!G45))</f>
        <v/>
      </c>
      <c r="T45">
        <f>IF($A45="","",IF($E45=1,IF(OR($B45="7062",$B45="706",$B45="708"),$P45,IF(AND(LEFT($B45,1)="6",$B45&lt;&gt;"6811"),-$P45,0)),0))</f>
        <v/>
      </c>
    </row>
    <row r="46">
      <c r="A46">
        <f>IF(PNL!A46="","",PNL!A46)</f>
        <v/>
      </c>
      <c r="B46">
        <f>IF(PNL!B46="","",PNL!B46)</f>
        <v/>
      </c>
      <c r="C46">
        <f>IF(PNL!C46="","",PNL!C46)</f>
        <v/>
      </c>
      <c r="D46">
        <f>IF(PNL!D46="","",PNL!D46)</f>
        <v/>
      </c>
      <c r="E46">
        <f>IF($A46="","",IF(AND($C46="2027",OR($D46="V01",$D46="V02",$D46="V03")),1,0))</f>
        <v/>
      </c>
      <c r="F46">
        <f>IF($A46="","",IF($E46=1,SUMIFS(Comptabilité!$F$1:$F$675,Comptabilité!$A$1:$A$675,$A46,Comptabilité!$B$1:$B$675,$B46,Comptabilité!$C$1:$C$675,"2026"),0))</f>
        <v/>
      </c>
      <c r="G46">
        <f>IF($A46="","",IF($D46="V01",Cadrage!$C$22,IF($D46="V02",Cadrage!$D$22,Cadrage!$E$22)))</f>
        <v/>
      </c>
      <c r="H46">
        <f>IF($A46="","",IF($D46="V01",Cadrage!$C$23,IF($D46="V02",Cadrage!$D$23,Cadrage!$E$23)))</f>
        <v/>
      </c>
      <c r="I46">
        <f>IF($A46="","",IF($D46="V01",Cadrage!$C$31,IF($D46="V02",Cadrage!$D$31,Cadrage!$E$31)))</f>
        <v/>
      </c>
      <c r="J46">
        <f>IF($A46="","",IF($D46="V01",Cadrage!$C$32,IF($D46="V02",Cadrage!$D$32,Cadrage!$E$32)))</f>
        <v/>
      </c>
      <c r="K46">
        <f>IF($A46="","",IF($D46="V01",Cadrage!$C$33,IF($D46="V02",Cadrage!$D$33,Cadrage!$E$33)))</f>
        <v/>
      </c>
      <c r="L46">
        <f>IF($A46="","",IF($D46="V01",Cadrage!$C$34,IF($D46="V02",Cadrage!$D$34,Cadrage!$E$34)))</f>
        <v/>
      </c>
      <c r="M46">
        <f>IF($A46="","",IF($D46="V01",Cadrage!$C$35,IF($D46="V02",Cadrage!$D$35,Cadrage!$E$35)))</f>
        <v/>
      </c>
      <c r="N46">
        <f>IF($A46="","",IF($D46="V01",$R$2,IF($D46="V02",$R$3,$R$4)))</f>
        <v/>
      </c>
      <c r="O46">
        <f>IF($A46="","",IF(OR($B46="7062",$B46="706",$B46="708"),$N46,IF($B46="6231",1+$G46,IF($B46="6236",1+$H46,IF(OR($B46="621",$B46="604",$B46="6063"),$N46*(1-$L46),IF(OR($B46="6411",$B46="6413",$B46="6414",$B46="645"),(1+$J46)*(1+$K46),IF(OR($B46="613",$B46="615",$B46="616",$B46="6226",$B46="625",$B46="626",$B46="6281"),(1+$I46)*(1-$L46)*(1+$M46),IF(OR($B46="6331",$B46="63511",$B46="6333"),(1+$I46)*(1-$L46),IF($B46="6811",1+$I46,1)))))))))</f>
        <v/>
      </c>
      <c r="P46">
        <f>IF($A46="","",IF($E46=1,$F46*$O46,PNL!G46))</f>
        <v/>
      </c>
      <c r="T46">
        <f>IF($A46="","",IF($E46=1,IF(OR($B46="7062",$B46="706",$B46="708"),$P46,IF(AND(LEFT($B46,1)="6",$B46&lt;&gt;"6811"),-$P46,0)),0))</f>
        <v/>
      </c>
    </row>
    <row r="47">
      <c r="A47">
        <f>IF(PNL!A47="","",PNL!A47)</f>
        <v/>
      </c>
      <c r="B47">
        <f>IF(PNL!B47="","",PNL!B47)</f>
        <v/>
      </c>
      <c r="C47">
        <f>IF(PNL!C47="","",PNL!C47)</f>
        <v/>
      </c>
      <c r="D47">
        <f>IF(PNL!D47="","",PNL!D47)</f>
        <v/>
      </c>
      <c r="E47">
        <f>IF($A47="","",IF(AND($C47="2027",OR($D47="V01",$D47="V02",$D47="V03")),1,0))</f>
        <v/>
      </c>
      <c r="F47">
        <f>IF($A47="","",IF($E47=1,SUMIFS(Comptabilité!$F$1:$F$675,Comptabilité!$A$1:$A$675,$A47,Comptabilité!$B$1:$B$675,$B47,Comptabilité!$C$1:$C$675,"2026"),0))</f>
        <v/>
      </c>
      <c r="G47">
        <f>IF($A47="","",IF($D47="V01",Cadrage!$C$22,IF($D47="V02",Cadrage!$D$22,Cadrage!$E$22)))</f>
        <v/>
      </c>
      <c r="H47">
        <f>IF($A47="","",IF($D47="V01",Cadrage!$C$23,IF($D47="V02",Cadrage!$D$23,Cadrage!$E$23)))</f>
        <v/>
      </c>
      <c r="I47">
        <f>IF($A47="","",IF($D47="V01",Cadrage!$C$31,IF($D47="V02",Cadrage!$D$31,Cadrage!$E$31)))</f>
        <v/>
      </c>
      <c r="J47">
        <f>IF($A47="","",IF($D47="V01",Cadrage!$C$32,IF($D47="V02",Cadrage!$D$32,Cadrage!$E$32)))</f>
        <v/>
      </c>
      <c r="K47">
        <f>IF($A47="","",IF($D47="V01",Cadrage!$C$33,IF($D47="V02",Cadrage!$D$33,Cadrage!$E$33)))</f>
        <v/>
      </c>
      <c r="L47">
        <f>IF($A47="","",IF($D47="V01",Cadrage!$C$34,IF($D47="V02",Cadrage!$D$34,Cadrage!$E$34)))</f>
        <v/>
      </c>
      <c r="M47">
        <f>IF($A47="","",IF($D47="V01",Cadrage!$C$35,IF($D47="V02",Cadrage!$D$35,Cadrage!$E$35)))</f>
        <v/>
      </c>
      <c r="N47">
        <f>IF($A47="","",IF($D47="V01",$R$2,IF($D47="V02",$R$3,$R$4)))</f>
        <v/>
      </c>
      <c r="O47">
        <f>IF($A47="","",IF(OR($B47="7062",$B47="706",$B47="708"),$N47,IF($B47="6231",1+$G47,IF($B47="6236",1+$H47,IF(OR($B47="621",$B47="604",$B47="6063"),$N47*(1-$L47),IF(OR($B47="6411",$B47="6413",$B47="6414",$B47="645"),(1+$J47)*(1+$K47),IF(OR($B47="613",$B47="615",$B47="616",$B47="6226",$B47="625",$B47="626",$B47="6281"),(1+$I47)*(1-$L47)*(1+$M47),IF(OR($B47="6331",$B47="63511",$B47="6333"),(1+$I47)*(1-$L47),IF($B47="6811",1+$I47,1)))))))))</f>
        <v/>
      </c>
      <c r="P47">
        <f>IF($A47="","",IF($E47=1,$F47*$O47,PNL!G47))</f>
        <v/>
      </c>
      <c r="T47">
        <f>IF($A47="","",IF($E47=1,IF(OR($B47="7062",$B47="706",$B47="708"),$P47,IF(AND(LEFT($B47,1)="6",$B47&lt;&gt;"6811"),-$P47,0)),0))</f>
        <v/>
      </c>
    </row>
    <row r="48">
      <c r="A48">
        <f>IF(PNL!A48="","",PNL!A48)</f>
        <v/>
      </c>
      <c r="B48">
        <f>IF(PNL!B48="","",PNL!B48)</f>
        <v/>
      </c>
      <c r="C48">
        <f>IF(PNL!C48="","",PNL!C48)</f>
        <v/>
      </c>
      <c r="D48">
        <f>IF(PNL!D48="","",PNL!D48)</f>
        <v/>
      </c>
      <c r="E48">
        <f>IF($A48="","",IF(AND($C48="2027",OR($D48="V01",$D48="V02",$D48="V03")),1,0))</f>
        <v/>
      </c>
      <c r="F48">
        <f>IF($A48="","",IF($E48=1,SUMIFS(Comptabilité!$F$1:$F$675,Comptabilité!$A$1:$A$675,$A48,Comptabilité!$B$1:$B$675,$B48,Comptabilité!$C$1:$C$675,"2026"),0))</f>
        <v/>
      </c>
      <c r="G48">
        <f>IF($A48="","",IF($D48="V01",Cadrage!$C$22,IF($D48="V02",Cadrage!$D$22,Cadrage!$E$22)))</f>
        <v/>
      </c>
      <c r="H48">
        <f>IF($A48="","",IF($D48="V01",Cadrage!$C$23,IF($D48="V02",Cadrage!$D$23,Cadrage!$E$23)))</f>
        <v/>
      </c>
      <c r="I48">
        <f>IF($A48="","",IF($D48="V01",Cadrage!$C$31,IF($D48="V02",Cadrage!$D$31,Cadrage!$E$31)))</f>
        <v/>
      </c>
      <c r="J48">
        <f>IF($A48="","",IF($D48="V01",Cadrage!$C$32,IF($D48="V02",Cadrage!$D$32,Cadrage!$E$32)))</f>
        <v/>
      </c>
      <c r="K48">
        <f>IF($A48="","",IF($D48="V01",Cadrage!$C$33,IF($D48="V02",Cadrage!$D$33,Cadrage!$E$33)))</f>
        <v/>
      </c>
      <c r="L48">
        <f>IF($A48="","",IF($D48="V01",Cadrage!$C$34,IF($D48="V02",Cadrage!$D$34,Cadrage!$E$34)))</f>
        <v/>
      </c>
      <c r="M48">
        <f>IF($A48="","",IF($D48="V01",Cadrage!$C$35,IF($D48="V02",Cadrage!$D$35,Cadrage!$E$35)))</f>
        <v/>
      </c>
      <c r="N48">
        <f>IF($A48="","",IF($D48="V01",$R$2,IF($D48="V02",$R$3,$R$4)))</f>
        <v/>
      </c>
      <c r="O48">
        <f>IF($A48="","",IF(OR($B48="7062",$B48="706",$B48="708"),$N48,IF($B48="6231",1+$G48,IF($B48="6236",1+$H48,IF(OR($B48="621",$B48="604",$B48="6063"),$N48*(1-$L48),IF(OR($B48="6411",$B48="6413",$B48="6414",$B48="645"),(1+$J48)*(1+$K48),IF(OR($B48="613",$B48="615",$B48="616",$B48="6226",$B48="625",$B48="626",$B48="6281"),(1+$I48)*(1-$L48)*(1+$M48),IF(OR($B48="6331",$B48="63511",$B48="6333"),(1+$I48)*(1-$L48),IF($B48="6811",1+$I48,1)))))))))</f>
        <v/>
      </c>
      <c r="P48">
        <f>IF($A48="","",IF($E48=1,$F48*$O48,PNL!G48))</f>
        <v/>
      </c>
      <c r="T48">
        <f>IF($A48="","",IF($E48=1,IF(OR($B48="7062",$B48="706",$B48="708"),$P48,IF(AND(LEFT($B48,1)="6",$B48&lt;&gt;"6811"),-$P48,0)),0))</f>
        <v/>
      </c>
    </row>
    <row r="49">
      <c r="A49">
        <f>IF(PNL!A49="","",PNL!A49)</f>
        <v/>
      </c>
      <c r="B49">
        <f>IF(PNL!B49="","",PNL!B49)</f>
        <v/>
      </c>
      <c r="C49">
        <f>IF(PNL!C49="","",PNL!C49)</f>
        <v/>
      </c>
      <c r="D49">
        <f>IF(PNL!D49="","",PNL!D49)</f>
        <v/>
      </c>
      <c r="E49">
        <f>IF($A49="","",IF(AND($C49="2027",OR($D49="V01",$D49="V02",$D49="V03")),1,0))</f>
        <v/>
      </c>
      <c r="F49">
        <f>IF($A49="","",IF($E49=1,SUMIFS(Comptabilité!$F$1:$F$675,Comptabilité!$A$1:$A$675,$A49,Comptabilité!$B$1:$B$675,$B49,Comptabilité!$C$1:$C$675,"2026"),0))</f>
        <v/>
      </c>
      <c r="G49">
        <f>IF($A49="","",IF($D49="V01",Cadrage!$C$22,IF($D49="V02",Cadrage!$D$22,Cadrage!$E$22)))</f>
        <v/>
      </c>
      <c r="H49">
        <f>IF($A49="","",IF($D49="V01",Cadrage!$C$23,IF($D49="V02",Cadrage!$D$23,Cadrage!$E$23)))</f>
        <v/>
      </c>
      <c r="I49">
        <f>IF($A49="","",IF($D49="V01",Cadrage!$C$31,IF($D49="V02",Cadrage!$D$31,Cadrage!$E$31)))</f>
        <v/>
      </c>
      <c r="J49">
        <f>IF($A49="","",IF($D49="V01",Cadrage!$C$32,IF($D49="V02",Cadrage!$D$32,Cadrage!$E$32)))</f>
        <v/>
      </c>
      <c r="K49">
        <f>IF($A49="","",IF($D49="V01",Cadrage!$C$33,IF($D49="V02",Cadrage!$D$33,Cadrage!$E$33)))</f>
        <v/>
      </c>
      <c r="L49">
        <f>IF($A49="","",IF($D49="V01",Cadrage!$C$34,IF($D49="V02",Cadrage!$D$34,Cadrage!$E$34)))</f>
        <v/>
      </c>
      <c r="M49">
        <f>IF($A49="","",IF($D49="V01",Cadrage!$C$35,IF($D49="V02",Cadrage!$D$35,Cadrage!$E$35)))</f>
        <v/>
      </c>
      <c r="N49">
        <f>IF($A49="","",IF($D49="V01",$R$2,IF($D49="V02",$R$3,$R$4)))</f>
        <v/>
      </c>
      <c r="O49">
        <f>IF($A49="","",IF(OR($B49="7062",$B49="706",$B49="708"),$N49,IF($B49="6231",1+$G49,IF($B49="6236",1+$H49,IF(OR($B49="621",$B49="604",$B49="6063"),$N49*(1-$L49),IF(OR($B49="6411",$B49="6413",$B49="6414",$B49="645"),(1+$J49)*(1+$K49),IF(OR($B49="613",$B49="615",$B49="616",$B49="6226",$B49="625",$B49="626",$B49="6281"),(1+$I49)*(1-$L49)*(1+$M49),IF(OR($B49="6331",$B49="63511",$B49="6333"),(1+$I49)*(1-$L49),IF($B49="6811",1+$I49,1)))))))))</f>
        <v/>
      </c>
      <c r="P49">
        <f>IF($A49="","",IF($E49=1,$F49*$O49,PNL!G49))</f>
        <v/>
      </c>
      <c r="T49">
        <f>IF($A49="","",IF($E49=1,IF(OR($B49="7062",$B49="706",$B49="708"),$P49,IF(AND(LEFT($B49,1)="6",$B49&lt;&gt;"6811"),-$P49,0)),0))</f>
        <v/>
      </c>
    </row>
    <row r="50">
      <c r="A50">
        <f>IF(PNL!A50="","",PNL!A50)</f>
        <v/>
      </c>
      <c r="B50">
        <f>IF(PNL!B50="","",PNL!B50)</f>
        <v/>
      </c>
      <c r="C50">
        <f>IF(PNL!C50="","",PNL!C50)</f>
        <v/>
      </c>
      <c r="D50">
        <f>IF(PNL!D50="","",PNL!D50)</f>
        <v/>
      </c>
      <c r="E50">
        <f>IF($A50="","",IF(AND($C50="2027",OR($D50="V01",$D50="V02",$D50="V03")),1,0))</f>
        <v/>
      </c>
      <c r="F50">
        <f>IF($A50="","",IF($E50=1,SUMIFS(Comptabilité!$F$1:$F$675,Comptabilité!$A$1:$A$675,$A50,Comptabilité!$B$1:$B$675,$B50,Comptabilité!$C$1:$C$675,"2026"),0))</f>
        <v/>
      </c>
      <c r="G50">
        <f>IF($A50="","",IF($D50="V01",Cadrage!$C$22,IF($D50="V02",Cadrage!$D$22,Cadrage!$E$22)))</f>
        <v/>
      </c>
      <c r="H50">
        <f>IF($A50="","",IF($D50="V01",Cadrage!$C$23,IF($D50="V02",Cadrage!$D$23,Cadrage!$E$23)))</f>
        <v/>
      </c>
      <c r="I50">
        <f>IF($A50="","",IF($D50="V01",Cadrage!$C$31,IF($D50="V02",Cadrage!$D$31,Cadrage!$E$31)))</f>
        <v/>
      </c>
      <c r="J50">
        <f>IF($A50="","",IF($D50="V01",Cadrage!$C$32,IF($D50="V02",Cadrage!$D$32,Cadrage!$E$32)))</f>
        <v/>
      </c>
      <c r="K50">
        <f>IF($A50="","",IF($D50="V01",Cadrage!$C$33,IF($D50="V02",Cadrage!$D$33,Cadrage!$E$33)))</f>
        <v/>
      </c>
      <c r="L50">
        <f>IF($A50="","",IF($D50="V01",Cadrage!$C$34,IF($D50="V02",Cadrage!$D$34,Cadrage!$E$34)))</f>
        <v/>
      </c>
      <c r="M50">
        <f>IF($A50="","",IF($D50="V01",Cadrage!$C$35,IF($D50="V02",Cadrage!$D$35,Cadrage!$E$35)))</f>
        <v/>
      </c>
      <c r="N50">
        <f>IF($A50="","",IF($D50="V01",$R$2,IF($D50="V02",$R$3,$R$4)))</f>
        <v/>
      </c>
      <c r="O50">
        <f>IF($A50="","",IF(OR($B50="7062",$B50="706",$B50="708"),$N50,IF($B50="6231",1+$G50,IF($B50="6236",1+$H50,IF(OR($B50="621",$B50="604",$B50="6063"),$N50*(1-$L50),IF(OR($B50="6411",$B50="6413",$B50="6414",$B50="645"),(1+$J50)*(1+$K50),IF(OR($B50="613",$B50="615",$B50="616",$B50="6226",$B50="625",$B50="626",$B50="6281"),(1+$I50)*(1-$L50)*(1+$M50),IF(OR($B50="6331",$B50="63511",$B50="6333"),(1+$I50)*(1-$L50),IF($B50="6811",1+$I50,1)))))))))</f>
        <v/>
      </c>
      <c r="P50">
        <f>IF($A50="","",IF($E50=1,$F50*$O50,PNL!G50))</f>
        <v/>
      </c>
      <c r="T50">
        <f>IF($A50="","",IF($E50=1,IF(OR($B50="7062",$B50="706",$B50="708"),$P50,IF(AND(LEFT($B50,1)="6",$B50&lt;&gt;"6811"),-$P50,0)),0))</f>
        <v/>
      </c>
    </row>
    <row r="51">
      <c r="A51">
        <f>IF(PNL!A51="","",PNL!A51)</f>
        <v/>
      </c>
      <c r="B51">
        <f>IF(PNL!B51="","",PNL!B51)</f>
        <v/>
      </c>
      <c r="C51">
        <f>IF(PNL!C51="","",PNL!C51)</f>
        <v/>
      </c>
      <c r="D51">
        <f>IF(PNL!D51="","",PNL!D51)</f>
        <v/>
      </c>
      <c r="E51">
        <f>IF($A51="","",IF(AND($C51="2027",OR($D51="V01",$D51="V02",$D51="V03")),1,0))</f>
        <v/>
      </c>
      <c r="F51">
        <f>IF($A51="","",IF($E51=1,SUMIFS(Comptabilité!$F$1:$F$675,Comptabilité!$A$1:$A$675,$A51,Comptabilité!$B$1:$B$675,$B51,Comptabilité!$C$1:$C$675,"2026"),0))</f>
        <v/>
      </c>
      <c r="G51">
        <f>IF($A51="","",IF($D51="V01",Cadrage!$C$22,IF($D51="V02",Cadrage!$D$22,Cadrage!$E$22)))</f>
        <v/>
      </c>
      <c r="H51">
        <f>IF($A51="","",IF($D51="V01",Cadrage!$C$23,IF($D51="V02",Cadrage!$D$23,Cadrage!$E$23)))</f>
        <v/>
      </c>
      <c r="I51">
        <f>IF($A51="","",IF($D51="V01",Cadrage!$C$31,IF($D51="V02",Cadrage!$D$31,Cadrage!$E$31)))</f>
        <v/>
      </c>
      <c r="J51">
        <f>IF($A51="","",IF($D51="V01",Cadrage!$C$32,IF($D51="V02",Cadrage!$D$32,Cadrage!$E$32)))</f>
        <v/>
      </c>
      <c r="K51">
        <f>IF($A51="","",IF($D51="V01",Cadrage!$C$33,IF($D51="V02",Cadrage!$D$33,Cadrage!$E$33)))</f>
        <v/>
      </c>
      <c r="L51">
        <f>IF($A51="","",IF($D51="V01",Cadrage!$C$34,IF($D51="V02",Cadrage!$D$34,Cadrage!$E$34)))</f>
        <v/>
      </c>
      <c r="M51">
        <f>IF($A51="","",IF($D51="V01",Cadrage!$C$35,IF($D51="V02",Cadrage!$D$35,Cadrage!$E$35)))</f>
        <v/>
      </c>
      <c r="N51">
        <f>IF($A51="","",IF($D51="V01",$R$2,IF($D51="V02",$R$3,$R$4)))</f>
        <v/>
      </c>
      <c r="O51">
        <f>IF($A51="","",IF(OR($B51="7062",$B51="706",$B51="708"),$N51,IF($B51="6231",1+$G51,IF($B51="6236",1+$H51,IF(OR($B51="621",$B51="604",$B51="6063"),$N51*(1-$L51),IF(OR($B51="6411",$B51="6413",$B51="6414",$B51="645"),(1+$J51)*(1+$K51),IF(OR($B51="613",$B51="615",$B51="616",$B51="6226",$B51="625",$B51="626",$B51="6281"),(1+$I51)*(1-$L51)*(1+$M51),IF(OR($B51="6331",$B51="63511",$B51="6333"),(1+$I51)*(1-$L51),IF($B51="6811",1+$I51,1)))))))))</f>
        <v/>
      </c>
      <c r="P51">
        <f>IF($A51="","",IF($E51=1,$F51*$O51,PNL!G51))</f>
        <v/>
      </c>
      <c r="T51">
        <f>IF($A51="","",IF($E51=1,IF(OR($B51="7062",$B51="706",$B51="708"),$P51,IF(AND(LEFT($B51,1)="6",$B51&lt;&gt;"6811"),-$P51,0)),0))</f>
        <v/>
      </c>
    </row>
    <row r="52">
      <c r="A52">
        <f>IF(PNL!A52="","",PNL!A52)</f>
        <v/>
      </c>
      <c r="B52">
        <f>IF(PNL!B52="","",PNL!B52)</f>
        <v/>
      </c>
      <c r="C52">
        <f>IF(PNL!C52="","",PNL!C52)</f>
        <v/>
      </c>
      <c r="D52">
        <f>IF(PNL!D52="","",PNL!D52)</f>
        <v/>
      </c>
      <c r="E52">
        <f>IF($A52="","",IF(AND($C52="2027",OR($D52="V01",$D52="V02",$D52="V03")),1,0))</f>
        <v/>
      </c>
      <c r="F52">
        <f>IF($A52="","",IF($E52=1,SUMIFS(Comptabilité!$F$1:$F$675,Comptabilité!$A$1:$A$675,$A52,Comptabilité!$B$1:$B$675,$B52,Comptabilité!$C$1:$C$675,"2026"),0))</f>
        <v/>
      </c>
      <c r="G52">
        <f>IF($A52="","",IF($D52="V01",Cadrage!$C$22,IF($D52="V02",Cadrage!$D$22,Cadrage!$E$22)))</f>
        <v/>
      </c>
      <c r="H52">
        <f>IF($A52="","",IF($D52="V01",Cadrage!$C$23,IF($D52="V02",Cadrage!$D$23,Cadrage!$E$23)))</f>
        <v/>
      </c>
      <c r="I52">
        <f>IF($A52="","",IF($D52="V01",Cadrage!$C$31,IF($D52="V02",Cadrage!$D$31,Cadrage!$E$31)))</f>
        <v/>
      </c>
      <c r="J52">
        <f>IF($A52="","",IF($D52="V01",Cadrage!$C$32,IF($D52="V02",Cadrage!$D$32,Cadrage!$E$32)))</f>
        <v/>
      </c>
      <c r="K52">
        <f>IF($A52="","",IF($D52="V01",Cadrage!$C$33,IF($D52="V02",Cadrage!$D$33,Cadrage!$E$33)))</f>
        <v/>
      </c>
      <c r="L52">
        <f>IF($A52="","",IF($D52="V01",Cadrage!$C$34,IF($D52="V02",Cadrage!$D$34,Cadrage!$E$34)))</f>
        <v/>
      </c>
      <c r="M52">
        <f>IF($A52="","",IF($D52="V01",Cadrage!$C$35,IF($D52="V02",Cadrage!$D$35,Cadrage!$E$35)))</f>
        <v/>
      </c>
      <c r="N52">
        <f>IF($A52="","",IF($D52="V01",$R$2,IF($D52="V02",$R$3,$R$4)))</f>
        <v/>
      </c>
      <c r="O52">
        <f>IF($A52="","",IF(OR($B52="7062",$B52="706",$B52="708"),$N52,IF($B52="6231",1+$G52,IF($B52="6236",1+$H52,IF(OR($B52="621",$B52="604",$B52="6063"),$N52*(1-$L52),IF(OR($B52="6411",$B52="6413",$B52="6414",$B52="645"),(1+$J52)*(1+$K52),IF(OR($B52="613",$B52="615",$B52="616",$B52="6226",$B52="625",$B52="626",$B52="6281"),(1+$I52)*(1-$L52)*(1+$M52),IF(OR($B52="6331",$B52="63511",$B52="6333"),(1+$I52)*(1-$L52),IF($B52="6811",1+$I52,1)))))))))</f>
        <v/>
      </c>
      <c r="P52">
        <f>IF($A52="","",IF($E52=1,$F52*$O52,PNL!G52))</f>
        <v/>
      </c>
      <c r="T52">
        <f>IF($A52="","",IF($E52=1,IF(OR($B52="7062",$B52="706",$B52="708"),$P52,IF(AND(LEFT($B52,1)="6",$B52&lt;&gt;"6811"),-$P52,0)),0))</f>
        <v/>
      </c>
    </row>
    <row r="53">
      <c r="A53">
        <f>IF(PNL!A53="","",PNL!A53)</f>
        <v/>
      </c>
      <c r="B53">
        <f>IF(PNL!B53="","",PNL!B53)</f>
        <v/>
      </c>
      <c r="C53">
        <f>IF(PNL!C53="","",PNL!C53)</f>
        <v/>
      </c>
      <c r="D53">
        <f>IF(PNL!D53="","",PNL!D53)</f>
        <v/>
      </c>
      <c r="E53">
        <f>IF($A53="","",IF(AND($C53="2027",OR($D53="V01",$D53="V02",$D53="V03")),1,0))</f>
        <v/>
      </c>
      <c r="F53">
        <f>IF($A53="","",IF($E53=1,SUMIFS(Comptabilité!$F$1:$F$675,Comptabilité!$A$1:$A$675,$A53,Comptabilité!$B$1:$B$675,$B53,Comptabilité!$C$1:$C$675,"2026"),0))</f>
        <v/>
      </c>
      <c r="G53">
        <f>IF($A53="","",IF($D53="V01",Cadrage!$C$22,IF($D53="V02",Cadrage!$D$22,Cadrage!$E$22)))</f>
        <v/>
      </c>
      <c r="H53">
        <f>IF($A53="","",IF($D53="V01",Cadrage!$C$23,IF($D53="V02",Cadrage!$D$23,Cadrage!$E$23)))</f>
        <v/>
      </c>
      <c r="I53">
        <f>IF($A53="","",IF($D53="V01",Cadrage!$C$31,IF($D53="V02",Cadrage!$D$31,Cadrage!$E$31)))</f>
        <v/>
      </c>
      <c r="J53">
        <f>IF($A53="","",IF($D53="V01",Cadrage!$C$32,IF($D53="V02",Cadrage!$D$32,Cadrage!$E$32)))</f>
        <v/>
      </c>
      <c r="K53">
        <f>IF($A53="","",IF($D53="V01",Cadrage!$C$33,IF($D53="V02",Cadrage!$D$33,Cadrage!$E$33)))</f>
        <v/>
      </c>
      <c r="L53">
        <f>IF($A53="","",IF($D53="V01",Cadrage!$C$34,IF($D53="V02",Cadrage!$D$34,Cadrage!$E$34)))</f>
        <v/>
      </c>
      <c r="M53">
        <f>IF($A53="","",IF($D53="V01",Cadrage!$C$35,IF($D53="V02",Cadrage!$D$35,Cadrage!$E$35)))</f>
        <v/>
      </c>
      <c r="N53">
        <f>IF($A53="","",IF($D53="V01",$R$2,IF($D53="V02",$R$3,$R$4)))</f>
        <v/>
      </c>
      <c r="O53">
        <f>IF($A53="","",IF(OR($B53="7062",$B53="706",$B53="708"),$N53,IF($B53="6231",1+$G53,IF($B53="6236",1+$H53,IF(OR($B53="621",$B53="604",$B53="6063"),$N53*(1-$L53),IF(OR($B53="6411",$B53="6413",$B53="6414",$B53="645"),(1+$J53)*(1+$K53),IF(OR($B53="613",$B53="615",$B53="616",$B53="6226",$B53="625",$B53="626",$B53="6281"),(1+$I53)*(1-$L53)*(1+$M53),IF(OR($B53="6331",$B53="63511",$B53="6333"),(1+$I53)*(1-$L53),IF($B53="6811",1+$I53,1)))))))))</f>
        <v/>
      </c>
      <c r="P53">
        <f>IF($A53="","",IF($E53=1,$F53*$O53,PNL!G53))</f>
        <v/>
      </c>
      <c r="T53">
        <f>IF($A53="","",IF($E53=1,IF(OR($B53="7062",$B53="706",$B53="708"),$P53,IF(AND(LEFT($B53,1)="6",$B53&lt;&gt;"6811"),-$P53,0)),0))</f>
        <v/>
      </c>
    </row>
    <row r="54">
      <c r="A54">
        <f>IF(PNL!A54="","",PNL!A54)</f>
        <v/>
      </c>
      <c r="B54">
        <f>IF(PNL!B54="","",PNL!B54)</f>
        <v/>
      </c>
      <c r="C54">
        <f>IF(PNL!C54="","",PNL!C54)</f>
        <v/>
      </c>
      <c r="D54">
        <f>IF(PNL!D54="","",PNL!D54)</f>
        <v/>
      </c>
      <c r="E54">
        <f>IF($A54="","",IF(AND($C54="2027",OR($D54="V01",$D54="V02",$D54="V03")),1,0))</f>
        <v/>
      </c>
      <c r="F54">
        <f>IF($A54="","",IF($E54=1,SUMIFS(Comptabilité!$F$1:$F$675,Comptabilité!$A$1:$A$675,$A54,Comptabilité!$B$1:$B$675,$B54,Comptabilité!$C$1:$C$675,"2026"),0))</f>
        <v/>
      </c>
      <c r="G54">
        <f>IF($A54="","",IF($D54="V01",Cadrage!$C$22,IF($D54="V02",Cadrage!$D$22,Cadrage!$E$22)))</f>
        <v/>
      </c>
      <c r="H54">
        <f>IF($A54="","",IF($D54="V01",Cadrage!$C$23,IF($D54="V02",Cadrage!$D$23,Cadrage!$E$23)))</f>
        <v/>
      </c>
      <c r="I54">
        <f>IF($A54="","",IF($D54="V01",Cadrage!$C$31,IF($D54="V02",Cadrage!$D$31,Cadrage!$E$31)))</f>
        <v/>
      </c>
      <c r="J54">
        <f>IF($A54="","",IF($D54="V01",Cadrage!$C$32,IF($D54="V02",Cadrage!$D$32,Cadrage!$E$32)))</f>
        <v/>
      </c>
      <c r="K54">
        <f>IF($A54="","",IF($D54="V01",Cadrage!$C$33,IF($D54="V02",Cadrage!$D$33,Cadrage!$E$33)))</f>
        <v/>
      </c>
      <c r="L54">
        <f>IF($A54="","",IF($D54="V01",Cadrage!$C$34,IF($D54="V02",Cadrage!$D$34,Cadrage!$E$34)))</f>
        <v/>
      </c>
      <c r="M54">
        <f>IF($A54="","",IF($D54="V01",Cadrage!$C$35,IF($D54="V02",Cadrage!$D$35,Cadrage!$E$35)))</f>
        <v/>
      </c>
      <c r="N54">
        <f>IF($A54="","",IF($D54="V01",$R$2,IF($D54="V02",$R$3,$R$4)))</f>
        <v/>
      </c>
      <c r="O54">
        <f>IF($A54="","",IF(OR($B54="7062",$B54="706",$B54="708"),$N54,IF($B54="6231",1+$G54,IF($B54="6236",1+$H54,IF(OR($B54="621",$B54="604",$B54="6063"),$N54*(1-$L54),IF(OR($B54="6411",$B54="6413",$B54="6414",$B54="645"),(1+$J54)*(1+$K54),IF(OR($B54="613",$B54="615",$B54="616",$B54="6226",$B54="625",$B54="626",$B54="6281"),(1+$I54)*(1-$L54)*(1+$M54),IF(OR($B54="6331",$B54="63511",$B54="6333"),(1+$I54)*(1-$L54),IF($B54="6811",1+$I54,1)))))))))</f>
        <v/>
      </c>
      <c r="P54">
        <f>IF($A54="","",IF($E54=1,$F54*$O54,PNL!G54))</f>
        <v/>
      </c>
      <c r="T54">
        <f>IF($A54="","",IF($E54=1,IF(OR($B54="7062",$B54="706",$B54="708"),$P54,IF(AND(LEFT($B54,1)="6",$B54&lt;&gt;"6811"),-$P54,0)),0))</f>
        <v/>
      </c>
    </row>
    <row r="55">
      <c r="A55">
        <f>IF(PNL!A55="","",PNL!A55)</f>
        <v/>
      </c>
      <c r="B55">
        <f>IF(PNL!B55="","",PNL!B55)</f>
        <v/>
      </c>
      <c r="C55">
        <f>IF(PNL!C55="","",PNL!C55)</f>
        <v/>
      </c>
      <c r="D55">
        <f>IF(PNL!D55="","",PNL!D55)</f>
        <v/>
      </c>
      <c r="E55">
        <f>IF($A55="","",IF(AND($C55="2027",OR($D55="V01",$D55="V02",$D55="V03")),1,0))</f>
        <v/>
      </c>
      <c r="F55">
        <f>IF($A55="","",IF($E55=1,SUMIFS(Comptabilité!$F$1:$F$675,Comptabilité!$A$1:$A$675,$A55,Comptabilité!$B$1:$B$675,$B55,Comptabilité!$C$1:$C$675,"2026"),0))</f>
        <v/>
      </c>
      <c r="G55">
        <f>IF($A55="","",IF($D55="V01",Cadrage!$C$22,IF($D55="V02",Cadrage!$D$22,Cadrage!$E$22)))</f>
        <v/>
      </c>
      <c r="H55">
        <f>IF($A55="","",IF($D55="V01",Cadrage!$C$23,IF($D55="V02",Cadrage!$D$23,Cadrage!$E$23)))</f>
        <v/>
      </c>
      <c r="I55">
        <f>IF($A55="","",IF($D55="V01",Cadrage!$C$31,IF($D55="V02",Cadrage!$D$31,Cadrage!$E$31)))</f>
        <v/>
      </c>
      <c r="J55">
        <f>IF($A55="","",IF($D55="V01",Cadrage!$C$32,IF($D55="V02",Cadrage!$D$32,Cadrage!$E$32)))</f>
        <v/>
      </c>
      <c r="K55">
        <f>IF($A55="","",IF($D55="V01",Cadrage!$C$33,IF($D55="V02",Cadrage!$D$33,Cadrage!$E$33)))</f>
        <v/>
      </c>
      <c r="L55">
        <f>IF($A55="","",IF($D55="V01",Cadrage!$C$34,IF($D55="V02",Cadrage!$D$34,Cadrage!$E$34)))</f>
        <v/>
      </c>
      <c r="M55">
        <f>IF($A55="","",IF($D55="V01",Cadrage!$C$35,IF($D55="V02",Cadrage!$D$35,Cadrage!$E$35)))</f>
        <v/>
      </c>
      <c r="N55">
        <f>IF($A55="","",IF($D55="V01",$R$2,IF($D55="V02",$R$3,$R$4)))</f>
        <v/>
      </c>
      <c r="O55">
        <f>IF($A55="","",IF(OR($B55="7062",$B55="706",$B55="708"),$N55,IF($B55="6231",1+$G55,IF($B55="6236",1+$H55,IF(OR($B55="621",$B55="604",$B55="6063"),$N55*(1-$L55),IF(OR($B55="6411",$B55="6413",$B55="6414",$B55="645"),(1+$J55)*(1+$K55),IF(OR($B55="613",$B55="615",$B55="616",$B55="6226",$B55="625",$B55="626",$B55="6281"),(1+$I55)*(1-$L55)*(1+$M55),IF(OR($B55="6331",$B55="63511",$B55="6333"),(1+$I55)*(1-$L55),IF($B55="6811",1+$I55,1)))))))))</f>
        <v/>
      </c>
      <c r="P55">
        <f>IF($A55="","",IF($E55=1,$F55*$O55,PNL!G55))</f>
        <v/>
      </c>
      <c r="T55">
        <f>IF($A55="","",IF($E55=1,IF(OR($B55="7062",$B55="706",$B55="708"),$P55,IF(AND(LEFT($B55,1)="6",$B55&lt;&gt;"6811"),-$P55,0)),0))</f>
        <v/>
      </c>
    </row>
    <row r="56">
      <c r="A56">
        <f>IF(PNL!A56="","",PNL!A56)</f>
        <v/>
      </c>
      <c r="B56">
        <f>IF(PNL!B56="","",PNL!B56)</f>
        <v/>
      </c>
      <c r="C56">
        <f>IF(PNL!C56="","",PNL!C56)</f>
        <v/>
      </c>
      <c r="D56">
        <f>IF(PNL!D56="","",PNL!D56)</f>
        <v/>
      </c>
      <c r="E56">
        <f>IF($A56="","",IF(AND($C56="2027",OR($D56="V01",$D56="V02",$D56="V03")),1,0))</f>
        <v/>
      </c>
      <c r="F56">
        <f>IF($A56="","",IF($E56=1,SUMIFS(Comptabilité!$F$1:$F$675,Comptabilité!$A$1:$A$675,$A56,Comptabilité!$B$1:$B$675,$B56,Comptabilité!$C$1:$C$675,"2026"),0))</f>
        <v/>
      </c>
      <c r="G56">
        <f>IF($A56="","",IF($D56="V01",Cadrage!$C$22,IF($D56="V02",Cadrage!$D$22,Cadrage!$E$22)))</f>
        <v/>
      </c>
      <c r="H56">
        <f>IF($A56="","",IF($D56="V01",Cadrage!$C$23,IF($D56="V02",Cadrage!$D$23,Cadrage!$E$23)))</f>
        <v/>
      </c>
      <c r="I56">
        <f>IF($A56="","",IF($D56="V01",Cadrage!$C$31,IF($D56="V02",Cadrage!$D$31,Cadrage!$E$31)))</f>
        <v/>
      </c>
      <c r="J56">
        <f>IF($A56="","",IF($D56="V01",Cadrage!$C$32,IF($D56="V02",Cadrage!$D$32,Cadrage!$E$32)))</f>
        <v/>
      </c>
      <c r="K56">
        <f>IF($A56="","",IF($D56="V01",Cadrage!$C$33,IF($D56="V02",Cadrage!$D$33,Cadrage!$E$33)))</f>
        <v/>
      </c>
      <c r="L56">
        <f>IF($A56="","",IF($D56="V01",Cadrage!$C$34,IF($D56="V02",Cadrage!$D$34,Cadrage!$E$34)))</f>
        <v/>
      </c>
      <c r="M56">
        <f>IF($A56="","",IF($D56="V01",Cadrage!$C$35,IF($D56="V02",Cadrage!$D$35,Cadrage!$E$35)))</f>
        <v/>
      </c>
      <c r="N56">
        <f>IF($A56="","",IF($D56="V01",$R$2,IF($D56="V02",$R$3,$R$4)))</f>
        <v/>
      </c>
      <c r="O56">
        <f>IF($A56="","",IF(OR($B56="7062",$B56="706",$B56="708"),$N56,IF($B56="6231",1+$G56,IF($B56="6236",1+$H56,IF(OR($B56="621",$B56="604",$B56="6063"),$N56*(1-$L56),IF(OR($B56="6411",$B56="6413",$B56="6414",$B56="645"),(1+$J56)*(1+$K56),IF(OR($B56="613",$B56="615",$B56="616",$B56="6226",$B56="625",$B56="626",$B56="6281"),(1+$I56)*(1-$L56)*(1+$M56),IF(OR($B56="6331",$B56="63511",$B56="6333"),(1+$I56)*(1-$L56),IF($B56="6811",1+$I56,1)))))))))</f>
        <v/>
      </c>
      <c r="P56">
        <f>IF($A56="","",IF($E56=1,$F56*$O56,PNL!G56))</f>
        <v/>
      </c>
      <c r="T56">
        <f>IF($A56="","",IF($E56=1,IF(OR($B56="7062",$B56="706",$B56="708"),$P56,IF(AND(LEFT($B56,1)="6",$B56&lt;&gt;"6811"),-$P56,0)),0))</f>
        <v/>
      </c>
    </row>
    <row r="57">
      <c r="A57">
        <f>IF(PNL!A57="","",PNL!A57)</f>
        <v/>
      </c>
      <c r="B57">
        <f>IF(PNL!B57="","",PNL!B57)</f>
        <v/>
      </c>
      <c r="C57">
        <f>IF(PNL!C57="","",PNL!C57)</f>
        <v/>
      </c>
      <c r="D57">
        <f>IF(PNL!D57="","",PNL!D57)</f>
        <v/>
      </c>
      <c r="E57">
        <f>IF($A57="","",IF(AND($C57="2027",OR($D57="V01",$D57="V02",$D57="V03")),1,0))</f>
        <v/>
      </c>
      <c r="F57">
        <f>IF($A57="","",IF($E57=1,SUMIFS(Comptabilité!$F$1:$F$675,Comptabilité!$A$1:$A$675,$A57,Comptabilité!$B$1:$B$675,$B57,Comptabilité!$C$1:$C$675,"2026"),0))</f>
        <v/>
      </c>
      <c r="G57">
        <f>IF($A57="","",IF($D57="V01",Cadrage!$C$22,IF($D57="V02",Cadrage!$D$22,Cadrage!$E$22)))</f>
        <v/>
      </c>
      <c r="H57">
        <f>IF($A57="","",IF($D57="V01",Cadrage!$C$23,IF($D57="V02",Cadrage!$D$23,Cadrage!$E$23)))</f>
        <v/>
      </c>
      <c r="I57">
        <f>IF($A57="","",IF($D57="V01",Cadrage!$C$31,IF($D57="V02",Cadrage!$D$31,Cadrage!$E$31)))</f>
        <v/>
      </c>
      <c r="J57">
        <f>IF($A57="","",IF($D57="V01",Cadrage!$C$32,IF($D57="V02",Cadrage!$D$32,Cadrage!$E$32)))</f>
        <v/>
      </c>
      <c r="K57">
        <f>IF($A57="","",IF($D57="V01",Cadrage!$C$33,IF($D57="V02",Cadrage!$D$33,Cadrage!$E$33)))</f>
        <v/>
      </c>
      <c r="L57">
        <f>IF($A57="","",IF($D57="V01",Cadrage!$C$34,IF($D57="V02",Cadrage!$D$34,Cadrage!$E$34)))</f>
        <v/>
      </c>
      <c r="M57">
        <f>IF($A57="","",IF($D57="V01",Cadrage!$C$35,IF($D57="V02",Cadrage!$D$35,Cadrage!$E$35)))</f>
        <v/>
      </c>
      <c r="N57">
        <f>IF($A57="","",IF($D57="V01",$R$2,IF($D57="V02",$R$3,$R$4)))</f>
        <v/>
      </c>
      <c r="O57">
        <f>IF($A57="","",IF(OR($B57="7062",$B57="706",$B57="708"),$N57,IF($B57="6231",1+$G57,IF($B57="6236",1+$H57,IF(OR($B57="621",$B57="604",$B57="6063"),$N57*(1-$L57),IF(OR($B57="6411",$B57="6413",$B57="6414",$B57="645"),(1+$J57)*(1+$K57),IF(OR($B57="613",$B57="615",$B57="616",$B57="6226",$B57="625",$B57="626",$B57="6281"),(1+$I57)*(1-$L57)*(1+$M57),IF(OR($B57="6331",$B57="63511",$B57="6333"),(1+$I57)*(1-$L57),IF($B57="6811",1+$I57,1)))))))))</f>
        <v/>
      </c>
      <c r="P57">
        <f>IF($A57="","",IF($E57=1,$F57*$O57,PNL!G57))</f>
        <v/>
      </c>
      <c r="T57">
        <f>IF($A57="","",IF($E57=1,IF(OR($B57="7062",$B57="706",$B57="708"),$P57,IF(AND(LEFT($B57,1)="6",$B57&lt;&gt;"6811"),-$P57,0)),0))</f>
        <v/>
      </c>
    </row>
    <row r="58">
      <c r="A58">
        <f>IF(PNL!A58="","",PNL!A58)</f>
        <v/>
      </c>
      <c r="B58">
        <f>IF(PNL!B58="","",PNL!B58)</f>
        <v/>
      </c>
      <c r="C58">
        <f>IF(PNL!C58="","",PNL!C58)</f>
        <v/>
      </c>
      <c r="D58">
        <f>IF(PNL!D58="","",PNL!D58)</f>
        <v/>
      </c>
      <c r="E58">
        <f>IF($A58="","",IF(AND($C58="2027",OR($D58="V01",$D58="V02",$D58="V03")),1,0))</f>
        <v/>
      </c>
      <c r="F58">
        <f>IF($A58="","",IF($E58=1,SUMIFS(Comptabilité!$F$1:$F$675,Comptabilité!$A$1:$A$675,$A58,Comptabilité!$B$1:$B$675,$B58,Comptabilité!$C$1:$C$675,"2026"),0))</f>
        <v/>
      </c>
      <c r="G58">
        <f>IF($A58="","",IF($D58="V01",Cadrage!$C$22,IF($D58="V02",Cadrage!$D$22,Cadrage!$E$22)))</f>
        <v/>
      </c>
      <c r="H58">
        <f>IF($A58="","",IF($D58="V01",Cadrage!$C$23,IF($D58="V02",Cadrage!$D$23,Cadrage!$E$23)))</f>
        <v/>
      </c>
      <c r="I58">
        <f>IF($A58="","",IF($D58="V01",Cadrage!$C$31,IF($D58="V02",Cadrage!$D$31,Cadrage!$E$31)))</f>
        <v/>
      </c>
      <c r="J58">
        <f>IF($A58="","",IF($D58="V01",Cadrage!$C$32,IF($D58="V02",Cadrage!$D$32,Cadrage!$E$32)))</f>
        <v/>
      </c>
      <c r="K58">
        <f>IF($A58="","",IF($D58="V01",Cadrage!$C$33,IF($D58="V02",Cadrage!$D$33,Cadrage!$E$33)))</f>
        <v/>
      </c>
      <c r="L58">
        <f>IF($A58="","",IF($D58="V01",Cadrage!$C$34,IF($D58="V02",Cadrage!$D$34,Cadrage!$E$34)))</f>
        <v/>
      </c>
      <c r="M58">
        <f>IF($A58="","",IF($D58="V01",Cadrage!$C$35,IF($D58="V02",Cadrage!$D$35,Cadrage!$E$35)))</f>
        <v/>
      </c>
      <c r="N58">
        <f>IF($A58="","",IF($D58="V01",$R$2,IF($D58="V02",$R$3,$R$4)))</f>
        <v/>
      </c>
      <c r="O58">
        <f>IF($A58="","",IF(OR($B58="7062",$B58="706",$B58="708"),$N58,IF($B58="6231",1+$G58,IF($B58="6236",1+$H58,IF(OR($B58="621",$B58="604",$B58="6063"),$N58*(1-$L58),IF(OR($B58="6411",$B58="6413",$B58="6414",$B58="645"),(1+$J58)*(1+$K58),IF(OR($B58="613",$B58="615",$B58="616",$B58="6226",$B58="625",$B58="626",$B58="6281"),(1+$I58)*(1-$L58)*(1+$M58),IF(OR($B58="6331",$B58="63511",$B58="6333"),(1+$I58)*(1-$L58),IF($B58="6811",1+$I58,1)))))))))</f>
        <v/>
      </c>
      <c r="P58">
        <f>IF($A58="","",IF($E58=1,$F58*$O58,PNL!G58))</f>
        <v/>
      </c>
      <c r="T58">
        <f>IF($A58="","",IF($E58=1,IF(OR($B58="7062",$B58="706",$B58="708"),$P58,IF(AND(LEFT($B58,1)="6",$B58&lt;&gt;"6811"),-$P58,0)),0))</f>
        <v/>
      </c>
    </row>
    <row r="59">
      <c r="A59">
        <f>IF(PNL!A59="","",PNL!A59)</f>
        <v/>
      </c>
      <c r="B59">
        <f>IF(PNL!B59="","",PNL!B59)</f>
        <v/>
      </c>
      <c r="C59">
        <f>IF(PNL!C59="","",PNL!C59)</f>
        <v/>
      </c>
      <c r="D59">
        <f>IF(PNL!D59="","",PNL!D59)</f>
        <v/>
      </c>
      <c r="E59">
        <f>IF($A59="","",IF(AND($C59="2027",OR($D59="V01",$D59="V02",$D59="V03")),1,0))</f>
        <v/>
      </c>
      <c r="F59">
        <f>IF($A59="","",IF($E59=1,SUMIFS(Comptabilité!$F$1:$F$675,Comptabilité!$A$1:$A$675,$A59,Comptabilité!$B$1:$B$675,$B59,Comptabilité!$C$1:$C$675,"2026"),0))</f>
        <v/>
      </c>
      <c r="G59">
        <f>IF($A59="","",IF($D59="V01",Cadrage!$C$22,IF($D59="V02",Cadrage!$D$22,Cadrage!$E$22)))</f>
        <v/>
      </c>
      <c r="H59">
        <f>IF($A59="","",IF($D59="V01",Cadrage!$C$23,IF($D59="V02",Cadrage!$D$23,Cadrage!$E$23)))</f>
        <v/>
      </c>
      <c r="I59">
        <f>IF($A59="","",IF($D59="V01",Cadrage!$C$31,IF($D59="V02",Cadrage!$D$31,Cadrage!$E$31)))</f>
        <v/>
      </c>
      <c r="J59">
        <f>IF($A59="","",IF($D59="V01",Cadrage!$C$32,IF($D59="V02",Cadrage!$D$32,Cadrage!$E$32)))</f>
        <v/>
      </c>
      <c r="K59">
        <f>IF($A59="","",IF($D59="V01",Cadrage!$C$33,IF($D59="V02",Cadrage!$D$33,Cadrage!$E$33)))</f>
        <v/>
      </c>
      <c r="L59">
        <f>IF($A59="","",IF($D59="V01",Cadrage!$C$34,IF($D59="V02",Cadrage!$D$34,Cadrage!$E$34)))</f>
        <v/>
      </c>
      <c r="M59">
        <f>IF($A59="","",IF($D59="V01",Cadrage!$C$35,IF($D59="V02",Cadrage!$D$35,Cadrage!$E$35)))</f>
        <v/>
      </c>
      <c r="N59">
        <f>IF($A59="","",IF($D59="V01",$R$2,IF($D59="V02",$R$3,$R$4)))</f>
        <v/>
      </c>
      <c r="O59">
        <f>IF($A59="","",IF(OR($B59="7062",$B59="706",$B59="708"),$N59,IF($B59="6231",1+$G59,IF($B59="6236",1+$H59,IF(OR($B59="621",$B59="604",$B59="6063"),$N59*(1-$L59),IF(OR($B59="6411",$B59="6413",$B59="6414",$B59="645"),(1+$J59)*(1+$K59),IF(OR($B59="613",$B59="615",$B59="616",$B59="6226",$B59="625",$B59="626",$B59="6281"),(1+$I59)*(1-$L59)*(1+$M59),IF(OR($B59="6331",$B59="63511",$B59="6333"),(1+$I59)*(1-$L59),IF($B59="6811",1+$I59,1)))))))))</f>
        <v/>
      </c>
      <c r="P59">
        <f>IF($A59="","",IF($E59=1,$F59*$O59,PNL!G59))</f>
        <v/>
      </c>
      <c r="T59">
        <f>IF($A59="","",IF($E59=1,IF(OR($B59="7062",$B59="706",$B59="708"),$P59,IF(AND(LEFT($B59,1)="6",$B59&lt;&gt;"6811"),-$P59,0)),0))</f>
        <v/>
      </c>
    </row>
    <row r="60">
      <c r="A60">
        <f>IF(PNL!A60="","",PNL!A60)</f>
        <v/>
      </c>
      <c r="B60">
        <f>IF(PNL!B60="","",PNL!B60)</f>
        <v/>
      </c>
      <c r="C60">
        <f>IF(PNL!C60="","",PNL!C60)</f>
        <v/>
      </c>
      <c r="D60">
        <f>IF(PNL!D60="","",PNL!D60)</f>
        <v/>
      </c>
      <c r="E60">
        <f>IF($A60="","",IF(AND($C60="2027",OR($D60="V01",$D60="V02",$D60="V03")),1,0))</f>
        <v/>
      </c>
      <c r="F60">
        <f>IF($A60="","",IF($E60=1,SUMIFS(Comptabilité!$F$1:$F$675,Comptabilité!$A$1:$A$675,$A60,Comptabilité!$B$1:$B$675,$B60,Comptabilité!$C$1:$C$675,"2026"),0))</f>
        <v/>
      </c>
      <c r="G60">
        <f>IF($A60="","",IF($D60="V01",Cadrage!$C$22,IF($D60="V02",Cadrage!$D$22,Cadrage!$E$22)))</f>
        <v/>
      </c>
      <c r="H60">
        <f>IF($A60="","",IF($D60="V01",Cadrage!$C$23,IF($D60="V02",Cadrage!$D$23,Cadrage!$E$23)))</f>
        <v/>
      </c>
      <c r="I60">
        <f>IF($A60="","",IF($D60="V01",Cadrage!$C$31,IF($D60="V02",Cadrage!$D$31,Cadrage!$E$31)))</f>
        <v/>
      </c>
      <c r="J60">
        <f>IF($A60="","",IF($D60="V01",Cadrage!$C$32,IF($D60="V02",Cadrage!$D$32,Cadrage!$E$32)))</f>
        <v/>
      </c>
      <c r="K60">
        <f>IF($A60="","",IF($D60="V01",Cadrage!$C$33,IF($D60="V02",Cadrage!$D$33,Cadrage!$E$33)))</f>
        <v/>
      </c>
      <c r="L60">
        <f>IF($A60="","",IF($D60="V01",Cadrage!$C$34,IF($D60="V02",Cadrage!$D$34,Cadrage!$E$34)))</f>
        <v/>
      </c>
      <c r="M60">
        <f>IF($A60="","",IF($D60="V01",Cadrage!$C$35,IF($D60="V02",Cadrage!$D$35,Cadrage!$E$35)))</f>
        <v/>
      </c>
      <c r="N60">
        <f>IF($A60="","",IF($D60="V01",$R$2,IF($D60="V02",$R$3,$R$4)))</f>
        <v/>
      </c>
      <c r="O60">
        <f>IF($A60="","",IF(OR($B60="7062",$B60="706",$B60="708"),$N60,IF($B60="6231",1+$G60,IF($B60="6236",1+$H60,IF(OR($B60="621",$B60="604",$B60="6063"),$N60*(1-$L60),IF(OR($B60="6411",$B60="6413",$B60="6414",$B60="645"),(1+$J60)*(1+$K60),IF(OR($B60="613",$B60="615",$B60="616",$B60="6226",$B60="625",$B60="626",$B60="6281"),(1+$I60)*(1-$L60)*(1+$M60),IF(OR($B60="6331",$B60="63511",$B60="6333"),(1+$I60)*(1-$L60),IF($B60="6811",1+$I60,1)))))))))</f>
        <v/>
      </c>
      <c r="P60">
        <f>IF($A60="","",IF($E60=1,$F60*$O60,PNL!G60))</f>
        <v/>
      </c>
      <c r="T60">
        <f>IF($A60="","",IF($E60=1,IF(OR($B60="7062",$B60="706",$B60="708"),$P60,IF(AND(LEFT($B60,1)="6",$B60&lt;&gt;"6811"),-$P60,0)),0))</f>
        <v/>
      </c>
    </row>
    <row r="61">
      <c r="A61">
        <f>IF(PNL!A61="","",PNL!A61)</f>
        <v/>
      </c>
      <c r="B61">
        <f>IF(PNL!B61="","",PNL!B61)</f>
        <v/>
      </c>
      <c r="C61">
        <f>IF(PNL!C61="","",PNL!C61)</f>
        <v/>
      </c>
      <c r="D61">
        <f>IF(PNL!D61="","",PNL!D61)</f>
        <v/>
      </c>
      <c r="E61">
        <f>IF($A61="","",IF(AND($C61="2027",OR($D61="V01",$D61="V02",$D61="V03")),1,0))</f>
        <v/>
      </c>
      <c r="F61">
        <f>IF($A61="","",IF($E61=1,SUMIFS(Comptabilité!$F$1:$F$675,Comptabilité!$A$1:$A$675,$A61,Comptabilité!$B$1:$B$675,$B61,Comptabilité!$C$1:$C$675,"2026"),0))</f>
        <v/>
      </c>
      <c r="G61">
        <f>IF($A61="","",IF($D61="V01",Cadrage!$C$22,IF($D61="V02",Cadrage!$D$22,Cadrage!$E$22)))</f>
        <v/>
      </c>
      <c r="H61">
        <f>IF($A61="","",IF($D61="V01",Cadrage!$C$23,IF($D61="V02",Cadrage!$D$23,Cadrage!$E$23)))</f>
        <v/>
      </c>
      <c r="I61">
        <f>IF($A61="","",IF($D61="V01",Cadrage!$C$31,IF($D61="V02",Cadrage!$D$31,Cadrage!$E$31)))</f>
        <v/>
      </c>
      <c r="J61">
        <f>IF($A61="","",IF($D61="V01",Cadrage!$C$32,IF($D61="V02",Cadrage!$D$32,Cadrage!$E$32)))</f>
        <v/>
      </c>
      <c r="K61">
        <f>IF($A61="","",IF($D61="V01",Cadrage!$C$33,IF($D61="V02",Cadrage!$D$33,Cadrage!$E$33)))</f>
        <v/>
      </c>
      <c r="L61">
        <f>IF($A61="","",IF($D61="V01",Cadrage!$C$34,IF($D61="V02",Cadrage!$D$34,Cadrage!$E$34)))</f>
        <v/>
      </c>
      <c r="M61">
        <f>IF($A61="","",IF($D61="V01",Cadrage!$C$35,IF($D61="V02",Cadrage!$D$35,Cadrage!$E$35)))</f>
        <v/>
      </c>
      <c r="N61">
        <f>IF($A61="","",IF($D61="V01",$R$2,IF($D61="V02",$R$3,$R$4)))</f>
        <v/>
      </c>
      <c r="O61">
        <f>IF($A61="","",IF(OR($B61="7062",$B61="706",$B61="708"),$N61,IF($B61="6231",1+$G61,IF($B61="6236",1+$H61,IF(OR($B61="621",$B61="604",$B61="6063"),$N61*(1-$L61),IF(OR($B61="6411",$B61="6413",$B61="6414",$B61="645"),(1+$J61)*(1+$K61),IF(OR($B61="613",$B61="615",$B61="616",$B61="6226",$B61="625",$B61="626",$B61="6281"),(1+$I61)*(1-$L61)*(1+$M61),IF(OR($B61="6331",$B61="63511",$B61="6333"),(1+$I61)*(1-$L61),IF($B61="6811",1+$I61,1)))))))))</f>
        <v/>
      </c>
      <c r="P61">
        <f>IF($A61="","",IF($E61=1,$F61*$O61,PNL!G61))</f>
        <v/>
      </c>
      <c r="T61">
        <f>IF($A61="","",IF($E61=1,IF(OR($B61="7062",$B61="706",$B61="708"),$P61,IF(AND(LEFT($B61,1)="6",$B61&lt;&gt;"6811"),-$P61,0)),0))</f>
        <v/>
      </c>
    </row>
    <row r="62">
      <c r="A62">
        <f>IF(PNL!A62="","",PNL!A62)</f>
        <v/>
      </c>
      <c r="B62">
        <f>IF(PNL!B62="","",PNL!B62)</f>
        <v/>
      </c>
      <c r="C62">
        <f>IF(PNL!C62="","",PNL!C62)</f>
        <v/>
      </c>
      <c r="D62">
        <f>IF(PNL!D62="","",PNL!D62)</f>
        <v/>
      </c>
      <c r="E62">
        <f>IF($A62="","",IF(AND($C62="2027",OR($D62="V01",$D62="V02",$D62="V03")),1,0))</f>
        <v/>
      </c>
      <c r="F62">
        <f>IF($A62="","",IF($E62=1,SUMIFS(Comptabilité!$F$1:$F$675,Comptabilité!$A$1:$A$675,$A62,Comptabilité!$B$1:$B$675,$B62,Comptabilité!$C$1:$C$675,"2026"),0))</f>
        <v/>
      </c>
      <c r="G62">
        <f>IF($A62="","",IF($D62="V01",Cadrage!$C$22,IF($D62="V02",Cadrage!$D$22,Cadrage!$E$22)))</f>
        <v/>
      </c>
      <c r="H62">
        <f>IF($A62="","",IF($D62="V01",Cadrage!$C$23,IF($D62="V02",Cadrage!$D$23,Cadrage!$E$23)))</f>
        <v/>
      </c>
      <c r="I62">
        <f>IF($A62="","",IF($D62="V01",Cadrage!$C$31,IF($D62="V02",Cadrage!$D$31,Cadrage!$E$31)))</f>
        <v/>
      </c>
      <c r="J62">
        <f>IF($A62="","",IF($D62="V01",Cadrage!$C$32,IF($D62="V02",Cadrage!$D$32,Cadrage!$E$32)))</f>
        <v/>
      </c>
      <c r="K62">
        <f>IF($A62="","",IF($D62="V01",Cadrage!$C$33,IF($D62="V02",Cadrage!$D$33,Cadrage!$E$33)))</f>
        <v/>
      </c>
      <c r="L62">
        <f>IF($A62="","",IF($D62="V01",Cadrage!$C$34,IF($D62="V02",Cadrage!$D$34,Cadrage!$E$34)))</f>
        <v/>
      </c>
      <c r="M62">
        <f>IF($A62="","",IF($D62="V01",Cadrage!$C$35,IF($D62="V02",Cadrage!$D$35,Cadrage!$E$35)))</f>
        <v/>
      </c>
      <c r="N62">
        <f>IF($A62="","",IF($D62="V01",$R$2,IF($D62="V02",$R$3,$R$4)))</f>
        <v/>
      </c>
      <c r="O62">
        <f>IF($A62="","",IF(OR($B62="7062",$B62="706",$B62="708"),$N62,IF($B62="6231",1+$G62,IF($B62="6236",1+$H62,IF(OR($B62="621",$B62="604",$B62="6063"),$N62*(1-$L62),IF(OR($B62="6411",$B62="6413",$B62="6414",$B62="645"),(1+$J62)*(1+$K62),IF(OR($B62="613",$B62="615",$B62="616",$B62="6226",$B62="625",$B62="626",$B62="6281"),(1+$I62)*(1-$L62)*(1+$M62),IF(OR($B62="6331",$B62="63511",$B62="6333"),(1+$I62)*(1-$L62),IF($B62="6811",1+$I62,1)))))))))</f>
        <v/>
      </c>
      <c r="P62">
        <f>IF($A62="","",IF($E62=1,$F62*$O62,PNL!G62))</f>
        <v/>
      </c>
      <c r="T62">
        <f>IF($A62="","",IF($E62=1,IF(OR($B62="7062",$B62="706",$B62="708"),$P62,IF(AND(LEFT($B62,1)="6",$B62&lt;&gt;"6811"),-$P62,0)),0))</f>
        <v/>
      </c>
    </row>
    <row r="63">
      <c r="A63">
        <f>IF(PNL!A63="","",PNL!A63)</f>
        <v/>
      </c>
      <c r="B63">
        <f>IF(PNL!B63="","",PNL!B63)</f>
        <v/>
      </c>
      <c r="C63">
        <f>IF(PNL!C63="","",PNL!C63)</f>
        <v/>
      </c>
      <c r="D63">
        <f>IF(PNL!D63="","",PNL!D63)</f>
        <v/>
      </c>
      <c r="E63">
        <f>IF($A63="","",IF(AND($C63="2027",OR($D63="V01",$D63="V02",$D63="V03")),1,0))</f>
        <v/>
      </c>
      <c r="F63">
        <f>IF($A63="","",IF($E63=1,SUMIFS(Comptabilité!$F$1:$F$675,Comptabilité!$A$1:$A$675,$A63,Comptabilité!$B$1:$B$675,$B63,Comptabilité!$C$1:$C$675,"2026"),0))</f>
        <v/>
      </c>
      <c r="G63">
        <f>IF($A63="","",IF($D63="V01",Cadrage!$C$22,IF($D63="V02",Cadrage!$D$22,Cadrage!$E$22)))</f>
        <v/>
      </c>
      <c r="H63">
        <f>IF($A63="","",IF($D63="V01",Cadrage!$C$23,IF($D63="V02",Cadrage!$D$23,Cadrage!$E$23)))</f>
        <v/>
      </c>
      <c r="I63">
        <f>IF($A63="","",IF($D63="V01",Cadrage!$C$31,IF($D63="V02",Cadrage!$D$31,Cadrage!$E$31)))</f>
        <v/>
      </c>
      <c r="J63">
        <f>IF($A63="","",IF($D63="V01",Cadrage!$C$32,IF($D63="V02",Cadrage!$D$32,Cadrage!$E$32)))</f>
        <v/>
      </c>
      <c r="K63">
        <f>IF($A63="","",IF($D63="V01",Cadrage!$C$33,IF($D63="V02",Cadrage!$D$33,Cadrage!$E$33)))</f>
        <v/>
      </c>
      <c r="L63">
        <f>IF($A63="","",IF($D63="V01",Cadrage!$C$34,IF($D63="V02",Cadrage!$D$34,Cadrage!$E$34)))</f>
        <v/>
      </c>
      <c r="M63">
        <f>IF($A63="","",IF($D63="V01",Cadrage!$C$35,IF($D63="V02",Cadrage!$D$35,Cadrage!$E$35)))</f>
        <v/>
      </c>
      <c r="N63">
        <f>IF($A63="","",IF($D63="V01",$R$2,IF($D63="V02",$R$3,$R$4)))</f>
        <v/>
      </c>
      <c r="O63">
        <f>IF($A63="","",IF(OR($B63="7062",$B63="706",$B63="708"),$N63,IF($B63="6231",1+$G63,IF($B63="6236",1+$H63,IF(OR($B63="621",$B63="604",$B63="6063"),$N63*(1-$L63),IF(OR($B63="6411",$B63="6413",$B63="6414",$B63="645"),(1+$J63)*(1+$K63),IF(OR($B63="613",$B63="615",$B63="616",$B63="6226",$B63="625",$B63="626",$B63="6281"),(1+$I63)*(1-$L63)*(1+$M63),IF(OR($B63="6331",$B63="63511",$B63="6333"),(1+$I63)*(1-$L63),IF($B63="6811",1+$I63,1)))))))))</f>
        <v/>
      </c>
      <c r="P63">
        <f>IF($A63="","",IF($E63=1,$F63*$O63,PNL!G63))</f>
        <v/>
      </c>
      <c r="T63">
        <f>IF($A63="","",IF($E63=1,IF(OR($B63="7062",$B63="706",$B63="708"),$P63,IF(AND(LEFT($B63,1)="6",$B63&lt;&gt;"6811"),-$P63,0)),0))</f>
        <v/>
      </c>
    </row>
    <row r="64">
      <c r="A64">
        <f>IF(PNL!A64="","",PNL!A64)</f>
        <v/>
      </c>
      <c r="B64">
        <f>IF(PNL!B64="","",PNL!B64)</f>
        <v/>
      </c>
      <c r="C64">
        <f>IF(PNL!C64="","",PNL!C64)</f>
        <v/>
      </c>
      <c r="D64">
        <f>IF(PNL!D64="","",PNL!D64)</f>
        <v/>
      </c>
      <c r="E64">
        <f>IF($A64="","",IF(AND($C64="2027",OR($D64="V01",$D64="V02",$D64="V03")),1,0))</f>
        <v/>
      </c>
      <c r="F64">
        <f>IF($A64="","",IF($E64=1,SUMIFS(Comptabilité!$F$1:$F$675,Comptabilité!$A$1:$A$675,$A64,Comptabilité!$B$1:$B$675,$B64,Comptabilité!$C$1:$C$675,"2026"),0))</f>
        <v/>
      </c>
      <c r="G64">
        <f>IF($A64="","",IF($D64="V01",Cadrage!$C$22,IF($D64="V02",Cadrage!$D$22,Cadrage!$E$22)))</f>
        <v/>
      </c>
      <c r="H64">
        <f>IF($A64="","",IF($D64="V01",Cadrage!$C$23,IF($D64="V02",Cadrage!$D$23,Cadrage!$E$23)))</f>
        <v/>
      </c>
      <c r="I64">
        <f>IF($A64="","",IF($D64="V01",Cadrage!$C$31,IF($D64="V02",Cadrage!$D$31,Cadrage!$E$31)))</f>
        <v/>
      </c>
      <c r="J64">
        <f>IF($A64="","",IF($D64="V01",Cadrage!$C$32,IF($D64="V02",Cadrage!$D$32,Cadrage!$E$32)))</f>
        <v/>
      </c>
      <c r="K64">
        <f>IF($A64="","",IF($D64="V01",Cadrage!$C$33,IF($D64="V02",Cadrage!$D$33,Cadrage!$E$33)))</f>
        <v/>
      </c>
      <c r="L64">
        <f>IF($A64="","",IF($D64="V01",Cadrage!$C$34,IF($D64="V02",Cadrage!$D$34,Cadrage!$E$34)))</f>
        <v/>
      </c>
      <c r="M64">
        <f>IF($A64="","",IF($D64="V01",Cadrage!$C$35,IF($D64="V02",Cadrage!$D$35,Cadrage!$E$35)))</f>
        <v/>
      </c>
      <c r="N64">
        <f>IF($A64="","",IF($D64="V01",$R$2,IF($D64="V02",$R$3,$R$4)))</f>
        <v/>
      </c>
      <c r="O64">
        <f>IF($A64="","",IF(OR($B64="7062",$B64="706",$B64="708"),$N64,IF($B64="6231",1+$G64,IF($B64="6236",1+$H64,IF(OR($B64="621",$B64="604",$B64="6063"),$N64*(1-$L64),IF(OR($B64="6411",$B64="6413",$B64="6414",$B64="645"),(1+$J64)*(1+$K64),IF(OR($B64="613",$B64="615",$B64="616",$B64="6226",$B64="625",$B64="626",$B64="6281"),(1+$I64)*(1-$L64)*(1+$M64),IF(OR($B64="6331",$B64="63511",$B64="6333"),(1+$I64)*(1-$L64),IF($B64="6811",1+$I64,1)))))))))</f>
        <v/>
      </c>
      <c r="P64">
        <f>IF($A64="","",IF($E64=1,$F64*$O64,PNL!G64))</f>
        <v/>
      </c>
      <c r="T64">
        <f>IF($A64="","",IF($E64=1,IF(OR($B64="7062",$B64="706",$B64="708"),$P64,IF(AND(LEFT($B64,1)="6",$B64&lt;&gt;"6811"),-$P64,0)),0))</f>
        <v/>
      </c>
    </row>
    <row r="65">
      <c r="A65">
        <f>IF(PNL!A65="","",PNL!A65)</f>
        <v/>
      </c>
      <c r="B65">
        <f>IF(PNL!B65="","",PNL!B65)</f>
        <v/>
      </c>
      <c r="C65">
        <f>IF(PNL!C65="","",PNL!C65)</f>
        <v/>
      </c>
      <c r="D65">
        <f>IF(PNL!D65="","",PNL!D65)</f>
        <v/>
      </c>
      <c r="E65">
        <f>IF($A65="","",IF(AND($C65="2027",OR($D65="V01",$D65="V02",$D65="V03")),1,0))</f>
        <v/>
      </c>
      <c r="F65">
        <f>IF($A65="","",IF($E65=1,SUMIFS(Comptabilité!$F$1:$F$675,Comptabilité!$A$1:$A$675,$A65,Comptabilité!$B$1:$B$675,$B65,Comptabilité!$C$1:$C$675,"2026"),0))</f>
        <v/>
      </c>
      <c r="G65">
        <f>IF($A65="","",IF($D65="V01",Cadrage!$C$22,IF($D65="V02",Cadrage!$D$22,Cadrage!$E$22)))</f>
        <v/>
      </c>
      <c r="H65">
        <f>IF($A65="","",IF($D65="V01",Cadrage!$C$23,IF($D65="V02",Cadrage!$D$23,Cadrage!$E$23)))</f>
        <v/>
      </c>
      <c r="I65">
        <f>IF($A65="","",IF($D65="V01",Cadrage!$C$31,IF($D65="V02",Cadrage!$D$31,Cadrage!$E$31)))</f>
        <v/>
      </c>
      <c r="J65">
        <f>IF($A65="","",IF($D65="V01",Cadrage!$C$32,IF($D65="V02",Cadrage!$D$32,Cadrage!$E$32)))</f>
        <v/>
      </c>
      <c r="K65">
        <f>IF($A65="","",IF($D65="V01",Cadrage!$C$33,IF($D65="V02",Cadrage!$D$33,Cadrage!$E$33)))</f>
        <v/>
      </c>
      <c r="L65">
        <f>IF($A65="","",IF($D65="V01",Cadrage!$C$34,IF($D65="V02",Cadrage!$D$34,Cadrage!$E$34)))</f>
        <v/>
      </c>
      <c r="M65">
        <f>IF($A65="","",IF($D65="V01",Cadrage!$C$35,IF($D65="V02",Cadrage!$D$35,Cadrage!$E$35)))</f>
        <v/>
      </c>
      <c r="N65">
        <f>IF($A65="","",IF($D65="V01",$R$2,IF($D65="V02",$R$3,$R$4)))</f>
        <v/>
      </c>
      <c r="O65">
        <f>IF($A65="","",IF(OR($B65="7062",$B65="706",$B65="708"),$N65,IF($B65="6231",1+$G65,IF($B65="6236",1+$H65,IF(OR($B65="621",$B65="604",$B65="6063"),$N65*(1-$L65),IF(OR($B65="6411",$B65="6413",$B65="6414",$B65="645"),(1+$J65)*(1+$K65),IF(OR($B65="613",$B65="615",$B65="616",$B65="6226",$B65="625",$B65="626",$B65="6281"),(1+$I65)*(1-$L65)*(1+$M65),IF(OR($B65="6331",$B65="63511",$B65="6333"),(1+$I65)*(1-$L65),IF($B65="6811",1+$I65,1)))))))))</f>
        <v/>
      </c>
      <c r="P65">
        <f>IF($A65="","",IF($E65=1,$F65*$O65,PNL!G65))</f>
        <v/>
      </c>
      <c r="T65">
        <f>IF($A65="","",IF($E65=1,IF(OR($B65="7062",$B65="706",$B65="708"),$P65,IF(AND(LEFT($B65,1)="6",$B65&lt;&gt;"6811"),-$P65,0)),0))</f>
        <v/>
      </c>
    </row>
    <row r="66">
      <c r="A66">
        <f>IF(PNL!A66="","",PNL!A66)</f>
        <v/>
      </c>
      <c r="B66">
        <f>IF(PNL!B66="","",PNL!B66)</f>
        <v/>
      </c>
      <c r="C66">
        <f>IF(PNL!C66="","",PNL!C66)</f>
        <v/>
      </c>
      <c r="D66">
        <f>IF(PNL!D66="","",PNL!D66)</f>
        <v/>
      </c>
      <c r="E66">
        <f>IF($A66="","",IF(AND($C66="2027",OR($D66="V01",$D66="V02",$D66="V03")),1,0))</f>
        <v/>
      </c>
      <c r="F66">
        <f>IF($A66="","",IF($E66=1,SUMIFS(Comptabilité!$F$1:$F$675,Comptabilité!$A$1:$A$675,$A66,Comptabilité!$B$1:$B$675,$B66,Comptabilité!$C$1:$C$675,"2026"),0))</f>
        <v/>
      </c>
      <c r="G66">
        <f>IF($A66="","",IF($D66="V01",Cadrage!$C$22,IF($D66="V02",Cadrage!$D$22,Cadrage!$E$22)))</f>
        <v/>
      </c>
      <c r="H66">
        <f>IF($A66="","",IF($D66="V01",Cadrage!$C$23,IF($D66="V02",Cadrage!$D$23,Cadrage!$E$23)))</f>
        <v/>
      </c>
      <c r="I66">
        <f>IF($A66="","",IF($D66="V01",Cadrage!$C$31,IF($D66="V02",Cadrage!$D$31,Cadrage!$E$31)))</f>
        <v/>
      </c>
      <c r="J66">
        <f>IF($A66="","",IF($D66="V01",Cadrage!$C$32,IF($D66="V02",Cadrage!$D$32,Cadrage!$E$32)))</f>
        <v/>
      </c>
      <c r="K66">
        <f>IF($A66="","",IF($D66="V01",Cadrage!$C$33,IF($D66="V02",Cadrage!$D$33,Cadrage!$E$33)))</f>
        <v/>
      </c>
      <c r="L66">
        <f>IF($A66="","",IF($D66="V01",Cadrage!$C$34,IF($D66="V02",Cadrage!$D$34,Cadrage!$E$34)))</f>
        <v/>
      </c>
      <c r="M66">
        <f>IF($A66="","",IF($D66="V01",Cadrage!$C$35,IF($D66="V02",Cadrage!$D$35,Cadrage!$E$35)))</f>
        <v/>
      </c>
      <c r="N66">
        <f>IF($A66="","",IF($D66="V01",$R$2,IF($D66="V02",$R$3,$R$4)))</f>
        <v/>
      </c>
      <c r="O66">
        <f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>
        <f>IF($A66="","",IF($E66=1,$F66*$O66,PNL!G66))</f>
        <v/>
      </c>
      <c r="T66">
        <f>IF($A66="","",IF($E66=1,IF(OR($B66="7062",$B66="706",$B66="708"),$P66,IF(AND(LEFT($B66,1)="6",$B66&lt;&gt;"6811"),-$P66,0)),0))</f>
        <v/>
      </c>
    </row>
    <row r="67">
      <c r="A67">
        <f>IF(PNL!A67="","",PNL!A67)</f>
        <v/>
      </c>
      <c r="B67">
        <f>IF(PNL!B67="","",PNL!B67)</f>
        <v/>
      </c>
      <c r="C67">
        <f>IF(PNL!C67="","",PNL!C67)</f>
        <v/>
      </c>
      <c r="D67">
        <f>IF(PNL!D67="","",PNL!D67)</f>
        <v/>
      </c>
      <c r="E67">
        <f>IF($A67="","",IF(AND($C67="2027",OR($D67="V01",$D67="V02",$D67="V03")),1,0))</f>
        <v/>
      </c>
      <c r="F67">
        <f>IF($A67="","",IF($E67=1,SUMIFS(Comptabilité!$F$1:$F$675,Comptabilité!$A$1:$A$675,$A67,Comptabilité!$B$1:$B$675,$B67,Comptabilité!$C$1:$C$675,"2026"),0))</f>
        <v/>
      </c>
      <c r="G67">
        <f>IF($A67="","",IF($D67="V01",Cadrage!$C$22,IF($D67="V02",Cadrage!$D$22,Cadrage!$E$22)))</f>
        <v/>
      </c>
      <c r="H67">
        <f>IF($A67="","",IF($D67="V01",Cadrage!$C$23,IF($D67="V02",Cadrage!$D$23,Cadrage!$E$23)))</f>
        <v/>
      </c>
      <c r="I67">
        <f>IF($A67="","",IF($D67="V01",Cadrage!$C$31,IF($D67="V02",Cadrage!$D$31,Cadrage!$E$31)))</f>
        <v/>
      </c>
      <c r="J67">
        <f>IF($A67="","",IF($D67="V01",Cadrage!$C$32,IF($D67="V02",Cadrage!$D$32,Cadrage!$E$32)))</f>
        <v/>
      </c>
      <c r="K67">
        <f>IF($A67="","",IF($D67="V01",Cadrage!$C$33,IF($D67="V02",Cadrage!$D$33,Cadrage!$E$33)))</f>
        <v/>
      </c>
      <c r="L67">
        <f>IF($A67="","",IF($D67="V01",Cadrage!$C$34,IF($D67="V02",Cadrage!$D$34,Cadrage!$E$34)))</f>
        <v/>
      </c>
      <c r="M67">
        <f>IF($A67="","",IF($D67="V01",Cadrage!$C$35,IF($D67="V02",Cadrage!$D$35,Cadrage!$E$35)))</f>
        <v/>
      </c>
      <c r="N67">
        <f>IF($A67="","",IF($D67="V01",$R$2,IF($D67="V02",$R$3,$R$4)))</f>
        <v/>
      </c>
      <c r="O67">
        <f>IF($A67="","",IF(OR($B67="7062",$B67="706",$B67="708"),$N67,IF($B67="6231",1+$G67,IF($B67="6236",1+$H67,IF(OR($B67="621",$B67="604",$B67="6063"),$N67*(1-$L67),IF(OR($B67="6411",$B67="6413",$B67="6414",$B67="645"),(1+$J67)*(1+$K67),IF(OR($B67="613",$B67="615",$B67="616",$B67="6226",$B67="625",$B67="626",$B67="6281"),(1+$I67)*(1-$L67)*(1+$M67),IF(OR($B67="6331",$B67="63511",$B67="6333"),(1+$I67)*(1-$L67),IF($B67="6811",1+$I67,1)))))))))</f>
        <v/>
      </c>
      <c r="P67">
        <f>IF($A67="","",IF($E67=1,$F67*$O67,PNL!G67))</f>
        <v/>
      </c>
      <c r="T67">
        <f>IF($A67="","",IF($E67=1,IF(OR($B67="7062",$B67="706",$B67="708"),$P67,IF(AND(LEFT($B67,1)="6",$B67&lt;&gt;"6811"),-$P67,0)),0))</f>
        <v/>
      </c>
    </row>
    <row r="68">
      <c r="A68">
        <f>IF(PNL!A68="","",PNL!A68)</f>
        <v/>
      </c>
      <c r="B68">
        <f>IF(PNL!B68="","",PNL!B68)</f>
        <v/>
      </c>
      <c r="C68">
        <f>IF(PNL!C68="","",PNL!C68)</f>
        <v/>
      </c>
      <c r="D68">
        <f>IF(PNL!D68="","",PNL!D68)</f>
        <v/>
      </c>
      <c r="E68">
        <f>IF($A68="","",IF(AND($C68="2027",OR($D68="V01",$D68="V02",$D68="V03")),1,0))</f>
        <v/>
      </c>
      <c r="F68">
        <f>IF($A68="","",IF($E68=1,SUMIFS(Comptabilité!$F$1:$F$675,Comptabilité!$A$1:$A$675,$A68,Comptabilité!$B$1:$B$675,$B68,Comptabilité!$C$1:$C$675,"2026"),0))</f>
        <v/>
      </c>
      <c r="G68">
        <f>IF($A68="","",IF($D68="V01",Cadrage!$C$22,IF($D68="V02",Cadrage!$D$22,Cadrage!$E$22)))</f>
        <v/>
      </c>
      <c r="H68">
        <f>IF($A68="","",IF($D68="V01",Cadrage!$C$23,IF($D68="V02",Cadrage!$D$23,Cadrage!$E$23)))</f>
        <v/>
      </c>
      <c r="I68">
        <f>IF($A68="","",IF($D68="V01",Cadrage!$C$31,IF($D68="V02",Cadrage!$D$31,Cadrage!$E$31)))</f>
        <v/>
      </c>
      <c r="J68">
        <f>IF($A68="","",IF($D68="V01",Cadrage!$C$32,IF($D68="V02",Cadrage!$D$32,Cadrage!$E$32)))</f>
        <v/>
      </c>
      <c r="K68">
        <f>IF($A68="","",IF($D68="V01",Cadrage!$C$33,IF($D68="V02",Cadrage!$D$33,Cadrage!$E$33)))</f>
        <v/>
      </c>
      <c r="L68">
        <f>IF($A68="","",IF($D68="V01",Cadrage!$C$34,IF($D68="V02",Cadrage!$D$34,Cadrage!$E$34)))</f>
        <v/>
      </c>
      <c r="M68">
        <f>IF($A68="","",IF($D68="V01",Cadrage!$C$35,IF($D68="V02",Cadrage!$D$35,Cadrage!$E$35)))</f>
        <v/>
      </c>
      <c r="N68">
        <f>IF($A68="","",IF($D68="V01",$R$2,IF($D68="V02",$R$3,$R$4)))</f>
        <v/>
      </c>
      <c r="O68">
        <f>IF($A68="","",IF(OR($B68="7062",$B68="706",$B68="708"),$N68,IF($B68="6231",1+$G68,IF($B68="6236",1+$H68,IF(OR($B68="621",$B68="604",$B68="6063"),$N68*(1-$L68),IF(OR($B68="6411",$B68="6413",$B68="6414",$B68="645"),(1+$J68)*(1+$K68),IF(OR($B68="613",$B68="615",$B68="616",$B68="6226",$B68="625",$B68="626",$B68="6281"),(1+$I68)*(1-$L68)*(1+$M68),IF(OR($B68="6331",$B68="63511",$B68="6333"),(1+$I68)*(1-$L68),IF($B68="6811",1+$I68,1)))))))))</f>
        <v/>
      </c>
      <c r="P68">
        <f>IF($A68="","",IF($E68=1,$F68*$O68,PNL!G68))</f>
        <v/>
      </c>
      <c r="T68">
        <f>IF($A68="","",IF($E68=1,IF(OR($B68="7062",$B68="706",$B68="708"),$P68,IF(AND(LEFT($B68,1)="6",$B68&lt;&gt;"6811"),-$P68,0)),0))</f>
        <v/>
      </c>
    </row>
    <row r="69">
      <c r="A69">
        <f>IF(PNL!A69="","",PNL!A69)</f>
        <v/>
      </c>
      <c r="B69">
        <f>IF(PNL!B69="","",PNL!B69)</f>
        <v/>
      </c>
      <c r="C69">
        <f>IF(PNL!C69="","",PNL!C69)</f>
        <v/>
      </c>
      <c r="D69">
        <f>IF(PNL!D69="","",PNL!D69)</f>
        <v/>
      </c>
      <c r="E69">
        <f>IF($A69="","",IF(AND($C69="2027",OR($D69="V01",$D69="V02",$D69="V03")),1,0))</f>
        <v/>
      </c>
      <c r="F69">
        <f>IF($A69="","",IF($E69=1,SUMIFS(Comptabilité!$F$1:$F$675,Comptabilité!$A$1:$A$675,$A69,Comptabilité!$B$1:$B$675,$B69,Comptabilité!$C$1:$C$675,"2026"),0))</f>
        <v/>
      </c>
      <c r="G69">
        <f>IF($A69="","",IF($D69="V01",Cadrage!$C$22,IF($D69="V02",Cadrage!$D$22,Cadrage!$E$22)))</f>
        <v/>
      </c>
      <c r="H69">
        <f>IF($A69="","",IF($D69="V01",Cadrage!$C$23,IF($D69="V02",Cadrage!$D$23,Cadrage!$E$23)))</f>
        <v/>
      </c>
      <c r="I69">
        <f>IF($A69="","",IF($D69="V01",Cadrage!$C$31,IF($D69="V02",Cadrage!$D$31,Cadrage!$E$31)))</f>
        <v/>
      </c>
      <c r="J69">
        <f>IF($A69="","",IF($D69="V01",Cadrage!$C$32,IF($D69="V02",Cadrage!$D$32,Cadrage!$E$32)))</f>
        <v/>
      </c>
      <c r="K69">
        <f>IF($A69="","",IF($D69="V01",Cadrage!$C$33,IF($D69="V02",Cadrage!$D$33,Cadrage!$E$33)))</f>
        <v/>
      </c>
      <c r="L69">
        <f>IF($A69="","",IF($D69="V01",Cadrage!$C$34,IF($D69="V02",Cadrage!$D$34,Cadrage!$E$34)))</f>
        <v/>
      </c>
      <c r="M69">
        <f>IF($A69="","",IF($D69="V01",Cadrage!$C$35,IF($D69="V02",Cadrage!$D$35,Cadrage!$E$35)))</f>
        <v/>
      </c>
      <c r="N69">
        <f>IF($A69="","",IF($D69="V01",$R$2,IF($D69="V02",$R$3,$R$4)))</f>
        <v/>
      </c>
      <c r="O69">
        <f>IF($A69="","",IF(OR($B69="7062",$B69="706",$B69="708"),$N69,IF($B69="6231",1+$G69,IF($B69="6236",1+$H69,IF(OR($B69="621",$B69="604",$B69="6063"),$N69*(1-$L69),IF(OR($B69="6411",$B69="6413",$B69="6414",$B69="645"),(1+$J69)*(1+$K69),IF(OR($B69="613",$B69="615",$B69="616",$B69="6226",$B69="625",$B69="626",$B69="6281"),(1+$I69)*(1-$L69)*(1+$M69),IF(OR($B69="6331",$B69="63511",$B69="6333"),(1+$I69)*(1-$L69),IF($B69="6811",1+$I69,1)))))))))</f>
        <v/>
      </c>
      <c r="P69">
        <f>IF($A69="","",IF($E69=1,$F69*$O69,PNL!G69))</f>
        <v/>
      </c>
      <c r="T69">
        <f>IF($A69="","",IF($E69=1,IF(OR($B69="7062",$B69="706",$B69="708"),$P69,IF(AND(LEFT($B69,1)="6",$B69&lt;&gt;"6811"),-$P69,0)),0))</f>
        <v/>
      </c>
    </row>
    <row r="70">
      <c r="A70">
        <f>IF(PNL!A70="","",PNL!A70)</f>
        <v/>
      </c>
      <c r="B70">
        <f>IF(PNL!B70="","",PNL!B70)</f>
        <v/>
      </c>
      <c r="C70">
        <f>IF(PNL!C70="","",PNL!C70)</f>
        <v/>
      </c>
      <c r="D70">
        <f>IF(PNL!D70="","",PNL!D70)</f>
        <v/>
      </c>
      <c r="E70">
        <f>IF($A70="","",IF(AND($C70="2027",OR($D70="V01",$D70="V02",$D70="V03")),1,0))</f>
        <v/>
      </c>
      <c r="F70">
        <f>IF($A70="","",IF($E70=1,SUMIFS(Comptabilité!$F$1:$F$675,Comptabilité!$A$1:$A$675,$A70,Comptabilité!$B$1:$B$675,$B70,Comptabilité!$C$1:$C$675,"2026"),0))</f>
        <v/>
      </c>
      <c r="G70">
        <f>IF($A70="","",IF($D70="V01",Cadrage!$C$22,IF($D70="V02",Cadrage!$D$22,Cadrage!$E$22)))</f>
        <v/>
      </c>
      <c r="H70">
        <f>IF($A70="","",IF($D70="V01",Cadrage!$C$23,IF($D70="V02",Cadrage!$D$23,Cadrage!$E$23)))</f>
        <v/>
      </c>
      <c r="I70">
        <f>IF($A70="","",IF($D70="V01",Cadrage!$C$31,IF($D70="V02",Cadrage!$D$31,Cadrage!$E$31)))</f>
        <v/>
      </c>
      <c r="J70">
        <f>IF($A70="","",IF($D70="V01",Cadrage!$C$32,IF($D70="V02",Cadrage!$D$32,Cadrage!$E$32)))</f>
        <v/>
      </c>
      <c r="K70">
        <f>IF($A70="","",IF($D70="V01",Cadrage!$C$33,IF($D70="V02",Cadrage!$D$33,Cadrage!$E$33)))</f>
        <v/>
      </c>
      <c r="L70">
        <f>IF($A70="","",IF($D70="V01",Cadrage!$C$34,IF($D70="V02",Cadrage!$D$34,Cadrage!$E$34)))</f>
        <v/>
      </c>
      <c r="M70">
        <f>IF($A70="","",IF($D70="V01",Cadrage!$C$35,IF($D70="V02",Cadrage!$D$35,Cadrage!$E$35)))</f>
        <v/>
      </c>
      <c r="N70">
        <f>IF($A70="","",IF($D70="V01",$R$2,IF($D70="V02",$R$3,$R$4)))</f>
        <v/>
      </c>
      <c r="O70">
        <f>IF($A70="","",IF(OR($B70="7062",$B70="706",$B70="708"),$N70,IF($B70="6231",1+$G70,IF($B70="6236",1+$H70,IF(OR($B70="621",$B70="604",$B70="6063"),$N70*(1-$L70),IF(OR($B70="6411",$B70="6413",$B70="6414",$B70="645"),(1+$J70)*(1+$K70),IF(OR($B70="613",$B70="615",$B70="616",$B70="6226",$B70="625",$B70="626",$B70="6281"),(1+$I70)*(1-$L70)*(1+$M70),IF(OR($B70="6331",$B70="63511",$B70="6333"),(1+$I70)*(1-$L70),IF($B70="6811",1+$I70,1)))))))))</f>
        <v/>
      </c>
      <c r="P70">
        <f>IF($A70="","",IF($E70=1,$F70*$O70,PNL!G70))</f>
        <v/>
      </c>
      <c r="T70">
        <f>IF($A70="","",IF($E70=1,IF(OR($B70="7062",$B70="706",$B70="708"),$P70,IF(AND(LEFT($B70,1)="6",$B70&lt;&gt;"6811"),-$P70,0)),0))</f>
        <v/>
      </c>
    </row>
    <row r="71">
      <c r="A71">
        <f>IF(PNL!A71="","",PNL!A71)</f>
        <v/>
      </c>
      <c r="B71">
        <f>IF(PNL!B71="","",PNL!B71)</f>
        <v/>
      </c>
      <c r="C71">
        <f>IF(PNL!C71="","",PNL!C71)</f>
        <v/>
      </c>
      <c r="D71">
        <f>IF(PNL!D71="","",PNL!D71)</f>
        <v/>
      </c>
      <c r="E71">
        <f>IF($A71="","",IF(AND($C71="2027",OR($D71="V01",$D71="V02",$D71="V03")),1,0))</f>
        <v/>
      </c>
      <c r="F71">
        <f>IF($A71="","",IF($E71=1,SUMIFS(Comptabilité!$F$1:$F$675,Comptabilité!$A$1:$A$675,$A71,Comptabilité!$B$1:$B$675,$B71,Comptabilité!$C$1:$C$675,"2026"),0))</f>
        <v/>
      </c>
      <c r="G71">
        <f>IF($A71="","",IF($D71="V01",Cadrage!$C$22,IF($D71="V02",Cadrage!$D$22,Cadrage!$E$22)))</f>
        <v/>
      </c>
      <c r="H71">
        <f>IF($A71="","",IF($D71="V01",Cadrage!$C$23,IF($D71="V02",Cadrage!$D$23,Cadrage!$E$23)))</f>
        <v/>
      </c>
      <c r="I71">
        <f>IF($A71="","",IF($D71="V01",Cadrage!$C$31,IF($D71="V02",Cadrage!$D$31,Cadrage!$E$31)))</f>
        <v/>
      </c>
      <c r="J71">
        <f>IF($A71="","",IF($D71="V01",Cadrage!$C$32,IF($D71="V02",Cadrage!$D$32,Cadrage!$E$32)))</f>
        <v/>
      </c>
      <c r="K71">
        <f>IF($A71="","",IF($D71="V01",Cadrage!$C$33,IF($D71="V02",Cadrage!$D$33,Cadrage!$E$33)))</f>
        <v/>
      </c>
      <c r="L71">
        <f>IF($A71="","",IF($D71="V01",Cadrage!$C$34,IF($D71="V02",Cadrage!$D$34,Cadrage!$E$34)))</f>
        <v/>
      </c>
      <c r="M71">
        <f>IF($A71="","",IF($D71="V01",Cadrage!$C$35,IF($D71="V02",Cadrage!$D$35,Cadrage!$E$35)))</f>
        <v/>
      </c>
      <c r="N71">
        <f>IF($A71="","",IF($D71="V01",$R$2,IF($D71="V02",$R$3,$R$4)))</f>
        <v/>
      </c>
      <c r="O71">
        <f>IF($A71="","",IF(OR($B71="7062",$B71="706",$B71="708"),$N71,IF($B71="6231",1+$G71,IF($B71="6236",1+$H71,IF(OR($B71="621",$B71="604",$B71="6063"),$N71*(1-$L71),IF(OR($B71="6411",$B71="6413",$B71="6414",$B71="645"),(1+$J71)*(1+$K71),IF(OR($B71="613",$B71="615",$B71="616",$B71="6226",$B71="625",$B71="626",$B71="6281"),(1+$I71)*(1-$L71)*(1+$M71),IF(OR($B71="6331",$B71="63511",$B71="6333"),(1+$I71)*(1-$L71),IF($B71="6811",1+$I71,1)))))))))</f>
        <v/>
      </c>
      <c r="P71">
        <f>IF($A71="","",IF($E71=1,$F71*$O71,PNL!G71))</f>
        <v/>
      </c>
      <c r="T71">
        <f>IF($A71="","",IF($E71=1,IF(OR($B71="7062",$B71="706",$B71="708"),$P71,IF(AND(LEFT($B71,1)="6",$B71&lt;&gt;"6811"),-$P71,0)),0))</f>
        <v/>
      </c>
    </row>
    <row r="72">
      <c r="A72">
        <f>IF(PNL!A72="","",PNL!A72)</f>
        <v/>
      </c>
      <c r="B72">
        <f>IF(PNL!B72="","",PNL!B72)</f>
        <v/>
      </c>
      <c r="C72">
        <f>IF(PNL!C72="","",PNL!C72)</f>
        <v/>
      </c>
      <c r="D72">
        <f>IF(PNL!D72="","",PNL!D72)</f>
        <v/>
      </c>
      <c r="E72">
        <f>IF($A72="","",IF(AND($C72="2027",OR($D72="V01",$D72="V02",$D72="V03")),1,0))</f>
        <v/>
      </c>
      <c r="F72">
        <f>IF($A72="","",IF($E72=1,SUMIFS(Comptabilité!$F$1:$F$675,Comptabilité!$A$1:$A$675,$A72,Comptabilité!$B$1:$B$675,$B72,Comptabilité!$C$1:$C$675,"2026"),0))</f>
        <v/>
      </c>
      <c r="G72">
        <f>IF($A72="","",IF($D72="V01",Cadrage!$C$22,IF($D72="V02",Cadrage!$D$22,Cadrage!$E$22)))</f>
        <v/>
      </c>
      <c r="H72">
        <f>IF($A72="","",IF($D72="V01",Cadrage!$C$23,IF($D72="V02",Cadrage!$D$23,Cadrage!$E$23)))</f>
        <v/>
      </c>
      <c r="I72">
        <f>IF($A72="","",IF($D72="V01",Cadrage!$C$31,IF($D72="V02",Cadrage!$D$31,Cadrage!$E$31)))</f>
        <v/>
      </c>
      <c r="J72">
        <f>IF($A72="","",IF($D72="V01",Cadrage!$C$32,IF($D72="V02",Cadrage!$D$32,Cadrage!$E$32)))</f>
        <v/>
      </c>
      <c r="K72">
        <f>IF($A72="","",IF($D72="V01",Cadrage!$C$33,IF($D72="V02",Cadrage!$D$33,Cadrage!$E$33)))</f>
        <v/>
      </c>
      <c r="L72">
        <f>IF($A72="","",IF($D72="V01",Cadrage!$C$34,IF($D72="V02",Cadrage!$D$34,Cadrage!$E$34)))</f>
        <v/>
      </c>
      <c r="M72">
        <f>IF($A72="","",IF($D72="V01",Cadrage!$C$35,IF($D72="V02",Cadrage!$D$35,Cadrage!$E$35)))</f>
        <v/>
      </c>
      <c r="N72">
        <f>IF($A72="","",IF($D72="V01",$R$2,IF($D72="V02",$R$3,$R$4)))</f>
        <v/>
      </c>
      <c r="O72">
        <f>IF($A72="","",IF(OR($B72="7062",$B72="706",$B72="708"),$N72,IF($B72="6231",1+$G72,IF($B72="6236",1+$H72,IF(OR($B72="621",$B72="604",$B72="6063"),$N72*(1-$L72),IF(OR($B72="6411",$B72="6413",$B72="6414",$B72="645"),(1+$J72)*(1+$K72),IF(OR($B72="613",$B72="615",$B72="616",$B72="6226",$B72="625",$B72="626",$B72="6281"),(1+$I72)*(1-$L72)*(1+$M72),IF(OR($B72="6331",$B72="63511",$B72="6333"),(1+$I72)*(1-$L72),IF($B72="6811",1+$I72,1)))))))))</f>
        <v/>
      </c>
      <c r="P72">
        <f>IF($A72="","",IF($E72=1,$F72*$O72,PNL!G72))</f>
        <v/>
      </c>
      <c r="T72">
        <f>IF($A72="","",IF($E72=1,IF(OR($B72="7062",$B72="706",$B72="708"),$P72,IF(AND(LEFT($B72,1)="6",$B72&lt;&gt;"6811"),-$P72,0)),0))</f>
        <v/>
      </c>
    </row>
    <row r="73">
      <c r="A73">
        <f>IF(PNL!A73="","",PNL!A73)</f>
        <v/>
      </c>
      <c r="B73">
        <f>IF(PNL!B73="","",PNL!B73)</f>
        <v/>
      </c>
      <c r="C73">
        <f>IF(PNL!C73="","",PNL!C73)</f>
        <v/>
      </c>
      <c r="D73">
        <f>IF(PNL!D73="","",PNL!D73)</f>
        <v/>
      </c>
      <c r="E73">
        <f>IF($A73="","",IF(AND($C73="2027",OR($D73="V01",$D73="V02",$D73="V03")),1,0))</f>
        <v/>
      </c>
      <c r="F73">
        <f>IF($A73="","",IF($E73=1,SUMIFS(Comptabilité!$F$1:$F$675,Comptabilité!$A$1:$A$675,$A73,Comptabilité!$B$1:$B$675,$B73,Comptabilité!$C$1:$C$675,"2026"),0))</f>
        <v/>
      </c>
      <c r="G73">
        <f>IF($A73="","",IF($D73="V01",Cadrage!$C$22,IF($D73="V02",Cadrage!$D$22,Cadrage!$E$22)))</f>
        <v/>
      </c>
      <c r="H73">
        <f>IF($A73="","",IF($D73="V01",Cadrage!$C$23,IF($D73="V02",Cadrage!$D$23,Cadrage!$E$23)))</f>
        <v/>
      </c>
      <c r="I73">
        <f>IF($A73="","",IF($D73="V01",Cadrage!$C$31,IF($D73="V02",Cadrage!$D$31,Cadrage!$E$31)))</f>
        <v/>
      </c>
      <c r="J73">
        <f>IF($A73="","",IF($D73="V01",Cadrage!$C$32,IF($D73="V02",Cadrage!$D$32,Cadrage!$E$32)))</f>
        <v/>
      </c>
      <c r="K73">
        <f>IF($A73="","",IF($D73="V01",Cadrage!$C$33,IF($D73="V02",Cadrage!$D$33,Cadrage!$E$33)))</f>
        <v/>
      </c>
      <c r="L73">
        <f>IF($A73="","",IF($D73="V01",Cadrage!$C$34,IF($D73="V02",Cadrage!$D$34,Cadrage!$E$34)))</f>
        <v/>
      </c>
      <c r="M73">
        <f>IF($A73="","",IF($D73="V01",Cadrage!$C$35,IF($D73="V02",Cadrage!$D$35,Cadrage!$E$35)))</f>
        <v/>
      </c>
      <c r="N73">
        <f>IF($A73="","",IF($D73="V01",$R$2,IF($D73="V02",$R$3,$R$4)))</f>
        <v/>
      </c>
      <c r="O73">
        <f>IF($A73="","",IF(OR($B73="7062",$B73="706",$B73="708"),$N73,IF($B73="6231",1+$G73,IF($B73="6236",1+$H73,IF(OR($B73="621",$B73="604",$B73="6063"),$N73*(1-$L73),IF(OR($B73="6411",$B73="6413",$B73="6414",$B73="645"),(1+$J73)*(1+$K73),IF(OR($B73="613",$B73="615",$B73="616",$B73="6226",$B73="625",$B73="626",$B73="6281"),(1+$I73)*(1-$L73)*(1+$M73),IF(OR($B73="6331",$B73="63511",$B73="6333"),(1+$I73)*(1-$L73),IF($B73="6811",1+$I73,1)))))))))</f>
        <v/>
      </c>
      <c r="P73">
        <f>IF($A73="","",IF($E73=1,$F73*$O73,PNL!G73))</f>
        <v/>
      </c>
      <c r="T73">
        <f>IF($A73="","",IF($E73=1,IF(OR($B73="7062",$B73="706",$B73="708"),$P73,IF(AND(LEFT($B73,1)="6",$B73&lt;&gt;"6811"),-$P73,0)),0))</f>
        <v/>
      </c>
    </row>
    <row r="74">
      <c r="A74">
        <f>IF(PNL!A74="","",PNL!A74)</f>
        <v/>
      </c>
      <c r="B74">
        <f>IF(PNL!B74="","",PNL!B74)</f>
        <v/>
      </c>
      <c r="C74">
        <f>IF(PNL!C74="","",PNL!C74)</f>
        <v/>
      </c>
      <c r="D74">
        <f>IF(PNL!D74="","",PNL!D74)</f>
        <v/>
      </c>
      <c r="E74">
        <f>IF($A74="","",IF(AND($C74="2027",OR($D74="V01",$D74="V02",$D74="V03")),1,0))</f>
        <v/>
      </c>
      <c r="F74">
        <f>IF($A74="","",IF($E74=1,SUMIFS(Comptabilité!$F$1:$F$675,Comptabilité!$A$1:$A$675,$A74,Comptabilité!$B$1:$B$675,$B74,Comptabilité!$C$1:$C$675,"2026"),0))</f>
        <v/>
      </c>
      <c r="G74">
        <f>IF($A74="","",IF($D74="V01",Cadrage!$C$22,IF($D74="V02",Cadrage!$D$22,Cadrage!$E$22)))</f>
        <v/>
      </c>
      <c r="H74">
        <f>IF($A74="","",IF($D74="V01",Cadrage!$C$23,IF($D74="V02",Cadrage!$D$23,Cadrage!$E$23)))</f>
        <v/>
      </c>
      <c r="I74">
        <f>IF($A74="","",IF($D74="V01",Cadrage!$C$31,IF($D74="V02",Cadrage!$D$31,Cadrage!$E$31)))</f>
        <v/>
      </c>
      <c r="J74">
        <f>IF($A74="","",IF($D74="V01",Cadrage!$C$32,IF($D74="V02",Cadrage!$D$32,Cadrage!$E$32)))</f>
        <v/>
      </c>
      <c r="K74">
        <f>IF($A74="","",IF($D74="V01",Cadrage!$C$33,IF($D74="V02",Cadrage!$D$33,Cadrage!$E$33)))</f>
        <v/>
      </c>
      <c r="L74">
        <f>IF($A74="","",IF($D74="V01",Cadrage!$C$34,IF($D74="V02",Cadrage!$D$34,Cadrage!$E$34)))</f>
        <v/>
      </c>
      <c r="M74">
        <f>IF($A74="","",IF($D74="V01",Cadrage!$C$35,IF($D74="V02",Cadrage!$D$35,Cadrage!$E$35)))</f>
        <v/>
      </c>
      <c r="N74">
        <f>IF($A74="","",IF($D74="V01",$R$2,IF($D74="V02",$R$3,$R$4)))</f>
        <v/>
      </c>
      <c r="O74">
        <f>IF($A74="","",IF(OR($B74="7062",$B74="706",$B74="708"),$N74,IF($B74="6231",1+$G74,IF($B74="6236",1+$H74,IF(OR($B74="621",$B74="604",$B74="6063"),$N74*(1-$L74),IF(OR($B74="6411",$B74="6413",$B74="6414",$B74="645"),(1+$J74)*(1+$K74),IF(OR($B74="613",$B74="615",$B74="616",$B74="6226",$B74="625",$B74="626",$B74="6281"),(1+$I74)*(1-$L74)*(1+$M74),IF(OR($B74="6331",$B74="63511",$B74="6333"),(1+$I74)*(1-$L74),IF($B74="6811",1+$I74,1)))))))))</f>
        <v/>
      </c>
      <c r="P74">
        <f>IF($A74="","",IF($E74=1,$F74*$O74,PNL!G74))</f>
        <v/>
      </c>
      <c r="T74">
        <f>IF($A74="","",IF($E74=1,IF(OR($B74="7062",$B74="706",$B74="708"),$P74,IF(AND(LEFT($B74,1)="6",$B74&lt;&gt;"6811"),-$P74,0)),0))</f>
        <v/>
      </c>
    </row>
    <row r="75">
      <c r="A75">
        <f>IF(PNL!A75="","",PNL!A75)</f>
        <v/>
      </c>
      <c r="B75">
        <f>IF(PNL!B75="","",PNL!B75)</f>
        <v/>
      </c>
      <c r="C75">
        <f>IF(PNL!C75="","",PNL!C75)</f>
        <v/>
      </c>
      <c r="D75">
        <f>IF(PNL!D75="","",PNL!D75)</f>
        <v/>
      </c>
      <c r="E75">
        <f>IF($A75="","",IF(AND($C75="2027",OR($D75="V01",$D75="V02",$D75="V03")),1,0))</f>
        <v/>
      </c>
      <c r="F75">
        <f>IF($A75="","",IF($E75=1,SUMIFS(Comptabilité!$F$1:$F$675,Comptabilité!$A$1:$A$675,$A75,Comptabilité!$B$1:$B$675,$B75,Comptabilité!$C$1:$C$675,"2026"),0))</f>
        <v/>
      </c>
      <c r="G75">
        <f>IF($A75="","",IF($D75="V01",Cadrage!$C$22,IF($D75="V02",Cadrage!$D$22,Cadrage!$E$22)))</f>
        <v/>
      </c>
      <c r="H75">
        <f>IF($A75="","",IF($D75="V01",Cadrage!$C$23,IF($D75="V02",Cadrage!$D$23,Cadrage!$E$23)))</f>
        <v/>
      </c>
      <c r="I75">
        <f>IF($A75="","",IF($D75="V01",Cadrage!$C$31,IF($D75="V02",Cadrage!$D$31,Cadrage!$E$31)))</f>
        <v/>
      </c>
      <c r="J75">
        <f>IF($A75="","",IF($D75="V01",Cadrage!$C$32,IF($D75="V02",Cadrage!$D$32,Cadrage!$E$32)))</f>
        <v/>
      </c>
      <c r="K75">
        <f>IF($A75="","",IF($D75="V01",Cadrage!$C$33,IF($D75="V02",Cadrage!$D$33,Cadrage!$E$33)))</f>
        <v/>
      </c>
      <c r="L75">
        <f>IF($A75="","",IF($D75="V01",Cadrage!$C$34,IF($D75="V02",Cadrage!$D$34,Cadrage!$E$34)))</f>
        <v/>
      </c>
      <c r="M75">
        <f>IF($A75="","",IF($D75="V01",Cadrage!$C$35,IF($D75="V02",Cadrage!$D$35,Cadrage!$E$35)))</f>
        <v/>
      </c>
      <c r="N75">
        <f>IF($A75="","",IF($D75="V01",$R$2,IF($D75="V02",$R$3,$R$4)))</f>
        <v/>
      </c>
      <c r="O75">
        <f>IF($A75="","",IF(OR($B75="7062",$B75="706",$B75="708"),$N75,IF($B75="6231",1+$G75,IF($B75="6236",1+$H75,IF(OR($B75="621",$B75="604",$B75="6063"),$N75*(1-$L75),IF(OR($B75="6411",$B75="6413",$B75="6414",$B75="645"),(1+$J75)*(1+$K75),IF(OR($B75="613",$B75="615",$B75="616",$B75="6226",$B75="625",$B75="626",$B75="6281"),(1+$I75)*(1-$L75)*(1+$M75),IF(OR($B75="6331",$B75="63511",$B75="6333"),(1+$I75)*(1-$L75),IF($B75="6811",1+$I75,1)))))))))</f>
        <v/>
      </c>
      <c r="P75">
        <f>IF($A75="","",IF($E75=1,$F75*$O75,PNL!G75))</f>
        <v/>
      </c>
      <c r="T75">
        <f>IF($A75="","",IF($E75=1,IF(OR($B75="7062",$B75="706",$B75="708"),$P75,IF(AND(LEFT($B75,1)="6",$B75&lt;&gt;"6811"),-$P75,0)),0))</f>
        <v/>
      </c>
    </row>
    <row r="76">
      <c r="A76">
        <f>IF(PNL!A76="","",PNL!A76)</f>
        <v/>
      </c>
      <c r="B76">
        <f>IF(PNL!B76="","",PNL!B76)</f>
        <v/>
      </c>
      <c r="C76">
        <f>IF(PNL!C76="","",PNL!C76)</f>
        <v/>
      </c>
      <c r="D76">
        <f>IF(PNL!D76="","",PNL!D76)</f>
        <v/>
      </c>
      <c r="E76">
        <f>IF($A76="","",IF(AND($C76="2027",OR($D76="V01",$D76="V02",$D76="V03")),1,0))</f>
        <v/>
      </c>
      <c r="F76">
        <f>IF($A76="","",IF($E76=1,SUMIFS(Comptabilité!$F$1:$F$675,Comptabilité!$A$1:$A$675,$A76,Comptabilité!$B$1:$B$675,$B76,Comptabilité!$C$1:$C$675,"2026"),0))</f>
        <v/>
      </c>
      <c r="G76">
        <f>IF($A76="","",IF($D76="V01",Cadrage!$C$22,IF($D76="V02",Cadrage!$D$22,Cadrage!$E$22)))</f>
        <v/>
      </c>
      <c r="H76">
        <f>IF($A76="","",IF($D76="V01",Cadrage!$C$23,IF($D76="V02",Cadrage!$D$23,Cadrage!$E$23)))</f>
        <v/>
      </c>
      <c r="I76">
        <f>IF($A76="","",IF($D76="V01",Cadrage!$C$31,IF($D76="V02",Cadrage!$D$31,Cadrage!$E$31)))</f>
        <v/>
      </c>
      <c r="J76">
        <f>IF($A76="","",IF($D76="V01",Cadrage!$C$32,IF($D76="V02",Cadrage!$D$32,Cadrage!$E$32)))</f>
        <v/>
      </c>
      <c r="K76">
        <f>IF($A76="","",IF($D76="V01",Cadrage!$C$33,IF($D76="V02",Cadrage!$D$33,Cadrage!$E$33)))</f>
        <v/>
      </c>
      <c r="L76">
        <f>IF($A76="","",IF($D76="V01",Cadrage!$C$34,IF($D76="V02",Cadrage!$D$34,Cadrage!$E$34)))</f>
        <v/>
      </c>
      <c r="M76">
        <f>IF($A76="","",IF($D76="V01",Cadrage!$C$35,IF($D76="V02",Cadrage!$D$35,Cadrage!$E$35)))</f>
        <v/>
      </c>
      <c r="N76">
        <f>IF($A76="","",IF($D76="V01",$R$2,IF($D76="V02",$R$3,$R$4)))</f>
        <v/>
      </c>
      <c r="O76">
        <f>IF($A76="","",IF(OR($B76="7062",$B76="706",$B76="708"),$N76,IF($B76="6231",1+$G76,IF($B76="6236",1+$H76,IF(OR($B76="621",$B76="604",$B76="6063"),$N76*(1-$L76),IF(OR($B76="6411",$B76="6413",$B76="6414",$B76="645"),(1+$J76)*(1+$K76),IF(OR($B76="613",$B76="615",$B76="616",$B76="6226",$B76="625",$B76="626",$B76="6281"),(1+$I76)*(1-$L76)*(1+$M76),IF(OR($B76="6331",$B76="63511",$B76="6333"),(1+$I76)*(1-$L76),IF($B76="6811",1+$I76,1)))))))))</f>
        <v/>
      </c>
      <c r="P76">
        <f>IF($A76="","",IF($E76=1,$F76*$O76,PNL!G76))</f>
        <v/>
      </c>
      <c r="T76">
        <f>IF($A76="","",IF($E76=1,IF(OR($B76="7062",$B76="706",$B76="708"),$P76,IF(AND(LEFT($B76,1)="6",$B76&lt;&gt;"6811"),-$P76,0)),0))</f>
        <v/>
      </c>
    </row>
    <row r="77">
      <c r="A77">
        <f>IF(PNL!A77="","",PNL!A77)</f>
        <v/>
      </c>
      <c r="B77">
        <f>IF(PNL!B77="","",PNL!B77)</f>
        <v/>
      </c>
      <c r="C77">
        <f>IF(PNL!C77="","",PNL!C77)</f>
        <v/>
      </c>
      <c r="D77">
        <f>IF(PNL!D77="","",PNL!D77)</f>
        <v/>
      </c>
      <c r="E77">
        <f>IF($A77="","",IF(AND($C77="2027",OR($D77="V01",$D77="V02",$D77="V03")),1,0))</f>
        <v/>
      </c>
      <c r="F77">
        <f>IF($A77="","",IF($E77=1,SUMIFS(Comptabilité!$F$1:$F$675,Comptabilité!$A$1:$A$675,$A77,Comptabilité!$B$1:$B$675,$B77,Comptabilité!$C$1:$C$675,"2026"),0))</f>
        <v/>
      </c>
      <c r="G77">
        <f>IF($A77="","",IF($D77="V01",Cadrage!$C$22,IF($D77="V02",Cadrage!$D$22,Cadrage!$E$22)))</f>
        <v/>
      </c>
      <c r="H77">
        <f>IF($A77="","",IF($D77="V01",Cadrage!$C$23,IF($D77="V02",Cadrage!$D$23,Cadrage!$E$23)))</f>
        <v/>
      </c>
      <c r="I77">
        <f>IF($A77="","",IF($D77="V01",Cadrage!$C$31,IF($D77="V02",Cadrage!$D$31,Cadrage!$E$31)))</f>
        <v/>
      </c>
      <c r="J77">
        <f>IF($A77="","",IF($D77="V01",Cadrage!$C$32,IF($D77="V02",Cadrage!$D$32,Cadrage!$E$32)))</f>
        <v/>
      </c>
      <c r="K77">
        <f>IF($A77="","",IF($D77="V01",Cadrage!$C$33,IF($D77="V02",Cadrage!$D$33,Cadrage!$E$33)))</f>
        <v/>
      </c>
      <c r="L77">
        <f>IF($A77="","",IF($D77="V01",Cadrage!$C$34,IF($D77="V02",Cadrage!$D$34,Cadrage!$E$34)))</f>
        <v/>
      </c>
      <c r="M77">
        <f>IF($A77="","",IF($D77="V01",Cadrage!$C$35,IF($D77="V02",Cadrage!$D$35,Cadrage!$E$35)))</f>
        <v/>
      </c>
      <c r="N77">
        <f>IF($A77="","",IF($D77="V01",$R$2,IF($D77="V02",$R$3,$R$4)))</f>
        <v/>
      </c>
      <c r="O77">
        <f>IF($A77="","",IF(OR($B77="7062",$B77="706",$B77="708"),$N77,IF($B77="6231",1+$G77,IF($B77="6236",1+$H77,IF(OR($B77="621",$B77="604",$B77="6063"),$N77*(1-$L77),IF(OR($B77="6411",$B77="6413",$B77="6414",$B77="645"),(1+$J77)*(1+$K77),IF(OR($B77="613",$B77="615",$B77="616",$B77="6226",$B77="625",$B77="626",$B77="6281"),(1+$I77)*(1-$L77)*(1+$M77),IF(OR($B77="6331",$B77="63511",$B77="6333"),(1+$I77)*(1-$L77),IF($B77="6811",1+$I77,1)))))))))</f>
        <v/>
      </c>
      <c r="P77">
        <f>IF($A77="","",IF($E77=1,$F77*$O77,PNL!G77))</f>
        <v/>
      </c>
      <c r="T77">
        <f>IF($A77="","",IF($E77=1,IF(OR($B77="7062",$B77="706",$B77="708"),$P77,IF(AND(LEFT($B77,1)="6",$B77&lt;&gt;"6811"),-$P77,0)),0))</f>
        <v/>
      </c>
    </row>
    <row r="78">
      <c r="A78">
        <f>IF(PNL!A78="","",PNL!A78)</f>
        <v/>
      </c>
      <c r="B78">
        <f>IF(PNL!B78="","",PNL!B78)</f>
        <v/>
      </c>
      <c r="C78">
        <f>IF(PNL!C78="","",PNL!C78)</f>
        <v/>
      </c>
      <c r="D78">
        <f>IF(PNL!D78="","",PNL!D78)</f>
        <v/>
      </c>
      <c r="E78">
        <f>IF($A78="","",IF(AND($C78="2027",OR($D78="V01",$D78="V02",$D78="V03")),1,0))</f>
        <v/>
      </c>
      <c r="F78">
        <f>IF($A78="","",IF($E78=1,SUMIFS(Comptabilité!$F$1:$F$675,Comptabilité!$A$1:$A$675,$A78,Comptabilité!$B$1:$B$675,$B78,Comptabilité!$C$1:$C$675,"2026"),0))</f>
        <v/>
      </c>
      <c r="G78">
        <f>IF($A78="","",IF($D78="V01",Cadrage!$C$22,IF($D78="V02",Cadrage!$D$22,Cadrage!$E$22)))</f>
        <v/>
      </c>
      <c r="H78">
        <f>IF($A78="","",IF($D78="V01",Cadrage!$C$23,IF($D78="V02",Cadrage!$D$23,Cadrage!$E$23)))</f>
        <v/>
      </c>
      <c r="I78">
        <f>IF($A78="","",IF($D78="V01",Cadrage!$C$31,IF($D78="V02",Cadrage!$D$31,Cadrage!$E$31)))</f>
        <v/>
      </c>
      <c r="J78">
        <f>IF($A78="","",IF($D78="V01",Cadrage!$C$32,IF($D78="V02",Cadrage!$D$32,Cadrage!$E$32)))</f>
        <v/>
      </c>
      <c r="K78">
        <f>IF($A78="","",IF($D78="V01",Cadrage!$C$33,IF($D78="V02",Cadrage!$D$33,Cadrage!$E$33)))</f>
        <v/>
      </c>
      <c r="L78">
        <f>IF($A78="","",IF($D78="V01",Cadrage!$C$34,IF($D78="V02",Cadrage!$D$34,Cadrage!$E$34)))</f>
        <v/>
      </c>
      <c r="M78">
        <f>IF($A78="","",IF($D78="V01",Cadrage!$C$35,IF($D78="V02",Cadrage!$D$35,Cadrage!$E$35)))</f>
        <v/>
      </c>
      <c r="N78">
        <f>IF($A78="","",IF($D78="V01",$R$2,IF($D78="V02",$R$3,$R$4)))</f>
        <v/>
      </c>
      <c r="O78">
        <f>IF($A78="","",IF(OR($B78="7062",$B78="706",$B78="708"),$N78,IF($B78="6231",1+$G78,IF($B78="6236",1+$H78,IF(OR($B78="621",$B78="604",$B78="6063"),$N78*(1-$L78),IF(OR($B78="6411",$B78="6413",$B78="6414",$B78="645"),(1+$J78)*(1+$K78),IF(OR($B78="613",$B78="615",$B78="616",$B78="6226",$B78="625",$B78="626",$B78="6281"),(1+$I78)*(1-$L78)*(1+$M78),IF(OR($B78="6331",$B78="63511",$B78="6333"),(1+$I78)*(1-$L78),IF($B78="6811",1+$I78,1)))))))))</f>
        <v/>
      </c>
      <c r="P78">
        <f>IF($A78="","",IF($E78=1,$F78*$O78,PNL!G78))</f>
        <v/>
      </c>
      <c r="T78">
        <f>IF($A78="","",IF($E78=1,IF(OR($B78="7062",$B78="706",$B78="708"),$P78,IF(AND(LEFT($B78,1)="6",$B78&lt;&gt;"6811"),-$P78,0)),0))</f>
        <v/>
      </c>
    </row>
    <row r="79">
      <c r="A79">
        <f>IF(PNL!A79="","",PNL!A79)</f>
        <v/>
      </c>
      <c r="B79">
        <f>IF(PNL!B79="","",PNL!B79)</f>
        <v/>
      </c>
      <c r="C79">
        <f>IF(PNL!C79="","",PNL!C79)</f>
        <v/>
      </c>
      <c r="D79">
        <f>IF(PNL!D79="","",PNL!D79)</f>
        <v/>
      </c>
      <c r="E79">
        <f>IF($A79="","",IF(AND($C79="2027",OR($D79="V01",$D79="V02",$D79="V03")),1,0))</f>
        <v/>
      </c>
      <c r="F79">
        <f>IF($A79="","",IF($E79=1,SUMIFS(Comptabilité!$F$1:$F$675,Comptabilité!$A$1:$A$675,$A79,Comptabilité!$B$1:$B$675,$B79,Comptabilité!$C$1:$C$675,"2026"),0))</f>
        <v/>
      </c>
      <c r="G79">
        <f>IF($A79="","",IF($D79="V01",Cadrage!$C$22,IF($D79="V02",Cadrage!$D$22,Cadrage!$E$22)))</f>
        <v/>
      </c>
      <c r="H79">
        <f>IF($A79="","",IF($D79="V01",Cadrage!$C$23,IF($D79="V02",Cadrage!$D$23,Cadrage!$E$23)))</f>
        <v/>
      </c>
      <c r="I79">
        <f>IF($A79="","",IF($D79="V01",Cadrage!$C$31,IF($D79="V02",Cadrage!$D$31,Cadrage!$E$31)))</f>
        <v/>
      </c>
      <c r="J79">
        <f>IF($A79="","",IF($D79="V01",Cadrage!$C$32,IF($D79="V02",Cadrage!$D$32,Cadrage!$E$32)))</f>
        <v/>
      </c>
      <c r="K79">
        <f>IF($A79="","",IF($D79="V01",Cadrage!$C$33,IF($D79="V02",Cadrage!$D$33,Cadrage!$E$33)))</f>
        <v/>
      </c>
      <c r="L79">
        <f>IF($A79="","",IF($D79="V01",Cadrage!$C$34,IF($D79="V02",Cadrage!$D$34,Cadrage!$E$34)))</f>
        <v/>
      </c>
      <c r="M79">
        <f>IF($A79="","",IF($D79="V01",Cadrage!$C$35,IF($D79="V02",Cadrage!$D$35,Cadrage!$E$35)))</f>
        <v/>
      </c>
      <c r="N79">
        <f>IF($A79="","",IF($D79="V01",$R$2,IF($D79="V02",$R$3,$R$4)))</f>
        <v/>
      </c>
      <c r="O79">
        <f>IF($A79="","",IF(OR($B79="7062",$B79="706",$B79="708"),$N79,IF($B79="6231",1+$G79,IF($B79="6236",1+$H79,IF(OR($B79="621",$B79="604",$B79="6063"),$N79*(1-$L79),IF(OR($B79="6411",$B79="6413",$B79="6414",$B79="645"),(1+$J79)*(1+$K79),IF(OR($B79="613",$B79="615",$B79="616",$B79="6226",$B79="625",$B79="626",$B79="6281"),(1+$I79)*(1-$L79)*(1+$M79),IF(OR($B79="6331",$B79="63511",$B79="6333"),(1+$I79)*(1-$L79),IF($B79="6811",1+$I79,1)))))))))</f>
        <v/>
      </c>
      <c r="P79">
        <f>IF($A79="","",IF($E79=1,$F79*$O79,PNL!G79))</f>
        <v/>
      </c>
      <c r="T79">
        <f>IF($A79="","",IF($E79=1,IF(OR($B79="7062",$B79="706",$B79="708"),$P79,IF(AND(LEFT($B79,1)="6",$B79&lt;&gt;"6811"),-$P79,0)),0))</f>
        <v/>
      </c>
    </row>
    <row r="80">
      <c r="A80">
        <f>IF(PNL!A80="","",PNL!A80)</f>
        <v/>
      </c>
      <c r="B80">
        <f>IF(PNL!B80="","",PNL!B80)</f>
        <v/>
      </c>
      <c r="C80">
        <f>IF(PNL!C80="","",PNL!C80)</f>
        <v/>
      </c>
      <c r="D80">
        <f>IF(PNL!D80="","",PNL!D80)</f>
        <v/>
      </c>
      <c r="E80">
        <f>IF($A80="","",IF(AND($C80="2027",OR($D80="V01",$D80="V02",$D80="V03")),1,0))</f>
        <v/>
      </c>
      <c r="F80">
        <f>IF($A80="","",IF($E80=1,SUMIFS(Comptabilité!$F$1:$F$675,Comptabilité!$A$1:$A$675,$A80,Comptabilité!$B$1:$B$675,$B80,Comptabilité!$C$1:$C$675,"2026"),0))</f>
        <v/>
      </c>
      <c r="G80">
        <f>IF($A80="","",IF($D80="V01",Cadrage!$C$22,IF($D80="V02",Cadrage!$D$22,Cadrage!$E$22)))</f>
        <v/>
      </c>
      <c r="H80">
        <f>IF($A80="","",IF($D80="V01",Cadrage!$C$23,IF($D80="V02",Cadrage!$D$23,Cadrage!$E$23)))</f>
        <v/>
      </c>
      <c r="I80">
        <f>IF($A80="","",IF($D80="V01",Cadrage!$C$31,IF($D80="V02",Cadrage!$D$31,Cadrage!$E$31)))</f>
        <v/>
      </c>
      <c r="J80">
        <f>IF($A80="","",IF($D80="V01",Cadrage!$C$32,IF($D80="V02",Cadrage!$D$32,Cadrage!$E$32)))</f>
        <v/>
      </c>
      <c r="K80">
        <f>IF($A80="","",IF($D80="V01",Cadrage!$C$33,IF($D80="V02",Cadrage!$D$33,Cadrage!$E$33)))</f>
        <v/>
      </c>
      <c r="L80">
        <f>IF($A80="","",IF($D80="V01",Cadrage!$C$34,IF($D80="V02",Cadrage!$D$34,Cadrage!$E$34)))</f>
        <v/>
      </c>
      <c r="M80">
        <f>IF($A80="","",IF($D80="V01",Cadrage!$C$35,IF($D80="V02",Cadrage!$D$35,Cadrage!$E$35)))</f>
        <v/>
      </c>
      <c r="N80">
        <f>IF($A80="","",IF($D80="V01",$R$2,IF($D80="V02",$R$3,$R$4)))</f>
        <v/>
      </c>
      <c r="O80">
        <f>IF($A80="","",IF(OR($B80="7062",$B80="706",$B80="708"),$N80,IF($B80="6231",1+$G80,IF($B80="6236",1+$H80,IF(OR($B80="621",$B80="604",$B80="6063"),$N80*(1-$L80),IF(OR($B80="6411",$B80="6413",$B80="6414",$B80="645"),(1+$J80)*(1+$K80),IF(OR($B80="613",$B80="615",$B80="616",$B80="6226",$B80="625",$B80="626",$B80="6281"),(1+$I80)*(1-$L80)*(1+$M80),IF(OR($B80="6331",$B80="63511",$B80="6333"),(1+$I80)*(1-$L80),IF($B80="6811",1+$I80,1)))))))))</f>
        <v/>
      </c>
      <c r="P80">
        <f>IF($A80="","",IF($E80=1,$F80*$O80,PNL!G80))</f>
        <v/>
      </c>
      <c r="T80">
        <f>IF($A80="","",IF($E80=1,IF(OR($B80="7062",$B80="706",$B80="708"),$P80,IF(AND(LEFT($B80,1)="6",$B80&lt;&gt;"6811"),-$P80,0)),0))</f>
        <v/>
      </c>
    </row>
    <row r="81">
      <c r="A81">
        <f>IF(PNL!A81="","",PNL!A81)</f>
        <v/>
      </c>
      <c r="B81">
        <f>IF(PNL!B81="","",PNL!B81)</f>
        <v/>
      </c>
      <c r="C81">
        <f>IF(PNL!C81="","",PNL!C81)</f>
        <v/>
      </c>
      <c r="D81">
        <f>IF(PNL!D81="","",PNL!D81)</f>
        <v/>
      </c>
      <c r="E81">
        <f>IF($A81="","",IF(AND($C81="2027",OR($D81="V01",$D81="V02",$D81="V03")),1,0))</f>
        <v/>
      </c>
      <c r="F81">
        <f>IF($A81="","",IF($E81=1,SUMIFS(Comptabilité!$F$1:$F$675,Comptabilité!$A$1:$A$675,$A81,Comptabilité!$B$1:$B$675,$B81,Comptabilité!$C$1:$C$675,"2026"),0))</f>
        <v/>
      </c>
      <c r="G81">
        <f>IF($A81="","",IF($D81="V01",Cadrage!$C$22,IF($D81="V02",Cadrage!$D$22,Cadrage!$E$22)))</f>
        <v/>
      </c>
      <c r="H81">
        <f>IF($A81="","",IF($D81="V01",Cadrage!$C$23,IF($D81="V02",Cadrage!$D$23,Cadrage!$E$23)))</f>
        <v/>
      </c>
      <c r="I81">
        <f>IF($A81="","",IF($D81="V01",Cadrage!$C$31,IF($D81="V02",Cadrage!$D$31,Cadrage!$E$31)))</f>
        <v/>
      </c>
      <c r="J81">
        <f>IF($A81="","",IF($D81="V01",Cadrage!$C$32,IF($D81="V02",Cadrage!$D$32,Cadrage!$E$32)))</f>
        <v/>
      </c>
      <c r="K81">
        <f>IF($A81="","",IF($D81="V01",Cadrage!$C$33,IF($D81="V02",Cadrage!$D$33,Cadrage!$E$33)))</f>
        <v/>
      </c>
      <c r="L81">
        <f>IF($A81="","",IF($D81="V01",Cadrage!$C$34,IF($D81="V02",Cadrage!$D$34,Cadrage!$E$34)))</f>
        <v/>
      </c>
      <c r="M81">
        <f>IF($A81="","",IF($D81="V01",Cadrage!$C$35,IF($D81="V02",Cadrage!$D$35,Cadrage!$E$35)))</f>
        <v/>
      </c>
      <c r="N81">
        <f>IF($A81="","",IF($D81="V01",$R$2,IF($D81="V02",$R$3,$R$4)))</f>
        <v/>
      </c>
      <c r="O81">
        <f>IF($A81="","",IF(OR($B81="7062",$B81="706",$B81="708"),$N81,IF($B81="6231",1+$G81,IF($B81="6236",1+$H81,IF(OR($B81="621",$B81="604",$B81="6063"),$N81*(1-$L81),IF(OR($B81="6411",$B81="6413",$B81="6414",$B81="645"),(1+$J81)*(1+$K81),IF(OR($B81="613",$B81="615",$B81="616",$B81="6226",$B81="625",$B81="626",$B81="6281"),(1+$I81)*(1-$L81)*(1+$M81),IF(OR($B81="6331",$B81="63511",$B81="6333"),(1+$I81)*(1-$L81),IF($B81="6811",1+$I81,1)))))))))</f>
        <v/>
      </c>
      <c r="P81">
        <f>IF($A81="","",IF($E81=1,$F81*$O81,PNL!G81))</f>
        <v/>
      </c>
      <c r="T81">
        <f>IF($A81="","",IF($E81=1,IF(OR($B81="7062",$B81="706",$B81="708"),$P81,IF(AND(LEFT($B81,1)="6",$B81&lt;&gt;"6811"),-$P81,0)),0))</f>
        <v/>
      </c>
    </row>
    <row r="82">
      <c r="A82">
        <f>IF(PNL!A82="","",PNL!A82)</f>
        <v/>
      </c>
      <c r="B82">
        <f>IF(PNL!B82="","",PNL!B82)</f>
        <v/>
      </c>
      <c r="C82">
        <f>IF(PNL!C82="","",PNL!C82)</f>
        <v/>
      </c>
      <c r="D82">
        <f>IF(PNL!D82="","",PNL!D82)</f>
        <v/>
      </c>
      <c r="E82">
        <f>IF($A82="","",IF(AND($C82="2027",OR($D82="V01",$D82="V02",$D82="V03")),1,0))</f>
        <v/>
      </c>
      <c r="F82">
        <f>IF($A82="","",IF($E82=1,SUMIFS(Comptabilité!$F$1:$F$675,Comptabilité!$A$1:$A$675,$A82,Comptabilité!$B$1:$B$675,$B82,Comptabilité!$C$1:$C$675,"2026"),0))</f>
        <v/>
      </c>
      <c r="G82">
        <f>IF($A82="","",IF($D82="V01",Cadrage!$C$22,IF($D82="V02",Cadrage!$D$22,Cadrage!$E$22)))</f>
        <v/>
      </c>
      <c r="H82">
        <f>IF($A82="","",IF($D82="V01",Cadrage!$C$23,IF($D82="V02",Cadrage!$D$23,Cadrage!$E$23)))</f>
        <v/>
      </c>
      <c r="I82">
        <f>IF($A82="","",IF($D82="V01",Cadrage!$C$31,IF($D82="V02",Cadrage!$D$31,Cadrage!$E$31)))</f>
        <v/>
      </c>
      <c r="J82">
        <f>IF($A82="","",IF($D82="V01",Cadrage!$C$32,IF($D82="V02",Cadrage!$D$32,Cadrage!$E$32)))</f>
        <v/>
      </c>
      <c r="K82">
        <f>IF($A82="","",IF($D82="V01",Cadrage!$C$33,IF($D82="V02",Cadrage!$D$33,Cadrage!$E$33)))</f>
        <v/>
      </c>
      <c r="L82">
        <f>IF($A82="","",IF($D82="V01",Cadrage!$C$34,IF($D82="V02",Cadrage!$D$34,Cadrage!$E$34)))</f>
        <v/>
      </c>
      <c r="M82">
        <f>IF($A82="","",IF($D82="V01",Cadrage!$C$35,IF($D82="V02",Cadrage!$D$35,Cadrage!$E$35)))</f>
        <v/>
      </c>
      <c r="N82">
        <f>IF($A82="","",IF($D82="V01",$R$2,IF($D82="V02",$R$3,$R$4)))</f>
        <v/>
      </c>
      <c r="O82">
        <f>IF($A82="","",IF(OR($B82="7062",$B82="706",$B82="708"),$N82,IF($B82="6231",1+$G82,IF($B82="6236",1+$H82,IF(OR($B82="621",$B82="604",$B82="6063"),$N82*(1-$L82),IF(OR($B82="6411",$B82="6413",$B82="6414",$B82="645"),(1+$J82)*(1+$K82),IF(OR($B82="613",$B82="615",$B82="616",$B82="6226",$B82="625",$B82="626",$B82="6281"),(1+$I82)*(1-$L82)*(1+$M82),IF(OR($B82="6331",$B82="63511",$B82="6333"),(1+$I82)*(1-$L82),IF($B82="6811",1+$I82,1)))))))))</f>
        <v/>
      </c>
      <c r="P82">
        <f>IF($A82="","",IF($E82=1,$F82*$O82,PNL!G82))</f>
        <v/>
      </c>
      <c r="T82">
        <f>IF($A82="","",IF($E82=1,IF(OR($B82="7062",$B82="706",$B82="708"),$P82,IF(AND(LEFT($B82,1)="6",$B82&lt;&gt;"6811"),-$P82,0)),0))</f>
        <v/>
      </c>
    </row>
    <row r="83">
      <c r="A83">
        <f>IF(PNL!A83="","",PNL!A83)</f>
        <v/>
      </c>
      <c r="B83">
        <f>IF(PNL!B83="","",PNL!B83)</f>
        <v/>
      </c>
      <c r="C83">
        <f>IF(PNL!C83="","",PNL!C83)</f>
        <v/>
      </c>
      <c r="D83">
        <f>IF(PNL!D83="","",PNL!D83)</f>
        <v/>
      </c>
      <c r="E83">
        <f>IF($A83="","",IF(AND($C83="2027",OR($D83="V01",$D83="V02",$D83="V03")),1,0))</f>
        <v/>
      </c>
      <c r="F83">
        <f>IF($A83="","",IF($E83=1,SUMIFS(Comptabilité!$F$1:$F$675,Comptabilité!$A$1:$A$675,$A83,Comptabilité!$B$1:$B$675,$B83,Comptabilité!$C$1:$C$675,"2026"),0))</f>
        <v/>
      </c>
      <c r="G83">
        <f>IF($A83="","",IF($D83="V01",Cadrage!$C$22,IF($D83="V02",Cadrage!$D$22,Cadrage!$E$22)))</f>
        <v/>
      </c>
      <c r="H83">
        <f>IF($A83="","",IF($D83="V01",Cadrage!$C$23,IF($D83="V02",Cadrage!$D$23,Cadrage!$E$23)))</f>
        <v/>
      </c>
      <c r="I83">
        <f>IF($A83="","",IF($D83="V01",Cadrage!$C$31,IF($D83="V02",Cadrage!$D$31,Cadrage!$E$31)))</f>
        <v/>
      </c>
      <c r="J83">
        <f>IF($A83="","",IF($D83="V01",Cadrage!$C$32,IF($D83="V02",Cadrage!$D$32,Cadrage!$E$32)))</f>
        <v/>
      </c>
      <c r="K83">
        <f>IF($A83="","",IF($D83="V01",Cadrage!$C$33,IF($D83="V02",Cadrage!$D$33,Cadrage!$E$33)))</f>
        <v/>
      </c>
      <c r="L83">
        <f>IF($A83="","",IF($D83="V01",Cadrage!$C$34,IF($D83="V02",Cadrage!$D$34,Cadrage!$E$34)))</f>
        <v/>
      </c>
      <c r="M83">
        <f>IF($A83="","",IF($D83="V01",Cadrage!$C$35,IF($D83="V02",Cadrage!$D$35,Cadrage!$E$35)))</f>
        <v/>
      </c>
      <c r="N83">
        <f>IF($A83="","",IF($D83="V01",$R$2,IF($D83="V02",$R$3,$R$4)))</f>
        <v/>
      </c>
      <c r="O83">
        <f>IF($A83="","",IF(OR($B83="7062",$B83="706",$B83="708"),$N83,IF($B83="6231",1+$G83,IF($B83="6236",1+$H83,IF(OR($B83="621",$B83="604",$B83="6063"),$N83*(1-$L83),IF(OR($B83="6411",$B83="6413",$B83="6414",$B83="645"),(1+$J83)*(1+$K83),IF(OR($B83="613",$B83="615",$B83="616",$B83="6226",$B83="625",$B83="626",$B83="6281"),(1+$I83)*(1-$L83)*(1+$M83),IF(OR($B83="6331",$B83="63511",$B83="6333"),(1+$I83)*(1-$L83),IF($B83="6811",1+$I83,1)))))))))</f>
        <v/>
      </c>
      <c r="P83">
        <f>IF($A83="","",IF($E83=1,$F83*$O83,PNL!G83))</f>
        <v/>
      </c>
      <c r="T83">
        <f>IF($A83="","",IF($E83=1,IF(OR($B83="7062",$B83="706",$B83="708"),$P83,IF(AND(LEFT($B83,1)="6",$B83&lt;&gt;"6811"),-$P83,0)),0))</f>
        <v/>
      </c>
    </row>
    <row r="84">
      <c r="A84">
        <f>IF(PNL!A84="","",PNL!A84)</f>
        <v/>
      </c>
      <c r="B84">
        <f>IF(PNL!B84="","",PNL!B84)</f>
        <v/>
      </c>
      <c r="C84">
        <f>IF(PNL!C84="","",PNL!C84)</f>
        <v/>
      </c>
      <c r="D84">
        <f>IF(PNL!D84="","",PNL!D84)</f>
        <v/>
      </c>
      <c r="E84">
        <f>IF($A84="","",IF(AND($C84="2027",OR($D84="V01",$D84="V02",$D84="V03")),1,0))</f>
        <v/>
      </c>
      <c r="F84">
        <f>IF($A84="","",IF($E84=1,SUMIFS(Comptabilité!$F$1:$F$675,Comptabilité!$A$1:$A$675,$A84,Comptabilité!$B$1:$B$675,$B84,Comptabilité!$C$1:$C$675,"2026"),0))</f>
        <v/>
      </c>
      <c r="G84">
        <f>IF($A84="","",IF($D84="V01",Cadrage!$C$22,IF($D84="V02",Cadrage!$D$22,Cadrage!$E$22)))</f>
        <v/>
      </c>
      <c r="H84">
        <f>IF($A84="","",IF($D84="V01",Cadrage!$C$23,IF($D84="V02",Cadrage!$D$23,Cadrage!$E$23)))</f>
        <v/>
      </c>
      <c r="I84">
        <f>IF($A84="","",IF($D84="V01",Cadrage!$C$31,IF($D84="V02",Cadrage!$D$31,Cadrage!$E$31)))</f>
        <v/>
      </c>
      <c r="J84">
        <f>IF($A84="","",IF($D84="V01",Cadrage!$C$32,IF($D84="V02",Cadrage!$D$32,Cadrage!$E$32)))</f>
        <v/>
      </c>
      <c r="K84">
        <f>IF($A84="","",IF($D84="V01",Cadrage!$C$33,IF($D84="V02",Cadrage!$D$33,Cadrage!$E$33)))</f>
        <v/>
      </c>
      <c r="L84">
        <f>IF($A84="","",IF($D84="V01",Cadrage!$C$34,IF($D84="V02",Cadrage!$D$34,Cadrage!$E$34)))</f>
        <v/>
      </c>
      <c r="M84">
        <f>IF($A84="","",IF($D84="V01",Cadrage!$C$35,IF($D84="V02",Cadrage!$D$35,Cadrage!$E$35)))</f>
        <v/>
      </c>
      <c r="N84">
        <f>IF($A84="","",IF($D84="V01",$R$2,IF($D84="V02",$R$3,$R$4)))</f>
        <v/>
      </c>
      <c r="O84">
        <f>IF($A84="","",IF(OR($B84="7062",$B84="706",$B84="708"),$N84,IF($B84="6231",1+$G84,IF($B84="6236",1+$H84,IF(OR($B84="621",$B84="604",$B84="6063"),$N84*(1-$L84),IF(OR($B84="6411",$B84="6413",$B84="6414",$B84="645"),(1+$J84)*(1+$K84),IF(OR($B84="613",$B84="615",$B84="616",$B84="6226",$B84="625",$B84="626",$B84="6281"),(1+$I84)*(1-$L84)*(1+$M84),IF(OR($B84="6331",$B84="63511",$B84="6333"),(1+$I84)*(1-$L84),IF($B84="6811",1+$I84,1)))))))))</f>
        <v/>
      </c>
      <c r="P84">
        <f>IF($A84="","",IF($E84=1,$F84*$O84,PNL!G84))</f>
        <v/>
      </c>
      <c r="T84">
        <f>IF($A84="","",IF($E84=1,IF(OR($B84="7062",$B84="706",$B84="708"),$P84,IF(AND(LEFT($B84,1)="6",$B84&lt;&gt;"6811"),-$P84,0)),0))</f>
        <v/>
      </c>
    </row>
    <row r="85">
      <c r="A85">
        <f>IF(PNL!A85="","",PNL!A85)</f>
        <v/>
      </c>
      <c r="B85">
        <f>IF(PNL!B85="","",PNL!B85)</f>
        <v/>
      </c>
      <c r="C85">
        <f>IF(PNL!C85="","",PNL!C85)</f>
        <v/>
      </c>
      <c r="D85">
        <f>IF(PNL!D85="","",PNL!D85)</f>
        <v/>
      </c>
      <c r="E85">
        <f>IF($A85="","",IF(AND($C85="2027",OR($D85="V01",$D85="V02",$D85="V03")),1,0))</f>
        <v/>
      </c>
      <c r="F85">
        <f>IF($A85="","",IF($E85=1,SUMIFS(Comptabilité!$F$1:$F$675,Comptabilité!$A$1:$A$675,$A85,Comptabilité!$B$1:$B$675,$B85,Comptabilité!$C$1:$C$675,"2026"),0))</f>
        <v/>
      </c>
      <c r="G85">
        <f>IF($A85="","",IF($D85="V01",Cadrage!$C$22,IF($D85="V02",Cadrage!$D$22,Cadrage!$E$22)))</f>
        <v/>
      </c>
      <c r="H85">
        <f>IF($A85="","",IF($D85="V01",Cadrage!$C$23,IF($D85="V02",Cadrage!$D$23,Cadrage!$E$23)))</f>
        <v/>
      </c>
      <c r="I85">
        <f>IF($A85="","",IF($D85="V01",Cadrage!$C$31,IF($D85="V02",Cadrage!$D$31,Cadrage!$E$31)))</f>
        <v/>
      </c>
      <c r="J85">
        <f>IF($A85="","",IF($D85="V01",Cadrage!$C$32,IF($D85="V02",Cadrage!$D$32,Cadrage!$E$32)))</f>
        <v/>
      </c>
      <c r="K85">
        <f>IF($A85="","",IF($D85="V01",Cadrage!$C$33,IF($D85="V02",Cadrage!$D$33,Cadrage!$E$33)))</f>
        <v/>
      </c>
      <c r="L85">
        <f>IF($A85="","",IF($D85="V01",Cadrage!$C$34,IF($D85="V02",Cadrage!$D$34,Cadrage!$E$34)))</f>
        <v/>
      </c>
      <c r="M85">
        <f>IF($A85="","",IF($D85="V01",Cadrage!$C$35,IF($D85="V02",Cadrage!$D$35,Cadrage!$E$35)))</f>
        <v/>
      </c>
      <c r="N85">
        <f>IF($A85="","",IF($D85="V01",$R$2,IF($D85="V02",$R$3,$R$4)))</f>
        <v/>
      </c>
      <c r="O85">
        <f>IF($A85="","",IF(OR($B85="7062",$B85="706",$B85="708"),$N85,IF($B85="6231",1+$G85,IF($B85="6236",1+$H85,IF(OR($B85="621",$B85="604",$B85="6063"),$N85*(1-$L85),IF(OR($B85="6411",$B85="6413",$B85="6414",$B85="645"),(1+$J85)*(1+$K85),IF(OR($B85="613",$B85="615",$B85="616",$B85="6226",$B85="625",$B85="626",$B85="6281"),(1+$I85)*(1-$L85)*(1+$M85),IF(OR($B85="6331",$B85="63511",$B85="6333"),(1+$I85)*(1-$L85),IF($B85="6811",1+$I85,1)))))))))</f>
        <v/>
      </c>
      <c r="P85">
        <f>IF($A85="","",IF($E85=1,$F85*$O85,PNL!G85))</f>
        <v/>
      </c>
      <c r="T85">
        <f>IF($A85="","",IF($E85=1,IF(OR($B85="7062",$B85="706",$B85="708"),$P85,IF(AND(LEFT($B85,1)="6",$B85&lt;&gt;"6811"),-$P85,0)),0))</f>
        <v/>
      </c>
    </row>
    <row r="86">
      <c r="A86">
        <f>IF(PNL!A86="","",PNL!A86)</f>
        <v/>
      </c>
      <c r="B86">
        <f>IF(PNL!B86="","",PNL!B86)</f>
        <v/>
      </c>
      <c r="C86">
        <f>IF(PNL!C86="","",PNL!C86)</f>
        <v/>
      </c>
      <c r="D86">
        <f>IF(PNL!D86="","",PNL!D86)</f>
        <v/>
      </c>
      <c r="E86">
        <f>IF($A86="","",IF(AND($C86="2027",OR($D86="V01",$D86="V02",$D86="V03")),1,0))</f>
        <v/>
      </c>
      <c r="F86">
        <f>IF($A86="","",IF($E86=1,SUMIFS(Comptabilité!$F$1:$F$675,Comptabilité!$A$1:$A$675,$A86,Comptabilité!$B$1:$B$675,$B86,Comptabilité!$C$1:$C$675,"2026"),0))</f>
        <v/>
      </c>
      <c r="G86">
        <f>IF($A86="","",IF($D86="V01",Cadrage!$C$22,IF($D86="V02",Cadrage!$D$22,Cadrage!$E$22)))</f>
        <v/>
      </c>
      <c r="H86">
        <f>IF($A86="","",IF($D86="V01",Cadrage!$C$23,IF($D86="V02",Cadrage!$D$23,Cadrage!$E$23)))</f>
        <v/>
      </c>
      <c r="I86">
        <f>IF($A86="","",IF($D86="V01",Cadrage!$C$31,IF($D86="V02",Cadrage!$D$31,Cadrage!$E$31)))</f>
        <v/>
      </c>
      <c r="J86">
        <f>IF($A86="","",IF($D86="V01",Cadrage!$C$32,IF($D86="V02",Cadrage!$D$32,Cadrage!$E$32)))</f>
        <v/>
      </c>
      <c r="K86">
        <f>IF($A86="","",IF($D86="V01",Cadrage!$C$33,IF($D86="V02",Cadrage!$D$33,Cadrage!$E$33)))</f>
        <v/>
      </c>
      <c r="L86">
        <f>IF($A86="","",IF($D86="V01",Cadrage!$C$34,IF($D86="V02",Cadrage!$D$34,Cadrage!$E$34)))</f>
        <v/>
      </c>
      <c r="M86">
        <f>IF($A86="","",IF($D86="V01",Cadrage!$C$35,IF($D86="V02",Cadrage!$D$35,Cadrage!$E$35)))</f>
        <v/>
      </c>
      <c r="N86">
        <f>IF($A86="","",IF($D86="V01",$R$2,IF($D86="V02",$R$3,$R$4)))</f>
        <v/>
      </c>
      <c r="O86">
        <f>IF($A86="","",IF(OR($B86="7062",$B86="706",$B86="708"),$N86,IF($B86="6231",1+$G86,IF($B86="6236",1+$H86,IF(OR($B86="621",$B86="604",$B86="6063"),$N86*(1-$L86),IF(OR($B86="6411",$B86="6413",$B86="6414",$B86="645"),(1+$J86)*(1+$K86),IF(OR($B86="613",$B86="615",$B86="616",$B86="6226",$B86="625",$B86="626",$B86="6281"),(1+$I86)*(1-$L86)*(1+$M86),IF(OR($B86="6331",$B86="63511",$B86="6333"),(1+$I86)*(1-$L86),IF($B86="6811",1+$I86,1)))))))))</f>
        <v/>
      </c>
      <c r="P86">
        <f>IF($A86="","",IF($E86=1,$F86*$O86,PNL!G86))</f>
        <v/>
      </c>
      <c r="T86">
        <f>IF($A86="","",IF($E86=1,IF(OR($B86="7062",$B86="706",$B86="708"),$P86,IF(AND(LEFT($B86,1)="6",$B86&lt;&gt;"6811"),-$P86,0)),0))</f>
        <v/>
      </c>
    </row>
    <row r="87">
      <c r="A87">
        <f>IF(PNL!A87="","",PNL!A87)</f>
        <v/>
      </c>
      <c r="B87">
        <f>IF(PNL!B87="","",PNL!B87)</f>
        <v/>
      </c>
      <c r="C87">
        <f>IF(PNL!C87="","",PNL!C87)</f>
        <v/>
      </c>
      <c r="D87">
        <f>IF(PNL!D87="","",PNL!D87)</f>
        <v/>
      </c>
      <c r="E87">
        <f>IF($A87="","",IF(AND($C87="2027",OR($D87="V01",$D87="V02",$D87="V03")),1,0))</f>
        <v/>
      </c>
      <c r="F87">
        <f>IF($A87="","",IF($E87=1,SUMIFS(Comptabilité!$F$1:$F$675,Comptabilité!$A$1:$A$675,$A87,Comptabilité!$B$1:$B$675,$B87,Comptabilité!$C$1:$C$675,"2026"),0))</f>
        <v/>
      </c>
      <c r="G87">
        <f>IF($A87="","",IF($D87="V01",Cadrage!$C$22,IF($D87="V02",Cadrage!$D$22,Cadrage!$E$22)))</f>
        <v/>
      </c>
      <c r="H87">
        <f>IF($A87="","",IF($D87="V01",Cadrage!$C$23,IF($D87="V02",Cadrage!$D$23,Cadrage!$E$23)))</f>
        <v/>
      </c>
      <c r="I87">
        <f>IF($A87="","",IF($D87="V01",Cadrage!$C$31,IF($D87="V02",Cadrage!$D$31,Cadrage!$E$31)))</f>
        <v/>
      </c>
      <c r="J87">
        <f>IF($A87="","",IF($D87="V01",Cadrage!$C$32,IF($D87="V02",Cadrage!$D$32,Cadrage!$E$32)))</f>
        <v/>
      </c>
      <c r="K87">
        <f>IF($A87="","",IF($D87="V01",Cadrage!$C$33,IF($D87="V02",Cadrage!$D$33,Cadrage!$E$33)))</f>
        <v/>
      </c>
      <c r="L87">
        <f>IF($A87="","",IF($D87="V01",Cadrage!$C$34,IF($D87="V02",Cadrage!$D$34,Cadrage!$E$34)))</f>
        <v/>
      </c>
      <c r="M87">
        <f>IF($A87="","",IF($D87="V01",Cadrage!$C$35,IF($D87="V02",Cadrage!$D$35,Cadrage!$E$35)))</f>
        <v/>
      </c>
      <c r="N87">
        <f>IF($A87="","",IF($D87="V01",$R$2,IF($D87="V02",$R$3,$R$4)))</f>
        <v/>
      </c>
      <c r="O87">
        <f>IF($A87="","",IF(OR($B87="7062",$B87="706",$B87="708"),$N87,IF($B87="6231",1+$G87,IF($B87="6236",1+$H87,IF(OR($B87="621",$B87="604",$B87="6063"),$N87*(1-$L87),IF(OR($B87="6411",$B87="6413",$B87="6414",$B87="645"),(1+$J87)*(1+$K87),IF(OR($B87="613",$B87="615",$B87="616",$B87="6226",$B87="625",$B87="626",$B87="6281"),(1+$I87)*(1-$L87)*(1+$M87),IF(OR($B87="6331",$B87="63511",$B87="6333"),(1+$I87)*(1-$L87),IF($B87="6811",1+$I87,1)))))))))</f>
        <v/>
      </c>
      <c r="P87">
        <f>IF($A87="","",IF($E87=1,$F87*$O87,PNL!G87))</f>
        <v/>
      </c>
      <c r="T87">
        <f>IF($A87="","",IF($E87=1,IF(OR($B87="7062",$B87="706",$B87="708"),$P87,IF(AND(LEFT($B87,1)="6",$B87&lt;&gt;"6811"),-$P87,0)),0))</f>
        <v/>
      </c>
    </row>
    <row r="88">
      <c r="A88">
        <f>IF(PNL!A88="","",PNL!A88)</f>
        <v/>
      </c>
      <c r="B88">
        <f>IF(PNL!B88="","",PNL!B88)</f>
        <v/>
      </c>
      <c r="C88">
        <f>IF(PNL!C88="","",PNL!C88)</f>
        <v/>
      </c>
      <c r="D88">
        <f>IF(PNL!D88="","",PNL!D88)</f>
        <v/>
      </c>
      <c r="E88">
        <f>IF($A88="","",IF(AND($C88="2027",OR($D88="V01",$D88="V02",$D88="V03")),1,0))</f>
        <v/>
      </c>
      <c r="F88">
        <f>IF($A88="","",IF($E88=1,SUMIFS(Comptabilité!$F$1:$F$675,Comptabilité!$A$1:$A$675,$A88,Comptabilité!$B$1:$B$675,$B88,Comptabilité!$C$1:$C$675,"2026"),0))</f>
        <v/>
      </c>
      <c r="G88">
        <f>IF($A88="","",IF($D88="V01",Cadrage!$C$22,IF($D88="V02",Cadrage!$D$22,Cadrage!$E$22)))</f>
        <v/>
      </c>
      <c r="H88">
        <f>IF($A88="","",IF($D88="V01",Cadrage!$C$23,IF($D88="V02",Cadrage!$D$23,Cadrage!$E$23)))</f>
        <v/>
      </c>
      <c r="I88">
        <f>IF($A88="","",IF($D88="V01",Cadrage!$C$31,IF($D88="V02",Cadrage!$D$31,Cadrage!$E$31)))</f>
        <v/>
      </c>
      <c r="J88">
        <f>IF($A88="","",IF($D88="V01",Cadrage!$C$32,IF($D88="V02",Cadrage!$D$32,Cadrage!$E$32)))</f>
        <v/>
      </c>
      <c r="K88">
        <f>IF($A88="","",IF($D88="V01",Cadrage!$C$33,IF($D88="V02",Cadrage!$D$33,Cadrage!$E$33)))</f>
        <v/>
      </c>
      <c r="L88">
        <f>IF($A88="","",IF($D88="V01",Cadrage!$C$34,IF($D88="V02",Cadrage!$D$34,Cadrage!$E$34)))</f>
        <v/>
      </c>
      <c r="M88">
        <f>IF($A88="","",IF($D88="V01",Cadrage!$C$35,IF($D88="V02",Cadrage!$D$35,Cadrage!$E$35)))</f>
        <v/>
      </c>
      <c r="N88">
        <f>IF($A88="","",IF($D88="V01",$R$2,IF($D88="V02",$R$3,$R$4)))</f>
        <v/>
      </c>
      <c r="O88">
        <f>IF($A88="","",IF(OR($B88="7062",$B88="706",$B88="708"),$N88,IF($B88="6231",1+$G88,IF($B88="6236",1+$H88,IF(OR($B88="621",$B88="604",$B88="6063"),$N88*(1-$L88),IF(OR($B88="6411",$B88="6413",$B88="6414",$B88="645"),(1+$J88)*(1+$K88),IF(OR($B88="613",$B88="615",$B88="616",$B88="6226",$B88="625",$B88="626",$B88="6281"),(1+$I88)*(1-$L88)*(1+$M88),IF(OR($B88="6331",$B88="63511",$B88="6333"),(1+$I88)*(1-$L88),IF($B88="6811",1+$I88,1)))))))))</f>
        <v/>
      </c>
      <c r="P88">
        <f>IF($A88="","",IF($E88=1,$F88*$O88,PNL!G88))</f>
        <v/>
      </c>
      <c r="T88">
        <f>IF($A88="","",IF($E88=1,IF(OR($B88="7062",$B88="706",$B88="708"),$P88,IF(AND(LEFT($B88,1)="6",$B88&lt;&gt;"6811"),-$P88,0)),0))</f>
        <v/>
      </c>
    </row>
    <row r="89">
      <c r="A89">
        <f>IF(PNL!A89="","",PNL!A89)</f>
        <v/>
      </c>
      <c r="B89">
        <f>IF(PNL!B89="","",PNL!B89)</f>
        <v/>
      </c>
      <c r="C89">
        <f>IF(PNL!C89="","",PNL!C89)</f>
        <v/>
      </c>
      <c r="D89">
        <f>IF(PNL!D89="","",PNL!D89)</f>
        <v/>
      </c>
      <c r="E89">
        <f>IF($A89="","",IF(AND($C89="2027",OR($D89="V01",$D89="V02",$D89="V03")),1,0))</f>
        <v/>
      </c>
      <c r="F89">
        <f>IF($A89="","",IF($E89=1,SUMIFS(Comptabilité!$F$1:$F$675,Comptabilité!$A$1:$A$675,$A89,Comptabilité!$B$1:$B$675,$B89,Comptabilité!$C$1:$C$675,"2026"),0))</f>
        <v/>
      </c>
      <c r="G89">
        <f>IF($A89="","",IF($D89="V01",Cadrage!$C$22,IF($D89="V02",Cadrage!$D$22,Cadrage!$E$22)))</f>
        <v/>
      </c>
      <c r="H89">
        <f>IF($A89="","",IF($D89="V01",Cadrage!$C$23,IF($D89="V02",Cadrage!$D$23,Cadrage!$E$23)))</f>
        <v/>
      </c>
      <c r="I89">
        <f>IF($A89="","",IF($D89="V01",Cadrage!$C$31,IF($D89="V02",Cadrage!$D$31,Cadrage!$E$31)))</f>
        <v/>
      </c>
      <c r="J89">
        <f>IF($A89="","",IF($D89="V01",Cadrage!$C$32,IF($D89="V02",Cadrage!$D$32,Cadrage!$E$32)))</f>
        <v/>
      </c>
      <c r="K89">
        <f>IF($A89="","",IF($D89="V01",Cadrage!$C$33,IF($D89="V02",Cadrage!$D$33,Cadrage!$E$33)))</f>
        <v/>
      </c>
      <c r="L89">
        <f>IF($A89="","",IF($D89="V01",Cadrage!$C$34,IF($D89="V02",Cadrage!$D$34,Cadrage!$E$34)))</f>
        <v/>
      </c>
      <c r="M89">
        <f>IF($A89="","",IF($D89="V01",Cadrage!$C$35,IF($D89="V02",Cadrage!$D$35,Cadrage!$E$35)))</f>
        <v/>
      </c>
      <c r="N89">
        <f>IF($A89="","",IF($D89="V01",$R$2,IF($D89="V02",$R$3,$R$4)))</f>
        <v/>
      </c>
      <c r="O89">
        <f>IF($A89="","",IF(OR($B89="7062",$B89="706",$B89="708"),$N89,IF($B89="6231",1+$G89,IF($B89="6236",1+$H89,IF(OR($B89="621",$B89="604",$B89="6063"),$N89*(1-$L89),IF(OR($B89="6411",$B89="6413",$B89="6414",$B89="645"),(1+$J89)*(1+$K89),IF(OR($B89="613",$B89="615",$B89="616",$B89="6226",$B89="625",$B89="626",$B89="6281"),(1+$I89)*(1-$L89)*(1+$M89),IF(OR($B89="6331",$B89="63511",$B89="6333"),(1+$I89)*(1-$L89),IF($B89="6811",1+$I89,1)))))))))</f>
        <v/>
      </c>
      <c r="P89">
        <f>IF($A89="","",IF($E89=1,$F89*$O89,PNL!G89))</f>
        <v/>
      </c>
      <c r="T89">
        <f>IF($A89="","",IF($E89=1,IF(OR($B89="7062",$B89="706",$B89="708"),$P89,IF(AND(LEFT($B89,1)="6",$B89&lt;&gt;"6811"),-$P89,0)),0))</f>
        <v/>
      </c>
    </row>
    <row r="90">
      <c r="A90">
        <f>IF(PNL!A90="","",PNL!A90)</f>
        <v/>
      </c>
      <c r="B90">
        <f>IF(PNL!B90="","",PNL!B90)</f>
        <v/>
      </c>
      <c r="C90">
        <f>IF(PNL!C90="","",PNL!C90)</f>
        <v/>
      </c>
      <c r="D90">
        <f>IF(PNL!D90="","",PNL!D90)</f>
        <v/>
      </c>
      <c r="E90">
        <f>IF($A90="","",IF(AND($C90="2027",OR($D90="V01",$D90="V02",$D90="V03")),1,0))</f>
        <v/>
      </c>
      <c r="F90">
        <f>IF($A90="","",IF($E90=1,SUMIFS(Comptabilité!$F$1:$F$675,Comptabilité!$A$1:$A$675,$A90,Comptabilité!$B$1:$B$675,$B90,Comptabilité!$C$1:$C$675,"2026"),0))</f>
        <v/>
      </c>
      <c r="G90">
        <f>IF($A90="","",IF($D90="V01",Cadrage!$C$22,IF($D90="V02",Cadrage!$D$22,Cadrage!$E$22)))</f>
        <v/>
      </c>
      <c r="H90">
        <f>IF($A90="","",IF($D90="V01",Cadrage!$C$23,IF($D90="V02",Cadrage!$D$23,Cadrage!$E$23)))</f>
        <v/>
      </c>
      <c r="I90">
        <f>IF($A90="","",IF($D90="V01",Cadrage!$C$31,IF($D90="V02",Cadrage!$D$31,Cadrage!$E$31)))</f>
        <v/>
      </c>
      <c r="J90">
        <f>IF($A90="","",IF($D90="V01",Cadrage!$C$32,IF($D90="V02",Cadrage!$D$32,Cadrage!$E$32)))</f>
        <v/>
      </c>
      <c r="K90">
        <f>IF($A90="","",IF($D90="V01",Cadrage!$C$33,IF($D90="V02",Cadrage!$D$33,Cadrage!$E$33)))</f>
        <v/>
      </c>
      <c r="L90">
        <f>IF($A90="","",IF($D90="V01",Cadrage!$C$34,IF($D90="V02",Cadrage!$D$34,Cadrage!$E$34)))</f>
        <v/>
      </c>
      <c r="M90">
        <f>IF($A90="","",IF($D90="V01",Cadrage!$C$35,IF($D90="V02",Cadrage!$D$35,Cadrage!$E$35)))</f>
        <v/>
      </c>
      <c r="N90">
        <f>IF($A90="","",IF($D90="V01",$R$2,IF($D90="V02",$R$3,$R$4)))</f>
        <v/>
      </c>
      <c r="O90">
        <f>IF($A90="","",IF(OR($B90="7062",$B90="706",$B90="708"),$N90,IF($B90="6231",1+$G90,IF($B90="6236",1+$H90,IF(OR($B90="621",$B90="604",$B90="6063"),$N90*(1-$L90),IF(OR($B90="6411",$B90="6413",$B90="6414",$B90="645"),(1+$J90)*(1+$K90),IF(OR($B90="613",$B90="615",$B90="616",$B90="6226",$B90="625",$B90="626",$B90="6281"),(1+$I90)*(1-$L90)*(1+$M90),IF(OR($B90="6331",$B90="63511",$B90="6333"),(1+$I90)*(1-$L90),IF($B90="6811",1+$I90,1)))))))))</f>
        <v/>
      </c>
      <c r="P90">
        <f>IF($A90="","",IF($E90=1,$F90*$O90,PNL!G90))</f>
        <v/>
      </c>
      <c r="T90">
        <f>IF($A90="","",IF($E90=1,IF(OR($B90="7062",$B90="706",$B90="708"),$P90,IF(AND(LEFT($B90,1)="6",$B90&lt;&gt;"6811"),-$P90,0)),0))</f>
        <v/>
      </c>
    </row>
    <row r="91">
      <c r="A91">
        <f>IF(PNL!A91="","",PNL!A91)</f>
        <v/>
      </c>
      <c r="B91">
        <f>IF(PNL!B91="","",PNL!B91)</f>
        <v/>
      </c>
      <c r="C91">
        <f>IF(PNL!C91="","",PNL!C91)</f>
        <v/>
      </c>
      <c r="D91">
        <f>IF(PNL!D91="","",PNL!D91)</f>
        <v/>
      </c>
      <c r="E91">
        <f>IF($A91="","",IF(AND($C91="2027",OR($D91="V01",$D91="V02",$D91="V03")),1,0))</f>
        <v/>
      </c>
      <c r="F91">
        <f>IF($A91="","",IF($E91=1,SUMIFS(Comptabilité!$F$1:$F$675,Comptabilité!$A$1:$A$675,$A91,Comptabilité!$B$1:$B$675,$B91,Comptabilité!$C$1:$C$675,"2026"),0))</f>
        <v/>
      </c>
      <c r="G91">
        <f>IF($A91="","",IF($D91="V01",Cadrage!$C$22,IF($D91="V02",Cadrage!$D$22,Cadrage!$E$22)))</f>
        <v/>
      </c>
      <c r="H91">
        <f>IF($A91="","",IF($D91="V01",Cadrage!$C$23,IF($D91="V02",Cadrage!$D$23,Cadrage!$E$23)))</f>
        <v/>
      </c>
      <c r="I91">
        <f>IF($A91="","",IF($D91="V01",Cadrage!$C$31,IF($D91="V02",Cadrage!$D$31,Cadrage!$E$31)))</f>
        <v/>
      </c>
      <c r="J91">
        <f>IF($A91="","",IF($D91="V01",Cadrage!$C$32,IF($D91="V02",Cadrage!$D$32,Cadrage!$E$32)))</f>
        <v/>
      </c>
      <c r="K91">
        <f>IF($A91="","",IF($D91="V01",Cadrage!$C$33,IF($D91="V02",Cadrage!$D$33,Cadrage!$E$33)))</f>
        <v/>
      </c>
      <c r="L91">
        <f>IF($A91="","",IF($D91="V01",Cadrage!$C$34,IF($D91="V02",Cadrage!$D$34,Cadrage!$E$34)))</f>
        <v/>
      </c>
      <c r="M91">
        <f>IF($A91="","",IF($D91="V01",Cadrage!$C$35,IF($D91="V02",Cadrage!$D$35,Cadrage!$E$35)))</f>
        <v/>
      </c>
      <c r="N91">
        <f>IF($A91="","",IF($D91="V01",$R$2,IF($D91="V02",$R$3,$R$4)))</f>
        <v/>
      </c>
      <c r="O91">
        <f>IF($A91="","",IF(OR($B91="7062",$B91="706",$B91="708"),$N91,IF($B91="6231",1+$G91,IF($B91="6236",1+$H91,IF(OR($B91="621",$B91="604",$B91="6063"),$N91*(1-$L91),IF(OR($B91="6411",$B91="6413",$B91="6414",$B91="645"),(1+$J91)*(1+$K91),IF(OR($B91="613",$B91="615",$B91="616",$B91="6226",$B91="625",$B91="626",$B91="6281"),(1+$I91)*(1-$L91)*(1+$M91),IF(OR($B91="6331",$B91="63511",$B91="6333"),(1+$I91)*(1-$L91),IF($B91="6811",1+$I91,1)))))))))</f>
        <v/>
      </c>
      <c r="P91">
        <f>IF($A91="","",IF($E91=1,$F91*$O91,PNL!G91))</f>
        <v/>
      </c>
      <c r="T91">
        <f>IF($A91="","",IF($E91=1,IF(OR($B91="7062",$B91="706",$B91="708"),$P91,IF(AND(LEFT($B91,1)="6",$B91&lt;&gt;"6811"),-$P91,0)),0))</f>
        <v/>
      </c>
    </row>
    <row r="92">
      <c r="A92">
        <f>IF(PNL!A92="","",PNL!A92)</f>
        <v/>
      </c>
      <c r="B92">
        <f>IF(PNL!B92="","",PNL!B92)</f>
        <v/>
      </c>
      <c r="C92">
        <f>IF(PNL!C92="","",PNL!C92)</f>
        <v/>
      </c>
      <c r="D92">
        <f>IF(PNL!D92="","",PNL!D92)</f>
        <v/>
      </c>
      <c r="E92">
        <f>IF($A92="","",IF(AND($C92="2027",OR($D92="V01",$D92="V02",$D92="V03")),1,0))</f>
        <v/>
      </c>
      <c r="F92">
        <f>IF($A92="","",IF($E92=1,SUMIFS(Comptabilité!$F$1:$F$675,Comptabilité!$A$1:$A$675,$A92,Comptabilité!$B$1:$B$675,$B92,Comptabilité!$C$1:$C$675,"2026"),0))</f>
        <v/>
      </c>
      <c r="G92">
        <f>IF($A92="","",IF($D92="V01",Cadrage!$C$22,IF($D92="V02",Cadrage!$D$22,Cadrage!$E$22)))</f>
        <v/>
      </c>
      <c r="H92">
        <f>IF($A92="","",IF($D92="V01",Cadrage!$C$23,IF($D92="V02",Cadrage!$D$23,Cadrage!$E$23)))</f>
        <v/>
      </c>
      <c r="I92">
        <f>IF($A92="","",IF($D92="V01",Cadrage!$C$31,IF($D92="V02",Cadrage!$D$31,Cadrage!$E$31)))</f>
        <v/>
      </c>
      <c r="J92">
        <f>IF($A92="","",IF($D92="V01",Cadrage!$C$32,IF($D92="V02",Cadrage!$D$32,Cadrage!$E$32)))</f>
        <v/>
      </c>
      <c r="K92">
        <f>IF($A92="","",IF($D92="V01",Cadrage!$C$33,IF($D92="V02",Cadrage!$D$33,Cadrage!$E$33)))</f>
        <v/>
      </c>
      <c r="L92">
        <f>IF($A92="","",IF($D92="V01",Cadrage!$C$34,IF($D92="V02",Cadrage!$D$34,Cadrage!$E$34)))</f>
        <v/>
      </c>
      <c r="M92">
        <f>IF($A92="","",IF($D92="V01",Cadrage!$C$35,IF($D92="V02",Cadrage!$D$35,Cadrage!$E$35)))</f>
        <v/>
      </c>
      <c r="N92">
        <f>IF($A92="","",IF($D92="V01",$R$2,IF($D92="V02",$R$3,$R$4)))</f>
        <v/>
      </c>
      <c r="O92">
        <f>IF($A92="","",IF(OR($B92="7062",$B92="706",$B92="708"),$N92,IF($B92="6231",1+$G92,IF($B92="6236",1+$H92,IF(OR($B92="621",$B92="604",$B92="6063"),$N92*(1-$L92),IF(OR($B92="6411",$B92="6413",$B92="6414",$B92="645"),(1+$J92)*(1+$K92),IF(OR($B92="613",$B92="615",$B92="616",$B92="6226",$B92="625",$B92="626",$B92="6281"),(1+$I92)*(1-$L92)*(1+$M92),IF(OR($B92="6331",$B92="63511",$B92="6333"),(1+$I92)*(1-$L92),IF($B92="6811",1+$I92,1)))))))))</f>
        <v/>
      </c>
      <c r="P92">
        <f>IF($A92="","",IF($E92=1,$F92*$O92,PNL!G92))</f>
        <v/>
      </c>
      <c r="T92">
        <f>IF($A92="","",IF($E92=1,IF(OR($B92="7062",$B92="706",$B92="708"),$P92,IF(AND(LEFT($B92,1)="6",$B92&lt;&gt;"6811"),-$P92,0)),0))</f>
        <v/>
      </c>
    </row>
    <row r="93">
      <c r="A93">
        <f>IF(PNL!A93="","",PNL!A93)</f>
        <v/>
      </c>
      <c r="B93">
        <f>IF(PNL!B93="","",PNL!B93)</f>
        <v/>
      </c>
      <c r="C93">
        <f>IF(PNL!C93="","",PNL!C93)</f>
        <v/>
      </c>
      <c r="D93">
        <f>IF(PNL!D93="","",PNL!D93)</f>
        <v/>
      </c>
      <c r="E93">
        <f>IF($A93="","",IF(AND($C93="2027",OR($D93="V01",$D93="V02",$D93="V03")),1,0))</f>
        <v/>
      </c>
      <c r="F93">
        <f>IF($A93="","",IF($E93=1,SUMIFS(Comptabilité!$F$1:$F$675,Comptabilité!$A$1:$A$675,$A93,Comptabilité!$B$1:$B$675,$B93,Comptabilité!$C$1:$C$675,"2026"),0))</f>
        <v/>
      </c>
      <c r="G93">
        <f>IF($A93="","",IF($D93="V01",Cadrage!$C$22,IF($D93="V02",Cadrage!$D$22,Cadrage!$E$22)))</f>
        <v/>
      </c>
      <c r="H93">
        <f>IF($A93="","",IF($D93="V01",Cadrage!$C$23,IF($D93="V02",Cadrage!$D$23,Cadrage!$E$23)))</f>
        <v/>
      </c>
      <c r="I93">
        <f>IF($A93="","",IF($D93="V01",Cadrage!$C$31,IF($D93="V02",Cadrage!$D$31,Cadrage!$E$31)))</f>
        <v/>
      </c>
      <c r="J93">
        <f>IF($A93="","",IF($D93="V01",Cadrage!$C$32,IF($D93="V02",Cadrage!$D$32,Cadrage!$E$32)))</f>
        <v/>
      </c>
      <c r="K93">
        <f>IF($A93="","",IF($D93="V01",Cadrage!$C$33,IF($D93="V02",Cadrage!$D$33,Cadrage!$E$33)))</f>
        <v/>
      </c>
      <c r="L93">
        <f>IF($A93="","",IF($D93="V01",Cadrage!$C$34,IF($D93="V02",Cadrage!$D$34,Cadrage!$E$34)))</f>
        <v/>
      </c>
      <c r="M93">
        <f>IF($A93="","",IF($D93="V01",Cadrage!$C$35,IF($D93="V02",Cadrage!$D$35,Cadrage!$E$35)))</f>
        <v/>
      </c>
      <c r="N93">
        <f>IF($A93="","",IF($D93="V01",$R$2,IF($D93="V02",$R$3,$R$4)))</f>
        <v/>
      </c>
      <c r="O93">
        <f>IF($A93="","",IF(OR($B93="7062",$B93="706",$B93="708"),$N93,IF($B93="6231",1+$G93,IF($B93="6236",1+$H93,IF(OR($B93="621",$B93="604",$B93="6063"),$N93*(1-$L93),IF(OR($B93="6411",$B93="6413",$B93="6414",$B93="645"),(1+$J93)*(1+$K93),IF(OR($B93="613",$B93="615",$B93="616",$B93="6226",$B93="625",$B93="626",$B93="6281"),(1+$I93)*(1-$L93)*(1+$M93),IF(OR($B93="6331",$B93="63511",$B93="6333"),(1+$I93)*(1-$L93),IF($B93="6811",1+$I93,1)))))))))</f>
        <v/>
      </c>
      <c r="P93">
        <f>IF($A93="","",IF($E93=1,$F93*$O93,PNL!G93))</f>
        <v/>
      </c>
      <c r="T93">
        <f>IF($A93="","",IF($E93=1,IF(OR($B93="7062",$B93="706",$B93="708"),$P93,IF(AND(LEFT($B93,1)="6",$B93&lt;&gt;"6811"),-$P93,0)),0))</f>
        <v/>
      </c>
    </row>
    <row r="94">
      <c r="A94">
        <f>IF(PNL!A94="","",PNL!A94)</f>
        <v/>
      </c>
      <c r="B94">
        <f>IF(PNL!B94="","",PNL!B94)</f>
        <v/>
      </c>
      <c r="C94">
        <f>IF(PNL!C94="","",PNL!C94)</f>
        <v/>
      </c>
      <c r="D94">
        <f>IF(PNL!D94="","",PNL!D94)</f>
        <v/>
      </c>
      <c r="E94">
        <f>IF($A94="","",IF(AND($C94="2027",OR($D94="V01",$D94="V02",$D94="V03")),1,0))</f>
        <v/>
      </c>
      <c r="F94">
        <f>IF($A94="","",IF($E94=1,SUMIFS(Comptabilité!$F$1:$F$675,Comptabilité!$A$1:$A$675,$A94,Comptabilité!$B$1:$B$675,$B94,Comptabilité!$C$1:$C$675,"2026"),0))</f>
        <v/>
      </c>
      <c r="G94">
        <f>IF($A94="","",IF($D94="V01",Cadrage!$C$22,IF($D94="V02",Cadrage!$D$22,Cadrage!$E$22)))</f>
        <v/>
      </c>
      <c r="H94">
        <f>IF($A94="","",IF($D94="V01",Cadrage!$C$23,IF($D94="V02",Cadrage!$D$23,Cadrage!$E$23)))</f>
        <v/>
      </c>
      <c r="I94">
        <f>IF($A94="","",IF($D94="V01",Cadrage!$C$31,IF($D94="V02",Cadrage!$D$31,Cadrage!$E$31)))</f>
        <v/>
      </c>
      <c r="J94">
        <f>IF($A94="","",IF($D94="V01",Cadrage!$C$32,IF($D94="V02",Cadrage!$D$32,Cadrage!$E$32)))</f>
        <v/>
      </c>
      <c r="K94">
        <f>IF($A94="","",IF($D94="V01",Cadrage!$C$33,IF($D94="V02",Cadrage!$D$33,Cadrage!$E$33)))</f>
        <v/>
      </c>
      <c r="L94">
        <f>IF($A94="","",IF($D94="V01",Cadrage!$C$34,IF($D94="V02",Cadrage!$D$34,Cadrage!$E$34)))</f>
        <v/>
      </c>
      <c r="M94">
        <f>IF($A94="","",IF($D94="V01",Cadrage!$C$35,IF($D94="V02",Cadrage!$D$35,Cadrage!$E$35)))</f>
        <v/>
      </c>
      <c r="N94">
        <f>IF($A94="","",IF($D94="V01",$R$2,IF($D94="V02",$R$3,$R$4)))</f>
        <v/>
      </c>
      <c r="O94">
        <f>IF($A94="","",IF(OR($B94="7062",$B94="706",$B94="708"),$N94,IF($B94="6231",1+$G94,IF($B94="6236",1+$H94,IF(OR($B94="621",$B94="604",$B94="6063"),$N94*(1-$L94),IF(OR($B94="6411",$B94="6413",$B94="6414",$B94="645"),(1+$J94)*(1+$K94),IF(OR($B94="613",$B94="615",$B94="616",$B94="6226",$B94="625",$B94="626",$B94="6281"),(1+$I94)*(1-$L94)*(1+$M94),IF(OR($B94="6331",$B94="63511",$B94="6333"),(1+$I94)*(1-$L94),IF($B94="6811",1+$I94,1)))))))))</f>
        <v/>
      </c>
      <c r="P94">
        <f>IF($A94="","",IF($E94=1,$F94*$O94,PNL!G94))</f>
        <v/>
      </c>
      <c r="T94">
        <f>IF($A94="","",IF($E94=1,IF(OR($B94="7062",$B94="706",$B94="708"),$P94,IF(AND(LEFT($B94,1)="6",$B94&lt;&gt;"6811"),-$P94,0)),0))</f>
        <v/>
      </c>
    </row>
    <row r="95">
      <c r="A95">
        <f>IF(PNL!A95="","",PNL!A95)</f>
        <v/>
      </c>
      <c r="B95">
        <f>IF(PNL!B95="","",PNL!B95)</f>
        <v/>
      </c>
      <c r="C95">
        <f>IF(PNL!C95="","",PNL!C95)</f>
        <v/>
      </c>
      <c r="D95">
        <f>IF(PNL!D95="","",PNL!D95)</f>
        <v/>
      </c>
      <c r="E95">
        <f>IF($A95="","",IF(AND($C95="2027",OR($D95="V01",$D95="V02",$D95="V03")),1,0))</f>
        <v/>
      </c>
      <c r="F95">
        <f>IF($A95="","",IF($E95=1,SUMIFS(Comptabilité!$F$1:$F$675,Comptabilité!$A$1:$A$675,$A95,Comptabilité!$B$1:$B$675,$B95,Comptabilité!$C$1:$C$675,"2026"),0))</f>
        <v/>
      </c>
      <c r="G95">
        <f>IF($A95="","",IF($D95="V01",Cadrage!$C$22,IF($D95="V02",Cadrage!$D$22,Cadrage!$E$22)))</f>
        <v/>
      </c>
      <c r="H95">
        <f>IF($A95="","",IF($D95="V01",Cadrage!$C$23,IF($D95="V02",Cadrage!$D$23,Cadrage!$E$23)))</f>
        <v/>
      </c>
      <c r="I95">
        <f>IF($A95="","",IF($D95="V01",Cadrage!$C$31,IF($D95="V02",Cadrage!$D$31,Cadrage!$E$31)))</f>
        <v/>
      </c>
      <c r="J95">
        <f>IF($A95="","",IF($D95="V01",Cadrage!$C$32,IF($D95="V02",Cadrage!$D$32,Cadrage!$E$32)))</f>
        <v/>
      </c>
      <c r="K95">
        <f>IF($A95="","",IF($D95="V01",Cadrage!$C$33,IF($D95="V02",Cadrage!$D$33,Cadrage!$E$33)))</f>
        <v/>
      </c>
      <c r="L95">
        <f>IF($A95="","",IF($D95="V01",Cadrage!$C$34,IF($D95="V02",Cadrage!$D$34,Cadrage!$E$34)))</f>
        <v/>
      </c>
      <c r="M95">
        <f>IF($A95="","",IF($D95="V01",Cadrage!$C$35,IF($D95="V02",Cadrage!$D$35,Cadrage!$E$35)))</f>
        <v/>
      </c>
      <c r="N95">
        <f>IF($A95="","",IF($D95="V01",$R$2,IF($D95="V02",$R$3,$R$4)))</f>
        <v/>
      </c>
      <c r="O95">
        <f>IF($A95="","",IF(OR($B95="7062",$B95="706",$B95="708"),$N95,IF($B95="6231",1+$G95,IF($B95="6236",1+$H95,IF(OR($B95="621",$B95="604",$B95="6063"),$N95*(1-$L95),IF(OR($B95="6411",$B95="6413",$B95="6414",$B95="645"),(1+$J95)*(1+$K95),IF(OR($B95="613",$B95="615",$B95="616",$B95="6226",$B95="625",$B95="626",$B95="6281"),(1+$I95)*(1-$L95)*(1+$M95),IF(OR($B95="6331",$B95="63511",$B95="6333"),(1+$I95)*(1-$L95),IF($B95="6811",1+$I95,1)))))))))</f>
        <v/>
      </c>
      <c r="P95">
        <f>IF($A95="","",IF($E95=1,$F95*$O95,PNL!G95))</f>
        <v/>
      </c>
      <c r="T95">
        <f>IF($A95="","",IF($E95=1,IF(OR($B95="7062",$B95="706",$B95="708"),$P95,IF(AND(LEFT($B95,1)="6",$B95&lt;&gt;"6811"),-$P95,0)),0))</f>
        <v/>
      </c>
    </row>
    <row r="96">
      <c r="A96">
        <f>IF(PNL!A96="","",PNL!A96)</f>
        <v/>
      </c>
      <c r="B96">
        <f>IF(PNL!B96="","",PNL!B96)</f>
        <v/>
      </c>
      <c r="C96">
        <f>IF(PNL!C96="","",PNL!C96)</f>
        <v/>
      </c>
      <c r="D96">
        <f>IF(PNL!D96="","",PNL!D96)</f>
        <v/>
      </c>
      <c r="E96">
        <f>IF($A96="","",IF(AND($C96="2027",OR($D96="V01",$D96="V02",$D96="V03")),1,0))</f>
        <v/>
      </c>
      <c r="F96">
        <f>IF($A96="","",IF($E96=1,SUMIFS(Comptabilité!$F$1:$F$675,Comptabilité!$A$1:$A$675,$A96,Comptabilité!$B$1:$B$675,$B96,Comptabilité!$C$1:$C$675,"2026"),0))</f>
        <v/>
      </c>
      <c r="G96">
        <f>IF($A96="","",IF($D96="V01",Cadrage!$C$22,IF($D96="V02",Cadrage!$D$22,Cadrage!$E$22)))</f>
        <v/>
      </c>
      <c r="H96">
        <f>IF($A96="","",IF($D96="V01",Cadrage!$C$23,IF($D96="V02",Cadrage!$D$23,Cadrage!$E$23)))</f>
        <v/>
      </c>
      <c r="I96">
        <f>IF($A96="","",IF($D96="V01",Cadrage!$C$31,IF($D96="V02",Cadrage!$D$31,Cadrage!$E$31)))</f>
        <v/>
      </c>
      <c r="J96">
        <f>IF($A96="","",IF($D96="V01",Cadrage!$C$32,IF($D96="V02",Cadrage!$D$32,Cadrage!$E$32)))</f>
        <v/>
      </c>
      <c r="K96">
        <f>IF($A96="","",IF($D96="V01",Cadrage!$C$33,IF($D96="V02",Cadrage!$D$33,Cadrage!$E$33)))</f>
        <v/>
      </c>
      <c r="L96">
        <f>IF($A96="","",IF($D96="V01",Cadrage!$C$34,IF($D96="V02",Cadrage!$D$34,Cadrage!$E$34)))</f>
        <v/>
      </c>
      <c r="M96">
        <f>IF($A96="","",IF($D96="V01",Cadrage!$C$35,IF($D96="V02",Cadrage!$D$35,Cadrage!$E$35)))</f>
        <v/>
      </c>
      <c r="N96">
        <f>IF($A96="","",IF($D96="V01",$R$2,IF($D96="V02",$R$3,$R$4)))</f>
        <v/>
      </c>
      <c r="O96">
        <f>IF($A96="","",IF(OR($B96="7062",$B96="706",$B96="708"),$N96,IF($B96="6231",1+$G96,IF($B96="6236",1+$H96,IF(OR($B96="621",$B96="604",$B96="6063"),$N96*(1-$L96),IF(OR($B96="6411",$B96="6413",$B96="6414",$B96="645"),(1+$J96)*(1+$K96),IF(OR($B96="613",$B96="615",$B96="616",$B96="6226",$B96="625",$B96="626",$B96="6281"),(1+$I96)*(1-$L96)*(1+$M96),IF(OR($B96="6331",$B96="63511",$B96="6333"),(1+$I96)*(1-$L96),IF($B96="6811",1+$I96,1)))))))))</f>
        <v/>
      </c>
      <c r="P96">
        <f>IF($A96="","",IF($E96=1,$F96*$O96,PNL!G96))</f>
        <v/>
      </c>
      <c r="T96">
        <f>IF($A96="","",IF($E96=1,IF(OR($B96="7062",$B96="706",$B96="708"),$P96,IF(AND(LEFT($B96,1)="6",$B96&lt;&gt;"6811"),-$P96,0)),0))</f>
        <v/>
      </c>
    </row>
    <row r="97">
      <c r="A97">
        <f>IF(PNL!A97="","",PNL!A97)</f>
        <v/>
      </c>
      <c r="B97">
        <f>IF(PNL!B97="","",PNL!B97)</f>
        <v/>
      </c>
      <c r="C97">
        <f>IF(PNL!C97="","",PNL!C97)</f>
        <v/>
      </c>
      <c r="D97">
        <f>IF(PNL!D97="","",PNL!D97)</f>
        <v/>
      </c>
      <c r="E97">
        <f>IF($A97="","",IF(AND($C97="2027",OR($D97="V01",$D97="V02",$D97="V03")),1,0))</f>
        <v/>
      </c>
      <c r="F97">
        <f>IF($A97="","",IF($E97=1,SUMIFS(Comptabilité!$F$1:$F$675,Comptabilité!$A$1:$A$675,$A97,Comptabilité!$B$1:$B$675,$B97,Comptabilité!$C$1:$C$675,"2026"),0))</f>
        <v/>
      </c>
      <c r="G97">
        <f>IF($A97="","",IF($D97="V01",Cadrage!$C$22,IF($D97="V02",Cadrage!$D$22,Cadrage!$E$22)))</f>
        <v/>
      </c>
      <c r="H97">
        <f>IF($A97="","",IF($D97="V01",Cadrage!$C$23,IF($D97="V02",Cadrage!$D$23,Cadrage!$E$23)))</f>
        <v/>
      </c>
      <c r="I97">
        <f>IF($A97="","",IF($D97="V01",Cadrage!$C$31,IF($D97="V02",Cadrage!$D$31,Cadrage!$E$31)))</f>
        <v/>
      </c>
      <c r="J97">
        <f>IF($A97="","",IF($D97="V01",Cadrage!$C$32,IF($D97="V02",Cadrage!$D$32,Cadrage!$E$32)))</f>
        <v/>
      </c>
      <c r="K97">
        <f>IF($A97="","",IF($D97="V01",Cadrage!$C$33,IF($D97="V02",Cadrage!$D$33,Cadrage!$E$33)))</f>
        <v/>
      </c>
      <c r="L97">
        <f>IF($A97="","",IF($D97="V01",Cadrage!$C$34,IF($D97="V02",Cadrage!$D$34,Cadrage!$E$34)))</f>
        <v/>
      </c>
      <c r="M97">
        <f>IF($A97="","",IF($D97="V01",Cadrage!$C$35,IF($D97="V02",Cadrage!$D$35,Cadrage!$E$35)))</f>
        <v/>
      </c>
      <c r="N97">
        <f>IF($A97="","",IF($D97="V01",$R$2,IF($D97="V02",$R$3,$R$4)))</f>
        <v/>
      </c>
      <c r="O97">
        <f>IF($A97="","",IF(OR($B97="7062",$B97="706",$B97="708"),$N97,IF($B97="6231",1+$G97,IF($B97="6236",1+$H97,IF(OR($B97="621",$B97="604",$B97="6063"),$N97*(1-$L97),IF(OR($B97="6411",$B97="6413",$B97="6414",$B97="645"),(1+$J97)*(1+$K97),IF(OR($B97="613",$B97="615",$B97="616",$B97="6226",$B97="625",$B97="626",$B97="6281"),(1+$I97)*(1-$L97)*(1+$M97),IF(OR($B97="6331",$B97="63511",$B97="6333"),(1+$I97)*(1-$L97),IF($B97="6811",1+$I97,1)))))))))</f>
        <v/>
      </c>
      <c r="P97">
        <f>IF($A97="","",IF($E97=1,$F97*$O97,PNL!G97))</f>
        <v/>
      </c>
      <c r="T97">
        <f>IF($A97="","",IF($E97=1,IF(OR($B97="7062",$B97="706",$B97="708"),$P97,IF(AND(LEFT($B97,1)="6",$B97&lt;&gt;"6811"),-$P97,0)),0))</f>
        <v/>
      </c>
    </row>
    <row r="98">
      <c r="A98">
        <f>IF(PNL!A98="","",PNL!A98)</f>
        <v/>
      </c>
      <c r="B98">
        <f>IF(PNL!B98="","",PNL!B98)</f>
        <v/>
      </c>
      <c r="C98">
        <f>IF(PNL!C98="","",PNL!C98)</f>
        <v/>
      </c>
      <c r="D98">
        <f>IF(PNL!D98="","",PNL!D98)</f>
        <v/>
      </c>
      <c r="E98">
        <f>IF($A98="","",IF(AND($C98="2027",OR($D98="V01",$D98="V02",$D98="V03")),1,0))</f>
        <v/>
      </c>
      <c r="F98">
        <f>IF($A98="","",IF($E98=1,SUMIFS(Comptabilité!$F$1:$F$675,Comptabilité!$A$1:$A$675,$A98,Comptabilité!$B$1:$B$675,$B98,Comptabilité!$C$1:$C$675,"2026"),0))</f>
        <v/>
      </c>
      <c r="G98">
        <f>IF($A98="","",IF($D98="V01",Cadrage!$C$22,IF($D98="V02",Cadrage!$D$22,Cadrage!$E$22)))</f>
        <v/>
      </c>
      <c r="H98">
        <f>IF($A98="","",IF($D98="V01",Cadrage!$C$23,IF($D98="V02",Cadrage!$D$23,Cadrage!$E$23)))</f>
        <v/>
      </c>
      <c r="I98">
        <f>IF($A98="","",IF($D98="V01",Cadrage!$C$31,IF($D98="V02",Cadrage!$D$31,Cadrage!$E$31)))</f>
        <v/>
      </c>
      <c r="J98">
        <f>IF($A98="","",IF($D98="V01",Cadrage!$C$32,IF($D98="V02",Cadrage!$D$32,Cadrage!$E$32)))</f>
        <v/>
      </c>
      <c r="K98">
        <f>IF($A98="","",IF($D98="V01",Cadrage!$C$33,IF($D98="V02",Cadrage!$D$33,Cadrage!$E$33)))</f>
        <v/>
      </c>
      <c r="L98">
        <f>IF($A98="","",IF($D98="V01",Cadrage!$C$34,IF($D98="V02",Cadrage!$D$34,Cadrage!$E$34)))</f>
        <v/>
      </c>
      <c r="M98">
        <f>IF($A98="","",IF($D98="V01",Cadrage!$C$35,IF($D98="V02",Cadrage!$D$35,Cadrage!$E$35)))</f>
        <v/>
      </c>
      <c r="N98">
        <f>IF($A98="","",IF($D98="V01",$R$2,IF($D98="V02",$R$3,$R$4)))</f>
        <v/>
      </c>
      <c r="O98">
        <f>IF($A98="","",IF(OR($B98="7062",$B98="706",$B98="708"),$N98,IF($B98="6231",1+$G98,IF($B98="6236",1+$H98,IF(OR($B98="621",$B98="604",$B98="6063"),$N98*(1-$L98),IF(OR($B98="6411",$B98="6413",$B98="6414",$B98="645"),(1+$J98)*(1+$K98),IF(OR($B98="613",$B98="615",$B98="616",$B98="6226",$B98="625",$B98="626",$B98="6281"),(1+$I98)*(1-$L98)*(1+$M98),IF(OR($B98="6331",$B98="63511",$B98="6333"),(1+$I98)*(1-$L98),IF($B98="6811",1+$I98,1)))))))))</f>
        <v/>
      </c>
      <c r="P98">
        <f>IF($A98="","",IF($E98=1,$F98*$O98,PNL!G98))</f>
        <v/>
      </c>
      <c r="T98">
        <f>IF($A98="","",IF($E98=1,IF(OR($B98="7062",$B98="706",$B98="708"),$P98,IF(AND(LEFT($B98,1)="6",$B98&lt;&gt;"6811"),-$P98,0)),0))</f>
        <v/>
      </c>
    </row>
    <row r="99">
      <c r="A99">
        <f>IF(PNL!A99="","",PNL!A99)</f>
        <v/>
      </c>
      <c r="B99">
        <f>IF(PNL!B99="","",PNL!B99)</f>
        <v/>
      </c>
      <c r="C99">
        <f>IF(PNL!C99="","",PNL!C99)</f>
        <v/>
      </c>
      <c r="D99">
        <f>IF(PNL!D99="","",PNL!D99)</f>
        <v/>
      </c>
      <c r="E99">
        <f>IF($A99="","",IF(AND($C99="2027",OR($D99="V01",$D99="V02",$D99="V03")),1,0))</f>
        <v/>
      </c>
      <c r="F99">
        <f>IF($A99="","",IF($E99=1,SUMIFS(Comptabilité!$F$1:$F$675,Comptabilité!$A$1:$A$675,$A99,Comptabilité!$B$1:$B$675,$B99,Comptabilité!$C$1:$C$675,"2026"),0))</f>
        <v/>
      </c>
      <c r="G99">
        <f>IF($A99="","",IF($D99="V01",Cadrage!$C$22,IF($D99="V02",Cadrage!$D$22,Cadrage!$E$22)))</f>
        <v/>
      </c>
      <c r="H99">
        <f>IF($A99="","",IF($D99="V01",Cadrage!$C$23,IF($D99="V02",Cadrage!$D$23,Cadrage!$E$23)))</f>
        <v/>
      </c>
      <c r="I99">
        <f>IF($A99="","",IF($D99="V01",Cadrage!$C$31,IF($D99="V02",Cadrage!$D$31,Cadrage!$E$31)))</f>
        <v/>
      </c>
      <c r="J99">
        <f>IF($A99="","",IF($D99="V01",Cadrage!$C$32,IF($D99="V02",Cadrage!$D$32,Cadrage!$E$32)))</f>
        <v/>
      </c>
      <c r="K99">
        <f>IF($A99="","",IF($D99="V01",Cadrage!$C$33,IF($D99="V02",Cadrage!$D$33,Cadrage!$E$33)))</f>
        <v/>
      </c>
      <c r="L99">
        <f>IF($A99="","",IF($D99="V01",Cadrage!$C$34,IF($D99="V02",Cadrage!$D$34,Cadrage!$E$34)))</f>
        <v/>
      </c>
      <c r="M99">
        <f>IF($A99="","",IF($D99="V01",Cadrage!$C$35,IF($D99="V02",Cadrage!$D$35,Cadrage!$E$35)))</f>
        <v/>
      </c>
      <c r="N99">
        <f>IF($A99="","",IF($D99="V01",$R$2,IF($D99="V02",$R$3,$R$4)))</f>
        <v/>
      </c>
      <c r="O99">
        <f>IF($A99="","",IF(OR($B99="7062",$B99="706",$B99="708"),$N99,IF($B99="6231",1+$G99,IF($B99="6236",1+$H99,IF(OR($B99="621",$B99="604",$B99="6063"),$N99*(1-$L99),IF(OR($B99="6411",$B99="6413",$B99="6414",$B99="645"),(1+$J99)*(1+$K99),IF(OR($B99="613",$B99="615",$B99="616",$B99="6226",$B99="625",$B99="626",$B99="6281"),(1+$I99)*(1-$L99)*(1+$M99),IF(OR($B99="6331",$B99="63511",$B99="6333"),(1+$I99)*(1-$L99),IF($B99="6811",1+$I99,1)))))))))</f>
        <v/>
      </c>
      <c r="P99">
        <f>IF($A99="","",IF($E99=1,$F99*$O99,PNL!G99))</f>
        <v/>
      </c>
      <c r="T99">
        <f>IF($A99="","",IF($E99=1,IF(OR($B99="7062",$B99="706",$B99="708"),$P99,IF(AND(LEFT($B99,1)="6",$B99&lt;&gt;"6811"),-$P99,0)),0))</f>
        <v/>
      </c>
    </row>
    <row r="100">
      <c r="A100">
        <f>IF(PNL!A100="","",PNL!A100)</f>
        <v/>
      </c>
      <c r="B100">
        <f>IF(PNL!B100="","",PNL!B100)</f>
        <v/>
      </c>
      <c r="C100">
        <f>IF(PNL!C100="","",PNL!C100)</f>
        <v/>
      </c>
      <c r="D100">
        <f>IF(PNL!D100="","",PNL!D100)</f>
        <v/>
      </c>
      <c r="E100">
        <f>IF($A100="","",IF(AND($C100="2027",OR($D100="V01",$D100="V02",$D100="V03")),1,0))</f>
        <v/>
      </c>
      <c r="F100">
        <f>IF($A100="","",IF($E100=1,SUMIFS(Comptabilité!$F$1:$F$675,Comptabilité!$A$1:$A$675,$A100,Comptabilité!$B$1:$B$675,$B100,Comptabilité!$C$1:$C$675,"2026"),0))</f>
        <v/>
      </c>
      <c r="G100">
        <f>IF($A100="","",IF($D100="V01",Cadrage!$C$22,IF($D100="V02",Cadrage!$D$22,Cadrage!$E$22)))</f>
        <v/>
      </c>
      <c r="H100">
        <f>IF($A100="","",IF($D100="V01",Cadrage!$C$23,IF($D100="V02",Cadrage!$D$23,Cadrage!$E$23)))</f>
        <v/>
      </c>
      <c r="I100">
        <f>IF($A100="","",IF($D100="V01",Cadrage!$C$31,IF($D100="V02",Cadrage!$D$31,Cadrage!$E$31)))</f>
        <v/>
      </c>
      <c r="J100">
        <f>IF($A100="","",IF($D100="V01",Cadrage!$C$32,IF($D100="V02",Cadrage!$D$32,Cadrage!$E$32)))</f>
        <v/>
      </c>
      <c r="K100">
        <f>IF($A100="","",IF($D100="V01",Cadrage!$C$33,IF($D100="V02",Cadrage!$D$33,Cadrage!$E$33)))</f>
        <v/>
      </c>
      <c r="L100">
        <f>IF($A100="","",IF($D100="V01",Cadrage!$C$34,IF($D100="V02",Cadrage!$D$34,Cadrage!$E$34)))</f>
        <v/>
      </c>
      <c r="M100">
        <f>IF($A100="","",IF($D100="V01",Cadrage!$C$35,IF($D100="V02",Cadrage!$D$35,Cadrage!$E$35)))</f>
        <v/>
      </c>
      <c r="N100">
        <f>IF($A100="","",IF($D100="V01",$R$2,IF($D100="V02",$R$3,$R$4)))</f>
        <v/>
      </c>
      <c r="O100">
        <f>IF($A100="","",IF(OR($B100="7062",$B100="706",$B100="708"),$N100,IF($B100="6231",1+$G100,IF($B100="6236",1+$H100,IF(OR($B100="621",$B100="604",$B100="6063"),$N100*(1-$L100),IF(OR($B100="6411",$B100="6413",$B100="6414",$B100="645"),(1+$J100)*(1+$K100),IF(OR($B100="613",$B100="615",$B100="616",$B100="6226",$B100="625",$B100="626",$B100="6281"),(1+$I100)*(1-$L100)*(1+$M100),IF(OR($B100="6331",$B100="63511",$B100="6333"),(1+$I100)*(1-$L100),IF($B100="6811",1+$I100,1)))))))))</f>
        <v/>
      </c>
      <c r="P100">
        <f>IF($A100="","",IF($E100=1,$F100*$O100,PNL!G100))</f>
        <v/>
      </c>
      <c r="T100">
        <f>IF($A100="","",IF($E100=1,IF(OR($B100="7062",$B100="706",$B100="708"),$P100,IF(AND(LEFT($B100,1)="6",$B100&lt;&gt;"6811"),-$P100,0)),0))</f>
        <v/>
      </c>
    </row>
    <row r="101">
      <c r="A101">
        <f>IF(PNL!A101="","",PNL!A101)</f>
        <v/>
      </c>
      <c r="B101">
        <f>IF(PNL!B101="","",PNL!B101)</f>
        <v/>
      </c>
      <c r="C101">
        <f>IF(PNL!C101="","",PNL!C101)</f>
        <v/>
      </c>
      <c r="D101">
        <f>IF(PNL!D101="","",PNL!D101)</f>
        <v/>
      </c>
      <c r="E101">
        <f>IF($A101="","",IF(AND($C101="2027",OR($D101="V01",$D101="V02",$D101="V03")),1,0))</f>
        <v/>
      </c>
      <c r="F101">
        <f>IF($A101="","",IF($E101=1,SUMIFS(Comptabilité!$F$1:$F$675,Comptabilité!$A$1:$A$675,$A101,Comptabilité!$B$1:$B$675,$B101,Comptabilité!$C$1:$C$675,"2026"),0))</f>
        <v/>
      </c>
      <c r="G101">
        <f>IF($A101="","",IF($D101="V01",Cadrage!$C$22,IF($D101="V02",Cadrage!$D$22,Cadrage!$E$22)))</f>
        <v/>
      </c>
      <c r="H101">
        <f>IF($A101="","",IF($D101="V01",Cadrage!$C$23,IF($D101="V02",Cadrage!$D$23,Cadrage!$E$23)))</f>
        <v/>
      </c>
      <c r="I101">
        <f>IF($A101="","",IF($D101="V01",Cadrage!$C$31,IF($D101="V02",Cadrage!$D$31,Cadrage!$E$31)))</f>
        <v/>
      </c>
      <c r="J101">
        <f>IF($A101="","",IF($D101="V01",Cadrage!$C$32,IF($D101="V02",Cadrage!$D$32,Cadrage!$E$32)))</f>
        <v/>
      </c>
      <c r="K101">
        <f>IF($A101="","",IF($D101="V01",Cadrage!$C$33,IF($D101="V02",Cadrage!$D$33,Cadrage!$E$33)))</f>
        <v/>
      </c>
      <c r="L101">
        <f>IF($A101="","",IF($D101="V01",Cadrage!$C$34,IF($D101="V02",Cadrage!$D$34,Cadrage!$E$34)))</f>
        <v/>
      </c>
      <c r="M101">
        <f>IF($A101="","",IF($D101="V01",Cadrage!$C$35,IF($D101="V02",Cadrage!$D$35,Cadrage!$E$35)))</f>
        <v/>
      </c>
      <c r="N101">
        <f>IF($A101="","",IF($D101="V01",$R$2,IF($D101="V02",$R$3,$R$4)))</f>
        <v/>
      </c>
      <c r="O101">
        <f>IF($A101="","",IF(OR($B101="7062",$B101="706",$B101="708"),$N101,IF($B101="6231",1+$G101,IF($B101="6236",1+$H101,IF(OR($B101="621",$B101="604",$B101="6063"),$N101*(1-$L101),IF(OR($B101="6411",$B101="6413",$B101="6414",$B101="645"),(1+$J101)*(1+$K101),IF(OR($B101="613",$B101="615",$B101="616",$B101="6226",$B101="625",$B101="626",$B101="6281"),(1+$I101)*(1-$L101)*(1+$M101),IF(OR($B101="6331",$B101="63511",$B101="6333"),(1+$I101)*(1-$L101),IF($B101="6811",1+$I101,1)))))))))</f>
        <v/>
      </c>
      <c r="P101">
        <f>IF($A101="","",IF($E101=1,$F101*$O101,PNL!G101))</f>
        <v/>
      </c>
      <c r="T101">
        <f>IF($A101="","",IF($E101=1,IF(OR($B101="7062",$B101="706",$B101="708"),$P101,IF(AND(LEFT($B101,1)="6",$B101&lt;&gt;"6811"),-$P101,0)),0))</f>
        <v/>
      </c>
    </row>
    <row r="102">
      <c r="A102">
        <f>IF(PNL!A102="","",PNL!A102)</f>
        <v/>
      </c>
      <c r="B102">
        <f>IF(PNL!B102="","",PNL!B102)</f>
        <v/>
      </c>
      <c r="C102">
        <f>IF(PNL!C102="","",PNL!C102)</f>
        <v/>
      </c>
      <c r="D102">
        <f>IF(PNL!D102="","",PNL!D102)</f>
        <v/>
      </c>
      <c r="E102">
        <f>IF($A102="","",IF(AND($C102="2027",OR($D102="V01",$D102="V02",$D102="V03")),1,0))</f>
        <v/>
      </c>
      <c r="F102">
        <f>IF($A102="","",IF($E102=1,SUMIFS(Comptabilité!$F$1:$F$675,Comptabilité!$A$1:$A$675,$A102,Comptabilité!$B$1:$B$675,$B102,Comptabilité!$C$1:$C$675,"2026"),0))</f>
        <v/>
      </c>
      <c r="G102">
        <f>IF($A102="","",IF($D102="V01",Cadrage!$C$22,IF($D102="V02",Cadrage!$D$22,Cadrage!$E$22)))</f>
        <v/>
      </c>
      <c r="H102">
        <f>IF($A102="","",IF($D102="V01",Cadrage!$C$23,IF($D102="V02",Cadrage!$D$23,Cadrage!$E$23)))</f>
        <v/>
      </c>
      <c r="I102">
        <f>IF($A102="","",IF($D102="V01",Cadrage!$C$31,IF($D102="V02",Cadrage!$D$31,Cadrage!$E$31)))</f>
        <v/>
      </c>
      <c r="J102">
        <f>IF($A102="","",IF($D102="V01",Cadrage!$C$32,IF($D102="V02",Cadrage!$D$32,Cadrage!$E$32)))</f>
        <v/>
      </c>
      <c r="K102">
        <f>IF($A102="","",IF($D102="V01",Cadrage!$C$33,IF($D102="V02",Cadrage!$D$33,Cadrage!$E$33)))</f>
        <v/>
      </c>
      <c r="L102">
        <f>IF($A102="","",IF($D102="V01",Cadrage!$C$34,IF($D102="V02",Cadrage!$D$34,Cadrage!$E$34)))</f>
        <v/>
      </c>
      <c r="M102">
        <f>IF($A102="","",IF($D102="V01",Cadrage!$C$35,IF($D102="V02",Cadrage!$D$35,Cadrage!$E$35)))</f>
        <v/>
      </c>
      <c r="N102">
        <f>IF($A102="","",IF($D102="V01",$R$2,IF($D102="V02",$R$3,$R$4)))</f>
        <v/>
      </c>
      <c r="O102">
        <f>IF($A102="","",IF(OR($B102="7062",$B102="706",$B102="708"),$N102,IF($B102="6231",1+$G102,IF($B102="6236",1+$H102,IF(OR($B102="621",$B102="604",$B102="6063"),$N102*(1-$L102),IF(OR($B102="6411",$B102="6413",$B102="6414",$B102="645"),(1+$J102)*(1+$K102),IF(OR($B102="613",$B102="615",$B102="616",$B102="6226",$B102="625",$B102="626",$B102="6281"),(1+$I102)*(1-$L102)*(1+$M102),IF(OR($B102="6331",$B102="63511",$B102="6333"),(1+$I102)*(1-$L102),IF($B102="6811",1+$I102,1)))))))))</f>
        <v/>
      </c>
      <c r="P102">
        <f>IF($A102="","",IF($E102=1,$F102*$O102,PNL!G102))</f>
        <v/>
      </c>
      <c r="T102">
        <f>IF($A102="","",IF($E102=1,IF(OR($B102="7062",$B102="706",$B102="708"),$P102,IF(AND(LEFT($B102,1)="6",$B102&lt;&gt;"6811"),-$P102,0)),0))</f>
        <v/>
      </c>
    </row>
    <row r="103">
      <c r="A103">
        <f>IF(PNL!A103="","",PNL!A103)</f>
        <v/>
      </c>
      <c r="B103">
        <f>IF(PNL!B103="","",PNL!B103)</f>
        <v/>
      </c>
      <c r="C103">
        <f>IF(PNL!C103="","",PNL!C103)</f>
        <v/>
      </c>
      <c r="D103">
        <f>IF(PNL!D103="","",PNL!D103)</f>
        <v/>
      </c>
      <c r="E103">
        <f>IF($A103="","",IF(AND($C103="2027",OR($D103="V01",$D103="V02",$D103="V03")),1,0))</f>
        <v/>
      </c>
      <c r="F103">
        <f>IF($A103="","",IF($E103=1,SUMIFS(Comptabilité!$F$1:$F$675,Comptabilité!$A$1:$A$675,$A103,Comptabilité!$B$1:$B$675,$B103,Comptabilité!$C$1:$C$675,"2026"),0))</f>
        <v/>
      </c>
      <c r="G103">
        <f>IF($A103="","",IF($D103="V01",Cadrage!$C$22,IF($D103="V02",Cadrage!$D$22,Cadrage!$E$22)))</f>
        <v/>
      </c>
      <c r="H103">
        <f>IF($A103="","",IF($D103="V01",Cadrage!$C$23,IF($D103="V02",Cadrage!$D$23,Cadrage!$E$23)))</f>
        <v/>
      </c>
      <c r="I103">
        <f>IF($A103="","",IF($D103="V01",Cadrage!$C$31,IF($D103="V02",Cadrage!$D$31,Cadrage!$E$31)))</f>
        <v/>
      </c>
      <c r="J103">
        <f>IF($A103="","",IF($D103="V01",Cadrage!$C$32,IF($D103="V02",Cadrage!$D$32,Cadrage!$E$32)))</f>
        <v/>
      </c>
      <c r="K103">
        <f>IF($A103="","",IF($D103="V01",Cadrage!$C$33,IF($D103="V02",Cadrage!$D$33,Cadrage!$E$33)))</f>
        <v/>
      </c>
      <c r="L103">
        <f>IF($A103="","",IF($D103="V01",Cadrage!$C$34,IF($D103="V02",Cadrage!$D$34,Cadrage!$E$34)))</f>
        <v/>
      </c>
      <c r="M103">
        <f>IF($A103="","",IF($D103="V01",Cadrage!$C$35,IF($D103="V02",Cadrage!$D$35,Cadrage!$E$35)))</f>
        <v/>
      </c>
      <c r="N103">
        <f>IF($A103="","",IF($D103="V01",$R$2,IF($D103="V02",$R$3,$R$4)))</f>
        <v/>
      </c>
      <c r="O103">
        <f>IF($A103="","",IF(OR($B103="7062",$B103="706",$B103="708"),$N103,IF($B103="6231",1+$G103,IF($B103="6236",1+$H103,IF(OR($B103="621",$B103="604",$B103="6063"),$N103*(1-$L103),IF(OR($B103="6411",$B103="6413",$B103="6414",$B103="645"),(1+$J103)*(1+$K103),IF(OR($B103="613",$B103="615",$B103="616",$B103="6226",$B103="625",$B103="626",$B103="6281"),(1+$I103)*(1-$L103)*(1+$M103),IF(OR($B103="6331",$B103="63511",$B103="6333"),(1+$I103)*(1-$L103),IF($B103="6811",1+$I103,1)))))))))</f>
        <v/>
      </c>
      <c r="P103">
        <f>IF($A103="","",IF($E103=1,$F103*$O103,PNL!G103))</f>
        <v/>
      </c>
      <c r="T103">
        <f>IF($A103="","",IF($E103=1,IF(OR($B103="7062",$B103="706",$B103="708"),$P103,IF(AND(LEFT($B103,1)="6",$B103&lt;&gt;"6811"),-$P103,0)),0))</f>
        <v/>
      </c>
    </row>
    <row r="104">
      <c r="A104">
        <f>IF(PNL!A104="","",PNL!A104)</f>
        <v/>
      </c>
      <c r="B104">
        <f>IF(PNL!B104="","",PNL!B104)</f>
        <v/>
      </c>
      <c r="C104">
        <f>IF(PNL!C104="","",PNL!C104)</f>
        <v/>
      </c>
      <c r="D104">
        <f>IF(PNL!D104="","",PNL!D104)</f>
        <v/>
      </c>
      <c r="E104">
        <f>IF($A104="","",IF(AND($C104="2027",OR($D104="V01",$D104="V02",$D104="V03")),1,0))</f>
        <v/>
      </c>
      <c r="F104">
        <f>IF($A104="","",IF($E104=1,SUMIFS(Comptabilité!$F$1:$F$675,Comptabilité!$A$1:$A$675,$A104,Comptabilité!$B$1:$B$675,$B104,Comptabilité!$C$1:$C$675,"2026"),0))</f>
        <v/>
      </c>
      <c r="G104">
        <f>IF($A104="","",IF($D104="V01",Cadrage!$C$22,IF($D104="V02",Cadrage!$D$22,Cadrage!$E$22)))</f>
        <v/>
      </c>
      <c r="H104">
        <f>IF($A104="","",IF($D104="V01",Cadrage!$C$23,IF($D104="V02",Cadrage!$D$23,Cadrage!$E$23)))</f>
        <v/>
      </c>
      <c r="I104">
        <f>IF($A104="","",IF($D104="V01",Cadrage!$C$31,IF($D104="V02",Cadrage!$D$31,Cadrage!$E$31)))</f>
        <v/>
      </c>
      <c r="J104">
        <f>IF($A104="","",IF($D104="V01",Cadrage!$C$32,IF($D104="V02",Cadrage!$D$32,Cadrage!$E$32)))</f>
        <v/>
      </c>
      <c r="K104">
        <f>IF($A104="","",IF($D104="V01",Cadrage!$C$33,IF($D104="V02",Cadrage!$D$33,Cadrage!$E$33)))</f>
        <v/>
      </c>
      <c r="L104">
        <f>IF($A104="","",IF($D104="V01",Cadrage!$C$34,IF($D104="V02",Cadrage!$D$34,Cadrage!$E$34)))</f>
        <v/>
      </c>
      <c r="M104">
        <f>IF($A104="","",IF($D104="V01",Cadrage!$C$35,IF($D104="V02",Cadrage!$D$35,Cadrage!$E$35)))</f>
        <v/>
      </c>
      <c r="N104">
        <f>IF($A104="","",IF($D104="V01",$R$2,IF($D104="V02",$R$3,$R$4)))</f>
        <v/>
      </c>
      <c r="O104">
        <f>IF($A104="","",IF(OR($B104="7062",$B104="706",$B104="708"),$N104,IF($B104="6231",1+$G104,IF($B104="6236",1+$H104,IF(OR($B104="621",$B104="604",$B104="6063"),$N104*(1-$L104),IF(OR($B104="6411",$B104="6413",$B104="6414",$B104="645"),(1+$J104)*(1+$K104),IF(OR($B104="613",$B104="615",$B104="616",$B104="6226",$B104="625",$B104="626",$B104="6281"),(1+$I104)*(1-$L104)*(1+$M104),IF(OR($B104="6331",$B104="63511",$B104="6333"),(1+$I104)*(1-$L104),IF($B104="6811",1+$I104,1)))))))))</f>
        <v/>
      </c>
      <c r="P104">
        <f>IF($A104="","",IF($E104=1,$F104*$O104,PNL!G104))</f>
        <v/>
      </c>
      <c r="T104">
        <f>IF($A104="","",IF($E104=1,IF(OR($B104="7062",$B104="706",$B104="708"),$P104,IF(AND(LEFT($B104,1)="6",$B104&lt;&gt;"6811"),-$P104,0)),0))</f>
        <v/>
      </c>
    </row>
    <row r="105">
      <c r="A105">
        <f>IF(PNL!A105="","",PNL!A105)</f>
        <v/>
      </c>
      <c r="B105">
        <f>IF(PNL!B105="","",PNL!B105)</f>
        <v/>
      </c>
      <c r="C105">
        <f>IF(PNL!C105="","",PNL!C105)</f>
        <v/>
      </c>
      <c r="D105">
        <f>IF(PNL!D105="","",PNL!D105)</f>
        <v/>
      </c>
      <c r="E105">
        <f>IF($A105="","",IF(AND($C105="2027",OR($D105="V01",$D105="V02",$D105="V03")),1,0))</f>
        <v/>
      </c>
      <c r="F105">
        <f>IF($A105="","",IF($E105=1,SUMIFS(Comptabilité!$F$1:$F$675,Comptabilité!$A$1:$A$675,$A105,Comptabilité!$B$1:$B$675,$B105,Comptabilité!$C$1:$C$675,"2026"),0))</f>
        <v/>
      </c>
      <c r="G105">
        <f>IF($A105="","",IF($D105="V01",Cadrage!$C$22,IF($D105="V02",Cadrage!$D$22,Cadrage!$E$22)))</f>
        <v/>
      </c>
      <c r="H105">
        <f>IF($A105="","",IF($D105="V01",Cadrage!$C$23,IF($D105="V02",Cadrage!$D$23,Cadrage!$E$23)))</f>
        <v/>
      </c>
      <c r="I105">
        <f>IF($A105="","",IF($D105="V01",Cadrage!$C$31,IF($D105="V02",Cadrage!$D$31,Cadrage!$E$31)))</f>
        <v/>
      </c>
      <c r="J105">
        <f>IF($A105="","",IF($D105="V01",Cadrage!$C$32,IF($D105="V02",Cadrage!$D$32,Cadrage!$E$32)))</f>
        <v/>
      </c>
      <c r="K105">
        <f>IF($A105="","",IF($D105="V01",Cadrage!$C$33,IF($D105="V02",Cadrage!$D$33,Cadrage!$E$33)))</f>
        <v/>
      </c>
      <c r="L105">
        <f>IF($A105="","",IF($D105="V01",Cadrage!$C$34,IF($D105="V02",Cadrage!$D$34,Cadrage!$E$34)))</f>
        <v/>
      </c>
      <c r="M105">
        <f>IF($A105="","",IF($D105="V01",Cadrage!$C$35,IF($D105="V02",Cadrage!$D$35,Cadrage!$E$35)))</f>
        <v/>
      </c>
      <c r="N105">
        <f>IF($A105="","",IF($D105="V01",$R$2,IF($D105="V02",$R$3,$R$4)))</f>
        <v/>
      </c>
      <c r="O105">
        <f>IF($A105="","",IF(OR($B105="7062",$B105="706",$B105="708"),$N105,IF($B105="6231",1+$G105,IF($B105="6236",1+$H105,IF(OR($B105="621",$B105="604",$B105="6063"),$N105*(1-$L105),IF(OR($B105="6411",$B105="6413",$B105="6414",$B105="645"),(1+$J105)*(1+$K105),IF(OR($B105="613",$B105="615",$B105="616",$B105="6226",$B105="625",$B105="626",$B105="6281"),(1+$I105)*(1-$L105)*(1+$M105),IF(OR($B105="6331",$B105="63511",$B105="6333"),(1+$I105)*(1-$L105),IF($B105="6811",1+$I105,1)))))))))</f>
        <v/>
      </c>
      <c r="P105">
        <f>IF($A105="","",IF($E105=1,$F105*$O105,PNL!G105))</f>
        <v/>
      </c>
      <c r="T105">
        <f>IF($A105="","",IF($E105=1,IF(OR($B105="7062",$B105="706",$B105="708"),$P105,IF(AND(LEFT($B105,1)="6",$B105&lt;&gt;"6811"),-$P105,0)),0))</f>
        <v/>
      </c>
    </row>
    <row r="106">
      <c r="A106">
        <f>IF(PNL!A106="","",PNL!A106)</f>
        <v/>
      </c>
      <c r="B106">
        <f>IF(PNL!B106="","",PNL!B106)</f>
        <v/>
      </c>
      <c r="C106">
        <f>IF(PNL!C106="","",PNL!C106)</f>
        <v/>
      </c>
      <c r="D106">
        <f>IF(PNL!D106="","",PNL!D106)</f>
        <v/>
      </c>
      <c r="E106">
        <f>IF($A106="","",IF(AND($C106="2027",OR($D106="V01",$D106="V02",$D106="V03")),1,0))</f>
        <v/>
      </c>
      <c r="F106">
        <f>IF($A106="","",IF($E106=1,SUMIFS(Comptabilité!$F$1:$F$675,Comptabilité!$A$1:$A$675,$A106,Comptabilité!$B$1:$B$675,$B106,Comptabilité!$C$1:$C$675,"2026"),0))</f>
        <v/>
      </c>
      <c r="G106">
        <f>IF($A106="","",IF($D106="V01",Cadrage!$C$22,IF($D106="V02",Cadrage!$D$22,Cadrage!$E$22)))</f>
        <v/>
      </c>
      <c r="H106">
        <f>IF($A106="","",IF($D106="V01",Cadrage!$C$23,IF($D106="V02",Cadrage!$D$23,Cadrage!$E$23)))</f>
        <v/>
      </c>
      <c r="I106">
        <f>IF($A106="","",IF($D106="V01",Cadrage!$C$31,IF($D106="V02",Cadrage!$D$31,Cadrage!$E$31)))</f>
        <v/>
      </c>
      <c r="J106">
        <f>IF($A106="","",IF($D106="V01",Cadrage!$C$32,IF($D106="V02",Cadrage!$D$32,Cadrage!$E$32)))</f>
        <v/>
      </c>
      <c r="K106">
        <f>IF($A106="","",IF($D106="V01",Cadrage!$C$33,IF($D106="V02",Cadrage!$D$33,Cadrage!$E$33)))</f>
        <v/>
      </c>
      <c r="L106">
        <f>IF($A106="","",IF($D106="V01",Cadrage!$C$34,IF($D106="V02",Cadrage!$D$34,Cadrage!$E$34)))</f>
        <v/>
      </c>
      <c r="M106">
        <f>IF($A106="","",IF($D106="V01",Cadrage!$C$35,IF($D106="V02",Cadrage!$D$35,Cadrage!$E$35)))</f>
        <v/>
      </c>
      <c r="N106">
        <f>IF($A106="","",IF($D106="V01",$R$2,IF($D106="V02",$R$3,$R$4)))</f>
        <v/>
      </c>
      <c r="O106">
        <f>IF($A106="","",IF(OR($B106="7062",$B106="706",$B106="708"),$N106,IF($B106="6231",1+$G106,IF($B106="6236",1+$H106,IF(OR($B106="621",$B106="604",$B106="6063"),$N106*(1-$L106),IF(OR($B106="6411",$B106="6413",$B106="6414",$B106="645"),(1+$J106)*(1+$K106),IF(OR($B106="613",$B106="615",$B106="616",$B106="6226",$B106="625",$B106="626",$B106="6281"),(1+$I106)*(1-$L106)*(1+$M106),IF(OR($B106="6331",$B106="63511",$B106="6333"),(1+$I106)*(1-$L106),IF($B106="6811",1+$I106,1)))))))))</f>
        <v/>
      </c>
      <c r="P106">
        <f>IF($A106="","",IF($E106=1,$F106*$O106,PNL!G106))</f>
        <v/>
      </c>
      <c r="T106">
        <f>IF($A106="","",IF($E106=1,IF(OR($B106="7062",$B106="706",$B106="708"),$P106,IF(AND(LEFT($B106,1)="6",$B106&lt;&gt;"6811"),-$P106,0)),0))</f>
        <v/>
      </c>
    </row>
    <row r="107">
      <c r="A107">
        <f>IF(PNL!A107="","",PNL!A107)</f>
        <v/>
      </c>
      <c r="B107">
        <f>IF(PNL!B107="","",PNL!B107)</f>
        <v/>
      </c>
      <c r="C107">
        <f>IF(PNL!C107="","",PNL!C107)</f>
        <v/>
      </c>
      <c r="D107">
        <f>IF(PNL!D107="","",PNL!D107)</f>
        <v/>
      </c>
      <c r="E107">
        <f>IF($A107="","",IF(AND($C107="2027",OR($D107="V01",$D107="V02",$D107="V03")),1,0))</f>
        <v/>
      </c>
      <c r="F107">
        <f>IF($A107="","",IF($E107=1,SUMIFS(Comptabilité!$F$1:$F$675,Comptabilité!$A$1:$A$675,$A107,Comptabilité!$B$1:$B$675,$B107,Comptabilité!$C$1:$C$675,"2026"),0))</f>
        <v/>
      </c>
      <c r="G107">
        <f>IF($A107="","",IF($D107="V01",Cadrage!$C$22,IF($D107="V02",Cadrage!$D$22,Cadrage!$E$22)))</f>
        <v/>
      </c>
      <c r="H107">
        <f>IF($A107="","",IF($D107="V01",Cadrage!$C$23,IF($D107="V02",Cadrage!$D$23,Cadrage!$E$23)))</f>
        <v/>
      </c>
      <c r="I107">
        <f>IF($A107="","",IF($D107="V01",Cadrage!$C$31,IF($D107="V02",Cadrage!$D$31,Cadrage!$E$31)))</f>
        <v/>
      </c>
      <c r="J107">
        <f>IF($A107="","",IF($D107="V01",Cadrage!$C$32,IF($D107="V02",Cadrage!$D$32,Cadrage!$E$32)))</f>
        <v/>
      </c>
      <c r="K107">
        <f>IF($A107="","",IF($D107="V01",Cadrage!$C$33,IF($D107="V02",Cadrage!$D$33,Cadrage!$E$33)))</f>
        <v/>
      </c>
      <c r="L107">
        <f>IF($A107="","",IF($D107="V01",Cadrage!$C$34,IF($D107="V02",Cadrage!$D$34,Cadrage!$E$34)))</f>
        <v/>
      </c>
      <c r="M107">
        <f>IF($A107="","",IF($D107="V01",Cadrage!$C$35,IF($D107="V02",Cadrage!$D$35,Cadrage!$E$35)))</f>
        <v/>
      </c>
      <c r="N107">
        <f>IF($A107="","",IF($D107="V01",$R$2,IF($D107="V02",$R$3,$R$4)))</f>
        <v/>
      </c>
      <c r="O107">
        <f>IF($A107="","",IF(OR($B107="7062",$B107="706",$B107="708"),$N107,IF($B107="6231",1+$G107,IF($B107="6236",1+$H107,IF(OR($B107="621",$B107="604",$B107="6063"),$N107*(1-$L107),IF(OR($B107="6411",$B107="6413",$B107="6414",$B107="645"),(1+$J107)*(1+$K107),IF(OR($B107="613",$B107="615",$B107="616",$B107="6226",$B107="625",$B107="626",$B107="6281"),(1+$I107)*(1-$L107)*(1+$M107),IF(OR($B107="6331",$B107="63511",$B107="6333"),(1+$I107)*(1-$L107),IF($B107="6811",1+$I107,1)))))))))</f>
        <v/>
      </c>
      <c r="P107">
        <f>IF($A107="","",IF($E107=1,$F107*$O107,PNL!G107))</f>
        <v/>
      </c>
      <c r="T107">
        <f>IF($A107="","",IF($E107=1,IF(OR($B107="7062",$B107="706",$B107="708"),$P107,IF(AND(LEFT($B107,1)="6",$B107&lt;&gt;"6811"),-$P107,0)),0))</f>
        <v/>
      </c>
    </row>
    <row r="108">
      <c r="A108">
        <f>IF(PNL!A108="","",PNL!A108)</f>
        <v/>
      </c>
      <c r="B108">
        <f>IF(PNL!B108="","",PNL!B108)</f>
        <v/>
      </c>
      <c r="C108">
        <f>IF(PNL!C108="","",PNL!C108)</f>
        <v/>
      </c>
      <c r="D108">
        <f>IF(PNL!D108="","",PNL!D108)</f>
        <v/>
      </c>
      <c r="E108">
        <f>IF($A108="","",IF(AND($C108="2027",OR($D108="V01",$D108="V02",$D108="V03")),1,0))</f>
        <v/>
      </c>
      <c r="F108">
        <f>IF($A108="","",IF($E108=1,SUMIFS(Comptabilité!$F$1:$F$675,Comptabilité!$A$1:$A$675,$A108,Comptabilité!$B$1:$B$675,$B108,Comptabilité!$C$1:$C$675,"2026"),0))</f>
        <v/>
      </c>
      <c r="G108">
        <f>IF($A108="","",IF($D108="V01",Cadrage!$C$22,IF($D108="V02",Cadrage!$D$22,Cadrage!$E$22)))</f>
        <v/>
      </c>
      <c r="H108">
        <f>IF($A108="","",IF($D108="V01",Cadrage!$C$23,IF($D108="V02",Cadrage!$D$23,Cadrage!$E$23)))</f>
        <v/>
      </c>
      <c r="I108">
        <f>IF($A108="","",IF($D108="V01",Cadrage!$C$31,IF($D108="V02",Cadrage!$D$31,Cadrage!$E$31)))</f>
        <v/>
      </c>
      <c r="J108">
        <f>IF($A108="","",IF($D108="V01",Cadrage!$C$32,IF($D108="V02",Cadrage!$D$32,Cadrage!$E$32)))</f>
        <v/>
      </c>
      <c r="K108">
        <f>IF($A108="","",IF($D108="V01",Cadrage!$C$33,IF($D108="V02",Cadrage!$D$33,Cadrage!$E$33)))</f>
        <v/>
      </c>
      <c r="L108">
        <f>IF($A108="","",IF($D108="V01",Cadrage!$C$34,IF($D108="V02",Cadrage!$D$34,Cadrage!$E$34)))</f>
        <v/>
      </c>
      <c r="M108">
        <f>IF($A108="","",IF($D108="V01",Cadrage!$C$35,IF($D108="V02",Cadrage!$D$35,Cadrage!$E$35)))</f>
        <v/>
      </c>
      <c r="N108">
        <f>IF($A108="","",IF($D108="V01",$R$2,IF($D108="V02",$R$3,$R$4)))</f>
        <v/>
      </c>
      <c r="O108">
        <f>IF($A108="","",IF(OR($B108="7062",$B108="706",$B108="708"),$N108,IF($B108="6231",1+$G108,IF($B108="6236",1+$H108,IF(OR($B108="621",$B108="604",$B108="6063"),$N108*(1-$L108),IF(OR($B108="6411",$B108="6413",$B108="6414",$B108="645"),(1+$J108)*(1+$K108),IF(OR($B108="613",$B108="615",$B108="616",$B108="6226",$B108="625",$B108="626",$B108="6281"),(1+$I108)*(1-$L108)*(1+$M108),IF(OR($B108="6331",$B108="63511",$B108="6333"),(1+$I108)*(1-$L108),IF($B108="6811",1+$I108,1)))))))))</f>
        <v/>
      </c>
      <c r="P108">
        <f>IF($A108="","",IF($E108=1,$F108*$O108,PNL!G108))</f>
        <v/>
      </c>
      <c r="T108">
        <f>IF($A108="","",IF($E108=1,IF(OR($B108="7062",$B108="706",$B108="708"),$P108,IF(AND(LEFT($B108,1)="6",$B108&lt;&gt;"6811"),-$P108,0)),0))</f>
        <v/>
      </c>
    </row>
    <row r="109">
      <c r="A109">
        <f>IF(PNL!A109="","",PNL!A109)</f>
        <v/>
      </c>
      <c r="B109">
        <f>IF(PNL!B109="","",PNL!B109)</f>
        <v/>
      </c>
      <c r="C109">
        <f>IF(PNL!C109="","",PNL!C109)</f>
        <v/>
      </c>
      <c r="D109">
        <f>IF(PNL!D109="","",PNL!D109)</f>
        <v/>
      </c>
      <c r="E109">
        <f>IF($A109="","",IF(AND($C109="2027",OR($D109="V01",$D109="V02",$D109="V03")),1,0))</f>
        <v/>
      </c>
      <c r="F109">
        <f>IF($A109="","",IF($E109=1,SUMIFS(Comptabilité!$F$1:$F$675,Comptabilité!$A$1:$A$675,$A109,Comptabilité!$B$1:$B$675,$B109,Comptabilité!$C$1:$C$675,"2026"),0))</f>
        <v/>
      </c>
      <c r="G109">
        <f>IF($A109="","",IF($D109="V01",Cadrage!$C$22,IF($D109="V02",Cadrage!$D$22,Cadrage!$E$22)))</f>
        <v/>
      </c>
      <c r="H109">
        <f>IF($A109="","",IF($D109="V01",Cadrage!$C$23,IF($D109="V02",Cadrage!$D$23,Cadrage!$E$23)))</f>
        <v/>
      </c>
      <c r="I109">
        <f>IF($A109="","",IF($D109="V01",Cadrage!$C$31,IF($D109="V02",Cadrage!$D$31,Cadrage!$E$31)))</f>
        <v/>
      </c>
      <c r="J109">
        <f>IF($A109="","",IF($D109="V01",Cadrage!$C$32,IF($D109="V02",Cadrage!$D$32,Cadrage!$E$32)))</f>
        <v/>
      </c>
      <c r="K109">
        <f>IF($A109="","",IF($D109="V01",Cadrage!$C$33,IF($D109="V02",Cadrage!$D$33,Cadrage!$E$33)))</f>
        <v/>
      </c>
      <c r="L109">
        <f>IF($A109="","",IF($D109="V01",Cadrage!$C$34,IF($D109="V02",Cadrage!$D$34,Cadrage!$E$34)))</f>
        <v/>
      </c>
      <c r="M109">
        <f>IF($A109="","",IF($D109="V01",Cadrage!$C$35,IF($D109="V02",Cadrage!$D$35,Cadrage!$E$35)))</f>
        <v/>
      </c>
      <c r="N109">
        <f>IF($A109="","",IF($D109="V01",$R$2,IF($D109="V02",$R$3,$R$4)))</f>
        <v/>
      </c>
      <c r="O109">
        <f>IF($A109="","",IF(OR($B109="7062",$B109="706",$B109="708"),$N109,IF($B109="6231",1+$G109,IF($B109="6236",1+$H109,IF(OR($B109="621",$B109="604",$B109="6063"),$N109*(1-$L109),IF(OR($B109="6411",$B109="6413",$B109="6414",$B109="645"),(1+$J109)*(1+$K109),IF(OR($B109="613",$B109="615",$B109="616",$B109="6226",$B109="625",$B109="626",$B109="6281"),(1+$I109)*(1-$L109)*(1+$M109),IF(OR($B109="6331",$B109="63511",$B109="6333"),(1+$I109)*(1-$L109),IF($B109="6811",1+$I109,1)))))))))</f>
        <v/>
      </c>
      <c r="P109">
        <f>IF($A109="","",IF($E109=1,$F109*$O109,PNL!G109))</f>
        <v/>
      </c>
      <c r="T109">
        <f>IF($A109="","",IF($E109=1,IF(OR($B109="7062",$B109="706",$B109="708"),$P109,IF(AND(LEFT($B109,1)="6",$B109&lt;&gt;"6811"),-$P109,0)),0))</f>
        <v/>
      </c>
    </row>
    <row r="110">
      <c r="A110">
        <f>IF(PNL!A110="","",PNL!A110)</f>
        <v/>
      </c>
      <c r="B110">
        <f>IF(PNL!B110="","",PNL!B110)</f>
        <v/>
      </c>
      <c r="C110">
        <f>IF(PNL!C110="","",PNL!C110)</f>
        <v/>
      </c>
      <c r="D110">
        <f>IF(PNL!D110="","",PNL!D110)</f>
        <v/>
      </c>
      <c r="E110">
        <f>IF($A110="","",IF(AND($C110="2027",OR($D110="V01",$D110="V02",$D110="V03")),1,0))</f>
        <v/>
      </c>
      <c r="F110">
        <f>IF($A110="","",IF($E110=1,SUMIFS(Comptabilité!$F$1:$F$675,Comptabilité!$A$1:$A$675,$A110,Comptabilité!$B$1:$B$675,$B110,Comptabilité!$C$1:$C$675,"2026"),0))</f>
        <v/>
      </c>
      <c r="G110">
        <f>IF($A110="","",IF($D110="V01",Cadrage!$C$22,IF($D110="V02",Cadrage!$D$22,Cadrage!$E$22)))</f>
        <v/>
      </c>
      <c r="H110">
        <f>IF($A110="","",IF($D110="V01",Cadrage!$C$23,IF($D110="V02",Cadrage!$D$23,Cadrage!$E$23)))</f>
        <v/>
      </c>
      <c r="I110">
        <f>IF($A110="","",IF($D110="V01",Cadrage!$C$31,IF($D110="V02",Cadrage!$D$31,Cadrage!$E$31)))</f>
        <v/>
      </c>
      <c r="J110">
        <f>IF($A110="","",IF($D110="V01",Cadrage!$C$32,IF($D110="V02",Cadrage!$D$32,Cadrage!$E$32)))</f>
        <v/>
      </c>
      <c r="K110">
        <f>IF($A110="","",IF($D110="V01",Cadrage!$C$33,IF($D110="V02",Cadrage!$D$33,Cadrage!$E$33)))</f>
        <v/>
      </c>
      <c r="L110">
        <f>IF($A110="","",IF($D110="V01",Cadrage!$C$34,IF($D110="V02",Cadrage!$D$34,Cadrage!$E$34)))</f>
        <v/>
      </c>
      <c r="M110">
        <f>IF($A110="","",IF($D110="V01",Cadrage!$C$35,IF($D110="V02",Cadrage!$D$35,Cadrage!$E$35)))</f>
        <v/>
      </c>
      <c r="N110">
        <f>IF($A110="","",IF($D110="V01",$R$2,IF($D110="V02",$R$3,$R$4)))</f>
        <v/>
      </c>
      <c r="O110">
        <f>IF($A110="","",IF(OR($B110="7062",$B110="706",$B110="708"),$N110,IF($B110="6231",1+$G110,IF($B110="6236",1+$H110,IF(OR($B110="621",$B110="604",$B110="6063"),$N110*(1-$L110),IF(OR($B110="6411",$B110="6413",$B110="6414",$B110="645"),(1+$J110)*(1+$K110),IF(OR($B110="613",$B110="615",$B110="616",$B110="6226",$B110="625",$B110="626",$B110="6281"),(1+$I110)*(1-$L110)*(1+$M110),IF(OR($B110="6331",$B110="63511",$B110="6333"),(1+$I110)*(1-$L110),IF($B110="6811",1+$I110,1)))))))))</f>
        <v/>
      </c>
      <c r="P110">
        <f>IF($A110="","",IF($E110=1,$F110*$O110,PNL!G110))</f>
        <v/>
      </c>
      <c r="T110">
        <f>IF($A110="","",IF($E110=1,IF(OR($B110="7062",$B110="706",$B110="708"),$P110,IF(AND(LEFT($B110,1)="6",$B110&lt;&gt;"6811"),-$P110,0)),0))</f>
        <v/>
      </c>
    </row>
    <row r="111">
      <c r="A111">
        <f>IF(PNL!A111="","",PNL!A111)</f>
        <v/>
      </c>
      <c r="B111">
        <f>IF(PNL!B111="","",PNL!B111)</f>
        <v/>
      </c>
      <c r="C111">
        <f>IF(PNL!C111="","",PNL!C111)</f>
        <v/>
      </c>
      <c r="D111">
        <f>IF(PNL!D111="","",PNL!D111)</f>
        <v/>
      </c>
      <c r="E111">
        <f>IF($A111="","",IF(AND($C111="2027",OR($D111="V01",$D111="V02",$D111="V03")),1,0))</f>
        <v/>
      </c>
      <c r="F111">
        <f>IF($A111="","",IF($E111=1,SUMIFS(Comptabilité!$F$1:$F$675,Comptabilité!$A$1:$A$675,$A111,Comptabilité!$B$1:$B$675,$B111,Comptabilité!$C$1:$C$675,"2026"),0))</f>
        <v/>
      </c>
      <c r="G111">
        <f>IF($A111="","",IF($D111="V01",Cadrage!$C$22,IF($D111="V02",Cadrage!$D$22,Cadrage!$E$22)))</f>
        <v/>
      </c>
      <c r="H111">
        <f>IF($A111="","",IF($D111="V01",Cadrage!$C$23,IF($D111="V02",Cadrage!$D$23,Cadrage!$E$23)))</f>
        <v/>
      </c>
      <c r="I111">
        <f>IF($A111="","",IF($D111="V01",Cadrage!$C$31,IF($D111="V02",Cadrage!$D$31,Cadrage!$E$31)))</f>
        <v/>
      </c>
      <c r="J111">
        <f>IF($A111="","",IF($D111="V01",Cadrage!$C$32,IF($D111="V02",Cadrage!$D$32,Cadrage!$E$32)))</f>
        <v/>
      </c>
      <c r="K111">
        <f>IF($A111="","",IF($D111="V01",Cadrage!$C$33,IF($D111="V02",Cadrage!$D$33,Cadrage!$E$33)))</f>
        <v/>
      </c>
      <c r="L111">
        <f>IF($A111="","",IF($D111="V01",Cadrage!$C$34,IF($D111="V02",Cadrage!$D$34,Cadrage!$E$34)))</f>
        <v/>
      </c>
      <c r="M111">
        <f>IF($A111="","",IF($D111="V01",Cadrage!$C$35,IF($D111="V02",Cadrage!$D$35,Cadrage!$E$35)))</f>
        <v/>
      </c>
      <c r="N111">
        <f>IF($A111="","",IF($D111="V01",$R$2,IF($D111="V02",$R$3,$R$4)))</f>
        <v/>
      </c>
      <c r="O111">
        <f>IF($A111="","",IF(OR($B111="7062",$B111="706",$B111="708"),$N111,IF($B111="6231",1+$G111,IF($B111="6236",1+$H111,IF(OR($B111="621",$B111="604",$B111="6063"),$N111*(1-$L111),IF(OR($B111="6411",$B111="6413",$B111="6414",$B111="645"),(1+$J111)*(1+$K111),IF(OR($B111="613",$B111="615",$B111="616",$B111="6226",$B111="625",$B111="626",$B111="6281"),(1+$I111)*(1-$L111)*(1+$M111),IF(OR($B111="6331",$B111="63511",$B111="6333"),(1+$I111)*(1-$L111),IF($B111="6811",1+$I111,1)))))))))</f>
        <v/>
      </c>
      <c r="P111">
        <f>IF($A111="","",IF($E111=1,$F111*$O111,PNL!G111))</f>
        <v/>
      </c>
      <c r="T111">
        <f>IF($A111="","",IF($E111=1,IF(OR($B111="7062",$B111="706",$B111="708"),$P111,IF(AND(LEFT($B111,1)="6",$B111&lt;&gt;"6811"),-$P111,0)),0))</f>
        <v/>
      </c>
    </row>
    <row r="112">
      <c r="A112">
        <f>IF(PNL!A112="","",PNL!A112)</f>
        <v/>
      </c>
      <c r="B112">
        <f>IF(PNL!B112="","",PNL!B112)</f>
        <v/>
      </c>
      <c r="C112">
        <f>IF(PNL!C112="","",PNL!C112)</f>
        <v/>
      </c>
      <c r="D112">
        <f>IF(PNL!D112="","",PNL!D112)</f>
        <v/>
      </c>
      <c r="E112">
        <f>IF($A112="","",IF(AND($C112="2027",OR($D112="V01",$D112="V02",$D112="V03")),1,0))</f>
        <v/>
      </c>
      <c r="F112">
        <f>IF($A112="","",IF($E112=1,SUMIFS(Comptabilité!$F$1:$F$675,Comptabilité!$A$1:$A$675,$A112,Comptabilité!$B$1:$B$675,$B112,Comptabilité!$C$1:$C$675,"2026"),0))</f>
        <v/>
      </c>
      <c r="G112">
        <f>IF($A112="","",IF($D112="V01",Cadrage!$C$22,IF($D112="V02",Cadrage!$D$22,Cadrage!$E$22)))</f>
        <v/>
      </c>
      <c r="H112">
        <f>IF($A112="","",IF($D112="V01",Cadrage!$C$23,IF($D112="V02",Cadrage!$D$23,Cadrage!$E$23)))</f>
        <v/>
      </c>
      <c r="I112">
        <f>IF($A112="","",IF($D112="V01",Cadrage!$C$31,IF($D112="V02",Cadrage!$D$31,Cadrage!$E$31)))</f>
        <v/>
      </c>
      <c r="J112">
        <f>IF($A112="","",IF($D112="V01",Cadrage!$C$32,IF($D112="V02",Cadrage!$D$32,Cadrage!$E$32)))</f>
        <v/>
      </c>
      <c r="K112">
        <f>IF($A112="","",IF($D112="V01",Cadrage!$C$33,IF($D112="V02",Cadrage!$D$33,Cadrage!$E$33)))</f>
        <v/>
      </c>
      <c r="L112">
        <f>IF($A112="","",IF($D112="V01",Cadrage!$C$34,IF($D112="V02",Cadrage!$D$34,Cadrage!$E$34)))</f>
        <v/>
      </c>
      <c r="M112">
        <f>IF($A112="","",IF($D112="V01",Cadrage!$C$35,IF($D112="V02",Cadrage!$D$35,Cadrage!$E$35)))</f>
        <v/>
      </c>
      <c r="N112">
        <f>IF($A112="","",IF($D112="V01",$R$2,IF($D112="V02",$R$3,$R$4)))</f>
        <v/>
      </c>
      <c r="O112">
        <f>IF($A112="","",IF(OR($B112="7062",$B112="706",$B112="708"),$N112,IF($B112="6231",1+$G112,IF($B112="6236",1+$H112,IF(OR($B112="621",$B112="604",$B112="6063"),$N112*(1-$L112),IF(OR($B112="6411",$B112="6413",$B112="6414",$B112="645"),(1+$J112)*(1+$K112),IF(OR($B112="613",$B112="615",$B112="616",$B112="6226",$B112="625",$B112="626",$B112="6281"),(1+$I112)*(1-$L112)*(1+$M112),IF(OR($B112="6331",$B112="63511",$B112="6333"),(1+$I112)*(1-$L112),IF($B112="6811",1+$I112,1)))))))))</f>
        <v/>
      </c>
      <c r="P112">
        <f>IF($A112="","",IF($E112=1,$F112*$O112,PNL!G112))</f>
        <v/>
      </c>
      <c r="T112">
        <f>IF($A112="","",IF($E112=1,IF(OR($B112="7062",$B112="706",$B112="708"),$P112,IF(AND(LEFT($B112,1)="6",$B112&lt;&gt;"6811"),-$P112,0)),0))</f>
        <v/>
      </c>
    </row>
    <row r="113">
      <c r="A113">
        <f>IF(PNL!A113="","",PNL!A113)</f>
        <v/>
      </c>
      <c r="B113">
        <f>IF(PNL!B113="","",PNL!B113)</f>
        <v/>
      </c>
      <c r="C113">
        <f>IF(PNL!C113="","",PNL!C113)</f>
        <v/>
      </c>
      <c r="D113">
        <f>IF(PNL!D113="","",PNL!D113)</f>
        <v/>
      </c>
      <c r="E113">
        <f>IF($A113="","",IF(AND($C113="2027",OR($D113="V01",$D113="V02",$D113="V03")),1,0))</f>
        <v/>
      </c>
      <c r="F113">
        <f>IF($A113="","",IF($E113=1,SUMIFS(Comptabilité!$F$1:$F$675,Comptabilité!$A$1:$A$675,$A113,Comptabilité!$B$1:$B$675,$B113,Comptabilité!$C$1:$C$675,"2026"),0))</f>
        <v/>
      </c>
      <c r="G113">
        <f>IF($A113="","",IF($D113="V01",Cadrage!$C$22,IF($D113="V02",Cadrage!$D$22,Cadrage!$E$22)))</f>
        <v/>
      </c>
      <c r="H113">
        <f>IF($A113="","",IF($D113="V01",Cadrage!$C$23,IF($D113="V02",Cadrage!$D$23,Cadrage!$E$23)))</f>
        <v/>
      </c>
      <c r="I113">
        <f>IF($A113="","",IF($D113="V01",Cadrage!$C$31,IF($D113="V02",Cadrage!$D$31,Cadrage!$E$31)))</f>
        <v/>
      </c>
      <c r="J113">
        <f>IF($A113="","",IF($D113="V01",Cadrage!$C$32,IF($D113="V02",Cadrage!$D$32,Cadrage!$E$32)))</f>
        <v/>
      </c>
      <c r="K113">
        <f>IF($A113="","",IF($D113="V01",Cadrage!$C$33,IF($D113="V02",Cadrage!$D$33,Cadrage!$E$33)))</f>
        <v/>
      </c>
      <c r="L113">
        <f>IF($A113="","",IF($D113="V01",Cadrage!$C$34,IF($D113="V02",Cadrage!$D$34,Cadrage!$E$34)))</f>
        <v/>
      </c>
      <c r="M113">
        <f>IF($A113="","",IF($D113="V01",Cadrage!$C$35,IF($D113="V02",Cadrage!$D$35,Cadrage!$E$35)))</f>
        <v/>
      </c>
      <c r="N113">
        <f>IF($A113="","",IF($D113="V01",$R$2,IF($D113="V02",$R$3,$R$4)))</f>
        <v/>
      </c>
      <c r="O113">
        <f>IF($A113="","",IF(OR($B113="7062",$B113="706",$B113="708"),$N113,IF($B113="6231",1+$G113,IF($B113="6236",1+$H113,IF(OR($B113="621",$B113="604",$B113="6063"),$N113*(1-$L113),IF(OR($B113="6411",$B113="6413",$B113="6414",$B113="645"),(1+$J113)*(1+$K113),IF(OR($B113="613",$B113="615",$B113="616",$B113="6226",$B113="625",$B113="626",$B113="6281"),(1+$I113)*(1-$L113)*(1+$M113),IF(OR($B113="6331",$B113="63511",$B113="6333"),(1+$I113)*(1-$L113),IF($B113="6811",1+$I113,1)))))))))</f>
        <v/>
      </c>
      <c r="P113">
        <f>IF($A113="","",IF($E113=1,$F113*$O113,PNL!G113))</f>
        <v/>
      </c>
      <c r="T113">
        <f>IF($A113="","",IF($E113=1,IF(OR($B113="7062",$B113="706",$B113="708"),$P113,IF(AND(LEFT($B113,1)="6",$B113&lt;&gt;"6811"),-$P113,0)),0))</f>
        <v/>
      </c>
    </row>
    <row r="114">
      <c r="A114">
        <f>IF(PNL!A114="","",PNL!A114)</f>
        <v/>
      </c>
      <c r="B114">
        <f>IF(PNL!B114="","",PNL!B114)</f>
        <v/>
      </c>
      <c r="C114">
        <f>IF(PNL!C114="","",PNL!C114)</f>
        <v/>
      </c>
      <c r="D114">
        <f>IF(PNL!D114="","",PNL!D114)</f>
        <v/>
      </c>
      <c r="E114">
        <f>IF($A114="","",IF(AND($C114="2027",OR($D114="V01",$D114="V02",$D114="V03")),1,0))</f>
        <v/>
      </c>
      <c r="F114">
        <f>IF($A114="","",IF($E114=1,SUMIFS(Comptabilité!$F$1:$F$675,Comptabilité!$A$1:$A$675,$A114,Comptabilité!$B$1:$B$675,$B114,Comptabilité!$C$1:$C$675,"2026"),0))</f>
        <v/>
      </c>
      <c r="G114">
        <f>IF($A114="","",IF($D114="V01",Cadrage!$C$22,IF($D114="V02",Cadrage!$D$22,Cadrage!$E$22)))</f>
        <v/>
      </c>
      <c r="H114">
        <f>IF($A114="","",IF($D114="V01",Cadrage!$C$23,IF($D114="V02",Cadrage!$D$23,Cadrage!$E$23)))</f>
        <v/>
      </c>
      <c r="I114">
        <f>IF($A114="","",IF($D114="V01",Cadrage!$C$31,IF($D114="V02",Cadrage!$D$31,Cadrage!$E$31)))</f>
        <v/>
      </c>
      <c r="J114">
        <f>IF($A114="","",IF($D114="V01",Cadrage!$C$32,IF($D114="V02",Cadrage!$D$32,Cadrage!$E$32)))</f>
        <v/>
      </c>
      <c r="K114">
        <f>IF($A114="","",IF($D114="V01",Cadrage!$C$33,IF($D114="V02",Cadrage!$D$33,Cadrage!$E$33)))</f>
        <v/>
      </c>
      <c r="L114">
        <f>IF($A114="","",IF($D114="V01",Cadrage!$C$34,IF($D114="V02",Cadrage!$D$34,Cadrage!$E$34)))</f>
        <v/>
      </c>
      <c r="M114">
        <f>IF($A114="","",IF($D114="V01",Cadrage!$C$35,IF($D114="V02",Cadrage!$D$35,Cadrage!$E$35)))</f>
        <v/>
      </c>
      <c r="N114">
        <f>IF($A114="","",IF($D114="V01",$R$2,IF($D114="V02",$R$3,$R$4)))</f>
        <v/>
      </c>
      <c r="O114">
        <f>IF($A114="","",IF(OR($B114="7062",$B114="706",$B114="708"),$N114,IF($B114="6231",1+$G114,IF($B114="6236",1+$H114,IF(OR($B114="621",$B114="604",$B114="6063"),$N114*(1-$L114),IF(OR($B114="6411",$B114="6413",$B114="6414",$B114="645"),(1+$J114)*(1+$K114),IF(OR($B114="613",$B114="615",$B114="616",$B114="6226",$B114="625",$B114="626",$B114="6281"),(1+$I114)*(1-$L114)*(1+$M114),IF(OR($B114="6331",$B114="63511",$B114="6333"),(1+$I114)*(1-$L114),IF($B114="6811",1+$I114,1)))))))))</f>
        <v/>
      </c>
      <c r="P114">
        <f>IF($A114="","",IF($E114=1,$F114*$O114,PNL!G114))</f>
        <v/>
      </c>
      <c r="T114">
        <f>IF($A114="","",IF($E114=1,IF(OR($B114="7062",$B114="706",$B114="708"),$P114,IF(AND(LEFT($B114,1)="6",$B114&lt;&gt;"6811"),-$P114,0)),0))</f>
        <v/>
      </c>
    </row>
    <row r="115">
      <c r="A115">
        <f>IF(PNL!A115="","",PNL!A115)</f>
        <v/>
      </c>
      <c r="B115">
        <f>IF(PNL!B115="","",PNL!B115)</f>
        <v/>
      </c>
      <c r="C115">
        <f>IF(PNL!C115="","",PNL!C115)</f>
        <v/>
      </c>
      <c r="D115">
        <f>IF(PNL!D115="","",PNL!D115)</f>
        <v/>
      </c>
      <c r="E115">
        <f>IF($A115="","",IF(AND($C115="2027",OR($D115="V01",$D115="V02",$D115="V03")),1,0))</f>
        <v/>
      </c>
      <c r="F115">
        <f>IF($A115="","",IF($E115=1,SUMIFS(Comptabilité!$F$1:$F$675,Comptabilité!$A$1:$A$675,$A115,Comptabilité!$B$1:$B$675,$B115,Comptabilité!$C$1:$C$675,"2026"),0))</f>
        <v/>
      </c>
      <c r="G115">
        <f>IF($A115="","",IF($D115="V01",Cadrage!$C$22,IF($D115="V02",Cadrage!$D$22,Cadrage!$E$22)))</f>
        <v/>
      </c>
      <c r="H115">
        <f>IF($A115="","",IF($D115="V01",Cadrage!$C$23,IF($D115="V02",Cadrage!$D$23,Cadrage!$E$23)))</f>
        <v/>
      </c>
      <c r="I115">
        <f>IF($A115="","",IF($D115="V01",Cadrage!$C$31,IF($D115="V02",Cadrage!$D$31,Cadrage!$E$31)))</f>
        <v/>
      </c>
      <c r="J115">
        <f>IF($A115="","",IF($D115="V01",Cadrage!$C$32,IF($D115="V02",Cadrage!$D$32,Cadrage!$E$32)))</f>
        <v/>
      </c>
      <c r="K115">
        <f>IF($A115="","",IF($D115="V01",Cadrage!$C$33,IF($D115="V02",Cadrage!$D$33,Cadrage!$E$33)))</f>
        <v/>
      </c>
      <c r="L115">
        <f>IF($A115="","",IF($D115="V01",Cadrage!$C$34,IF($D115="V02",Cadrage!$D$34,Cadrage!$E$34)))</f>
        <v/>
      </c>
      <c r="M115">
        <f>IF($A115="","",IF($D115="V01",Cadrage!$C$35,IF($D115="V02",Cadrage!$D$35,Cadrage!$E$35)))</f>
        <v/>
      </c>
      <c r="N115">
        <f>IF($A115="","",IF($D115="V01",$R$2,IF($D115="V02",$R$3,$R$4)))</f>
        <v/>
      </c>
      <c r="O115">
        <f>IF($A115="","",IF(OR($B115="7062",$B115="706",$B115="708"),$N115,IF($B115="6231",1+$G115,IF($B115="6236",1+$H115,IF(OR($B115="621",$B115="604",$B115="6063"),$N115*(1-$L115),IF(OR($B115="6411",$B115="6413",$B115="6414",$B115="645"),(1+$J115)*(1+$K115),IF(OR($B115="613",$B115="615",$B115="616",$B115="6226",$B115="625",$B115="626",$B115="6281"),(1+$I115)*(1-$L115)*(1+$M115),IF(OR($B115="6331",$B115="63511",$B115="6333"),(1+$I115)*(1-$L115),IF($B115="6811",1+$I115,1)))))))))</f>
        <v/>
      </c>
      <c r="P115">
        <f>IF($A115="","",IF($E115=1,$F115*$O115,PNL!G115))</f>
        <v/>
      </c>
      <c r="T115">
        <f>IF($A115="","",IF($E115=1,IF(OR($B115="7062",$B115="706",$B115="708"),$P115,IF(AND(LEFT($B115,1)="6",$B115&lt;&gt;"6811"),-$P115,0)),0))</f>
        <v/>
      </c>
    </row>
    <row r="116">
      <c r="A116">
        <f>IF(PNL!A116="","",PNL!A116)</f>
        <v/>
      </c>
      <c r="B116">
        <f>IF(PNL!B116="","",PNL!B116)</f>
        <v/>
      </c>
      <c r="C116">
        <f>IF(PNL!C116="","",PNL!C116)</f>
        <v/>
      </c>
      <c r="D116">
        <f>IF(PNL!D116="","",PNL!D116)</f>
        <v/>
      </c>
      <c r="E116">
        <f>IF($A116="","",IF(AND($C116="2027",OR($D116="V01",$D116="V02",$D116="V03")),1,0))</f>
        <v/>
      </c>
      <c r="F116">
        <f>IF($A116="","",IF($E116=1,SUMIFS(Comptabilité!$F$1:$F$675,Comptabilité!$A$1:$A$675,$A116,Comptabilité!$B$1:$B$675,$B116,Comptabilité!$C$1:$C$675,"2026"),0))</f>
        <v/>
      </c>
      <c r="G116">
        <f>IF($A116="","",IF($D116="V01",Cadrage!$C$22,IF($D116="V02",Cadrage!$D$22,Cadrage!$E$22)))</f>
        <v/>
      </c>
      <c r="H116">
        <f>IF($A116="","",IF($D116="V01",Cadrage!$C$23,IF($D116="V02",Cadrage!$D$23,Cadrage!$E$23)))</f>
        <v/>
      </c>
      <c r="I116">
        <f>IF($A116="","",IF($D116="V01",Cadrage!$C$31,IF($D116="V02",Cadrage!$D$31,Cadrage!$E$31)))</f>
        <v/>
      </c>
      <c r="J116">
        <f>IF($A116="","",IF($D116="V01",Cadrage!$C$32,IF($D116="V02",Cadrage!$D$32,Cadrage!$E$32)))</f>
        <v/>
      </c>
      <c r="K116">
        <f>IF($A116="","",IF($D116="V01",Cadrage!$C$33,IF($D116="V02",Cadrage!$D$33,Cadrage!$E$33)))</f>
        <v/>
      </c>
      <c r="L116">
        <f>IF($A116="","",IF($D116="V01",Cadrage!$C$34,IF($D116="V02",Cadrage!$D$34,Cadrage!$E$34)))</f>
        <v/>
      </c>
      <c r="M116">
        <f>IF($A116="","",IF($D116="V01",Cadrage!$C$35,IF($D116="V02",Cadrage!$D$35,Cadrage!$E$35)))</f>
        <v/>
      </c>
      <c r="N116">
        <f>IF($A116="","",IF($D116="V01",$R$2,IF($D116="V02",$R$3,$R$4)))</f>
        <v/>
      </c>
      <c r="O116">
        <f>IF($A116="","",IF(OR($B116="7062",$B116="706",$B116="708"),$N116,IF($B116="6231",1+$G116,IF($B116="6236",1+$H116,IF(OR($B116="621",$B116="604",$B116="6063"),$N116*(1-$L116),IF(OR($B116="6411",$B116="6413",$B116="6414",$B116="645"),(1+$J116)*(1+$K116),IF(OR($B116="613",$B116="615",$B116="616",$B116="6226",$B116="625",$B116="626",$B116="6281"),(1+$I116)*(1-$L116)*(1+$M116),IF(OR($B116="6331",$B116="63511",$B116="6333"),(1+$I116)*(1-$L116),IF($B116="6811",1+$I116,1)))))))))</f>
        <v/>
      </c>
      <c r="P116">
        <f>IF($A116="","",IF($E116=1,$F116*$O116,PNL!G116))</f>
        <v/>
      </c>
      <c r="T116">
        <f>IF($A116="","",IF($E116=1,IF(OR($B116="7062",$B116="706",$B116="708"),$P116,IF(AND(LEFT($B116,1)="6",$B116&lt;&gt;"6811"),-$P116,0)),0))</f>
        <v/>
      </c>
    </row>
    <row r="117">
      <c r="A117">
        <f>IF(PNL!A117="","",PNL!A117)</f>
        <v/>
      </c>
      <c r="B117">
        <f>IF(PNL!B117="","",PNL!B117)</f>
        <v/>
      </c>
      <c r="C117">
        <f>IF(PNL!C117="","",PNL!C117)</f>
        <v/>
      </c>
      <c r="D117">
        <f>IF(PNL!D117="","",PNL!D117)</f>
        <v/>
      </c>
      <c r="E117">
        <f>IF($A117="","",IF(AND($C117="2027",OR($D117="V01",$D117="V02",$D117="V03")),1,0))</f>
        <v/>
      </c>
      <c r="F117">
        <f>IF($A117="","",IF($E117=1,SUMIFS(Comptabilité!$F$1:$F$675,Comptabilité!$A$1:$A$675,$A117,Comptabilité!$B$1:$B$675,$B117,Comptabilité!$C$1:$C$675,"2026"),0))</f>
        <v/>
      </c>
      <c r="G117">
        <f>IF($A117="","",IF($D117="V01",Cadrage!$C$22,IF($D117="V02",Cadrage!$D$22,Cadrage!$E$22)))</f>
        <v/>
      </c>
      <c r="H117">
        <f>IF($A117="","",IF($D117="V01",Cadrage!$C$23,IF($D117="V02",Cadrage!$D$23,Cadrage!$E$23)))</f>
        <v/>
      </c>
      <c r="I117">
        <f>IF($A117="","",IF($D117="V01",Cadrage!$C$31,IF($D117="V02",Cadrage!$D$31,Cadrage!$E$31)))</f>
        <v/>
      </c>
      <c r="J117">
        <f>IF($A117="","",IF($D117="V01",Cadrage!$C$32,IF($D117="V02",Cadrage!$D$32,Cadrage!$E$32)))</f>
        <v/>
      </c>
      <c r="K117">
        <f>IF($A117="","",IF($D117="V01",Cadrage!$C$33,IF($D117="V02",Cadrage!$D$33,Cadrage!$E$33)))</f>
        <v/>
      </c>
      <c r="L117">
        <f>IF($A117="","",IF($D117="V01",Cadrage!$C$34,IF($D117="V02",Cadrage!$D$34,Cadrage!$E$34)))</f>
        <v/>
      </c>
      <c r="M117">
        <f>IF($A117="","",IF($D117="V01",Cadrage!$C$35,IF($D117="V02",Cadrage!$D$35,Cadrage!$E$35)))</f>
        <v/>
      </c>
      <c r="N117">
        <f>IF($A117="","",IF($D117="V01",$R$2,IF($D117="V02",$R$3,$R$4)))</f>
        <v/>
      </c>
      <c r="O117">
        <f>IF($A117="","",IF(OR($B117="7062",$B117="706",$B117="708"),$N117,IF($B117="6231",1+$G117,IF($B117="6236",1+$H117,IF(OR($B117="621",$B117="604",$B117="6063"),$N117*(1-$L117),IF(OR($B117="6411",$B117="6413",$B117="6414",$B117="645"),(1+$J117)*(1+$K117),IF(OR($B117="613",$B117="615",$B117="616",$B117="6226",$B117="625",$B117="626",$B117="6281"),(1+$I117)*(1-$L117)*(1+$M117),IF(OR($B117="6331",$B117="63511",$B117="6333"),(1+$I117)*(1-$L117),IF($B117="6811",1+$I117,1)))))))))</f>
        <v/>
      </c>
      <c r="P117">
        <f>IF($A117="","",IF($E117=1,$F117*$O117,PNL!G117))</f>
        <v/>
      </c>
      <c r="T117">
        <f>IF($A117="","",IF($E117=1,IF(OR($B117="7062",$B117="706",$B117="708"),$P117,IF(AND(LEFT($B117,1)="6",$B117&lt;&gt;"6811"),-$P117,0)),0))</f>
        <v/>
      </c>
    </row>
    <row r="118">
      <c r="A118">
        <f>IF(PNL!A118="","",PNL!A118)</f>
        <v/>
      </c>
      <c r="B118">
        <f>IF(PNL!B118="","",PNL!B118)</f>
        <v/>
      </c>
      <c r="C118">
        <f>IF(PNL!C118="","",PNL!C118)</f>
        <v/>
      </c>
      <c r="D118">
        <f>IF(PNL!D118="","",PNL!D118)</f>
        <v/>
      </c>
      <c r="E118">
        <f>IF($A118="","",IF(AND($C118="2027",OR($D118="V01",$D118="V02",$D118="V03")),1,0))</f>
        <v/>
      </c>
      <c r="F118">
        <f>IF($A118="","",IF($E118=1,SUMIFS(Comptabilité!$F$1:$F$675,Comptabilité!$A$1:$A$675,$A118,Comptabilité!$B$1:$B$675,$B118,Comptabilité!$C$1:$C$675,"2026"),0))</f>
        <v/>
      </c>
      <c r="G118">
        <f>IF($A118="","",IF($D118="V01",Cadrage!$C$22,IF($D118="V02",Cadrage!$D$22,Cadrage!$E$22)))</f>
        <v/>
      </c>
      <c r="H118">
        <f>IF($A118="","",IF($D118="V01",Cadrage!$C$23,IF($D118="V02",Cadrage!$D$23,Cadrage!$E$23)))</f>
        <v/>
      </c>
      <c r="I118">
        <f>IF($A118="","",IF($D118="V01",Cadrage!$C$31,IF($D118="V02",Cadrage!$D$31,Cadrage!$E$31)))</f>
        <v/>
      </c>
      <c r="J118">
        <f>IF($A118="","",IF($D118="V01",Cadrage!$C$32,IF($D118="V02",Cadrage!$D$32,Cadrage!$E$32)))</f>
        <v/>
      </c>
      <c r="K118">
        <f>IF($A118="","",IF($D118="V01",Cadrage!$C$33,IF($D118="V02",Cadrage!$D$33,Cadrage!$E$33)))</f>
        <v/>
      </c>
      <c r="L118">
        <f>IF($A118="","",IF($D118="V01",Cadrage!$C$34,IF($D118="V02",Cadrage!$D$34,Cadrage!$E$34)))</f>
        <v/>
      </c>
      <c r="M118">
        <f>IF($A118="","",IF($D118="V01",Cadrage!$C$35,IF($D118="V02",Cadrage!$D$35,Cadrage!$E$35)))</f>
        <v/>
      </c>
      <c r="N118">
        <f>IF($A118="","",IF($D118="V01",$R$2,IF($D118="V02",$R$3,$R$4)))</f>
        <v/>
      </c>
      <c r="O118">
        <f>IF($A118="","",IF(OR($B118="7062",$B118="706",$B118="708"),$N118,IF($B118="6231",1+$G118,IF($B118="6236",1+$H118,IF(OR($B118="621",$B118="604",$B118="6063"),$N118*(1-$L118),IF(OR($B118="6411",$B118="6413",$B118="6414",$B118="645"),(1+$J118)*(1+$K118),IF(OR($B118="613",$B118="615",$B118="616",$B118="6226",$B118="625",$B118="626",$B118="6281"),(1+$I118)*(1-$L118)*(1+$M118),IF(OR($B118="6331",$B118="63511",$B118="6333"),(1+$I118)*(1-$L118),IF($B118="6811",1+$I118,1)))))))))</f>
        <v/>
      </c>
      <c r="P118">
        <f>IF($A118="","",IF($E118=1,$F118*$O118,PNL!G118))</f>
        <v/>
      </c>
      <c r="T118">
        <f>IF($A118="","",IF($E118=1,IF(OR($B118="7062",$B118="706",$B118="708"),$P118,IF(AND(LEFT($B118,1)="6",$B118&lt;&gt;"6811"),-$P118,0)),0))</f>
        <v/>
      </c>
    </row>
    <row r="119">
      <c r="A119">
        <f>IF(PNL!A119="","",PNL!A119)</f>
        <v/>
      </c>
      <c r="B119">
        <f>IF(PNL!B119="","",PNL!B119)</f>
        <v/>
      </c>
      <c r="C119">
        <f>IF(PNL!C119="","",PNL!C119)</f>
        <v/>
      </c>
      <c r="D119">
        <f>IF(PNL!D119="","",PNL!D119)</f>
        <v/>
      </c>
      <c r="E119">
        <f>IF($A119="","",IF(AND($C119="2027",OR($D119="V01",$D119="V02",$D119="V03")),1,0))</f>
        <v/>
      </c>
      <c r="F119">
        <f>IF($A119="","",IF($E119=1,SUMIFS(Comptabilité!$F$1:$F$675,Comptabilité!$A$1:$A$675,$A119,Comptabilité!$B$1:$B$675,$B119,Comptabilité!$C$1:$C$675,"2026"),0))</f>
        <v/>
      </c>
      <c r="G119">
        <f>IF($A119="","",IF($D119="V01",Cadrage!$C$22,IF($D119="V02",Cadrage!$D$22,Cadrage!$E$22)))</f>
        <v/>
      </c>
      <c r="H119">
        <f>IF($A119="","",IF($D119="V01",Cadrage!$C$23,IF($D119="V02",Cadrage!$D$23,Cadrage!$E$23)))</f>
        <v/>
      </c>
      <c r="I119">
        <f>IF($A119="","",IF($D119="V01",Cadrage!$C$31,IF($D119="V02",Cadrage!$D$31,Cadrage!$E$31)))</f>
        <v/>
      </c>
      <c r="J119">
        <f>IF($A119="","",IF($D119="V01",Cadrage!$C$32,IF($D119="V02",Cadrage!$D$32,Cadrage!$E$32)))</f>
        <v/>
      </c>
      <c r="K119">
        <f>IF($A119="","",IF($D119="V01",Cadrage!$C$33,IF($D119="V02",Cadrage!$D$33,Cadrage!$E$33)))</f>
        <v/>
      </c>
      <c r="L119">
        <f>IF($A119="","",IF($D119="V01",Cadrage!$C$34,IF($D119="V02",Cadrage!$D$34,Cadrage!$E$34)))</f>
        <v/>
      </c>
      <c r="M119">
        <f>IF($A119="","",IF($D119="V01",Cadrage!$C$35,IF($D119="V02",Cadrage!$D$35,Cadrage!$E$35)))</f>
        <v/>
      </c>
      <c r="N119">
        <f>IF($A119="","",IF($D119="V01",$R$2,IF($D119="V02",$R$3,$R$4)))</f>
        <v/>
      </c>
      <c r="O119">
        <f>IF($A119="","",IF(OR($B119="7062",$B119="706",$B119="708"),$N119,IF($B119="6231",1+$G119,IF($B119="6236",1+$H119,IF(OR($B119="621",$B119="604",$B119="6063"),$N119*(1-$L119),IF(OR($B119="6411",$B119="6413",$B119="6414",$B119="645"),(1+$J119)*(1+$K119),IF(OR($B119="613",$B119="615",$B119="616",$B119="6226",$B119="625",$B119="626",$B119="6281"),(1+$I119)*(1-$L119)*(1+$M119),IF(OR($B119="6331",$B119="63511",$B119="6333"),(1+$I119)*(1-$L119),IF($B119="6811",1+$I119,1)))))))))</f>
        <v/>
      </c>
      <c r="P119">
        <f>IF($A119="","",IF($E119=1,$F119*$O119,PNL!G119))</f>
        <v/>
      </c>
      <c r="T119">
        <f>IF($A119="","",IF($E119=1,IF(OR($B119="7062",$B119="706",$B119="708"),$P119,IF(AND(LEFT($B119,1)="6",$B119&lt;&gt;"6811"),-$P119,0)),0))</f>
        <v/>
      </c>
    </row>
    <row r="120">
      <c r="A120">
        <f>IF(PNL!A120="","",PNL!A120)</f>
        <v/>
      </c>
      <c r="B120">
        <f>IF(PNL!B120="","",PNL!B120)</f>
        <v/>
      </c>
      <c r="C120">
        <f>IF(PNL!C120="","",PNL!C120)</f>
        <v/>
      </c>
      <c r="D120">
        <f>IF(PNL!D120="","",PNL!D120)</f>
        <v/>
      </c>
      <c r="E120">
        <f>IF($A120="","",IF(AND($C120="2027",OR($D120="V01",$D120="V02",$D120="V03")),1,0))</f>
        <v/>
      </c>
      <c r="F120">
        <f>IF($A120="","",IF($E120=1,SUMIFS(Comptabilité!$F$1:$F$675,Comptabilité!$A$1:$A$675,$A120,Comptabilité!$B$1:$B$675,$B120,Comptabilité!$C$1:$C$675,"2026"),0))</f>
        <v/>
      </c>
      <c r="G120">
        <f>IF($A120="","",IF($D120="V01",Cadrage!$C$22,IF($D120="V02",Cadrage!$D$22,Cadrage!$E$22)))</f>
        <v/>
      </c>
      <c r="H120">
        <f>IF($A120="","",IF($D120="V01",Cadrage!$C$23,IF($D120="V02",Cadrage!$D$23,Cadrage!$E$23)))</f>
        <v/>
      </c>
      <c r="I120">
        <f>IF($A120="","",IF($D120="V01",Cadrage!$C$31,IF($D120="V02",Cadrage!$D$31,Cadrage!$E$31)))</f>
        <v/>
      </c>
      <c r="J120">
        <f>IF($A120="","",IF($D120="V01",Cadrage!$C$32,IF($D120="V02",Cadrage!$D$32,Cadrage!$E$32)))</f>
        <v/>
      </c>
      <c r="K120">
        <f>IF($A120="","",IF($D120="V01",Cadrage!$C$33,IF($D120="V02",Cadrage!$D$33,Cadrage!$E$33)))</f>
        <v/>
      </c>
      <c r="L120">
        <f>IF($A120="","",IF($D120="V01",Cadrage!$C$34,IF($D120="V02",Cadrage!$D$34,Cadrage!$E$34)))</f>
        <v/>
      </c>
      <c r="M120">
        <f>IF($A120="","",IF($D120="V01",Cadrage!$C$35,IF($D120="V02",Cadrage!$D$35,Cadrage!$E$35)))</f>
        <v/>
      </c>
      <c r="N120">
        <f>IF($A120="","",IF($D120="V01",$R$2,IF($D120="V02",$R$3,$R$4)))</f>
        <v/>
      </c>
      <c r="O120">
        <f>IF($A120="","",IF(OR($B120="7062",$B120="706",$B120="708"),$N120,IF($B120="6231",1+$G120,IF($B120="6236",1+$H120,IF(OR($B120="621",$B120="604",$B120="6063"),$N120*(1-$L120),IF(OR($B120="6411",$B120="6413",$B120="6414",$B120="645"),(1+$J120)*(1+$K120),IF(OR($B120="613",$B120="615",$B120="616",$B120="6226",$B120="625",$B120="626",$B120="6281"),(1+$I120)*(1-$L120)*(1+$M120),IF(OR($B120="6331",$B120="63511",$B120="6333"),(1+$I120)*(1-$L120),IF($B120="6811",1+$I120,1)))))))))</f>
        <v/>
      </c>
      <c r="P120">
        <f>IF($A120="","",IF($E120=1,$F120*$O120,PNL!G120))</f>
        <v/>
      </c>
      <c r="T120">
        <f>IF($A120="","",IF($E120=1,IF(OR($B120="7062",$B120="706",$B120="708"),$P120,IF(AND(LEFT($B120,1)="6",$B120&lt;&gt;"6811"),-$P120,0)),0))</f>
        <v/>
      </c>
    </row>
    <row r="121">
      <c r="A121">
        <f>IF(PNL!A121="","",PNL!A121)</f>
        <v/>
      </c>
      <c r="B121">
        <f>IF(PNL!B121="","",PNL!B121)</f>
        <v/>
      </c>
      <c r="C121">
        <f>IF(PNL!C121="","",PNL!C121)</f>
        <v/>
      </c>
      <c r="D121">
        <f>IF(PNL!D121="","",PNL!D121)</f>
        <v/>
      </c>
      <c r="E121">
        <f>IF($A121="","",IF(AND($C121="2027",OR($D121="V01",$D121="V02",$D121="V03")),1,0))</f>
        <v/>
      </c>
      <c r="F121">
        <f>IF($A121="","",IF($E121=1,SUMIFS(Comptabilité!$F$1:$F$675,Comptabilité!$A$1:$A$675,$A121,Comptabilité!$B$1:$B$675,$B121,Comptabilité!$C$1:$C$675,"2026"),0))</f>
        <v/>
      </c>
      <c r="G121">
        <f>IF($A121="","",IF($D121="V01",Cadrage!$C$22,IF($D121="V02",Cadrage!$D$22,Cadrage!$E$22)))</f>
        <v/>
      </c>
      <c r="H121">
        <f>IF($A121="","",IF($D121="V01",Cadrage!$C$23,IF($D121="V02",Cadrage!$D$23,Cadrage!$E$23)))</f>
        <v/>
      </c>
      <c r="I121">
        <f>IF($A121="","",IF($D121="V01",Cadrage!$C$31,IF($D121="V02",Cadrage!$D$31,Cadrage!$E$31)))</f>
        <v/>
      </c>
      <c r="J121">
        <f>IF($A121="","",IF($D121="V01",Cadrage!$C$32,IF($D121="V02",Cadrage!$D$32,Cadrage!$E$32)))</f>
        <v/>
      </c>
      <c r="K121">
        <f>IF($A121="","",IF($D121="V01",Cadrage!$C$33,IF($D121="V02",Cadrage!$D$33,Cadrage!$E$33)))</f>
        <v/>
      </c>
      <c r="L121">
        <f>IF($A121="","",IF($D121="V01",Cadrage!$C$34,IF($D121="V02",Cadrage!$D$34,Cadrage!$E$34)))</f>
        <v/>
      </c>
      <c r="M121">
        <f>IF($A121="","",IF($D121="V01",Cadrage!$C$35,IF($D121="V02",Cadrage!$D$35,Cadrage!$E$35)))</f>
        <v/>
      </c>
      <c r="N121">
        <f>IF($A121="","",IF($D121="V01",$R$2,IF($D121="V02",$R$3,$R$4)))</f>
        <v/>
      </c>
      <c r="O121">
        <f>IF($A121="","",IF(OR($B121="7062",$B121="706",$B121="708"),$N121,IF($B121="6231",1+$G121,IF($B121="6236",1+$H121,IF(OR($B121="621",$B121="604",$B121="6063"),$N121*(1-$L121),IF(OR($B121="6411",$B121="6413",$B121="6414",$B121="645"),(1+$J121)*(1+$K121),IF(OR($B121="613",$B121="615",$B121="616",$B121="6226",$B121="625",$B121="626",$B121="6281"),(1+$I121)*(1-$L121)*(1+$M121),IF(OR($B121="6331",$B121="63511",$B121="6333"),(1+$I121)*(1-$L121),IF($B121="6811",1+$I121,1)))))))))</f>
        <v/>
      </c>
      <c r="P121">
        <f>IF($A121="","",IF($E121=1,$F121*$O121,PNL!G121))</f>
        <v/>
      </c>
      <c r="T121">
        <f>IF($A121="","",IF($E121=1,IF(OR($B121="7062",$B121="706",$B121="708"),$P121,IF(AND(LEFT($B121,1)="6",$B121&lt;&gt;"6811"),-$P121,0)),0))</f>
        <v/>
      </c>
    </row>
    <row r="122">
      <c r="A122">
        <f>IF(PNL!A122="","",PNL!A122)</f>
        <v/>
      </c>
      <c r="B122">
        <f>IF(PNL!B122="","",PNL!B122)</f>
        <v/>
      </c>
      <c r="C122">
        <f>IF(PNL!C122="","",PNL!C122)</f>
        <v/>
      </c>
      <c r="D122">
        <f>IF(PNL!D122="","",PNL!D122)</f>
        <v/>
      </c>
      <c r="E122">
        <f>IF($A122="","",IF(AND($C122="2027",OR($D122="V01",$D122="V02",$D122="V03")),1,0))</f>
        <v/>
      </c>
      <c r="F122">
        <f>IF($A122="","",IF($E122=1,SUMIFS(Comptabilité!$F$1:$F$675,Comptabilité!$A$1:$A$675,$A122,Comptabilité!$B$1:$B$675,$B122,Comptabilité!$C$1:$C$675,"2026"),0))</f>
        <v/>
      </c>
      <c r="G122">
        <f>IF($A122="","",IF($D122="V01",Cadrage!$C$22,IF($D122="V02",Cadrage!$D$22,Cadrage!$E$22)))</f>
        <v/>
      </c>
      <c r="H122">
        <f>IF($A122="","",IF($D122="V01",Cadrage!$C$23,IF($D122="V02",Cadrage!$D$23,Cadrage!$E$23)))</f>
        <v/>
      </c>
      <c r="I122">
        <f>IF($A122="","",IF($D122="V01",Cadrage!$C$31,IF($D122="V02",Cadrage!$D$31,Cadrage!$E$31)))</f>
        <v/>
      </c>
      <c r="J122">
        <f>IF($A122="","",IF($D122="V01",Cadrage!$C$32,IF($D122="V02",Cadrage!$D$32,Cadrage!$E$32)))</f>
        <v/>
      </c>
      <c r="K122">
        <f>IF($A122="","",IF($D122="V01",Cadrage!$C$33,IF($D122="V02",Cadrage!$D$33,Cadrage!$E$33)))</f>
        <v/>
      </c>
      <c r="L122">
        <f>IF($A122="","",IF($D122="V01",Cadrage!$C$34,IF($D122="V02",Cadrage!$D$34,Cadrage!$E$34)))</f>
        <v/>
      </c>
      <c r="M122">
        <f>IF($A122="","",IF($D122="V01",Cadrage!$C$35,IF($D122="V02",Cadrage!$D$35,Cadrage!$E$35)))</f>
        <v/>
      </c>
      <c r="N122">
        <f>IF($A122="","",IF($D122="V01",$R$2,IF($D122="V02",$R$3,$R$4)))</f>
        <v/>
      </c>
      <c r="O122">
        <f>IF($A122="","",IF(OR($B122="7062",$B122="706",$B122="708"),$N122,IF($B122="6231",1+$G122,IF($B122="6236",1+$H122,IF(OR($B122="621",$B122="604",$B122="6063"),$N122*(1-$L122),IF(OR($B122="6411",$B122="6413",$B122="6414",$B122="645"),(1+$J122)*(1+$K122),IF(OR($B122="613",$B122="615",$B122="616",$B122="6226",$B122="625",$B122="626",$B122="6281"),(1+$I122)*(1-$L122)*(1+$M122),IF(OR($B122="6331",$B122="63511",$B122="6333"),(1+$I122)*(1-$L122),IF($B122="6811",1+$I122,1)))))))))</f>
        <v/>
      </c>
      <c r="P122">
        <f>IF($A122="","",IF($E122=1,$F122*$O122,PNL!G122))</f>
        <v/>
      </c>
      <c r="T122">
        <f>IF($A122="","",IF($E122=1,IF(OR($B122="7062",$B122="706",$B122="708"),$P122,IF(AND(LEFT($B122,1)="6",$B122&lt;&gt;"6811"),-$P122,0)),0))</f>
        <v/>
      </c>
    </row>
    <row r="123">
      <c r="A123">
        <f>IF(PNL!A123="","",PNL!A123)</f>
        <v/>
      </c>
      <c r="B123">
        <f>IF(PNL!B123="","",PNL!B123)</f>
        <v/>
      </c>
      <c r="C123">
        <f>IF(PNL!C123="","",PNL!C123)</f>
        <v/>
      </c>
      <c r="D123">
        <f>IF(PNL!D123="","",PNL!D123)</f>
        <v/>
      </c>
      <c r="E123">
        <f>IF($A123="","",IF(AND($C123="2027",OR($D123="V01",$D123="V02",$D123="V03")),1,0))</f>
        <v/>
      </c>
      <c r="F123">
        <f>IF($A123="","",IF($E123=1,SUMIFS(Comptabilité!$F$1:$F$675,Comptabilité!$A$1:$A$675,$A123,Comptabilité!$B$1:$B$675,$B123,Comptabilité!$C$1:$C$675,"2026"),0))</f>
        <v/>
      </c>
      <c r="G123">
        <f>IF($A123="","",IF($D123="V01",Cadrage!$C$22,IF($D123="V02",Cadrage!$D$22,Cadrage!$E$22)))</f>
        <v/>
      </c>
      <c r="H123">
        <f>IF($A123="","",IF($D123="V01",Cadrage!$C$23,IF($D123="V02",Cadrage!$D$23,Cadrage!$E$23)))</f>
        <v/>
      </c>
      <c r="I123">
        <f>IF($A123="","",IF($D123="V01",Cadrage!$C$31,IF($D123="V02",Cadrage!$D$31,Cadrage!$E$31)))</f>
        <v/>
      </c>
      <c r="J123">
        <f>IF($A123="","",IF($D123="V01",Cadrage!$C$32,IF($D123="V02",Cadrage!$D$32,Cadrage!$E$32)))</f>
        <v/>
      </c>
      <c r="K123">
        <f>IF($A123="","",IF($D123="V01",Cadrage!$C$33,IF($D123="V02",Cadrage!$D$33,Cadrage!$E$33)))</f>
        <v/>
      </c>
      <c r="L123">
        <f>IF($A123="","",IF($D123="V01",Cadrage!$C$34,IF($D123="V02",Cadrage!$D$34,Cadrage!$E$34)))</f>
        <v/>
      </c>
      <c r="M123">
        <f>IF($A123="","",IF($D123="V01",Cadrage!$C$35,IF($D123="V02",Cadrage!$D$35,Cadrage!$E$35)))</f>
        <v/>
      </c>
      <c r="N123">
        <f>IF($A123="","",IF($D123="V01",$R$2,IF($D123="V02",$R$3,$R$4)))</f>
        <v/>
      </c>
      <c r="O123">
        <f>IF($A123="","",IF(OR($B123="7062",$B123="706",$B123="708"),$N123,IF($B123="6231",1+$G123,IF($B123="6236",1+$H123,IF(OR($B123="621",$B123="604",$B123="6063"),$N123*(1-$L123),IF(OR($B123="6411",$B123="6413",$B123="6414",$B123="645"),(1+$J123)*(1+$K123),IF(OR($B123="613",$B123="615",$B123="616",$B123="6226",$B123="625",$B123="626",$B123="6281"),(1+$I123)*(1-$L123)*(1+$M123),IF(OR($B123="6331",$B123="63511",$B123="6333"),(1+$I123)*(1-$L123),IF($B123="6811",1+$I123,1)))))))))</f>
        <v/>
      </c>
      <c r="P123">
        <f>IF($A123="","",IF($E123=1,$F123*$O123,PNL!G123))</f>
        <v/>
      </c>
      <c r="T123">
        <f>IF($A123="","",IF($E123=1,IF(OR($B123="7062",$B123="706",$B123="708"),$P123,IF(AND(LEFT($B123,1)="6",$B123&lt;&gt;"6811"),-$P123,0)),0))</f>
        <v/>
      </c>
    </row>
    <row r="124">
      <c r="A124">
        <f>IF(PNL!A124="","",PNL!A124)</f>
        <v/>
      </c>
      <c r="B124">
        <f>IF(PNL!B124="","",PNL!B124)</f>
        <v/>
      </c>
      <c r="C124">
        <f>IF(PNL!C124="","",PNL!C124)</f>
        <v/>
      </c>
      <c r="D124">
        <f>IF(PNL!D124="","",PNL!D124)</f>
        <v/>
      </c>
      <c r="E124">
        <f>IF($A124="","",IF(AND($C124="2027",OR($D124="V01",$D124="V02",$D124="V03")),1,0))</f>
        <v/>
      </c>
      <c r="F124">
        <f>IF($A124="","",IF($E124=1,SUMIFS(Comptabilité!$F$1:$F$675,Comptabilité!$A$1:$A$675,$A124,Comptabilité!$B$1:$B$675,$B124,Comptabilité!$C$1:$C$675,"2026"),0))</f>
        <v/>
      </c>
      <c r="G124">
        <f>IF($A124="","",IF($D124="V01",Cadrage!$C$22,IF($D124="V02",Cadrage!$D$22,Cadrage!$E$22)))</f>
        <v/>
      </c>
      <c r="H124">
        <f>IF($A124="","",IF($D124="V01",Cadrage!$C$23,IF($D124="V02",Cadrage!$D$23,Cadrage!$E$23)))</f>
        <v/>
      </c>
      <c r="I124">
        <f>IF($A124="","",IF($D124="V01",Cadrage!$C$31,IF($D124="V02",Cadrage!$D$31,Cadrage!$E$31)))</f>
        <v/>
      </c>
      <c r="J124">
        <f>IF($A124="","",IF($D124="V01",Cadrage!$C$32,IF($D124="V02",Cadrage!$D$32,Cadrage!$E$32)))</f>
        <v/>
      </c>
      <c r="K124">
        <f>IF($A124="","",IF($D124="V01",Cadrage!$C$33,IF($D124="V02",Cadrage!$D$33,Cadrage!$E$33)))</f>
        <v/>
      </c>
      <c r="L124">
        <f>IF($A124="","",IF($D124="V01",Cadrage!$C$34,IF($D124="V02",Cadrage!$D$34,Cadrage!$E$34)))</f>
        <v/>
      </c>
      <c r="M124">
        <f>IF($A124="","",IF($D124="V01",Cadrage!$C$35,IF($D124="V02",Cadrage!$D$35,Cadrage!$E$35)))</f>
        <v/>
      </c>
      <c r="N124">
        <f>IF($A124="","",IF($D124="V01",$R$2,IF($D124="V02",$R$3,$R$4)))</f>
        <v/>
      </c>
      <c r="O124">
        <f>IF($A124="","",IF(OR($B124="7062",$B124="706",$B124="708"),$N124,IF($B124="6231",1+$G124,IF($B124="6236",1+$H124,IF(OR($B124="621",$B124="604",$B124="6063"),$N124*(1-$L124),IF(OR($B124="6411",$B124="6413",$B124="6414",$B124="645"),(1+$J124)*(1+$K124),IF(OR($B124="613",$B124="615",$B124="616",$B124="6226",$B124="625",$B124="626",$B124="6281"),(1+$I124)*(1-$L124)*(1+$M124),IF(OR($B124="6331",$B124="63511",$B124="6333"),(1+$I124)*(1-$L124),IF($B124="6811",1+$I124,1)))))))))</f>
        <v/>
      </c>
      <c r="P124">
        <f>IF($A124="","",IF($E124=1,$F124*$O124,PNL!G124))</f>
        <v/>
      </c>
      <c r="T124">
        <f>IF($A124="","",IF($E124=1,IF(OR($B124="7062",$B124="706",$B124="708"),$P124,IF(AND(LEFT($B124,1)="6",$B124&lt;&gt;"6811"),-$P124,0)),0))</f>
        <v/>
      </c>
    </row>
    <row r="125">
      <c r="A125">
        <f>IF(PNL!A125="","",PNL!A125)</f>
        <v/>
      </c>
      <c r="B125">
        <f>IF(PNL!B125="","",PNL!B125)</f>
        <v/>
      </c>
      <c r="C125">
        <f>IF(PNL!C125="","",PNL!C125)</f>
        <v/>
      </c>
      <c r="D125">
        <f>IF(PNL!D125="","",PNL!D125)</f>
        <v/>
      </c>
      <c r="E125">
        <f>IF($A125="","",IF(AND($C125="2027",OR($D125="V01",$D125="V02",$D125="V03")),1,0))</f>
        <v/>
      </c>
      <c r="F125">
        <f>IF($A125="","",IF($E125=1,SUMIFS(Comptabilité!$F$1:$F$675,Comptabilité!$A$1:$A$675,$A125,Comptabilité!$B$1:$B$675,$B125,Comptabilité!$C$1:$C$675,"2026"),0))</f>
        <v/>
      </c>
      <c r="G125">
        <f>IF($A125="","",IF($D125="V01",Cadrage!$C$22,IF($D125="V02",Cadrage!$D$22,Cadrage!$E$22)))</f>
        <v/>
      </c>
      <c r="H125">
        <f>IF($A125="","",IF($D125="V01",Cadrage!$C$23,IF($D125="V02",Cadrage!$D$23,Cadrage!$E$23)))</f>
        <v/>
      </c>
      <c r="I125">
        <f>IF($A125="","",IF($D125="V01",Cadrage!$C$31,IF($D125="V02",Cadrage!$D$31,Cadrage!$E$31)))</f>
        <v/>
      </c>
      <c r="J125">
        <f>IF($A125="","",IF($D125="V01",Cadrage!$C$32,IF($D125="V02",Cadrage!$D$32,Cadrage!$E$32)))</f>
        <v/>
      </c>
      <c r="K125">
        <f>IF($A125="","",IF($D125="V01",Cadrage!$C$33,IF($D125="V02",Cadrage!$D$33,Cadrage!$E$33)))</f>
        <v/>
      </c>
      <c r="L125">
        <f>IF($A125="","",IF($D125="V01",Cadrage!$C$34,IF($D125="V02",Cadrage!$D$34,Cadrage!$E$34)))</f>
        <v/>
      </c>
      <c r="M125">
        <f>IF($A125="","",IF($D125="V01",Cadrage!$C$35,IF($D125="V02",Cadrage!$D$35,Cadrage!$E$35)))</f>
        <v/>
      </c>
      <c r="N125">
        <f>IF($A125="","",IF($D125="V01",$R$2,IF($D125="V02",$R$3,$R$4)))</f>
        <v/>
      </c>
      <c r="O125">
        <f>IF($A125="","",IF(OR($B125="7062",$B125="706",$B125="708"),$N125,IF($B125="6231",1+$G125,IF($B125="6236",1+$H125,IF(OR($B125="621",$B125="604",$B125="6063"),$N125*(1-$L125),IF(OR($B125="6411",$B125="6413",$B125="6414",$B125="645"),(1+$J125)*(1+$K125),IF(OR($B125="613",$B125="615",$B125="616",$B125="6226",$B125="625",$B125="626",$B125="6281"),(1+$I125)*(1-$L125)*(1+$M125),IF(OR($B125="6331",$B125="63511",$B125="6333"),(1+$I125)*(1-$L125),IF($B125="6811",1+$I125,1)))))))))</f>
        <v/>
      </c>
      <c r="P125">
        <f>IF($A125="","",IF($E125=1,$F125*$O125,PNL!G125))</f>
        <v/>
      </c>
      <c r="T125">
        <f>IF($A125="","",IF($E125=1,IF(OR($B125="7062",$B125="706",$B125="708"),$P125,IF(AND(LEFT($B125,1)="6",$B125&lt;&gt;"6811"),-$P125,0)),0))</f>
        <v/>
      </c>
    </row>
    <row r="126">
      <c r="A126">
        <f>IF(PNL!A126="","",PNL!A126)</f>
        <v/>
      </c>
      <c r="B126">
        <f>IF(PNL!B126="","",PNL!B126)</f>
        <v/>
      </c>
      <c r="C126">
        <f>IF(PNL!C126="","",PNL!C126)</f>
        <v/>
      </c>
      <c r="D126">
        <f>IF(PNL!D126="","",PNL!D126)</f>
        <v/>
      </c>
      <c r="E126">
        <f>IF($A126="","",IF(AND($C126="2027",OR($D126="V01",$D126="V02",$D126="V03")),1,0))</f>
        <v/>
      </c>
      <c r="F126">
        <f>IF($A126="","",IF($E126=1,SUMIFS(Comptabilité!$F$1:$F$675,Comptabilité!$A$1:$A$675,$A126,Comptabilité!$B$1:$B$675,$B126,Comptabilité!$C$1:$C$675,"2026"),0))</f>
        <v/>
      </c>
      <c r="G126">
        <f>IF($A126="","",IF($D126="V01",Cadrage!$C$22,IF($D126="V02",Cadrage!$D$22,Cadrage!$E$22)))</f>
        <v/>
      </c>
      <c r="H126">
        <f>IF($A126="","",IF($D126="V01",Cadrage!$C$23,IF($D126="V02",Cadrage!$D$23,Cadrage!$E$23)))</f>
        <v/>
      </c>
      <c r="I126">
        <f>IF($A126="","",IF($D126="V01",Cadrage!$C$31,IF($D126="V02",Cadrage!$D$31,Cadrage!$E$31)))</f>
        <v/>
      </c>
      <c r="J126">
        <f>IF($A126="","",IF($D126="V01",Cadrage!$C$32,IF($D126="V02",Cadrage!$D$32,Cadrage!$E$32)))</f>
        <v/>
      </c>
      <c r="K126">
        <f>IF($A126="","",IF($D126="V01",Cadrage!$C$33,IF($D126="V02",Cadrage!$D$33,Cadrage!$E$33)))</f>
        <v/>
      </c>
      <c r="L126">
        <f>IF($A126="","",IF($D126="V01",Cadrage!$C$34,IF($D126="V02",Cadrage!$D$34,Cadrage!$E$34)))</f>
        <v/>
      </c>
      <c r="M126">
        <f>IF($A126="","",IF($D126="V01",Cadrage!$C$35,IF($D126="V02",Cadrage!$D$35,Cadrage!$E$35)))</f>
        <v/>
      </c>
      <c r="N126">
        <f>IF($A126="","",IF($D126="V01",$R$2,IF($D126="V02",$R$3,$R$4)))</f>
        <v/>
      </c>
      <c r="O126">
        <f>IF($A126="","",IF(OR($B126="7062",$B126="706",$B126="708"),$N126,IF($B126="6231",1+$G126,IF($B126="6236",1+$H126,IF(OR($B126="621",$B126="604",$B126="6063"),$N126*(1-$L126),IF(OR($B126="6411",$B126="6413",$B126="6414",$B126="645"),(1+$J126)*(1+$K126),IF(OR($B126="613",$B126="615",$B126="616",$B126="6226",$B126="625",$B126="626",$B126="6281"),(1+$I126)*(1-$L126)*(1+$M126),IF(OR($B126="6331",$B126="63511",$B126="6333"),(1+$I126)*(1-$L126),IF($B126="6811",1+$I126,1)))))))))</f>
        <v/>
      </c>
      <c r="P126">
        <f>IF($A126="","",IF($E126=1,$F126*$O126,PNL!G126))</f>
        <v/>
      </c>
      <c r="T126">
        <f>IF($A126="","",IF($E126=1,IF(OR($B126="7062",$B126="706",$B126="708"),$P126,IF(AND(LEFT($B126,1)="6",$B126&lt;&gt;"6811"),-$P126,0)),0))</f>
        <v/>
      </c>
    </row>
    <row r="127">
      <c r="A127">
        <f>IF(PNL!A127="","",PNL!A127)</f>
        <v/>
      </c>
      <c r="B127">
        <f>IF(PNL!B127="","",PNL!B127)</f>
        <v/>
      </c>
      <c r="C127">
        <f>IF(PNL!C127="","",PNL!C127)</f>
        <v/>
      </c>
      <c r="D127">
        <f>IF(PNL!D127="","",PNL!D127)</f>
        <v/>
      </c>
      <c r="E127">
        <f>IF($A127="","",IF(AND($C127="2027",OR($D127="V01",$D127="V02",$D127="V03")),1,0))</f>
        <v/>
      </c>
      <c r="F127">
        <f>IF($A127="","",IF($E127=1,SUMIFS(Comptabilité!$F$1:$F$675,Comptabilité!$A$1:$A$675,$A127,Comptabilité!$B$1:$B$675,$B127,Comptabilité!$C$1:$C$675,"2026"),0))</f>
        <v/>
      </c>
      <c r="G127">
        <f>IF($A127="","",IF($D127="V01",Cadrage!$C$22,IF($D127="V02",Cadrage!$D$22,Cadrage!$E$22)))</f>
        <v/>
      </c>
      <c r="H127">
        <f>IF($A127="","",IF($D127="V01",Cadrage!$C$23,IF($D127="V02",Cadrage!$D$23,Cadrage!$E$23)))</f>
        <v/>
      </c>
      <c r="I127">
        <f>IF($A127="","",IF($D127="V01",Cadrage!$C$31,IF($D127="V02",Cadrage!$D$31,Cadrage!$E$31)))</f>
        <v/>
      </c>
      <c r="J127">
        <f>IF($A127="","",IF($D127="V01",Cadrage!$C$32,IF($D127="V02",Cadrage!$D$32,Cadrage!$E$32)))</f>
        <v/>
      </c>
      <c r="K127">
        <f>IF($A127="","",IF($D127="V01",Cadrage!$C$33,IF($D127="V02",Cadrage!$D$33,Cadrage!$E$33)))</f>
        <v/>
      </c>
      <c r="L127">
        <f>IF($A127="","",IF($D127="V01",Cadrage!$C$34,IF($D127="V02",Cadrage!$D$34,Cadrage!$E$34)))</f>
        <v/>
      </c>
      <c r="M127">
        <f>IF($A127="","",IF($D127="V01",Cadrage!$C$35,IF($D127="V02",Cadrage!$D$35,Cadrage!$E$35)))</f>
        <v/>
      </c>
      <c r="N127">
        <f>IF($A127="","",IF($D127="V01",$R$2,IF($D127="V02",$R$3,$R$4)))</f>
        <v/>
      </c>
      <c r="O127">
        <f>IF($A127="","",IF(OR($B127="7062",$B127="706",$B127="708"),$N127,IF($B127="6231",1+$G127,IF($B127="6236",1+$H127,IF(OR($B127="621",$B127="604",$B127="6063"),$N127*(1-$L127),IF(OR($B127="6411",$B127="6413",$B127="6414",$B127="645"),(1+$J127)*(1+$K127),IF(OR($B127="613",$B127="615",$B127="616",$B127="6226",$B127="625",$B127="626",$B127="6281"),(1+$I127)*(1-$L127)*(1+$M127),IF(OR($B127="6331",$B127="63511",$B127="6333"),(1+$I127)*(1-$L127),IF($B127="6811",1+$I127,1)))))))))</f>
        <v/>
      </c>
      <c r="P127">
        <f>IF($A127="","",IF($E127=1,$F127*$O127,PNL!G127))</f>
        <v/>
      </c>
      <c r="T127">
        <f>IF($A127="","",IF($E127=1,IF(OR($B127="7062",$B127="706",$B127="708"),$P127,IF(AND(LEFT($B127,1)="6",$B127&lt;&gt;"6811"),-$P127,0)),0))</f>
        <v/>
      </c>
    </row>
    <row r="128">
      <c r="A128">
        <f>IF(PNL!A128="","",PNL!A128)</f>
        <v/>
      </c>
      <c r="B128">
        <f>IF(PNL!B128="","",PNL!B128)</f>
        <v/>
      </c>
      <c r="C128">
        <f>IF(PNL!C128="","",PNL!C128)</f>
        <v/>
      </c>
      <c r="D128">
        <f>IF(PNL!D128="","",PNL!D128)</f>
        <v/>
      </c>
      <c r="E128">
        <f>IF($A128="","",IF(AND($C128="2027",OR($D128="V01",$D128="V02",$D128="V03")),1,0))</f>
        <v/>
      </c>
      <c r="F128">
        <f>IF($A128="","",IF($E128=1,SUMIFS(Comptabilité!$F$1:$F$675,Comptabilité!$A$1:$A$675,$A128,Comptabilité!$B$1:$B$675,$B128,Comptabilité!$C$1:$C$675,"2026"),0))</f>
        <v/>
      </c>
      <c r="G128">
        <f>IF($A128="","",IF($D128="V01",Cadrage!$C$22,IF($D128="V02",Cadrage!$D$22,Cadrage!$E$22)))</f>
        <v/>
      </c>
      <c r="H128">
        <f>IF($A128="","",IF($D128="V01",Cadrage!$C$23,IF($D128="V02",Cadrage!$D$23,Cadrage!$E$23)))</f>
        <v/>
      </c>
      <c r="I128">
        <f>IF($A128="","",IF($D128="V01",Cadrage!$C$31,IF($D128="V02",Cadrage!$D$31,Cadrage!$E$31)))</f>
        <v/>
      </c>
      <c r="J128">
        <f>IF($A128="","",IF($D128="V01",Cadrage!$C$32,IF($D128="V02",Cadrage!$D$32,Cadrage!$E$32)))</f>
        <v/>
      </c>
      <c r="K128">
        <f>IF($A128="","",IF($D128="V01",Cadrage!$C$33,IF($D128="V02",Cadrage!$D$33,Cadrage!$E$33)))</f>
        <v/>
      </c>
      <c r="L128">
        <f>IF($A128="","",IF($D128="V01",Cadrage!$C$34,IF($D128="V02",Cadrage!$D$34,Cadrage!$E$34)))</f>
        <v/>
      </c>
      <c r="M128">
        <f>IF($A128="","",IF($D128="V01",Cadrage!$C$35,IF($D128="V02",Cadrage!$D$35,Cadrage!$E$35)))</f>
        <v/>
      </c>
      <c r="N128">
        <f>IF($A128="","",IF($D128="V01",$R$2,IF($D128="V02",$R$3,$R$4)))</f>
        <v/>
      </c>
      <c r="O128">
        <f>IF($A128="","",IF(OR($B128="7062",$B128="706",$B128="708"),$N128,IF($B128="6231",1+$G128,IF($B128="6236",1+$H128,IF(OR($B128="621",$B128="604",$B128="6063"),$N128*(1-$L128),IF(OR($B128="6411",$B128="6413",$B128="6414",$B128="645"),(1+$J128)*(1+$K128),IF(OR($B128="613",$B128="615",$B128="616",$B128="6226",$B128="625",$B128="626",$B128="6281"),(1+$I128)*(1-$L128)*(1+$M128),IF(OR($B128="6331",$B128="63511",$B128="6333"),(1+$I128)*(1-$L128),IF($B128="6811",1+$I128,1)))))))))</f>
        <v/>
      </c>
      <c r="P128">
        <f>IF($A128="","",IF($E128=1,$F128*$O128,PNL!G128))</f>
        <v/>
      </c>
      <c r="T128">
        <f>IF($A128="","",IF($E128=1,IF(OR($B128="7062",$B128="706",$B128="708"),$P128,IF(AND(LEFT($B128,1)="6",$B128&lt;&gt;"6811"),-$P128,0)),0))</f>
        <v/>
      </c>
    </row>
    <row r="129">
      <c r="A129">
        <f>IF(PNL!A129="","",PNL!A129)</f>
        <v/>
      </c>
      <c r="B129">
        <f>IF(PNL!B129="","",PNL!B129)</f>
        <v/>
      </c>
      <c r="C129">
        <f>IF(PNL!C129="","",PNL!C129)</f>
        <v/>
      </c>
      <c r="D129">
        <f>IF(PNL!D129="","",PNL!D129)</f>
        <v/>
      </c>
      <c r="E129">
        <f>IF($A129="","",IF(AND($C129="2027",OR($D129="V01",$D129="V02",$D129="V03")),1,0))</f>
        <v/>
      </c>
      <c r="F129">
        <f>IF($A129="","",IF($E129=1,SUMIFS(Comptabilité!$F$1:$F$675,Comptabilité!$A$1:$A$675,$A129,Comptabilité!$B$1:$B$675,$B129,Comptabilité!$C$1:$C$675,"2026"),0))</f>
        <v/>
      </c>
      <c r="G129">
        <f>IF($A129="","",IF($D129="V01",Cadrage!$C$22,IF($D129="V02",Cadrage!$D$22,Cadrage!$E$22)))</f>
        <v/>
      </c>
      <c r="H129">
        <f>IF($A129="","",IF($D129="V01",Cadrage!$C$23,IF($D129="V02",Cadrage!$D$23,Cadrage!$E$23)))</f>
        <v/>
      </c>
      <c r="I129">
        <f>IF($A129="","",IF($D129="V01",Cadrage!$C$31,IF($D129="V02",Cadrage!$D$31,Cadrage!$E$31)))</f>
        <v/>
      </c>
      <c r="J129">
        <f>IF($A129="","",IF($D129="V01",Cadrage!$C$32,IF($D129="V02",Cadrage!$D$32,Cadrage!$E$32)))</f>
        <v/>
      </c>
      <c r="K129">
        <f>IF($A129="","",IF($D129="V01",Cadrage!$C$33,IF($D129="V02",Cadrage!$D$33,Cadrage!$E$33)))</f>
        <v/>
      </c>
      <c r="L129">
        <f>IF($A129="","",IF($D129="V01",Cadrage!$C$34,IF($D129="V02",Cadrage!$D$34,Cadrage!$E$34)))</f>
        <v/>
      </c>
      <c r="M129">
        <f>IF($A129="","",IF($D129="V01",Cadrage!$C$35,IF($D129="V02",Cadrage!$D$35,Cadrage!$E$35)))</f>
        <v/>
      </c>
      <c r="N129">
        <f>IF($A129="","",IF($D129="V01",$R$2,IF($D129="V02",$R$3,$R$4)))</f>
        <v/>
      </c>
      <c r="O129">
        <f>IF($A129="","",IF(OR($B129="7062",$B129="706",$B129="708"),$N129,IF($B129="6231",1+$G129,IF($B129="6236",1+$H129,IF(OR($B129="621",$B129="604",$B129="6063"),$N129*(1-$L129),IF(OR($B129="6411",$B129="6413",$B129="6414",$B129="645"),(1+$J129)*(1+$K129),IF(OR($B129="613",$B129="615",$B129="616",$B129="6226",$B129="625",$B129="626",$B129="6281"),(1+$I129)*(1-$L129)*(1+$M129),IF(OR($B129="6331",$B129="63511",$B129="6333"),(1+$I129)*(1-$L129),IF($B129="6811",1+$I129,1)))))))))</f>
        <v/>
      </c>
      <c r="P129">
        <f>IF($A129="","",IF($E129=1,$F129*$O129,PNL!G129))</f>
        <v/>
      </c>
      <c r="T129">
        <f>IF($A129="","",IF($E129=1,IF(OR($B129="7062",$B129="706",$B129="708"),$P129,IF(AND(LEFT($B129,1)="6",$B129&lt;&gt;"6811"),-$P129,0)),0))</f>
        <v/>
      </c>
    </row>
    <row r="130">
      <c r="A130">
        <f>IF(PNL!A130="","",PNL!A130)</f>
        <v/>
      </c>
      <c r="B130">
        <f>IF(PNL!B130="","",PNL!B130)</f>
        <v/>
      </c>
      <c r="C130">
        <f>IF(PNL!C130="","",PNL!C130)</f>
        <v/>
      </c>
      <c r="D130">
        <f>IF(PNL!D130="","",PNL!D130)</f>
        <v/>
      </c>
      <c r="E130">
        <f>IF($A130="","",IF(AND($C130="2027",OR($D130="V01",$D130="V02",$D130="V03")),1,0))</f>
        <v/>
      </c>
      <c r="F130">
        <f>IF($A130="","",IF($E130=1,SUMIFS(Comptabilité!$F$1:$F$675,Comptabilité!$A$1:$A$675,$A130,Comptabilité!$B$1:$B$675,$B130,Comptabilité!$C$1:$C$675,"2026"),0))</f>
        <v/>
      </c>
      <c r="G130">
        <f>IF($A130="","",IF($D130="V01",Cadrage!$C$22,IF($D130="V02",Cadrage!$D$22,Cadrage!$E$22)))</f>
        <v/>
      </c>
      <c r="H130">
        <f>IF($A130="","",IF($D130="V01",Cadrage!$C$23,IF($D130="V02",Cadrage!$D$23,Cadrage!$E$23)))</f>
        <v/>
      </c>
      <c r="I130">
        <f>IF($A130="","",IF($D130="V01",Cadrage!$C$31,IF($D130="V02",Cadrage!$D$31,Cadrage!$E$31)))</f>
        <v/>
      </c>
      <c r="J130">
        <f>IF($A130="","",IF($D130="V01",Cadrage!$C$32,IF($D130="V02",Cadrage!$D$32,Cadrage!$E$32)))</f>
        <v/>
      </c>
      <c r="K130">
        <f>IF($A130="","",IF($D130="V01",Cadrage!$C$33,IF($D130="V02",Cadrage!$D$33,Cadrage!$E$33)))</f>
        <v/>
      </c>
      <c r="L130">
        <f>IF($A130="","",IF($D130="V01",Cadrage!$C$34,IF($D130="V02",Cadrage!$D$34,Cadrage!$E$34)))</f>
        <v/>
      </c>
      <c r="M130">
        <f>IF($A130="","",IF($D130="V01",Cadrage!$C$35,IF($D130="V02",Cadrage!$D$35,Cadrage!$E$35)))</f>
        <v/>
      </c>
      <c r="N130">
        <f>IF($A130="","",IF($D130="V01",$R$2,IF($D130="V02",$R$3,$R$4)))</f>
        <v/>
      </c>
      <c r="O130">
        <f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>
        <f>IF($A130="","",IF($E130=1,$F130*$O130,PNL!G130))</f>
        <v/>
      </c>
      <c r="T130">
        <f>IF($A130="","",IF($E130=1,IF(OR($B130="7062",$B130="706",$B130="708"),$P130,IF(AND(LEFT($B130,1)="6",$B130&lt;&gt;"6811"),-$P130,0)),0))</f>
        <v/>
      </c>
    </row>
    <row r="131">
      <c r="A131">
        <f>IF(PNL!A131="","",PNL!A131)</f>
        <v/>
      </c>
      <c r="B131">
        <f>IF(PNL!B131="","",PNL!B131)</f>
        <v/>
      </c>
      <c r="C131">
        <f>IF(PNL!C131="","",PNL!C131)</f>
        <v/>
      </c>
      <c r="D131">
        <f>IF(PNL!D131="","",PNL!D131)</f>
        <v/>
      </c>
      <c r="E131">
        <f>IF($A131="","",IF(AND($C131="2027",OR($D131="V01",$D131="V02",$D131="V03")),1,0))</f>
        <v/>
      </c>
      <c r="F131">
        <f>IF($A131="","",IF($E131=1,SUMIFS(Comptabilité!$F$1:$F$675,Comptabilité!$A$1:$A$675,$A131,Comptabilité!$B$1:$B$675,$B131,Comptabilité!$C$1:$C$675,"2026"),0))</f>
        <v/>
      </c>
      <c r="G131">
        <f>IF($A131="","",IF($D131="V01",Cadrage!$C$22,IF($D131="V02",Cadrage!$D$22,Cadrage!$E$22)))</f>
        <v/>
      </c>
      <c r="H131">
        <f>IF($A131="","",IF($D131="V01",Cadrage!$C$23,IF($D131="V02",Cadrage!$D$23,Cadrage!$E$23)))</f>
        <v/>
      </c>
      <c r="I131">
        <f>IF($A131="","",IF($D131="V01",Cadrage!$C$31,IF($D131="V02",Cadrage!$D$31,Cadrage!$E$31)))</f>
        <v/>
      </c>
      <c r="J131">
        <f>IF($A131="","",IF($D131="V01",Cadrage!$C$32,IF($D131="V02",Cadrage!$D$32,Cadrage!$E$32)))</f>
        <v/>
      </c>
      <c r="K131">
        <f>IF($A131="","",IF($D131="V01",Cadrage!$C$33,IF($D131="V02",Cadrage!$D$33,Cadrage!$E$33)))</f>
        <v/>
      </c>
      <c r="L131">
        <f>IF($A131="","",IF($D131="V01",Cadrage!$C$34,IF($D131="V02",Cadrage!$D$34,Cadrage!$E$34)))</f>
        <v/>
      </c>
      <c r="M131">
        <f>IF($A131="","",IF($D131="V01",Cadrage!$C$35,IF($D131="V02",Cadrage!$D$35,Cadrage!$E$35)))</f>
        <v/>
      </c>
      <c r="N131">
        <f>IF($A131="","",IF($D131="V01",$R$2,IF($D131="V02",$R$3,$R$4)))</f>
        <v/>
      </c>
      <c r="O131">
        <f>IF($A131="","",IF(OR($B131="7062",$B131="706",$B131="708"),$N131,IF($B131="6231",1+$G131,IF($B131="6236",1+$H131,IF(OR($B131="621",$B131="604",$B131="6063"),$N131*(1-$L131),IF(OR($B131="6411",$B131="6413",$B131="6414",$B131="645"),(1+$J131)*(1+$K131),IF(OR($B131="613",$B131="615",$B131="616",$B131="6226",$B131="625",$B131="626",$B131="6281"),(1+$I131)*(1-$L131)*(1+$M131),IF(OR($B131="6331",$B131="63511",$B131="6333"),(1+$I131)*(1-$L131),IF($B131="6811",1+$I131,1)))))))))</f>
        <v/>
      </c>
      <c r="P131">
        <f>IF($A131="","",IF($E131=1,$F131*$O131,PNL!G131))</f>
        <v/>
      </c>
      <c r="T131">
        <f>IF($A131="","",IF($E131=1,IF(OR($B131="7062",$B131="706",$B131="708"),$P131,IF(AND(LEFT($B131,1)="6",$B131&lt;&gt;"6811"),-$P131,0)),0))</f>
        <v/>
      </c>
    </row>
    <row r="132">
      <c r="A132">
        <f>IF(PNL!A132="","",PNL!A132)</f>
        <v/>
      </c>
      <c r="B132">
        <f>IF(PNL!B132="","",PNL!B132)</f>
        <v/>
      </c>
      <c r="C132">
        <f>IF(PNL!C132="","",PNL!C132)</f>
        <v/>
      </c>
      <c r="D132">
        <f>IF(PNL!D132="","",PNL!D132)</f>
        <v/>
      </c>
      <c r="E132">
        <f>IF($A132="","",IF(AND($C132="2027",OR($D132="V01",$D132="V02",$D132="V03")),1,0))</f>
        <v/>
      </c>
      <c r="F132">
        <f>IF($A132="","",IF($E132=1,SUMIFS(Comptabilité!$F$1:$F$675,Comptabilité!$A$1:$A$675,$A132,Comptabilité!$B$1:$B$675,$B132,Comptabilité!$C$1:$C$675,"2026"),0))</f>
        <v/>
      </c>
      <c r="G132">
        <f>IF($A132="","",IF($D132="V01",Cadrage!$C$22,IF($D132="V02",Cadrage!$D$22,Cadrage!$E$22)))</f>
        <v/>
      </c>
      <c r="H132">
        <f>IF($A132="","",IF($D132="V01",Cadrage!$C$23,IF($D132="V02",Cadrage!$D$23,Cadrage!$E$23)))</f>
        <v/>
      </c>
      <c r="I132">
        <f>IF($A132="","",IF($D132="V01",Cadrage!$C$31,IF($D132="V02",Cadrage!$D$31,Cadrage!$E$31)))</f>
        <v/>
      </c>
      <c r="J132">
        <f>IF($A132="","",IF($D132="V01",Cadrage!$C$32,IF($D132="V02",Cadrage!$D$32,Cadrage!$E$32)))</f>
        <v/>
      </c>
      <c r="K132">
        <f>IF($A132="","",IF($D132="V01",Cadrage!$C$33,IF($D132="V02",Cadrage!$D$33,Cadrage!$E$33)))</f>
        <v/>
      </c>
      <c r="L132">
        <f>IF($A132="","",IF($D132="V01",Cadrage!$C$34,IF($D132="V02",Cadrage!$D$34,Cadrage!$E$34)))</f>
        <v/>
      </c>
      <c r="M132">
        <f>IF($A132="","",IF($D132="V01",Cadrage!$C$35,IF($D132="V02",Cadrage!$D$35,Cadrage!$E$35)))</f>
        <v/>
      </c>
      <c r="N132">
        <f>IF($A132="","",IF($D132="V01",$R$2,IF($D132="V02",$R$3,$R$4)))</f>
        <v/>
      </c>
      <c r="O132">
        <f>IF($A132="","",IF(OR($B132="7062",$B132="706",$B132="708"),$N132,IF($B132="6231",1+$G132,IF($B132="6236",1+$H132,IF(OR($B132="621",$B132="604",$B132="6063"),$N132*(1-$L132),IF(OR($B132="6411",$B132="6413",$B132="6414",$B132="645"),(1+$J132)*(1+$K132),IF(OR($B132="613",$B132="615",$B132="616",$B132="6226",$B132="625",$B132="626",$B132="6281"),(1+$I132)*(1-$L132)*(1+$M132),IF(OR($B132="6331",$B132="63511",$B132="6333"),(1+$I132)*(1-$L132),IF($B132="6811",1+$I132,1)))))))))</f>
        <v/>
      </c>
      <c r="P132">
        <f>IF($A132="","",IF($E132=1,$F132*$O132,PNL!G132))</f>
        <v/>
      </c>
      <c r="T132">
        <f>IF($A132="","",IF($E132=1,IF(OR($B132="7062",$B132="706",$B132="708"),$P132,IF(AND(LEFT($B132,1)="6",$B132&lt;&gt;"6811"),-$P132,0)),0))</f>
        <v/>
      </c>
    </row>
    <row r="133">
      <c r="A133">
        <f>IF(PNL!A133="","",PNL!A133)</f>
        <v/>
      </c>
      <c r="B133">
        <f>IF(PNL!B133="","",PNL!B133)</f>
        <v/>
      </c>
      <c r="C133">
        <f>IF(PNL!C133="","",PNL!C133)</f>
        <v/>
      </c>
      <c r="D133">
        <f>IF(PNL!D133="","",PNL!D133)</f>
        <v/>
      </c>
      <c r="E133">
        <f>IF($A133="","",IF(AND($C133="2027",OR($D133="V01",$D133="V02",$D133="V03")),1,0))</f>
        <v/>
      </c>
      <c r="F133">
        <f>IF($A133="","",IF($E133=1,SUMIFS(Comptabilité!$F$1:$F$675,Comptabilité!$A$1:$A$675,$A133,Comptabilité!$B$1:$B$675,$B133,Comptabilité!$C$1:$C$675,"2026"),0))</f>
        <v/>
      </c>
      <c r="G133">
        <f>IF($A133="","",IF($D133="V01",Cadrage!$C$22,IF($D133="V02",Cadrage!$D$22,Cadrage!$E$22)))</f>
        <v/>
      </c>
      <c r="H133">
        <f>IF($A133="","",IF($D133="V01",Cadrage!$C$23,IF($D133="V02",Cadrage!$D$23,Cadrage!$E$23)))</f>
        <v/>
      </c>
      <c r="I133">
        <f>IF($A133="","",IF($D133="V01",Cadrage!$C$31,IF($D133="V02",Cadrage!$D$31,Cadrage!$E$31)))</f>
        <v/>
      </c>
      <c r="J133">
        <f>IF($A133="","",IF($D133="V01",Cadrage!$C$32,IF($D133="V02",Cadrage!$D$32,Cadrage!$E$32)))</f>
        <v/>
      </c>
      <c r="K133">
        <f>IF($A133="","",IF($D133="V01",Cadrage!$C$33,IF($D133="V02",Cadrage!$D$33,Cadrage!$E$33)))</f>
        <v/>
      </c>
      <c r="L133">
        <f>IF($A133="","",IF($D133="V01",Cadrage!$C$34,IF($D133="V02",Cadrage!$D$34,Cadrage!$E$34)))</f>
        <v/>
      </c>
      <c r="M133">
        <f>IF($A133="","",IF($D133="V01",Cadrage!$C$35,IF($D133="V02",Cadrage!$D$35,Cadrage!$E$35)))</f>
        <v/>
      </c>
      <c r="N133">
        <f>IF($A133="","",IF($D133="V01",$R$2,IF($D133="V02",$R$3,$R$4)))</f>
        <v/>
      </c>
      <c r="O133">
        <f>IF($A133="","",IF(OR($B133="7062",$B133="706",$B133="708"),$N133,IF($B133="6231",1+$G133,IF($B133="6236",1+$H133,IF(OR($B133="621",$B133="604",$B133="6063"),$N133*(1-$L133),IF(OR($B133="6411",$B133="6413",$B133="6414",$B133="645"),(1+$J133)*(1+$K133),IF(OR($B133="613",$B133="615",$B133="616",$B133="6226",$B133="625",$B133="626",$B133="6281"),(1+$I133)*(1-$L133)*(1+$M133),IF(OR($B133="6331",$B133="63511",$B133="6333"),(1+$I133)*(1-$L133),IF($B133="6811",1+$I133,1)))))))))</f>
        <v/>
      </c>
      <c r="P133">
        <f>IF($A133="","",IF($E133=1,$F133*$O133,PNL!G133))</f>
        <v/>
      </c>
      <c r="T133">
        <f>IF($A133="","",IF($E133=1,IF(OR($B133="7062",$B133="706",$B133="708"),$P133,IF(AND(LEFT($B133,1)="6",$B133&lt;&gt;"6811"),-$P133,0)),0))</f>
        <v/>
      </c>
    </row>
    <row r="134">
      <c r="A134">
        <f>IF(PNL!A134="","",PNL!A134)</f>
        <v/>
      </c>
      <c r="B134">
        <f>IF(PNL!B134="","",PNL!B134)</f>
        <v/>
      </c>
      <c r="C134">
        <f>IF(PNL!C134="","",PNL!C134)</f>
        <v/>
      </c>
      <c r="D134">
        <f>IF(PNL!D134="","",PNL!D134)</f>
        <v/>
      </c>
      <c r="E134">
        <f>IF($A134="","",IF(AND($C134="2027",OR($D134="V01",$D134="V02",$D134="V03")),1,0))</f>
        <v/>
      </c>
      <c r="F134">
        <f>IF($A134="","",IF($E134=1,SUMIFS(Comptabilité!$F$1:$F$675,Comptabilité!$A$1:$A$675,$A134,Comptabilité!$B$1:$B$675,$B134,Comptabilité!$C$1:$C$675,"2026"),0))</f>
        <v/>
      </c>
      <c r="G134">
        <f>IF($A134="","",IF($D134="V01",Cadrage!$C$22,IF($D134="V02",Cadrage!$D$22,Cadrage!$E$22)))</f>
        <v/>
      </c>
      <c r="H134">
        <f>IF($A134="","",IF($D134="V01",Cadrage!$C$23,IF($D134="V02",Cadrage!$D$23,Cadrage!$E$23)))</f>
        <v/>
      </c>
      <c r="I134">
        <f>IF($A134="","",IF($D134="V01",Cadrage!$C$31,IF($D134="V02",Cadrage!$D$31,Cadrage!$E$31)))</f>
        <v/>
      </c>
      <c r="J134">
        <f>IF($A134="","",IF($D134="V01",Cadrage!$C$32,IF($D134="V02",Cadrage!$D$32,Cadrage!$E$32)))</f>
        <v/>
      </c>
      <c r="K134">
        <f>IF($A134="","",IF($D134="V01",Cadrage!$C$33,IF($D134="V02",Cadrage!$D$33,Cadrage!$E$33)))</f>
        <v/>
      </c>
      <c r="L134">
        <f>IF($A134="","",IF($D134="V01",Cadrage!$C$34,IF($D134="V02",Cadrage!$D$34,Cadrage!$E$34)))</f>
        <v/>
      </c>
      <c r="M134">
        <f>IF($A134="","",IF($D134="V01",Cadrage!$C$35,IF($D134="V02",Cadrage!$D$35,Cadrage!$E$35)))</f>
        <v/>
      </c>
      <c r="N134">
        <f>IF($A134="","",IF($D134="V01",$R$2,IF($D134="V02",$R$3,$R$4)))</f>
        <v/>
      </c>
      <c r="O134">
        <f>IF($A134="","",IF(OR($B134="7062",$B134="706",$B134="708"),$N134,IF($B134="6231",1+$G134,IF($B134="6236",1+$H134,IF(OR($B134="621",$B134="604",$B134="6063"),$N134*(1-$L134),IF(OR($B134="6411",$B134="6413",$B134="6414",$B134="645"),(1+$J134)*(1+$K134),IF(OR($B134="613",$B134="615",$B134="616",$B134="6226",$B134="625",$B134="626",$B134="6281"),(1+$I134)*(1-$L134)*(1+$M134),IF(OR($B134="6331",$B134="63511",$B134="6333"),(1+$I134)*(1-$L134),IF($B134="6811",1+$I134,1)))))))))</f>
        <v/>
      </c>
      <c r="P134">
        <f>IF($A134="","",IF($E134=1,$F134*$O134,PNL!G134))</f>
        <v/>
      </c>
      <c r="T134">
        <f>IF($A134="","",IF($E134=1,IF(OR($B134="7062",$B134="706",$B134="708"),$P134,IF(AND(LEFT($B134,1)="6",$B134&lt;&gt;"6811"),-$P134,0)),0))</f>
        <v/>
      </c>
    </row>
    <row r="135">
      <c r="A135">
        <f>IF(PNL!A135="","",PNL!A135)</f>
        <v/>
      </c>
      <c r="B135">
        <f>IF(PNL!B135="","",PNL!B135)</f>
        <v/>
      </c>
      <c r="C135">
        <f>IF(PNL!C135="","",PNL!C135)</f>
        <v/>
      </c>
      <c r="D135">
        <f>IF(PNL!D135="","",PNL!D135)</f>
        <v/>
      </c>
      <c r="E135">
        <f>IF($A135="","",IF(AND($C135="2027",OR($D135="V01",$D135="V02",$D135="V03")),1,0))</f>
        <v/>
      </c>
      <c r="F135">
        <f>IF($A135="","",IF($E135=1,SUMIFS(Comptabilité!$F$1:$F$675,Comptabilité!$A$1:$A$675,$A135,Comptabilité!$B$1:$B$675,$B135,Comptabilité!$C$1:$C$675,"2026"),0))</f>
        <v/>
      </c>
      <c r="G135">
        <f>IF($A135="","",IF($D135="V01",Cadrage!$C$22,IF($D135="V02",Cadrage!$D$22,Cadrage!$E$22)))</f>
        <v/>
      </c>
      <c r="H135">
        <f>IF($A135="","",IF($D135="V01",Cadrage!$C$23,IF($D135="V02",Cadrage!$D$23,Cadrage!$E$23)))</f>
        <v/>
      </c>
      <c r="I135">
        <f>IF($A135="","",IF($D135="V01",Cadrage!$C$31,IF($D135="V02",Cadrage!$D$31,Cadrage!$E$31)))</f>
        <v/>
      </c>
      <c r="J135">
        <f>IF($A135="","",IF($D135="V01",Cadrage!$C$32,IF($D135="V02",Cadrage!$D$32,Cadrage!$E$32)))</f>
        <v/>
      </c>
      <c r="K135">
        <f>IF($A135="","",IF($D135="V01",Cadrage!$C$33,IF($D135="V02",Cadrage!$D$33,Cadrage!$E$33)))</f>
        <v/>
      </c>
      <c r="L135">
        <f>IF($A135="","",IF($D135="V01",Cadrage!$C$34,IF($D135="V02",Cadrage!$D$34,Cadrage!$E$34)))</f>
        <v/>
      </c>
      <c r="M135">
        <f>IF($A135="","",IF($D135="V01",Cadrage!$C$35,IF($D135="V02",Cadrage!$D$35,Cadrage!$E$35)))</f>
        <v/>
      </c>
      <c r="N135">
        <f>IF($A135="","",IF($D135="V01",$R$2,IF($D135="V02",$R$3,$R$4)))</f>
        <v/>
      </c>
      <c r="O135">
        <f>IF($A135="","",IF(OR($B135="7062",$B135="706",$B135="708"),$N135,IF($B135="6231",1+$G135,IF($B135="6236",1+$H135,IF(OR($B135="621",$B135="604",$B135="6063"),$N135*(1-$L135),IF(OR($B135="6411",$B135="6413",$B135="6414",$B135="645"),(1+$J135)*(1+$K135),IF(OR($B135="613",$B135="615",$B135="616",$B135="6226",$B135="625",$B135="626",$B135="6281"),(1+$I135)*(1-$L135)*(1+$M135),IF(OR($B135="6331",$B135="63511",$B135="6333"),(1+$I135)*(1-$L135),IF($B135="6811",1+$I135,1)))))))))</f>
        <v/>
      </c>
      <c r="P135">
        <f>IF($A135="","",IF($E135=1,$F135*$O135,PNL!G135))</f>
        <v/>
      </c>
      <c r="T135">
        <f>IF($A135="","",IF($E135=1,IF(OR($B135="7062",$B135="706",$B135="708"),$P135,IF(AND(LEFT($B135,1)="6",$B135&lt;&gt;"6811"),-$P135,0)),0))</f>
        <v/>
      </c>
    </row>
    <row r="136">
      <c r="A136">
        <f>IF(PNL!A136="","",PNL!A136)</f>
        <v/>
      </c>
      <c r="B136">
        <f>IF(PNL!B136="","",PNL!B136)</f>
        <v/>
      </c>
      <c r="C136">
        <f>IF(PNL!C136="","",PNL!C136)</f>
        <v/>
      </c>
      <c r="D136">
        <f>IF(PNL!D136="","",PNL!D136)</f>
        <v/>
      </c>
      <c r="E136">
        <f>IF($A136="","",IF(AND($C136="2027",OR($D136="V01",$D136="V02",$D136="V03")),1,0))</f>
        <v/>
      </c>
      <c r="F136">
        <f>IF($A136="","",IF($E136=1,SUMIFS(Comptabilité!$F$1:$F$675,Comptabilité!$A$1:$A$675,$A136,Comptabilité!$B$1:$B$675,$B136,Comptabilité!$C$1:$C$675,"2026"),0))</f>
        <v/>
      </c>
      <c r="G136">
        <f>IF($A136="","",IF($D136="V01",Cadrage!$C$22,IF($D136="V02",Cadrage!$D$22,Cadrage!$E$22)))</f>
        <v/>
      </c>
      <c r="H136">
        <f>IF($A136="","",IF($D136="V01",Cadrage!$C$23,IF($D136="V02",Cadrage!$D$23,Cadrage!$E$23)))</f>
        <v/>
      </c>
      <c r="I136">
        <f>IF($A136="","",IF($D136="V01",Cadrage!$C$31,IF($D136="V02",Cadrage!$D$31,Cadrage!$E$31)))</f>
        <v/>
      </c>
      <c r="J136">
        <f>IF($A136="","",IF($D136="V01",Cadrage!$C$32,IF($D136="V02",Cadrage!$D$32,Cadrage!$E$32)))</f>
        <v/>
      </c>
      <c r="K136">
        <f>IF($A136="","",IF($D136="V01",Cadrage!$C$33,IF($D136="V02",Cadrage!$D$33,Cadrage!$E$33)))</f>
        <v/>
      </c>
      <c r="L136">
        <f>IF($A136="","",IF($D136="V01",Cadrage!$C$34,IF($D136="V02",Cadrage!$D$34,Cadrage!$E$34)))</f>
        <v/>
      </c>
      <c r="M136">
        <f>IF($A136="","",IF($D136="V01",Cadrage!$C$35,IF($D136="V02",Cadrage!$D$35,Cadrage!$E$35)))</f>
        <v/>
      </c>
      <c r="N136">
        <f>IF($A136="","",IF($D136="V01",$R$2,IF($D136="V02",$R$3,$R$4)))</f>
        <v/>
      </c>
      <c r="O136">
        <f>IF($A136="","",IF(OR($B136="7062",$B136="706",$B136="708"),$N136,IF($B136="6231",1+$G136,IF($B136="6236",1+$H136,IF(OR($B136="621",$B136="604",$B136="6063"),$N136*(1-$L136),IF(OR($B136="6411",$B136="6413",$B136="6414",$B136="645"),(1+$J136)*(1+$K136),IF(OR($B136="613",$B136="615",$B136="616",$B136="6226",$B136="625",$B136="626",$B136="6281"),(1+$I136)*(1-$L136)*(1+$M136),IF(OR($B136="6331",$B136="63511",$B136="6333"),(1+$I136)*(1-$L136),IF($B136="6811",1+$I136,1)))))))))</f>
        <v/>
      </c>
      <c r="P136">
        <f>IF($A136="","",IF($E136=1,$F136*$O136,PNL!G136))</f>
        <v/>
      </c>
      <c r="T136">
        <f>IF($A136="","",IF($E136=1,IF(OR($B136="7062",$B136="706",$B136="708"),$P136,IF(AND(LEFT($B136,1)="6",$B136&lt;&gt;"6811"),-$P136,0)),0))</f>
        <v/>
      </c>
    </row>
    <row r="137">
      <c r="A137">
        <f>IF(PNL!A137="","",PNL!A137)</f>
        <v/>
      </c>
      <c r="B137">
        <f>IF(PNL!B137="","",PNL!B137)</f>
        <v/>
      </c>
      <c r="C137">
        <f>IF(PNL!C137="","",PNL!C137)</f>
        <v/>
      </c>
      <c r="D137">
        <f>IF(PNL!D137="","",PNL!D137)</f>
        <v/>
      </c>
      <c r="E137">
        <f>IF($A137="","",IF(AND($C137="2027",OR($D137="V01",$D137="V02",$D137="V03")),1,0))</f>
        <v/>
      </c>
      <c r="F137">
        <f>IF($A137="","",IF($E137=1,SUMIFS(Comptabilité!$F$1:$F$675,Comptabilité!$A$1:$A$675,$A137,Comptabilité!$B$1:$B$675,$B137,Comptabilité!$C$1:$C$675,"2026"),0))</f>
        <v/>
      </c>
      <c r="G137">
        <f>IF($A137="","",IF($D137="V01",Cadrage!$C$22,IF($D137="V02",Cadrage!$D$22,Cadrage!$E$22)))</f>
        <v/>
      </c>
      <c r="H137">
        <f>IF($A137="","",IF($D137="V01",Cadrage!$C$23,IF($D137="V02",Cadrage!$D$23,Cadrage!$E$23)))</f>
        <v/>
      </c>
      <c r="I137">
        <f>IF($A137="","",IF($D137="V01",Cadrage!$C$31,IF($D137="V02",Cadrage!$D$31,Cadrage!$E$31)))</f>
        <v/>
      </c>
      <c r="J137">
        <f>IF($A137="","",IF($D137="V01",Cadrage!$C$32,IF($D137="V02",Cadrage!$D$32,Cadrage!$E$32)))</f>
        <v/>
      </c>
      <c r="K137">
        <f>IF($A137="","",IF($D137="V01",Cadrage!$C$33,IF($D137="V02",Cadrage!$D$33,Cadrage!$E$33)))</f>
        <v/>
      </c>
      <c r="L137">
        <f>IF($A137="","",IF($D137="V01",Cadrage!$C$34,IF($D137="V02",Cadrage!$D$34,Cadrage!$E$34)))</f>
        <v/>
      </c>
      <c r="M137">
        <f>IF($A137="","",IF($D137="V01",Cadrage!$C$35,IF($D137="V02",Cadrage!$D$35,Cadrage!$E$35)))</f>
        <v/>
      </c>
      <c r="N137">
        <f>IF($A137="","",IF($D137="V01",$R$2,IF($D137="V02",$R$3,$R$4)))</f>
        <v/>
      </c>
      <c r="O137">
        <f>IF($A137="","",IF(OR($B137="7062",$B137="706",$B137="708"),$N137,IF($B137="6231",1+$G137,IF($B137="6236",1+$H137,IF(OR($B137="621",$B137="604",$B137="6063"),$N137*(1-$L137),IF(OR($B137="6411",$B137="6413",$B137="6414",$B137="645"),(1+$J137)*(1+$K137),IF(OR($B137="613",$B137="615",$B137="616",$B137="6226",$B137="625",$B137="626",$B137="6281"),(1+$I137)*(1-$L137)*(1+$M137),IF(OR($B137="6331",$B137="63511",$B137="6333"),(1+$I137)*(1-$L137),IF($B137="6811",1+$I137,1)))))))))</f>
        <v/>
      </c>
      <c r="P137">
        <f>IF($A137="","",IF($E137=1,$F137*$O137,PNL!G137))</f>
        <v/>
      </c>
      <c r="T137">
        <f>IF($A137="","",IF($E137=1,IF(OR($B137="7062",$B137="706",$B137="708"),$P137,IF(AND(LEFT($B137,1)="6",$B137&lt;&gt;"6811"),-$P137,0)),0))</f>
        <v/>
      </c>
    </row>
    <row r="138">
      <c r="A138">
        <f>IF(PNL!A138="","",PNL!A138)</f>
        <v/>
      </c>
      <c r="B138">
        <f>IF(PNL!B138="","",PNL!B138)</f>
        <v/>
      </c>
      <c r="C138">
        <f>IF(PNL!C138="","",PNL!C138)</f>
        <v/>
      </c>
      <c r="D138">
        <f>IF(PNL!D138="","",PNL!D138)</f>
        <v/>
      </c>
      <c r="E138">
        <f>IF($A138="","",IF(AND($C138="2027",OR($D138="V01",$D138="V02",$D138="V03")),1,0))</f>
        <v/>
      </c>
      <c r="F138">
        <f>IF($A138="","",IF($E138=1,SUMIFS(Comptabilité!$F$1:$F$675,Comptabilité!$A$1:$A$675,$A138,Comptabilité!$B$1:$B$675,$B138,Comptabilité!$C$1:$C$675,"2026"),0))</f>
        <v/>
      </c>
      <c r="G138">
        <f>IF($A138="","",IF($D138="V01",Cadrage!$C$22,IF($D138="V02",Cadrage!$D$22,Cadrage!$E$22)))</f>
        <v/>
      </c>
      <c r="H138">
        <f>IF($A138="","",IF($D138="V01",Cadrage!$C$23,IF($D138="V02",Cadrage!$D$23,Cadrage!$E$23)))</f>
        <v/>
      </c>
      <c r="I138">
        <f>IF($A138="","",IF($D138="V01",Cadrage!$C$31,IF($D138="V02",Cadrage!$D$31,Cadrage!$E$31)))</f>
        <v/>
      </c>
      <c r="J138">
        <f>IF($A138="","",IF($D138="V01",Cadrage!$C$32,IF($D138="V02",Cadrage!$D$32,Cadrage!$E$32)))</f>
        <v/>
      </c>
      <c r="K138">
        <f>IF($A138="","",IF($D138="V01",Cadrage!$C$33,IF($D138="V02",Cadrage!$D$33,Cadrage!$E$33)))</f>
        <v/>
      </c>
      <c r="L138">
        <f>IF($A138="","",IF($D138="V01",Cadrage!$C$34,IF($D138="V02",Cadrage!$D$34,Cadrage!$E$34)))</f>
        <v/>
      </c>
      <c r="M138">
        <f>IF($A138="","",IF($D138="V01",Cadrage!$C$35,IF($D138="V02",Cadrage!$D$35,Cadrage!$E$35)))</f>
        <v/>
      </c>
      <c r="N138">
        <f>IF($A138="","",IF($D138="V01",$R$2,IF($D138="V02",$R$3,$R$4)))</f>
        <v/>
      </c>
      <c r="O138">
        <f>IF($A138="","",IF(OR($B138="7062",$B138="706",$B138="708"),$N138,IF($B138="6231",1+$G138,IF($B138="6236",1+$H138,IF(OR($B138="621",$B138="604",$B138="6063"),$N138*(1-$L138),IF(OR($B138="6411",$B138="6413",$B138="6414",$B138="645"),(1+$J138)*(1+$K138),IF(OR($B138="613",$B138="615",$B138="616",$B138="6226",$B138="625",$B138="626",$B138="6281"),(1+$I138)*(1-$L138)*(1+$M138),IF(OR($B138="6331",$B138="63511",$B138="6333"),(1+$I138)*(1-$L138),IF($B138="6811",1+$I138,1)))))))))</f>
        <v/>
      </c>
      <c r="P138">
        <f>IF($A138="","",IF($E138=1,$F138*$O138,PNL!G138))</f>
        <v/>
      </c>
      <c r="T138">
        <f>IF($A138="","",IF($E138=1,IF(OR($B138="7062",$B138="706",$B138="708"),$P138,IF(AND(LEFT($B138,1)="6",$B138&lt;&gt;"6811"),-$P138,0)),0))</f>
        <v/>
      </c>
    </row>
    <row r="139">
      <c r="A139">
        <f>IF(PNL!A139="","",PNL!A139)</f>
        <v/>
      </c>
      <c r="B139">
        <f>IF(PNL!B139="","",PNL!B139)</f>
        <v/>
      </c>
      <c r="C139">
        <f>IF(PNL!C139="","",PNL!C139)</f>
        <v/>
      </c>
      <c r="D139">
        <f>IF(PNL!D139="","",PNL!D139)</f>
        <v/>
      </c>
      <c r="E139">
        <f>IF($A139="","",IF(AND($C139="2027",OR($D139="V01",$D139="V02",$D139="V03")),1,0))</f>
        <v/>
      </c>
      <c r="F139">
        <f>IF($A139="","",IF($E139=1,SUMIFS(Comptabilité!$F$1:$F$675,Comptabilité!$A$1:$A$675,$A139,Comptabilité!$B$1:$B$675,$B139,Comptabilité!$C$1:$C$675,"2026"),0))</f>
        <v/>
      </c>
      <c r="G139">
        <f>IF($A139="","",IF($D139="V01",Cadrage!$C$22,IF($D139="V02",Cadrage!$D$22,Cadrage!$E$22)))</f>
        <v/>
      </c>
      <c r="H139">
        <f>IF($A139="","",IF($D139="V01",Cadrage!$C$23,IF($D139="V02",Cadrage!$D$23,Cadrage!$E$23)))</f>
        <v/>
      </c>
      <c r="I139">
        <f>IF($A139="","",IF($D139="V01",Cadrage!$C$31,IF($D139="V02",Cadrage!$D$31,Cadrage!$E$31)))</f>
        <v/>
      </c>
      <c r="J139">
        <f>IF($A139="","",IF($D139="V01",Cadrage!$C$32,IF($D139="V02",Cadrage!$D$32,Cadrage!$E$32)))</f>
        <v/>
      </c>
      <c r="K139">
        <f>IF($A139="","",IF($D139="V01",Cadrage!$C$33,IF($D139="V02",Cadrage!$D$33,Cadrage!$E$33)))</f>
        <v/>
      </c>
      <c r="L139">
        <f>IF($A139="","",IF($D139="V01",Cadrage!$C$34,IF($D139="V02",Cadrage!$D$34,Cadrage!$E$34)))</f>
        <v/>
      </c>
      <c r="M139">
        <f>IF($A139="","",IF($D139="V01",Cadrage!$C$35,IF($D139="V02",Cadrage!$D$35,Cadrage!$E$35)))</f>
        <v/>
      </c>
      <c r="N139">
        <f>IF($A139="","",IF($D139="V01",$R$2,IF($D139="V02",$R$3,$R$4)))</f>
        <v/>
      </c>
      <c r="O139">
        <f>IF($A139="","",IF(OR($B139="7062",$B139="706",$B139="708"),$N139,IF($B139="6231",1+$G139,IF($B139="6236",1+$H139,IF(OR($B139="621",$B139="604",$B139="6063"),$N139*(1-$L139),IF(OR($B139="6411",$B139="6413",$B139="6414",$B139="645"),(1+$J139)*(1+$K139),IF(OR($B139="613",$B139="615",$B139="616",$B139="6226",$B139="625",$B139="626",$B139="6281"),(1+$I139)*(1-$L139)*(1+$M139),IF(OR($B139="6331",$B139="63511",$B139="6333"),(1+$I139)*(1-$L139),IF($B139="6811",1+$I139,1)))))))))</f>
        <v/>
      </c>
      <c r="P139">
        <f>IF($A139="","",IF($E139=1,$F139*$O139,PNL!G139))</f>
        <v/>
      </c>
      <c r="T139">
        <f>IF($A139="","",IF($E139=1,IF(OR($B139="7062",$B139="706",$B139="708"),$P139,IF(AND(LEFT($B139,1)="6",$B139&lt;&gt;"6811"),-$P139,0)),0))</f>
        <v/>
      </c>
    </row>
    <row r="140">
      <c r="A140">
        <f>IF(PNL!A140="","",PNL!A140)</f>
        <v/>
      </c>
      <c r="B140">
        <f>IF(PNL!B140="","",PNL!B140)</f>
        <v/>
      </c>
      <c r="C140">
        <f>IF(PNL!C140="","",PNL!C140)</f>
        <v/>
      </c>
      <c r="D140">
        <f>IF(PNL!D140="","",PNL!D140)</f>
        <v/>
      </c>
      <c r="E140">
        <f>IF($A140="","",IF(AND($C140="2027",OR($D140="V01",$D140="V02",$D140="V03")),1,0))</f>
        <v/>
      </c>
      <c r="F140">
        <f>IF($A140="","",IF($E140=1,SUMIFS(Comptabilité!$F$1:$F$675,Comptabilité!$A$1:$A$675,$A140,Comptabilité!$B$1:$B$675,$B140,Comptabilité!$C$1:$C$675,"2026"),0))</f>
        <v/>
      </c>
      <c r="G140">
        <f>IF($A140="","",IF($D140="V01",Cadrage!$C$22,IF($D140="V02",Cadrage!$D$22,Cadrage!$E$22)))</f>
        <v/>
      </c>
      <c r="H140">
        <f>IF($A140="","",IF($D140="V01",Cadrage!$C$23,IF($D140="V02",Cadrage!$D$23,Cadrage!$E$23)))</f>
        <v/>
      </c>
      <c r="I140">
        <f>IF($A140="","",IF($D140="V01",Cadrage!$C$31,IF($D140="V02",Cadrage!$D$31,Cadrage!$E$31)))</f>
        <v/>
      </c>
      <c r="J140">
        <f>IF($A140="","",IF($D140="V01",Cadrage!$C$32,IF($D140="V02",Cadrage!$D$32,Cadrage!$E$32)))</f>
        <v/>
      </c>
      <c r="K140">
        <f>IF($A140="","",IF($D140="V01",Cadrage!$C$33,IF($D140="V02",Cadrage!$D$33,Cadrage!$E$33)))</f>
        <v/>
      </c>
      <c r="L140">
        <f>IF($A140="","",IF($D140="V01",Cadrage!$C$34,IF($D140="V02",Cadrage!$D$34,Cadrage!$E$34)))</f>
        <v/>
      </c>
      <c r="M140">
        <f>IF($A140="","",IF($D140="V01",Cadrage!$C$35,IF($D140="V02",Cadrage!$D$35,Cadrage!$E$35)))</f>
        <v/>
      </c>
      <c r="N140">
        <f>IF($A140="","",IF($D140="V01",$R$2,IF($D140="V02",$R$3,$R$4)))</f>
        <v/>
      </c>
      <c r="O140">
        <f>IF($A140="","",IF(OR($B140="7062",$B140="706",$B140="708"),$N140,IF($B140="6231",1+$G140,IF($B140="6236",1+$H140,IF(OR($B140="621",$B140="604",$B140="6063"),$N140*(1-$L140),IF(OR($B140="6411",$B140="6413",$B140="6414",$B140="645"),(1+$J140)*(1+$K140),IF(OR($B140="613",$B140="615",$B140="616",$B140="6226",$B140="625",$B140="626",$B140="6281"),(1+$I140)*(1-$L140)*(1+$M140),IF(OR($B140="6331",$B140="63511",$B140="6333"),(1+$I140)*(1-$L140),IF($B140="6811",1+$I140,1)))))))))</f>
        <v/>
      </c>
      <c r="P140">
        <f>IF($A140="","",IF($E140=1,$F140*$O140,PNL!G140))</f>
        <v/>
      </c>
      <c r="T140">
        <f>IF($A140="","",IF($E140=1,IF(OR($B140="7062",$B140="706",$B140="708"),$P140,IF(AND(LEFT($B140,1)="6",$B140&lt;&gt;"6811"),-$P140,0)),0))</f>
        <v/>
      </c>
    </row>
    <row r="141">
      <c r="A141">
        <f>IF(PNL!A141="","",PNL!A141)</f>
        <v/>
      </c>
      <c r="B141">
        <f>IF(PNL!B141="","",PNL!B141)</f>
        <v/>
      </c>
      <c r="C141">
        <f>IF(PNL!C141="","",PNL!C141)</f>
        <v/>
      </c>
      <c r="D141">
        <f>IF(PNL!D141="","",PNL!D141)</f>
        <v/>
      </c>
      <c r="E141">
        <f>IF($A141="","",IF(AND($C141="2027",OR($D141="V01",$D141="V02",$D141="V03")),1,0))</f>
        <v/>
      </c>
      <c r="F141">
        <f>IF($A141="","",IF($E141=1,SUMIFS(Comptabilité!$F$1:$F$675,Comptabilité!$A$1:$A$675,$A141,Comptabilité!$B$1:$B$675,$B141,Comptabilité!$C$1:$C$675,"2026"),0))</f>
        <v/>
      </c>
      <c r="G141">
        <f>IF($A141="","",IF($D141="V01",Cadrage!$C$22,IF($D141="V02",Cadrage!$D$22,Cadrage!$E$22)))</f>
        <v/>
      </c>
      <c r="H141">
        <f>IF($A141="","",IF($D141="V01",Cadrage!$C$23,IF($D141="V02",Cadrage!$D$23,Cadrage!$E$23)))</f>
        <v/>
      </c>
      <c r="I141">
        <f>IF($A141="","",IF($D141="V01",Cadrage!$C$31,IF($D141="V02",Cadrage!$D$31,Cadrage!$E$31)))</f>
        <v/>
      </c>
      <c r="J141">
        <f>IF($A141="","",IF($D141="V01",Cadrage!$C$32,IF($D141="V02",Cadrage!$D$32,Cadrage!$E$32)))</f>
        <v/>
      </c>
      <c r="K141">
        <f>IF($A141="","",IF($D141="V01",Cadrage!$C$33,IF($D141="V02",Cadrage!$D$33,Cadrage!$E$33)))</f>
        <v/>
      </c>
      <c r="L141">
        <f>IF($A141="","",IF($D141="V01",Cadrage!$C$34,IF($D141="V02",Cadrage!$D$34,Cadrage!$E$34)))</f>
        <v/>
      </c>
      <c r="M141">
        <f>IF($A141="","",IF($D141="V01",Cadrage!$C$35,IF($D141="V02",Cadrage!$D$35,Cadrage!$E$35)))</f>
        <v/>
      </c>
      <c r="N141">
        <f>IF($A141="","",IF($D141="V01",$R$2,IF($D141="V02",$R$3,$R$4)))</f>
        <v/>
      </c>
      <c r="O141">
        <f>IF($A141="","",IF(OR($B141="7062",$B141="706",$B141="708"),$N141,IF($B141="6231",1+$G141,IF($B141="6236",1+$H141,IF(OR($B141="621",$B141="604",$B141="6063"),$N141*(1-$L141),IF(OR($B141="6411",$B141="6413",$B141="6414",$B141="645"),(1+$J141)*(1+$K141),IF(OR($B141="613",$B141="615",$B141="616",$B141="6226",$B141="625",$B141="626",$B141="6281"),(1+$I141)*(1-$L141)*(1+$M141),IF(OR($B141="6331",$B141="63511",$B141="6333"),(1+$I141)*(1-$L141),IF($B141="6811",1+$I141,1)))))))))</f>
        <v/>
      </c>
      <c r="P141">
        <f>IF($A141="","",IF($E141=1,$F141*$O141,PNL!G141))</f>
        <v/>
      </c>
      <c r="T141">
        <f>IF($A141="","",IF($E141=1,IF(OR($B141="7062",$B141="706",$B141="708"),$P141,IF(AND(LEFT($B141,1)="6",$B141&lt;&gt;"6811"),-$P141,0)),0))</f>
        <v/>
      </c>
    </row>
    <row r="142">
      <c r="A142">
        <f>IF(PNL!A142="","",PNL!A142)</f>
        <v/>
      </c>
      <c r="B142">
        <f>IF(PNL!B142="","",PNL!B142)</f>
        <v/>
      </c>
      <c r="C142">
        <f>IF(PNL!C142="","",PNL!C142)</f>
        <v/>
      </c>
      <c r="D142">
        <f>IF(PNL!D142="","",PNL!D142)</f>
        <v/>
      </c>
      <c r="E142">
        <f>IF($A142="","",IF(AND($C142="2027",OR($D142="V01",$D142="V02",$D142="V03")),1,0))</f>
        <v/>
      </c>
      <c r="F142">
        <f>IF($A142="","",IF($E142=1,SUMIFS(Comptabilité!$F$1:$F$675,Comptabilité!$A$1:$A$675,$A142,Comptabilité!$B$1:$B$675,$B142,Comptabilité!$C$1:$C$675,"2026"),0))</f>
        <v/>
      </c>
      <c r="G142">
        <f>IF($A142="","",IF($D142="V01",Cadrage!$C$22,IF($D142="V02",Cadrage!$D$22,Cadrage!$E$22)))</f>
        <v/>
      </c>
      <c r="H142">
        <f>IF($A142="","",IF($D142="V01",Cadrage!$C$23,IF($D142="V02",Cadrage!$D$23,Cadrage!$E$23)))</f>
        <v/>
      </c>
      <c r="I142">
        <f>IF($A142="","",IF($D142="V01",Cadrage!$C$31,IF($D142="V02",Cadrage!$D$31,Cadrage!$E$31)))</f>
        <v/>
      </c>
      <c r="J142">
        <f>IF($A142="","",IF($D142="V01",Cadrage!$C$32,IF($D142="V02",Cadrage!$D$32,Cadrage!$E$32)))</f>
        <v/>
      </c>
      <c r="K142">
        <f>IF($A142="","",IF($D142="V01",Cadrage!$C$33,IF($D142="V02",Cadrage!$D$33,Cadrage!$E$33)))</f>
        <v/>
      </c>
      <c r="L142">
        <f>IF($A142="","",IF($D142="V01",Cadrage!$C$34,IF($D142="V02",Cadrage!$D$34,Cadrage!$E$34)))</f>
        <v/>
      </c>
      <c r="M142">
        <f>IF($A142="","",IF($D142="V01",Cadrage!$C$35,IF($D142="V02",Cadrage!$D$35,Cadrage!$E$35)))</f>
        <v/>
      </c>
      <c r="N142">
        <f>IF($A142="","",IF($D142="V01",$R$2,IF($D142="V02",$R$3,$R$4)))</f>
        <v/>
      </c>
      <c r="O142">
        <f>IF($A142="","",IF(OR($B142="7062",$B142="706",$B142="708"),$N142,IF($B142="6231",1+$G142,IF($B142="6236",1+$H142,IF(OR($B142="621",$B142="604",$B142="6063"),$N142*(1-$L142),IF(OR($B142="6411",$B142="6413",$B142="6414",$B142="645"),(1+$J142)*(1+$K142),IF(OR($B142="613",$B142="615",$B142="616",$B142="6226",$B142="625",$B142="626",$B142="6281"),(1+$I142)*(1-$L142)*(1+$M142),IF(OR($B142="6331",$B142="63511",$B142="6333"),(1+$I142)*(1-$L142),IF($B142="6811",1+$I142,1)))))))))</f>
        <v/>
      </c>
      <c r="P142">
        <f>IF($A142="","",IF($E142=1,$F142*$O142,PNL!G142))</f>
        <v/>
      </c>
      <c r="T142">
        <f>IF($A142="","",IF($E142=1,IF(OR($B142="7062",$B142="706",$B142="708"),$P142,IF(AND(LEFT($B142,1)="6",$B142&lt;&gt;"6811"),-$P142,0)),0))</f>
        <v/>
      </c>
    </row>
    <row r="143">
      <c r="A143">
        <f>IF(PNL!A143="","",PNL!A143)</f>
        <v/>
      </c>
      <c r="B143">
        <f>IF(PNL!B143="","",PNL!B143)</f>
        <v/>
      </c>
      <c r="C143">
        <f>IF(PNL!C143="","",PNL!C143)</f>
        <v/>
      </c>
      <c r="D143">
        <f>IF(PNL!D143="","",PNL!D143)</f>
        <v/>
      </c>
      <c r="E143">
        <f>IF($A143="","",IF(AND($C143="2027",OR($D143="V01",$D143="V02",$D143="V03")),1,0))</f>
        <v/>
      </c>
      <c r="F143">
        <f>IF($A143="","",IF($E143=1,SUMIFS(Comptabilité!$F$1:$F$675,Comptabilité!$A$1:$A$675,$A143,Comptabilité!$B$1:$B$675,$B143,Comptabilité!$C$1:$C$675,"2026"),0))</f>
        <v/>
      </c>
      <c r="G143">
        <f>IF($A143="","",IF($D143="V01",Cadrage!$C$22,IF($D143="V02",Cadrage!$D$22,Cadrage!$E$22)))</f>
        <v/>
      </c>
      <c r="H143">
        <f>IF($A143="","",IF($D143="V01",Cadrage!$C$23,IF($D143="V02",Cadrage!$D$23,Cadrage!$E$23)))</f>
        <v/>
      </c>
      <c r="I143">
        <f>IF($A143="","",IF($D143="V01",Cadrage!$C$31,IF($D143="V02",Cadrage!$D$31,Cadrage!$E$31)))</f>
        <v/>
      </c>
      <c r="J143">
        <f>IF($A143="","",IF($D143="V01",Cadrage!$C$32,IF($D143="V02",Cadrage!$D$32,Cadrage!$E$32)))</f>
        <v/>
      </c>
      <c r="K143">
        <f>IF($A143="","",IF($D143="V01",Cadrage!$C$33,IF($D143="V02",Cadrage!$D$33,Cadrage!$E$33)))</f>
        <v/>
      </c>
      <c r="L143">
        <f>IF($A143="","",IF($D143="V01",Cadrage!$C$34,IF($D143="V02",Cadrage!$D$34,Cadrage!$E$34)))</f>
        <v/>
      </c>
      <c r="M143">
        <f>IF($A143="","",IF($D143="V01",Cadrage!$C$35,IF($D143="V02",Cadrage!$D$35,Cadrage!$E$35)))</f>
        <v/>
      </c>
      <c r="N143">
        <f>IF($A143="","",IF($D143="V01",$R$2,IF($D143="V02",$R$3,$R$4)))</f>
        <v/>
      </c>
      <c r="O143">
        <f>IF($A143="","",IF(OR($B143="7062",$B143="706",$B143="708"),$N143,IF($B143="6231",1+$G143,IF($B143="6236",1+$H143,IF(OR($B143="621",$B143="604",$B143="6063"),$N143*(1-$L143),IF(OR($B143="6411",$B143="6413",$B143="6414",$B143="645"),(1+$J143)*(1+$K143),IF(OR($B143="613",$B143="615",$B143="616",$B143="6226",$B143="625",$B143="626",$B143="6281"),(1+$I143)*(1-$L143)*(1+$M143),IF(OR($B143="6331",$B143="63511",$B143="6333"),(1+$I143)*(1-$L143),IF($B143="6811",1+$I143,1)))))))))</f>
        <v/>
      </c>
      <c r="P143">
        <f>IF($A143="","",IF($E143=1,$F143*$O143,PNL!G143))</f>
        <v/>
      </c>
      <c r="T143">
        <f>IF($A143="","",IF($E143=1,IF(OR($B143="7062",$B143="706",$B143="708"),$P143,IF(AND(LEFT($B143,1)="6",$B143&lt;&gt;"6811"),-$P143,0)),0))</f>
        <v/>
      </c>
    </row>
    <row r="144">
      <c r="A144">
        <f>IF(PNL!A144="","",PNL!A144)</f>
        <v/>
      </c>
      <c r="B144">
        <f>IF(PNL!B144="","",PNL!B144)</f>
        <v/>
      </c>
      <c r="C144">
        <f>IF(PNL!C144="","",PNL!C144)</f>
        <v/>
      </c>
      <c r="D144">
        <f>IF(PNL!D144="","",PNL!D144)</f>
        <v/>
      </c>
      <c r="E144">
        <f>IF($A144="","",IF(AND($C144="2027",OR($D144="V01",$D144="V02",$D144="V03")),1,0))</f>
        <v/>
      </c>
      <c r="F144">
        <f>IF($A144="","",IF($E144=1,SUMIFS(Comptabilité!$F$1:$F$675,Comptabilité!$A$1:$A$675,$A144,Comptabilité!$B$1:$B$675,$B144,Comptabilité!$C$1:$C$675,"2026"),0))</f>
        <v/>
      </c>
      <c r="G144">
        <f>IF($A144="","",IF($D144="V01",Cadrage!$C$22,IF($D144="V02",Cadrage!$D$22,Cadrage!$E$22)))</f>
        <v/>
      </c>
      <c r="H144">
        <f>IF($A144="","",IF($D144="V01",Cadrage!$C$23,IF($D144="V02",Cadrage!$D$23,Cadrage!$E$23)))</f>
        <v/>
      </c>
      <c r="I144">
        <f>IF($A144="","",IF($D144="V01",Cadrage!$C$31,IF($D144="V02",Cadrage!$D$31,Cadrage!$E$31)))</f>
        <v/>
      </c>
      <c r="J144">
        <f>IF($A144="","",IF($D144="V01",Cadrage!$C$32,IF($D144="V02",Cadrage!$D$32,Cadrage!$E$32)))</f>
        <v/>
      </c>
      <c r="K144">
        <f>IF($A144="","",IF($D144="V01",Cadrage!$C$33,IF($D144="V02",Cadrage!$D$33,Cadrage!$E$33)))</f>
        <v/>
      </c>
      <c r="L144">
        <f>IF($A144="","",IF($D144="V01",Cadrage!$C$34,IF($D144="V02",Cadrage!$D$34,Cadrage!$E$34)))</f>
        <v/>
      </c>
      <c r="M144">
        <f>IF($A144="","",IF($D144="V01",Cadrage!$C$35,IF($D144="V02",Cadrage!$D$35,Cadrage!$E$35)))</f>
        <v/>
      </c>
      <c r="N144">
        <f>IF($A144="","",IF($D144="V01",$R$2,IF($D144="V02",$R$3,$R$4)))</f>
        <v/>
      </c>
      <c r="O144">
        <f>IF($A144="","",IF(OR($B144="7062",$B144="706",$B144="708"),$N144,IF($B144="6231",1+$G144,IF($B144="6236",1+$H144,IF(OR($B144="621",$B144="604",$B144="6063"),$N144*(1-$L144),IF(OR($B144="6411",$B144="6413",$B144="6414",$B144="645"),(1+$J144)*(1+$K144),IF(OR($B144="613",$B144="615",$B144="616",$B144="6226",$B144="625",$B144="626",$B144="6281"),(1+$I144)*(1-$L144)*(1+$M144),IF(OR($B144="6331",$B144="63511",$B144="6333"),(1+$I144)*(1-$L144),IF($B144="6811",1+$I144,1)))))))))</f>
        <v/>
      </c>
      <c r="P144">
        <f>IF($A144="","",IF($E144=1,$F144*$O144,PNL!G144))</f>
        <v/>
      </c>
      <c r="T144">
        <f>IF($A144="","",IF($E144=1,IF(OR($B144="7062",$B144="706",$B144="708"),$P144,IF(AND(LEFT($B144,1)="6",$B144&lt;&gt;"6811"),-$P144,0)),0))</f>
        <v/>
      </c>
    </row>
    <row r="145">
      <c r="A145">
        <f>IF(PNL!A145="","",PNL!A145)</f>
        <v/>
      </c>
      <c r="B145">
        <f>IF(PNL!B145="","",PNL!B145)</f>
        <v/>
      </c>
      <c r="C145">
        <f>IF(PNL!C145="","",PNL!C145)</f>
        <v/>
      </c>
      <c r="D145">
        <f>IF(PNL!D145="","",PNL!D145)</f>
        <v/>
      </c>
      <c r="E145">
        <f>IF($A145="","",IF(AND($C145="2027",OR($D145="V01",$D145="V02",$D145="V03")),1,0))</f>
        <v/>
      </c>
      <c r="F145">
        <f>IF($A145="","",IF($E145=1,SUMIFS(Comptabilité!$F$1:$F$675,Comptabilité!$A$1:$A$675,$A145,Comptabilité!$B$1:$B$675,$B145,Comptabilité!$C$1:$C$675,"2026"),0))</f>
        <v/>
      </c>
      <c r="G145">
        <f>IF($A145="","",IF($D145="V01",Cadrage!$C$22,IF($D145="V02",Cadrage!$D$22,Cadrage!$E$22)))</f>
        <v/>
      </c>
      <c r="H145">
        <f>IF($A145="","",IF($D145="V01",Cadrage!$C$23,IF($D145="V02",Cadrage!$D$23,Cadrage!$E$23)))</f>
        <v/>
      </c>
      <c r="I145">
        <f>IF($A145="","",IF($D145="V01",Cadrage!$C$31,IF($D145="V02",Cadrage!$D$31,Cadrage!$E$31)))</f>
        <v/>
      </c>
      <c r="J145">
        <f>IF($A145="","",IF($D145="V01",Cadrage!$C$32,IF($D145="V02",Cadrage!$D$32,Cadrage!$E$32)))</f>
        <v/>
      </c>
      <c r="K145">
        <f>IF($A145="","",IF($D145="V01",Cadrage!$C$33,IF($D145="V02",Cadrage!$D$33,Cadrage!$E$33)))</f>
        <v/>
      </c>
      <c r="L145">
        <f>IF($A145="","",IF($D145="V01",Cadrage!$C$34,IF($D145="V02",Cadrage!$D$34,Cadrage!$E$34)))</f>
        <v/>
      </c>
      <c r="M145">
        <f>IF($A145="","",IF($D145="V01",Cadrage!$C$35,IF($D145="V02",Cadrage!$D$35,Cadrage!$E$35)))</f>
        <v/>
      </c>
      <c r="N145">
        <f>IF($A145="","",IF($D145="V01",$R$2,IF($D145="V02",$R$3,$R$4)))</f>
        <v/>
      </c>
      <c r="O145">
        <f>IF($A145="","",IF(OR($B145="7062",$B145="706",$B145="708"),$N145,IF($B145="6231",1+$G145,IF($B145="6236",1+$H145,IF(OR($B145="621",$B145="604",$B145="6063"),$N145*(1-$L145),IF(OR($B145="6411",$B145="6413",$B145="6414",$B145="645"),(1+$J145)*(1+$K145),IF(OR($B145="613",$B145="615",$B145="616",$B145="6226",$B145="625",$B145="626",$B145="6281"),(1+$I145)*(1-$L145)*(1+$M145),IF(OR($B145="6331",$B145="63511",$B145="6333"),(1+$I145)*(1-$L145),IF($B145="6811",1+$I145,1)))))))))</f>
        <v/>
      </c>
      <c r="P145">
        <f>IF($A145="","",IF($E145=1,$F145*$O145,PNL!G145))</f>
        <v/>
      </c>
      <c r="T145">
        <f>IF($A145="","",IF($E145=1,IF(OR($B145="7062",$B145="706",$B145="708"),$P145,IF(AND(LEFT($B145,1)="6",$B145&lt;&gt;"6811"),-$P145,0)),0))</f>
        <v/>
      </c>
    </row>
    <row r="146">
      <c r="A146">
        <f>IF(PNL!A146="","",PNL!A146)</f>
        <v/>
      </c>
      <c r="B146">
        <f>IF(PNL!B146="","",PNL!B146)</f>
        <v/>
      </c>
      <c r="C146">
        <f>IF(PNL!C146="","",PNL!C146)</f>
        <v/>
      </c>
      <c r="D146">
        <f>IF(PNL!D146="","",PNL!D146)</f>
        <v/>
      </c>
      <c r="E146">
        <f>IF($A146="","",IF(AND($C146="2027",OR($D146="V01",$D146="V02",$D146="V03")),1,0))</f>
        <v/>
      </c>
      <c r="F146">
        <f>IF($A146="","",IF($E146=1,SUMIFS(Comptabilité!$F$1:$F$675,Comptabilité!$A$1:$A$675,$A146,Comptabilité!$B$1:$B$675,$B146,Comptabilité!$C$1:$C$675,"2026"),0))</f>
        <v/>
      </c>
      <c r="G146">
        <f>IF($A146="","",IF($D146="V01",Cadrage!$C$22,IF($D146="V02",Cadrage!$D$22,Cadrage!$E$22)))</f>
        <v/>
      </c>
      <c r="H146">
        <f>IF($A146="","",IF($D146="V01",Cadrage!$C$23,IF($D146="V02",Cadrage!$D$23,Cadrage!$E$23)))</f>
        <v/>
      </c>
      <c r="I146">
        <f>IF($A146="","",IF($D146="V01",Cadrage!$C$31,IF($D146="V02",Cadrage!$D$31,Cadrage!$E$31)))</f>
        <v/>
      </c>
      <c r="J146">
        <f>IF($A146="","",IF($D146="V01",Cadrage!$C$32,IF($D146="V02",Cadrage!$D$32,Cadrage!$E$32)))</f>
        <v/>
      </c>
      <c r="K146">
        <f>IF($A146="","",IF($D146="V01",Cadrage!$C$33,IF($D146="V02",Cadrage!$D$33,Cadrage!$E$33)))</f>
        <v/>
      </c>
      <c r="L146">
        <f>IF($A146="","",IF($D146="V01",Cadrage!$C$34,IF($D146="V02",Cadrage!$D$34,Cadrage!$E$34)))</f>
        <v/>
      </c>
      <c r="M146">
        <f>IF($A146="","",IF($D146="V01",Cadrage!$C$35,IF($D146="V02",Cadrage!$D$35,Cadrage!$E$35)))</f>
        <v/>
      </c>
      <c r="N146">
        <f>IF($A146="","",IF($D146="V01",$R$2,IF($D146="V02",$R$3,$R$4)))</f>
        <v/>
      </c>
      <c r="O146">
        <f>IF($A146="","",IF(OR($B146="7062",$B146="706",$B146="708"),$N146,IF($B146="6231",1+$G146,IF($B146="6236",1+$H146,IF(OR($B146="621",$B146="604",$B146="6063"),$N146*(1-$L146),IF(OR($B146="6411",$B146="6413",$B146="6414",$B146="645"),(1+$J146)*(1+$K146),IF(OR($B146="613",$B146="615",$B146="616",$B146="6226",$B146="625",$B146="626",$B146="6281"),(1+$I146)*(1-$L146)*(1+$M146),IF(OR($B146="6331",$B146="63511",$B146="6333"),(1+$I146)*(1-$L146),IF($B146="6811",1+$I146,1)))))))))</f>
        <v/>
      </c>
      <c r="P146">
        <f>IF($A146="","",IF($E146=1,$F146*$O146,PNL!G146))</f>
        <v/>
      </c>
      <c r="T146">
        <f>IF($A146="","",IF($E146=1,IF(OR($B146="7062",$B146="706",$B146="708"),$P146,IF(AND(LEFT($B146,1)="6",$B146&lt;&gt;"6811"),-$P146,0)),0))</f>
        <v/>
      </c>
    </row>
    <row r="147">
      <c r="A147">
        <f>IF(PNL!A147="","",PNL!A147)</f>
        <v/>
      </c>
      <c r="B147">
        <f>IF(PNL!B147="","",PNL!B147)</f>
        <v/>
      </c>
      <c r="C147">
        <f>IF(PNL!C147="","",PNL!C147)</f>
        <v/>
      </c>
      <c r="D147">
        <f>IF(PNL!D147="","",PNL!D147)</f>
        <v/>
      </c>
      <c r="E147">
        <f>IF($A147="","",IF(AND($C147="2027",OR($D147="V01",$D147="V02",$D147="V03")),1,0))</f>
        <v/>
      </c>
      <c r="F147">
        <f>IF($A147="","",IF($E147=1,SUMIFS(Comptabilité!$F$1:$F$675,Comptabilité!$A$1:$A$675,$A147,Comptabilité!$B$1:$B$675,$B147,Comptabilité!$C$1:$C$675,"2026"),0))</f>
        <v/>
      </c>
      <c r="G147">
        <f>IF($A147="","",IF($D147="V01",Cadrage!$C$22,IF($D147="V02",Cadrage!$D$22,Cadrage!$E$22)))</f>
        <v/>
      </c>
      <c r="H147">
        <f>IF($A147="","",IF($D147="V01",Cadrage!$C$23,IF($D147="V02",Cadrage!$D$23,Cadrage!$E$23)))</f>
        <v/>
      </c>
      <c r="I147">
        <f>IF($A147="","",IF($D147="V01",Cadrage!$C$31,IF($D147="V02",Cadrage!$D$31,Cadrage!$E$31)))</f>
        <v/>
      </c>
      <c r="J147">
        <f>IF($A147="","",IF($D147="V01",Cadrage!$C$32,IF($D147="V02",Cadrage!$D$32,Cadrage!$E$32)))</f>
        <v/>
      </c>
      <c r="K147">
        <f>IF($A147="","",IF($D147="V01",Cadrage!$C$33,IF($D147="V02",Cadrage!$D$33,Cadrage!$E$33)))</f>
        <v/>
      </c>
      <c r="L147">
        <f>IF($A147="","",IF($D147="V01",Cadrage!$C$34,IF($D147="V02",Cadrage!$D$34,Cadrage!$E$34)))</f>
        <v/>
      </c>
      <c r="M147">
        <f>IF($A147="","",IF($D147="V01",Cadrage!$C$35,IF($D147="V02",Cadrage!$D$35,Cadrage!$E$35)))</f>
        <v/>
      </c>
      <c r="N147">
        <f>IF($A147="","",IF($D147="V01",$R$2,IF($D147="V02",$R$3,$R$4)))</f>
        <v/>
      </c>
      <c r="O147">
        <f>IF($A147="","",IF(OR($B147="7062",$B147="706",$B147="708"),$N147,IF($B147="6231",1+$G147,IF($B147="6236",1+$H147,IF(OR($B147="621",$B147="604",$B147="6063"),$N147*(1-$L147),IF(OR($B147="6411",$B147="6413",$B147="6414",$B147="645"),(1+$J147)*(1+$K147),IF(OR($B147="613",$B147="615",$B147="616",$B147="6226",$B147="625",$B147="626",$B147="6281"),(1+$I147)*(1-$L147)*(1+$M147),IF(OR($B147="6331",$B147="63511",$B147="6333"),(1+$I147)*(1-$L147),IF($B147="6811",1+$I147,1)))))))))</f>
        <v/>
      </c>
      <c r="P147">
        <f>IF($A147="","",IF($E147=1,$F147*$O147,PNL!G147))</f>
        <v/>
      </c>
      <c r="T147">
        <f>IF($A147="","",IF($E147=1,IF(OR($B147="7062",$B147="706",$B147="708"),$P147,IF(AND(LEFT($B147,1)="6",$B147&lt;&gt;"6811"),-$P147,0)),0))</f>
        <v/>
      </c>
    </row>
    <row r="148">
      <c r="A148">
        <f>IF(PNL!A148="","",PNL!A148)</f>
        <v/>
      </c>
      <c r="B148">
        <f>IF(PNL!B148="","",PNL!B148)</f>
        <v/>
      </c>
      <c r="C148">
        <f>IF(PNL!C148="","",PNL!C148)</f>
        <v/>
      </c>
      <c r="D148">
        <f>IF(PNL!D148="","",PNL!D148)</f>
        <v/>
      </c>
      <c r="E148">
        <f>IF($A148="","",IF(AND($C148="2027",OR($D148="V01",$D148="V02",$D148="V03")),1,0))</f>
        <v/>
      </c>
      <c r="F148">
        <f>IF($A148="","",IF($E148=1,SUMIFS(Comptabilité!$F$1:$F$675,Comptabilité!$A$1:$A$675,$A148,Comptabilité!$B$1:$B$675,$B148,Comptabilité!$C$1:$C$675,"2026"),0))</f>
        <v/>
      </c>
      <c r="G148">
        <f>IF($A148="","",IF($D148="V01",Cadrage!$C$22,IF($D148="V02",Cadrage!$D$22,Cadrage!$E$22)))</f>
        <v/>
      </c>
      <c r="H148">
        <f>IF($A148="","",IF($D148="V01",Cadrage!$C$23,IF($D148="V02",Cadrage!$D$23,Cadrage!$E$23)))</f>
        <v/>
      </c>
      <c r="I148">
        <f>IF($A148="","",IF($D148="V01",Cadrage!$C$31,IF($D148="V02",Cadrage!$D$31,Cadrage!$E$31)))</f>
        <v/>
      </c>
      <c r="J148">
        <f>IF($A148="","",IF($D148="V01",Cadrage!$C$32,IF($D148="V02",Cadrage!$D$32,Cadrage!$E$32)))</f>
        <v/>
      </c>
      <c r="K148">
        <f>IF($A148="","",IF($D148="V01",Cadrage!$C$33,IF($D148="V02",Cadrage!$D$33,Cadrage!$E$33)))</f>
        <v/>
      </c>
      <c r="L148">
        <f>IF($A148="","",IF($D148="V01",Cadrage!$C$34,IF($D148="V02",Cadrage!$D$34,Cadrage!$E$34)))</f>
        <v/>
      </c>
      <c r="M148">
        <f>IF($A148="","",IF($D148="V01",Cadrage!$C$35,IF($D148="V02",Cadrage!$D$35,Cadrage!$E$35)))</f>
        <v/>
      </c>
      <c r="N148">
        <f>IF($A148="","",IF($D148="V01",$R$2,IF($D148="V02",$R$3,$R$4)))</f>
        <v/>
      </c>
      <c r="O148">
        <f>IF($A148="","",IF(OR($B148="7062",$B148="706",$B148="708"),$N148,IF($B148="6231",1+$G148,IF($B148="6236",1+$H148,IF(OR($B148="621",$B148="604",$B148="6063"),$N148*(1-$L148),IF(OR($B148="6411",$B148="6413",$B148="6414",$B148="645"),(1+$J148)*(1+$K148),IF(OR($B148="613",$B148="615",$B148="616",$B148="6226",$B148="625",$B148="626",$B148="6281"),(1+$I148)*(1-$L148)*(1+$M148),IF(OR($B148="6331",$B148="63511",$B148="6333"),(1+$I148)*(1-$L148),IF($B148="6811",1+$I148,1)))))))))</f>
        <v/>
      </c>
      <c r="P148">
        <f>IF($A148="","",IF($E148=1,$F148*$O148,PNL!G148))</f>
        <v/>
      </c>
      <c r="T148">
        <f>IF($A148="","",IF($E148=1,IF(OR($B148="7062",$B148="706",$B148="708"),$P148,IF(AND(LEFT($B148,1)="6",$B148&lt;&gt;"6811"),-$P148,0)),0))</f>
        <v/>
      </c>
    </row>
    <row r="149">
      <c r="A149">
        <f>IF(PNL!A149="","",PNL!A149)</f>
        <v/>
      </c>
      <c r="B149">
        <f>IF(PNL!B149="","",PNL!B149)</f>
        <v/>
      </c>
      <c r="C149">
        <f>IF(PNL!C149="","",PNL!C149)</f>
        <v/>
      </c>
      <c r="D149">
        <f>IF(PNL!D149="","",PNL!D149)</f>
        <v/>
      </c>
      <c r="E149">
        <f>IF($A149="","",IF(AND($C149="2027",OR($D149="V01",$D149="V02",$D149="V03")),1,0))</f>
        <v/>
      </c>
      <c r="F149">
        <f>IF($A149="","",IF($E149=1,SUMIFS(Comptabilité!$F$1:$F$675,Comptabilité!$A$1:$A$675,$A149,Comptabilité!$B$1:$B$675,$B149,Comptabilité!$C$1:$C$675,"2026"),0))</f>
        <v/>
      </c>
      <c r="G149">
        <f>IF($A149="","",IF($D149="V01",Cadrage!$C$22,IF($D149="V02",Cadrage!$D$22,Cadrage!$E$22)))</f>
        <v/>
      </c>
      <c r="H149">
        <f>IF($A149="","",IF($D149="V01",Cadrage!$C$23,IF($D149="V02",Cadrage!$D$23,Cadrage!$E$23)))</f>
        <v/>
      </c>
      <c r="I149">
        <f>IF($A149="","",IF($D149="V01",Cadrage!$C$31,IF($D149="V02",Cadrage!$D$31,Cadrage!$E$31)))</f>
        <v/>
      </c>
      <c r="J149">
        <f>IF($A149="","",IF($D149="V01",Cadrage!$C$32,IF($D149="V02",Cadrage!$D$32,Cadrage!$E$32)))</f>
        <v/>
      </c>
      <c r="K149">
        <f>IF($A149="","",IF($D149="V01",Cadrage!$C$33,IF($D149="V02",Cadrage!$D$33,Cadrage!$E$33)))</f>
        <v/>
      </c>
      <c r="L149">
        <f>IF($A149="","",IF($D149="V01",Cadrage!$C$34,IF($D149="V02",Cadrage!$D$34,Cadrage!$E$34)))</f>
        <v/>
      </c>
      <c r="M149">
        <f>IF($A149="","",IF($D149="V01",Cadrage!$C$35,IF($D149="V02",Cadrage!$D$35,Cadrage!$E$35)))</f>
        <v/>
      </c>
      <c r="N149">
        <f>IF($A149="","",IF($D149="V01",$R$2,IF($D149="V02",$R$3,$R$4)))</f>
        <v/>
      </c>
      <c r="O149">
        <f>IF($A149="","",IF(OR($B149="7062",$B149="706",$B149="708"),$N149,IF($B149="6231",1+$G149,IF($B149="6236",1+$H149,IF(OR($B149="621",$B149="604",$B149="6063"),$N149*(1-$L149),IF(OR($B149="6411",$B149="6413",$B149="6414",$B149="645"),(1+$J149)*(1+$K149),IF(OR($B149="613",$B149="615",$B149="616",$B149="6226",$B149="625",$B149="626",$B149="6281"),(1+$I149)*(1-$L149)*(1+$M149),IF(OR($B149="6331",$B149="63511",$B149="6333"),(1+$I149)*(1-$L149),IF($B149="6811",1+$I149,1)))))))))</f>
        <v/>
      </c>
      <c r="P149">
        <f>IF($A149="","",IF($E149=1,$F149*$O149,PNL!G149))</f>
        <v/>
      </c>
      <c r="T149">
        <f>IF($A149="","",IF($E149=1,IF(OR($B149="7062",$B149="706",$B149="708"),$P149,IF(AND(LEFT($B149,1)="6",$B149&lt;&gt;"6811"),-$P149,0)),0))</f>
        <v/>
      </c>
    </row>
    <row r="150">
      <c r="A150">
        <f>IF(PNL!A150="","",PNL!A150)</f>
        <v/>
      </c>
      <c r="B150">
        <f>IF(PNL!B150="","",PNL!B150)</f>
        <v/>
      </c>
      <c r="C150">
        <f>IF(PNL!C150="","",PNL!C150)</f>
        <v/>
      </c>
      <c r="D150">
        <f>IF(PNL!D150="","",PNL!D150)</f>
        <v/>
      </c>
      <c r="E150">
        <f>IF($A150="","",IF(AND($C150="2027",OR($D150="V01",$D150="V02",$D150="V03")),1,0))</f>
        <v/>
      </c>
      <c r="F150">
        <f>IF($A150="","",IF($E150=1,SUMIFS(Comptabilité!$F$1:$F$675,Comptabilité!$A$1:$A$675,$A150,Comptabilité!$B$1:$B$675,$B150,Comptabilité!$C$1:$C$675,"2026"),0))</f>
        <v/>
      </c>
      <c r="G150">
        <f>IF($A150="","",IF($D150="V01",Cadrage!$C$22,IF($D150="V02",Cadrage!$D$22,Cadrage!$E$22)))</f>
        <v/>
      </c>
      <c r="H150">
        <f>IF($A150="","",IF($D150="V01",Cadrage!$C$23,IF($D150="V02",Cadrage!$D$23,Cadrage!$E$23)))</f>
        <v/>
      </c>
      <c r="I150">
        <f>IF($A150="","",IF($D150="V01",Cadrage!$C$31,IF($D150="V02",Cadrage!$D$31,Cadrage!$E$31)))</f>
        <v/>
      </c>
      <c r="J150">
        <f>IF($A150="","",IF($D150="V01",Cadrage!$C$32,IF($D150="V02",Cadrage!$D$32,Cadrage!$E$32)))</f>
        <v/>
      </c>
      <c r="K150">
        <f>IF($A150="","",IF($D150="V01",Cadrage!$C$33,IF($D150="V02",Cadrage!$D$33,Cadrage!$E$33)))</f>
        <v/>
      </c>
      <c r="L150">
        <f>IF($A150="","",IF($D150="V01",Cadrage!$C$34,IF($D150="V02",Cadrage!$D$34,Cadrage!$E$34)))</f>
        <v/>
      </c>
      <c r="M150">
        <f>IF($A150="","",IF($D150="V01",Cadrage!$C$35,IF($D150="V02",Cadrage!$D$35,Cadrage!$E$35)))</f>
        <v/>
      </c>
      <c r="N150">
        <f>IF($A150="","",IF($D150="V01",$R$2,IF($D150="V02",$R$3,$R$4)))</f>
        <v/>
      </c>
      <c r="O150">
        <f>IF($A150="","",IF(OR($B150="7062",$B150="706",$B150="708"),$N150,IF($B150="6231",1+$G150,IF($B150="6236",1+$H150,IF(OR($B150="621",$B150="604",$B150="6063"),$N150*(1-$L150),IF(OR($B150="6411",$B150="6413",$B150="6414",$B150="645"),(1+$J150)*(1+$K150),IF(OR($B150="613",$B150="615",$B150="616",$B150="6226",$B150="625",$B150="626",$B150="6281"),(1+$I150)*(1-$L150)*(1+$M150),IF(OR($B150="6331",$B150="63511",$B150="6333"),(1+$I150)*(1-$L150),IF($B150="6811",1+$I150,1)))))))))</f>
        <v/>
      </c>
      <c r="P150">
        <f>IF($A150="","",IF($E150=1,$F150*$O150,PNL!G150))</f>
        <v/>
      </c>
      <c r="T150">
        <f>IF($A150="","",IF($E150=1,IF(OR($B150="7062",$B150="706",$B150="708"),$P150,IF(AND(LEFT($B150,1)="6",$B150&lt;&gt;"6811"),-$P150,0)),0))</f>
        <v/>
      </c>
    </row>
    <row r="151">
      <c r="A151">
        <f>IF(PNL!A151="","",PNL!A151)</f>
        <v/>
      </c>
      <c r="B151">
        <f>IF(PNL!B151="","",PNL!B151)</f>
        <v/>
      </c>
      <c r="C151">
        <f>IF(PNL!C151="","",PNL!C151)</f>
        <v/>
      </c>
      <c r="D151">
        <f>IF(PNL!D151="","",PNL!D151)</f>
        <v/>
      </c>
      <c r="E151">
        <f>IF($A151="","",IF(AND($C151="2027",OR($D151="V01",$D151="V02",$D151="V03")),1,0))</f>
        <v/>
      </c>
      <c r="F151">
        <f>IF($A151="","",IF($E151=1,SUMIFS(Comptabilité!$F$1:$F$675,Comptabilité!$A$1:$A$675,$A151,Comptabilité!$B$1:$B$675,$B151,Comptabilité!$C$1:$C$675,"2026"),0))</f>
        <v/>
      </c>
      <c r="G151">
        <f>IF($A151="","",IF($D151="V01",Cadrage!$C$22,IF($D151="V02",Cadrage!$D$22,Cadrage!$E$22)))</f>
        <v/>
      </c>
      <c r="H151">
        <f>IF($A151="","",IF($D151="V01",Cadrage!$C$23,IF($D151="V02",Cadrage!$D$23,Cadrage!$E$23)))</f>
        <v/>
      </c>
      <c r="I151">
        <f>IF($A151="","",IF($D151="V01",Cadrage!$C$31,IF($D151="V02",Cadrage!$D$31,Cadrage!$E$31)))</f>
        <v/>
      </c>
      <c r="J151">
        <f>IF($A151="","",IF($D151="V01",Cadrage!$C$32,IF($D151="V02",Cadrage!$D$32,Cadrage!$E$32)))</f>
        <v/>
      </c>
      <c r="K151">
        <f>IF($A151="","",IF($D151="V01",Cadrage!$C$33,IF($D151="V02",Cadrage!$D$33,Cadrage!$E$33)))</f>
        <v/>
      </c>
      <c r="L151">
        <f>IF($A151="","",IF($D151="V01",Cadrage!$C$34,IF($D151="V02",Cadrage!$D$34,Cadrage!$E$34)))</f>
        <v/>
      </c>
      <c r="M151">
        <f>IF($A151="","",IF($D151="V01",Cadrage!$C$35,IF($D151="V02",Cadrage!$D$35,Cadrage!$E$35)))</f>
        <v/>
      </c>
      <c r="N151">
        <f>IF($A151="","",IF($D151="V01",$R$2,IF($D151="V02",$R$3,$R$4)))</f>
        <v/>
      </c>
      <c r="O151">
        <f>IF($A151="","",IF(OR($B151="7062",$B151="706",$B151="708"),$N151,IF($B151="6231",1+$G151,IF($B151="6236",1+$H151,IF(OR($B151="621",$B151="604",$B151="6063"),$N151*(1-$L151),IF(OR($B151="6411",$B151="6413",$B151="6414",$B151="645"),(1+$J151)*(1+$K151),IF(OR($B151="613",$B151="615",$B151="616",$B151="6226",$B151="625",$B151="626",$B151="6281"),(1+$I151)*(1-$L151)*(1+$M151),IF(OR($B151="6331",$B151="63511",$B151="6333"),(1+$I151)*(1-$L151),IF($B151="6811",1+$I151,1)))))))))</f>
        <v/>
      </c>
      <c r="P151">
        <f>IF($A151="","",IF($E151=1,$F151*$O151,PNL!G151))</f>
        <v/>
      </c>
      <c r="T151">
        <f>IF($A151="","",IF($E151=1,IF(OR($B151="7062",$B151="706",$B151="708"),$P151,IF(AND(LEFT($B151,1)="6",$B151&lt;&gt;"6811"),-$P151,0)),0))</f>
        <v/>
      </c>
    </row>
    <row r="152">
      <c r="A152">
        <f>IF(PNL!A152="","",PNL!A152)</f>
        <v/>
      </c>
      <c r="B152">
        <f>IF(PNL!B152="","",PNL!B152)</f>
        <v/>
      </c>
      <c r="C152">
        <f>IF(PNL!C152="","",PNL!C152)</f>
        <v/>
      </c>
      <c r="D152">
        <f>IF(PNL!D152="","",PNL!D152)</f>
        <v/>
      </c>
      <c r="E152">
        <f>IF($A152="","",IF(AND($C152="2027",OR($D152="V01",$D152="V02",$D152="V03")),1,0))</f>
        <v/>
      </c>
      <c r="F152">
        <f>IF($A152="","",IF($E152=1,SUMIFS(Comptabilité!$F$1:$F$675,Comptabilité!$A$1:$A$675,$A152,Comptabilité!$B$1:$B$675,$B152,Comptabilité!$C$1:$C$675,"2026"),0))</f>
        <v/>
      </c>
      <c r="G152">
        <f>IF($A152="","",IF($D152="V01",Cadrage!$C$22,IF($D152="V02",Cadrage!$D$22,Cadrage!$E$22)))</f>
        <v/>
      </c>
      <c r="H152">
        <f>IF($A152="","",IF($D152="V01",Cadrage!$C$23,IF($D152="V02",Cadrage!$D$23,Cadrage!$E$23)))</f>
        <v/>
      </c>
      <c r="I152">
        <f>IF($A152="","",IF($D152="V01",Cadrage!$C$31,IF($D152="V02",Cadrage!$D$31,Cadrage!$E$31)))</f>
        <v/>
      </c>
      <c r="J152">
        <f>IF($A152="","",IF($D152="V01",Cadrage!$C$32,IF($D152="V02",Cadrage!$D$32,Cadrage!$E$32)))</f>
        <v/>
      </c>
      <c r="K152">
        <f>IF($A152="","",IF($D152="V01",Cadrage!$C$33,IF($D152="V02",Cadrage!$D$33,Cadrage!$E$33)))</f>
        <v/>
      </c>
      <c r="L152">
        <f>IF($A152="","",IF($D152="V01",Cadrage!$C$34,IF($D152="V02",Cadrage!$D$34,Cadrage!$E$34)))</f>
        <v/>
      </c>
      <c r="M152">
        <f>IF($A152="","",IF($D152="V01",Cadrage!$C$35,IF($D152="V02",Cadrage!$D$35,Cadrage!$E$35)))</f>
        <v/>
      </c>
      <c r="N152">
        <f>IF($A152="","",IF($D152="V01",$R$2,IF($D152="V02",$R$3,$R$4)))</f>
        <v/>
      </c>
      <c r="O152">
        <f>IF($A152="","",IF(OR($B152="7062",$B152="706",$B152="708"),$N152,IF($B152="6231",1+$G152,IF($B152="6236",1+$H152,IF(OR($B152="621",$B152="604",$B152="6063"),$N152*(1-$L152),IF(OR($B152="6411",$B152="6413",$B152="6414",$B152="645"),(1+$J152)*(1+$K152),IF(OR($B152="613",$B152="615",$B152="616",$B152="6226",$B152="625",$B152="626",$B152="6281"),(1+$I152)*(1-$L152)*(1+$M152),IF(OR($B152="6331",$B152="63511",$B152="6333"),(1+$I152)*(1-$L152),IF($B152="6811",1+$I152,1)))))))))</f>
        <v/>
      </c>
      <c r="P152">
        <f>IF($A152="","",IF($E152=1,$F152*$O152,PNL!G152))</f>
        <v/>
      </c>
      <c r="T152">
        <f>IF($A152="","",IF($E152=1,IF(OR($B152="7062",$B152="706",$B152="708"),$P152,IF(AND(LEFT($B152,1)="6",$B152&lt;&gt;"6811"),-$P152,0)),0))</f>
        <v/>
      </c>
    </row>
    <row r="153">
      <c r="A153">
        <f>IF(PNL!A153="","",PNL!A153)</f>
        <v/>
      </c>
      <c r="B153">
        <f>IF(PNL!B153="","",PNL!B153)</f>
        <v/>
      </c>
      <c r="C153">
        <f>IF(PNL!C153="","",PNL!C153)</f>
        <v/>
      </c>
      <c r="D153">
        <f>IF(PNL!D153="","",PNL!D153)</f>
        <v/>
      </c>
      <c r="E153">
        <f>IF($A153="","",IF(AND($C153="2027",OR($D153="V01",$D153="V02",$D153="V03")),1,0))</f>
        <v/>
      </c>
      <c r="F153">
        <f>IF($A153="","",IF($E153=1,SUMIFS(Comptabilité!$F$1:$F$675,Comptabilité!$A$1:$A$675,$A153,Comptabilité!$B$1:$B$675,$B153,Comptabilité!$C$1:$C$675,"2026"),0))</f>
        <v/>
      </c>
      <c r="G153">
        <f>IF($A153="","",IF($D153="V01",Cadrage!$C$22,IF($D153="V02",Cadrage!$D$22,Cadrage!$E$22)))</f>
        <v/>
      </c>
      <c r="H153">
        <f>IF($A153="","",IF($D153="V01",Cadrage!$C$23,IF($D153="V02",Cadrage!$D$23,Cadrage!$E$23)))</f>
        <v/>
      </c>
      <c r="I153">
        <f>IF($A153="","",IF($D153="V01",Cadrage!$C$31,IF($D153="V02",Cadrage!$D$31,Cadrage!$E$31)))</f>
        <v/>
      </c>
      <c r="J153">
        <f>IF($A153="","",IF($D153="V01",Cadrage!$C$32,IF($D153="V02",Cadrage!$D$32,Cadrage!$E$32)))</f>
        <v/>
      </c>
      <c r="K153">
        <f>IF($A153="","",IF($D153="V01",Cadrage!$C$33,IF($D153="V02",Cadrage!$D$33,Cadrage!$E$33)))</f>
        <v/>
      </c>
      <c r="L153">
        <f>IF($A153="","",IF($D153="V01",Cadrage!$C$34,IF($D153="V02",Cadrage!$D$34,Cadrage!$E$34)))</f>
        <v/>
      </c>
      <c r="M153">
        <f>IF($A153="","",IF($D153="V01",Cadrage!$C$35,IF($D153="V02",Cadrage!$D$35,Cadrage!$E$35)))</f>
        <v/>
      </c>
      <c r="N153">
        <f>IF($A153="","",IF($D153="V01",$R$2,IF($D153="V02",$R$3,$R$4)))</f>
        <v/>
      </c>
      <c r="O153">
        <f>IF($A153="","",IF(OR($B153="7062",$B153="706",$B153="708"),$N153,IF($B153="6231",1+$G153,IF($B153="6236",1+$H153,IF(OR($B153="621",$B153="604",$B153="6063"),$N153*(1-$L153),IF(OR($B153="6411",$B153="6413",$B153="6414",$B153="645"),(1+$J153)*(1+$K153),IF(OR($B153="613",$B153="615",$B153="616",$B153="6226",$B153="625",$B153="626",$B153="6281"),(1+$I153)*(1-$L153)*(1+$M153),IF(OR($B153="6331",$B153="63511",$B153="6333"),(1+$I153)*(1-$L153),IF($B153="6811",1+$I153,1)))))))))</f>
        <v/>
      </c>
      <c r="P153">
        <f>IF($A153="","",IF($E153=1,$F153*$O153,PNL!G153))</f>
        <v/>
      </c>
      <c r="T153">
        <f>IF($A153="","",IF($E153=1,IF(OR($B153="7062",$B153="706",$B153="708"),$P153,IF(AND(LEFT($B153,1)="6",$B153&lt;&gt;"6811"),-$P153,0)),0))</f>
        <v/>
      </c>
    </row>
    <row r="154">
      <c r="A154">
        <f>IF(PNL!A154="","",PNL!A154)</f>
        <v/>
      </c>
      <c r="B154">
        <f>IF(PNL!B154="","",PNL!B154)</f>
        <v/>
      </c>
      <c r="C154">
        <f>IF(PNL!C154="","",PNL!C154)</f>
        <v/>
      </c>
      <c r="D154">
        <f>IF(PNL!D154="","",PNL!D154)</f>
        <v/>
      </c>
      <c r="E154">
        <f>IF($A154="","",IF(AND($C154="2027",OR($D154="V01",$D154="V02",$D154="V03")),1,0))</f>
        <v/>
      </c>
      <c r="F154">
        <f>IF($A154="","",IF($E154=1,SUMIFS(Comptabilité!$F$1:$F$675,Comptabilité!$A$1:$A$675,$A154,Comptabilité!$B$1:$B$675,$B154,Comptabilité!$C$1:$C$675,"2026"),0))</f>
        <v/>
      </c>
      <c r="G154">
        <f>IF($A154="","",IF($D154="V01",Cadrage!$C$22,IF($D154="V02",Cadrage!$D$22,Cadrage!$E$22)))</f>
        <v/>
      </c>
      <c r="H154">
        <f>IF($A154="","",IF($D154="V01",Cadrage!$C$23,IF($D154="V02",Cadrage!$D$23,Cadrage!$E$23)))</f>
        <v/>
      </c>
      <c r="I154">
        <f>IF($A154="","",IF($D154="V01",Cadrage!$C$31,IF($D154="V02",Cadrage!$D$31,Cadrage!$E$31)))</f>
        <v/>
      </c>
      <c r="J154">
        <f>IF($A154="","",IF($D154="V01",Cadrage!$C$32,IF($D154="V02",Cadrage!$D$32,Cadrage!$E$32)))</f>
        <v/>
      </c>
      <c r="K154">
        <f>IF($A154="","",IF($D154="V01",Cadrage!$C$33,IF($D154="V02",Cadrage!$D$33,Cadrage!$E$33)))</f>
        <v/>
      </c>
      <c r="L154">
        <f>IF($A154="","",IF($D154="V01",Cadrage!$C$34,IF($D154="V02",Cadrage!$D$34,Cadrage!$E$34)))</f>
        <v/>
      </c>
      <c r="M154">
        <f>IF($A154="","",IF($D154="V01",Cadrage!$C$35,IF($D154="V02",Cadrage!$D$35,Cadrage!$E$35)))</f>
        <v/>
      </c>
      <c r="N154">
        <f>IF($A154="","",IF($D154="V01",$R$2,IF($D154="V02",$R$3,$R$4)))</f>
        <v/>
      </c>
      <c r="O154">
        <f>IF($A154="","",IF(OR($B154="7062",$B154="706",$B154="708"),$N154,IF($B154="6231",1+$G154,IF($B154="6236",1+$H154,IF(OR($B154="621",$B154="604",$B154="6063"),$N154*(1-$L154),IF(OR($B154="6411",$B154="6413",$B154="6414",$B154="645"),(1+$J154)*(1+$K154),IF(OR($B154="613",$B154="615",$B154="616",$B154="6226",$B154="625",$B154="626",$B154="6281"),(1+$I154)*(1-$L154)*(1+$M154),IF(OR($B154="6331",$B154="63511",$B154="6333"),(1+$I154)*(1-$L154),IF($B154="6811",1+$I154,1)))))))))</f>
        <v/>
      </c>
      <c r="P154">
        <f>IF($A154="","",IF($E154=1,$F154*$O154,PNL!G154))</f>
        <v/>
      </c>
      <c r="T154">
        <f>IF($A154="","",IF($E154=1,IF(OR($B154="7062",$B154="706",$B154="708"),$P154,IF(AND(LEFT($B154,1)="6",$B154&lt;&gt;"6811"),-$P154,0)),0))</f>
        <v/>
      </c>
    </row>
    <row r="155">
      <c r="A155">
        <f>IF(PNL!A155="","",PNL!A155)</f>
        <v/>
      </c>
      <c r="B155">
        <f>IF(PNL!B155="","",PNL!B155)</f>
        <v/>
      </c>
      <c r="C155">
        <f>IF(PNL!C155="","",PNL!C155)</f>
        <v/>
      </c>
      <c r="D155">
        <f>IF(PNL!D155="","",PNL!D155)</f>
        <v/>
      </c>
      <c r="E155">
        <f>IF($A155="","",IF(AND($C155="2027",OR($D155="V01",$D155="V02",$D155="V03")),1,0))</f>
        <v/>
      </c>
      <c r="F155">
        <f>IF($A155="","",IF($E155=1,SUMIFS(Comptabilité!$F$1:$F$675,Comptabilité!$A$1:$A$675,$A155,Comptabilité!$B$1:$B$675,$B155,Comptabilité!$C$1:$C$675,"2026"),0))</f>
        <v/>
      </c>
      <c r="G155">
        <f>IF($A155="","",IF($D155="V01",Cadrage!$C$22,IF($D155="V02",Cadrage!$D$22,Cadrage!$E$22)))</f>
        <v/>
      </c>
      <c r="H155">
        <f>IF($A155="","",IF($D155="V01",Cadrage!$C$23,IF($D155="V02",Cadrage!$D$23,Cadrage!$E$23)))</f>
        <v/>
      </c>
      <c r="I155">
        <f>IF($A155="","",IF($D155="V01",Cadrage!$C$31,IF($D155="V02",Cadrage!$D$31,Cadrage!$E$31)))</f>
        <v/>
      </c>
      <c r="J155">
        <f>IF($A155="","",IF($D155="V01",Cadrage!$C$32,IF($D155="V02",Cadrage!$D$32,Cadrage!$E$32)))</f>
        <v/>
      </c>
      <c r="K155">
        <f>IF($A155="","",IF($D155="V01",Cadrage!$C$33,IF($D155="V02",Cadrage!$D$33,Cadrage!$E$33)))</f>
        <v/>
      </c>
      <c r="L155">
        <f>IF($A155="","",IF($D155="V01",Cadrage!$C$34,IF($D155="V02",Cadrage!$D$34,Cadrage!$E$34)))</f>
        <v/>
      </c>
      <c r="M155">
        <f>IF($A155="","",IF($D155="V01",Cadrage!$C$35,IF($D155="V02",Cadrage!$D$35,Cadrage!$E$35)))</f>
        <v/>
      </c>
      <c r="N155">
        <f>IF($A155="","",IF($D155="V01",$R$2,IF($D155="V02",$R$3,$R$4)))</f>
        <v/>
      </c>
      <c r="O155">
        <f>IF($A155="","",IF(OR($B155="7062",$B155="706",$B155="708"),$N155,IF($B155="6231",1+$G155,IF($B155="6236",1+$H155,IF(OR($B155="621",$B155="604",$B155="6063"),$N155*(1-$L155),IF(OR($B155="6411",$B155="6413",$B155="6414",$B155="645"),(1+$J155)*(1+$K155),IF(OR($B155="613",$B155="615",$B155="616",$B155="6226",$B155="625",$B155="626",$B155="6281"),(1+$I155)*(1-$L155)*(1+$M155),IF(OR($B155="6331",$B155="63511",$B155="6333"),(1+$I155)*(1-$L155),IF($B155="6811",1+$I155,1)))))))))</f>
        <v/>
      </c>
      <c r="P155">
        <f>IF($A155="","",IF($E155=1,$F155*$O155,PNL!G155))</f>
        <v/>
      </c>
      <c r="T155">
        <f>IF($A155="","",IF($E155=1,IF(OR($B155="7062",$B155="706",$B155="708"),$P155,IF(AND(LEFT($B155,1)="6",$B155&lt;&gt;"6811"),-$P155,0)),0))</f>
        <v/>
      </c>
    </row>
    <row r="156">
      <c r="A156">
        <f>IF(PNL!A156="","",PNL!A156)</f>
        <v/>
      </c>
      <c r="B156">
        <f>IF(PNL!B156="","",PNL!B156)</f>
        <v/>
      </c>
      <c r="C156">
        <f>IF(PNL!C156="","",PNL!C156)</f>
        <v/>
      </c>
      <c r="D156">
        <f>IF(PNL!D156="","",PNL!D156)</f>
        <v/>
      </c>
      <c r="E156">
        <f>IF($A156="","",IF(AND($C156="2027",OR($D156="V01",$D156="V02",$D156="V03")),1,0))</f>
        <v/>
      </c>
      <c r="F156">
        <f>IF($A156="","",IF($E156=1,SUMIFS(Comptabilité!$F$1:$F$675,Comptabilité!$A$1:$A$675,$A156,Comptabilité!$B$1:$B$675,$B156,Comptabilité!$C$1:$C$675,"2026"),0))</f>
        <v/>
      </c>
      <c r="G156">
        <f>IF($A156="","",IF($D156="V01",Cadrage!$C$22,IF($D156="V02",Cadrage!$D$22,Cadrage!$E$22)))</f>
        <v/>
      </c>
      <c r="H156">
        <f>IF($A156="","",IF($D156="V01",Cadrage!$C$23,IF($D156="V02",Cadrage!$D$23,Cadrage!$E$23)))</f>
        <v/>
      </c>
      <c r="I156">
        <f>IF($A156="","",IF($D156="V01",Cadrage!$C$31,IF($D156="V02",Cadrage!$D$31,Cadrage!$E$31)))</f>
        <v/>
      </c>
      <c r="J156">
        <f>IF($A156="","",IF($D156="V01",Cadrage!$C$32,IF($D156="V02",Cadrage!$D$32,Cadrage!$E$32)))</f>
        <v/>
      </c>
      <c r="K156">
        <f>IF($A156="","",IF($D156="V01",Cadrage!$C$33,IF($D156="V02",Cadrage!$D$33,Cadrage!$E$33)))</f>
        <v/>
      </c>
      <c r="L156">
        <f>IF($A156="","",IF($D156="V01",Cadrage!$C$34,IF($D156="V02",Cadrage!$D$34,Cadrage!$E$34)))</f>
        <v/>
      </c>
      <c r="M156">
        <f>IF($A156="","",IF($D156="V01",Cadrage!$C$35,IF($D156="V02",Cadrage!$D$35,Cadrage!$E$35)))</f>
        <v/>
      </c>
      <c r="N156">
        <f>IF($A156="","",IF($D156="V01",$R$2,IF($D156="V02",$R$3,$R$4)))</f>
        <v/>
      </c>
      <c r="O156">
        <f>IF($A156="","",IF(OR($B156="7062",$B156="706",$B156="708"),$N156,IF($B156="6231",1+$G156,IF($B156="6236",1+$H156,IF(OR($B156="621",$B156="604",$B156="6063"),$N156*(1-$L156),IF(OR($B156="6411",$B156="6413",$B156="6414",$B156="645"),(1+$J156)*(1+$K156),IF(OR($B156="613",$B156="615",$B156="616",$B156="6226",$B156="625",$B156="626",$B156="6281"),(1+$I156)*(1-$L156)*(1+$M156),IF(OR($B156="6331",$B156="63511",$B156="6333"),(1+$I156)*(1-$L156),IF($B156="6811",1+$I156,1)))))))))</f>
        <v/>
      </c>
      <c r="P156">
        <f>IF($A156="","",IF($E156=1,$F156*$O156,PNL!G156))</f>
        <v/>
      </c>
      <c r="T156">
        <f>IF($A156="","",IF($E156=1,IF(OR($B156="7062",$B156="706",$B156="708"),$P156,IF(AND(LEFT($B156,1)="6",$B156&lt;&gt;"6811"),-$P156,0)),0))</f>
        <v/>
      </c>
    </row>
    <row r="157">
      <c r="A157">
        <f>IF(PNL!A157="","",PNL!A157)</f>
        <v/>
      </c>
      <c r="B157">
        <f>IF(PNL!B157="","",PNL!B157)</f>
        <v/>
      </c>
      <c r="C157">
        <f>IF(PNL!C157="","",PNL!C157)</f>
        <v/>
      </c>
      <c r="D157">
        <f>IF(PNL!D157="","",PNL!D157)</f>
        <v/>
      </c>
      <c r="E157">
        <f>IF($A157="","",IF(AND($C157="2027",OR($D157="V01",$D157="V02",$D157="V03")),1,0))</f>
        <v/>
      </c>
      <c r="F157">
        <f>IF($A157="","",IF($E157=1,SUMIFS(Comptabilité!$F$1:$F$675,Comptabilité!$A$1:$A$675,$A157,Comptabilité!$B$1:$B$675,$B157,Comptabilité!$C$1:$C$675,"2026"),0))</f>
        <v/>
      </c>
      <c r="G157">
        <f>IF($A157="","",IF($D157="V01",Cadrage!$C$22,IF($D157="V02",Cadrage!$D$22,Cadrage!$E$22)))</f>
        <v/>
      </c>
      <c r="H157">
        <f>IF($A157="","",IF($D157="V01",Cadrage!$C$23,IF($D157="V02",Cadrage!$D$23,Cadrage!$E$23)))</f>
        <v/>
      </c>
      <c r="I157">
        <f>IF($A157="","",IF($D157="V01",Cadrage!$C$31,IF($D157="V02",Cadrage!$D$31,Cadrage!$E$31)))</f>
        <v/>
      </c>
      <c r="J157">
        <f>IF($A157="","",IF($D157="V01",Cadrage!$C$32,IF($D157="V02",Cadrage!$D$32,Cadrage!$E$32)))</f>
        <v/>
      </c>
      <c r="K157">
        <f>IF($A157="","",IF($D157="V01",Cadrage!$C$33,IF($D157="V02",Cadrage!$D$33,Cadrage!$E$33)))</f>
        <v/>
      </c>
      <c r="L157">
        <f>IF($A157="","",IF($D157="V01",Cadrage!$C$34,IF($D157="V02",Cadrage!$D$34,Cadrage!$E$34)))</f>
        <v/>
      </c>
      <c r="M157">
        <f>IF($A157="","",IF($D157="V01",Cadrage!$C$35,IF($D157="V02",Cadrage!$D$35,Cadrage!$E$35)))</f>
        <v/>
      </c>
      <c r="N157">
        <f>IF($A157="","",IF($D157="V01",$R$2,IF($D157="V02",$R$3,$R$4)))</f>
        <v/>
      </c>
      <c r="O157">
        <f>IF($A157="","",IF(OR($B157="7062",$B157="706",$B157="708"),$N157,IF($B157="6231",1+$G157,IF($B157="6236",1+$H157,IF(OR($B157="621",$B157="604",$B157="6063"),$N157*(1-$L157),IF(OR($B157="6411",$B157="6413",$B157="6414",$B157="645"),(1+$J157)*(1+$K157),IF(OR($B157="613",$B157="615",$B157="616",$B157="6226",$B157="625",$B157="626",$B157="6281"),(1+$I157)*(1-$L157)*(1+$M157),IF(OR($B157="6331",$B157="63511",$B157="6333"),(1+$I157)*(1-$L157),IF($B157="6811",1+$I157,1)))))))))</f>
        <v/>
      </c>
      <c r="P157">
        <f>IF($A157="","",IF($E157=1,$F157*$O157,PNL!G157))</f>
        <v/>
      </c>
      <c r="T157">
        <f>IF($A157="","",IF($E157=1,IF(OR($B157="7062",$B157="706",$B157="708"),$P157,IF(AND(LEFT($B157,1)="6",$B157&lt;&gt;"6811"),-$P157,0)),0))</f>
        <v/>
      </c>
    </row>
    <row r="158">
      <c r="A158">
        <f>IF(PNL!A158="","",PNL!A158)</f>
        <v/>
      </c>
      <c r="B158">
        <f>IF(PNL!B158="","",PNL!B158)</f>
        <v/>
      </c>
      <c r="C158">
        <f>IF(PNL!C158="","",PNL!C158)</f>
        <v/>
      </c>
      <c r="D158">
        <f>IF(PNL!D158="","",PNL!D158)</f>
        <v/>
      </c>
      <c r="E158">
        <f>IF($A158="","",IF(AND($C158="2027",OR($D158="V01",$D158="V02",$D158="V03")),1,0))</f>
        <v/>
      </c>
      <c r="F158">
        <f>IF($A158="","",IF($E158=1,SUMIFS(Comptabilité!$F$1:$F$675,Comptabilité!$A$1:$A$675,$A158,Comptabilité!$B$1:$B$675,$B158,Comptabilité!$C$1:$C$675,"2026"),0))</f>
        <v/>
      </c>
      <c r="G158">
        <f>IF($A158="","",IF($D158="V01",Cadrage!$C$22,IF($D158="V02",Cadrage!$D$22,Cadrage!$E$22)))</f>
        <v/>
      </c>
      <c r="H158">
        <f>IF($A158="","",IF($D158="V01",Cadrage!$C$23,IF($D158="V02",Cadrage!$D$23,Cadrage!$E$23)))</f>
        <v/>
      </c>
      <c r="I158">
        <f>IF($A158="","",IF($D158="V01",Cadrage!$C$31,IF($D158="V02",Cadrage!$D$31,Cadrage!$E$31)))</f>
        <v/>
      </c>
      <c r="J158">
        <f>IF($A158="","",IF($D158="V01",Cadrage!$C$32,IF($D158="V02",Cadrage!$D$32,Cadrage!$E$32)))</f>
        <v/>
      </c>
      <c r="K158">
        <f>IF($A158="","",IF($D158="V01",Cadrage!$C$33,IF($D158="V02",Cadrage!$D$33,Cadrage!$E$33)))</f>
        <v/>
      </c>
      <c r="L158">
        <f>IF($A158="","",IF($D158="V01",Cadrage!$C$34,IF($D158="V02",Cadrage!$D$34,Cadrage!$E$34)))</f>
        <v/>
      </c>
      <c r="M158">
        <f>IF($A158="","",IF($D158="V01",Cadrage!$C$35,IF($D158="V02",Cadrage!$D$35,Cadrage!$E$35)))</f>
        <v/>
      </c>
      <c r="N158">
        <f>IF($A158="","",IF($D158="V01",$R$2,IF($D158="V02",$R$3,$R$4)))</f>
        <v/>
      </c>
      <c r="O158">
        <f>IF($A158="","",IF(OR($B158="7062",$B158="706",$B158="708"),$N158,IF($B158="6231",1+$G158,IF($B158="6236",1+$H158,IF(OR($B158="621",$B158="604",$B158="6063"),$N158*(1-$L158),IF(OR($B158="6411",$B158="6413",$B158="6414",$B158="645"),(1+$J158)*(1+$K158),IF(OR($B158="613",$B158="615",$B158="616",$B158="6226",$B158="625",$B158="626",$B158="6281"),(1+$I158)*(1-$L158)*(1+$M158),IF(OR($B158="6331",$B158="63511",$B158="6333"),(1+$I158)*(1-$L158),IF($B158="6811",1+$I158,1)))))))))</f>
        <v/>
      </c>
      <c r="P158">
        <f>IF($A158="","",IF($E158=1,$F158*$O158,PNL!G158))</f>
        <v/>
      </c>
      <c r="T158">
        <f>IF($A158="","",IF($E158=1,IF(OR($B158="7062",$B158="706",$B158="708"),$P158,IF(AND(LEFT($B158,1)="6",$B158&lt;&gt;"6811"),-$P158,0)),0))</f>
        <v/>
      </c>
    </row>
    <row r="159">
      <c r="A159">
        <f>IF(PNL!A159="","",PNL!A159)</f>
        <v/>
      </c>
      <c r="B159">
        <f>IF(PNL!B159="","",PNL!B159)</f>
        <v/>
      </c>
      <c r="C159">
        <f>IF(PNL!C159="","",PNL!C159)</f>
        <v/>
      </c>
      <c r="D159">
        <f>IF(PNL!D159="","",PNL!D159)</f>
        <v/>
      </c>
      <c r="E159">
        <f>IF($A159="","",IF(AND($C159="2027",OR($D159="V01",$D159="V02",$D159="V03")),1,0))</f>
        <v/>
      </c>
      <c r="F159">
        <f>IF($A159="","",IF($E159=1,SUMIFS(Comptabilité!$F$1:$F$675,Comptabilité!$A$1:$A$675,$A159,Comptabilité!$B$1:$B$675,$B159,Comptabilité!$C$1:$C$675,"2026"),0))</f>
        <v/>
      </c>
      <c r="G159">
        <f>IF($A159="","",IF($D159="V01",Cadrage!$C$22,IF($D159="V02",Cadrage!$D$22,Cadrage!$E$22)))</f>
        <v/>
      </c>
      <c r="H159">
        <f>IF($A159="","",IF($D159="V01",Cadrage!$C$23,IF($D159="V02",Cadrage!$D$23,Cadrage!$E$23)))</f>
        <v/>
      </c>
      <c r="I159">
        <f>IF($A159="","",IF($D159="V01",Cadrage!$C$31,IF($D159="V02",Cadrage!$D$31,Cadrage!$E$31)))</f>
        <v/>
      </c>
      <c r="J159">
        <f>IF($A159="","",IF($D159="V01",Cadrage!$C$32,IF($D159="V02",Cadrage!$D$32,Cadrage!$E$32)))</f>
        <v/>
      </c>
      <c r="K159">
        <f>IF($A159="","",IF($D159="V01",Cadrage!$C$33,IF($D159="V02",Cadrage!$D$33,Cadrage!$E$33)))</f>
        <v/>
      </c>
      <c r="L159">
        <f>IF($A159="","",IF($D159="V01",Cadrage!$C$34,IF($D159="V02",Cadrage!$D$34,Cadrage!$E$34)))</f>
        <v/>
      </c>
      <c r="M159">
        <f>IF($A159="","",IF($D159="V01",Cadrage!$C$35,IF($D159="V02",Cadrage!$D$35,Cadrage!$E$35)))</f>
        <v/>
      </c>
      <c r="N159">
        <f>IF($A159="","",IF($D159="V01",$R$2,IF($D159="V02",$R$3,$R$4)))</f>
        <v/>
      </c>
      <c r="O159">
        <f>IF($A159="","",IF(OR($B159="7062",$B159="706",$B159="708"),$N159,IF($B159="6231",1+$G159,IF($B159="6236",1+$H159,IF(OR($B159="621",$B159="604",$B159="6063"),$N159*(1-$L159),IF(OR($B159="6411",$B159="6413",$B159="6414",$B159="645"),(1+$J159)*(1+$K159),IF(OR($B159="613",$B159="615",$B159="616",$B159="6226",$B159="625",$B159="626",$B159="6281"),(1+$I159)*(1-$L159)*(1+$M159),IF(OR($B159="6331",$B159="63511",$B159="6333"),(1+$I159)*(1-$L159),IF($B159="6811",1+$I159,1)))))))))</f>
        <v/>
      </c>
      <c r="P159">
        <f>IF($A159="","",IF($E159=1,$F159*$O159,PNL!G159))</f>
        <v/>
      </c>
      <c r="T159">
        <f>IF($A159="","",IF($E159=1,IF(OR($B159="7062",$B159="706",$B159="708"),$P159,IF(AND(LEFT($B159,1)="6",$B159&lt;&gt;"6811"),-$P159,0)),0))</f>
        <v/>
      </c>
    </row>
    <row r="160">
      <c r="A160">
        <f>IF(PNL!A160="","",PNL!A160)</f>
        <v/>
      </c>
      <c r="B160">
        <f>IF(PNL!B160="","",PNL!B160)</f>
        <v/>
      </c>
      <c r="C160">
        <f>IF(PNL!C160="","",PNL!C160)</f>
        <v/>
      </c>
      <c r="D160">
        <f>IF(PNL!D160="","",PNL!D160)</f>
        <v/>
      </c>
      <c r="E160">
        <f>IF($A160="","",IF(AND($C160="2027",OR($D160="V01",$D160="V02",$D160="V03")),1,0))</f>
        <v/>
      </c>
      <c r="F160">
        <f>IF($A160="","",IF($E160=1,SUMIFS(Comptabilité!$F$1:$F$675,Comptabilité!$A$1:$A$675,$A160,Comptabilité!$B$1:$B$675,$B160,Comptabilité!$C$1:$C$675,"2026"),0))</f>
        <v/>
      </c>
      <c r="G160">
        <f>IF($A160="","",IF($D160="V01",Cadrage!$C$22,IF($D160="V02",Cadrage!$D$22,Cadrage!$E$22)))</f>
        <v/>
      </c>
      <c r="H160">
        <f>IF($A160="","",IF($D160="V01",Cadrage!$C$23,IF($D160="V02",Cadrage!$D$23,Cadrage!$E$23)))</f>
        <v/>
      </c>
      <c r="I160">
        <f>IF($A160="","",IF($D160="V01",Cadrage!$C$31,IF($D160="V02",Cadrage!$D$31,Cadrage!$E$31)))</f>
        <v/>
      </c>
      <c r="J160">
        <f>IF($A160="","",IF($D160="V01",Cadrage!$C$32,IF($D160="V02",Cadrage!$D$32,Cadrage!$E$32)))</f>
        <v/>
      </c>
      <c r="K160">
        <f>IF($A160="","",IF($D160="V01",Cadrage!$C$33,IF($D160="V02",Cadrage!$D$33,Cadrage!$E$33)))</f>
        <v/>
      </c>
      <c r="L160">
        <f>IF($A160="","",IF($D160="V01",Cadrage!$C$34,IF($D160="V02",Cadrage!$D$34,Cadrage!$E$34)))</f>
        <v/>
      </c>
      <c r="M160">
        <f>IF($A160="","",IF($D160="V01",Cadrage!$C$35,IF($D160="V02",Cadrage!$D$35,Cadrage!$E$35)))</f>
        <v/>
      </c>
      <c r="N160">
        <f>IF($A160="","",IF($D160="V01",$R$2,IF($D160="V02",$R$3,$R$4)))</f>
        <v/>
      </c>
      <c r="O160">
        <f>IF($A160="","",IF(OR($B160="7062",$B160="706",$B160="708"),$N160,IF($B160="6231",1+$G160,IF($B160="6236",1+$H160,IF(OR($B160="621",$B160="604",$B160="6063"),$N160*(1-$L160),IF(OR($B160="6411",$B160="6413",$B160="6414",$B160="645"),(1+$J160)*(1+$K160),IF(OR($B160="613",$B160="615",$B160="616",$B160="6226",$B160="625",$B160="626",$B160="6281"),(1+$I160)*(1-$L160)*(1+$M160),IF(OR($B160="6331",$B160="63511",$B160="6333"),(1+$I160)*(1-$L160),IF($B160="6811",1+$I160,1)))))))))</f>
        <v/>
      </c>
      <c r="P160">
        <f>IF($A160="","",IF($E160=1,$F160*$O160,PNL!G160))</f>
        <v/>
      </c>
      <c r="T160">
        <f>IF($A160="","",IF($E160=1,IF(OR($B160="7062",$B160="706",$B160="708"),$P160,IF(AND(LEFT($B160,1)="6",$B160&lt;&gt;"6811"),-$P160,0)),0))</f>
        <v/>
      </c>
    </row>
    <row r="161">
      <c r="A161">
        <f>IF(PNL!A161="","",PNL!A161)</f>
        <v/>
      </c>
      <c r="B161">
        <f>IF(PNL!B161="","",PNL!B161)</f>
        <v/>
      </c>
      <c r="C161">
        <f>IF(PNL!C161="","",PNL!C161)</f>
        <v/>
      </c>
      <c r="D161">
        <f>IF(PNL!D161="","",PNL!D161)</f>
        <v/>
      </c>
      <c r="E161">
        <f>IF($A161="","",IF(AND($C161="2027",OR($D161="V01",$D161="V02",$D161="V03")),1,0))</f>
        <v/>
      </c>
      <c r="F161">
        <f>IF($A161="","",IF($E161=1,SUMIFS(Comptabilité!$F$1:$F$675,Comptabilité!$A$1:$A$675,$A161,Comptabilité!$B$1:$B$675,$B161,Comptabilité!$C$1:$C$675,"2026"),0))</f>
        <v/>
      </c>
      <c r="G161">
        <f>IF($A161="","",IF($D161="V01",Cadrage!$C$22,IF($D161="V02",Cadrage!$D$22,Cadrage!$E$22)))</f>
        <v/>
      </c>
      <c r="H161">
        <f>IF($A161="","",IF($D161="V01",Cadrage!$C$23,IF($D161="V02",Cadrage!$D$23,Cadrage!$E$23)))</f>
        <v/>
      </c>
      <c r="I161">
        <f>IF($A161="","",IF($D161="V01",Cadrage!$C$31,IF($D161="V02",Cadrage!$D$31,Cadrage!$E$31)))</f>
        <v/>
      </c>
      <c r="J161">
        <f>IF($A161="","",IF($D161="V01",Cadrage!$C$32,IF($D161="V02",Cadrage!$D$32,Cadrage!$E$32)))</f>
        <v/>
      </c>
      <c r="K161">
        <f>IF($A161="","",IF($D161="V01",Cadrage!$C$33,IF($D161="V02",Cadrage!$D$33,Cadrage!$E$33)))</f>
        <v/>
      </c>
      <c r="L161">
        <f>IF($A161="","",IF($D161="V01",Cadrage!$C$34,IF($D161="V02",Cadrage!$D$34,Cadrage!$E$34)))</f>
        <v/>
      </c>
      <c r="M161">
        <f>IF($A161="","",IF($D161="V01",Cadrage!$C$35,IF($D161="V02",Cadrage!$D$35,Cadrage!$E$35)))</f>
        <v/>
      </c>
      <c r="N161">
        <f>IF($A161="","",IF($D161="V01",$R$2,IF($D161="V02",$R$3,$R$4)))</f>
        <v/>
      </c>
      <c r="O161">
        <f>IF($A161="","",IF(OR($B161="7062",$B161="706",$B161="708"),$N161,IF($B161="6231",1+$G161,IF($B161="6236",1+$H161,IF(OR($B161="621",$B161="604",$B161="6063"),$N161*(1-$L161),IF(OR($B161="6411",$B161="6413",$B161="6414",$B161="645"),(1+$J161)*(1+$K161),IF(OR($B161="613",$B161="615",$B161="616",$B161="6226",$B161="625",$B161="626",$B161="6281"),(1+$I161)*(1-$L161)*(1+$M161),IF(OR($B161="6331",$B161="63511",$B161="6333"),(1+$I161)*(1-$L161),IF($B161="6811",1+$I161,1)))))))))</f>
        <v/>
      </c>
      <c r="P161">
        <f>IF($A161="","",IF($E161=1,$F161*$O161,PNL!G161))</f>
        <v/>
      </c>
      <c r="T161">
        <f>IF($A161="","",IF($E161=1,IF(OR($B161="7062",$B161="706",$B161="708"),$P161,IF(AND(LEFT($B161,1)="6",$B161&lt;&gt;"6811"),-$P161,0)),0))</f>
        <v/>
      </c>
    </row>
    <row r="162">
      <c r="A162">
        <f>IF(PNL!A162="","",PNL!A162)</f>
        <v/>
      </c>
      <c r="B162">
        <f>IF(PNL!B162="","",PNL!B162)</f>
        <v/>
      </c>
      <c r="C162">
        <f>IF(PNL!C162="","",PNL!C162)</f>
        <v/>
      </c>
      <c r="D162">
        <f>IF(PNL!D162="","",PNL!D162)</f>
        <v/>
      </c>
      <c r="E162">
        <f>IF($A162="","",IF(AND($C162="2027",OR($D162="V01",$D162="V02",$D162="V03")),1,0))</f>
        <v/>
      </c>
      <c r="F162">
        <f>IF($A162="","",IF($E162=1,SUMIFS(Comptabilité!$F$1:$F$675,Comptabilité!$A$1:$A$675,$A162,Comptabilité!$B$1:$B$675,$B162,Comptabilité!$C$1:$C$675,"2026"),0))</f>
        <v/>
      </c>
      <c r="G162">
        <f>IF($A162="","",IF($D162="V01",Cadrage!$C$22,IF($D162="V02",Cadrage!$D$22,Cadrage!$E$22)))</f>
        <v/>
      </c>
      <c r="H162">
        <f>IF($A162="","",IF($D162="V01",Cadrage!$C$23,IF($D162="V02",Cadrage!$D$23,Cadrage!$E$23)))</f>
        <v/>
      </c>
      <c r="I162">
        <f>IF($A162="","",IF($D162="V01",Cadrage!$C$31,IF($D162="V02",Cadrage!$D$31,Cadrage!$E$31)))</f>
        <v/>
      </c>
      <c r="J162">
        <f>IF($A162="","",IF($D162="V01",Cadrage!$C$32,IF($D162="V02",Cadrage!$D$32,Cadrage!$E$32)))</f>
        <v/>
      </c>
      <c r="K162">
        <f>IF($A162="","",IF($D162="V01",Cadrage!$C$33,IF($D162="V02",Cadrage!$D$33,Cadrage!$E$33)))</f>
        <v/>
      </c>
      <c r="L162">
        <f>IF($A162="","",IF($D162="V01",Cadrage!$C$34,IF($D162="V02",Cadrage!$D$34,Cadrage!$E$34)))</f>
        <v/>
      </c>
      <c r="M162">
        <f>IF($A162="","",IF($D162="V01",Cadrage!$C$35,IF($D162="V02",Cadrage!$D$35,Cadrage!$E$35)))</f>
        <v/>
      </c>
      <c r="N162">
        <f>IF($A162="","",IF($D162="V01",$R$2,IF($D162="V02",$R$3,$R$4)))</f>
        <v/>
      </c>
      <c r="O162">
        <f>IF($A162="","",IF(OR($B162="7062",$B162="706",$B162="708"),$N162,IF($B162="6231",1+$G162,IF($B162="6236",1+$H162,IF(OR($B162="621",$B162="604",$B162="6063"),$N162*(1-$L162),IF(OR($B162="6411",$B162="6413",$B162="6414",$B162="645"),(1+$J162)*(1+$K162),IF(OR($B162="613",$B162="615",$B162="616",$B162="6226",$B162="625",$B162="626",$B162="6281"),(1+$I162)*(1-$L162)*(1+$M162),IF(OR($B162="6331",$B162="63511",$B162="6333"),(1+$I162)*(1-$L162),IF($B162="6811",1+$I162,1)))))))))</f>
        <v/>
      </c>
      <c r="P162">
        <f>IF($A162="","",IF($E162=1,$F162*$O162,PNL!G162))</f>
        <v/>
      </c>
      <c r="T162">
        <f>IF($A162="","",IF($E162=1,IF(OR($B162="7062",$B162="706",$B162="708"),$P162,IF(AND(LEFT($B162,1)="6",$B162&lt;&gt;"6811"),-$P162,0)),0))</f>
        <v/>
      </c>
    </row>
    <row r="163">
      <c r="A163">
        <f>IF(PNL!A163="","",PNL!A163)</f>
        <v/>
      </c>
      <c r="B163">
        <f>IF(PNL!B163="","",PNL!B163)</f>
        <v/>
      </c>
      <c r="C163">
        <f>IF(PNL!C163="","",PNL!C163)</f>
        <v/>
      </c>
      <c r="D163">
        <f>IF(PNL!D163="","",PNL!D163)</f>
        <v/>
      </c>
      <c r="E163">
        <f>IF($A163="","",IF(AND($C163="2027",OR($D163="V01",$D163="V02",$D163="V03")),1,0))</f>
        <v/>
      </c>
      <c r="F163">
        <f>IF($A163="","",IF($E163=1,SUMIFS(Comptabilité!$F$1:$F$675,Comptabilité!$A$1:$A$675,$A163,Comptabilité!$B$1:$B$675,$B163,Comptabilité!$C$1:$C$675,"2026"),0))</f>
        <v/>
      </c>
      <c r="G163">
        <f>IF($A163="","",IF($D163="V01",Cadrage!$C$22,IF($D163="V02",Cadrage!$D$22,Cadrage!$E$22)))</f>
        <v/>
      </c>
      <c r="H163">
        <f>IF($A163="","",IF($D163="V01",Cadrage!$C$23,IF($D163="V02",Cadrage!$D$23,Cadrage!$E$23)))</f>
        <v/>
      </c>
      <c r="I163">
        <f>IF($A163="","",IF($D163="V01",Cadrage!$C$31,IF($D163="V02",Cadrage!$D$31,Cadrage!$E$31)))</f>
        <v/>
      </c>
      <c r="J163">
        <f>IF($A163="","",IF($D163="V01",Cadrage!$C$32,IF($D163="V02",Cadrage!$D$32,Cadrage!$E$32)))</f>
        <v/>
      </c>
      <c r="K163">
        <f>IF($A163="","",IF($D163="V01",Cadrage!$C$33,IF($D163="V02",Cadrage!$D$33,Cadrage!$E$33)))</f>
        <v/>
      </c>
      <c r="L163">
        <f>IF($A163="","",IF($D163="V01",Cadrage!$C$34,IF($D163="V02",Cadrage!$D$34,Cadrage!$E$34)))</f>
        <v/>
      </c>
      <c r="M163">
        <f>IF($A163="","",IF($D163="V01",Cadrage!$C$35,IF($D163="V02",Cadrage!$D$35,Cadrage!$E$35)))</f>
        <v/>
      </c>
      <c r="N163">
        <f>IF($A163="","",IF($D163="V01",$R$2,IF($D163="V02",$R$3,$R$4)))</f>
        <v/>
      </c>
      <c r="O163">
        <f>IF($A163="","",IF(OR($B163="7062",$B163="706",$B163="708"),$N163,IF($B163="6231",1+$G163,IF($B163="6236",1+$H163,IF(OR($B163="621",$B163="604",$B163="6063"),$N163*(1-$L163),IF(OR($B163="6411",$B163="6413",$B163="6414",$B163="645"),(1+$J163)*(1+$K163),IF(OR($B163="613",$B163="615",$B163="616",$B163="6226",$B163="625",$B163="626",$B163="6281"),(1+$I163)*(1-$L163)*(1+$M163),IF(OR($B163="6331",$B163="63511",$B163="6333"),(1+$I163)*(1-$L163),IF($B163="6811",1+$I163,1)))))))))</f>
        <v/>
      </c>
      <c r="P163">
        <f>IF($A163="","",IF($E163=1,$F163*$O163,PNL!G163))</f>
        <v/>
      </c>
      <c r="T163">
        <f>IF($A163="","",IF($E163=1,IF(OR($B163="7062",$B163="706",$B163="708"),$P163,IF(AND(LEFT($B163,1)="6",$B163&lt;&gt;"6811"),-$P163,0)),0))</f>
        <v/>
      </c>
    </row>
    <row r="164">
      <c r="A164">
        <f>IF(PNL!A164="","",PNL!A164)</f>
        <v/>
      </c>
      <c r="B164">
        <f>IF(PNL!B164="","",PNL!B164)</f>
        <v/>
      </c>
      <c r="C164">
        <f>IF(PNL!C164="","",PNL!C164)</f>
        <v/>
      </c>
      <c r="D164">
        <f>IF(PNL!D164="","",PNL!D164)</f>
        <v/>
      </c>
      <c r="E164">
        <f>IF($A164="","",IF(AND($C164="2027",OR($D164="V01",$D164="V02",$D164="V03")),1,0))</f>
        <v/>
      </c>
      <c r="F164">
        <f>IF($A164="","",IF($E164=1,SUMIFS(Comptabilité!$F$1:$F$675,Comptabilité!$A$1:$A$675,$A164,Comptabilité!$B$1:$B$675,$B164,Comptabilité!$C$1:$C$675,"2026"),0))</f>
        <v/>
      </c>
      <c r="G164">
        <f>IF($A164="","",IF($D164="V01",Cadrage!$C$22,IF($D164="V02",Cadrage!$D$22,Cadrage!$E$22)))</f>
        <v/>
      </c>
      <c r="H164">
        <f>IF($A164="","",IF($D164="V01",Cadrage!$C$23,IF($D164="V02",Cadrage!$D$23,Cadrage!$E$23)))</f>
        <v/>
      </c>
      <c r="I164">
        <f>IF($A164="","",IF($D164="V01",Cadrage!$C$31,IF($D164="V02",Cadrage!$D$31,Cadrage!$E$31)))</f>
        <v/>
      </c>
      <c r="J164">
        <f>IF($A164="","",IF($D164="V01",Cadrage!$C$32,IF($D164="V02",Cadrage!$D$32,Cadrage!$E$32)))</f>
        <v/>
      </c>
      <c r="K164">
        <f>IF($A164="","",IF($D164="V01",Cadrage!$C$33,IF($D164="V02",Cadrage!$D$33,Cadrage!$E$33)))</f>
        <v/>
      </c>
      <c r="L164">
        <f>IF($A164="","",IF($D164="V01",Cadrage!$C$34,IF($D164="V02",Cadrage!$D$34,Cadrage!$E$34)))</f>
        <v/>
      </c>
      <c r="M164">
        <f>IF($A164="","",IF($D164="V01",Cadrage!$C$35,IF($D164="V02",Cadrage!$D$35,Cadrage!$E$35)))</f>
        <v/>
      </c>
      <c r="N164">
        <f>IF($A164="","",IF($D164="V01",$R$2,IF($D164="V02",$R$3,$R$4)))</f>
        <v/>
      </c>
      <c r="O164">
        <f>IF($A164="","",IF(OR($B164="7062",$B164="706",$B164="708"),$N164,IF($B164="6231",1+$G164,IF($B164="6236",1+$H164,IF(OR($B164="621",$B164="604",$B164="6063"),$N164*(1-$L164),IF(OR($B164="6411",$B164="6413",$B164="6414",$B164="645"),(1+$J164)*(1+$K164),IF(OR($B164="613",$B164="615",$B164="616",$B164="6226",$B164="625",$B164="626",$B164="6281"),(1+$I164)*(1-$L164)*(1+$M164),IF(OR($B164="6331",$B164="63511",$B164="6333"),(1+$I164)*(1-$L164),IF($B164="6811",1+$I164,1)))))))))</f>
        <v/>
      </c>
      <c r="P164">
        <f>IF($A164="","",IF($E164=1,$F164*$O164,PNL!G164))</f>
        <v/>
      </c>
      <c r="T164">
        <f>IF($A164="","",IF($E164=1,IF(OR($B164="7062",$B164="706",$B164="708"),$P164,IF(AND(LEFT($B164,1)="6",$B164&lt;&gt;"6811"),-$P164,0)),0))</f>
        <v/>
      </c>
    </row>
    <row r="165">
      <c r="A165">
        <f>IF(PNL!A165="","",PNL!A165)</f>
        <v/>
      </c>
      <c r="B165">
        <f>IF(PNL!B165="","",PNL!B165)</f>
        <v/>
      </c>
      <c r="C165">
        <f>IF(PNL!C165="","",PNL!C165)</f>
        <v/>
      </c>
      <c r="D165">
        <f>IF(PNL!D165="","",PNL!D165)</f>
        <v/>
      </c>
      <c r="E165">
        <f>IF($A165="","",IF(AND($C165="2027",OR($D165="V01",$D165="V02",$D165="V03")),1,0))</f>
        <v/>
      </c>
      <c r="F165">
        <f>IF($A165="","",IF($E165=1,SUMIFS(Comptabilité!$F$1:$F$675,Comptabilité!$A$1:$A$675,$A165,Comptabilité!$B$1:$B$675,$B165,Comptabilité!$C$1:$C$675,"2026"),0))</f>
        <v/>
      </c>
      <c r="G165">
        <f>IF($A165="","",IF($D165="V01",Cadrage!$C$22,IF($D165="V02",Cadrage!$D$22,Cadrage!$E$22)))</f>
        <v/>
      </c>
      <c r="H165">
        <f>IF($A165="","",IF($D165="V01",Cadrage!$C$23,IF($D165="V02",Cadrage!$D$23,Cadrage!$E$23)))</f>
        <v/>
      </c>
      <c r="I165">
        <f>IF($A165="","",IF($D165="V01",Cadrage!$C$31,IF($D165="V02",Cadrage!$D$31,Cadrage!$E$31)))</f>
        <v/>
      </c>
      <c r="J165">
        <f>IF($A165="","",IF($D165="V01",Cadrage!$C$32,IF($D165="V02",Cadrage!$D$32,Cadrage!$E$32)))</f>
        <v/>
      </c>
      <c r="K165">
        <f>IF($A165="","",IF($D165="V01",Cadrage!$C$33,IF($D165="V02",Cadrage!$D$33,Cadrage!$E$33)))</f>
        <v/>
      </c>
      <c r="L165">
        <f>IF($A165="","",IF($D165="V01",Cadrage!$C$34,IF($D165="V02",Cadrage!$D$34,Cadrage!$E$34)))</f>
        <v/>
      </c>
      <c r="M165">
        <f>IF($A165="","",IF($D165="V01",Cadrage!$C$35,IF($D165="V02",Cadrage!$D$35,Cadrage!$E$35)))</f>
        <v/>
      </c>
      <c r="N165">
        <f>IF($A165="","",IF($D165="V01",$R$2,IF($D165="V02",$R$3,$R$4)))</f>
        <v/>
      </c>
      <c r="O165">
        <f>IF($A165="","",IF(OR($B165="7062",$B165="706",$B165="708"),$N165,IF($B165="6231",1+$G165,IF($B165="6236",1+$H165,IF(OR($B165="621",$B165="604",$B165="6063"),$N165*(1-$L165),IF(OR($B165="6411",$B165="6413",$B165="6414",$B165="645"),(1+$J165)*(1+$K165),IF(OR($B165="613",$B165="615",$B165="616",$B165="6226",$B165="625",$B165="626",$B165="6281"),(1+$I165)*(1-$L165)*(1+$M165),IF(OR($B165="6331",$B165="63511",$B165="6333"),(1+$I165)*(1-$L165),IF($B165="6811",1+$I165,1)))))))))</f>
        <v/>
      </c>
      <c r="P165">
        <f>IF($A165="","",IF($E165=1,$F165*$O165,PNL!G165))</f>
        <v/>
      </c>
      <c r="T165">
        <f>IF($A165="","",IF($E165=1,IF(OR($B165="7062",$B165="706",$B165="708"),$P165,IF(AND(LEFT($B165,1)="6",$B165&lt;&gt;"6811"),-$P165,0)),0))</f>
        <v/>
      </c>
    </row>
    <row r="166">
      <c r="A166">
        <f>IF(PNL!A166="","",PNL!A166)</f>
        <v/>
      </c>
      <c r="B166">
        <f>IF(PNL!B166="","",PNL!B166)</f>
        <v/>
      </c>
      <c r="C166">
        <f>IF(PNL!C166="","",PNL!C166)</f>
        <v/>
      </c>
      <c r="D166">
        <f>IF(PNL!D166="","",PNL!D166)</f>
        <v/>
      </c>
      <c r="E166">
        <f>IF($A166="","",IF(AND($C166="2027",OR($D166="V01",$D166="V02",$D166="V03")),1,0))</f>
        <v/>
      </c>
      <c r="F166">
        <f>IF($A166="","",IF($E166=1,SUMIFS(Comptabilité!$F$1:$F$675,Comptabilité!$A$1:$A$675,$A166,Comptabilité!$B$1:$B$675,$B166,Comptabilité!$C$1:$C$675,"2026"),0))</f>
        <v/>
      </c>
      <c r="G166">
        <f>IF($A166="","",IF($D166="V01",Cadrage!$C$22,IF($D166="V02",Cadrage!$D$22,Cadrage!$E$22)))</f>
        <v/>
      </c>
      <c r="H166">
        <f>IF($A166="","",IF($D166="V01",Cadrage!$C$23,IF($D166="V02",Cadrage!$D$23,Cadrage!$E$23)))</f>
        <v/>
      </c>
      <c r="I166">
        <f>IF($A166="","",IF($D166="V01",Cadrage!$C$31,IF($D166="V02",Cadrage!$D$31,Cadrage!$E$31)))</f>
        <v/>
      </c>
      <c r="J166">
        <f>IF($A166="","",IF($D166="V01",Cadrage!$C$32,IF($D166="V02",Cadrage!$D$32,Cadrage!$E$32)))</f>
        <v/>
      </c>
      <c r="K166">
        <f>IF($A166="","",IF($D166="V01",Cadrage!$C$33,IF($D166="V02",Cadrage!$D$33,Cadrage!$E$33)))</f>
        <v/>
      </c>
      <c r="L166">
        <f>IF($A166="","",IF($D166="V01",Cadrage!$C$34,IF($D166="V02",Cadrage!$D$34,Cadrage!$E$34)))</f>
        <v/>
      </c>
      <c r="M166">
        <f>IF($A166="","",IF($D166="V01",Cadrage!$C$35,IF($D166="V02",Cadrage!$D$35,Cadrage!$E$35)))</f>
        <v/>
      </c>
      <c r="N166">
        <f>IF($A166="","",IF($D166="V01",$R$2,IF($D166="V02",$R$3,$R$4)))</f>
        <v/>
      </c>
      <c r="O166">
        <f>IF($A166="","",IF(OR($B166="7062",$B166="706",$B166="708"),$N166,IF($B166="6231",1+$G166,IF($B166="6236",1+$H166,IF(OR($B166="621",$B166="604",$B166="6063"),$N166*(1-$L166),IF(OR($B166="6411",$B166="6413",$B166="6414",$B166="645"),(1+$J166)*(1+$K166),IF(OR($B166="613",$B166="615",$B166="616",$B166="6226",$B166="625",$B166="626",$B166="6281"),(1+$I166)*(1-$L166)*(1+$M166),IF(OR($B166="6331",$B166="63511",$B166="6333"),(1+$I166)*(1-$L166),IF($B166="6811",1+$I166,1)))))))))</f>
        <v/>
      </c>
      <c r="P166">
        <f>IF($A166="","",IF($E166=1,$F166*$O166,PNL!G166))</f>
        <v/>
      </c>
      <c r="T166">
        <f>IF($A166="","",IF($E166=1,IF(OR($B166="7062",$B166="706",$B166="708"),$P166,IF(AND(LEFT($B166,1)="6",$B166&lt;&gt;"6811"),-$P166,0)),0))</f>
        <v/>
      </c>
    </row>
    <row r="167">
      <c r="A167">
        <f>IF(PNL!A167="","",PNL!A167)</f>
        <v/>
      </c>
      <c r="B167">
        <f>IF(PNL!B167="","",PNL!B167)</f>
        <v/>
      </c>
      <c r="C167">
        <f>IF(PNL!C167="","",PNL!C167)</f>
        <v/>
      </c>
      <c r="D167">
        <f>IF(PNL!D167="","",PNL!D167)</f>
        <v/>
      </c>
      <c r="E167">
        <f>IF($A167="","",IF(AND($C167="2027",OR($D167="V01",$D167="V02",$D167="V03")),1,0))</f>
        <v/>
      </c>
      <c r="F167">
        <f>IF($A167="","",IF($E167=1,SUMIFS(Comptabilité!$F$1:$F$675,Comptabilité!$A$1:$A$675,$A167,Comptabilité!$B$1:$B$675,$B167,Comptabilité!$C$1:$C$675,"2026"),0))</f>
        <v/>
      </c>
      <c r="G167">
        <f>IF($A167="","",IF($D167="V01",Cadrage!$C$22,IF($D167="V02",Cadrage!$D$22,Cadrage!$E$22)))</f>
        <v/>
      </c>
      <c r="H167">
        <f>IF($A167="","",IF($D167="V01",Cadrage!$C$23,IF($D167="V02",Cadrage!$D$23,Cadrage!$E$23)))</f>
        <v/>
      </c>
      <c r="I167">
        <f>IF($A167="","",IF($D167="V01",Cadrage!$C$31,IF($D167="V02",Cadrage!$D$31,Cadrage!$E$31)))</f>
        <v/>
      </c>
      <c r="J167">
        <f>IF($A167="","",IF($D167="V01",Cadrage!$C$32,IF($D167="V02",Cadrage!$D$32,Cadrage!$E$32)))</f>
        <v/>
      </c>
      <c r="K167">
        <f>IF($A167="","",IF($D167="V01",Cadrage!$C$33,IF($D167="V02",Cadrage!$D$33,Cadrage!$E$33)))</f>
        <v/>
      </c>
      <c r="L167">
        <f>IF($A167="","",IF($D167="V01",Cadrage!$C$34,IF($D167="V02",Cadrage!$D$34,Cadrage!$E$34)))</f>
        <v/>
      </c>
      <c r="M167">
        <f>IF($A167="","",IF($D167="V01",Cadrage!$C$35,IF($D167="V02",Cadrage!$D$35,Cadrage!$E$35)))</f>
        <v/>
      </c>
      <c r="N167">
        <f>IF($A167="","",IF($D167="V01",$R$2,IF($D167="V02",$R$3,$R$4)))</f>
        <v/>
      </c>
      <c r="O167">
        <f>IF($A167="","",IF(OR($B167="7062",$B167="706",$B167="708"),$N167,IF($B167="6231",1+$G167,IF($B167="6236",1+$H167,IF(OR($B167="621",$B167="604",$B167="6063"),$N167*(1-$L167),IF(OR($B167="6411",$B167="6413",$B167="6414",$B167="645"),(1+$J167)*(1+$K167),IF(OR($B167="613",$B167="615",$B167="616",$B167="6226",$B167="625",$B167="626",$B167="6281"),(1+$I167)*(1-$L167)*(1+$M167),IF(OR($B167="6331",$B167="63511",$B167="6333"),(1+$I167)*(1-$L167),IF($B167="6811",1+$I167,1)))))))))</f>
        <v/>
      </c>
      <c r="P167">
        <f>IF($A167="","",IF($E167=1,$F167*$O167,PNL!G167))</f>
        <v/>
      </c>
      <c r="T167">
        <f>IF($A167="","",IF($E167=1,IF(OR($B167="7062",$B167="706",$B167="708"),$P167,IF(AND(LEFT($B167,1)="6",$B167&lt;&gt;"6811"),-$P167,0)),0))</f>
        <v/>
      </c>
    </row>
    <row r="168">
      <c r="A168">
        <f>IF(PNL!A168="","",PNL!A168)</f>
        <v/>
      </c>
      <c r="B168">
        <f>IF(PNL!B168="","",PNL!B168)</f>
        <v/>
      </c>
      <c r="C168">
        <f>IF(PNL!C168="","",PNL!C168)</f>
        <v/>
      </c>
      <c r="D168">
        <f>IF(PNL!D168="","",PNL!D168)</f>
        <v/>
      </c>
      <c r="E168">
        <f>IF($A168="","",IF(AND($C168="2027",OR($D168="V01",$D168="V02",$D168="V03")),1,0))</f>
        <v/>
      </c>
      <c r="F168">
        <f>IF($A168="","",IF($E168=1,SUMIFS(Comptabilité!$F$1:$F$675,Comptabilité!$A$1:$A$675,$A168,Comptabilité!$B$1:$B$675,$B168,Comptabilité!$C$1:$C$675,"2026"),0))</f>
        <v/>
      </c>
      <c r="G168">
        <f>IF($A168="","",IF($D168="V01",Cadrage!$C$22,IF($D168="V02",Cadrage!$D$22,Cadrage!$E$22)))</f>
        <v/>
      </c>
      <c r="H168">
        <f>IF($A168="","",IF($D168="V01",Cadrage!$C$23,IF($D168="V02",Cadrage!$D$23,Cadrage!$E$23)))</f>
        <v/>
      </c>
      <c r="I168">
        <f>IF($A168="","",IF($D168="V01",Cadrage!$C$31,IF($D168="V02",Cadrage!$D$31,Cadrage!$E$31)))</f>
        <v/>
      </c>
      <c r="J168">
        <f>IF($A168="","",IF($D168="V01",Cadrage!$C$32,IF($D168="V02",Cadrage!$D$32,Cadrage!$E$32)))</f>
        <v/>
      </c>
      <c r="K168">
        <f>IF($A168="","",IF($D168="V01",Cadrage!$C$33,IF($D168="V02",Cadrage!$D$33,Cadrage!$E$33)))</f>
        <v/>
      </c>
      <c r="L168">
        <f>IF($A168="","",IF($D168="V01",Cadrage!$C$34,IF($D168="V02",Cadrage!$D$34,Cadrage!$E$34)))</f>
        <v/>
      </c>
      <c r="M168">
        <f>IF($A168="","",IF($D168="V01",Cadrage!$C$35,IF($D168="V02",Cadrage!$D$35,Cadrage!$E$35)))</f>
        <v/>
      </c>
      <c r="N168">
        <f>IF($A168="","",IF($D168="V01",$R$2,IF($D168="V02",$R$3,$R$4)))</f>
        <v/>
      </c>
      <c r="O168">
        <f>IF($A168="","",IF(OR($B168="7062",$B168="706",$B168="708"),$N168,IF($B168="6231",1+$G168,IF($B168="6236",1+$H168,IF(OR($B168="621",$B168="604",$B168="6063"),$N168*(1-$L168),IF(OR($B168="6411",$B168="6413",$B168="6414",$B168="645"),(1+$J168)*(1+$K168),IF(OR($B168="613",$B168="615",$B168="616",$B168="6226",$B168="625",$B168="626",$B168="6281"),(1+$I168)*(1-$L168)*(1+$M168),IF(OR($B168="6331",$B168="63511",$B168="6333"),(1+$I168)*(1-$L168),IF($B168="6811",1+$I168,1)))))))))</f>
        <v/>
      </c>
      <c r="P168">
        <f>IF($A168="","",IF($E168=1,$F168*$O168,PNL!G168))</f>
        <v/>
      </c>
      <c r="T168">
        <f>IF($A168="","",IF($E168=1,IF(OR($B168="7062",$B168="706",$B168="708"),$P168,IF(AND(LEFT($B168,1)="6",$B168&lt;&gt;"6811"),-$P168,0)),0))</f>
        <v/>
      </c>
    </row>
    <row r="169">
      <c r="A169">
        <f>IF(PNL!A169="","",PNL!A169)</f>
        <v/>
      </c>
      <c r="B169">
        <f>IF(PNL!B169="","",PNL!B169)</f>
        <v/>
      </c>
      <c r="C169">
        <f>IF(PNL!C169="","",PNL!C169)</f>
        <v/>
      </c>
      <c r="D169">
        <f>IF(PNL!D169="","",PNL!D169)</f>
        <v/>
      </c>
      <c r="E169">
        <f>IF($A169="","",IF(AND($C169="2027",OR($D169="V01",$D169="V02",$D169="V03")),1,0))</f>
        <v/>
      </c>
      <c r="F169">
        <f>IF($A169="","",IF($E169=1,SUMIFS(Comptabilité!$F$1:$F$675,Comptabilité!$A$1:$A$675,$A169,Comptabilité!$B$1:$B$675,$B169,Comptabilité!$C$1:$C$675,"2026"),0))</f>
        <v/>
      </c>
      <c r="G169">
        <f>IF($A169="","",IF($D169="V01",Cadrage!$C$22,IF($D169="V02",Cadrage!$D$22,Cadrage!$E$22)))</f>
        <v/>
      </c>
      <c r="H169">
        <f>IF($A169="","",IF($D169="V01",Cadrage!$C$23,IF($D169="V02",Cadrage!$D$23,Cadrage!$E$23)))</f>
        <v/>
      </c>
      <c r="I169">
        <f>IF($A169="","",IF($D169="V01",Cadrage!$C$31,IF($D169="V02",Cadrage!$D$31,Cadrage!$E$31)))</f>
        <v/>
      </c>
      <c r="J169">
        <f>IF($A169="","",IF($D169="V01",Cadrage!$C$32,IF($D169="V02",Cadrage!$D$32,Cadrage!$E$32)))</f>
        <v/>
      </c>
      <c r="K169">
        <f>IF($A169="","",IF($D169="V01",Cadrage!$C$33,IF($D169="V02",Cadrage!$D$33,Cadrage!$E$33)))</f>
        <v/>
      </c>
      <c r="L169">
        <f>IF($A169="","",IF($D169="V01",Cadrage!$C$34,IF($D169="V02",Cadrage!$D$34,Cadrage!$E$34)))</f>
        <v/>
      </c>
      <c r="M169">
        <f>IF($A169="","",IF($D169="V01",Cadrage!$C$35,IF($D169="V02",Cadrage!$D$35,Cadrage!$E$35)))</f>
        <v/>
      </c>
      <c r="N169">
        <f>IF($A169="","",IF($D169="V01",$R$2,IF($D169="V02",$R$3,$R$4)))</f>
        <v/>
      </c>
      <c r="O169">
        <f>IF($A169="","",IF(OR($B169="7062",$B169="706",$B169="708"),$N169,IF($B169="6231",1+$G169,IF($B169="6236",1+$H169,IF(OR($B169="621",$B169="604",$B169="6063"),$N169*(1-$L169),IF(OR($B169="6411",$B169="6413",$B169="6414",$B169="645"),(1+$J169)*(1+$K169),IF(OR($B169="613",$B169="615",$B169="616",$B169="6226",$B169="625",$B169="626",$B169="6281"),(1+$I169)*(1-$L169)*(1+$M169),IF(OR($B169="6331",$B169="63511",$B169="6333"),(1+$I169)*(1-$L169),IF($B169="6811",1+$I169,1)))))))))</f>
        <v/>
      </c>
      <c r="P169">
        <f>IF($A169="","",IF($E169=1,$F169*$O169,PNL!G169))</f>
        <v/>
      </c>
      <c r="T169">
        <f>IF($A169="","",IF($E169=1,IF(OR($B169="7062",$B169="706",$B169="708"),$P169,IF(AND(LEFT($B169,1)="6",$B169&lt;&gt;"6811"),-$P169,0)),0))</f>
        <v/>
      </c>
    </row>
    <row r="170">
      <c r="A170">
        <f>IF(PNL!A170="","",PNL!A170)</f>
        <v/>
      </c>
      <c r="B170">
        <f>IF(PNL!B170="","",PNL!B170)</f>
        <v/>
      </c>
      <c r="C170">
        <f>IF(PNL!C170="","",PNL!C170)</f>
        <v/>
      </c>
      <c r="D170">
        <f>IF(PNL!D170="","",PNL!D170)</f>
        <v/>
      </c>
      <c r="E170">
        <f>IF($A170="","",IF(AND($C170="2027",OR($D170="V01",$D170="V02",$D170="V03")),1,0))</f>
        <v/>
      </c>
      <c r="F170">
        <f>IF($A170="","",IF($E170=1,SUMIFS(Comptabilité!$F$1:$F$675,Comptabilité!$A$1:$A$675,$A170,Comptabilité!$B$1:$B$675,$B170,Comptabilité!$C$1:$C$675,"2026"),0))</f>
        <v/>
      </c>
      <c r="G170">
        <f>IF($A170="","",IF($D170="V01",Cadrage!$C$22,IF($D170="V02",Cadrage!$D$22,Cadrage!$E$22)))</f>
        <v/>
      </c>
      <c r="H170">
        <f>IF($A170="","",IF($D170="V01",Cadrage!$C$23,IF($D170="V02",Cadrage!$D$23,Cadrage!$E$23)))</f>
        <v/>
      </c>
      <c r="I170">
        <f>IF($A170="","",IF($D170="V01",Cadrage!$C$31,IF($D170="V02",Cadrage!$D$31,Cadrage!$E$31)))</f>
        <v/>
      </c>
      <c r="J170">
        <f>IF($A170="","",IF($D170="V01",Cadrage!$C$32,IF($D170="V02",Cadrage!$D$32,Cadrage!$E$32)))</f>
        <v/>
      </c>
      <c r="K170">
        <f>IF($A170="","",IF($D170="V01",Cadrage!$C$33,IF($D170="V02",Cadrage!$D$33,Cadrage!$E$33)))</f>
        <v/>
      </c>
      <c r="L170">
        <f>IF($A170="","",IF($D170="V01",Cadrage!$C$34,IF($D170="V02",Cadrage!$D$34,Cadrage!$E$34)))</f>
        <v/>
      </c>
      <c r="M170">
        <f>IF($A170="","",IF($D170="V01",Cadrage!$C$35,IF($D170="V02",Cadrage!$D$35,Cadrage!$E$35)))</f>
        <v/>
      </c>
      <c r="N170">
        <f>IF($A170="","",IF($D170="V01",$R$2,IF($D170="V02",$R$3,$R$4)))</f>
        <v/>
      </c>
      <c r="O170">
        <f>IF($A170="","",IF(OR($B170="7062",$B170="706",$B170="708"),$N170,IF($B170="6231",1+$G170,IF($B170="6236",1+$H170,IF(OR($B170="621",$B170="604",$B170="6063"),$N170*(1-$L170),IF(OR($B170="6411",$B170="6413",$B170="6414",$B170="645"),(1+$J170)*(1+$K170),IF(OR($B170="613",$B170="615",$B170="616",$B170="6226",$B170="625",$B170="626",$B170="6281"),(1+$I170)*(1-$L170)*(1+$M170),IF(OR($B170="6331",$B170="63511",$B170="6333"),(1+$I170)*(1-$L170),IF($B170="6811",1+$I170,1)))))))))</f>
        <v/>
      </c>
      <c r="P170">
        <f>IF($A170="","",IF($E170=1,$F170*$O170,PNL!G170))</f>
        <v/>
      </c>
      <c r="T170">
        <f>IF($A170="","",IF($E170=1,IF(OR($B170="7062",$B170="706",$B170="708"),$P170,IF(AND(LEFT($B170,1)="6",$B170&lt;&gt;"6811"),-$P170,0)),0))</f>
        <v/>
      </c>
    </row>
    <row r="171">
      <c r="A171">
        <f>IF(PNL!A171="","",PNL!A171)</f>
        <v/>
      </c>
      <c r="B171">
        <f>IF(PNL!B171="","",PNL!B171)</f>
        <v/>
      </c>
      <c r="C171">
        <f>IF(PNL!C171="","",PNL!C171)</f>
        <v/>
      </c>
      <c r="D171">
        <f>IF(PNL!D171="","",PNL!D171)</f>
        <v/>
      </c>
      <c r="E171">
        <f>IF($A171="","",IF(AND($C171="2027",OR($D171="V01",$D171="V02",$D171="V03")),1,0))</f>
        <v/>
      </c>
      <c r="F171">
        <f>IF($A171="","",IF($E171=1,SUMIFS(Comptabilité!$F$1:$F$675,Comptabilité!$A$1:$A$675,$A171,Comptabilité!$B$1:$B$675,$B171,Comptabilité!$C$1:$C$675,"2026"),0))</f>
        <v/>
      </c>
      <c r="G171">
        <f>IF($A171="","",IF($D171="V01",Cadrage!$C$22,IF($D171="V02",Cadrage!$D$22,Cadrage!$E$22)))</f>
        <v/>
      </c>
      <c r="H171">
        <f>IF($A171="","",IF($D171="V01",Cadrage!$C$23,IF($D171="V02",Cadrage!$D$23,Cadrage!$E$23)))</f>
        <v/>
      </c>
      <c r="I171">
        <f>IF($A171="","",IF($D171="V01",Cadrage!$C$31,IF($D171="V02",Cadrage!$D$31,Cadrage!$E$31)))</f>
        <v/>
      </c>
      <c r="J171">
        <f>IF($A171="","",IF($D171="V01",Cadrage!$C$32,IF($D171="V02",Cadrage!$D$32,Cadrage!$E$32)))</f>
        <v/>
      </c>
      <c r="K171">
        <f>IF($A171="","",IF($D171="V01",Cadrage!$C$33,IF($D171="V02",Cadrage!$D$33,Cadrage!$E$33)))</f>
        <v/>
      </c>
      <c r="L171">
        <f>IF($A171="","",IF($D171="V01",Cadrage!$C$34,IF($D171="V02",Cadrage!$D$34,Cadrage!$E$34)))</f>
        <v/>
      </c>
      <c r="M171">
        <f>IF($A171="","",IF($D171="V01",Cadrage!$C$35,IF($D171="V02",Cadrage!$D$35,Cadrage!$E$35)))</f>
        <v/>
      </c>
      <c r="N171">
        <f>IF($A171="","",IF($D171="V01",$R$2,IF($D171="V02",$R$3,$R$4)))</f>
        <v/>
      </c>
      <c r="O171">
        <f>IF($A171="","",IF(OR($B171="7062",$B171="706",$B171="708"),$N171,IF($B171="6231",1+$G171,IF($B171="6236",1+$H171,IF(OR($B171="621",$B171="604",$B171="6063"),$N171*(1-$L171),IF(OR($B171="6411",$B171="6413",$B171="6414",$B171="645"),(1+$J171)*(1+$K171),IF(OR($B171="613",$B171="615",$B171="616",$B171="6226",$B171="625",$B171="626",$B171="6281"),(1+$I171)*(1-$L171)*(1+$M171),IF(OR($B171="6331",$B171="63511",$B171="6333"),(1+$I171)*(1-$L171),IF($B171="6811",1+$I171,1)))))))))</f>
        <v/>
      </c>
      <c r="P171">
        <f>IF($A171="","",IF($E171=1,$F171*$O171,PNL!G171))</f>
        <v/>
      </c>
      <c r="T171">
        <f>IF($A171="","",IF($E171=1,IF(OR($B171="7062",$B171="706",$B171="708"),$P171,IF(AND(LEFT($B171,1)="6",$B171&lt;&gt;"6811"),-$P171,0)),0))</f>
        <v/>
      </c>
    </row>
    <row r="172">
      <c r="A172">
        <f>IF(PNL!A172="","",PNL!A172)</f>
        <v/>
      </c>
      <c r="B172">
        <f>IF(PNL!B172="","",PNL!B172)</f>
        <v/>
      </c>
      <c r="C172">
        <f>IF(PNL!C172="","",PNL!C172)</f>
        <v/>
      </c>
      <c r="D172">
        <f>IF(PNL!D172="","",PNL!D172)</f>
        <v/>
      </c>
      <c r="E172">
        <f>IF($A172="","",IF(AND($C172="2027",OR($D172="V01",$D172="V02",$D172="V03")),1,0))</f>
        <v/>
      </c>
      <c r="F172">
        <f>IF($A172="","",IF($E172=1,SUMIFS(Comptabilité!$F$1:$F$675,Comptabilité!$A$1:$A$675,$A172,Comptabilité!$B$1:$B$675,$B172,Comptabilité!$C$1:$C$675,"2026"),0))</f>
        <v/>
      </c>
      <c r="G172">
        <f>IF($A172="","",IF($D172="V01",Cadrage!$C$22,IF($D172="V02",Cadrage!$D$22,Cadrage!$E$22)))</f>
        <v/>
      </c>
      <c r="H172">
        <f>IF($A172="","",IF($D172="V01",Cadrage!$C$23,IF($D172="V02",Cadrage!$D$23,Cadrage!$E$23)))</f>
        <v/>
      </c>
      <c r="I172">
        <f>IF($A172="","",IF($D172="V01",Cadrage!$C$31,IF($D172="V02",Cadrage!$D$31,Cadrage!$E$31)))</f>
        <v/>
      </c>
      <c r="J172">
        <f>IF($A172="","",IF($D172="V01",Cadrage!$C$32,IF($D172="V02",Cadrage!$D$32,Cadrage!$E$32)))</f>
        <v/>
      </c>
      <c r="K172">
        <f>IF($A172="","",IF($D172="V01",Cadrage!$C$33,IF($D172="V02",Cadrage!$D$33,Cadrage!$E$33)))</f>
        <v/>
      </c>
      <c r="L172">
        <f>IF($A172="","",IF($D172="V01",Cadrage!$C$34,IF($D172="V02",Cadrage!$D$34,Cadrage!$E$34)))</f>
        <v/>
      </c>
      <c r="M172">
        <f>IF($A172="","",IF($D172="V01",Cadrage!$C$35,IF($D172="V02",Cadrage!$D$35,Cadrage!$E$35)))</f>
        <v/>
      </c>
      <c r="N172">
        <f>IF($A172="","",IF($D172="V01",$R$2,IF($D172="V02",$R$3,$R$4)))</f>
        <v/>
      </c>
      <c r="O172">
        <f>IF($A172="","",IF(OR($B172="7062",$B172="706",$B172="708"),$N172,IF($B172="6231",1+$G172,IF($B172="6236",1+$H172,IF(OR($B172="621",$B172="604",$B172="6063"),$N172*(1-$L172),IF(OR($B172="6411",$B172="6413",$B172="6414",$B172="645"),(1+$J172)*(1+$K172),IF(OR($B172="613",$B172="615",$B172="616",$B172="6226",$B172="625",$B172="626",$B172="6281"),(1+$I172)*(1-$L172)*(1+$M172),IF(OR($B172="6331",$B172="63511",$B172="6333"),(1+$I172)*(1-$L172),IF($B172="6811",1+$I172,1)))))))))</f>
        <v/>
      </c>
      <c r="P172">
        <f>IF($A172="","",IF($E172=1,$F172*$O172,PNL!G172))</f>
        <v/>
      </c>
      <c r="T172">
        <f>IF($A172="","",IF($E172=1,IF(OR($B172="7062",$B172="706",$B172="708"),$P172,IF(AND(LEFT($B172,1)="6",$B172&lt;&gt;"6811"),-$P172,0)),0))</f>
        <v/>
      </c>
    </row>
    <row r="173">
      <c r="A173">
        <f>IF(PNL!A173="","",PNL!A173)</f>
        <v/>
      </c>
      <c r="B173">
        <f>IF(PNL!B173="","",PNL!B173)</f>
        <v/>
      </c>
      <c r="C173">
        <f>IF(PNL!C173="","",PNL!C173)</f>
        <v/>
      </c>
      <c r="D173">
        <f>IF(PNL!D173="","",PNL!D173)</f>
        <v/>
      </c>
      <c r="E173">
        <f>IF($A173="","",IF(AND($C173="2027",OR($D173="V01",$D173="V02",$D173="V03")),1,0))</f>
        <v/>
      </c>
      <c r="F173">
        <f>IF($A173="","",IF($E173=1,SUMIFS(Comptabilité!$F$1:$F$675,Comptabilité!$A$1:$A$675,$A173,Comptabilité!$B$1:$B$675,$B173,Comptabilité!$C$1:$C$675,"2026"),0))</f>
        <v/>
      </c>
      <c r="G173">
        <f>IF($A173="","",IF($D173="V01",Cadrage!$C$22,IF($D173="V02",Cadrage!$D$22,Cadrage!$E$22)))</f>
        <v/>
      </c>
      <c r="H173">
        <f>IF($A173="","",IF($D173="V01",Cadrage!$C$23,IF($D173="V02",Cadrage!$D$23,Cadrage!$E$23)))</f>
        <v/>
      </c>
      <c r="I173">
        <f>IF($A173="","",IF($D173="V01",Cadrage!$C$31,IF($D173="V02",Cadrage!$D$31,Cadrage!$E$31)))</f>
        <v/>
      </c>
      <c r="J173">
        <f>IF($A173="","",IF($D173="V01",Cadrage!$C$32,IF($D173="V02",Cadrage!$D$32,Cadrage!$E$32)))</f>
        <v/>
      </c>
      <c r="K173">
        <f>IF($A173="","",IF($D173="V01",Cadrage!$C$33,IF($D173="V02",Cadrage!$D$33,Cadrage!$E$33)))</f>
        <v/>
      </c>
      <c r="L173">
        <f>IF($A173="","",IF($D173="V01",Cadrage!$C$34,IF($D173="V02",Cadrage!$D$34,Cadrage!$E$34)))</f>
        <v/>
      </c>
      <c r="M173">
        <f>IF($A173="","",IF($D173="V01",Cadrage!$C$35,IF($D173="V02",Cadrage!$D$35,Cadrage!$E$35)))</f>
        <v/>
      </c>
      <c r="N173">
        <f>IF($A173="","",IF($D173="V01",$R$2,IF($D173="V02",$R$3,$R$4)))</f>
        <v/>
      </c>
      <c r="O173">
        <f>IF($A173="","",IF(OR($B173="7062",$B173="706",$B173="708"),$N173,IF($B173="6231",1+$G173,IF($B173="6236",1+$H173,IF(OR($B173="621",$B173="604",$B173="6063"),$N173*(1-$L173),IF(OR($B173="6411",$B173="6413",$B173="6414",$B173="645"),(1+$J173)*(1+$K173),IF(OR($B173="613",$B173="615",$B173="616",$B173="6226",$B173="625",$B173="626",$B173="6281"),(1+$I173)*(1-$L173)*(1+$M173),IF(OR($B173="6331",$B173="63511",$B173="6333"),(1+$I173)*(1-$L173),IF($B173="6811",1+$I173,1)))))))))</f>
        <v/>
      </c>
      <c r="P173">
        <f>IF($A173="","",IF($E173=1,$F173*$O173,PNL!G173))</f>
        <v/>
      </c>
      <c r="T173">
        <f>IF($A173="","",IF($E173=1,IF(OR($B173="7062",$B173="706",$B173="708"),$P173,IF(AND(LEFT($B173,1)="6",$B173&lt;&gt;"6811"),-$P173,0)),0))</f>
        <v/>
      </c>
    </row>
    <row r="174">
      <c r="A174">
        <f>IF(PNL!A174="","",PNL!A174)</f>
        <v/>
      </c>
      <c r="B174">
        <f>IF(PNL!B174="","",PNL!B174)</f>
        <v/>
      </c>
      <c r="C174">
        <f>IF(PNL!C174="","",PNL!C174)</f>
        <v/>
      </c>
      <c r="D174">
        <f>IF(PNL!D174="","",PNL!D174)</f>
        <v/>
      </c>
      <c r="E174">
        <f>IF($A174="","",IF(AND($C174="2027",OR($D174="V01",$D174="V02",$D174="V03")),1,0))</f>
        <v/>
      </c>
      <c r="F174">
        <f>IF($A174="","",IF($E174=1,SUMIFS(Comptabilité!$F$1:$F$675,Comptabilité!$A$1:$A$675,$A174,Comptabilité!$B$1:$B$675,$B174,Comptabilité!$C$1:$C$675,"2026"),0))</f>
        <v/>
      </c>
      <c r="G174">
        <f>IF($A174="","",IF($D174="V01",Cadrage!$C$22,IF($D174="V02",Cadrage!$D$22,Cadrage!$E$22)))</f>
        <v/>
      </c>
      <c r="H174">
        <f>IF($A174="","",IF($D174="V01",Cadrage!$C$23,IF($D174="V02",Cadrage!$D$23,Cadrage!$E$23)))</f>
        <v/>
      </c>
      <c r="I174">
        <f>IF($A174="","",IF($D174="V01",Cadrage!$C$31,IF($D174="V02",Cadrage!$D$31,Cadrage!$E$31)))</f>
        <v/>
      </c>
      <c r="J174">
        <f>IF($A174="","",IF($D174="V01",Cadrage!$C$32,IF($D174="V02",Cadrage!$D$32,Cadrage!$E$32)))</f>
        <v/>
      </c>
      <c r="K174">
        <f>IF($A174="","",IF($D174="V01",Cadrage!$C$33,IF($D174="V02",Cadrage!$D$33,Cadrage!$E$33)))</f>
        <v/>
      </c>
      <c r="L174">
        <f>IF($A174="","",IF($D174="V01",Cadrage!$C$34,IF($D174="V02",Cadrage!$D$34,Cadrage!$E$34)))</f>
        <v/>
      </c>
      <c r="M174">
        <f>IF($A174="","",IF($D174="V01",Cadrage!$C$35,IF($D174="V02",Cadrage!$D$35,Cadrage!$E$35)))</f>
        <v/>
      </c>
      <c r="N174">
        <f>IF($A174="","",IF($D174="V01",$R$2,IF($D174="V02",$R$3,$R$4)))</f>
        <v/>
      </c>
      <c r="O174">
        <f>IF($A174="","",IF(OR($B174="7062",$B174="706",$B174="708"),$N174,IF($B174="6231",1+$G174,IF($B174="6236",1+$H174,IF(OR($B174="621",$B174="604",$B174="6063"),$N174*(1-$L174),IF(OR($B174="6411",$B174="6413",$B174="6414",$B174="645"),(1+$J174)*(1+$K174),IF(OR($B174="613",$B174="615",$B174="616",$B174="6226",$B174="625",$B174="626",$B174="6281"),(1+$I174)*(1-$L174)*(1+$M174),IF(OR($B174="6331",$B174="63511",$B174="6333"),(1+$I174)*(1-$L174),IF($B174="6811",1+$I174,1)))))))))</f>
        <v/>
      </c>
      <c r="P174">
        <f>IF($A174="","",IF($E174=1,$F174*$O174,PNL!G174))</f>
        <v/>
      </c>
      <c r="T174">
        <f>IF($A174="","",IF($E174=1,IF(OR($B174="7062",$B174="706",$B174="708"),$P174,IF(AND(LEFT($B174,1)="6",$B174&lt;&gt;"6811"),-$P174,0)),0))</f>
        <v/>
      </c>
    </row>
    <row r="175">
      <c r="A175">
        <f>IF(PNL!A175="","",PNL!A175)</f>
        <v/>
      </c>
      <c r="B175">
        <f>IF(PNL!B175="","",PNL!B175)</f>
        <v/>
      </c>
      <c r="C175">
        <f>IF(PNL!C175="","",PNL!C175)</f>
        <v/>
      </c>
      <c r="D175">
        <f>IF(PNL!D175="","",PNL!D175)</f>
        <v/>
      </c>
      <c r="E175">
        <f>IF($A175="","",IF(AND($C175="2027",OR($D175="V01",$D175="V02",$D175="V03")),1,0))</f>
        <v/>
      </c>
      <c r="F175">
        <f>IF($A175="","",IF($E175=1,SUMIFS(Comptabilité!$F$1:$F$675,Comptabilité!$A$1:$A$675,$A175,Comptabilité!$B$1:$B$675,$B175,Comptabilité!$C$1:$C$675,"2026"),0))</f>
        <v/>
      </c>
      <c r="G175">
        <f>IF($A175="","",IF($D175="V01",Cadrage!$C$22,IF($D175="V02",Cadrage!$D$22,Cadrage!$E$22)))</f>
        <v/>
      </c>
      <c r="H175">
        <f>IF($A175="","",IF($D175="V01",Cadrage!$C$23,IF($D175="V02",Cadrage!$D$23,Cadrage!$E$23)))</f>
        <v/>
      </c>
      <c r="I175">
        <f>IF($A175="","",IF($D175="V01",Cadrage!$C$31,IF($D175="V02",Cadrage!$D$31,Cadrage!$E$31)))</f>
        <v/>
      </c>
      <c r="J175">
        <f>IF($A175="","",IF($D175="V01",Cadrage!$C$32,IF($D175="V02",Cadrage!$D$32,Cadrage!$E$32)))</f>
        <v/>
      </c>
      <c r="K175">
        <f>IF($A175="","",IF($D175="V01",Cadrage!$C$33,IF($D175="V02",Cadrage!$D$33,Cadrage!$E$33)))</f>
        <v/>
      </c>
      <c r="L175">
        <f>IF($A175="","",IF($D175="V01",Cadrage!$C$34,IF($D175="V02",Cadrage!$D$34,Cadrage!$E$34)))</f>
        <v/>
      </c>
      <c r="M175">
        <f>IF($A175="","",IF($D175="V01",Cadrage!$C$35,IF($D175="V02",Cadrage!$D$35,Cadrage!$E$35)))</f>
        <v/>
      </c>
      <c r="N175">
        <f>IF($A175="","",IF($D175="V01",$R$2,IF($D175="V02",$R$3,$R$4)))</f>
        <v/>
      </c>
      <c r="O175">
        <f>IF($A175="","",IF(OR($B175="7062",$B175="706",$B175="708"),$N175,IF($B175="6231",1+$G175,IF($B175="6236",1+$H175,IF(OR($B175="621",$B175="604",$B175="6063"),$N175*(1-$L175),IF(OR($B175="6411",$B175="6413",$B175="6414",$B175="645"),(1+$J175)*(1+$K175),IF(OR($B175="613",$B175="615",$B175="616",$B175="6226",$B175="625",$B175="626",$B175="6281"),(1+$I175)*(1-$L175)*(1+$M175),IF(OR($B175="6331",$B175="63511",$B175="6333"),(1+$I175)*(1-$L175),IF($B175="6811",1+$I175,1)))))))))</f>
        <v/>
      </c>
      <c r="P175">
        <f>IF($A175="","",IF($E175=1,$F175*$O175,PNL!G175))</f>
        <v/>
      </c>
      <c r="T175">
        <f>IF($A175="","",IF($E175=1,IF(OR($B175="7062",$B175="706",$B175="708"),$P175,IF(AND(LEFT($B175,1)="6",$B175&lt;&gt;"6811"),-$P175,0)),0))</f>
        <v/>
      </c>
    </row>
    <row r="176">
      <c r="A176">
        <f>IF(PNL!A176="","",PNL!A176)</f>
        <v/>
      </c>
      <c r="B176">
        <f>IF(PNL!B176="","",PNL!B176)</f>
        <v/>
      </c>
      <c r="C176">
        <f>IF(PNL!C176="","",PNL!C176)</f>
        <v/>
      </c>
      <c r="D176">
        <f>IF(PNL!D176="","",PNL!D176)</f>
        <v/>
      </c>
      <c r="E176">
        <f>IF($A176="","",IF(AND($C176="2027",OR($D176="V01",$D176="V02",$D176="V03")),1,0))</f>
        <v/>
      </c>
      <c r="F176">
        <f>IF($A176="","",IF($E176=1,SUMIFS(Comptabilité!$F$1:$F$675,Comptabilité!$A$1:$A$675,$A176,Comptabilité!$B$1:$B$675,$B176,Comptabilité!$C$1:$C$675,"2026"),0))</f>
        <v/>
      </c>
      <c r="G176">
        <f>IF($A176="","",IF($D176="V01",Cadrage!$C$22,IF($D176="V02",Cadrage!$D$22,Cadrage!$E$22)))</f>
        <v/>
      </c>
      <c r="H176">
        <f>IF($A176="","",IF($D176="V01",Cadrage!$C$23,IF($D176="V02",Cadrage!$D$23,Cadrage!$E$23)))</f>
        <v/>
      </c>
      <c r="I176">
        <f>IF($A176="","",IF($D176="V01",Cadrage!$C$31,IF($D176="V02",Cadrage!$D$31,Cadrage!$E$31)))</f>
        <v/>
      </c>
      <c r="J176">
        <f>IF($A176="","",IF($D176="V01",Cadrage!$C$32,IF($D176="V02",Cadrage!$D$32,Cadrage!$E$32)))</f>
        <v/>
      </c>
      <c r="K176">
        <f>IF($A176="","",IF($D176="V01",Cadrage!$C$33,IF($D176="V02",Cadrage!$D$33,Cadrage!$E$33)))</f>
        <v/>
      </c>
      <c r="L176">
        <f>IF($A176="","",IF($D176="V01",Cadrage!$C$34,IF($D176="V02",Cadrage!$D$34,Cadrage!$E$34)))</f>
        <v/>
      </c>
      <c r="M176">
        <f>IF($A176="","",IF($D176="V01",Cadrage!$C$35,IF($D176="V02",Cadrage!$D$35,Cadrage!$E$35)))</f>
        <v/>
      </c>
      <c r="N176">
        <f>IF($A176="","",IF($D176="V01",$R$2,IF($D176="V02",$R$3,$R$4)))</f>
        <v/>
      </c>
      <c r="O176">
        <f>IF($A176="","",IF(OR($B176="7062",$B176="706",$B176="708"),$N176,IF($B176="6231",1+$G176,IF($B176="6236",1+$H176,IF(OR($B176="621",$B176="604",$B176="6063"),$N176*(1-$L176),IF(OR($B176="6411",$B176="6413",$B176="6414",$B176="645"),(1+$J176)*(1+$K176),IF(OR($B176="613",$B176="615",$B176="616",$B176="6226",$B176="625",$B176="626",$B176="6281"),(1+$I176)*(1-$L176)*(1+$M176),IF(OR($B176="6331",$B176="63511",$B176="6333"),(1+$I176)*(1-$L176),IF($B176="6811",1+$I176,1)))))))))</f>
        <v/>
      </c>
      <c r="P176">
        <f>IF($A176="","",IF($E176=1,$F176*$O176,PNL!G176))</f>
        <v/>
      </c>
      <c r="T176">
        <f>IF($A176="","",IF($E176=1,IF(OR($B176="7062",$B176="706",$B176="708"),$P176,IF(AND(LEFT($B176,1)="6",$B176&lt;&gt;"6811"),-$P176,0)),0))</f>
        <v/>
      </c>
    </row>
    <row r="177">
      <c r="A177">
        <f>IF(PNL!A177="","",PNL!A177)</f>
        <v/>
      </c>
      <c r="B177">
        <f>IF(PNL!B177="","",PNL!B177)</f>
        <v/>
      </c>
      <c r="C177">
        <f>IF(PNL!C177="","",PNL!C177)</f>
        <v/>
      </c>
      <c r="D177">
        <f>IF(PNL!D177="","",PNL!D177)</f>
        <v/>
      </c>
      <c r="E177">
        <f>IF($A177="","",IF(AND($C177="2027",OR($D177="V01",$D177="V02",$D177="V03")),1,0))</f>
        <v/>
      </c>
      <c r="F177">
        <f>IF($A177="","",IF($E177=1,SUMIFS(Comptabilité!$F$1:$F$675,Comptabilité!$A$1:$A$675,$A177,Comptabilité!$B$1:$B$675,$B177,Comptabilité!$C$1:$C$675,"2026"),0))</f>
        <v/>
      </c>
      <c r="G177">
        <f>IF($A177="","",IF($D177="V01",Cadrage!$C$22,IF($D177="V02",Cadrage!$D$22,Cadrage!$E$22)))</f>
        <v/>
      </c>
      <c r="H177">
        <f>IF($A177="","",IF($D177="V01",Cadrage!$C$23,IF($D177="V02",Cadrage!$D$23,Cadrage!$E$23)))</f>
        <v/>
      </c>
      <c r="I177">
        <f>IF($A177="","",IF($D177="V01",Cadrage!$C$31,IF($D177="V02",Cadrage!$D$31,Cadrage!$E$31)))</f>
        <v/>
      </c>
      <c r="J177">
        <f>IF($A177="","",IF($D177="V01",Cadrage!$C$32,IF($D177="V02",Cadrage!$D$32,Cadrage!$E$32)))</f>
        <v/>
      </c>
      <c r="K177">
        <f>IF($A177="","",IF($D177="V01",Cadrage!$C$33,IF($D177="V02",Cadrage!$D$33,Cadrage!$E$33)))</f>
        <v/>
      </c>
      <c r="L177">
        <f>IF($A177="","",IF($D177="V01",Cadrage!$C$34,IF($D177="V02",Cadrage!$D$34,Cadrage!$E$34)))</f>
        <v/>
      </c>
      <c r="M177">
        <f>IF($A177="","",IF($D177="V01",Cadrage!$C$35,IF($D177="V02",Cadrage!$D$35,Cadrage!$E$35)))</f>
        <v/>
      </c>
      <c r="N177">
        <f>IF($A177="","",IF($D177="V01",$R$2,IF($D177="V02",$R$3,$R$4)))</f>
        <v/>
      </c>
      <c r="O177">
        <f>IF($A177="","",IF(OR($B177="7062",$B177="706",$B177="708"),$N177,IF($B177="6231",1+$G177,IF($B177="6236",1+$H177,IF(OR($B177="621",$B177="604",$B177="6063"),$N177*(1-$L177),IF(OR($B177="6411",$B177="6413",$B177="6414",$B177="645"),(1+$J177)*(1+$K177),IF(OR($B177="613",$B177="615",$B177="616",$B177="6226",$B177="625",$B177="626",$B177="6281"),(1+$I177)*(1-$L177)*(1+$M177),IF(OR($B177="6331",$B177="63511",$B177="6333"),(1+$I177)*(1-$L177),IF($B177="6811",1+$I177,1)))))))))</f>
        <v/>
      </c>
      <c r="P177">
        <f>IF($A177="","",IF($E177=1,$F177*$O177,PNL!G177))</f>
        <v/>
      </c>
      <c r="T177">
        <f>IF($A177="","",IF($E177=1,IF(OR($B177="7062",$B177="706",$B177="708"),$P177,IF(AND(LEFT($B177,1)="6",$B177&lt;&gt;"6811"),-$P177,0)),0))</f>
        <v/>
      </c>
    </row>
    <row r="178">
      <c r="A178">
        <f>IF(PNL!A178="","",PNL!A178)</f>
        <v/>
      </c>
      <c r="B178">
        <f>IF(PNL!B178="","",PNL!B178)</f>
        <v/>
      </c>
      <c r="C178">
        <f>IF(PNL!C178="","",PNL!C178)</f>
        <v/>
      </c>
      <c r="D178">
        <f>IF(PNL!D178="","",PNL!D178)</f>
        <v/>
      </c>
      <c r="E178">
        <f>IF($A178="","",IF(AND($C178="2027",OR($D178="V01",$D178="V02",$D178="V03")),1,0))</f>
        <v/>
      </c>
      <c r="F178">
        <f>IF($A178="","",IF($E178=1,SUMIFS(Comptabilité!$F$1:$F$675,Comptabilité!$A$1:$A$675,$A178,Comptabilité!$B$1:$B$675,$B178,Comptabilité!$C$1:$C$675,"2026"),0))</f>
        <v/>
      </c>
      <c r="G178">
        <f>IF($A178="","",IF($D178="V01",Cadrage!$C$22,IF($D178="V02",Cadrage!$D$22,Cadrage!$E$22)))</f>
        <v/>
      </c>
      <c r="H178">
        <f>IF($A178="","",IF($D178="V01",Cadrage!$C$23,IF($D178="V02",Cadrage!$D$23,Cadrage!$E$23)))</f>
        <v/>
      </c>
      <c r="I178">
        <f>IF($A178="","",IF($D178="V01",Cadrage!$C$31,IF($D178="V02",Cadrage!$D$31,Cadrage!$E$31)))</f>
        <v/>
      </c>
      <c r="J178">
        <f>IF($A178="","",IF($D178="V01",Cadrage!$C$32,IF($D178="V02",Cadrage!$D$32,Cadrage!$E$32)))</f>
        <v/>
      </c>
      <c r="K178">
        <f>IF($A178="","",IF($D178="V01",Cadrage!$C$33,IF($D178="V02",Cadrage!$D$33,Cadrage!$E$33)))</f>
        <v/>
      </c>
      <c r="L178">
        <f>IF($A178="","",IF($D178="V01",Cadrage!$C$34,IF($D178="V02",Cadrage!$D$34,Cadrage!$E$34)))</f>
        <v/>
      </c>
      <c r="M178">
        <f>IF($A178="","",IF($D178="V01",Cadrage!$C$35,IF($D178="V02",Cadrage!$D$35,Cadrage!$E$35)))</f>
        <v/>
      </c>
      <c r="N178">
        <f>IF($A178="","",IF($D178="V01",$R$2,IF($D178="V02",$R$3,$R$4)))</f>
        <v/>
      </c>
      <c r="O178">
        <f>IF($A178="","",IF(OR($B178="7062",$B178="706",$B178="708"),$N178,IF($B178="6231",1+$G178,IF($B178="6236",1+$H178,IF(OR($B178="621",$B178="604",$B178="6063"),$N178*(1-$L178),IF(OR($B178="6411",$B178="6413",$B178="6414",$B178="645"),(1+$J178)*(1+$K178),IF(OR($B178="613",$B178="615",$B178="616",$B178="6226",$B178="625",$B178="626",$B178="6281"),(1+$I178)*(1-$L178)*(1+$M178),IF(OR($B178="6331",$B178="63511",$B178="6333"),(1+$I178)*(1-$L178),IF($B178="6811",1+$I178,1)))))))))</f>
        <v/>
      </c>
      <c r="P178">
        <f>IF($A178="","",IF($E178=1,$F178*$O178,PNL!G178))</f>
        <v/>
      </c>
      <c r="T178">
        <f>IF($A178="","",IF($E178=1,IF(OR($B178="7062",$B178="706",$B178="708"),$P178,IF(AND(LEFT($B178,1)="6",$B178&lt;&gt;"6811"),-$P178,0)),0))</f>
        <v/>
      </c>
    </row>
    <row r="179">
      <c r="A179">
        <f>IF(PNL!A179="","",PNL!A179)</f>
        <v/>
      </c>
      <c r="B179">
        <f>IF(PNL!B179="","",PNL!B179)</f>
        <v/>
      </c>
      <c r="C179">
        <f>IF(PNL!C179="","",PNL!C179)</f>
        <v/>
      </c>
      <c r="D179">
        <f>IF(PNL!D179="","",PNL!D179)</f>
        <v/>
      </c>
      <c r="E179">
        <f>IF($A179="","",IF(AND($C179="2027",OR($D179="V01",$D179="V02",$D179="V03")),1,0))</f>
        <v/>
      </c>
      <c r="F179">
        <f>IF($A179="","",IF($E179=1,SUMIFS(Comptabilité!$F$1:$F$675,Comptabilité!$A$1:$A$675,$A179,Comptabilité!$B$1:$B$675,$B179,Comptabilité!$C$1:$C$675,"2026"),0))</f>
        <v/>
      </c>
      <c r="G179">
        <f>IF($A179="","",IF($D179="V01",Cadrage!$C$22,IF($D179="V02",Cadrage!$D$22,Cadrage!$E$22)))</f>
        <v/>
      </c>
      <c r="H179">
        <f>IF($A179="","",IF($D179="V01",Cadrage!$C$23,IF($D179="V02",Cadrage!$D$23,Cadrage!$E$23)))</f>
        <v/>
      </c>
      <c r="I179">
        <f>IF($A179="","",IF($D179="V01",Cadrage!$C$31,IF($D179="V02",Cadrage!$D$31,Cadrage!$E$31)))</f>
        <v/>
      </c>
      <c r="J179">
        <f>IF($A179="","",IF($D179="V01",Cadrage!$C$32,IF($D179="V02",Cadrage!$D$32,Cadrage!$E$32)))</f>
        <v/>
      </c>
      <c r="K179">
        <f>IF($A179="","",IF($D179="V01",Cadrage!$C$33,IF($D179="V02",Cadrage!$D$33,Cadrage!$E$33)))</f>
        <v/>
      </c>
      <c r="L179">
        <f>IF($A179="","",IF($D179="V01",Cadrage!$C$34,IF($D179="V02",Cadrage!$D$34,Cadrage!$E$34)))</f>
        <v/>
      </c>
      <c r="M179">
        <f>IF($A179="","",IF($D179="V01",Cadrage!$C$35,IF($D179="V02",Cadrage!$D$35,Cadrage!$E$35)))</f>
        <v/>
      </c>
      <c r="N179">
        <f>IF($A179="","",IF($D179="V01",$R$2,IF($D179="V02",$R$3,$R$4)))</f>
        <v/>
      </c>
      <c r="O179">
        <f>IF($A179="","",IF(OR($B179="7062",$B179="706",$B179="708"),$N179,IF($B179="6231",1+$G179,IF($B179="6236",1+$H179,IF(OR($B179="621",$B179="604",$B179="6063"),$N179*(1-$L179),IF(OR($B179="6411",$B179="6413",$B179="6414",$B179="645"),(1+$J179)*(1+$K179),IF(OR($B179="613",$B179="615",$B179="616",$B179="6226",$B179="625",$B179="626",$B179="6281"),(1+$I179)*(1-$L179)*(1+$M179),IF(OR($B179="6331",$B179="63511",$B179="6333"),(1+$I179)*(1-$L179),IF($B179="6811",1+$I179,1)))))))))</f>
        <v/>
      </c>
      <c r="P179">
        <f>IF($A179="","",IF($E179=1,$F179*$O179,PNL!G179))</f>
        <v/>
      </c>
      <c r="T179">
        <f>IF($A179="","",IF($E179=1,IF(OR($B179="7062",$B179="706",$B179="708"),$P179,IF(AND(LEFT($B179,1)="6",$B179&lt;&gt;"6811"),-$P179,0)),0))</f>
        <v/>
      </c>
    </row>
    <row r="180">
      <c r="A180">
        <f>IF(PNL!A180="","",PNL!A180)</f>
        <v/>
      </c>
      <c r="B180">
        <f>IF(PNL!B180="","",PNL!B180)</f>
        <v/>
      </c>
      <c r="C180">
        <f>IF(PNL!C180="","",PNL!C180)</f>
        <v/>
      </c>
      <c r="D180">
        <f>IF(PNL!D180="","",PNL!D180)</f>
        <v/>
      </c>
      <c r="E180">
        <f>IF($A180="","",IF(AND($C180="2027",OR($D180="V01",$D180="V02",$D180="V03")),1,0))</f>
        <v/>
      </c>
      <c r="F180">
        <f>IF($A180="","",IF($E180=1,SUMIFS(Comptabilité!$F$1:$F$675,Comptabilité!$A$1:$A$675,$A180,Comptabilité!$B$1:$B$675,$B180,Comptabilité!$C$1:$C$675,"2026"),0))</f>
        <v/>
      </c>
      <c r="G180">
        <f>IF($A180="","",IF($D180="V01",Cadrage!$C$22,IF($D180="V02",Cadrage!$D$22,Cadrage!$E$22)))</f>
        <v/>
      </c>
      <c r="H180">
        <f>IF($A180="","",IF($D180="V01",Cadrage!$C$23,IF($D180="V02",Cadrage!$D$23,Cadrage!$E$23)))</f>
        <v/>
      </c>
      <c r="I180">
        <f>IF($A180="","",IF($D180="V01",Cadrage!$C$31,IF($D180="V02",Cadrage!$D$31,Cadrage!$E$31)))</f>
        <v/>
      </c>
      <c r="J180">
        <f>IF($A180="","",IF($D180="V01",Cadrage!$C$32,IF($D180="V02",Cadrage!$D$32,Cadrage!$E$32)))</f>
        <v/>
      </c>
      <c r="K180">
        <f>IF($A180="","",IF($D180="V01",Cadrage!$C$33,IF($D180="V02",Cadrage!$D$33,Cadrage!$E$33)))</f>
        <v/>
      </c>
      <c r="L180">
        <f>IF($A180="","",IF($D180="V01",Cadrage!$C$34,IF($D180="V02",Cadrage!$D$34,Cadrage!$E$34)))</f>
        <v/>
      </c>
      <c r="M180">
        <f>IF($A180="","",IF($D180="V01",Cadrage!$C$35,IF($D180="V02",Cadrage!$D$35,Cadrage!$E$35)))</f>
        <v/>
      </c>
      <c r="N180">
        <f>IF($A180="","",IF($D180="V01",$R$2,IF($D180="V02",$R$3,$R$4)))</f>
        <v/>
      </c>
      <c r="O180">
        <f>IF($A180="","",IF(OR($B180="7062",$B180="706",$B180="708"),$N180,IF($B180="6231",1+$G180,IF($B180="6236",1+$H180,IF(OR($B180="621",$B180="604",$B180="6063"),$N180*(1-$L180),IF(OR($B180="6411",$B180="6413",$B180="6414",$B180="645"),(1+$J180)*(1+$K180),IF(OR($B180="613",$B180="615",$B180="616",$B180="6226",$B180="625",$B180="626",$B180="6281"),(1+$I180)*(1-$L180)*(1+$M180),IF(OR($B180="6331",$B180="63511",$B180="6333"),(1+$I180)*(1-$L180),IF($B180="6811",1+$I180,1)))))))))</f>
        <v/>
      </c>
      <c r="P180">
        <f>IF($A180="","",IF($E180=1,$F180*$O180,PNL!G180))</f>
        <v/>
      </c>
      <c r="T180">
        <f>IF($A180="","",IF($E180=1,IF(OR($B180="7062",$B180="706",$B180="708"),$P180,IF(AND(LEFT($B180,1)="6",$B180&lt;&gt;"6811"),-$P180,0)),0))</f>
        <v/>
      </c>
    </row>
    <row r="181">
      <c r="A181">
        <f>IF(PNL!A181="","",PNL!A181)</f>
        <v/>
      </c>
      <c r="B181">
        <f>IF(PNL!B181="","",PNL!B181)</f>
        <v/>
      </c>
      <c r="C181">
        <f>IF(PNL!C181="","",PNL!C181)</f>
        <v/>
      </c>
      <c r="D181">
        <f>IF(PNL!D181="","",PNL!D181)</f>
        <v/>
      </c>
      <c r="E181">
        <f>IF($A181="","",IF(AND($C181="2027",OR($D181="V01",$D181="V02",$D181="V03")),1,0))</f>
        <v/>
      </c>
      <c r="F181">
        <f>IF($A181="","",IF($E181=1,SUMIFS(Comptabilité!$F$1:$F$675,Comptabilité!$A$1:$A$675,$A181,Comptabilité!$B$1:$B$675,$B181,Comptabilité!$C$1:$C$675,"2026"),0))</f>
        <v/>
      </c>
      <c r="G181">
        <f>IF($A181="","",IF($D181="V01",Cadrage!$C$22,IF($D181="V02",Cadrage!$D$22,Cadrage!$E$22)))</f>
        <v/>
      </c>
      <c r="H181">
        <f>IF($A181="","",IF($D181="V01",Cadrage!$C$23,IF($D181="V02",Cadrage!$D$23,Cadrage!$E$23)))</f>
        <v/>
      </c>
      <c r="I181">
        <f>IF($A181="","",IF($D181="V01",Cadrage!$C$31,IF($D181="V02",Cadrage!$D$31,Cadrage!$E$31)))</f>
        <v/>
      </c>
      <c r="J181">
        <f>IF($A181="","",IF($D181="V01",Cadrage!$C$32,IF($D181="V02",Cadrage!$D$32,Cadrage!$E$32)))</f>
        <v/>
      </c>
      <c r="K181">
        <f>IF($A181="","",IF($D181="V01",Cadrage!$C$33,IF($D181="V02",Cadrage!$D$33,Cadrage!$E$33)))</f>
        <v/>
      </c>
      <c r="L181">
        <f>IF($A181="","",IF($D181="V01",Cadrage!$C$34,IF($D181="V02",Cadrage!$D$34,Cadrage!$E$34)))</f>
        <v/>
      </c>
      <c r="M181">
        <f>IF($A181="","",IF($D181="V01",Cadrage!$C$35,IF($D181="V02",Cadrage!$D$35,Cadrage!$E$35)))</f>
        <v/>
      </c>
      <c r="N181">
        <f>IF($A181="","",IF($D181="V01",$R$2,IF($D181="V02",$R$3,$R$4)))</f>
        <v/>
      </c>
      <c r="O181">
        <f>IF($A181="","",IF(OR($B181="7062",$B181="706",$B181="708"),$N181,IF($B181="6231",1+$G181,IF($B181="6236",1+$H181,IF(OR($B181="621",$B181="604",$B181="6063"),$N181*(1-$L181),IF(OR($B181="6411",$B181="6413",$B181="6414",$B181="645"),(1+$J181)*(1+$K181),IF(OR($B181="613",$B181="615",$B181="616",$B181="6226",$B181="625",$B181="626",$B181="6281"),(1+$I181)*(1-$L181)*(1+$M181),IF(OR($B181="6331",$B181="63511",$B181="6333"),(1+$I181)*(1-$L181),IF($B181="6811",1+$I181,1)))))))))</f>
        <v/>
      </c>
      <c r="P181">
        <f>IF($A181="","",IF($E181=1,$F181*$O181,PNL!G181))</f>
        <v/>
      </c>
      <c r="T181">
        <f>IF($A181="","",IF($E181=1,IF(OR($B181="7062",$B181="706",$B181="708"),$P181,IF(AND(LEFT($B181,1)="6",$B181&lt;&gt;"6811"),-$P181,0)),0))</f>
        <v/>
      </c>
    </row>
    <row r="182">
      <c r="A182">
        <f>IF(PNL!A182="","",PNL!A182)</f>
        <v/>
      </c>
      <c r="B182">
        <f>IF(PNL!B182="","",PNL!B182)</f>
        <v/>
      </c>
      <c r="C182">
        <f>IF(PNL!C182="","",PNL!C182)</f>
        <v/>
      </c>
      <c r="D182">
        <f>IF(PNL!D182="","",PNL!D182)</f>
        <v/>
      </c>
      <c r="E182">
        <f>IF($A182="","",IF(AND($C182="2027",OR($D182="V01",$D182="V02",$D182="V03")),1,0))</f>
        <v/>
      </c>
      <c r="F182">
        <f>IF($A182="","",IF($E182=1,SUMIFS(Comptabilité!$F$1:$F$675,Comptabilité!$A$1:$A$675,$A182,Comptabilité!$B$1:$B$675,$B182,Comptabilité!$C$1:$C$675,"2026"),0))</f>
        <v/>
      </c>
      <c r="G182">
        <f>IF($A182="","",IF($D182="V01",Cadrage!$C$22,IF($D182="V02",Cadrage!$D$22,Cadrage!$E$22)))</f>
        <v/>
      </c>
      <c r="H182">
        <f>IF($A182="","",IF($D182="V01",Cadrage!$C$23,IF($D182="V02",Cadrage!$D$23,Cadrage!$E$23)))</f>
        <v/>
      </c>
      <c r="I182">
        <f>IF($A182="","",IF($D182="V01",Cadrage!$C$31,IF($D182="V02",Cadrage!$D$31,Cadrage!$E$31)))</f>
        <v/>
      </c>
      <c r="J182">
        <f>IF($A182="","",IF($D182="V01",Cadrage!$C$32,IF($D182="V02",Cadrage!$D$32,Cadrage!$E$32)))</f>
        <v/>
      </c>
      <c r="K182">
        <f>IF($A182="","",IF($D182="V01",Cadrage!$C$33,IF($D182="V02",Cadrage!$D$33,Cadrage!$E$33)))</f>
        <v/>
      </c>
      <c r="L182">
        <f>IF($A182="","",IF($D182="V01",Cadrage!$C$34,IF($D182="V02",Cadrage!$D$34,Cadrage!$E$34)))</f>
        <v/>
      </c>
      <c r="M182">
        <f>IF($A182="","",IF($D182="V01",Cadrage!$C$35,IF($D182="V02",Cadrage!$D$35,Cadrage!$E$35)))</f>
        <v/>
      </c>
      <c r="N182">
        <f>IF($A182="","",IF($D182="V01",$R$2,IF($D182="V02",$R$3,$R$4)))</f>
        <v/>
      </c>
      <c r="O182">
        <f>IF($A182="","",IF(OR($B182="7062",$B182="706",$B182="708"),$N182,IF($B182="6231",1+$G182,IF($B182="6236",1+$H182,IF(OR($B182="621",$B182="604",$B182="6063"),$N182*(1-$L182),IF(OR($B182="6411",$B182="6413",$B182="6414",$B182="645"),(1+$J182)*(1+$K182),IF(OR($B182="613",$B182="615",$B182="616",$B182="6226",$B182="625",$B182="626",$B182="6281"),(1+$I182)*(1-$L182)*(1+$M182),IF(OR($B182="6331",$B182="63511",$B182="6333"),(1+$I182)*(1-$L182),IF($B182="6811",1+$I182,1)))))))))</f>
        <v/>
      </c>
      <c r="P182">
        <f>IF($A182="","",IF($E182=1,$F182*$O182,PNL!G182))</f>
        <v/>
      </c>
      <c r="T182">
        <f>IF($A182="","",IF($E182=1,IF(OR($B182="7062",$B182="706",$B182="708"),$P182,IF(AND(LEFT($B182,1)="6",$B182&lt;&gt;"6811"),-$P182,0)),0))</f>
        <v/>
      </c>
    </row>
    <row r="183">
      <c r="A183">
        <f>IF(PNL!A183="","",PNL!A183)</f>
        <v/>
      </c>
      <c r="B183">
        <f>IF(PNL!B183="","",PNL!B183)</f>
        <v/>
      </c>
      <c r="C183">
        <f>IF(PNL!C183="","",PNL!C183)</f>
        <v/>
      </c>
      <c r="D183">
        <f>IF(PNL!D183="","",PNL!D183)</f>
        <v/>
      </c>
      <c r="E183">
        <f>IF($A183="","",IF(AND($C183="2027",OR($D183="V01",$D183="V02",$D183="V03")),1,0))</f>
        <v/>
      </c>
      <c r="F183">
        <f>IF($A183="","",IF($E183=1,SUMIFS(Comptabilité!$F$1:$F$675,Comptabilité!$A$1:$A$675,$A183,Comptabilité!$B$1:$B$675,$B183,Comptabilité!$C$1:$C$675,"2026"),0))</f>
        <v/>
      </c>
      <c r="G183">
        <f>IF($A183="","",IF($D183="V01",Cadrage!$C$22,IF($D183="V02",Cadrage!$D$22,Cadrage!$E$22)))</f>
        <v/>
      </c>
      <c r="H183">
        <f>IF($A183="","",IF($D183="V01",Cadrage!$C$23,IF($D183="V02",Cadrage!$D$23,Cadrage!$E$23)))</f>
        <v/>
      </c>
      <c r="I183">
        <f>IF($A183="","",IF($D183="V01",Cadrage!$C$31,IF($D183="V02",Cadrage!$D$31,Cadrage!$E$31)))</f>
        <v/>
      </c>
      <c r="J183">
        <f>IF($A183="","",IF($D183="V01",Cadrage!$C$32,IF($D183="V02",Cadrage!$D$32,Cadrage!$E$32)))</f>
        <v/>
      </c>
      <c r="K183">
        <f>IF($A183="","",IF($D183="V01",Cadrage!$C$33,IF($D183="V02",Cadrage!$D$33,Cadrage!$E$33)))</f>
        <v/>
      </c>
      <c r="L183">
        <f>IF($A183="","",IF($D183="V01",Cadrage!$C$34,IF($D183="V02",Cadrage!$D$34,Cadrage!$E$34)))</f>
        <v/>
      </c>
      <c r="M183">
        <f>IF($A183="","",IF($D183="V01",Cadrage!$C$35,IF($D183="V02",Cadrage!$D$35,Cadrage!$E$35)))</f>
        <v/>
      </c>
      <c r="N183">
        <f>IF($A183="","",IF($D183="V01",$R$2,IF($D183="V02",$R$3,$R$4)))</f>
        <v/>
      </c>
      <c r="O183">
        <f>IF($A183="","",IF(OR($B183="7062",$B183="706",$B183="708"),$N183,IF($B183="6231",1+$G183,IF($B183="6236",1+$H183,IF(OR($B183="621",$B183="604",$B183="6063"),$N183*(1-$L183),IF(OR($B183="6411",$B183="6413",$B183="6414",$B183="645"),(1+$J183)*(1+$K183),IF(OR($B183="613",$B183="615",$B183="616",$B183="6226",$B183="625",$B183="626",$B183="6281"),(1+$I183)*(1-$L183)*(1+$M183),IF(OR($B183="6331",$B183="63511",$B183="6333"),(1+$I183)*(1-$L183),IF($B183="6811",1+$I183,1)))))))))</f>
        <v/>
      </c>
      <c r="P183">
        <f>IF($A183="","",IF($E183=1,$F183*$O183,PNL!G183))</f>
        <v/>
      </c>
      <c r="T183">
        <f>IF($A183="","",IF($E183=1,IF(OR($B183="7062",$B183="706",$B183="708"),$P183,IF(AND(LEFT($B183,1)="6",$B183&lt;&gt;"6811"),-$P183,0)),0))</f>
        <v/>
      </c>
    </row>
    <row r="184">
      <c r="A184">
        <f>IF(PNL!A184="","",PNL!A184)</f>
        <v/>
      </c>
      <c r="B184">
        <f>IF(PNL!B184="","",PNL!B184)</f>
        <v/>
      </c>
      <c r="C184">
        <f>IF(PNL!C184="","",PNL!C184)</f>
        <v/>
      </c>
      <c r="D184">
        <f>IF(PNL!D184="","",PNL!D184)</f>
        <v/>
      </c>
      <c r="E184">
        <f>IF($A184="","",IF(AND($C184="2027",OR($D184="V01",$D184="V02",$D184="V03")),1,0))</f>
        <v/>
      </c>
      <c r="F184">
        <f>IF($A184="","",IF($E184=1,SUMIFS(Comptabilité!$F$1:$F$675,Comptabilité!$A$1:$A$675,$A184,Comptabilité!$B$1:$B$675,$B184,Comptabilité!$C$1:$C$675,"2026"),0))</f>
        <v/>
      </c>
      <c r="G184">
        <f>IF($A184="","",IF($D184="V01",Cadrage!$C$22,IF($D184="V02",Cadrage!$D$22,Cadrage!$E$22)))</f>
        <v/>
      </c>
      <c r="H184">
        <f>IF($A184="","",IF($D184="V01",Cadrage!$C$23,IF($D184="V02",Cadrage!$D$23,Cadrage!$E$23)))</f>
        <v/>
      </c>
      <c r="I184">
        <f>IF($A184="","",IF($D184="V01",Cadrage!$C$31,IF($D184="V02",Cadrage!$D$31,Cadrage!$E$31)))</f>
        <v/>
      </c>
      <c r="J184">
        <f>IF($A184="","",IF($D184="V01",Cadrage!$C$32,IF($D184="V02",Cadrage!$D$32,Cadrage!$E$32)))</f>
        <v/>
      </c>
      <c r="K184">
        <f>IF($A184="","",IF($D184="V01",Cadrage!$C$33,IF($D184="V02",Cadrage!$D$33,Cadrage!$E$33)))</f>
        <v/>
      </c>
      <c r="L184">
        <f>IF($A184="","",IF($D184="V01",Cadrage!$C$34,IF($D184="V02",Cadrage!$D$34,Cadrage!$E$34)))</f>
        <v/>
      </c>
      <c r="M184">
        <f>IF($A184="","",IF($D184="V01",Cadrage!$C$35,IF($D184="V02",Cadrage!$D$35,Cadrage!$E$35)))</f>
        <v/>
      </c>
      <c r="N184">
        <f>IF($A184="","",IF($D184="V01",$R$2,IF($D184="V02",$R$3,$R$4)))</f>
        <v/>
      </c>
      <c r="O184">
        <f>IF($A184="","",IF(OR($B184="7062",$B184="706",$B184="708"),$N184,IF($B184="6231",1+$G184,IF($B184="6236",1+$H184,IF(OR($B184="621",$B184="604",$B184="6063"),$N184*(1-$L184),IF(OR($B184="6411",$B184="6413",$B184="6414",$B184="645"),(1+$J184)*(1+$K184),IF(OR($B184="613",$B184="615",$B184="616",$B184="6226",$B184="625",$B184="626",$B184="6281"),(1+$I184)*(1-$L184)*(1+$M184),IF(OR($B184="6331",$B184="63511",$B184="6333"),(1+$I184)*(1-$L184),IF($B184="6811",1+$I184,1)))))))))</f>
        <v/>
      </c>
      <c r="P184">
        <f>IF($A184="","",IF($E184=1,$F184*$O184,PNL!G184))</f>
        <v/>
      </c>
      <c r="T184">
        <f>IF($A184="","",IF($E184=1,IF(OR($B184="7062",$B184="706",$B184="708"),$P184,IF(AND(LEFT($B184,1)="6",$B184&lt;&gt;"6811"),-$P184,0)),0))</f>
        <v/>
      </c>
    </row>
    <row r="185">
      <c r="A185">
        <f>IF(PNL!A185="","",PNL!A185)</f>
        <v/>
      </c>
      <c r="B185">
        <f>IF(PNL!B185="","",PNL!B185)</f>
        <v/>
      </c>
      <c r="C185">
        <f>IF(PNL!C185="","",PNL!C185)</f>
        <v/>
      </c>
      <c r="D185">
        <f>IF(PNL!D185="","",PNL!D185)</f>
        <v/>
      </c>
      <c r="E185">
        <f>IF($A185="","",IF(AND($C185="2027",OR($D185="V01",$D185="V02",$D185="V03")),1,0))</f>
        <v/>
      </c>
      <c r="F185">
        <f>IF($A185="","",IF($E185=1,SUMIFS(Comptabilité!$F$1:$F$675,Comptabilité!$A$1:$A$675,$A185,Comptabilité!$B$1:$B$675,$B185,Comptabilité!$C$1:$C$675,"2026"),0))</f>
        <v/>
      </c>
      <c r="G185">
        <f>IF($A185="","",IF($D185="V01",Cadrage!$C$22,IF($D185="V02",Cadrage!$D$22,Cadrage!$E$22)))</f>
        <v/>
      </c>
      <c r="H185">
        <f>IF($A185="","",IF($D185="V01",Cadrage!$C$23,IF($D185="V02",Cadrage!$D$23,Cadrage!$E$23)))</f>
        <v/>
      </c>
      <c r="I185">
        <f>IF($A185="","",IF($D185="V01",Cadrage!$C$31,IF($D185="V02",Cadrage!$D$31,Cadrage!$E$31)))</f>
        <v/>
      </c>
      <c r="J185">
        <f>IF($A185="","",IF($D185="V01",Cadrage!$C$32,IF($D185="V02",Cadrage!$D$32,Cadrage!$E$32)))</f>
        <v/>
      </c>
      <c r="K185">
        <f>IF($A185="","",IF($D185="V01",Cadrage!$C$33,IF($D185="V02",Cadrage!$D$33,Cadrage!$E$33)))</f>
        <v/>
      </c>
      <c r="L185">
        <f>IF($A185="","",IF($D185="V01",Cadrage!$C$34,IF($D185="V02",Cadrage!$D$34,Cadrage!$E$34)))</f>
        <v/>
      </c>
      <c r="M185">
        <f>IF($A185="","",IF($D185="V01",Cadrage!$C$35,IF($D185="V02",Cadrage!$D$35,Cadrage!$E$35)))</f>
        <v/>
      </c>
      <c r="N185">
        <f>IF($A185="","",IF($D185="V01",$R$2,IF($D185="V02",$R$3,$R$4)))</f>
        <v/>
      </c>
      <c r="O185">
        <f>IF($A185="","",IF(OR($B185="7062",$B185="706",$B185="708"),$N185,IF($B185="6231",1+$G185,IF($B185="6236",1+$H185,IF(OR($B185="621",$B185="604",$B185="6063"),$N185*(1-$L185),IF(OR($B185="6411",$B185="6413",$B185="6414",$B185="645"),(1+$J185)*(1+$K185),IF(OR($B185="613",$B185="615",$B185="616",$B185="6226",$B185="625",$B185="626",$B185="6281"),(1+$I185)*(1-$L185)*(1+$M185),IF(OR($B185="6331",$B185="63511",$B185="6333"),(1+$I185)*(1-$L185),IF($B185="6811",1+$I185,1)))))))))</f>
        <v/>
      </c>
      <c r="P185">
        <f>IF($A185="","",IF($E185=1,$F185*$O185,PNL!G185))</f>
        <v/>
      </c>
      <c r="T185">
        <f>IF($A185="","",IF($E185=1,IF(OR($B185="7062",$B185="706",$B185="708"),$P185,IF(AND(LEFT($B185,1)="6",$B185&lt;&gt;"6811"),-$P185,0)),0))</f>
        <v/>
      </c>
    </row>
    <row r="186">
      <c r="A186">
        <f>IF(PNL!A186="","",PNL!A186)</f>
        <v/>
      </c>
      <c r="B186">
        <f>IF(PNL!B186="","",PNL!B186)</f>
        <v/>
      </c>
      <c r="C186">
        <f>IF(PNL!C186="","",PNL!C186)</f>
        <v/>
      </c>
      <c r="D186">
        <f>IF(PNL!D186="","",PNL!D186)</f>
        <v/>
      </c>
      <c r="E186">
        <f>IF($A186="","",IF(AND($C186="2027",OR($D186="V01",$D186="V02",$D186="V03")),1,0))</f>
        <v/>
      </c>
      <c r="F186">
        <f>IF($A186="","",IF($E186=1,SUMIFS(Comptabilité!$F$1:$F$675,Comptabilité!$A$1:$A$675,$A186,Comptabilité!$B$1:$B$675,$B186,Comptabilité!$C$1:$C$675,"2026"),0))</f>
        <v/>
      </c>
      <c r="G186">
        <f>IF($A186="","",IF($D186="V01",Cadrage!$C$22,IF($D186="V02",Cadrage!$D$22,Cadrage!$E$22)))</f>
        <v/>
      </c>
      <c r="H186">
        <f>IF($A186="","",IF($D186="V01",Cadrage!$C$23,IF($D186="V02",Cadrage!$D$23,Cadrage!$E$23)))</f>
        <v/>
      </c>
      <c r="I186">
        <f>IF($A186="","",IF($D186="V01",Cadrage!$C$31,IF($D186="V02",Cadrage!$D$31,Cadrage!$E$31)))</f>
        <v/>
      </c>
      <c r="J186">
        <f>IF($A186="","",IF($D186="V01",Cadrage!$C$32,IF($D186="V02",Cadrage!$D$32,Cadrage!$E$32)))</f>
        <v/>
      </c>
      <c r="K186">
        <f>IF($A186="","",IF($D186="V01",Cadrage!$C$33,IF($D186="V02",Cadrage!$D$33,Cadrage!$E$33)))</f>
        <v/>
      </c>
      <c r="L186">
        <f>IF($A186="","",IF($D186="V01",Cadrage!$C$34,IF($D186="V02",Cadrage!$D$34,Cadrage!$E$34)))</f>
        <v/>
      </c>
      <c r="M186">
        <f>IF($A186="","",IF($D186="V01",Cadrage!$C$35,IF($D186="V02",Cadrage!$D$35,Cadrage!$E$35)))</f>
        <v/>
      </c>
      <c r="N186">
        <f>IF($A186="","",IF($D186="V01",$R$2,IF($D186="V02",$R$3,$R$4)))</f>
        <v/>
      </c>
      <c r="O186">
        <f>IF($A186="","",IF(OR($B186="7062",$B186="706",$B186="708"),$N186,IF($B186="6231",1+$G186,IF($B186="6236",1+$H186,IF(OR($B186="621",$B186="604",$B186="6063"),$N186*(1-$L186),IF(OR($B186="6411",$B186="6413",$B186="6414",$B186="645"),(1+$J186)*(1+$K186),IF(OR($B186="613",$B186="615",$B186="616",$B186="6226",$B186="625",$B186="626",$B186="6281"),(1+$I186)*(1-$L186)*(1+$M186),IF(OR($B186="6331",$B186="63511",$B186="6333"),(1+$I186)*(1-$L186),IF($B186="6811",1+$I186,1)))))))))</f>
        <v/>
      </c>
      <c r="P186">
        <f>IF($A186="","",IF($E186=1,$F186*$O186,PNL!G186))</f>
        <v/>
      </c>
      <c r="T186">
        <f>IF($A186="","",IF($E186=1,IF(OR($B186="7062",$B186="706",$B186="708"),$P186,IF(AND(LEFT($B186,1)="6",$B186&lt;&gt;"6811"),-$P186,0)),0))</f>
        <v/>
      </c>
    </row>
    <row r="187">
      <c r="A187">
        <f>IF(PNL!A187="","",PNL!A187)</f>
        <v/>
      </c>
      <c r="B187">
        <f>IF(PNL!B187="","",PNL!B187)</f>
        <v/>
      </c>
      <c r="C187">
        <f>IF(PNL!C187="","",PNL!C187)</f>
        <v/>
      </c>
      <c r="D187">
        <f>IF(PNL!D187="","",PNL!D187)</f>
        <v/>
      </c>
      <c r="E187">
        <f>IF($A187="","",IF(AND($C187="2027",OR($D187="V01",$D187="V02",$D187="V03")),1,0))</f>
        <v/>
      </c>
      <c r="F187">
        <f>IF($A187="","",IF($E187=1,SUMIFS(Comptabilité!$F$1:$F$675,Comptabilité!$A$1:$A$675,$A187,Comptabilité!$B$1:$B$675,$B187,Comptabilité!$C$1:$C$675,"2026"),0))</f>
        <v/>
      </c>
      <c r="G187">
        <f>IF($A187="","",IF($D187="V01",Cadrage!$C$22,IF($D187="V02",Cadrage!$D$22,Cadrage!$E$22)))</f>
        <v/>
      </c>
      <c r="H187">
        <f>IF($A187="","",IF($D187="V01",Cadrage!$C$23,IF($D187="V02",Cadrage!$D$23,Cadrage!$E$23)))</f>
        <v/>
      </c>
      <c r="I187">
        <f>IF($A187="","",IF($D187="V01",Cadrage!$C$31,IF($D187="V02",Cadrage!$D$31,Cadrage!$E$31)))</f>
        <v/>
      </c>
      <c r="J187">
        <f>IF($A187="","",IF($D187="V01",Cadrage!$C$32,IF($D187="V02",Cadrage!$D$32,Cadrage!$E$32)))</f>
        <v/>
      </c>
      <c r="K187">
        <f>IF($A187="","",IF($D187="V01",Cadrage!$C$33,IF($D187="V02",Cadrage!$D$33,Cadrage!$E$33)))</f>
        <v/>
      </c>
      <c r="L187">
        <f>IF($A187="","",IF($D187="V01",Cadrage!$C$34,IF($D187="V02",Cadrage!$D$34,Cadrage!$E$34)))</f>
        <v/>
      </c>
      <c r="M187">
        <f>IF($A187="","",IF($D187="V01",Cadrage!$C$35,IF($D187="V02",Cadrage!$D$35,Cadrage!$E$35)))</f>
        <v/>
      </c>
      <c r="N187">
        <f>IF($A187="","",IF($D187="V01",$R$2,IF($D187="V02",$R$3,$R$4)))</f>
        <v/>
      </c>
      <c r="O187">
        <f>IF($A187="","",IF(OR($B187="7062",$B187="706",$B187="708"),$N187,IF($B187="6231",1+$G187,IF($B187="6236",1+$H187,IF(OR($B187="621",$B187="604",$B187="6063"),$N187*(1-$L187),IF(OR($B187="6411",$B187="6413",$B187="6414",$B187="645"),(1+$J187)*(1+$K187),IF(OR($B187="613",$B187="615",$B187="616",$B187="6226",$B187="625",$B187="626",$B187="6281"),(1+$I187)*(1-$L187)*(1+$M187),IF(OR($B187="6331",$B187="63511",$B187="6333"),(1+$I187)*(1-$L187),IF($B187="6811",1+$I187,1)))))))))</f>
        <v/>
      </c>
      <c r="P187">
        <f>IF($A187="","",IF($E187=1,$F187*$O187,PNL!G187))</f>
        <v/>
      </c>
      <c r="T187">
        <f>IF($A187="","",IF($E187=1,IF(OR($B187="7062",$B187="706",$B187="708"),$P187,IF(AND(LEFT($B187,1)="6",$B187&lt;&gt;"6811"),-$P187,0)),0))</f>
        <v/>
      </c>
    </row>
    <row r="188">
      <c r="A188">
        <f>IF(PNL!A188="","",PNL!A188)</f>
        <v/>
      </c>
      <c r="B188">
        <f>IF(PNL!B188="","",PNL!B188)</f>
        <v/>
      </c>
      <c r="C188">
        <f>IF(PNL!C188="","",PNL!C188)</f>
        <v/>
      </c>
      <c r="D188">
        <f>IF(PNL!D188="","",PNL!D188)</f>
        <v/>
      </c>
      <c r="E188">
        <f>IF($A188="","",IF(AND($C188="2027",OR($D188="V01",$D188="V02",$D188="V03")),1,0))</f>
        <v/>
      </c>
      <c r="F188">
        <f>IF($A188="","",IF($E188=1,SUMIFS(Comptabilité!$F$1:$F$675,Comptabilité!$A$1:$A$675,$A188,Comptabilité!$B$1:$B$675,$B188,Comptabilité!$C$1:$C$675,"2026"),0))</f>
        <v/>
      </c>
      <c r="G188">
        <f>IF($A188="","",IF($D188="V01",Cadrage!$C$22,IF($D188="V02",Cadrage!$D$22,Cadrage!$E$22)))</f>
        <v/>
      </c>
      <c r="H188">
        <f>IF($A188="","",IF($D188="V01",Cadrage!$C$23,IF($D188="V02",Cadrage!$D$23,Cadrage!$E$23)))</f>
        <v/>
      </c>
      <c r="I188">
        <f>IF($A188="","",IF($D188="V01",Cadrage!$C$31,IF($D188="V02",Cadrage!$D$31,Cadrage!$E$31)))</f>
        <v/>
      </c>
      <c r="J188">
        <f>IF($A188="","",IF($D188="V01",Cadrage!$C$32,IF($D188="V02",Cadrage!$D$32,Cadrage!$E$32)))</f>
        <v/>
      </c>
      <c r="K188">
        <f>IF($A188="","",IF($D188="V01",Cadrage!$C$33,IF($D188="V02",Cadrage!$D$33,Cadrage!$E$33)))</f>
        <v/>
      </c>
      <c r="L188">
        <f>IF($A188="","",IF($D188="V01",Cadrage!$C$34,IF($D188="V02",Cadrage!$D$34,Cadrage!$E$34)))</f>
        <v/>
      </c>
      <c r="M188">
        <f>IF($A188="","",IF($D188="V01",Cadrage!$C$35,IF($D188="V02",Cadrage!$D$35,Cadrage!$E$35)))</f>
        <v/>
      </c>
      <c r="N188">
        <f>IF($A188="","",IF($D188="V01",$R$2,IF($D188="V02",$R$3,$R$4)))</f>
        <v/>
      </c>
      <c r="O188">
        <f>IF($A188="","",IF(OR($B188="7062",$B188="706",$B188="708"),$N188,IF($B188="6231",1+$G188,IF($B188="6236",1+$H188,IF(OR($B188="621",$B188="604",$B188="6063"),$N188*(1-$L188),IF(OR($B188="6411",$B188="6413",$B188="6414",$B188="645"),(1+$J188)*(1+$K188),IF(OR($B188="613",$B188="615",$B188="616",$B188="6226",$B188="625",$B188="626",$B188="6281"),(1+$I188)*(1-$L188)*(1+$M188),IF(OR($B188="6331",$B188="63511",$B188="6333"),(1+$I188)*(1-$L188),IF($B188="6811",1+$I188,1)))))))))</f>
        <v/>
      </c>
      <c r="P188">
        <f>IF($A188="","",IF($E188=1,$F188*$O188,PNL!G188))</f>
        <v/>
      </c>
      <c r="T188">
        <f>IF($A188="","",IF($E188=1,IF(OR($B188="7062",$B188="706",$B188="708"),$P188,IF(AND(LEFT($B188,1)="6",$B188&lt;&gt;"6811"),-$P188,0)),0))</f>
        <v/>
      </c>
    </row>
    <row r="189">
      <c r="A189">
        <f>IF(PNL!A189="","",PNL!A189)</f>
        <v/>
      </c>
      <c r="B189">
        <f>IF(PNL!B189="","",PNL!B189)</f>
        <v/>
      </c>
      <c r="C189">
        <f>IF(PNL!C189="","",PNL!C189)</f>
        <v/>
      </c>
      <c r="D189">
        <f>IF(PNL!D189="","",PNL!D189)</f>
        <v/>
      </c>
      <c r="E189">
        <f>IF($A189="","",IF(AND($C189="2027",OR($D189="V01",$D189="V02",$D189="V03")),1,0))</f>
        <v/>
      </c>
      <c r="F189">
        <f>IF($A189="","",IF($E189=1,SUMIFS(Comptabilité!$F$1:$F$675,Comptabilité!$A$1:$A$675,$A189,Comptabilité!$B$1:$B$675,$B189,Comptabilité!$C$1:$C$675,"2026"),0))</f>
        <v/>
      </c>
      <c r="G189">
        <f>IF($A189="","",IF($D189="V01",Cadrage!$C$22,IF($D189="V02",Cadrage!$D$22,Cadrage!$E$22)))</f>
        <v/>
      </c>
      <c r="H189">
        <f>IF($A189="","",IF($D189="V01",Cadrage!$C$23,IF($D189="V02",Cadrage!$D$23,Cadrage!$E$23)))</f>
        <v/>
      </c>
      <c r="I189">
        <f>IF($A189="","",IF($D189="V01",Cadrage!$C$31,IF($D189="V02",Cadrage!$D$31,Cadrage!$E$31)))</f>
        <v/>
      </c>
      <c r="J189">
        <f>IF($A189="","",IF($D189="V01",Cadrage!$C$32,IF($D189="V02",Cadrage!$D$32,Cadrage!$E$32)))</f>
        <v/>
      </c>
      <c r="K189">
        <f>IF($A189="","",IF($D189="V01",Cadrage!$C$33,IF($D189="V02",Cadrage!$D$33,Cadrage!$E$33)))</f>
        <v/>
      </c>
      <c r="L189">
        <f>IF($A189="","",IF($D189="V01",Cadrage!$C$34,IF($D189="V02",Cadrage!$D$34,Cadrage!$E$34)))</f>
        <v/>
      </c>
      <c r="M189">
        <f>IF($A189="","",IF($D189="V01",Cadrage!$C$35,IF($D189="V02",Cadrage!$D$35,Cadrage!$E$35)))</f>
        <v/>
      </c>
      <c r="N189">
        <f>IF($A189="","",IF($D189="V01",$R$2,IF($D189="V02",$R$3,$R$4)))</f>
        <v/>
      </c>
      <c r="O189">
        <f>IF($A189="","",IF(OR($B189="7062",$B189="706",$B189="708"),$N189,IF($B189="6231",1+$G189,IF($B189="6236",1+$H189,IF(OR($B189="621",$B189="604",$B189="6063"),$N189*(1-$L189),IF(OR($B189="6411",$B189="6413",$B189="6414",$B189="645"),(1+$J189)*(1+$K189),IF(OR($B189="613",$B189="615",$B189="616",$B189="6226",$B189="625",$B189="626",$B189="6281"),(1+$I189)*(1-$L189)*(1+$M189),IF(OR($B189="6331",$B189="63511",$B189="6333"),(1+$I189)*(1-$L189),IF($B189="6811",1+$I189,1)))))))))</f>
        <v/>
      </c>
      <c r="P189">
        <f>IF($A189="","",IF($E189=1,$F189*$O189,PNL!G189))</f>
        <v/>
      </c>
      <c r="T189">
        <f>IF($A189="","",IF($E189=1,IF(OR($B189="7062",$B189="706",$B189="708"),$P189,IF(AND(LEFT($B189,1)="6",$B189&lt;&gt;"6811"),-$P189,0)),0))</f>
        <v/>
      </c>
    </row>
    <row r="190">
      <c r="A190">
        <f>IF(PNL!A190="","",PNL!A190)</f>
        <v/>
      </c>
      <c r="B190">
        <f>IF(PNL!B190="","",PNL!B190)</f>
        <v/>
      </c>
      <c r="C190">
        <f>IF(PNL!C190="","",PNL!C190)</f>
        <v/>
      </c>
      <c r="D190">
        <f>IF(PNL!D190="","",PNL!D190)</f>
        <v/>
      </c>
      <c r="E190">
        <f>IF($A190="","",IF(AND($C190="2027",OR($D190="V01",$D190="V02",$D190="V03")),1,0))</f>
        <v/>
      </c>
      <c r="F190">
        <f>IF($A190="","",IF($E190=1,SUMIFS(Comptabilité!$F$1:$F$675,Comptabilité!$A$1:$A$675,$A190,Comptabilité!$B$1:$B$675,$B190,Comptabilité!$C$1:$C$675,"2026"),0))</f>
        <v/>
      </c>
      <c r="G190">
        <f>IF($A190="","",IF($D190="V01",Cadrage!$C$22,IF($D190="V02",Cadrage!$D$22,Cadrage!$E$22)))</f>
        <v/>
      </c>
      <c r="H190">
        <f>IF($A190="","",IF($D190="V01",Cadrage!$C$23,IF($D190="V02",Cadrage!$D$23,Cadrage!$E$23)))</f>
        <v/>
      </c>
      <c r="I190">
        <f>IF($A190="","",IF($D190="V01",Cadrage!$C$31,IF($D190="V02",Cadrage!$D$31,Cadrage!$E$31)))</f>
        <v/>
      </c>
      <c r="J190">
        <f>IF($A190="","",IF($D190="V01",Cadrage!$C$32,IF($D190="V02",Cadrage!$D$32,Cadrage!$E$32)))</f>
        <v/>
      </c>
      <c r="K190">
        <f>IF($A190="","",IF($D190="V01",Cadrage!$C$33,IF($D190="V02",Cadrage!$D$33,Cadrage!$E$33)))</f>
        <v/>
      </c>
      <c r="L190">
        <f>IF($A190="","",IF($D190="V01",Cadrage!$C$34,IF($D190="V02",Cadrage!$D$34,Cadrage!$E$34)))</f>
        <v/>
      </c>
      <c r="M190">
        <f>IF($A190="","",IF($D190="V01",Cadrage!$C$35,IF($D190="V02",Cadrage!$D$35,Cadrage!$E$35)))</f>
        <v/>
      </c>
      <c r="N190">
        <f>IF($A190="","",IF($D190="V01",$R$2,IF($D190="V02",$R$3,$R$4)))</f>
        <v/>
      </c>
      <c r="O190">
        <f>IF($A190="","",IF(OR($B190="7062",$B190="706",$B190="708"),$N190,IF($B190="6231",1+$G190,IF($B190="6236",1+$H190,IF(OR($B190="621",$B190="604",$B190="6063"),$N190*(1-$L190),IF(OR($B190="6411",$B190="6413",$B190="6414",$B190="645"),(1+$J190)*(1+$K190),IF(OR($B190="613",$B190="615",$B190="616",$B190="6226",$B190="625",$B190="626",$B190="6281"),(1+$I190)*(1-$L190)*(1+$M190),IF(OR($B190="6331",$B190="63511",$B190="6333"),(1+$I190)*(1-$L190),IF($B190="6811",1+$I190,1)))))))))</f>
        <v/>
      </c>
      <c r="P190">
        <f>IF($A190="","",IF($E190=1,$F190*$O190,PNL!G190))</f>
        <v/>
      </c>
      <c r="T190">
        <f>IF($A190="","",IF($E190=1,IF(OR($B190="7062",$B190="706",$B190="708"),$P190,IF(AND(LEFT($B190,1)="6",$B190&lt;&gt;"6811"),-$P190,0)),0))</f>
        <v/>
      </c>
    </row>
    <row r="191">
      <c r="A191">
        <f>IF(PNL!A191="","",PNL!A191)</f>
        <v/>
      </c>
      <c r="B191">
        <f>IF(PNL!B191="","",PNL!B191)</f>
        <v/>
      </c>
      <c r="C191">
        <f>IF(PNL!C191="","",PNL!C191)</f>
        <v/>
      </c>
      <c r="D191">
        <f>IF(PNL!D191="","",PNL!D191)</f>
        <v/>
      </c>
      <c r="E191">
        <f>IF($A191="","",IF(AND($C191="2027",OR($D191="V01",$D191="V02",$D191="V03")),1,0))</f>
        <v/>
      </c>
      <c r="F191">
        <f>IF($A191="","",IF($E191=1,SUMIFS(Comptabilité!$F$1:$F$675,Comptabilité!$A$1:$A$675,$A191,Comptabilité!$B$1:$B$675,$B191,Comptabilité!$C$1:$C$675,"2026"),0))</f>
        <v/>
      </c>
      <c r="G191">
        <f>IF($A191="","",IF($D191="V01",Cadrage!$C$22,IF($D191="V02",Cadrage!$D$22,Cadrage!$E$22)))</f>
        <v/>
      </c>
      <c r="H191">
        <f>IF($A191="","",IF($D191="V01",Cadrage!$C$23,IF($D191="V02",Cadrage!$D$23,Cadrage!$E$23)))</f>
        <v/>
      </c>
      <c r="I191">
        <f>IF($A191="","",IF($D191="V01",Cadrage!$C$31,IF($D191="V02",Cadrage!$D$31,Cadrage!$E$31)))</f>
        <v/>
      </c>
      <c r="J191">
        <f>IF($A191="","",IF($D191="V01",Cadrage!$C$32,IF($D191="V02",Cadrage!$D$32,Cadrage!$E$32)))</f>
        <v/>
      </c>
      <c r="K191">
        <f>IF($A191="","",IF($D191="V01",Cadrage!$C$33,IF($D191="V02",Cadrage!$D$33,Cadrage!$E$33)))</f>
        <v/>
      </c>
      <c r="L191">
        <f>IF($A191="","",IF($D191="V01",Cadrage!$C$34,IF($D191="V02",Cadrage!$D$34,Cadrage!$E$34)))</f>
        <v/>
      </c>
      <c r="M191">
        <f>IF($A191="","",IF($D191="V01",Cadrage!$C$35,IF($D191="V02",Cadrage!$D$35,Cadrage!$E$35)))</f>
        <v/>
      </c>
      <c r="N191">
        <f>IF($A191="","",IF($D191="V01",$R$2,IF($D191="V02",$R$3,$R$4)))</f>
        <v/>
      </c>
      <c r="O191">
        <f>IF($A191="","",IF(OR($B191="7062",$B191="706",$B191="708"),$N191,IF($B191="6231",1+$G191,IF($B191="6236",1+$H191,IF(OR($B191="621",$B191="604",$B191="6063"),$N191*(1-$L191),IF(OR($B191="6411",$B191="6413",$B191="6414",$B191="645"),(1+$J191)*(1+$K191),IF(OR($B191="613",$B191="615",$B191="616",$B191="6226",$B191="625",$B191="626",$B191="6281"),(1+$I191)*(1-$L191)*(1+$M191),IF(OR($B191="6331",$B191="63511",$B191="6333"),(1+$I191)*(1-$L191),IF($B191="6811",1+$I191,1)))))))))</f>
        <v/>
      </c>
      <c r="P191">
        <f>IF($A191="","",IF($E191=1,$F191*$O191,PNL!G191))</f>
        <v/>
      </c>
      <c r="T191">
        <f>IF($A191="","",IF($E191=1,IF(OR($B191="7062",$B191="706",$B191="708"),$P191,IF(AND(LEFT($B191,1)="6",$B191&lt;&gt;"6811"),-$P191,0)),0))</f>
        <v/>
      </c>
    </row>
    <row r="192">
      <c r="A192">
        <f>IF(PNL!A192="","",PNL!A192)</f>
        <v/>
      </c>
      <c r="B192">
        <f>IF(PNL!B192="","",PNL!B192)</f>
        <v/>
      </c>
      <c r="C192">
        <f>IF(PNL!C192="","",PNL!C192)</f>
        <v/>
      </c>
      <c r="D192">
        <f>IF(PNL!D192="","",PNL!D192)</f>
        <v/>
      </c>
      <c r="E192">
        <f>IF($A192="","",IF(AND($C192="2027",OR($D192="V01",$D192="V02",$D192="V03")),1,0))</f>
        <v/>
      </c>
      <c r="F192">
        <f>IF($A192="","",IF($E192=1,SUMIFS(Comptabilité!$F$1:$F$675,Comptabilité!$A$1:$A$675,$A192,Comptabilité!$B$1:$B$675,$B192,Comptabilité!$C$1:$C$675,"2026"),0))</f>
        <v/>
      </c>
      <c r="G192">
        <f>IF($A192="","",IF($D192="V01",Cadrage!$C$22,IF($D192="V02",Cadrage!$D$22,Cadrage!$E$22)))</f>
        <v/>
      </c>
      <c r="H192">
        <f>IF($A192="","",IF($D192="V01",Cadrage!$C$23,IF($D192="V02",Cadrage!$D$23,Cadrage!$E$23)))</f>
        <v/>
      </c>
      <c r="I192">
        <f>IF($A192="","",IF($D192="V01",Cadrage!$C$31,IF($D192="V02",Cadrage!$D$31,Cadrage!$E$31)))</f>
        <v/>
      </c>
      <c r="J192">
        <f>IF($A192="","",IF($D192="V01",Cadrage!$C$32,IF($D192="V02",Cadrage!$D$32,Cadrage!$E$32)))</f>
        <v/>
      </c>
      <c r="K192">
        <f>IF($A192="","",IF($D192="V01",Cadrage!$C$33,IF($D192="V02",Cadrage!$D$33,Cadrage!$E$33)))</f>
        <v/>
      </c>
      <c r="L192">
        <f>IF($A192="","",IF($D192="V01",Cadrage!$C$34,IF($D192="V02",Cadrage!$D$34,Cadrage!$E$34)))</f>
        <v/>
      </c>
      <c r="M192">
        <f>IF($A192="","",IF($D192="V01",Cadrage!$C$35,IF($D192="V02",Cadrage!$D$35,Cadrage!$E$35)))</f>
        <v/>
      </c>
      <c r="N192">
        <f>IF($A192="","",IF($D192="V01",$R$2,IF($D192="V02",$R$3,$R$4)))</f>
        <v/>
      </c>
      <c r="O192">
        <f>IF($A192="","",IF(OR($B192="7062",$B192="706",$B192="708"),$N192,IF($B192="6231",1+$G192,IF($B192="6236",1+$H192,IF(OR($B192="621",$B192="604",$B192="6063"),$N192*(1-$L192),IF(OR($B192="6411",$B192="6413",$B192="6414",$B192="645"),(1+$J192)*(1+$K192),IF(OR($B192="613",$B192="615",$B192="616",$B192="6226",$B192="625",$B192="626",$B192="6281"),(1+$I192)*(1-$L192)*(1+$M192),IF(OR($B192="6331",$B192="63511",$B192="6333"),(1+$I192)*(1-$L192),IF($B192="6811",1+$I192,1)))))))))</f>
        <v/>
      </c>
      <c r="P192">
        <f>IF($A192="","",IF($E192=1,$F192*$O192,PNL!G192))</f>
        <v/>
      </c>
      <c r="T192">
        <f>IF($A192="","",IF($E192=1,IF(OR($B192="7062",$B192="706",$B192="708"),$P192,IF(AND(LEFT($B192,1)="6",$B192&lt;&gt;"6811"),-$P192,0)),0))</f>
        <v/>
      </c>
    </row>
    <row r="193">
      <c r="A193">
        <f>IF(PNL!A193="","",PNL!A193)</f>
        <v/>
      </c>
      <c r="B193">
        <f>IF(PNL!B193="","",PNL!B193)</f>
        <v/>
      </c>
      <c r="C193">
        <f>IF(PNL!C193="","",PNL!C193)</f>
        <v/>
      </c>
      <c r="D193">
        <f>IF(PNL!D193="","",PNL!D193)</f>
        <v/>
      </c>
      <c r="E193">
        <f>IF($A193="","",IF(AND($C193="2027",OR($D193="V01",$D193="V02",$D193="V03")),1,0))</f>
        <v/>
      </c>
      <c r="F193">
        <f>IF($A193="","",IF($E193=1,SUMIFS(Comptabilité!$F$1:$F$675,Comptabilité!$A$1:$A$675,$A193,Comptabilité!$B$1:$B$675,$B193,Comptabilité!$C$1:$C$675,"2026"),0))</f>
        <v/>
      </c>
      <c r="G193">
        <f>IF($A193="","",IF($D193="V01",Cadrage!$C$22,IF($D193="V02",Cadrage!$D$22,Cadrage!$E$22)))</f>
        <v/>
      </c>
      <c r="H193">
        <f>IF($A193="","",IF($D193="V01",Cadrage!$C$23,IF($D193="V02",Cadrage!$D$23,Cadrage!$E$23)))</f>
        <v/>
      </c>
      <c r="I193">
        <f>IF($A193="","",IF($D193="V01",Cadrage!$C$31,IF($D193="V02",Cadrage!$D$31,Cadrage!$E$31)))</f>
        <v/>
      </c>
      <c r="J193">
        <f>IF($A193="","",IF($D193="V01",Cadrage!$C$32,IF($D193="V02",Cadrage!$D$32,Cadrage!$E$32)))</f>
        <v/>
      </c>
      <c r="K193">
        <f>IF($A193="","",IF($D193="V01",Cadrage!$C$33,IF($D193="V02",Cadrage!$D$33,Cadrage!$E$33)))</f>
        <v/>
      </c>
      <c r="L193">
        <f>IF($A193="","",IF($D193="V01",Cadrage!$C$34,IF($D193="V02",Cadrage!$D$34,Cadrage!$E$34)))</f>
        <v/>
      </c>
      <c r="M193">
        <f>IF($A193="","",IF($D193="V01",Cadrage!$C$35,IF($D193="V02",Cadrage!$D$35,Cadrage!$E$35)))</f>
        <v/>
      </c>
      <c r="N193">
        <f>IF($A193="","",IF($D193="V01",$R$2,IF($D193="V02",$R$3,$R$4)))</f>
        <v/>
      </c>
      <c r="O193">
        <f>IF($A193="","",IF(OR($B193="7062",$B193="706",$B193="708"),$N193,IF($B193="6231",1+$G193,IF($B193="6236",1+$H193,IF(OR($B193="621",$B193="604",$B193="6063"),$N193*(1-$L193),IF(OR($B193="6411",$B193="6413",$B193="6414",$B193="645"),(1+$J193)*(1+$K193),IF(OR($B193="613",$B193="615",$B193="616",$B193="6226",$B193="625",$B193="626",$B193="6281"),(1+$I193)*(1-$L193)*(1+$M193),IF(OR($B193="6331",$B193="63511",$B193="6333"),(1+$I193)*(1-$L193),IF($B193="6811",1+$I193,1)))))))))</f>
        <v/>
      </c>
      <c r="P193">
        <f>IF($A193="","",IF($E193=1,$F193*$O193,PNL!G193))</f>
        <v/>
      </c>
      <c r="T193">
        <f>IF($A193="","",IF($E193=1,IF(OR($B193="7062",$B193="706",$B193="708"),$P193,IF(AND(LEFT($B193,1)="6",$B193&lt;&gt;"6811"),-$P193,0)),0))</f>
        <v/>
      </c>
    </row>
    <row r="194">
      <c r="A194">
        <f>IF(PNL!A194="","",PNL!A194)</f>
        <v/>
      </c>
      <c r="B194">
        <f>IF(PNL!B194="","",PNL!B194)</f>
        <v/>
      </c>
      <c r="C194">
        <f>IF(PNL!C194="","",PNL!C194)</f>
        <v/>
      </c>
      <c r="D194">
        <f>IF(PNL!D194="","",PNL!D194)</f>
        <v/>
      </c>
      <c r="E194">
        <f>IF($A194="","",IF(AND($C194="2027",OR($D194="V01",$D194="V02",$D194="V03")),1,0))</f>
        <v/>
      </c>
      <c r="F194">
        <f>IF($A194="","",IF($E194=1,SUMIFS(Comptabilité!$F$1:$F$675,Comptabilité!$A$1:$A$675,$A194,Comptabilité!$B$1:$B$675,$B194,Comptabilité!$C$1:$C$675,"2026"),0))</f>
        <v/>
      </c>
      <c r="G194">
        <f>IF($A194="","",IF($D194="V01",Cadrage!$C$22,IF($D194="V02",Cadrage!$D$22,Cadrage!$E$22)))</f>
        <v/>
      </c>
      <c r="H194">
        <f>IF($A194="","",IF($D194="V01",Cadrage!$C$23,IF($D194="V02",Cadrage!$D$23,Cadrage!$E$23)))</f>
        <v/>
      </c>
      <c r="I194">
        <f>IF($A194="","",IF($D194="V01",Cadrage!$C$31,IF($D194="V02",Cadrage!$D$31,Cadrage!$E$31)))</f>
        <v/>
      </c>
      <c r="J194">
        <f>IF($A194="","",IF($D194="V01",Cadrage!$C$32,IF($D194="V02",Cadrage!$D$32,Cadrage!$E$32)))</f>
        <v/>
      </c>
      <c r="K194">
        <f>IF($A194="","",IF($D194="V01",Cadrage!$C$33,IF($D194="V02",Cadrage!$D$33,Cadrage!$E$33)))</f>
        <v/>
      </c>
      <c r="L194">
        <f>IF($A194="","",IF($D194="V01",Cadrage!$C$34,IF($D194="V02",Cadrage!$D$34,Cadrage!$E$34)))</f>
        <v/>
      </c>
      <c r="M194">
        <f>IF($A194="","",IF($D194="V01",Cadrage!$C$35,IF($D194="V02",Cadrage!$D$35,Cadrage!$E$35)))</f>
        <v/>
      </c>
      <c r="N194">
        <f>IF($A194="","",IF($D194="V01",$R$2,IF($D194="V02",$R$3,$R$4)))</f>
        <v/>
      </c>
      <c r="O194">
        <f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>
        <f>IF($A194="","",IF($E194=1,$F194*$O194,PNL!G194))</f>
        <v/>
      </c>
      <c r="T194">
        <f>IF($A194="","",IF($E194=1,IF(OR($B194="7062",$B194="706",$B194="708"),$P194,IF(AND(LEFT($B194,1)="6",$B194&lt;&gt;"6811"),-$P194,0)),0))</f>
        <v/>
      </c>
    </row>
    <row r="195">
      <c r="A195">
        <f>IF(PNL!A195="","",PNL!A195)</f>
        <v/>
      </c>
      <c r="B195">
        <f>IF(PNL!B195="","",PNL!B195)</f>
        <v/>
      </c>
      <c r="C195">
        <f>IF(PNL!C195="","",PNL!C195)</f>
        <v/>
      </c>
      <c r="D195">
        <f>IF(PNL!D195="","",PNL!D195)</f>
        <v/>
      </c>
      <c r="E195">
        <f>IF($A195="","",IF(AND($C195="2027",OR($D195="V01",$D195="V02",$D195="V03")),1,0))</f>
        <v/>
      </c>
      <c r="F195">
        <f>IF($A195="","",IF($E195=1,SUMIFS(Comptabilité!$F$1:$F$675,Comptabilité!$A$1:$A$675,$A195,Comptabilité!$B$1:$B$675,$B195,Comptabilité!$C$1:$C$675,"2026"),0))</f>
        <v/>
      </c>
      <c r="G195">
        <f>IF($A195="","",IF($D195="V01",Cadrage!$C$22,IF($D195="V02",Cadrage!$D$22,Cadrage!$E$22)))</f>
        <v/>
      </c>
      <c r="H195">
        <f>IF($A195="","",IF($D195="V01",Cadrage!$C$23,IF($D195="V02",Cadrage!$D$23,Cadrage!$E$23)))</f>
        <v/>
      </c>
      <c r="I195">
        <f>IF($A195="","",IF($D195="V01",Cadrage!$C$31,IF($D195="V02",Cadrage!$D$31,Cadrage!$E$31)))</f>
        <v/>
      </c>
      <c r="J195">
        <f>IF($A195="","",IF($D195="V01",Cadrage!$C$32,IF($D195="V02",Cadrage!$D$32,Cadrage!$E$32)))</f>
        <v/>
      </c>
      <c r="K195">
        <f>IF($A195="","",IF($D195="V01",Cadrage!$C$33,IF($D195="V02",Cadrage!$D$33,Cadrage!$E$33)))</f>
        <v/>
      </c>
      <c r="L195">
        <f>IF($A195="","",IF($D195="V01",Cadrage!$C$34,IF($D195="V02",Cadrage!$D$34,Cadrage!$E$34)))</f>
        <v/>
      </c>
      <c r="M195">
        <f>IF($A195="","",IF($D195="V01",Cadrage!$C$35,IF($D195="V02",Cadrage!$D$35,Cadrage!$E$35)))</f>
        <v/>
      </c>
      <c r="N195">
        <f>IF($A195="","",IF($D195="V01",$R$2,IF($D195="V02",$R$3,$R$4)))</f>
        <v/>
      </c>
      <c r="O195">
        <f>IF($A195="","",IF(OR($B195="7062",$B195="706",$B195="708"),$N195,IF($B195="6231",1+$G195,IF($B195="6236",1+$H195,IF(OR($B195="621",$B195="604",$B195="6063"),$N195*(1-$L195),IF(OR($B195="6411",$B195="6413",$B195="6414",$B195="645"),(1+$J195)*(1+$K195),IF(OR($B195="613",$B195="615",$B195="616",$B195="6226",$B195="625",$B195="626",$B195="6281"),(1+$I195)*(1-$L195)*(1+$M195),IF(OR($B195="6331",$B195="63511",$B195="6333"),(1+$I195)*(1-$L195),IF($B195="6811",1+$I195,1)))))))))</f>
        <v/>
      </c>
      <c r="P195">
        <f>IF($A195="","",IF($E195=1,$F195*$O195,PNL!G195))</f>
        <v/>
      </c>
      <c r="T195">
        <f>IF($A195="","",IF($E195=1,IF(OR($B195="7062",$B195="706",$B195="708"),$P195,IF(AND(LEFT($B195,1)="6",$B195&lt;&gt;"6811"),-$P195,0)),0))</f>
        <v/>
      </c>
    </row>
    <row r="196">
      <c r="A196">
        <f>IF(PNL!A196="","",PNL!A196)</f>
        <v/>
      </c>
      <c r="B196">
        <f>IF(PNL!B196="","",PNL!B196)</f>
        <v/>
      </c>
      <c r="C196">
        <f>IF(PNL!C196="","",PNL!C196)</f>
        <v/>
      </c>
      <c r="D196">
        <f>IF(PNL!D196="","",PNL!D196)</f>
        <v/>
      </c>
      <c r="E196">
        <f>IF($A196="","",IF(AND($C196="2027",OR($D196="V01",$D196="V02",$D196="V03")),1,0))</f>
        <v/>
      </c>
      <c r="F196">
        <f>IF($A196="","",IF($E196=1,SUMIFS(Comptabilité!$F$1:$F$675,Comptabilité!$A$1:$A$675,$A196,Comptabilité!$B$1:$B$675,$B196,Comptabilité!$C$1:$C$675,"2026"),0))</f>
        <v/>
      </c>
      <c r="G196">
        <f>IF($A196="","",IF($D196="V01",Cadrage!$C$22,IF($D196="V02",Cadrage!$D$22,Cadrage!$E$22)))</f>
        <v/>
      </c>
      <c r="H196">
        <f>IF($A196="","",IF($D196="V01",Cadrage!$C$23,IF($D196="V02",Cadrage!$D$23,Cadrage!$E$23)))</f>
        <v/>
      </c>
      <c r="I196">
        <f>IF($A196="","",IF($D196="V01",Cadrage!$C$31,IF($D196="V02",Cadrage!$D$31,Cadrage!$E$31)))</f>
        <v/>
      </c>
      <c r="J196">
        <f>IF($A196="","",IF($D196="V01",Cadrage!$C$32,IF($D196="V02",Cadrage!$D$32,Cadrage!$E$32)))</f>
        <v/>
      </c>
      <c r="K196">
        <f>IF($A196="","",IF($D196="V01",Cadrage!$C$33,IF($D196="V02",Cadrage!$D$33,Cadrage!$E$33)))</f>
        <v/>
      </c>
      <c r="L196">
        <f>IF($A196="","",IF($D196="V01",Cadrage!$C$34,IF($D196="V02",Cadrage!$D$34,Cadrage!$E$34)))</f>
        <v/>
      </c>
      <c r="M196">
        <f>IF($A196="","",IF($D196="V01",Cadrage!$C$35,IF($D196="V02",Cadrage!$D$35,Cadrage!$E$35)))</f>
        <v/>
      </c>
      <c r="N196">
        <f>IF($A196="","",IF($D196="V01",$R$2,IF($D196="V02",$R$3,$R$4)))</f>
        <v/>
      </c>
      <c r="O196">
        <f>IF($A196="","",IF(OR($B196="7062",$B196="706",$B196="708"),$N196,IF($B196="6231",1+$G196,IF($B196="6236",1+$H196,IF(OR($B196="621",$B196="604",$B196="6063"),$N196*(1-$L196),IF(OR($B196="6411",$B196="6413",$B196="6414",$B196="645"),(1+$J196)*(1+$K196),IF(OR($B196="613",$B196="615",$B196="616",$B196="6226",$B196="625",$B196="626",$B196="6281"),(1+$I196)*(1-$L196)*(1+$M196),IF(OR($B196="6331",$B196="63511",$B196="6333"),(1+$I196)*(1-$L196),IF($B196="6811",1+$I196,1)))))))))</f>
        <v/>
      </c>
      <c r="P196">
        <f>IF($A196="","",IF($E196=1,$F196*$O196,PNL!G196))</f>
        <v/>
      </c>
      <c r="T196">
        <f>IF($A196="","",IF($E196=1,IF(OR($B196="7062",$B196="706",$B196="708"),$P196,IF(AND(LEFT($B196,1)="6",$B196&lt;&gt;"6811"),-$P196,0)),0))</f>
        <v/>
      </c>
    </row>
    <row r="197">
      <c r="A197">
        <f>IF(PNL!A197="","",PNL!A197)</f>
        <v/>
      </c>
      <c r="B197">
        <f>IF(PNL!B197="","",PNL!B197)</f>
        <v/>
      </c>
      <c r="C197">
        <f>IF(PNL!C197="","",PNL!C197)</f>
        <v/>
      </c>
      <c r="D197">
        <f>IF(PNL!D197="","",PNL!D197)</f>
        <v/>
      </c>
      <c r="E197">
        <f>IF($A197="","",IF(AND($C197="2027",OR($D197="V01",$D197="V02",$D197="V03")),1,0))</f>
        <v/>
      </c>
      <c r="F197">
        <f>IF($A197="","",IF($E197=1,SUMIFS(Comptabilité!$F$1:$F$675,Comptabilité!$A$1:$A$675,$A197,Comptabilité!$B$1:$B$675,$B197,Comptabilité!$C$1:$C$675,"2026"),0))</f>
        <v/>
      </c>
      <c r="G197">
        <f>IF($A197="","",IF($D197="V01",Cadrage!$C$22,IF($D197="V02",Cadrage!$D$22,Cadrage!$E$22)))</f>
        <v/>
      </c>
      <c r="H197">
        <f>IF($A197="","",IF($D197="V01",Cadrage!$C$23,IF($D197="V02",Cadrage!$D$23,Cadrage!$E$23)))</f>
        <v/>
      </c>
      <c r="I197">
        <f>IF($A197="","",IF($D197="V01",Cadrage!$C$31,IF($D197="V02",Cadrage!$D$31,Cadrage!$E$31)))</f>
        <v/>
      </c>
      <c r="J197">
        <f>IF($A197="","",IF($D197="V01",Cadrage!$C$32,IF($D197="V02",Cadrage!$D$32,Cadrage!$E$32)))</f>
        <v/>
      </c>
      <c r="K197">
        <f>IF($A197="","",IF($D197="V01",Cadrage!$C$33,IF($D197="V02",Cadrage!$D$33,Cadrage!$E$33)))</f>
        <v/>
      </c>
      <c r="L197">
        <f>IF($A197="","",IF($D197="V01",Cadrage!$C$34,IF($D197="V02",Cadrage!$D$34,Cadrage!$E$34)))</f>
        <v/>
      </c>
      <c r="M197">
        <f>IF($A197="","",IF($D197="V01",Cadrage!$C$35,IF($D197="V02",Cadrage!$D$35,Cadrage!$E$35)))</f>
        <v/>
      </c>
      <c r="N197">
        <f>IF($A197="","",IF($D197="V01",$R$2,IF($D197="V02",$R$3,$R$4)))</f>
        <v/>
      </c>
      <c r="O197">
        <f>IF($A197="","",IF(OR($B197="7062",$B197="706",$B197="708"),$N197,IF($B197="6231",1+$G197,IF($B197="6236",1+$H197,IF(OR($B197="621",$B197="604",$B197="6063"),$N197*(1-$L197),IF(OR($B197="6411",$B197="6413",$B197="6414",$B197="645"),(1+$J197)*(1+$K197),IF(OR($B197="613",$B197="615",$B197="616",$B197="6226",$B197="625",$B197="626",$B197="6281"),(1+$I197)*(1-$L197)*(1+$M197),IF(OR($B197="6331",$B197="63511",$B197="6333"),(1+$I197)*(1-$L197),IF($B197="6811",1+$I197,1)))))))))</f>
        <v/>
      </c>
      <c r="P197">
        <f>IF($A197="","",IF($E197=1,$F197*$O197,PNL!G197))</f>
        <v/>
      </c>
      <c r="T197">
        <f>IF($A197="","",IF($E197=1,IF(OR($B197="7062",$B197="706",$B197="708"),$P197,IF(AND(LEFT($B197,1)="6",$B197&lt;&gt;"6811"),-$P197,0)),0))</f>
        <v/>
      </c>
    </row>
    <row r="198">
      <c r="A198">
        <f>IF(PNL!A198="","",PNL!A198)</f>
        <v/>
      </c>
      <c r="B198">
        <f>IF(PNL!B198="","",PNL!B198)</f>
        <v/>
      </c>
      <c r="C198">
        <f>IF(PNL!C198="","",PNL!C198)</f>
        <v/>
      </c>
      <c r="D198">
        <f>IF(PNL!D198="","",PNL!D198)</f>
        <v/>
      </c>
      <c r="E198">
        <f>IF($A198="","",IF(AND($C198="2027",OR($D198="V01",$D198="V02",$D198="V03")),1,0))</f>
        <v/>
      </c>
      <c r="F198">
        <f>IF($A198="","",IF($E198=1,SUMIFS(Comptabilité!$F$1:$F$675,Comptabilité!$A$1:$A$675,$A198,Comptabilité!$B$1:$B$675,$B198,Comptabilité!$C$1:$C$675,"2026"),0))</f>
        <v/>
      </c>
      <c r="G198">
        <f>IF($A198="","",IF($D198="V01",Cadrage!$C$22,IF($D198="V02",Cadrage!$D$22,Cadrage!$E$22)))</f>
        <v/>
      </c>
      <c r="H198">
        <f>IF($A198="","",IF($D198="V01",Cadrage!$C$23,IF($D198="V02",Cadrage!$D$23,Cadrage!$E$23)))</f>
        <v/>
      </c>
      <c r="I198">
        <f>IF($A198="","",IF($D198="V01",Cadrage!$C$31,IF($D198="V02",Cadrage!$D$31,Cadrage!$E$31)))</f>
        <v/>
      </c>
      <c r="J198">
        <f>IF($A198="","",IF($D198="V01",Cadrage!$C$32,IF($D198="V02",Cadrage!$D$32,Cadrage!$E$32)))</f>
        <v/>
      </c>
      <c r="K198">
        <f>IF($A198="","",IF($D198="V01",Cadrage!$C$33,IF($D198="V02",Cadrage!$D$33,Cadrage!$E$33)))</f>
        <v/>
      </c>
      <c r="L198">
        <f>IF($A198="","",IF($D198="V01",Cadrage!$C$34,IF($D198="V02",Cadrage!$D$34,Cadrage!$E$34)))</f>
        <v/>
      </c>
      <c r="M198">
        <f>IF($A198="","",IF($D198="V01",Cadrage!$C$35,IF($D198="V02",Cadrage!$D$35,Cadrage!$E$35)))</f>
        <v/>
      </c>
      <c r="N198">
        <f>IF($A198="","",IF($D198="V01",$R$2,IF($D198="V02",$R$3,$R$4)))</f>
        <v/>
      </c>
      <c r="O198">
        <f>IF($A198="","",IF(OR($B198="7062",$B198="706",$B198="708"),$N198,IF($B198="6231",1+$G198,IF($B198="6236",1+$H198,IF(OR($B198="621",$B198="604",$B198="6063"),$N198*(1-$L198),IF(OR($B198="6411",$B198="6413",$B198="6414",$B198="645"),(1+$J198)*(1+$K198),IF(OR($B198="613",$B198="615",$B198="616",$B198="6226",$B198="625",$B198="626",$B198="6281"),(1+$I198)*(1-$L198)*(1+$M198),IF(OR($B198="6331",$B198="63511",$B198="6333"),(1+$I198)*(1-$L198),IF($B198="6811",1+$I198,1)))))))))</f>
        <v/>
      </c>
      <c r="P198">
        <f>IF($A198="","",IF($E198=1,$F198*$O198,PNL!G198))</f>
        <v/>
      </c>
      <c r="T198">
        <f>IF($A198="","",IF($E198=1,IF(OR($B198="7062",$B198="706",$B198="708"),$P198,IF(AND(LEFT($B198,1)="6",$B198&lt;&gt;"6811"),-$P198,0)),0))</f>
        <v/>
      </c>
    </row>
    <row r="199">
      <c r="A199">
        <f>IF(PNL!A199="","",PNL!A199)</f>
        <v/>
      </c>
      <c r="B199">
        <f>IF(PNL!B199="","",PNL!B199)</f>
        <v/>
      </c>
      <c r="C199">
        <f>IF(PNL!C199="","",PNL!C199)</f>
        <v/>
      </c>
      <c r="D199">
        <f>IF(PNL!D199="","",PNL!D199)</f>
        <v/>
      </c>
      <c r="E199">
        <f>IF($A199="","",IF(AND($C199="2027",OR($D199="V01",$D199="V02",$D199="V03")),1,0))</f>
        <v/>
      </c>
      <c r="F199">
        <f>IF($A199="","",IF($E199=1,SUMIFS(Comptabilité!$F$1:$F$675,Comptabilité!$A$1:$A$675,$A199,Comptabilité!$B$1:$B$675,$B199,Comptabilité!$C$1:$C$675,"2026"),0))</f>
        <v/>
      </c>
      <c r="G199">
        <f>IF($A199="","",IF($D199="V01",Cadrage!$C$22,IF($D199="V02",Cadrage!$D$22,Cadrage!$E$22)))</f>
        <v/>
      </c>
      <c r="H199">
        <f>IF($A199="","",IF($D199="V01",Cadrage!$C$23,IF($D199="V02",Cadrage!$D$23,Cadrage!$E$23)))</f>
        <v/>
      </c>
      <c r="I199">
        <f>IF($A199="","",IF($D199="V01",Cadrage!$C$31,IF($D199="V02",Cadrage!$D$31,Cadrage!$E$31)))</f>
        <v/>
      </c>
      <c r="J199">
        <f>IF($A199="","",IF($D199="V01",Cadrage!$C$32,IF($D199="V02",Cadrage!$D$32,Cadrage!$E$32)))</f>
        <v/>
      </c>
      <c r="K199">
        <f>IF($A199="","",IF($D199="V01",Cadrage!$C$33,IF($D199="V02",Cadrage!$D$33,Cadrage!$E$33)))</f>
        <v/>
      </c>
      <c r="L199">
        <f>IF($A199="","",IF($D199="V01",Cadrage!$C$34,IF($D199="V02",Cadrage!$D$34,Cadrage!$E$34)))</f>
        <v/>
      </c>
      <c r="M199">
        <f>IF($A199="","",IF($D199="V01",Cadrage!$C$35,IF($D199="V02",Cadrage!$D$35,Cadrage!$E$35)))</f>
        <v/>
      </c>
      <c r="N199">
        <f>IF($A199="","",IF($D199="V01",$R$2,IF($D199="V02",$R$3,$R$4)))</f>
        <v/>
      </c>
      <c r="O199">
        <f>IF($A199="","",IF(OR($B199="7062",$B199="706",$B199="708"),$N199,IF($B199="6231",1+$G199,IF($B199="6236",1+$H199,IF(OR($B199="621",$B199="604",$B199="6063"),$N199*(1-$L199),IF(OR($B199="6411",$B199="6413",$B199="6414",$B199="645"),(1+$J199)*(1+$K199),IF(OR($B199="613",$B199="615",$B199="616",$B199="6226",$B199="625",$B199="626",$B199="6281"),(1+$I199)*(1-$L199)*(1+$M199),IF(OR($B199="6331",$B199="63511",$B199="6333"),(1+$I199)*(1-$L199),IF($B199="6811",1+$I199,1)))))))))</f>
        <v/>
      </c>
      <c r="P199">
        <f>IF($A199="","",IF($E199=1,$F199*$O199,PNL!G199))</f>
        <v/>
      </c>
      <c r="T199">
        <f>IF($A199="","",IF($E199=1,IF(OR($B199="7062",$B199="706",$B199="708"),$P199,IF(AND(LEFT($B199,1)="6",$B199&lt;&gt;"6811"),-$P199,0)),0))</f>
        <v/>
      </c>
    </row>
    <row r="200">
      <c r="A200">
        <f>IF(PNL!A200="","",PNL!A200)</f>
        <v/>
      </c>
      <c r="B200">
        <f>IF(PNL!B200="","",PNL!B200)</f>
        <v/>
      </c>
      <c r="C200">
        <f>IF(PNL!C200="","",PNL!C200)</f>
        <v/>
      </c>
      <c r="D200">
        <f>IF(PNL!D200="","",PNL!D200)</f>
        <v/>
      </c>
      <c r="E200">
        <f>IF($A200="","",IF(AND($C200="2027",OR($D200="V01",$D200="V02",$D200="V03")),1,0))</f>
        <v/>
      </c>
      <c r="F200">
        <f>IF($A200="","",IF($E200=1,SUMIFS(Comptabilité!$F$1:$F$675,Comptabilité!$A$1:$A$675,$A200,Comptabilité!$B$1:$B$675,$B200,Comptabilité!$C$1:$C$675,"2026"),0))</f>
        <v/>
      </c>
      <c r="G200">
        <f>IF($A200="","",IF($D200="V01",Cadrage!$C$22,IF($D200="V02",Cadrage!$D$22,Cadrage!$E$22)))</f>
        <v/>
      </c>
      <c r="H200">
        <f>IF($A200="","",IF($D200="V01",Cadrage!$C$23,IF($D200="V02",Cadrage!$D$23,Cadrage!$E$23)))</f>
        <v/>
      </c>
      <c r="I200">
        <f>IF($A200="","",IF($D200="V01",Cadrage!$C$31,IF($D200="V02",Cadrage!$D$31,Cadrage!$E$31)))</f>
        <v/>
      </c>
      <c r="J200">
        <f>IF($A200="","",IF($D200="V01",Cadrage!$C$32,IF($D200="V02",Cadrage!$D$32,Cadrage!$E$32)))</f>
        <v/>
      </c>
      <c r="K200">
        <f>IF($A200="","",IF($D200="V01",Cadrage!$C$33,IF($D200="V02",Cadrage!$D$33,Cadrage!$E$33)))</f>
        <v/>
      </c>
      <c r="L200">
        <f>IF($A200="","",IF($D200="V01",Cadrage!$C$34,IF($D200="V02",Cadrage!$D$34,Cadrage!$E$34)))</f>
        <v/>
      </c>
      <c r="M200">
        <f>IF($A200="","",IF($D200="V01",Cadrage!$C$35,IF($D200="V02",Cadrage!$D$35,Cadrage!$E$35)))</f>
        <v/>
      </c>
      <c r="N200">
        <f>IF($A200="","",IF($D200="V01",$R$2,IF($D200="V02",$R$3,$R$4)))</f>
        <v/>
      </c>
      <c r="O200">
        <f>IF($A200="","",IF(OR($B200="7062",$B200="706",$B200="708"),$N200,IF($B200="6231",1+$G200,IF($B200="6236",1+$H200,IF(OR($B200="621",$B200="604",$B200="6063"),$N200*(1-$L200),IF(OR($B200="6411",$B200="6413",$B200="6414",$B200="645"),(1+$J200)*(1+$K200),IF(OR($B200="613",$B200="615",$B200="616",$B200="6226",$B200="625",$B200="626",$B200="6281"),(1+$I200)*(1-$L200)*(1+$M200),IF(OR($B200="6331",$B200="63511",$B200="6333"),(1+$I200)*(1-$L200),IF($B200="6811",1+$I200,1)))))))))</f>
        <v/>
      </c>
      <c r="P200">
        <f>IF($A200="","",IF($E200=1,$F200*$O200,PNL!G200))</f>
        <v/>
      </c>
      <c r="T200">
        <f>IF($A200="","",IF($E200=1,IF(OR($B200="7062",$B200="706",$B200="708"),$P200,IF(AND(LEFT($B200,1)="6",$B200&lt;&gt;"6811"),-$P200,0)),0))</f>
        <v/>
      </c>
    </row>
    <row r="201">
      <c r="A201">
        <f>IF(PNL!A201="","",PNL!A201)</f>
        <v/>
      </c>
      <c r="B201">
        <f>IF(PNL!B201="","",PNL!B201)</f>
        <v/>
      </c>
      <c r="C201">
        <f>IF(PNL!C201="","",PNL!C201)</f>
        <v/>
      </c>
      <c r="D201">
        <f>IF(PNL!D201="","",PNL!D201)</f>
        <v/>
      </c>
      <c r="E201">
        <f>IF($A201="","",IF(AND($C201="2027",OR($D201="V01",$D201="V02",$D201="V03")),1,0))</f>
        <v/>
      </c>
      <c r="F201">
        <f>IF($A201="","",IF($E201=1,SUMIFS(Comptabilité!$F$1:$F$675,Comptabilité!$A$1:$A$675,$A201,Comptabilité!$B$1:$B$675,$B201,Comptabilité!$C$1:$C$675,"2026"),0))</f>
        <v/>
      </c>
      <c r="G201">
        <f>IF($A201="","",IF($D201="V01",Cadrage!$C$22,IF($D201="V02",Cadrage!$D$22,Cadrage!$E$22)))</f>
        <v/>
      </c>
      <c r="H201">
        <f>IF($A201="","",IF($D201="V01",Cadrage!$C$23,IF($D201="V02",Cadrage!$D$23,Cadrage!$E$23)))</f>
        <v/>
      </c>
      <c r="I201">
        <f>IF($A201="","",IF($D201="V01",Cadrage!$C$31,IF($D201="V02",Cadrage!$D$31,Cadrage!$E$31)))</f>
        <v/>
      </c>
      <c r="J201">
        <f>IF($A201="","",IF($D201="V01",Cadrage!$C$32,IF($D201="V02",Cadrage!$D$32,Cadrage!$E$32)))</f>
        <v/>
      </c>
      <c r="K201">
        <f>IF($A201="","",IF($D201="V01",Cadrage!$C$33,IF($D201="V02",Cadrage!$D$33,Cadrage!$E$33)))</f>
        <v/>
      </c>
      <c r="L201">
        <f>IF($A201="","",IF($D201="V01",Cadrage!$C$34,IF($D201="V02",Cadrage!$D$34,Cadrage!$E$34)))</f>
        <v/>
      </c>
      <c r="M201">
        <f>IF($A201="","",IF($D201="V01",Cadrage!$C$35,IF($D201="V02",Cadrage!$D$35,Cadrage!$E$35)))</f>
        <v/>
      </c>
      <c r="N201">
        <f>IF($A201="","",IF($D201="V01",$R$2,IF($D201="V02",$R$3,$R$4)))</f>
        <v/>
      </c>
      <c r="O201">
        <f>IF($A201="","",IF(OR($B201="7062",$B201="706",$B201="708"),$N201,IF($B201="6231",1+$G201,IF($B201="6236",1+$H201,IF(OR($B201="621",$B201="604",$B201="6063"),$N201*(1-$L201),IF(OR($B201="6411",$B201="6413",$B201="6414",$B201="645"),(1+$J201)*(1+$K201),IF(OR($B201="613",$B201="615",$B201="616",$B201="6226",$B201="625",$B201="626",$B201="6281"),(1+$I201)*(1-$L201)*(1+$M201),IF(OR($B201="6331",$B201="63511",$B201="6333"),(1+$I201)*(1-$L201),IF($B201="6811",1+$I201,1)))))))))</f>
        <v/>
      </c>
      <c r="P201">
        <f>IF($A201="","",IF($E201=1,$F201*$O201,PNL!G201))</f>
        <v/>
      </c>
      <c r="T201">
        <f>IF($A201="","",IF($E201=1,IF(OR($B201="7062",$B201="706",$B201="708"),$P201,IF(AND(LEFT($B201,1)="6",$B201&lt;&gt;"6811"),-$P201,0)),0))</f>
        <v/>
      </c>
    </row>
    <row r="202">
      <c r="A202">
        <f>IF(PNL!A202="","",PNL!A202)</f>
        <v/>
      </c>
      <c r="B202">
        <f>IF(PNL!B202="","",PNL!B202)</f>
        <v/>
      </c>
      <c r="C202">
        <f>IF(PNL!C202="","",PNL!C202)</f>
        <v/>
      </c>
      <c r="D202">
        <f>IF(PNL!D202="","",PNL!D202)</f>
        <v/>
      </c>
      <c r="E202">
        <f>IF($A202="","",IF(AND($C202="2027",OR($D202="V01",$D202="V02",$D202="V03")),1,0))</f>
        <v/>
      </c>
      <c r="F202">
        <f>IF($A202="","",IF($E202=1,SUMIFS(Comptabilité!$F$1:$F$675,Comptabilité!$A$1:$A$675,$A202,Comptabilité!$B$1:$B$675,$B202,Comptabilité!$C$1:$C$675,"2026"),0))</f>
        <v/>
      </c>
      <c r="G202">
        <f>IF($A202="","",IF($D202="V01",Cadrage!$C$22,IF($D202="V02",Cadrage!$D$22,Cadrage!$E$22)))</f>
        <v/>
      </c>
      <c r="H202">
        <f>IF($A202="","",IF($D202="V01",Cadrage!$C$23,IF($D202="V02",Cadrage!$D$23,Cadrage!$E$23)))</f>
        <v/>
      </c>
      <c r="I202">
        <f>IF($A202="","",IF($D202="V01",Cadrage!$C$31,IF($D202="V02",Cadrage!$D$31,Cadrage!$E$31)))</f>
        <v/>
      </c>
      <c r="J202">
        <f>IF($A202="","",IF($D202="V01",Cadrage!$C$32,IF($D202="V02",Cadrage!$D$32,Cadrage!$E$32)))</f>
        <v/>
      </c>
      <c r="K202">
        <f>IF($A202="","",IF($D202="V01",Cadrage!$C$33,IF($D202="V02",Cadrage!$D$33,Cadrage!$E$33)))</f>
        <v/>
      </c>
      <c r="L202">
        <f>IF($A202="","",IF($D202="V01",Cadrage!$C$34,IF($D202="V02",Cadrage!$D$34,Cadrage!$E$34)))</f>
        <v/>
      </c>
      <c r="M202">
        <f>IF($A202="","",IF($D202="V01",Cadrage!$C$35,IF($D202="V02",Cadrage!$D$35,Cadrage!$E$35)))</f>
        <v/>
      </c>
      <c r="N202">
        <f>IF($A202="","",IF($D202="V01",$R$2,IF($D202="V02",$R$3,$R$4)))</f>
        <v/>
      </c>
      <c r="O202">
        <f>IF($A202="","",IF(OR($B202="7062",$B202="706",$B202="708"),$N202,IF($B202="6231",1+$G202,IF($B202="6236",1+$H202,IF(OR($B202="621",$B202="604",$B202="6063"),$N202*(1-$L202),IF(OR($B202="6411",$B202="6413",$B202="6414",$B202="645"),(1+$J202)*(1+$K202),IF(OR($B202="613",$B202="615",$B202="616",$B202="6226",$B202="625",$B202="626",$B202="6281"),(1+$I202)*(1-$L202)*(1+$M202),IF(OR($B202="6331",$B202="63511",$B202="6333"),(1+$I202)*(1-$L202),IF($B202="6811",1+$I202,1)))))))))</f>
        <v/>
      </c>
      <c r="P202">
        <f>IF($A202="","",IF($E202=1,$F202*$O202,PNL!G202))</f>
        <v/>
      </c>
      <c r="T202">
        <f>IF($A202="","",IF($E202=1,IF(OR($B202="7062",$B202="706",$B202="708"),$P202,IF(AND(LEFT($B202,1)="6",$B202&lt;&gt;"6811"),-$P202,0)),0))</f>
        <v/>
      </c>
    </row>
    <row r="203">
      <c r="A203">
        <f>IF(PNL!A203="","",PNL!A203)</f>
        <v/>
      </c>
      <c r="B203">
        <f>IF(PNL!B203="","",PNL!B203)</f>
        <v/>
      </c>
      <c r="C203">
        <f>IF(PNL!C203="","",PNL!C203)</f>
        <v/>
      </c>
      <c r="D203">
        <f>IF(PNL!D203="","",PNL!D203)</f>
        <v/>
      </c>
      <c r="E203">
        <f>IF($A203="","",IF(AND($C203="2027",OR($D203="V01",$D203="V02",$D203="V03")),1,0))</f>
        <v/>
      </c>
      <c r="F203">
        <f>IF($A203="","",IF($E203=1,SUMIFS(Comptabilité!$F$1:$F$675,Comptabilité!$A$1:$A$675,$A203,Comptabilité!$B$1:$B$675,$B203,Comptabilité!$C$1:$C$675,"2026"),0))</f>
        <v/>
      </c>
      <c r="G203">
        <f>IF($A203="","",IF($D203="V01",Cadrage!$C$22,IF($D203="V02",Cadrage!$D$22,Cadrage!$E$22)))</f>
        <v/>
      </c>
      <c r="H203">
        <f>IF($A203="","",IF($D203="V01",Cadrage!$C$23,IF($D203="V02",Cadrage!$D$23,Cadrage!$E$23)))</f>
        <v/>
      </c>
      <c r="I203">
        <f>IF($A203="","",IF($D203="V01",Cadrage!$C$31,IF($D203="V02",Cadrage!$D$31,Cadrage!$E$31)))</f>
        <v/>
      </c>
      <c r="J203">
        <f>IF($A203="","",IF($D203="V01",Cadrage!$C$32,IF($D203="V02",Cadrage!$D$32,Cadrage!$E$32)))</f>
        <v/>
      </c>
      <c r="K203">
        <f>IF($A203="","",IF($D203="V01",Cadrage!$C$33,IF($D203="V02",Cadrage!$D$33,Cadrage!$E$33)))</f>
        <v/>
      </c>
      <c r="L203">
        <f>IF($A203="","",IF($D203="V01",Cadrage!$C$34,IF($D203="V02",Cadrage!$D$34,Cadrage!$E$34)))</f>
        <v/>
      </c>
      <c r="M203">
        <f>IF($A203="","",IF($D203="V01",Cadrage!$C$35,IF($D203="V02",Cadrage!$D$35,Cadrage!$E$35)))</f>
        <v/>
      </c>
      <c r="N203">
        <f>IF($A203="","",IF($D203="V01",$R$2,IF($D203="V02",$R$3,$R$4)))</f>
        <v/>
      </c>
      <c r="O203">
        <f>IF($A203="","",IF(OR($B203="7062",$B203="706",$B203="708"),$N203,IF($B203="6231",1+$G203,IF($B203="6236",1+$H203,IF(OR($B203="621",$B203="604",$B203="6063"),$N203*(1-$L203),IF(OR($B203="6411",$B203="6413",$B203="6414",$B203="645"),(1+$J203)*(1+$K203),IF(OR($B203="613",$B203="615",$B203="616",$B203="6226",$B203="625",$B203="626",$B203="6281"),(1+$I203)*(1-$L203)*(1+$M203),IF(OR($B203="6331",$B203="63511",$B203="6333"),(1+$I203)*(1-$L203),IF($B203="6811",1+$I203,1)))))))))</f>
        <v/>
      </c>
      <c r="P203">
        <f>IF($A203="","",IF($E203=1,$F203*$O203,PNL!G203))</f>
        <v/>
      </c>
      <c r="T203">
        <f>IF($A203="","",IF($E203=1,IF(OR($B203="7062",$B203="706",$B203="708"),$P203,IF(AND(LEFT($B203,1)="6",$B203&lt;&gt;"6811"),-$P203,0)),0))</f>
        <v/>
      </c>
    </row>
    <row r="204">
      <c r="A204">
        <f>IF(PNL!A204="","",PNL!A204)</f>
        <v/>
      </c>
      <c r="B204">
        <f>IF(PNL!B204="","",PNL!B204)</f>
        <v/>
      </c>
      <c r="C204">
        <f>IF(PNL!C204="","",PNL!C204)</f>
        <v/>
      </c>
      <c r="D204">
        <f>IF(PNL!D204="","",PNL!D204)</f>
        <v/>
      </c>
      <c r="E204">
        <f>IF($A204="","",IF(AND($C204="2027",OR($D204="V01",$D204="V02",$D204="V03")),1,0))</f>
        <v/>
      </c>
      <c r="F204">
        <f>IF($A204="","",IF($E204=1,SUMIFS(Comptabilité!$F$1:$F$675,Comptabilité!$A$1:$A$675,$A204,Comptabilité!$B$1:$B$675,$B204,Comptabilité!$C$1:$C$675,"2026"),0))</f>
        <v/>
      </c>
      <c r="G204">
        <f>IF($A204="","",IF($D204="V01",Cadrage!$C$22,IF($D204="V02",Cadrage!$D$22,Cadrage!$E$22)))</f>
        <v/>
      </c>
      <c r="H204">
        <f>IF($A204="","",IF($D204="V01",Cadrage!$C$23,IF($D204="V02",Cadrage!$D$23,Cadrage!$E$23)))</f>
        <v/>
      </c>
      <c r="I204">
        <f>IF($A204="","",IF($D204="V01",Cadrage!$C$31,IF($D204="V02",Cadrage!$D$31,Cadrage!$E$31)))</f>
        <v/>
      </c>
      <c r="J204">
        <f>IF($A204="","",IF($D204="V01",Cadrage!$C$32,IF($D204="V02",Cadrage!$D$32,Cadrage!$E$32)))</f>
        <v/>
      </c>
      <c r="K204">
        <f>IF($A204="","",IF($D204="V01",Cadrage!$C$33,IF($D204="V02",Cadrage!$D$33,Cadrage!$E$33)))</f>
        <v/>
      </c>
      <c r="L204">
        <f>IF($A204="","",IF($D204="V01",Cadrage!$C$34,IF($D204="V02",Cadrage!$D$34,Cadrage!$E$34)))</f>
        <v/>
      </c>
      <c r="M204">
        <f>IF($A204="","",IF($D204="V01",Cadrage!$C$35,IF($D204="V02",Cadrage!$D$35,Cadrage!$E$35)))</f>
        <v/>
      </c>
      <c r="N204">
        <f>IF($A204="","",IF($D204="V01",$R$2,IF($D204="V02",$R$3,$R$4)))</f>
        <v/>
      </c>
      <c r="O204">
        <f>IF($A204="","",IF(OR($B204="7062",$B204="706",$B204="708"),$N204,IF($B204="6231",1+$G204,IF($B204="6236",1+$H204,IF(OR($B204="621",$B204="604",$B204="6063"),$N204*(1-$L204),IF(OR($B204="6411",$B204="6413",$B204="6414",$B204="645"),(1+$J204)*(1+$K204),IF(OR($B204="613",$B204="615",$B204="616",$B204="6226",$B204="625",$B204="626",$B204="6281"),(1+$I204)*(1-$L204)*(1+$M204),IF(OR($B204="6331",$B204="63511",$B204="6333"),(1+$I204)*(1-$L204),IF($B204="6811",1+$I204,1)))))))))</f>
        <v/>
      </c>
      <c r="P204">
        <f>IF($A204="","",IF($E204=1,$F204*$O204,PNL!G204))</f>
        <v/>
      </c>
      <c r="T204">
        <f>IF($A204="","",IF($E204=1,IF(OR($B204="7062",$B204="706",$B204="708"),$P204,IF(AND(LEFT($B204,1)="6",$B204&lt;&gt;"6811"),-$P204,0)),0))</f>
        <v/>
      </c>
    </row>
    <row r="205">
      <c r="A205">
        <f>IF(PNL!A205="","",PNL!A205)</f>
        <v/>
      </c>
      <c r="B205">
        <f>IF(PNL!B205="","",PNL!B205)</f>
        <v/>
      </c>
      <c r="C205">
        <f>IF(PNL!C205="","",PNL!C205)</f>
        <v/>
      </c>
      <c r="D205">
        <f>IF(PNL!D205="","",PNL!D205)</f>
        <v/>
      </c>
      <c r="E205">
        <f>IF($A205="","",IF(AND($C205="2027",OR($D205="V01",$D205="V02",$D205="V03")),1,0))</f>
        <v/>
      </c>
      <c r="F205">
        <f>IF($A205="","",IF($E205=1,SUMIFS(Comptabilité!$F$1:$F$675,Comptabilité!$A$1:$A$675,$A205,Comptabilité!$B$1:$B$675,$B205,Comptabilité!$C$1:$C$675,"2026"),0))</f>
        <v/>
      </c>
      <c r="G205">
        <f>IF($A205="","",IF($D205="V01",Cadrage!$C$22,IF($D205="V02",Cadrage!$D$22,Cadrage!$E$22)))</f>
        <v/>
      </c>
      <c r="H205">
        <f>IF($A205="","",IF($D205="V01",Cadrage!$C$23,IF($D205="V02",Cadrage!$D$23,Cadrage!$E$23)))</f>
        <v/>
      </c>
      <c r="I205">
        <f>IF($A205="","",IF($D205="V01",Cadrage!$C$31,IF($D205="V02",Cadrage!$D$31,Cadrage!$E$31)))</f>
        <v/>
      </c>
      <c r="J205">
        <f>IF($A205="","",IF($D205="V01",Cadrage!$C$32,IF($D205="V02",Cadrage!$D$32,Cadrage!$E$32)))</f>
        <v/>
      </c>
      <c r="K205">
        <f>IF($A205="","",IF($D205="V01",Cadrage!$C$33,IF($D205="V02",Cadrage!$D$33,Cadrage!$E$33)))</f>
        <v/>
      </c>
      <c r="L205">
        <f>IF($A205="","",IF($D205="V01",Cadrage!$C$34,IF($D205="V02",Cadrage!$D$34,Cadrage!$E$34)))</f>
        <v/>
      </c>
      <c r="M205">
        <f>IF($A205="","",IF($D205="V01",Cadrage!$C$35,IF($D205="V02",Cadrage!$D$35,Cadrage!$E$35)))</f>
        <v/>
      </c>
      <c r="N205">
        <f>IF($A205="","",IF($D205="V01",$R$2,IF($D205="V02",$R$3,$R$4)))</f>
        <v/>
      </c>
      <c r="O205">
        <f>IF($A205="","",IF(OR($B205="7062",$B205="706",$B205="708"),$N205,IF($B205="6231",1+$G205,IF($B205="6236",1+$H205,IF(OR($B205="621",$B205="604",$B205="6063"),$N205*(1-$L205),IF(OR($B205="6411",$B205="6413",$B205="6414",$B205="645"),(1+$J205)*(1+$K205),IF(OR($B205="613",$B205="615",$B205="616",$B205="6226",$B205="625",$B205="626",$B205="6281"),(1+$I205)*(1-$L205)*(1+$M205),IF(OR($B205="6331",$B205="63511",$B205="6333"),(1+$I205)*(1-$L205),IF($B205="6811",1+$I205,1)))))))))</f>
        <v/>
      </c>
      <c r="P205">
        <f>IF($A205="","",IF($E205=1,$F205*$O205,PNL!G205))</f>
        <v/>
      </c>
      <c r="T205">
        <f>IF($A205="","",IF($E205=1,IF(OR($B205="7062",$B205="706",$B205="708"),$P205,IF(AND(LEFT($B205,1)="6",$B205&lt;&gt;"6811"),-$P205,0)),0))</f>
        <v/>
      </c>
    </row>
    <row r="206">
      <c r="A206">
        <f>IF(PNL!A206="","",PNL!A206)</f>
        <v/>
      </c>
      <c r="B206">
        <f>IF(PNL!B206="","",PNL!B206)</f>
        <v/>
      </c>
      <c r="C206">
        <f>IF(PNL!C206="","",PNL!C206)</f>
        <v/>
      </c>
      <c r="D206">
        <f>IF(PNL!D206="","",PNL!D206)</f>
        <v/>
      </c>
      <c r="E206">
        <f>IF($A206="","",IF(AND($C206="2027",OR($D206="V01",$D206="V02",$D206="V03")),1,0))</f>
        <v/>
      </c>
      <c r="F206">
        <f>IF($A206="","",IF($E206=1,SUMIFS(Comptabilité!$F$1:$F$675,Comptabilité!$A$1:$A$675,$A206,Comptabilité!$B$1:$B$675,$B206,Comptabilité!$C$1:$C$675,"2026"),0))</f>
        <v/>
      </c>
      <c r="G206">
        <f>IF($A206="","",IF($D206="V01",Cadrage!$C$22,IF($D206="V02",Cadrage!$D$22,Cadrage!$E$22)))</f>
        <v/>
      </c>
      <c r="H206">
        <f>IF($A206="","",IF($D206="V01",Cadrage!$C$23,IF($D206="V02",Cadrage!$D$23,Cadrage!$E$23)))</f>
        <v/>
      </c>
      <c r="I206">
        <f>IF($A206="","",IF($D206="V01",Cadrage!$C$31,IF($D206="V02",Cadrage!$D$31,Cadrage!$E$31)))</f>
        <v/>
      </c>
      <c r="J206">
        <f>IF($A206="","",IF($D206="V01",Cadrage!$C$32,IF($D206="V02",Cadrage!$D$32,Cadrage!$E$32)))</f>
        <v/>
      </c>
      <c r="K206">
        <f>IF($A206="","",IF($D206="V01",Cadrage!$C$33,IF($D206="V02",Cadrage!$D$33,Cadrage!$E$33)))</f>
        <v/>
      </c>
      <c r="L206">
        <f>IF($A206="","",IF($D206="V01",Cadrage!$C$34,IF($D206="V02",Cadrage!$D$34,Cadrage!$E$34)))</f>
        <v/>
      </c>
      <c r="M206">
        <f>IF($A206="","",IF($D206="V01",Cadrage!$C$35,IF($D206="V02",Cadrage!$D$35,Cadrage!$E$35)))</f>
        <v/>
      </c>
      <c r="N206">
        <f>IF($A206="","",IF($D206="V01",$R$2,IF($D206="V02",$R$3,$R$4)))</f>
        <v/>
      </c>
      <c r="O206">
        <f>IF($A206="","",IF(OR($B206="7062",$B206="706",$B206="708"),$N206,IF($B206="6231",1+$G206,IF($B206="6236",1+$H206,IF(OR($B206="621",$B206="604",$B206="6063"),$N206*(1-$L206),IF(OR($B206="6411",$B206="6413",$B206="6414",$B206="645"),(1+$J206)*(1+$K206),IF(OR($B206="613",$B206="615",$B206="616",$B206="6226",$B206="625",$B206="626",$B206="6281"),(1+$I206)*(1-$L206)*(1+$M206),IF(OR($B206="6331",$B206="63511",$B206="6333"),(1+$I206)*(1-$L206),IF($B206="6811",1+$I206,1)))))))))</f>
        <v/>
      </c>
      <c r="P206">
        <f>IF($A206="","",IF($E206=1,$F206*$O206,PNL!G206))</f>
        <v/>
      </c>
      <c r="T206">
        <f>IF($A206="","",IF($E206=1,IF(OR($B206="7062",$B206="706",$B206="708"),$P206,IF(AND(LEFT($B206,1)="6",$B206&lt;&gt;"6811"),-$P206,0)),0))</f>
        <v/>
      </c>
    </row>
    <row r="207">
      <c r="A207">
        <f>IF(PNL!A207="","",PNL!A207)</f>
        <v/>
      </c>
      <c r="B207">
        <f>IF(PNL!B207="","",PNL!B207)</f>
        <v/>
      </c>
      <c r="C207">
        <f>IF(PNL!C207="","",PNL!C207)</f>
        <v/>
      </c>
      <c r="D207">
        <f>IF(PNL!D207="","",PNL!D207)</f>
        <v/>
      </c>
      <c r="E207">
        <f>IF($A207="","",IF(AND($C207="2027",OR($D207="V01",$D207="V02",$D207="V03")),1,0))</f>
        <v/>
      </c>
      <c r="F207">
        <f>IF($A207="","",IF($E207=1,SUMIFS(Comptabilité!$F$1:$F$675,Comptabilité!$A$1:$A$675,$A207,Comptabilité!$B$1:$B$675,$B207,Comptabilité!$C$1:$C$675,"2026"),0))</f>
        <v/>
      </c>
      <c r="G207">
        <f>IF($A207="","",IF($D207="V01",Cadrage!$C$22,IF($D207="V02",Cadrage!$D$22,Cadrage!$E$22)))</f>
        <v/>
      </c>
      <c r="H207">
        <f>IF($A207="","",IF($D207="V01",Cadrage!$C$23,IF($D207="V02",Cadrage!$D$23,Cadrage!$E$23)))</f>
        <v/>
      </c>
      <c r="I207">
        <f>IF($A207="","",IF($D207="V01",Cadrage!$C$31,IF($D207="V02",Cadrage!$D$31,Cadrage!$E$31)))</f>
        <v/>
      </c>
      <c r="J207">
        <f>IF($A207="","",IF($D207="V01",Cadrage!$C$32,IF($D207="V02",Cadrage!$D$32,Cadrage!$E$32)))</f>
        <v/>
      </c>
      <c r="K207">
        <f>IF($A207="","",IF($D207="V01",Cadrage!$C$33,IF($D207="V02",Cadrage!$D$33,Cadrage!$E$33)))</f>
        <v/>
      </c>
      <c r="L207">
        <f>IF($A207="","",IF($D207="V01",Cadrage!$C$34,IF($D207="V02",Cadrage!$D$34,Cadrage!$E$34)))</f>
        <v/>
      </c>
      <c r="M207">
        <f>IF($A207="","",IF($D207="V01",Cadrage!$C$35,IF($D207="V02",Cadrage!$D$35,Cadrage!$E$35)))</f>
        <v/>
      </c>
      <c r="N207">
        <f>IF($A207="","",IF($D207="V01",$R$2,IF($D207="V02",$R$3,$R$4)))</f>
        <v/>
      </c>
      <c r="O207">
        <f>IF($A207="","",IF(OR($B207="7062",$B207="706",$B207="708"),$N207,IF($B207="6231",1+$G207,IF($B207="6236",1+$H207,IF(OR($B207="621",$B207="604",$B207="6063"),$N207*(1-$L207),IF(OR($B207="6411",$B207="6413",$B207="6414",$B207="645"),(1+$J207)*(1+$K207),IF(OR($B207="613",$B207="615",$B207="616",$B207="6226",$B207="625",$B207="626",$B207="6281"),(1+$I207)*(1-$L207)*(1+$M207),IF(OR($B207="6331",$B207="63511",$B207="6333"),(1+$I207)*(1-$L207),IF($B207="6811",1+$I207,1)))))))))</f>
        <v/>
      </c>
      <c r="P207">
        <f>IF($A207="","",IF($E207=1,$F207*$O207,PNL!G207))</f>
        <v/>
      </c>
      <c r="T207">
        <f>IF($A207="","",IF($E207=1,IF(OR($B207="7062",$B207="706",$B207="708"),$P207,IF(AND(LEFT($B207,1)="6",$B207&lt;&gt;"6811"),-$P207,0)),0))</f>
        <v/>
      </c>
    </row>
    <row r="208">
      <c r="A208">
        <f>IF(PNL!A208="","",PNL!A208)</f>
        <v/>
      </c>
      <c r="B208">
        <f>IF(PNL!B208="","",PNL!B208)</f>
        <v/>
      </c>
      <c r="C208">
        <f>IF(PNL!C208="","",PNL!C208)</f>
        <v/>
      </c>
      <c r="D208">
        <f>IF(PNL!D208="","",PNL!D208)</f>
        <v/>
      </c>
      <c r="E208">
        <f>IF($A208="","",IF(AND($C208="2027",OR($D208="V01",$D208="V02",$D208="V03")),1,0))</f>
        <v/>
      </c>
      <c r="F208">
        <f>IF($A208="","",IF($E208=1,SUMIFS(Comptabilité!$F$1:$F$675,Comptabilité!$A$1:$A$675,$A208,Comptabilité!$B$1:$B$675,$B208,Comptabilité!$C$1:$C$675,"2026"),0))</f>
        <v/>
      </c>
      <c r="G208">
        <f>IF($A208="","",IF($D208="V01",Cadrage!$C$22,IF($D208="V02",Cadrage!$D$22,Cadrage!$E$22)))</f>
        <v/>
      </c>
      <c r="H208">
        <f>IF($A208="","",IF($D208="V01",Cadrage!$C$23,IF($D208="V02",Cadrage!$D$23,Cadrage!$E$23)))</f>
        <v/>
      </c>
      <c r="I208">
        <f>IF($A208="","",IF($D208="V01",Cadrage!$C$31,IF($D208="V02",Cadrage!$D$31,Cadrage!$E$31)))</f>
        <v/>
      </c>
      <c r="J208">
        <f>IF($A208="","",IF($D208="V01",Cadrage!$C$32,IF($D208="V02",Cadrage!$D$32,Cadrage!$E$32)))</f>
        <v/>
      </c>
      <c r="K208">
        <f>IF($A208="","",IF($D208="V01",Cadrage!$C$33,IF($D208="V02",Cadrage!$D$33,Cadrage!$E$33)))</f>
        <v/>
      </c>
      <c r="L208">
        <f>IF($A208="","",IF($D208="V01",Cadrage!$C$34,IF($D208="V02",Cadrage!$D$34,Cadrage!$E$34)))</f>
        <v/>
      </c>
      <c r="M208">
        <f>IF($A208="","",IF($D208="V01",Cadrage!$C$35,IF($D208="V02",Cadrage!$D$35,Cadrage!$E$35)))</f>
        <v/>
      </c>
      <c r="N208">
        <f>IF($A208="","",IF($D208="V01",$R$2,IF($D208="V02",$R$3,$R$4)))</f>
        <v/>
      </c>
      <c r="O208">
        <f>IF($A208="","",IF(OR($B208="7062",$B208="706",$B208="708"),$N208,IF($B208="6231",1+$G208,IF($B208="6236",1+$H208,IF(OR($B208="621",$B208="604",$B208="6063"),$N208*(1-$L208),IF(OR($B208="6411",$B208="6413",$B208="6414",$B208="645"),(1+$J208)*(1+$K208),IF(OR($B208="613",$B208="615",$B208="616",$B208="6226",$B208="625",$B208="626",$B208="6281"),(1+$I208)*(1-$L208)*(1+$M208),IF(OR($B208="6331",$B208="63511",$B208="6333"),(1+$I208)*(1-$L208),IF($B208="6811",1+$I208,1)))))))))</f>
        <v/>
      </c>
      <c r="P208">
        <f>IF($A208="","",IF($E208=1,$F208*$O208,PNL!G208))</f>
        <v/>
      </c>
      <c r="T208">
        <f>IF($A208="","",IF($E208=1,IF(OR($B208="7062",$B208="706",$B208="708"),$P208,IF(AND(LEFT($B208,1)="6",$B208&lt;&gt;"6811"),-$P208,0)),0))</f>
        <v/>
      </c>
    </row>
    <row r="209">
      <c r="A209">
        <f>IF(PNL!A209="","",PNL!A209)</f>
        <v/>
      </c>
      <c r="B209">
        <f>IF(PNL!B209="","",PNL!B209)</f>
        <v/>
      </c>
      <c r="C209">
        <f>IF(PNL!C209="","",PNL!C209)</f>
        <v/>
      </c>
      <c r="D209">
        <f>IF(PNL!D209="","",PNL!D209)</f>
        <v/>
      </c>
      <c r="E209">
        <f>IF($A209="","",IF(AND($C209="2027",OR($D209="V01",$D209="V02",$D209="V03")),1,0))</f>
        <v/>
      </c>
      <c r="F209">
        <f>IF($A209="","",IF($E209=1,SUMIFS(Comptabilité!$F$1:$F$675,Comptabilité!$A$1:$A$675,$A209,Comptabilité!$B$1:$B$675,$B209,Comptabilité!$C$1:$C$675,"2026"),0))</f>
        <v/>
      </c>
      <c r="G209">
        <f>IF($A209="","",IF($D209="V01",Cadrage!$C$22,IF($D209="V02",Cadrage!$D$22,Cadrage!$E$22)))</f>
        <v/>
      </c>
      <c r="H209">
        <f>IF($A209="","",IF($D209="V01",Cadrage!$C$23,IF($D209="V02",Cadrage!$D$23,Cadrage!$E$23)))</f>
        <v/>
      </c>
      <c r="I209">
        <f>IF($A209="","",IF($D209="V01",Cadrage!$C$31,IF($D209="V02",Cadrage!$D$31,Cadrage!$E$31)))</f>
        <v/>
      </c>
      <c r="J209">
        <f>IF($A209="","",IF($D209="V01",Cadrage!$C$32,IF($D209="V02",Cadrage!$D$32,Cadrage!$E$32)))</f>
        <v/>
      </c>
      <c r="K209">
        <f>IF($A209="","",IF($D209="V01",Cadrage!$C$33,IF($D209="V02",Cadrage!$D$33,Cadrage!$E$33)))</f>
        <v/>
      </c>
      <c r="L209">
        <f>IF($A209="","",IF($D209="V01",Cadrage!$C$34,IF($D209="V02",Cadrage!$D$34,Cadrage!$E$34)))</f>
        <v/>
      </c>
      <c r="M209">
        <f>IF($A209="","",IF($D209="V01",Cadrage!$C$35,IF($D209="V02",Cadrage!$D$35,Cadrage!$E$35)))</f>
        <v/>
      </c>
      <c r="N209">
        <f>IF($A209="","",IF($D209="V01",$R$2,IF($D209="V02",$R$3,$R$4)))</f>
        <v/>
      </c>
      <c r="O209">
        <f>IF($A209="","",IF(OR($B209="7062",$B209="706",$B209="708"),$N209,IF($B209="6231",1+$G209,IF($B209="6236",1+$H209,IF(OR($B209="621",$B209="604",$B209="6063"),$N209*(1-$L209),IF(OR($B209="6411",$B209="6413",$B209="6414",$B209="645"),(1+$J209)*(1+$K209),IF(OR($B209="613",$B209="615",$B209="616",$B209="6226",$B209="625",$B209="626",$B209="6281"),(1+$I209)*(1-$L209)*(1+$M209),IF(OR($B209="6331",$B209="63511",$B209="6333"),(1+$I209)*(1-$L209),IF($B209="6811",1+$I209,1)))))))))</f>
        <v/>
      </c>
      <c r="P209">
        <f>IF($A209="","",IF($E209=1,$F209*$O209,PNL!G209))</f>
        <v/>
      </c>
      <c r="T209">
        <f>IF($A209="","",IF($E209=1,IF(OR($B209="7062",$B209="706",$B209="708"),$P209,IF(AND(LEFT($B209,1)="6",$B209&lt;&gt;"6811"),-$P209,0)),0))</f>
        <v/>
      </c>
    </row>
    <row r="210">
      <c r="A210">
        <f>IF(PNL!A210="","",PNL!A210)</f>
        <v/>
      </c>
      <c r="B210">
        <f>IF(PNL!B210="","",PNL!B210)</f>
        <v/>
      </c>
      <c r="C210">
        <f>IF(PNL!C210="","",PNL!C210)</f>
        <v/>
      </c>
      <c r="D210">
        <f>IF(PNL!D210="","",PNL!D210)</f>
        <v/>
      </c>
      <c r="E210">
        <f>IF($A210="","",IF(AND($C210="2027",OR($D210="V01",$D210="V02",$D210="V03")),1,0))</f>
        <v/>
      </c>
      <c r="F210">
        <f>IF($A210="","",IF($E210=1,SUMIFS(Comptabilité!$F$1:$F$675,Comptabilité!$A$1:$A$675,$A210,Comptabilité!$B$1:$B$675,$B210,Comptabilité!$C$1:$C$675,"2026"),0))</f>
        <v/>
      </c>
      <c r="G210">
        <f>IF($A210="","",IF($D210="V01",Cadrage!$C$22,IF($D210="V02",Cadrage!$D$22,Cadrage!$E$22)))</f>
        <v/>
      </c>
      <c r="H210">
        <f>IF($A210="","",IF($D210="V01",Cadrage!$C$23,IF($D210="V02",Cadrage!$D$23,Cadrage!$E$23)))</f>
        <v/>
      </c>
      <c r="I210">
        <f>IF($A210="","",IF($D210="V01",Cadrage!$C$31,IF($D210="V02",Cadrage!$D$31,Cadrage!$E$31)))</f>
        <v/>
      </c>
      <c r="J210">
        <f>IF($A210="","",IF($D210="V01",Cadrage!$C$32,IF($D210="V02",Cadrage!$D$32,Cadrage!$E$32)))</f>
        <v/>
      </c>
      <c r="K210">
        <f>IF($A210="","",IF($D210="V01",Cadrage!$C$33,IF($D210="V02",Cadrage!$D$33,Cadrage!$E$33)))</f>
        <v/>
      </c>
      <c r="L210">
        <f>IF($A210="","",IF($D210="V01",Cadrage!$C$34,IF($D210="V02",Cadrage!$D$34,Cadrage!$E$34)))</f>
        <v/>
      </c>
      <c r="M210">
        <f>IF($A210="","",IF($D210="V01",Cadrage!$C$35,IF($D210="V02",Cadrage!$D$35,Cadrage!$E$35)))</f>
        <v/>
      </c>
      <c r="N210">
        <f>IF($A210="","",IF($D210="V01",$R$2,IF($D210="V02",$R$3,$R$4)))</f>
        <v/>
      </c>
      <c r="O210">
        <f>IF($A210="","",IF(OR($B210="7062",$B210="706",$B210="708"),$N210,IF($B210="6231",1+$G210,IF($B210="6236",1+$H210,IF(OR($B210="621",$B210="604",$B210="6063"),$N210*(1-$L210),IF(OR($B210="6411",$B210="6413",$B210="6414",$B210="645"),(1+$J210)*(1+$K210),IF(OR($B210="613",$B210="615",$B210="616",$B210="6226",$B210="625",$B210="626",$B210="6281"),(1+$I210)*(1-$L210)*(1+$M210),IF(OR($B210="6331",$B210="63511",$B210="6333"),(1+$I210)*(1-$L210),IF($B210="6811",1+$I210,1)))))))))</f>
        <v/>
      </c>
      <c r="P210">
        <f>IF($A210="","",IF($E210=1,$F210*$O210,PNL!G210))</f>
        <v/>
      </c>
      <c r="T210">
        <f>IF($A210="","",IF($E210=1,IF(OR($B210="7062",$B210="706",$B210="708"),$P210,IF(AND(LEFT($B210,1)="6",$B210&lt;&gt;"6811"),-$P210,0)),0))</f>
        <v/>
      </c>
    </row>
    <row r="211">
      <c r="A211">
        <f>IF(PNL!A211="","",PNL!A211)</f>
        <v/>
      </c>
      <c r="B211">
        <f>IF(PNL!B211="","",PNL!B211)</f>
        <v/>
      </c>
      <c r="C211">
        <f>IF(PNL!C211="","",PNL!C211)</f>
        <v/>
      </c>
      <c r="D211">
        <f>IF(PNL!D211="","",PNL!D211)</f>
        <v/>
      </c>
      <c r="E211">
        <f>IF($A211="","",IF(AND($C211="2027",OR($D211="V01",$D211="V02",$D211="V03")),1,0))</f>
        <v/>
      </c>
      <c r="F211">
        <f>IF($A211="","",IF($E211=1,SUMIFS(Comptabilité!$F$1:$F$675,Comptabilité!$A$1:$A$675,$A211,Comptabilité!$B$1:$B$675,$B211,Comptabilité!$C$1:$C$675,"2026"),0))</f>
        <v/>
      </c>
      <c r="G211">
        <f>IF($A211="","",IF($D211="V01",Cadrage!$C$22,IF($D211="V02",Cadrage!$D$22,Cadrage!$E$22)))</f>
        <v/>
      </c>
      <c r="H211">
        <f>IF($A211="","",IF($D211="V01",Cadrage!$C$23,IF($D211="V02",Cadrage!$D$23,Cadrage!$E$23)))</f>
        <v/>
      </c>
      <c r="I211">
        <f>IF($A211="","",IF($D211="V01",Cadrage!$C$31,IF($D211="V02",Cadrage!$D$31,Cadrage!$E$31)))</f>
        <v/>
      </c>
      <c r="J211">
        <f>IF($A211="","",IF($D211="V01",Cadrage!$C$32,IF($D211="V02",Cadrage!$D$32,Cadrage!$E$32)))</f>
        <v/>
      </c>
      <c r="K211">
        <f>IF($A211="","",IF($D211="V01",Cadrage!$C$33,IF($D211="V02",Cadrage!$D$33,Cadrage!$E$33)))</f>
        <v/>
      </c>
      <c r="L211">
        <f>IF($A211="","",IF($D211="V01",Cadrage!$C$34,IF($D211="V02",Cadrage!$D$34,Cadrage!$E$34)))</f>
        <v/>
      </c>
      <c r="M211">
        <f>IF($A211="","",IF($D211="V01",Cadrage!$C$35,IF($D211="V02",Cadrage!$D$35,Cadrage!$E$35)))</f>
        <v/>
      </c>
      <c r="N211">
        <f>IF($A211="","",IF($D211="V01",$R$2,IF($D211="V02",$R$3,$R$4)))</f>
        <v/>
      </c>
      <c r="O211">
        <f>IF($A211="","",IF(OR($B211="7062",$B211="706",$B211="708"),$N211,IF($B211="6231",1+$G211,IF($B211="6236",1+$H211,IF(OR($B211="621",$B211="604",$B211="6063"),$N211*(1-$L211),IF(OR($B211="6411",$B211="6413",$B211="6414",$B211="645"),(1+$J211)*(1+$K211),IF(OR($B211="613",$B211="615",$B211="616",$B211="6226",$B211="625",$B211="626",$B211="6281"),(1+$I211)*(1-$L211)*(1+$M211),IF(OR($B211="6331",$B211="63511",$B211="6333"),(1+$I211)*(1-$L211),IF($B211="6811",1+$I211,1)))))))))</f>
        <v/>
      </c>
      <c r="P211">
        <f>IF($A211="","",IF($E211=1,$F211*$O211,PNL!G211))</f>
        <v/>
      </c>
      <c r="T211">
        <f>IF($A211="","",IF($E211=1,IF(OR($B211="7062",$B211="706",$B211="708"),$P211,IF(AND(LEFT($B211,1)="6",$B211&lt;&gt;"6811"),-$P211,0)),0))</f>
        <v/>
      </c>
    </row>
    <row r="212">
      <c r="A212">
        <f>IF(PNL!A212="","",PNL!A212)</f>
        <v/>
      </c>
      <c r="B212">
        <f>IF(PNL!B212="","",PNL!B212)</f>
        <v/>
      </c>
      <c r="C212">
        <f>IF(PNL!C212="","",PNL!C212)</f>
        <v/>
      </c>
      <c r="D212">
        <f>IF(PNL!D212="","",PNL!D212)</f>
        <v/>
      </c>
      <c r="E212">
        <f>IF($A212="","",IF(AND($C212="2027",OR($D212="V01",$D212="V02",$D212="V03")),1,0))</f>
        <v/>
      </c>
      <c r="F212">
        <f>IF($A212="","",IF($E212=1,SUMIFS(Comptabilité!$F$1:$F$675,Comptabilité!$A$1:$A$675,$A212,Comptabilité!$B$1:$B$675,$B212,Comptabilité!$C$1:$C$675,"2026"),0))</f>
        <v/>
      </c>
      <c r="G212">
        <f>IF($A212="","",IF($D212="V01",Cadrage!$C$22,IF($D212="V02",Cadrage!$D$22,Cadrage!$E$22)))</f>
        <v/>
      </c>
      <c r="H212">
        <f>IF($A212="","",IF($D212="V01",Cadrage!$C$23,IF($D212="V02",Cadrage!$D$23,Cadrage!$E$23)))</f>
        <v/>
      </c>
      <c r="I212">
        <f>IF($A212="","",IF($D212="V01",Cadrage!$C$31,IF($D212="V02",Cadrage!$D$31,Cadrage!$E$31)))</f>
        <v/>
      </c>
      <c r="J212">
        <f>IF($A212="","",IF($D212="V01",Cadrage!$C$32,IF($D212="V02",Cadrage!$D$32,Cadrage!$E$32)))</f>
        <v/>
      </c>
      <c r="K212">
        <f>IF($A212="","",IF($D212="V01",Cadrage!$C$33,IF($D212="V02",Cadrage!$D$33,Cadrage!$E$33)))</f>
        <v/>
      </c>
      <c r="L212">
        <f>IF($A212="","",IF($D212="V01",Cadrage!$C$34,IF($D212="V02",Cadrage!$D$34,Cadrage!$E$34)))</f>
        <v/>
      </c>
      <c r="M212">
        <f>IF($A212="","",IF($D212="V01",Cadrage!$C$35,IF($D212="V02",Cadrage!$D$35,Cadrage!$E$35)))</f>
        <v/>
      </c>
      <c r="N212">
        <f>IF($A212="","",IF($D212="V01",$R$2,IF($D212="V02",$R$3,$R$4)))</f>
        <v/>
      </c>
      <c r="O212">
        <f>IF($A212="","",IF(OR($B212="7062",$B212="706",$B212="708"),$N212,IF($B212="6231",1+$G212,IF($B212="6236",1+$H212,IF(OR($B212="621",$B212="604",$B212="6063"),$N212*(1-$L212),IF(OR($B212="6411",$B212="6413",$B212="6414",$B212="645"),(1+$J212)*(1+$K212),IF(OR($B212="613",$B212="615",$B212="616",$B212="6226",$B212="625",$B212="626",$B212="6281"),(1+$I212)*(1-$L212)*(1+$M212),IF(OR($B212="6331",$B212="63511",$B212="6333"),(1+$I212)*(1-$L212),IF($B212="6811",1+$I212,1)))))))))</f>
        <v/>
      </c>
      <c r="P212">
        <f>IF($A212="","",IF($E212=1,$F212*$O212,PNL!G212))</f>
        <v/>
      </c>
      <c r="T212">
        <f>IF($A212="","",IF($E212=1,IF(OR($B212="7062",$B212="706",$B212="708"),$P212,IF(AND(LEFT($B212,1)="6",$B212&lt;&gt;"6811"),-$P212,0)),0))</f>
        <v/>
      </c>
    </row>
    <row r="213">
      <c r="A213">
        <f>IF(PNL!A213="","",PNL!A213)</f>
        <v/>
      </c>
      <c r="B213">
        <f>IF(PNL!B213="","",PNL!B213)</f>
        <v/>
      </c>
      <c r="C213">
        <f>IF(PNL!C213="","",PNL!C213)</f>
        <v/>
      </c>
      <c r="D213">
        <f>IF(PNL!D213="","",PNL!D213)</f>
        <v/>
      </c>
      <c r="E213">
        <f>IF($A213="","",IF(AND($C213="2027",OR($D213="V01",$D213="V02",$D213="V03")),1,0))</f>
        <v/>
      </c>
      <c r="F213">
        <f>IF($A213="","",IF($E213=1,SUMIFS(Comptabilité!$F$1:$F$675,Comptabilité!$A$1:$A$675,$A213,Comptabilité!$B$1:$B$675,$B213,Comptabilité!$C$1:$C$675,"2026"),0))</f>
        <v/>
      </c>
      <c r="G213">
        <f>IF($A213="","",IF($D213="V01",Cadrage!$C$22,IF($D213="V02",Cadrage!$D$22,Cadrage!$E$22)))</f>
        <v/>
      </c>
      <c r="H213">
        <f>IF($A213="","",IF($D213="V01",Cadrage!$C$23,IF($D213="V02",Cadrage!$D$23,Cadrage!$E$23)))</f>
        <v/>
      </c>
      <c r="I213">
        <f>IF($A213="","",IF($D213="V01",Cadrage!$C$31,IF($D213="V02",Cadrage!$D$31,Cadrage!$E$31)))</f>
        <v/>
      </c>
      <c r="J213">
        <f>IF($A213="","",IF($D213="V01",Cadrage!$C$32,IF($D213="V02",Cadrage!$D$32,Cadrage!$E$32)))</f>
        <v/>
      </c>
      <c r="K213">
        <f>IF($A213="","",IF($D213="V01",Cadrage!$C$33,IF($D213="V02",Cadrage!$D$33,Cadrage!$E$33)))</f>
        <v/>
      </c>
      <c r="L213">
        <f>IF($A213="","",IF($D213="V01",Cadrage!$C$34,IF($D213="V02",Cadrage!$D$34,Cadrage!$E$34)))</f>
        <v/>
      </c>
      <c r="M213">
        <f>IF($A213="","",IF($D213="V01",Cadrage!$C$35,IF($D213="V02",Cadrage!$D$35,Cadrage!$E$35)))</f>
        <v/>
      </c>
      <c r="N213">
        <f>IF($A213="","",IF($D213="V01",$R$2,IF($D213="V02",$R$3,$R$4)))</f>
        <v/>
      </c>
      <c r="O213">
        <f>IF($A213="","",IF(OR($B213="7062",$B213="706",$B213="708"),$N213,IF($B213="6231",1+$G213,IF($B213="6236",1+$H213,IF(OR($B213="621",$B213="604",$B213="6063"),$N213*(1-$L213),IF(OR($B213="6411",$B213="6413",$B213="6414",$B213="645"),(1+$J213)*(1+$K213),IF(OR($B213="613",$B213="615",$B213="616",$B213="6226",$B213="625",$B213="626",$B213="6281"),(1+$I213)*(1-$L213)*(1+$M213),IF(OR($B213="6331",$B213="63511",$B213="6333"),(1+$I213)*(1-$L213),IF($B213="6811",1+$I213,1)))))))))</f>
        <v/>
      </c>
      <c r="P213">
        <f>IF($A213="","",IF($E213=1,$F213*$O213,PNL!G213))</f>
        <v/>
      </c>
      <c r="T213">
        <f>IF($A213="","",IF($E213=1,IF(OR($B213="7062",$B213="706",$B213="708"),$P213,IF(AND(LEFT($B213,1)="6",$B213&lt;&gt;"6811"),-$P213,0)),0))</f>
        <v/>
      </c>
    </row>
    <row r="214">
      <c r="A214">
        <f>IF(PNL!A214="","",PNL!A214)</f>
        <v/>
      </c>
      <c r="B214">
        <f>IF(PNL!B214="","",PNL!B214)</f>
        <v/>
      </c>
      <c r="C214">
        <f>IF(PNL!C214="","",PNL!C214)</f>
        <v/>
      </c>
      <c r="D214">
        <f>IF(PNL!D214="","",PNL!D214)</f>
        <v/>
      </c>
      <c r="E214">
        <f>IF($A214="","",IF(AND($C214="2027",OR($D214="V01",$D214="V02",$D214="V03")),1,0))</f>
        <v/>
      </c>
      <c r="F214">
        <f>IF($A214="","",IF($E214=1,SUMIFS(Comptabilité!$F$1:$F$675,Comptabilité!$A$1:$A$675,$A214,Comptabilité!$B$1:$B$675,$B214,Comptabilité!$C$1:$C$675,"2026"),0))</f>
        <v/>
      </c>
      <c r="G214">
        <f>IF($A214="","",IF($D214="V01",Cadrage!$C$22,IF($D214="V02",Cadrage!$D$22,Cadrage!$E$22)))</f>
        <v/>
      </c>
      <c r="H214">
        <f>IF($A214="","",IF($D214="V01",Cadrage!$C$23,IF($D214="V02",Cadrage!$D$23,Cadrage!$E$23)))</f>
        <v/>
      </c>
      <c r="I214">
        <f>IF($A214="","",IF($D214="V01",Cadrage!$C$31,IF($D214="V02",Cadrage!$D$31,Cadrage!$E$31)))</f>
        <v/>
      </c>
      <c r="J214">
        <f>IF($A214="","",IF($D214="V01",Cadrage!$C$32,IF($D214="V02",Cadrage!$D$32,Cadrage!$E$32)))</f>
        <v/>
      </c>
      <c r="K214">
        <f>IF($A214="","",IF($D214="V01",Cadrage!$C$33,IF($D214="V02",Cadrage!$D$33,Cadrage!$E$33)))</f>
        <v/>
      </c>
      <c r="L214">
        <f>IF($A214="","",IF($D214="V01",Cadrage!$C$34,IF($D214="V02",Cadrage!$D$34,Cadrage!$E$34)))</f>
        <v/>
      </c>
      <c r="M214">
        <f>IF($A214="","",IF($D214="V01",Cadrage!$C$35,IF($D214="V02",Cadrage!$D$35,Cadrage!$E$35)))</f>
        <v/>
      </c>
      <c r="N214">
        <f>IF($A214="","",IF($D214="V01",$R$2,IF($D214="V02",$R$3,$R$4)))</f>
        <v/>
      </c>
      <c r="O214">
        <f>IF($A214="","",IF(OR($B214="7062",$B214="706",$B214="708"),$N214,IF($B214="6231",1+$G214,IF($B214="6236",1+$H214,IF(OR($B214="621",$B214="604",$B214="6063"),$N214*(1-$L214),IF(OR($B214="6411",$B214="6413",$B214="6414",$B214="645"),(1+$J214)*(1+$K214),IF(OR($B214="613",$B214="615",$B214="616",$B214="6226",$B214="625",$B214="626",$B214="6281"),(1+$I214)*(1-$L214)*(1+$M214),IF(OR($B214="6331",$B214="63511",$B214="6333"),(1+$I214)*(1-$L214),IF($B214="6811",1+$I214,1)))))))))</f>
        <v/>
      </c>
      <c r="P214">
        <f>IF($A214="","",IF($E214=1,$F214*$O214,PNL!G214))</f>
        <v/>
      </c>
      <c r="T214">
        <f>IF($A214="","",IF($E214=1,IF(OR($B214="7062",$B214="706",$B214="708"),$P214,IF(AND(LEFT($B214,1)="6",$B214&lt;&gt;"6811"),-$P214,0)),0))</f>
        <v/>
      </c>
    </row>
    <row r="215">
      <c r="A215">
        <f>IF(PNL!A215="","",PNL!A215)</f>
        <v/>
      </c>
      <c r="B215">
        <f>IF(PNL!B215="","",PNL!B215)</f>
        <v/>
      </c>
      <c r="C215">
        <f>IF(PNL!C215="","",PNL!C215)</f>
        <v/>
      </c>
      <c r="D215">
        <f>IF(PNL!D215="","",PNL!D215)</f>
        <v/>
      </c>
      <c r="E215">
        <f>IF($A215="","",IF(AND($C215="2027",OR($D215="V01",$D215="V02",$D215="V03")),1,0))</f>
        <v/>
      </c>
      <c r="F215">
        <f>IF($A215="","",IF($E215=1,SUMIFS(Comptabilité!$F$1:$F$675,Comptabilité!$A$1:$A$675,$A215,Comptabilité!$B$1:$B$675,$B215,Comptabilité!$C$1:$C$675,"2026"),0))</f>
        <v/>
      </c>
      <c r="G215">
        <f>IF($A215="","",IF($D215="V01",Cadrage!$C$22,IF($D215="V02",Cadrage!$D$22,Cadrage!$E$22)))</f>
        <v/>
      </c>
      <c r="H215">
        <f>IF($A215="","",IF($D215="V01",Cadrage!$C$23,IF($D215="V02",Cadrage!$D$23,Cadrage!$E$23)))</f>
        <v/>
      </c>
      <c r="I215">
        <f>IF($A215="","",IF($D215="V01",Cadrage!$C$31,IF($D215="V02",Cadrage!$D$31,Cadrage!$E$31)))</f>
        <v/>
      </c>
      <c r="J215">
        <f>IF($A215="","",IF($D215="V01",Cadrage!$C$32,IF($D215="V02",Cadrage!$D$32,Cadrage!$E$32)))</f>
        <v/>
      </c>
      <c r="K215">
        <f>IF($A215="","",IF($D215="V01",Cadrage!$C$33,IF($D215="V02",Cadrage!$D$33,Cadrage!$E$33)))</f>
        <v/>
      </c>
      <c r="L215">
        <f>IF($A215="","",IF($D215="V01",Cadrage!$C$34,IF($D215="V02",Cadrage!$D$34,Cadrage!$E$34)))</f>
        <v/>
      </c>
      <c r="M215">
        <f>IF($A215="","",IF($D215="V01",Cadrage!$C$35,IF($D215="V02",Cadrage!$D$35,Cadrage!$E$35)))</f>
        <v/>
      </c>
      <c r="N215">
        <f>IF($A215="","",IF($D215="V01",$R$2,IF($D215="V02",$R$3,$R$4)))</f>
        <v/>
      </c>
      <c r="O215">
        <f>IF($A215="","",IF(OR($B215="7062",$B215="706",$B215="708"),$N215,IF($B215="6231",1+$G215,IF($B215="6236",1+$H215,IF(OR($B215="621",$B215="604",$B215="6063"),$N215*(1-$L215),IF(OR($B215="6411",$B215="6413",$B215="6414",$B215="645"),(1+$J215)*(1+$K215),IF(OR($B215="613",$B215="615",$B215="616",$B215="6226",$B215="625",$B215="626",$B215="6281"),(1+$I215)*(1-$L215)*(1+$M215),IF(OR($B215="6331",$B215="63511",$B215="6333"),(1+$I215)*(1-$L215),IF($B215="6811",1+$I215,1)))))))))</f>
        <v/>
      </c>
      <c r="P215">
        <f>IF($A215="","",IF($E215=1,$F215*$O215,PNL!G215))</f>
        <v/>
      </c>
      <c r="T215">
        <f>IF($A215="","",IF($E215=1,IF(OR($B215="7062",$B215="706",$B215="708"),$P215,IF(AND(LEFT($B215,1)="6",$B215&lt;&gt;"6811"),-$P215,0)),0))</f>
        <v/>
      </c>
    </row>
    <row r="216">
      <c r="A216">
        <f>IF(PNL!A216="","",PNL!A216)</f>
        <v/>
      </c>
      <c r="B216">
        <f>IF(PNL!B216="","",PNL!B216)</f>
        <v/>
      </c>
      <c r="C216">
        <f>IF(PNL!C216="","",PNL!C216)</f>
        <v/>
      </c>
      <c r="D216">
        <f>IF(PNL!D216="","",PNL!D216)</f>
        <v/>
      </c>
      <c r="E216">
        <f>IF($A216="","",IF(AND($C216="2027",OR($D216="V01",$D216="V02",$D216="V03")),1,0))</f>
        <v/>
      </c>
      <c r="F216">
        <f>IF($A216="","",IF($E216=1,SUMIFS(Comptabilité!$F$1:$F$675,Comptabilité!$A$1:$A$675,$A216,Comptabilité!$B$1:$B$675,$B216,Comptabilité!$C$1:$C$675,"2026"),0))</f>
        <v/>
      </c>
      <c r="G216">
        <f>IF($A216="","",IF($D216="V01",Cadrage!$C$22,IF($D216="V02",Cadrage!$D$22,Cadrage!$E$22)))</f>
        <v/>
      </c>
      <c r="H216">
        <f>IF($A216="","",IF($D216="V01",Cadrage!$C$23,IF($D216="V02",Cadrage!$D$23,Cadrage!$E$23)))</f>
        <v/>
      </c>
      <c r="I216">
        <f>IF($A216="","",IF($D216="V01",Cadrage!$C$31,IF($D216="V02",Cadrage!$D$31,Cadrage!$E$31)))</f>
        <v/>
      </c>
      <c r="J216">
        <f>IF($A216="","",IF($D216="V01",Cadrage!$C$32,IF($D216="V02",Cadrage!$D$32,Cadrage!$E$32)))</f>
        <v/>
      </c>
      <c r="K216">
        <f>IF($A216="","",IF($D216="V01",Cadrage!$C$33,IF($D216="V02",Cadrage!$D$33,Cadrage!$E$33)))</f>
        <v/>
      </c>
      <c r="L216">
        <f>IF($A216="","",IF($D216="V01",Cadrage!$C$34,IF($D216="V02",Cadrage!$D$34,Cadrage!$E$34)))</f>
        <v/>
      </c>
      <c r="M216">
        <f>IF($A216="","",IF($D216="V01",Cadrage!$C$35,IF($D216="V02",Cadrage!$D$35,Cadrage!$E$35)))</f>
        <v/>
      </c>
      <c r="N216">
        <f>IF($A216="","",IF($D216="V01",$R$2,IF($D216="V02",$R$3,$R$4)))</f>
        <v/>
      </c>
      <c r="O216">
        <f>IF($A216="","",IF(OR($B216="7062",$B216="706",$B216="708"),$N216,IF($B216="6231",1+$G216,IF($B216="6236",1+$H216,IF(OR($B216="621",$B216="604",$B216="6063"),$N216*(1-$L216),IF(OR($B216="6411",$B216="6413",$B216="6414",$B216="645"),(1+$J216)*(1+$K216),IF(OR($B216="613",$B216="615",$B216="616",$B216="6226",$B216="625",$B216="626",$B216="6281"),(1+$I216)*(1-$L216)*(1+$M216),IF(OR($B216="6331",$B216="63511",$B216="6333"),(1+$I216)*(1-$L216),IF($B216="6811",1+$I216,1)))))))))</f>
        <v/>
      </c>
      <c r="P216">
        <f>IF($A216="","",IF($E216=1,$F216*$O216,PNL!G216))</f>
        <v/>
      </c>
      <c r="T216">
        <f>IF($A216="","",IF($E216=1,IF(OR($B216="7062",$B216="706",$B216="708"),$P216,IF(AND(LEFT($B216,1)="6",$B216&lt;&gt;"6811"),-$P216,0)),0))</f>
        <v/>
      </c>
    </row>
    <row r="217">
      <c r="A217">
        <f>IF(PNL!A217="","",PNL!A217)</f>
        <v/>
      </c>
      <c r="B217">
        <f>IF(PNL!B217="","",PNL!B217)</f>
        <v/>
      </c>
      <c r="C217">
        <f>IF(PNL!C217="","",PNL!C217)</f>
        <v/>
      </c>
      <c r="D217">
        <f>IF(PNL!D217="","",PNL!D217)</f>
        <v/>
      </c>
      <c r="E217">
        <f>IF($A217="","",IF(AND($C217="2027",OR($D217="V01",$D217="V02",$D217="V03")),1,0))</f>
        <v/>
      </c>
      <c r="F217">
        <f>IF($A217="","",IF($E217=1,SUMIFS(Comptabilité!$F$1:$F$675,Comptabilité!$A$1:$A$675,$A217,Comptabilité!$B$1:$B$675,$B217,Comptabilité!$C$1:$C$675,"2026"),0))</f>
        <v/>
      </c>
      <c r="G217">
        <f>IF($A217="","",IF($D217="V01",Cadrage!$C$22,IF($D217="V02",Cadrage!$D$22,Cadrage!$E$22)))</f>
        <v/>
      </c>
      <c r="H217">
        <f>IF($A217="","",IF($D217="V01",Cadrage!$C$23,IF($D217="V02",Cadrage!$D$23,Cadrage!$E$23)))</f>
        <v/>
      </c>
      <c r="I217">
        <f>IF($A217="","",IF($D217="V01",Cadrage!$C$31,IF($D217="V02",Cadrage!$D$31,Cadrage!$E$31)))</f>
        <v/>
      </c>
      <c r="J217">
        <f>IF($A217="","",IF($D217="V01",Cadrage!$C$32,IF($D217="V02",Cadrage!$D$32,Cadrage!$E$32)))</f>
        <v/>
      </c>
      <c r="K217">
        <f>IF($A217="","",IF($D217="V01",Cadrage!$C$33,IF($D217="V02",Cadrage!$D$33,Cadrage!$E$33)))</f>
        <v/>
      </c>
      <c r="L217">
        <f>IF($A217="","",IF($D217="V01",Cadrage!$C$34,IF($D217="V02",Cadrage!$D$34,Cadrage!$E$34)))</f>
        <v/>
      </c>
      <c r="M217">
        <f>IF($A217="","",IF($D217="V01",Cadrage!$C$35,IF($D217="V02",Cadrage!$D$35,Cadrage!$E$35)))</f>
        <v/>
      </c>
      <c r="N217">
        <f>IF($A217="","",IF($D217="V01",$R$2,IF($D217="V02",$R$3,$R$4)))</f>
        <v/>
      </c>
      <c r="O217">
        <f>IF($A217="","",IF(OR($B217="7062",$B217="706",$B217="708"),$N217,IF($B217="6231",1+$G217,IF($B217="6236",1+$H217,IF(OR($B217="621",$B217="604",$B217="6063"),$N217*(1-$L217),IF(OR($B217="6411",$B217="6413",$B217="6414",$B217="645"),(1+$J217)*(1+$K217),IF(OR($B217="613",$B217="615",$B217="616",$B217="6226",$B217="625",$B217="626",$B217="6281"),(1+$I217)*(1-$L217)*(1+$M217),IF(OR($B217="6331",$B217="63511",$B217="6333"),(1+$I217)*(1-$L217),IF($B217="6811",1+$I217,1)))))))))</f>
        <v/>
      </c>
      <c r="P217">
        <f>IF($A217="","",IF($E217=1,$F217*$O217,PNL!G217))</f>
        <v/>
      </c>
      <c r="T217">
        <f>IF($A217="","",IF($E217=1,IF(OR($B217="7062",$B217="706",$B217="708"),$P217,IF(AND(LEFT($B217,1)="6",$B217&lt;&gt;"6811"),-$P217,0)),0))</f>
        <v/>
      </c>
    </row>
    <row r="218">
      <c r="A218">
        <f>IF(PNL!A218="","",PNL!A218)</f>
        <v/>
      </c>
      <c r="B218">
        <f>IF(PNL!B218="","",PNL!B218)</f>
        <v/>
      </c>
      <c r="C218">
        <f>IF(PNL!C218="","",PNL!C218)</f>
        <v/>
      </c>
      <c r="D218">
        <f>IF(PNL!D218="","",PNL!D218)</f>
        <v/>
      </c>
      <c r="E218">
        <f>IF($A218="","",IF(AND($C218="2027",OR($D218="V01",$D218="V02",$D218="V03")),1,0))</f>
        <v/>
      </c>
      <c r="F218">
        <f>IF($A218="","",IF($E218=1,SUMIFS(Comptabilité!$F$1:$F$675,Comptabilité!$A$1:$A$675,$A218,Comptabilité!$B$1:$B$675,$B218,Comptabilité!$C$1:$C$675,"2026"),0))</f>
        <v/>
      </c>
      <c r="G218">
        <f>IF($A218="","",IF($D218="V01",Cadrage!$C$22,IF($D218="V02",Cadrage!$D$22,Cadrage!$E$22)))</f>
        <v/>
      </c>
      <c r="H218">
        <f>IF($A218="","",IF($D218="V01",Cadrage!$C$23,IF($D218="V02",Cadrage!$D$23,Cadrage!$E$23)))</f>
        <v/>
      </c>
      <c r="I218">
        <f>IF($A218="","",IF($D218="V01",Cadrage!$C$31,IF($D218="V02",Cadrage!$D$31,Cadrage!$E$31)))</f>
        <v/>
      </c>
      <c r="J218">
        <f>IF($A218="","",IF($D218="V01",Cadrage!$C$32,IF($D218="V02",Cadrage!$D$32,Cadrage!$E$32)))</f>
        <v/>
      </c>
      <c r="K218">
        <f>IF($A218="","",IF($D218="V01",Cadrage!$C$33,IF($D218="V02",Cadrage!$D$33,Cadrage!$E$33)))</f>
        <v/>
      </c>
      <c r="L218">
        <f>IF($A218="","",IF($D218="V01",Cadrage!$C$34,IF($D218="V02",Cadrage!$D$34,Cadrage!$E$34)))</f>
        <v/>
      </c>
      <c r="M218">
        <f>IF($A218="","",IF($D218="V01",Cadrage!$C$35,IF($D218="V02",Cadrage!$D$35,Cadrage!$E$35)))</f>
        <v/>
      </c>
      <c r="N218">
        <f>IF($A218="","",IF($D218="V01",$R$2,IF($D218="V02",$R$3,$R$4)))</f>
        <v/>
      </c>
      <c r="O218">
        <f>IF($A218="","",IF(OR($B218="7062",$B218="706",$B218="708"),$N218,IF($B218="6231",1+$G218,IF($B218="6236",1+$H218,IF(OR($B218="621",$B218="604",$B218="6063"),$N218*(1-$L218),IF(OR($B218="6411",$B218="6413",$B218="6414",$B218="645"),(1+$J218)*(1+$K218),IF(OR($B218="613",$B218="615",$B218="616",$B218="6226",$B218="625",$B218="626",$B218="6281"),(1+$I218)*(1-$L218)*(1+$M218),IF(OR($B218="6331",$B218="63511",$B218="6333"),(1+$I218)*(1-$L218),IF($B218="6811",1+$I218,1)))))))))</f>
        <v/>
      </c>
      <c r="P218">
        <f>IF($A218="","",IF($E218=1,$F218*$O218,PNL!G218))</f>
        <v/>
      </c>
      <c r="T218">
        <f>IF($A218="","",IF($E218=1,IF(OR($B218="7062",$B218="706",$B218="708"),$P218,IF(AND(LEFT($B218,1)="6",$B218&lt;&gt;"6811"),-$P218,0)),0))</f>
        <v/>
      </c>
    </row>
    <row r="219">
      <c r="A219">
        <f>IF(PNL!A219="","",PNL!A219)</f>
        <v/>
      </c>
      <c r="B219">
        <f>IF(PNL!B219="","",PNL!B219)</f>
        <v/>
      </c>
      <c r="C219">
        <f>IF(PNL!C219="","",PNL!C219)</f>
        <v/>
      </c>
      <c r="D219">
        <f>IF(PNL!D219="","",PNL!D219)</f>
        <v/>
      </c>
      <c r="E219">
        <f>IF($A219="","",IF(AND($C219="2027",OR($D219="V01",$D219="V02",$D219="V03")),1,0))</f>
        <v/>
      </c>
      <c r="F219">
        <f>IF($A219="","",IF($E219=1,SUMIFS(Comptabilité!$F$1:$F$675,Comptabilité!$A$1:$A$675,$A219,Comptabilité!$B$1:$B$675,$B219,Comptabilité!$C$1:$C$675,"2026"),0))</f>
        <v/>
      </c>
      <c r="G219">
        <f>IF($A219="","",IF($D219="V01",Cadrage!$C$22,IF($D219="V02",Cadrage!$D$22,Cadrage!$E$22)))</f>
        <v/>
      </c>
      <c r="H219">
        <f>IF($A219="","",IF($D219="V01",Cadrage!$C$23,IF($D219="V02",Cadrage!$D$23,Cadrage!$E$23)))</f>
        <v/>
      </c>
      <c r="I219">
        <f>IF($A219="","",IF($D219="V01",Cadrage!$C$31,IF($D219="V02",Cadrage!$D$31,Cadrage!$E$31)))</f>
        <v/>
      </c>
      <c r="J219">
        <f>IF($A219="","",IF($D219="V01",Cadrage!$C$32,IF($D219="V02",Cadrage!$D$32,Cadrage!$E$32)))</f>
        <v/>
      </c>
      <c r="K219">
        <f>IF($A219="","",IF($D219="V01",Cadrage!$C$33,IF($D219="V02",Cadrage!$D$33,Cadrage!$E$33)))</f>
        <v/>
      </c>
      <c r="L219">
        <f>IF($A219="","",IF($D219="V01",Cadrage!$C$34,IF($D219="V02",Cadrage!$D$34,Cadrage!$E$34)))</f>
        <v/>
      </c>
      <c r="M219">
        <f>IF($A219="","",IF($D219="V01",Cadrage!$C$35,IF($D219="V02",Cadrage!$D$35,Cadrage!$E$35)))</f>
        <v/>
      </c>
      <c r="N219">
        <f>IF($A219="","",IF($D219="V01",$R$2,IF($D219="V02",$R$3,$R$4)))</f>
        <v/>
      </c>
      <c r="O219">
        <f>IF($A219="","",IF(OR($B219="7062",$B219="706",$B219="708"),$N219,IF($B219="6231",1+$G219,IF($B219="6236",1+$H219,IF(OR($B219="621",$B219="604",$B219="6063"),$N219*(1-$L219),IF(OR($B219="6411",$B219="6413",$B219="6414",$B219="645"),(1+$J219)*(1+$K219),IF(OR($B219="613",$B219="615",$B219="616",$B219="6226",$B219="625",$B219="626",$B219="6281"),(1+$I219)*(1-$L219)*(1+$M219),IF(OR($B219="6331",$B219="63511",$B219="6333"),(1+$I219)*(1-$L219),IF($B219="6811",1+$I219,1)))))))))</f>
        <v/>
      </c>
      <c r="P219">
        <f>IF($A219="","",IF($E219=1,$F219*$O219,PNL!G219))</f>
        <v/>
      </c>
      <c r="T219">
        <f>IF($A219="","",IF($E219=1,IF(OR($B219="7062",$B219="706",$B219="708"),$P219,IF(AND(LEFT($B219,1)="6",$B219&lt;&gt;"6811"),-$P219,0)),0))</f>
        <v/>
      </c>
    </row>
    <row r="220">
      <c r="A220">
        <f>IF(PNL!A220="","",PNL!A220)</f>
        <v/>
      </c>
      <c r="B220">
        <f>IF(PNL!B220="","",PNL!B220)</f>
        <v/>
      </c>
      <c r="C220">
        <f>IF(PNL!C220="","",PNL!C220)</f>
        <v/>
      </c>
      <c r="D220">
        <f>IF(PNL!D220="","",PNL!D220)</f>
        <v/>
      </c>
      <c r="E220">
        <f>IF($A220="","",IF(AND($C220="2027",OR($D220="V01",$D220="V02",$D220="V03")),1,0))</f>
        <v/>
      </c>
      <c r="F220">
        <f>IF($A220="","",IF($E220=1,SUMIFS(Comptabilité!$F$1:$F$675,Comptabilité!$A$1:$A$675,$A220,Comptabilité!$B$1:$B$675,$B220,Comptabilité!$C$1:$C$675,"2026"),0))</f>
        <v/>
      </c>
      <c r="G220">
        <f>IF($A220="","",IF($D220="V01",Cadrage!$C$22,IF($D220="V02",Cadrage!$D$22,Cadrage!$E$22)))</f>
        <v/>
      </c>
      <c r="H220">
        <f>IF($A220="","",IF($D220="V01",Cadrage!$C$23,IF($D220="V02",Cadrage!$D$23,Cadrage!$E$23)))</f>
        <v/>
      </c>
      <c r="I220">
        <f>IF($A220="","",IF($D220="V01",Cadrage!$C$31,IF($D220="V02",Cadrage!$D$31,Cadrage!$E$31)))</f>
        <v/>
      </c>
      <c r="J220">
        <f>IF($A220="","",IF($D220="V01",Cadrage!$C$32,IF($D220="V02",Cadrage!$D$32,Cadrage!$E$32)))</f>
        <v/>
      </c>
      <c r="K220">
        <f>IF($A220="","",IF($D220="V01",Cadrage!$C$33,IF($D220="V02",Cadrage!$D$33,Cadrage!$E$33)))</f>
        <v/>
      </c>
      <c r="L220">
        <f>IF($A220="","",IF($D220="V01",Cadrage!$C$34,IF($D220="V02",Cadrage!$D$34,Cadrage!$E$34)))</f>
        <v/>
      </c>
      <c r="M220">
        <f>IF($A220="","",IF($D220="V01",Cadrage!$C$35,IF($D220="V02",Cadrage!$D$35,Cadrage!$E$35)))</f>
        <v/>
      </c>
      <c r="N220">
        <f>IF($A220="","",IF($D220="V01",$R$2,IF($D220="V02",$R$3,$R$4)))</f>
        <v/>
      </c>
      <c r="O220">
        <f>IF($A220="","",IF(OR($B220="7062",$B220="706",$B220="708"),$N220,IF($B220="6231",1+$G220,IF($B220="6236",1+$H220,IF(OR($B220="621",$B220="604",$B220="6063"),$N220*(1-$L220),IF(OR($B220="6411",$B220="6413",$B220="6414",$B220="645"),(1+$J220)*(1+$K220),IF(OR($B220="613",$B220="615",$B220="616",$B220="6226",$B220="625",$B220="626",$B220="6281"),(1+$I220)*(1-$L220)*(1+$M220),IF(OR($B220="6331",$B220="63511",$B220="6333"),(1+$I220)*(1-$L220),IF($B220="6811",1+$I220,1)))))))))</f>
        <v/>
      </c>
      <c r="P220">
        <f>IF($A220="","",IF($E220=1,$F220*$O220,PNL!G220))</f>
        <v/>
      </c>
      <c r="T220">
        <f>IF($A220="","",IF($E220=1,IF(OR($B220="7062",$B220="706",$B220="708"),$P220,IF(AND(LEFT($B220,1)="6",$B220&lt;&gt;"6811"),-$P220,0)),0))</f>
        <v/>
      </c>
    </row>
    <row r="221">
      <c r="A221">
        <f>IF(PNL!A221="","",PNL!A221)</f>
        <v/>
      </c>
      <c r="B221">
        <f>IF(PNL!B221="","",PNL!B221)</f>
        <v/>
      </c>
      <c r="C221">
        <f>IF(PNL!C221="","",PNL!C221)</f>
        <v/>
      </c>
      <c r="D221">
        <f>IF(PNL!D221="","",PNL!D221)</f>
        <v/>
      </c>
      <c r="E221">
        <f>IF($A221="","",IF(AND($C221="2027",OR($D221="V01",$D221="V02",$D221="V03")),1,0))</f>
        <v/>
      </c>
      <c r="F221">
        <f>IF($A221="","",IF($E221=1,SUMIFS(Comptabilité!$F$1:$F$675,Comptabilité!$A$1:$A$675,$A221,Comptabilité!$B$1:$B$675,$B221,Comptabilité!$C$1:$C$675,"2026"),0))</f>
        <v/>
      </c>
      <c r="G221">
        <f>IF($A221="","",IF($D221="V01",Cadrage!$C$22,IF($D221="V02",Cadrage!$D$22,Cadrage!$E$22)))</f>
        <v/>
      </c>
      <c r="H221">
        <f>IF($A221="","",IF($D221="V01",Cadrage!$C$23,IF($D221="V02",Cadrage!$D$23,Cadrage!$E$23)))</f>
        <v/>
      </c>
      <c r="I221">
        <f>IF($A221="","",IF($D221="V01",Cadrage!$C$31,IF($D221="V02",Cadrage!$D$31,Cadrage!$E$31)))</f>
        <v/>
      </c>
      <c r="J221">
        <f>IF($A221="","",IF($D221="V01",Cadrage!$C$32,IF($D221="V02",Cadrage!$D$32,Cadrage!$E$32)))</f>
        <v/>
      </c>
      <c r="K221">
        <f>IF($A221="","",IF($D221="V01",Cadrage!$C$33,IF($D221="V02",Cadrage!$D$33,Cadrage!$E$33)))</f>
        <v/>
      </c>
      <c r="L221">
        <f>IF($A221="","",IF($D221="V01",Cadrage!$C$34,IF($D221="V02",Cadrage!$D$34,Cadrage!$E$34)))</f>
        <v/>
      </c>
      <c r="M221">
        <f>IF($A221="","",IF($D221="V01",Cadrage!$C$35,IF($D221="V02",Cadrage!$D$35,Cadrage!$E$35)))</f>
        <v/>
      </c>
      <c r="N221">
        <f>IF($A221="","",IF($D221="V01",$R$2,IF($D221="V02",$R$3,$R$4)))</f>
        <v/>
      </c>
      <c r="O221">
        <f>IF($A221="","",IF(OR($B221="7062",$B221="706",$B221="708"),$N221,IF($B221="6231",1+$G221,IF($B221="6236",1+$H221,IF(OR($B221="621",$B221="604",$B221="6063"),$N221*(1-$L221),IF(OR($B221="6411",$B221="6413",$B221="6414",$B221="645"),(1+$J221)*(1+$K221),IF(OR($B221="613",$B221="615",$B221="616",$B221="6226",$B221="625",$B221="626",$B221="6281"),(1+$I221)*(1-$L221)*(1+$M221),IF(OR($B221="6331",$B221="63511",$B221="6333"),(1+$I221)*(1-$L221),IF($B221="6811",1+$I221,1)))))))))</f>
        <v/>
      </c>
      <c r="P221">
        <f>IF($A221="","",IF($E221=1,$F221*$O221,PNL!G221))</f>
        <v/>
      </c>
      <c r="T221">
        <f>IF($A221="","",IF($E221=1,IF(OR($B221="7062",$B221="706",$B221="708"),$P221,IF(AND(LEFT($B221,1)="6",$B221&lt;&gt;"6811"),-$P221,0)),0))</f>
        <v/>
      </c>
    </row>
    <row r="222">
      <c r="A222">
        <f>IF(PNL!A222="","",PNL!A222)</f>
        <v/>
      </c>
      <c r="B222">
        <f>IF(PNL!B222="","",PNL!B222)</f>
        <v/>
      </c>
      <c r="C222">
        <f>IF(PNL!C222="","",PNL!C222)</f>
        <v/>
      </c>
      <c r="D222">
        <f>IF(PNL!D222="","",PNL!D222)</f>
        <v/>
      </c>
      <c r="E222">
        <f>IF($A222="","",IF(AND($C222="2027",OR($D222="V01",$D222="V02",$D222="V03")),1,0))</f>
        <v/>
      </c>
      <c r="F222">
        <f>IF($A222="","",IF($E222=1,SUMIFS(Comptabilité!$F$1:$F$675,Comptabilité!$A$1:$A$675,$A222,Comptabilité!$B$1:$B$675,$B222,Comptabilité!$C$1:$C$675,"2026"),0))</f>
        <v/>
      </c>
      <c r="G222">
        <f>IF($A222="","",IF($D222="V01",Cadrage!$C$22,IF($D222="V02",Cadrage!$D$22,Cadrage!$E$22)))</f>
        <v/>
      </c>
      <c r="H222">
        <f>IF($A222="","",IF($D222="V01",Cadrage!$C$23,IF($D222="V02",Cadrage!$D$23,Cadrage!$E$23)))</f>
        <v/>
      </c>
      <c r="I222">
        <f>IF($A222="","",IF($D222="V01",Cadrage!$C$31,IF($D222="V02",Cadrage!$D$31,Cadrage!$E$31)))</f>
        <v/>
      </c>
      <c r="J222">
        <f>IF($A222="","",IF($D222="V01",Cadrage!$C$32,IF($D222="V02",Cadrage!$D$32,Cadrage!$E$32)))</f>
        <v/>
      </c>
      <c r="K222">
        <f>IF($A222="","",IF($D222="V01",Cadrage!$C$33,IF($D222="V02",Cadrage!$D$33,Cadrage!$E$33)))</f>
        <v/>
      </c>
      <c r="L222">
        <f>IF($A222="","",IF($D222="V01",Cadrage!$C$34,IF($D222="V02",Cadrage!$D$34,Cadrage!$E$34)))</f>
        <v/>
      </c>
      <c r="M222">
        <f>IF($A222="","",IF($D222="V01",Cadrage!$C$35,IF($D222="V02",Cadrage!$D$35,Cadrage!$E$35)))</f>
        <v/>
      </c>
      <c r="N222">
        <f>IF($A222="","",IF($D222="V01",$R$2,IF($D222="V02",$R$3,$R$4)))</f>
        <v/>
      </c>
      <c r="O222">
        <f>IF($A222="","",IF(OR($B222="7062",$B222="706",$B222="708"),$N222,IF($B222="6231",1+$G222,IF($B222="6236",1+$H222,IF(OR($B222="621",$B222="604",$B222="6063"),$N222*(1-$L222),IF(OR($B222="6411",$B222="6413",$B222="6414",$B222="645"),(1+$J222)*(1+$K222),IF(OR($B222="613",$B222="615",$B222="616",$B222="6226",$B222="625",$B222="626",$B222="6281"),(1+$I222)*(1-$L222)*(1+$M222),IF(OR($B222="6331",$B222="63511",$B222="6333"),(1+$I222)*(1-$L222),IF($B222="6811",1+$I222,1)))))))))</f>
        <v/>
      </c>
      <c r="P222">
        <f>IF($A222="","",IF($E222=1,$F222*$O222,PNL!G222))</f>
        <v/>
      </c>
      <c r="T222">
        <f>IF($A222="","",IF($E222=1,IF(OR($B222="7062",$B222="706",$B222="708"),$P222,IF(AND(LEFT($B222,1)="6",$B222&lt;&gt;"6811"),-$P222,0)),0))</f>
        <v/>
      </c>
    </row>
    <row r="223">
      <c r="A223">
        <f>IF(PNL!A223="","",PNL!A223)</f>
        <v/>
      </c>
      <c r="B223">
        <f>IF(PNL!B223="","",PNL!B223)</f>
        <v/>
      </c>
      <c r="C223">
        <f>IF(PNL!C223="","",PNL!C223)</f>
        <v/>
      </c>
      <c r="D223">
        <f>IF(PNL!D223="","",PNL!D223)</f>
        <v/>
      </c>
      <c r="E223">
        <f>IF($A223="","",IF(AND($C223="2027",OR($D223="V01",$D223="V02",$D223="V03")),1,0))</f>
        <v/>
      </c>
      <c r="F223">
        <f>IF($A223="","",IF($E223=1,SUMIFS(Comptabilité!$F$1:$F$675,Comptabilité!$A$1:$A$675,$A223,Comptabilité!$B$1:$B$675,$B223,Comptabilité!$C$1:$C$675,"2026"),0))</f>
        <v/>
      </c>
      <c r="G223">
        <f>IF($A223="","",IF($D223="V01",Cadrage!$C$22,IF($D223="V02",Cadrage!$D$22,Cadrage!$E$22)))</f>
        <v/>
      </c>
      <c r="H223">
        <f>IF($A223="","",IF($D223="V01",Cadrage!$C$23,IF($D223="V02",Cadrage!$D$23,Cadrage!$E$23)))</f>
        <v/>
      </c>
      <c r="I223">
        <f>IF($A223="","",IF($D223="V01",Cadrage!$C$31,IF($D223="V02",Cadrage!$D$31,Cadrage!$E$31)))</f>
        <v/>
      </c>
      <c r="J223">
        <f>IF($A223="","",IF($D223="V01",Cadrage!$C$32,IF($D223="V02",Cadrage!$D$32,Cadrage!$E$32)))</f>
        <v/>
      </c>
      <c r="K223">
        <f>IF($A223="","",IF($D223="V01",Cadrage!$C$33,IF($D223="V02",Cadrage!$D$33,Cadrage!$E$33)))</f>
        <v/>
      </c>
      <c r="L223">
        <f>IF($A223="","",IF($D223="V01",Cadrage!$C$34,IF($D223="V02",Cadrage!$D$34,Cadrage!$E$34)))</f>
        <v/>
      </c>
      <c r="M223">
        <f>IF($A223="","",IF($D223="V01",Cadrage!$C$35,IF($D223="V02",Cadrage!$D$35,Cadrage!$E$35)))</f>
        <v/>
      </c>
      <c r="N223">
        <f>IF($A223="","",IF($D223="V01",$R$2,IF($D223="V02",$R$3,$R$4)))</f>
        <v/>
      </c>
      <c r="O223">
        <f>IF($A223="","",IF(OR($B223="7062",$B223="706",$B223="708"),$N223,IF($B223="6231",1+$G223,IF($B223="6236",1+$H223,IF(OR($B223="621",$B223="604",$B223="6063"),$N223*(1-$L223),IF(OR($B223="6411",$B223="6413",$B223="6414",$B223="645"),(1+$J223)*(1+$K223),IF(OR($B223="613",$B223="615",$B223="616",$B223="6226",$B223="625",$B223="626",$B223="6281"),(1+$I223)*(1-$L223)*(1+$M223),IF(OR($B223="6331",$B223="63511",$B223="6333"),(1+$I223)*(1-$L223),IF($B223="6811",1+$I223,1)))))))))</f>
        <v/>
      </c>
      <c r="P223">
        <f>IF($A223="","",IF($E223=1,$F223*$O223,PNL!G223))</f>
        <v/>
      </c>
      <c r="T223">
        <f>IF($A223="","",IF($E223=1,IF(OR($B223="7062",$B223="706",$B223="708"),$P223,IF(AND(LEFT($B223,1)="6",$B223&lt;&gt;"6811"),-$P223,0)),0))</f>
        <v/>
      </c>
    </row>
    <row r="224">
      <c r="A224">
        <f>IF(PNL!A224="","",PNL!A224)</f>
        <v/>
      </c>
      <c r="B224">
        <f>IF(PNL!B224="","",PNL!B224)</f>
        <v/>
      </c>
      <c r="C224">
        <f>IF(PNL!C224="","",PNL!C224)</f>
        <v/>
      </c>
      <c r="D224">
        <f>IF(PNL!D224="","",PNL!D224)</f>
        <v/>
      </c>
      <c r="E224">
        <f>IF($A224="","",IF(AND($C224="2027",OR($D224="V01",$D224="V02",$D224="V03")),1,0))</f>
        <v/>
      </c>
      <c r="F224">
        <f>IF($A224="","",IF($E224=1,SUMIFS(Comptabilité!$F$1:$F$675,Comptabilité!$A$1:$A$675,$A224,Comptabilité!$B$1:$B$675,$B224,Comptabilité!$C$1:$C$675,"2026"),0))</f>
        <v/>
      </c>
      <c r="G224">
        <f>IF($A224="","",IF($D224="V01",Cadrage!$C$22,IF($D224="V02",Cadrage!$D$22,Cadrage!$E$22)))</f>
        <v/>
      </c>
      <c r="H224">
        <f>IF($A224="","",IF($D224="V01",Cadrage!$C$23,IF($D224="V02",Cadrage!$D$23,Cadrage!$E$23)))</f>
        <v/>
      </c>
      <c r="I224">
        <f>IF($A224="","",IF($D224="V01",Cadrage!$C$31,IF($D224="V02",Cadrage!$D$31,Cadrage!$E$31)))</f>
        <v/>
      </c>
      <c r="J224">
        <f>IF($A224="","",IF($D224="V01",Cadrage!$C$32,IF($D224="V02",Cadrage!$D$32,Cadrage!$E$32)))</f>
        <v/>
      </c>
      <c r="K224">
        <f>IF($A224="","",IF($D224="V01",Cadrage!$C$33,IF($D224="V02",Cadrage!$D$33,Cadrage!$E$33)))</f>
        <v/>
      </c>
      <c r="L224">
        <f>IF($A224="","",IF($D224="V01",Cadrage!$C$34,IF($D224="V02",Cadrage!$D$34,Cadrage!$E$34)))</f>
        <v/>
      </c>
      <c r="M224">
        <f>IF($A224="","",IF($D224="V01",Cadrage!$C$35,IF($D224="V02",Cadrage!$D$35,Cadrage!$E$35)))</f>
        <v/>
      </c>
      <c r="N224">
        <f>IF($A224="","",IF($D224="V01",$R$2,IF($D224="V02",$R$3,$R$4)))</f>
        <v/>
      </c>
      <c r="O224">
        <f>IF($A224="","",IF(OR($B224="7062",$B224="706",$B224="708"),$N224,IF($B224="6231",1+$G224,IF($B224="6236",1+$H224,IF(OR($B224="621",$B224="604",$B224="6063"),$N224*(1-$L224),IF(OR($B224="6411",$B224="6413",$B224="6414",$B224="645"),(1+$J224)*(1+$K224),IF(OR($B224="613",$B224="615",$B224="616",$B224="6226",$B224="625",$B224="626",$B224="6281"),(1+$I224)*(1-$L224)*(1+$M224),IF(OR($B224="6331",$B224="63511",$B224="6333"),(1+$I224)*(1-$L224),IF($B224="6811",1+$I224,1)))))))))</f>
        <v/>
      </c>
      <c r="P224">
        <f>IF($A224="","",IF($E224=1,$F224*$O224,PNL!G224))</f>
        <v/>
      </c>
      <c r="T224">
        <f>IF($A224="","",IF($E224=1,IF(OR($B224="7062",$B224="706",$B224="708"),$P224,IF(AND(LEFT($B224,1)="6",$B224&lt;&gt;"6811"),-$P224,0)),0))</f>
        <v/>
      </c>
    </row>
    <row r="225">
      <c r="A225">
        <f>IF(PNL!A225="","",PNL!A225)</f>
        <v/>
      </c>
      <c r="B225">
        <f>IF(PNL!B225="","",PNL!B225)</f>
        <v/>
      </c>
      <c r="C225">
        <f>IF(PNL!C225="","",PNL!C225)</f>
        <v/>
      </c>
      <c r="D225">
        <f>IF(PNL!D225="","",PNL!D225)</f>
        <v/>
      </c>
      <c r="E225">
        <f>IF($A225="","",IF(AND($C225="2027",OR($D225="V01",$D225="V02",$D225="V03")),1,0))</f>
        <v/>
      </c>
      <c r="F225">
        <f>IF($A225="","",IF($E225=1,SUMIFS(Comptabilité!$F$1:$F$675,Comptabilité!$A$1:$A$675,$A225,Comptabilité!$B$1:$B$675,$B225,Comptabilité!$C$1:$C$675,"2026"),0))</f>
        <v/>
      </c>
      <c r="G225">
        <f>IF($A225="","",IF($D225="V01",Cadrage!$C$22,IF($D225="V02",Cadrage!$D$22,Cadrage!$E$22)))</f>
        <v/>
      </c>
      <c r="H225">
        <f>IF($A225="","",IF($D225="V01",Cadrage!$C$23,IF($D225="V02",Cadrage!$D$23,Cadrage!$E$23)))</f>
        <v/>
      </c>
      <c r="I225">
        <f>IF($A225="","",IF($D225="V01",Cadrage!$C$31,IF($D225="V02",Cadrage!$D$31,Cadrage!$E$31)))</f>
        <v/>
      </c>
      <c r="J225">
        <f>IF($A225="","",IF($D225="V01",Cadrage!$C$32,IF($D225="V02",Cadrage!$D$32,Cadrage!$E$32)))</f>
        <v/>
      </c>
      <c r="K225">
        <f>IF($A225="","",IF($D225="V01",Cadrage!$C$33,IF($D225="V02",Cadrage!$D$33,Cadrage!$E$33)))</f>
        <v/>
      </c>
      <c r="L225">
        <f>IF($A225="","",IF($D225="V01",Cadrage!$C$34,IF($D225="V02",Cadrage!$D$34,Cadrage!$E$34)))</f>
        <v/>
      </c>
      <c r="M225">
        <f>IF($A225="","",IF($D225="V01",Cadrage!$C$35,IF($D225="V02",Cadrage!$D$35,Cadrage!$E$35)))</f>
        <v/>
      </c>
      <c r="N225">
        <f>IF($A225="","",IF($D225="V01",$R$2,IF($D225="V02",$R$3,$R$4)))</f>
        <v/>
      </c>
      <c r="O225">
        <f>IF($A225="","",IF(OR($B225="7062",$B225="706",$B225="708"),$N225,IF($B225="6231",1+$G225,IF($B225="6236",1+$H225,IF(OR($B225="621",$B225="604",$B225="6063"),$N225*(1-$L225),IF(OR($B225="6411",$B225="6413",$B225="6414",$B225="645"),(1+$J225)*(1+$K225),IF(OR($B225="613",$B225="615",$B225="616",$B225="6226",$B225="625",$B225="626",$B225="6281"),(1+$I225)*(1-$L225)*(1+$M225),IF(OR($B225="6331",$B225="63511",$B225="6333"),(1+$I225)*(1-$L225),IF($B225="6811",1+$I225,1)))))))))</f>
        <v/>
      </c>
      <c r="P225">
        <f>IF($A225="","",IF($E225=1,$F225*$O225,PNL!G225))</f>
        <v/>
      </c>
      <c r="T225">
        <f>IF($A225="","",IF($E225=1,IF(OR($B225="7062",$B225="706",$B225="708"),$P225,IF(AND(LEFT($B225,1)="6",$B225&lt;&gt;"6811"),-$P225,0)),0))</f>
        <v/>
      </c>
    </row>
    <row r="226">
      <c r="A226">
        <f>IF(PNL!A226="","",PNL!A226)</f>
        <v/>
      </c>
      <c r="B226">
        <f>IF(PNL!B226="","",PNL!B226)</f>
        <v/>
      </c>
      <c r="C226">
        <f>IF(PNL!C226="","",PNL!C226)</f>
        <v/>
      </c>
      <c r="D226">
        <f>IF(PNL!D226="","",PNL!D226)</f>
        <v/>
      </c>
      <c r="E226">
        <f>IF($A226="","",IF(AND($C226="2027",OR($D226="V01",$D226="V02",$D226="V03")),1,0))</f>
        <v/>
      </c>
      <c r="F226">
        <f>IF($A226="","",IF($E226=1,SUMIFS(Comptabilité!$F$1:$F$675,Comptabilité!$A$1:$A$675,$A226,Comptabilité!$B$1:$B$675,$B226,Comptabilité!$C$1:$C$675,"2026"),0))</f>
        <v/>
      </c>
      <c r="G226">
        <f>IF($A226="","",IF($D226="V01",Cadrage!$C$22,IF($D226="V02",Cadrage!$D$22,Cadrage!$E$22)))</f>
        <v/>
      </c>
      <c r="H226">
        <f>IF($A226="","",IF($D226="V01",Cadrage!$C$23,IF($D226="V02",Cadrage!$D$23,Cadrage!$E$23)))</f>
        <v/>
      </c>
      <c r="I226">
        <f>IF($A226="","",IF($D226="V01",Cadrage!$C$31,IF($D226="V02",Cadrage!$D$31,Cadrage!$E$31)))</f>
        <v/>
      </c>
      <c r="J226">
        <f>IF($A226="","",IF($D226="V01",Cadrage!$C$32,IF($D226="V02",Cadrage!$D$32,Cadrage!$E$32)))</f>
        <v/>
      </c>
      <c r="K226">
        <f>IF($A226="","",IF($D226="V01",Cadrage!$C$33,IF($D226="V02",Cadrage!$D$33,Cadrage!$E$33)))</f>
        <v/>
      </c>
      <c r="L226">
        <f>IF($A226="","",IF($D226="V01",Cadrage!$C$34,IF($D226="V02",Cadrage!$D$34,Cadrage!$E$34)))</f>
        <v/>
      </c>
      <c r="M226">
        <f>IF($A226="","",IF($D226="V01",Cadrage!$C$35,IF($D226="V02",Cadrage!$D$35,Cadrage!$E$35)))</f>
        <v/>
      </c>
      <c r="N226">
        <f>IF($A226="","",IF($D226="V01",$R$2,IF($D226="V02",$R$3,$R$4)))</f>
        <v/>
      </c>
      <c r="O226">
        <f>IF($A226="","",IF(OR($B226="7062",$B226="706",$B226="708"),$N226,IF($B226="6231",1+$G226,IF($B226="6236",1+$H226,IF(OR($B226="621",$B226="604",$B226="6063"),$N226*(1-$L226),IF(OR($B226="6411",$B226="6413",$B226="6414",$B226="645"),(1+$J226)*(1+$K226),IF(OR($B226="613",$B226="615",$B226="616",$B226="6226",$B226="625",$B226="626",$B226="6281"),(1+$I226)*(1-$L226)*(1+$M226),IF(OR($B226="6331",$B226="63511",$B226="6333"),(1+$I226)*(1-$L226),IF($B226="6811",1+$I226,1)))))))))</f>
        <v/>
      </c>
      <c r="P226">
        <f>IF($A226="","",IF($E226=1,$F226*$O226,PNL!G226))</f>
        <v/>
      </c>
      <c r="T226">
        <f>IF($A226="","",IF($E226=1,IF(OR($B226="7062",$B226="706",$B226="708"),$P226,IF(AND(LEFT($B226,1)="6",$B226&lt;&gt;"6811"),-$P226,0)),0))</f>
        <v/>
      </c>
    </row>
    <row r="227">
      <c r="A227">
        <f>IF(PNL!A227="","",PNL!A227)</f>
        <v/>
      </c>
      <c r="B227">
        <f>IF(PNL!B227="","",PNL!B227)</f>
        <v/>
      </c>
      <c r="C227">
        <f>IF(PNL!C227="","",PNL!C227)</f>
        <v/>
      </c>
      <c r="D227">
        <f>IF(PNL!D227="","",PNL!D227)</f>
        <v/>
      </c>
      <c r="E227">
        <f>IF($A227="","",IF(AND($C227="2027",OR($D227="V01",$D227="V02",$D227="V03")),1,0))</f>
        <v/>
      </c>
      <c r="F227">
        <f>IF($A227="","",IF($E227=1,SUMIFS(Comptabilité!$F$1:$F$675,Comptabilité!$A$1:$A$675,$A227,Comptabilité!$B$1:$B$675,$B227,Comptabilité!$C$1:$C$675,"2026"),0))</f>
        <v/>
      </c>
      <c r="G227">
        <f>IF($A227="","",IF($D227="V01",Cadrage!$C$22,IF($D227="V02",Cadrage!$D$22,Cadrage!$E$22)))</f>
        <v/>
      </c>
      <c r="H227">
        <f>IF($A227="","",IF($D227="V01",Cadrage!$C$23,IF($D227="V02",Cadrage!$D$23,Cadrage!$E$23)))</f>
        <v/>
      </c>
      <c r="I227">
        <f>IF($A227="","",IF($D227="V01",Cadrage!$C$31,IF($D227="V02",Cadrage!$D$31,Cadrage!$E$31)))</f>
        <v/>
      </c>
      <c r="J227">
        <f>IF($A227="","",IF($D227="V01",Cadrage!$C$32,IF($D227="V02",Cadrage!$D$32,Cadrage!$E$32)))</f>
        <v/>
      </c>
      <c r="K227">
        <f>IF($A227="","",IF($D227="V01",Cadrage!$C$33,IF($D227="V02",Cadrage!$D$33,Cadrage!$E$33)))</f>
        <v/>
      </c>
      <c r="L227">
        <f>IF($A227="","",IF($D227="V01",Cadrage!$C$34,IF($D227="V02",Cadrage!$D$34,Cadrage!$E$34)))</f>
        <v/>
      </c>
      <c r="M227">
        <f>IF($A227="","",IF($D227="V01",Cadrage!$C$35,IF($D227="V02",Cadrage!$D$35,Cadrage!$E$35)))</f>
        <v/>
      </c>
      <c r="N227">
        <f>IF($A227="","",IF($D227="V01",$R$2,IF($D227="V02",$R$3,$R$4)))</f>
        <v/>
      </c>
      <c r="O227">
        <f>IF($A227="","",IF(OR($B227="7062",$B227="706",$B227="708"),$N227,IF($B227="6231",1+$G227,IF($B227="6236",1+$H227,IF(OR($B227="621",$B227="604",$B227="6063"),$N227*(1-$L227),IF(OR($B227="6411",$B227="6413",$B227="6414",$B227="645"),(1+$J227)*(1+$K227),IF(OR($B227="613",$B227="615",$B227="616",$B227="6226",$B227="625",$B227="626",$B227="6281"),(1+$I227)*(1-$L227)*(1+$M227),IF(OR($B227="6331",$B227="63511",$B227="6333"),(1+$I227)*(1-$L227),IF($B227="6811",1+$I227,1)))))))))</f>
        <v/>
      </c>
      <c r="P227">
        <f>IF($A227="","",IF($E227=1,$F227*$O227,PNL!G227))</f>
        <v/>
      </c>
      <c r="T227">
        <f>IF($A227="","",IF($E227=1,IF(OR($B227="7062",$B227="706",$B227="708"),$P227,IF(AND(LEFT($B227,1)="6",$B227&lt;&gt;"6811"),-$P227,0)),0))</f>
        <v/>
      </c>
    </row>
    <row r="228">
      <c r="A228">
        <f>IF(PNL!A228="","",PNL!A228)</f>
        <v/>
      </c>
      <c r="B228">
        <f>IF(PNL!B228="","",PNL!B228)</f>
        <v/>
      </c>
      <c r="C228">
        <f>IF(PNL!C228="","",PNL!C228)</f>
        <v/>
      </c>
      <c r="D228">
        <f>IF(PNL!D228="","",PNL!D228)</f>
        <v/>
      </c>
      <c r="E228">
        <f>IF($A228="","",IF(AND($C228="2027",OR($D228="V01",$D228="V02",$D228="V03")),1,0))</f>
        <v/>
      </c>
      <c r="F228">
        <f>IF($A228="","",IF($E228=1,SUMIFS(Comptabilité!$F$1:$F$675,Comptabilité!$A$1:$A$675,$A228,Comptabilité!$B$1:$B$675,$B228,Comptabilité!$C$1:$C$675,"2026"),0))</f>
        <v/>
      </c>
      <c r="G228">
        <f>IF($A228="","",IF($D228="V01",Cadrage!$C$22,IF($D228="V02",Cadrage!$D$22,Cadrage!$E$22)))</f>
        <v/>
      </c>
      <c r="H228">
        <f>IF($A228="","",IF($D228="V01",Cadrage!$C$23,IF($D228="V02",Cadrage!$D$23,Cadrage!$E$23)))</f>
        <v/>
      </c>
      <c r="I228">
        <f>IF($A228="","",IF($D228="V01",Cadrage!$C$31,IF($D228="V02",Cadrage!$D$31,Cadrage!$E$31)))</f>
        <v/>
      </c>
      <c r="J228">
        <f>IF($A228="","",IF($D228="V01",Cadrage!$C$32,IF($D228="V02",Cadrage!$D$32,Cadrage!$E$32)))</f>
        <v/>
      </c>
      <c r="K228">
        <f>IF($A228="","",IF($D228="V01",Cadrage!$C$33,IF($D228="V02",Cadrage!$D$33,Cadrage!$E$33)))</f>
        <v/>
      </c>
      <c r="L228">
        <f>IF($A228="","",IF($D228="V01",Cadrage!$C$34,IF($D228="V02",Cadrage!$D$34,Cadrage!$E$34)))</f>
        <v/>
      </c>
      <c r="M228">
        <f>IF($A228="","",IF($D228="V01",Cadrage!$C$35,IF($D228="V02",Cadrage!$D$35,Cadrage!$E$35)))</f>
        <v/>
      </c>
      <c r="N228">
        <f>IF($A228="","",IF($D228="V01",$R$2,IF($D228="V02",$R$3,$R$4)))</f>
        <v/>
      </c>
      <c r="O228">
        <f>IF($A228="","",IF(OR($B228="7062",$B228="706",$B228="708"),$N228,IF($B228="6231",1+$G228,IF($B228="6236",1+$H228,IF(OR($B228="621",$B228="604",$B228="6063"),$N228*(1-$L228),IF(OR($B228="6411",$B228="6413",$B228="6414",$B228="645"),(1+$J228)*(1+$K228),IF(OR($B228="613",$B228="615",$B228="616",$B228="6226",$B228="625",$B228="626",$B228="6281"),(1+$I228)*(1-$L228)*(1+$M228),IF(OR($B228="6331",$B228="63511",$B228="6333"),(1+$I228)*(1-$L228),IF($B228="6811",1+$I228,1)))))))))</f>
        <v/>
      </c>
      <c r="P228">
        <f>IF($A228="","",IF($E228=1,$F228*$O228,PNL!G228))</f>
        <v/>
      </c>
      <c r="T228">
        <f>IF($A228="","",IF($E228=1,IF(OR($B228="7062",$B228="706",$B228="708"),$P228,IF(AND(LEFT($B228,1)="6",$B228&lt;&gt;"6811"),-$P228,0)),0))</f>
        <v/>
      </c>
    </row>
    <row r="229">
      <c r="A229">
        <f>IF(PNL!A229="","",PNL!A229)</f>
        <v/>
      </c>
      <c r="B229">
        <f>IF(PNL!B229="","",PNL!B229)</f>
        <v/>
      </c>
      <c r="C229">
        <f>IF(PNL!C229="","",PNL!C229)</f>
        <v/>
      </c>
      <c r="D229">
        <f>IF(PNL!D229="","",PNL!D229)</f>
        <v/>
      </c>
      <c r="E229">
        <f>IF($A229="","",IF(AND($C229="2027",OR($D229="V01",$D229="V02",$D229="V03")),1,0))</f>
        <v/>
      </c>
      <c r="F229">
        <f>IF($A229="","",IF($E229=1,SUMIFS(Comptabilité!$F$1:$F$675,Comptabilité!$A$1:$A$675,$A229,Comptabilité!$B$1:$B$675,$B229,Comptabilité!$C$1:$C$675,"2026"),0))</f>
        <v/>
      </c>
      <c r="G229">
        <f>IF($A229="","",IF($D229="V01",Cadrage!$C$22,IF($D229="V02",Cadrage!$D$22,Cadrage!$E$22)))</f>
        <v/>
      </c>
      <c r="H229">
        <f>IF($A229="","",IF($D229="V01",Cadrage!$C$23,IF($D229="V02",Cadrage!$D$23,Cadrage!$E$23)))</f>
        <v/>
      </c>
      <c r="I229">
        <f>IF($A229="","",IF($D229="V01",Cadrage!$C$31,IF($D229="V02",Cadrage!$D$31,Cadrage!$E$31)))</f>
        <v/>
      </c>
      <c r="J229">
        <f>IF($A229="","",IF($D229="V01",Cadrage!$C$32,IF($D229="V02",Cadrage!$D$32,Cadrage!$E$32)))</f>
        <v/>
      </c>
      <c r="K229">
        <f>IF($A229="","",IF($D229="V01",Cadrage!$C$33,IF($D229="V02",Cadrage!$D$33,Cadrage!$E$33)))</f>
        <v/>
      </c>
      <c r="L229">
        <f>IF($A229="","",IF($D229="V01",Cadrage!$C$34,IF($D229="V02",Cadrage!$D$34,Cadrage!$E$34)))</f>
        <v/>
      </c>
      <c r="M229">
        <f>IF($A229="","",IF($D229="V01",Cadrage!$C$35,IF($D229="V02",Cadrage!$D$35,Cadrage!$E$35)))</f>
        <v/>
      </c>
      <c r="N229">
        <f>IF($A229="","",IF($D229="V01",$R$2,IF($D229="V02",$R$3,$R$4)))</f>
        <v/>
      </c>
      <c r="O229">
        <f>IF($A229="","",IF(OR($B229="7062",$B229="706",$B229="708"),$N229,IF($B229="6231",1+$G229,IF($B229="6236",1+$H229,IF(OR($B229="621",$B229="604",$B229="6063"),$N229*(1-$L229),IF(OR($B229="6411",$B229="6413",$B229="6414",$B229="645"),(1+$J229)*(1+$K229),IF(OR($B229="613",$B229="615",$B229="616",$B229="6226",$B229="625",$B229="626",$B229="6281"),(1+$I229)*(1-$L229)*(1+$M229),IF(OR($B229="6331",$B229="63511",$B229="6333"),(1+$I229)*(1-$L229),IF($B229="6811",1+$I229,1)))))))))</f>
        <v/>
      </c>
      <c r="P229">
        <f>IF($A229="","",IF($E229=1,$F229*$O229,PNL!G229))</f>
        <v/>
      </c>
      <c r="T229">
        <f>IF($A229="","",IF($E229=1,IF(OR($B229="7062",$B229="706",$B229="708"),$P229,IF(AND(LEFT($B229,1)="6",$B229&lt;&gt;"6811"),-$P229,0)),0))</f>
        <v/>
      </c>
    </row>
    <row r="230">
      <c r="A230">
        <f>IF(PNL!A230="","",PNL!A230)</f>
        <v/>
      </c>
      <c r="B230">
        <f>IF(PNL!B230="","",PNL!B230)</f>
        <v/>
      </c>
      <c r="C230">
        <f>IF(PNL!C230="","",PNL!C230)</f>
        <v/>
      </c>
      <c r="D230">
        <f>IF(PNL!D230="","",PNL!D230)</f>
        <v/>
      </c>
      <c r="E230">
        <f>IF($A230="","",IF(AND($C230="2027",OR($D230="V01",$D230="V02",$D230="V03")),1,0))</f>
        <v/>
      </c>
      <c r="F230">
        <f>IF($A230="","",IF($E230=1,SUMIFS(Comptabilité!$F$1:$F$675,Comptabilité!$A$1:$A$675,$A230,Comptabilité!$B$1:$B$675,$B230,Comptabilité!$C$1:$C$675,"2026"),0))</f>
        <v/>
      </c>
      <c r="G230">
        <f>IF($A230="","",IF($D230="V01",Cadrage!$C$22,IF($D230="V02",Cadrage!$D$22,Cadrage!$E$22)))</f>
        <v/>
      </c>
      <c r="H230">
        <f>IF($A230="","",IF($D230="V01",Cadrage!$C$23,IF($D230="V02",Cadrage!$D$23,Cadrage!$E$23)))</f>
        <v/>
      </c>
      <c r="I230">
        <f>IF($A230="","",IF($D230="V01",Cadrage!$C$31,IF($D230="V02",Cadrage!$D$31,Cadrage!$E$31)))</f>
        <v/>
      </c>
      <c r="J230">
        <f>IF($A230="","",IF($D230="V01",Cadrage!$C$32,IF($D230="V02",Cadrage!$D$32,Cadrage!$E$32)))</f>
        <v/>
      </c>
      <c r="K230">
        <f>IF($A230="","",IF($D230="V01",Cadrage!$C$33,IF($D230="V02",Cadrage!$D$33,Cadrage!$E$33)))</f>
        <v/>
      </c>
      <c r="L230">
        <f>IF($A230="","",IF($D230="V01",Cadrage!$C$34,IF($D230="V02",Cadrage!$D$34,Cadrage!$E$34)))</f>
        <v/>
      </c>
      <c r="M230">
        <f>IF($A230="","",IF($D230="V01",Cadrage!$C$35,IF($D230="V02",Cadrage!$D$35,Cadrage!$E$35)))</f>
        <v/>
      </c>
      <c r="N230">
        <f>IF($A230="","",IF($D230="V01",$R$2,IF($D230="V02",$R$3,$R$4)))</f>
        <v/>
      </c>
      <c r="O230">
        <f>IF($A230="","",IF(OR($B230="7062",$B230="706",$B230="708"),$N230,IF($B230="6231",1+$G230,IF($B230="6236",1+$H230,IF(OR($B230="621",$B230="604",$B230="6063"),$N230*(1-$L230),IF(OR($B230="6411",$B230="6413",$B230="6414",$B230="645"),(1+$J230)*(1+$K230),IF(OR($B230="613",$B230="615",$B230="616",$B230="6226",$B230="625",$B230="626",$B230="6281"),(1+$I230)*(1-$L230)*(1+$M230),IF(OR($B230="6331",$B230="63511",$B230="6333"),(1+$I230)*(1-$L230),IF($B230="6811",1+$I230,1)))))))))</f>
        <v/>
      </c>
      <c r="P230">
        <f>IF($A230="","",IF($E230=1,$F230*$O230,PNL!G230))</f>
        <v/>
      </c>
      <c r="T230">
        <f>IF($A230="","",IF($E230=1,IF(OR($B230="7062",$B230="706",$B230="708"),$P230,IF(AND(LEFT($B230,1)="6",$B230&lt;&gt;"6811"),-$P230,0)),0))</f>
        <v/>
      </c>
    </row>
    <row r="231">
      <c r="A231">
        <f>IF(PNL!A231="","",PNL!A231)</f>
        <v/>
      </c>
      <c r="B231">
        <f>IF(PNL!B231="","",PNL!B231)</f>
        <v/>
      </c>
      <c r="C231">
        <f>IF(PNL!C231="","",PNL!C231)</f>
        <v/>
      </c>
      <c r="D231">
        <f>IF(PNL!D231="","",PNL!D231)</f>
        <v/>
      </c>
      <c r="E231">
        <f>IF($A231="","",IF(AND($C231="2027",OR($D231="V01",$D231="V02",$D231="V03")),1,0))</f>
        <v/>
      </c>
      <c r="F231">
        <f>IF($A231="","",IF($E231=1,SUMIFS(Comptabilité!$F$1:$F$675,Comptabilité!$A$1:$A$675,$A231,Comptabilité!$B$1:$B$675,$B231,Comptabilité!$C$1:$C$675,"2026"),0))</f>
        <v/>
      </c>
      <c r="G231">
        <f>IF($A231="","",IF($D231="V01",Cadrage!$C$22,IF($D231="V02",Cadrage!$D$22,Cadrage!$E$22)))</f>
        <v/>
      </c>
      <c r="H231">
        <f>IF($A231="","",IF($D231="V01",Cadrage!$C$23,IF($D231="V02",Cadrage!$D$23,Cadrage!$E$23)))</f>
        <v/>
      </c>
      <c r="I231">
        <f>IF($A231="","",IF($D231="V01",Cadrage!$C$31,IF($D231="V02",Cadrage!$D$31,Cadrage!$E$31)))</f>
        <v/>
      </c>
      <c r="J231">
        <f>IF($A231="","",IF($D231="V01",Cadrage!$C$32,IF($D231="V02",Cadrage!$D$32,Cadrage!$E$32)))</f>
        <v/>
      </c>
      <c r="K231">
        <f>IF($A231="","",IF($D231="V01",Cadrage!$C$33,IF($D231="V02",Cadrage!$D$33,Cadrage!$E$33)))</f>
        <v/>
      </c>
      <c r="L231">
        <f>IF($A231="","",IF($D231="V01",Cadrage!$C$34,IF($D231="V02",Cadrage!$D$34,Cadrage!$E$34)))</f>
        <v/>
      </c>
      <c r="M231">
        <f>IF($A231="","",IF($D231="V01",Cadrage!$C$35,IF($D231="V02",Cadrage!$D$35,Cadrage!$E$35)))</f>
        <v/>
      </c>
      <c r="N231">
        <f>IF($A231="","",IF($D231="V01",$R$2,IF($D231="V02",$R$3,$R$4)))</f>
        <v/>
      </c>
      <c r="O231">
        <f>IF($A231="","",IF(OR($B231="7062",$B231="706",$B231="708"),$N231,IF($B231="6231",1+$G231,IF($B231="6236",1+$H231,IF(OR($B231="621",$B231="604",$B231="6063"),$N231*(1-$L231),IF(OR($B231="6411",$B231="6413",$B231="6414",$B231="645"),(1+$J231)*(1+$K231),IF(OR($B231="613",$B231="615",$B231="616",$B231="6226",$B231="625",$B231="626",$B231="6281"),(1+$I231)*(1-$L231)*(1+$M231),IF(OR($B231="6331",$B231="63511",$B231="6333"),(1+$I231)*(1-$L231),IF($B231="6811",1+$I231,1)))))))))</f>
        <v/>
      </c>
      <c r="P231">
        <f>IF($A231="","",IF($E231=1,$F231*$O231,PNL!G231))</f>
        <v/>
      </c>
      <c r="T231">
        <f>IF($A231="","",IF($E231=1,IF(OR($B231="7062",$B231="706",$B231="708"),$P231,IF(AND(LEFT($B231,1)="6",$B231&lt;&gt;"6811"),-$P231,0)),0))</f>
        <v/>
      </c>
    </row>
    <row r="232">
      <c r="A232">
        <f>IF(PNL!A232="","",PNL!A232)</f>
        <v/>
      </c>
      <c r="B232">
        <f>IF(PNL!B232="","",PNL!B232)</f>
        <v/>
      </c>
      <c r="C232">
        <f>IF(PNL!C232="","",PNL!C232)</f>
        <v/>
      </c>
      <c r="D232">
        <f>IF(PNL!D232="","",PNL!D232)</f>
        <v/>
      </c>
      <c r="E232">
        <f>IF($A232="","",IF(AND($C232="2027",OR($D232="V01",$D232="V02",$D232="V03")),1,0))</f>
        <v/>
      </c>
      <c r="F232">
        <f>IF($A232="","",IF($E232=1,SUMIFS(Comptabilité!$F$1:$F$675,Comptabilité!$A$1:$A$675,$A232,Comptabilité!$B$1:$B$675,$B232,Comptabilité!$C$1:$C$675,"2026"),0))</f>
        <v/>
      </c>
      <c r="G232">
        <f>IF($A232="","",IF($D232="V01",Cadrage!$C$22,IF($D232="V02",Cadrage!$D$22,Cadrage!$E$22)))</f>
        <v/>
      </c>
      <c r="H232">
        <f>IF($A232="","",IF($D232="V01",Cadrage!$C$23,IF($D232="V02",Cadrage!$D$23,Cadrage!$E$23)))</f>
        <v/>
      </c>
      <c r="I232">
        <f>IF($A232="","",IF($D232="V01",Cadrage!$C$31,IF($D232="V02",Cadrage!$D$31,Cadrage!$E$31)))</f>
        <v/>
      </c>
      <c r="J232">
        <f>IF($A232="","",IF($D232="V01",Cadrage!$C$32,IF($D232="V02",Cadrage!$D$32,Cadrage!$E$32)))</f>
        <v/>
      </c>
      <c r="K232">
        <f>IF($A232="","",IF($D232="V01",Cadrage!$C$33,IF($D232="V02",Cadrage!$D$33,Cadrage!$E$33)))</f>
        <v/>
      </c>
      <c r="L232">
        <f>IF($A232="","",IF($D232="V01",Cadrage!$C$34,IF($D232="V02",Cadrage!$D$34,Cadrage!$E$34)))</f>
        <v/>
      </c>
      <c r="M232">
        <f>IF($A232="","",IF($D232="V01",Cadrage!$C$35,IF($D232="V02",Cadrage!$D$35,Cadrage!$E$35)))</f>
        <v/>
      </c>
      <c r="N232">
        <f>IF($A232="","",IF($D232="V01",$R$2,IF($D232="V02",$R$3,$R$4)))</f>
        <v/>
      </c>
      <c r="O232">
        <f>IF($A232="","",IF(OR($B232="7062",$B232="706",$B232="708"),$N232,IF($B232="6231",1+$G232,IF($B232="6236",1+$H232,IF(OR($B232="621",$B232="604",$B232="6063"),$N232*(1-$L232),IF(OR($B232="6411",$B232="6413",$B232="6414",$B232="645"),(1+$J232)*(1+$K232),IF(OR($B232="613",$B232="615",$B232="616",$B232="6226",$B232="625",$B232="626",$B232="6281"),(1+$I232)*(1-$L232)*(1+$M232),IF(OR($B232="6331",$B232="63511",$B232="6333"),(1+$I232)*(1-$L232),IF($B232="6811",1+$I232,1)))))))))</f>
        <v/>
      </c>
      <c r="P232">
        <f>IF($A232="","",IF($E232=1,$F232*$O232,PNL!G232))</f>
        <v/>
      </c>
      <c r="T232">
        <f>IF($A232="","",IF($E232=1,IF(OR($B232="7062",$B232="706",$B232="708"),$P232,IF(AND(LEFT($B232,1)="6",$B232&lt;&gt;"6811"),-$P232,0)),0))</f>
        <v/>
      </c>
    </row>
    <row r="233">
      <c r="A233">
        <f>IF(PNL!A233="","",PNL!A233)</f>
        <v/>
      </c>
      <c r="B233">
        <f>IF(PNL!B233="","",PNL!B233)</f>
        <v/>
      </c>
      <c r="C233">
        <f>IF(PNL!C233="","",PNL!C233)</f>
        <v/>
      </c>
      <c r="D233">
        <f>IF(PNL!D233="","",PNL!D233)</f>
        <v/>
      </c>
      <c r="E233">
        <f>IF($A233="","",IF(AND($C233="2027",OR($D233="V01",$D233="V02",$D233="V03")),1,0))</f>
        <v/>
      </c>
      <c r="F233">
        <f>IF($A233="","",IF($E233=1,SUMIFS(Comptabilité!$F$1:$F$675,Comptabilité!$A$1:$A$675,$A233,Comptabilité!$B$1:$B$675,$B233,Comptabilité!$C$1:$C$675,"2026"),0))</f>
        <v/>
      </c>
      <c r="G233">
        <f>IF($A233="","",IF($D233="V01",Cadrage!$C$22,IF($D233="V02",Cadrage!$D$22,Cadrage!$E$22)))</f>
        <v/>
      </c>
      <c r="H233">
        <f>IF($A233="","",IF($D233="V01",Cadrage!$C$23,IF($D233="V02",Cadrage!$D$23,Cadrage!$E$23)))</f>
        <v/>
      </c>
      <c r="I233">
        <f>IF($A233="","",IF($D233="V01",Cadrage!$C$31,IF($D233="V02",Cadrage!$D$31,Cadrage!$E$31)))</f>
        <v/>
      </c>
      <c r="J233">
        <f>IF($A233="","",IF($D233="V01",Cadrage!$C$32,IF($D233="V02",Cadrage!$D$32,Cadrage!$E$32)))</f>
        <v/>
      </c>
      <c r="K233">
        <f>IF($A233="","",IF($D233="V01",Cadrage!$C$33,IF($D233="V02",Cadrage!$D$33,Cadrage!$E$33)))</f>
        <v/>
      </c>
      <c r="L233">
        <f>IF($A233="","",IF($D233="V01",Cadrage!$C$34,IF($D233="V02",Cadrage!$D$34,Cadrage!$E$34)))</f>
        <v/>
      </c>
      <c r="M233">
        <f>IF($A233="","",IF($D233="V01",Cadrage!$C$35,IF($D233="V02",Cadrage!$D$35,Cadrage!$E$35)))</f>
        <v/>
      </c>
      <c r="N233">
        <f>IF($A233="","",IF($D233="V01",$R$2,IF($D233="V02",$R$3,$R$4)))</f>
        <v/>
      </c>
      <c r="O233">
        <f>IF($A233="","",IF(OR($B233="7062",$B233="706",$B233="708"),$N233,IF($B233="6231",1+$G233,IF($B233="6236",1+$H233,IF(OR($B233="621",$B233="604",$B233="6063"),$N233*(1-$L233),IF(OR($B233="6411",$B233="6413",$B233="6414",$B233="645"),(1+$J233)*(1+$K233),IF(OR($B233="613",$B233="615",$B233="616",$B233="6226",$B233="625",$B233="626",$B233="6281"),(1+$I233)*(1-$L233)*(1+$M233),IF(OR($B233="6331",$B233="63511",$B233="6333"),(1+$I233)*(1-$L233),IF($B233="6811",1+$I233,1)))))))))</f>
        <v/>
      </c>
      <c r="P233">
        <f>IF($A233="","",IF($E233=1,$F233*$O233,PNL!G233))</f>
        <v/>
      </c>
      <c r="T233">
        <f>IF($A233="","",IF($E233=1,IF(OR($B233="7062",$B233="706",$B233="708"),$P233,IF(AND(LEFT($B233,1)="6",$B233&lt;&gt;"6811"),-$P233,0)),0))</f>
        <v/>
      </c>
    </row>
    <row r="234">
      <c r="A234">
        <f>IF(PNL!A234="","",PNL!A234)</f>
        <v/>
      </c>
      <c r="B234">
        <f>IF(PNL!B234="","",PNL!B234)</f>
        <v/>
      </c>
      <c r="C234">
        <f>IF(PNL!C234="","",PNL!C234)</f>
        <v/>
      </c>
      <c r="D234">
        <f>IF(PNL!D234="","",PNL!D234)</f>
        <v/>
      </c>
      <c r="E234">
        <f>IF($A234="","",IF(AND($C234="2027",OR($D234="V01",$D234="V02",$D234="V03")),1,0))</f>
        <v/>
      </c>
      <c r="F234">
        <f>IF($A234="","",IF($E234=1,SUMIFS(Comptabilité!$F$1:$F$675,Comptabilité!$A$1:$A$675,$A234,Comptabilité!$B$1:$B$675,$B234,Comptabilité!$C$1:$C$675,"2026"),0))</f>
        <v/>
      </c>
      <c r="G234">
        <f>IF($A234="","",IF($D234="V01",Cadrage!$C$22,IF($D234="V02",Cadrage!$D$22,Cadrage!$E$22)))</f>
        <v/>
      </c>
      <c r="H234">
        <f>IF($A234="","",IF($D234="V01",Cadrage!$C$23,IF($D234="V02",Cadrage!$D$23,Cadrage!$E$23)))</f>
        <v/>
      </c>
      <c r="I234">
        <f>IF($A234="","",IF($D234="V01",Cadrage!$C$31,IF($D234="V02",Cadrage!$D$31,Cadrage!$E$31)))</f>
        <v/>
      </c>
      <c r="J234">
        <f>IF($A234="","",IF($D234="V01",Cadrage!$C$32,IF($D234="V02",Cadrage!$D$32,Cadrage!$E$32)))</f>
        <v/>
      </c>
      <c r="K234">
        <f>IF($A234="","",IF($D234="V01",Cadrage!$C$33,IF($D234="V02",Cadrage!$D$33,Cadrage!$E$33)))</f>
        <v/>
      </c>
      <c r="L234">
        <f>IF($A234="","",IF($D234="V01",Cadrage!$C$34,IF($D234="V02",Cadrage!$D$34,Cadrage!$E$34)))</f>
        <v/>
      </c>
      <c r="M234">
        <f>IF($A234="","",IF($D234="V01",Cadrage!$C$35,IF($D234="V02",Cadrage!$D$35,Cadrage!$E$35)))</f>
        <v/>
      </c>
      <c r="N234">
        <f>IF($A234="","",IF($D234="V01",$R$2,IF($D234="V02",$R$3,$R$4)))</f>
        <v/>
      </c>
      <c r="O234">
        <f>IF($A234="","",IF(OR($B234="7062",$B234="706",$B234="708"),$N234,IF($B234="6231",1+$G234,IF($B234="6236",1+$H234,IF(OR($B234="621",$B234="604",$B234="6063"),$N234*(1-$L234),IF(OR($B234="6411",$B234="6413",$B234="6414",$B234="645"),(1+$J234)*(1+$K234),IF(OR($B234="613",$B234="615",$B234="616",$B234="6226",$B234="625",$B234="626",$B234="6281"),(1+$I234)*(1-$L234)*(1+$M234),IF(OR($B234="6331",$B234="63511",$B234="6333"),(1+$I234)*(1-$L234),IF($B234="6811",1+$I234,1)))))))))</f>
        <v/>
      </c>
      <c r="P234">
        <f>IF($A234="","",IF($E234=1,$F234*$O234,PNL!G234))</f>
        <v/>
      </c>
      <c r="T234">
        <f>IF($A234="","",IF($E234=1,IF(OR($B234="7062",$B234="706",$B234="708"),$P234,IF(AND(LEFT($B234,1)="6",$B234&lt;&gt;"6811"),-$P234,0)),0))</f>
        <v/>
      </c>
    </row>
    <row r="235">
      <c r="A235">
        <f>IF(PNL!A235="","",PNL!A235)</f>
        <v/>
      </c>
      <c r="B235">
        <f>IF(PNL!B235="","",PNL!B235)</f>
        <v/>
      </c>
      <c r="C235">
        <f>IF(PNL!C235="","",PNL!C235)</f>
        <v/>
      </c>
      <c r="D235">
        <f>IF(PNL!D235="","",PNL!D235)</f>
        <v/>
      </c>
      <c r="E235">
        <f>IF($A235="","",IF(AND($C235="2027",OR($D235="V01",$D235="V02",$D235="V03")),1,0))</f>
        <v/>
      </c>
      <c r="F235">
        <f>IF($A235="","",IF($E235=1,SUMIFS(Comptabilité!$F$1:$F$675,Comptabilité!$A$1:$A$675,$A235,Comptabilité!$B$1:$B$675,$B235,Comptabilité!$C$1:$C$675,"2026"),0))</f>
        <v/>
      </c>
      <c r="G235">
        <f>IF($A235="","",IF($D235="V01",Cadrage!$C$22,IF($D235="V02",Cadrage!$D$22,Cadrage!$E$22)))</f>
        <v/>
      </c>
      <c r="H235">
        <f>IF($A235="","",IF($D235="V01",Cadrage!$C$23,IF($D235="V02",Cadrage!$D$23,Cadrage!$E$23)))</f>
        <v/>
      </c>
      <c r="I235">
        <f>IF($A235="","",IF($D235="V01",Cadrage!$C$31,IF($D235="V02",Cadrage!$D$31,Cadrage!$E$31)))</f>
        <v/>
      </c>
      <c r="J235">
        <f>IF($A235="","",IF($D235="V01",Cadrage!$C$32,IF($D235="V02",Cadrage!$D$32,Cadrage!$E$32)))</f>
        <v/>
      </c>
      <c r="K235">
        <f>IF($A235="","",IF($D235="V01",Cadrage!$C$33,IF($D235="V02",Cadrage!$D$33,Cadrage!$E$33)))</f>
        <v/>
      </c>
      <c r="L235">
        <f>IF($A235="","",IF($D235="V01",Cadrage!$C$34,IF($D235="V02",Cadrage!$D$34,Cadrage!$E$34)))</f>
        <v/>
      </c>
      <c r="M235">
        <f>IF($A235="","",IF($D235="V01",Cadrage!$C$35,IF($D235="V02",Cadrage!$D$35,Cadrage!$E$35)))</f>
        <v/>
      </c>
      <c r="N235">
        <f>IF($A235="","",IF($D235="V01",$R$2,IF($D235="V02",$R$3,$R$4)))</f>
        <v/>
      </c>
      <c r="O235">
        <f>IF($A235="","",IF(OR($B235="7062",$B235="706",$B235="708"),$N235,IF($B235="6231",1+$G235,IF($B235="6236",1+$H235,IF(OR($B235="621",$B235="604",$B235="6063"),$N235*(1-$L235),IF(OR($B235="6411",$B235="6413",$B235="6414",$B235="645"),(1+$J235)*(1+$K235),IF(OR($B235="613",$B235="615",$B235="616",$B235="6226",$B235="625",$B235="626",$B235="6281"),(1+$I235)*(1-$L235)*(1+$M235),IF(OR($B235="6331",$B235="63511",$B235="6333"),(1+$I235)*(1-$L235),IF($B235="6811",1+$I235,1)))))))))</f>
        <v/>
      </c>
      <c r="P235">
        <f>IF($A235="","",IF($E235=1,$F235*$O235,PNL!G235))</f>
        <v/>
      </c>
      <c r="T235">
        <f>IF($A235="","",IF($E235=1,IF(OR($B235="7062",$B235="706",$B235="708"),$P235,IF(AND(LEFT($B235,1)="6",$B235&lt;&gt;"6811"),-$P235,0)),0))</f>
        <v/>
      </c>
    </row>
    <row r="236">
      <c r="A236">
        <f>IF(PNL!A236="","",PNL!A236)</f>
        <v/>
      </c>
      <c r="B236">
        <f>IF(PNL!B236="","",PNL!B236)</f>
        <v/>
      </c>
      <c r="C236">
        <f>IF(PNL!C236="","",PNL!C236)</f>
        <v/>
      </c>
      <c r="D236">
        <f>IF(PNL!D236="","",PNL!D236)</f>
        <v/>
      </c>
      <c r="E236">
        <f>IF($A236="","",IF(AND($C236="2027",OR($D236="V01",$D236="V02",$D236="V03")),1,0))</f>
        <v/>
      </c>
      <c r="F236">
        <f>IF($A236="","",IF($E236=1,SUMIFS(Comptabilité!$F$1:$F$675,Comptabilité!$A$1:$A$675,$A236,Comptabilité!$B$1:$B$675,$B236,Comptabilité!$C$1:$C$675,"2026"),0))</f>
        <v/>
      </c>
      <c r="G236">
        <f>IF($A236="","",IF($D236="V01",Cadrage!$C$22,IF($D236="V02",Cadrage!$D$22,Cadrage!$E$22)))</f>
        <v/>
      </c>
      <c r="H236">
        <f>IF($A236="","",IF($D236="V01",Cadrage!$C$23,IF($D236="V02",Cadrage!$D$23,Cadrage!$E$23)))</f>
        <v/>
      </c>
      <c r="I236">
        <f>IF($A236="","",IF($D236="V01",Cadrage!$C$31,IF($D236="V02",Cadrage!$D$31,Cadrage!$E$31)))</f>
        <v/>
      </c>
      <c r="J236">
        <f>IF($A236="","",IF($D236="V01",Cadrage!$C$32,IF($D236="V02",Cadrage!$D$32,Cadrage!$E$32)))</f>
        <v/>
      </c>
      <c r="K236">
        <f>IF($A236="","",IF($D236="V01",Cadrage!$C$33,IF($D236="V02",Cadrage!$D$33,Cadrage!$E$33)))</f>
        <v/>
      </c>
      <c r="L236">
        <f>IF($A236="","",IF($D236="V01",Cadrage!$C$34,IF($D236="V02",Cadrage!$D$34,Cadrage!$E$34)))</f>
        <v/>
      </c>
      <c r="M236">
        <f>IF($A236="","",IF($D236="V01",Cadrage!$C$35,IF($D236="V02",Cadrage!$D$35,Cadrage!$E$35)))</f>
        <v/>
      </c>
      <c r="N236">
        <f>IF($A236="","",IF($D236="V01",$R$2,IF($D236="V02",$R$3,$R$4)))</f>
        <v/>
      </c>
      <c r="O236">
        <f>IF($A236="","",IF(OR($B236="7062",$B236="706",$B236="708"),$N236,IF($B236="6231",1+$G236,IF($B236="6236",1+$H236,IF(OR($B236="621",$B236="604",$B236="6063"),$N236*(1-$L236),IF(OR($B236="6411",$B236="6413",$B236="6414",$B236="645"),(1+$J236)*(1+$K236),IF(OR($B236="613",$B236="615",$B236="616",$B236="6226",$B236="625",$B236="626",$B236="6281"),(1+$I236)*(1-$L236)*(1+$M236),IF(OR($B236="6331",$B236="63511",$B236="6333"),(1+$I236)*(1-$L236),IF($B236="6811",1+$I236,1)))))))))</f>
        <v/>
      </c>
      <c r="P236">
        <f>IF($A236="","",IF($E236=1,$F236*$O236,PNL!G236))</f>
        <v/>
      </c>
      <c r="T236">
        <f>IF($A236="","",IF($E236=1,IF(OR($B236="7062",$B236="706",$B236="708"),$P236,IF(AND(LEFT($B236,1)="6",$B236&lt;&gt;"6811"),-$P236,0)),0))</f>
        <v/>
      </c>
    </row>
    <row r="237">
      <c r="A237">
        <f>IF(PNL!A237="","",PNL!A237)</f>
        <v/>
      </c>
      <c r="B237">
        <f>IF(PNL!B237="","",PNL!B237)</f>
        <v/>
      </c>
      <c r="C237">
        <f>IF(PNL!C237="","",PNL!C237)</f>
        <v/>
      </c>
      <c r="D237">
        <f>IF(PNL!D237="","",PNL!D237)</f>
        <v/>
      </c>
      <c r="E237">
        <f>IF($A237="","",IF(AND($C237="2027",OR($D237="V01",$D237="V02",$D237="V03")),1,0))</f>
        <v/>
      </c>
      <c r="F237">
        <f>IF($A237="","",IF($E237=1,SUMIFS(Comptabilité!$F$1:$F$675,Comptabilité!$A$1:$A$675,$A237,Comptabilité!$B$1:$B$675,$B237,Comptabilité!$C$1:$C$675,"2026"),0))</f>
        <v/>
      </c>
      <c r="G237">
        <f>IF($A237="","",IF($D237="V01",Cadrage!$C$22,IF($D237="V02",Cadrage!$D$22,Cadrage!$E$22)))</f>
        <v/>
      </c>
      <c r="H237">
        <f>IF($A237="","",IF($D237="V01",Cadrage!$C$23,IF($D237="V02",Cadrage!$D$23,Cadrage!$E$23)))</f>
        <v/>
      </c>
      <c r="I237">
        <f>IF($A237="","",IF($D237="V01",Cadrage!$C$31,IF($D237="V02",Cadrage!$D$31,Cadrage!$E$31)))</f>
        <v/>
      </c>
      <c r="J237">
        <f>IF($A237="","",IF($D237="V01",Cadrage!$C$32,IF($D237="V02",Cadrage!$D$32,Cadrage!$E$32)))</f>
        <v/>
      </c>
      <c r="K237">
        <f>IF($A237="","",IF($D237="V01",Cadrage!$C$33,IF($D237="V02",Cadrage!$D$33,Cadrage!$E$33)))</f>
        <v/>
      </c>
      <c r="L237">
        <f>IF($A237="","",IF($D237="V01",Cadrage!$C$34,IF($D237="V02",Cadrage!$D$34,Cadrage!$E$34)))</f>
        <v/>
      </c>
      <c r="M237">
        <f>IF($A237="","",IF($D237="V01",Cadrage!$C$35,IF($D237="V02",Cadrage!$D$35,Cadrage!$E$35)))</f>
        <v/>
      </c>
      <c r="N237">
        <f>IF($A237="","",IF($D237="V01",$R$2,IF($D237="V02",$R$3,$R$4)))</f>
        <v/>
      </c>
      <c r="O237">
        <f>IF($A237="","",IF(OR($B237="7062",$B237="706",$B237="708"),$N237,IF($B237="6231",1+$G237,IF($B237="6236",1+$H237,IF(OR($B237="621",$B237="604",$B237="6063"),$N237*(1-$L237),IF(OR($B237="6411",$B237="6413",$B237="6414",$B237="645"),(1+$J237)*(1+$K237),IF(OR($B237="613",$B237="615",$B237="616",$B237="6226",$B237="625",$B237="626",$B237="6281"),(1+$I237)*(1-$L237)*(1+$M237),IF(OR($B237="6331",$B237="63511",$B237="6333"),(1+$I237)*(1-$L237),IF($B237="6811",1+$I237,1)))))))))</f>
        <v/>
      </c>
      <c r="P237">
        <f>IF($A237="","",IF($E237=1,$F237*$O237,PNL!G237))</f>
        <v/>
      </c>
      <c r="T237">
        <f>IF($A237="","",IF($E237=1,IF(OR($B237="7062",$B237="706",$B237="708"),$P237,IF(AND(LEFT($B237,1)="6",$B237&lt;&gt;"6811"),-$P237,0)),0))</f>
        <v/>
      </c>
    </row>
    <row r="238">
      <c r="A238">
        <f>IF(PNL!A238="","",PNL!A238)</f>
        <v/>
      </c>
      <c r="B238">
        <f>IF(PNL!B238="","",PNL!B238)</f>
        <v/>
      </c>
      <c r="C238">
        <f>IF(PNL!C238="","",PNL!C238)</f>
        <v/>
      </c>
      <c r="D238">
        <f>IF(PNL!D238="","",PNL!D238)</f>
        <v/>
      </c>
      <c r="E238">
        <f>IF($A238="","",IF(AND($C238="2027",OR($D238="V01",$D238="V02",$D238="V03")),1,0))</f>
        <v/>
      </c>
      <c r="F238">
        <f>IF($A238="","",IF($E238=1,SUMIFS(Comptabilité!$F$1:$F$675,Comptabilité!$A$1:$A$675,$A238,Comptabilité!$B$1:$B$675,$B238,Comptabilité!$C$1:$C$675,"2026"),0))</f>
        <v/>
      </c>
      <c r="G238">
        <f>IF($A238="","",IF($D238="V01",Cadrage!$C$22,IF($D238="V02",Cadrage!$D$22,Cadrage!$E$22)))</f>
        <v/>
      </c>
      <c r="H238">
        <f>IF($A238="","",IF($D238="V01",Cadrage!$C$23,IF($D238="V02",Cadrage!$D$23,Cadrage!$E$23)))</f>
        <v/>
      </c>
      <c r="I238">
        <f>IF($A238="","",IF($D238="V01",Cadrage!$C$31,IF($D238="V02",Cadrage!$D$31,Cadrage!$E$31)))</f>
        <v/>
      </c>
      <c r="J238">
        <f>IF($A238="","",IF($D238="V01",Cadrage!$C$32,IF($D238="V02",Cadrage!$D$32,Cadrage!$E$32)))</f>
        <v/>
      </c>
      <c r="K238">
        <f>IF($A238="","",IF($D238="V01",Cadrage!$C$33,IF($D238="V02",Cadrage!$D$33,Cadrage!$E$33)))</f>
        <v/>
      </c>
      <c r="L238">
        <f>IF($A238="","",IF($D238="V01",Cadrage!$C$34,IF($D238="V02",Cadrage!$D$34,Cadrage!$E$34)))</f>
        <v/>
      </c>
      <c r="M238">
        <f>IF($A238="","",IF($D238="V01",Cadrage!$C$35,IF($D238="V02",Cadrage!$D$35,Cadrage!$E$35)))</f>
        <v/>
      </c>
      <c r="N238">
        <f>IF($A238="","",IF($D238="V01",$R$2,IF($D238="V02",$R$3,$R$4)))</f>
        <v/>
      </c>
      <c r="O238">
        <f>IF($A238="","",IF(OR($B238="7062",$B238="706",$B238="708"),$N238,IF($B238="6231",1+$G238,IF($B238="6236",1+$H238,IF(OR($B238="621",$B238="604",$B238="6063"),$N238*(1-$L238),IF(OR($B238="6411",$B238="6413",$B238="6414",$B238="645"),(1+$J238)*(1+$K238),IF(OR($B238="613",$B238="615",$B238="616",$B238="6226",$B238="625",$B238="626",$B238="6281"),(1+$I238)*(1-$L238)*(1+$M238),IF(OR($B238="6331",$B238="63511",$B238="6333"),(1+$I238)*(1-$L238),IF($B238="6811",1+$I238,1)))))))))</f>
        <v/>
      </c>
      <c r="P238">
        <f>IF($A238="","",IF($E238=1,$F238*$O238,PNL!G238))</f>
        <v/>
      </c>
      <c r="T238">
        <f>IF($A238="","",IF($E238=1,IF(OR($B238="7062",$B238="706",$B238="708"),$P238,IF(AND(LEFT($B238,1)="6",$B238&lt;&gt;"6811"),-$P238,0)),0))</f>
        <v/>
      </c>
    </row>
    <row r="239">
      <c r="A239">
        <f>IF(PNL!A239="","",PNL!A239)</f>
        <v/>
      </c>
      <c r="B239">
        <f>IF(PNL!B239="","",PNL!B239)</f>
        <v/>
      </c>
      <c r="C239">
        <f>IF(PNL!C239="","",PNL!C239)</f>
        <v/>
      </c>
      <c r="D239">
        <f>IF(PNL!D239="","",PNL!D239)</f>
        <v/>
      </c>
      <c r="E239">
        <f>IF($A239="","",IF(AND($C239="2027",OR($D239="V01",$D239="V02",$D239="V03")),1,0))</f>
        <v/>
      </c>
      <c r="F239">
        <f>IF($A239="","",IF($E239=1,SUMIFS(Comptabilité!$F$1:$F$675,Comptabilité!$A$1:$A$675,$A239,Comptabilité!$B$1:$B$675,$B239,Comptabilité!$C$1:$C$675,"2026"),0))</f>
        <v/>
      </c>
      <c r="G239">
        <f>IF($A239="","",IF($D239="V01",Cadrage!$C$22,IF($D239="V02",Cadrage!$D$22,Cadrage!$E$22)))</f>
        <v/>
      </c>
      <c r="H239">
        <f>IF($A239="","",IF($D239="V01",Cadrage!$C$23,IF($D239="V02",Cadrage!$D$23,Cadrage!$E$23)))</f>
        <v/>
      </c>
      <c r="I239">
        <f>IF($A239="","",IF($D239="V01",Cadrage!$C$31,IF($D239="V02",Cadrage!$D$31,Cadrage!$E$31)))</f>
        <v/>
      </c>
      <c r="J239">
        <f>IF($A239="","",IF($D239="V01",Cadrage!$C$32,IF($D239="V02",Cadrage!$D$32,Cadrage!$E$32)))</f>
        <v/>
      </c>
      <c r="K239">
        <f>IF($A239="","",IF($D239="V01",Cadrage!$C$33,IF($D239="V02",Cadrage!$D$33,Cadrage!$E$33)))</f>
        <v/>
      </c>
      <c r="L239">
        <f>IF($A239="","",IF($D239="V01",Cadrage!$C$34,IF($D239="V02",Cadrage!$D$34,Cadrage!$E$34)))</f>
        <v/>
      </c>
      <c r="M239">
        <f>IF($A239="","",IF($D239="V01",Cadrage!$C$35,IF($D239="V02",Cadrage!$D$35,Cadrage!$E$35)))</f>
        <v/>
      </c>
      <c r="N239">
        <f>IF($A239="","",IF($D239="V01",$R$2,IF($D239="V02",$R$3,$R$4)))</f>
        <v/>
      </c>
      <c r="O239">
        <f>IF($A239="","",IF(OR($B239="7062",$B239="706",$B239="708"),$N239,IF($B239="6231",1+$G239,IF($B239="6236",1+$H239,IF(OR($B239="621",$B239="604",$B239="6063"),$N239*(1-$L239),IF(OR($B239="6411",$B239="6413",$B239="6414",$B239="645"),(1+$J239)*(1+$K239),IF(OR($B239="613",$B239="615",$B239="616",$B239="6226",$B239="625",$B239="626",$B239="6281"),(1+$I239)*(1-$L239)*(1+$M239),IF(OR($B239="6331",$B239="63511",$B239="6333"),(1+$I239)*(1-$L239),IF($B239="6811",1+$I239,1)))))))))</f>
        <v/>
      </c>
      <c r="P239">
        <f>IF($A239="","",IF($E239=1,$F239*$O239,PNL!G239))</f>
        <v/>
      </c>
      <c r="T239">
        <f>IF($A239="","",IF($E239=1,IF(OR($B239="7062",$B239="706",$B239="708"),$P239,IF(AND(LEFT($B239,1)="6",$B239&lt;&gt;"6811"),-$P239,0)),0))</f>
        <v/>
      </c>
    </row>
    <row r="240">
      <c r="A240">
        <f>IF(PNL!A240="","",PNL!A240)</f>
        <v/>
      </c>
      <c r="B240">
        <f>IF(PNL!B240="","",PNL!B240)</f>
        <v/>
      </c>
      <c r="C240">
        <f>IF(PNL!C240="","",PNL!C240)</f>
        <v/>
      </c>
      <c r="D240">
        <f>IF(PNL!D240="","",PNL!D240)</f>
        <v/>
      </c>
      <c r="E240">
        <f>IF($A240="","",IF(AND($C240="2027",OR($D240="V01",$D240="V02",$D240="V03")),1,0))</f>
        <v/>
      </c>
      <c r="F240">
        <f>IF($A240="","",IF($E240=1,SUMIFS(Comptabilité!$F$1:$F$675,Comptabilité!$A$1:$A$675,$A240,Comptabilité!$B$1:$B$675,$B240,Comptabilité!$C$1:$C$675,"2026"),0))</f>
        <v/>
      </c>
      <c r="G240">
        <f>IF($A240="","",IF($D240="V01",Cadrage!$C$22,IF($D240="V02",Cadrage!$D$22,Cadrage!$E$22)))</f>
        <v/>
      </c>
      <c r="H240">
        <f>IF($A240="","",IF($D240="V01",Cadrage!$C$23,IF($D240="V02",Cadrage!$D$23,Cadrage!$E$23)))</f>
        <v/>
      </c>
      <c r="I240">
        <f>IF($A240="","",IF($D240="V01",Cadrage!$C$31,IF($D240="V02",Cadrage!$D$31,Cadrage!$E$31)))</f>
        <v/>
      </c>
      <c r="J240">
        <f>IF($A240="","",IF($D240="V01",Cadrage!$C$32,IF($D240="V02",Cadrage!$D$32,Cadrage!$E$32)))</f>
        <v/>
      </c>
      <c r="K240">
        <f>IF($A240="","",IF($D240="V01",Cadrage!$C$33,IF($D240="V02",Cadrage!$D$33,Cadrage!$E$33)))</f>
        <v/>
      </c>
      <c r="L240">
        <f>IF($A240="","",IF($D240="V01",Cadrage!$C$34,IF($D240="V02",Cadrage!$D$34,Cadrage!$E$34)))</f>
        <v/>
      </c>
      <c r="M240">
        <f>IF($A240="","",IF($D240="V01",Cadrage!$C$35,IF($D240="V02",Cadrage!$D$35,Cadrage!$E$35)))</f>
        <v/>
      </c>
      <c r="N240">
        <f>IF($A240="","",IF($D240="V01",$R$2,IF($D240="V02",$R$3,$R$4)))</f>
        <v/>
      </c>
      <c r="O240">
        <f>IF($A240="","",IF(OR($B240="7062",$B240="706",$B240="708"),$N240,IF($B240="6231",1+$G240,IF($B240="6236",1+$H240,IF(OR($B240="621",$B240="604",$B240="6063"),$N240*(1-$L240),IF(OR($B240="6411",$B240="6413",$B240="6414",$B240="645"),(1+$J240)*(1+$K240),IF(OR($B240="613",$B240="615",$B240="616",$B240="6226",$B240="625",$B240="626",$B240="6281"),(1+$I240)*(1-$L240)*(1+$M240),IF(OR($B240="6331",$B240="63511",$B240="6333"),(1+$I240)*(1-$L240),IF($B240="6811",1+$I240,1)))))))))</f>
        <v/>
      </c>
      <c r="P240">
        <f>IF($A240="","",IF($E240=1,$F240*$O240,PNL!G240))</f>
        <v/>
      </c>
      <c r="T240">
        <f>IF($A240="","",IF($E240=1,IF(OR($B240="7062",$B240="706",$B240="708"),$P240,IF(AND(LEFT($B240,1)="6",$B240&lt;&gt;"6811"),-$P240,0)),0))</f>
        <v/>
      </c>
    </row>
    <row r="241">
      <c r="A241">
        <f>IF(PNL!A241="","",PNL!A241)</f>
        <v/>
      </c>
      <c r="B241">
        <f>IF(PNL!B241="","",PNL!B241)</f>
        <v/>
      </c>
      <c r="C241">
        <f>IF(PNL!C241="","",PNL!C241)</f>
        <v/>
      </c>
      <c r="D241">
        <f>IF(PNL!D241="","",PNL!D241)</f>
        <v/>
      </c>
      <c r="E241">
        <f>IF($A241="","",IF(AND($C241="2027",OR($D241="V01",$D241="V02",$D241="V03")),1,0))</f>
        <v/>
      </c>
      <c r="F241">
        <f>IF($A241="","",IF($E241=1,SUMIFS(Comptabilité!$F$1:$F$675,Comptabilité!$A$1:$A$675,$A241,Comptabilité!$B$1:$B$675,$B241,Comptabilité!$C$1:$C$675,"2026"),0))</f>
        <v/>
      </c>
      <c r="G241">
        <f>IF($A241="","",IF($D241="V01",Cadrage!$C$22,IF($D241="V02",Cadrage!$D$22,Cadrage!$E$22)))</f>
        <v/>
      </c>
      <c r="H241">
        <f>IF($A241="","",IF($D241="V01",Cadrage!$C$23,IF($D241="V02",Cadrage!$D$23,Cadrage!$E$23)))</f>
        <v/>
      </c>
      <c r="I241">
        <f>IF($A241="","",IF($D241="V01",Cadrage!$C$31,IF($D241="V02",Cadrage!$D$31,Cadrage!$E$31)))</f>
        <v/>
      </c>
      <c r="J241">
        <f>IF($A241="","",IF($D241="V01",Cadrage!$C$32,IF($D241="V02",Cadrage!$D$32,Cadrage!$E$32)))</f>
        <v/>
      </c>
      <c r="K241">
        <f>IF($A241="","",IF($D241="V01",Cadrage!$C$33,IF($D241="V02",Cadrage!$D$33,Cadrage!$E$33)))</f>
        <v/>
      </c>
      <c r="L241">
        <f>IF($A241="","",IF($D241="V01",Cadrage!$C$34,IF($D241="V02",Cadrage!$D$34,Cadrage!$E$34)))</f>
        <v/>
      </c>
      <c r="M241">
        <f>IF($A241="","",IF($D241="V01",Cadrage!$C$35,IF($D241="V02",Cadrage!$D$35,Cadrage!$E$35)))</f>
        <v/>
      </c>
      <c r="N241">
        <f>IF($A241="","",IF($D241="V01",$R$2,IF($D241="V02",$R$3,$R$4)))</f>
        <v/>
      </c>
      <c r="O241">
        <f>IF($A241="","",IF(OR($B241="7062",$B241="706",$B241="708"),$N241,IF($B241="6231",1+$G241,IF($B241="6236",1+$H241,IF(OR($B241="621",$B241="604",$B241="6063"),$N241*(1-$L241),IF(OR($B241="6411",$B241="6413",$B241="6414",$B241="645"),(1+$J241)*(1+$K241),IF(OR($B241="613",$B241="615",$B241="616",$B241="6226",$B241="625",$B241="626",$B241="6281"),(1+$I241)*(1-$L241)*(1+$M241),IF(OR($B241="6331",$B241="63511",$B241="6333"),(1+$I241)*(1-$L241),IF($B241="6811",1+$I241,1)))))))))</f>
        <v/>
      </c>
      <c r="P241">
        <f>IF($A241="","",IF($E241=1,$F241*$O241,PNL!G241))</f>
        <v/>
      </c>
      <c r="T241">
        <f>IF($A241="","",IF($E241=1,IF(OR($B241="7062",$B241="706",$B241="708"),$P241,IF(AND(LEFT($B241,1)="6",$B241&lt;&gt;"6811"),-$P241,0)),0))</f>
        <v/>
      </c>
    </row>
    <row r="242">
      <c r="A242">
        <f>IF(PNL!A242="","",PNL!A242)</f>
        <v/>
      </c>
      <c r="B242">
        <f>IF(PNL!B242="","",PNL!B242)</f>
        <v/>
      </c>
      <c r="C242">
        <f>IF(PNL!C242="","",PNL!C242)</f>
        <v/>
      </c>
      <c r="D242">
        <f>IF(PNL!D242="","",PNL!D242)</f>
        <v/>
      </c>
      <c r="E242">
        <f>IF($A242="","",IF(AND($C242="2027",OR($D242="V01",$D242="V02",$D242="V03")),1,0))</f>
        <v/>
      </c>
      <c r="F242">
        <f>IF($A242="","",IF($E242=1,SUMIFS(Comptabilité!$F$1:$F$675,Comptabilité!$A$1:$A$675,$A242,Comptabilité!$B$1:$B$675,$B242,Comptabilité!$C$1:$C$675,"2026"),0))</f>
        <v/>
      </c>
      <c r="G242">
        <f>IF($A242="","",IF($D242="V01",Cadrage!$C$22,IF($D242="V02",Cadrage!$D$22,Cadrage!$E$22)))</f>
        <v/>
      </c>
      <c r="H242">
        <f>IF($A242="","",IF($D242="V01",Cadrage!$C$23,IF($D242="V02",Cadrage!$D$23,Cadrage!$E$23)))</f>
        <v/>
      </c>
      <c r="I242">
        <f>IF($A242="","",IF($D242="V01",Cadrage!$C$31,IF($D242="V02",Cadrage!$D$31,Cadrage!$E$31)))</f>
        <v/>
      </c>
      <c r="J242">
        <f>IF($A242="","",IF($D242="V01",Cadrage!$C$32,IF($D242="V02",Cadrage!$D$32,Cadrage!$E$32)))</f>
        <v/>
      </c>
      <c r="K242">
        <f>IF($A242="","",IF($D242="V01",Cadrage!$C$33,IF($D242="V02",Cadrage!$D$33,Cadrage!$E$33)))</f>
        <v/>
      </c>
      <c r="L242">
        <f>IF($A242="","",IF($D242="V01",Cadrage!$C$34,IF($D242="V02",Cadrage!$D$34,Cadrage!$E$34)))</f>
        <v/>
      </c>
      <c r="M242">
        <f>IF($A242="","",IF($D242="V01",Cadrage!$C$35,IF($D242="V02",Cadrage!$D$35,Cadrage!$E$35)))</f>
        <v/>
      </c>
      <c r="N242">
        <f>IF($A242="","",IF($D242="V01",$R$2,IF($D242="V02",$R$3,$R$4)))</f>
        <v/>
      </c>
      <c r="O242">
        <f>IF($A242="","",IF(OR($B242="7062",$B242="706",$B242="708"),$N242,IF($B242="6231",1+$G242,IF($B242="6236",1+$H242,IF(OR($B242="621",$B242="604",$B242="6063"),$N242*(1-$L242),IF(OR($B242="6411",$B242="6413",$B242="6414",$B242="645"),(1+$J242)*(1+$K242),IF(OR($B242="613",$B242="615",$B242="616",$B242="6226",$B242="625",$B242="626",$B242="6281"),(1+$I242)*(1-$L242)*(1+$M242),IF(OR($B242="6331",$B242="63511",$B242="6333"),(1+$I242)*(1-$L242),IF($B242="6811",1+$I242,1)))))))))</f>
        <v/>
      </c>
      <c r="P242">
        <f>IF($A242="","",IF($E242=1,$F242*$O242,PNL!G242))</f>
        <v/>
      </c>
      <c r="T242">
        <f>IF($A242="","",IF($E242=1,IF(OR($B242="7062",$B242="706",$B242="708"),$P242,IF(AND(LEFT($B242,1)="6",$B242&lt;&gt;"6811"),-$P242,0)),0))</f>
        <v/>
      </c>
    </row>
    <row r="243">
      <c r="A243">
        <f>IF(PNL!A243="","",PNL!A243)</f>
        <v/>
      </c>
      <c r="B243">
        <f>IF(PNL!B243="","",PNL!B243)</f>
        <v/>
      </c>
      <c r="C243">
        <f>IF(PNL!C243="","",PNL!C243)</f>
        <v/>
      </c>
      <c r="D243">
        <f>IF(PNL!D243="","",PNL!D243)</f>
        <v/>
      </c>
      <c r="E243">
        <f>IF($A243="","",IF(AND($C243="2027",OR($D243="V01",$D243="V02",$D243="V03")),1,0))</f>
        <v/>
      </c>
      <c r="F243">
        <f>IF($A243="","",IF($E243=1,SUMIFS(Comptabilité!$F$1:$F$675,Comptabilité!$A$1:$A$675,$A243,Comptabilité!$B$1:$B$675,$B243,Comptabilité!$C$1:$C$675,"2026"),0))</f>
        <v/>
      </c>
      <c r="G243">
        <f>IF($A243="","",IF($D243="V01",Cadrage!$C$22,IF($D243="V02",Cadrage!$D$22,Cadrage!$E$22)))</f>
        <v/>
      </c>
      <c r="H243">
        <f>IF($A243="","",IF($D243="V01",Cadrage!$C$23,IF($D243="V02",Cadrage!$D$23,Cadrage!$E$23)))</f>
        <v/>
      </c>
      <c r="I243">
        <f>IF($A243="","",IF($D243="V01",Cadrage!$C$31,IF($D243="V02",Cadrage!$D$31,Cadrage!$E$31)))</f>
        <v/>
      </c>
      <c r="J243">
        <f>IF($A243="","",IF($D243="V01",Cadrage!$C$32,IF($D243="V02",Cadrage!$D$32,Cadrage!$E$32)))</f>
        <v/>
      </c>
      <c r="K243">
        <f>IF($A243="","",IF($D243="V01",Cadrage!$C$33,IF($D243="V02",Cadrage!$D$33,Cadrage!$E$33)))</f>
        <v/>
      </c>
      <c r="L243">
        <f>IF($A243="","",IF($D243="V01",Cadrage!$C$34,IF($D243="V02",Cadrage!$D$34,Cadrage!$E$34)))</f>
        <v/>
      </c>
      <c r="M243">
        <f>IF($A243="","",IF($D243="V01",Cadrage!$C$35,IF($D243="V02",Cadrage!$D$35,Cadrage!$E$35)))</f>
        <v/>
      </c>
      <c r="N243">
        <f>IF($A243="","",IF($D243="V01",$R$2,IF($D243="V02",$R$3,$R$4)))</f>
        <v/>
      </c>
      <c r="O243">
        <f>IF($A243="","",IF(OR($B243="7062",$B243="706",$B243="708"),$N243,IF($B243="6231",1+$G243,IF($B243="6236",1+$H243,IF(OR($B243="621",$B243="604",$B243="6063"),$N243*(1-$L243),IF(OR($B243="6411",$B243="6413",$B243="6414",$B243="645"),(1+$J243)*(1+$K243),IF(OR($B243="613",$B243="615",$B243="616",$B243="6226",$B243="625",$B243="626",$B243="6281"),(1+$I243)*(1-$L243)*(1+$M243),IF(OR($B243="6331",$B243="63511",$B243="6333"),(1+$I243)*(1-$L243),IF($B243="6811",1+$I243,1)))))))))</f>
        <v/>
      </c>
      <c r="P243">
        <f>IF($A243="","",IF($E243=1,$F243*$O243,PNL!G243))</f>
        <v/>
      </c>
      <c r="T243">
        <f>IF($A243="","",IF($E243=1,IF(OR($B243="7062",$B243="706",$B243="708"),$P243,IF(AND(LEFT($B243,1)="6",$B243&lt;&gt;"6811"),-$P243,0)),0))</f>
        <v/>
      </c>
    </row>
    <row r="244">
      <c r="A244">
        <f>IF(PNL!A244="","",PNL!A244)</f>
        <v/>
      </c>
      <c r="B244">
        <f>IF(PNL!B244="","",PNL!B244)</f>
        <v/>
      </c>
      <c r="C244">
        <f>IF(PNL!C244="","",PNL!C244)</f>
        <v/>
      </c>
      <c r="D244">
        <f>IF(PNL!D244="","",PNL!D244)</f>
        <v/>
      </c>
      <c r="E244">
        <f>IF($A244="","",IF(AND($C244="2027",OR($D244="V01",$D244="V02",$D244="V03")),1,0))</f>
        <v/>
      </c>
      <c r="F244">
        <f>IF($A244="","",IF($E244=1,SUMIFS(Comptabilité!$F$1:$F$675,Comptabilité!$A$1:$A$675,$A244,Comptabilité!$B$1:$B$675,$B244,Comptabilité!$C$1:$C$675,"2026"),0))</f>
        <v/>
      </c>
      <c r="G244">
        <f>IF($A244="","",IF($D244="V01",Cadrage!$C$22,IF($D244="V02",Cadrage!$D$22,Cadrage!$E$22)))</f>
        <v/>
      </c>
      <c r="H244">
        <f>IF($A244="","",IF($D244="V01",Cadrage!$C$23,IF($D244="V02",Cadrage!$D$23,Cadrage!$E$23)))</f>
        <v/>
      </c>
      <c r="I244">
        <f>IF($A244="","",IF($D244="V01",Cadrage!$C$31,IF($D244="V02",Cadrage!$D$31,Cadrage!$E$31)))</f>
        <v/>
      </c>
      <c r="J244">
        <f>IF($A244="","",IF($D244="V01",Cadrage!$C$32,IF($D244="V02",Cadrage!$D$32,Cadrage!$E$32)))</f>
        <v/>
      </c>
      <c r="K244">
        <f>IF($A244="","",IF($D244="V01",Cadrage!$C$33,IF($D244="V02",Cadrage!$D$33,Cadrage!$E$33)))</f>
        <v/>
      </c>
      <c r="L244">
        <f>IF($A244="","",IF($D244="V01",Cadrage!$C$34,IF($D244="V02",Cadrage!$D$34,Cadrage!$E$34)))</f>
        <v/>
      </c>
      <c r="M244">
        <f>IF($A244="","",IF($D244="V01",Cadrage!$C$35,IF($D244="V02",Cadrage!$D$35,Cadrage!$E$35)))</f>
        <v/>
      </c>
      <c r="N244">
        <f>IF($A244="","",IF($D244="V01",$R$2,IF($D244="V02",$R$3,$R$4)))</f>
        <v/>
      </c>
      <c r="O244">
        <f>IF($A244="","",IF(OR($B244="7062",$B244="706",$B244="708"),$N244,IF($B244="6231",1+$G244,IF($B244="6236",1+$H244,IF(OR($B244="621",$B244="604",$B244="6063"),$N244*(1-$L244),IF(OR($B244="6411",$B244="6413",$B244="6414",$B244="645"),(1+$J244)*(1+$K244),IF(OR($B244="613",$B244="615",$B244="616",$B244="6226",$B244="625",$B244="626",$B244="6281"),(1+$I244)*(1-$L244)*(1+$M244),IF(OR($B244="6331",$B244="63511",$B244="6333"),(1+$I244)*(1-$L244),IF($B244="6811",1+$I244,1)))))))))</f>
        <v/>
      </c>
      <c r="P244">
        <f>IF($A244="","",IF($E244=1,$F244*$O244,PNL!G244))</f>
        <v/>
      </c>
      <c r="T244">
        <f>IF($A244="","",IF($E244=1,IF(OR($B244="7062",$B244="706",$B244="708"),$P244,IF(AND(LEFT($B244,1)="6",$B244&lt;&gt;"6811"),-$P244,0)),0))</f>
        <v/>
      </c>
    </row>
    <row r="245">
      <c r="A245">
        <f>IF(PNL!A245="","",PNL!A245)</f>
        <v/>
      </c>
      <c r="B245">
        <f>IF(PNL!B245="","",PNL!B245)</f>
        <v/>
      </c>
      <c r="C245">
        <f>IF(PNL!C245="","",PNL!C245)</f>
        <v/>
      </c>
      <c r="D245">
        <f>IF(PNL!D245="","",PNL!D245)</f>
        <v/>
      </c>
      <c r="E245">
        <f>IF($A245="","",IF(AND($C245="2027",OR($D245="V01",$D245="V02",$D245="V03")),1,0))</f>
        <v/>
      </c>
      <c r="F245">
        <f>IF($A245="","",IF($E245=1,SUMIFS(Comptabilité!$F$1:$F$675,Comptabilité!$A$1:$A$675,$A245,Comptabilité!$B$1:$B$675,$B245,Comptabilité!$C$1:$C$675,"2026"),0))</f>
        <v/>
      </c>
      <c r="G245">
        <f>IF($A245="","",IF($D245="V01",Cadrage!$C$22,IF($D245="V02",Cadrage!$D$22,Cadrage!$E$22)))</f>
        <v/>
      </c>
      <c r="H245">
        <f>IF($A245="","",IF($D245="V01",Cadrage!$C$23,IF($D245="V02",Cadrage!$D$23,Cadrage!$E$23)))</f>
        <v/>
      </c>
      <c r="I245">
        <f>IF($A245="","",IF($D245="V01",Cadrage!$C$31,IF($D245="V02",Cadrage!$D$31,Cadrage!$E$31)))</f>
        <v/>
      </c>
      <c r="J245">
        <f>IF($A245="","",IF($D245="V01",Cadrage!$C$32,IF($D245="V02",Cadrage!$D$32,Cadrage!$E$32)))</f>
        <v/>
      </c>
      <c r="K245">
        <f>IF($A245="","",IF($D245="V01",Cadrage!$C$33,IF($D245="V02",Cadrage!$D$33,Cadrage!$E$33)))</f>
        <v/>
      </c>
      <c r="L245">
        <f>IF($A245="","",IF($D245="V01",Cadrage!$C$34,IF($D245="V02",Cadrage!$D$34,Cadrage!$E$34)))</f>
        <v/>
      </c>
      <c r="M245">
        <f>IF($A245="","",IF($D245="V01",Cadrage!$C$35,IF($D245="V02",Cadrage!$D$35,Cadrage!$E$35)))</f>
        <v/>
      </c>
      <c r="N245">
        <f>IF($A245="","",IF($D245="V01",$R$2,IF($D245="V02",$R$3,$R$4)))</f>
        <v/>
      </c>
      <c r="O245">
        <f>IF($A245="","",IF(OR($B245="7062",$B245="706",$B245="708"),$N245,IF($B245="6231",1+$G245,IF($B245="6236",1+$H245,IF(OR($B245="621",$B245="604",$B245="6063"),$N245*(1-$L245),IF(OR($B245="6411",$B245="6413",$B245="6414",$B245="645"),(1+$J245)*(1+$K245),IF(OR($B245="613",$B245="615",$B245="616",$B245="6226",$B245="625",$B245="626",$B245="6281"),(1+$I245)*(1-$L245)*(1+$M245),IF(OR($B245="6331",$B245="63511",$B245="6333"),(1+$I245)*(1-$L245),IF($B245="6811",1+$I245,1)))))))))</f>
        <v/>
      </c>
      <c r="P245">
        <f>IF($A245="","",IF($E245=1,$F245*$O245,PNL!G245))</f>
        <v/>
      </c>
      <c r="T245">
        <f>IF($A245="","",IF($E245=1,IF(OR($B245="7062",$B245="706",$B245="708"),$P245,IF(AND(LEFT($B245,1)="6",$B245&lt;&gt;"6811"),-$P245,0)),0))</f>
        <v/>
      </c>
    </row>
    <row r="246">
      <c r="A246">
        <f>IF(PNL!A246="","",PNL!A246)</f>
        <v/>
      </c>
      <c r="B246">
        <f>IF(PNL!B246="","",PNL!B246)</f>
        <v/>
      </c>
      <c r="C246">
        <f>IF(PNL!C246="","",PNL!C246)</f>
        <v/>
      </c>
      <c r="D246">
        <f>IF(PNL!D246="","",PNL!D246)</f>
        <v/>
      </c>
      <c r="E246">
        <f>IF($A246="","",IF(AND($C246="2027",OR($D246="V01",$D246="V02",$D246="V03")),1,0))</f>
        <v/>
      </c>
      <c r="F246">
        <f>IF($A246="","",IF($E246=1,SUMIFS(Comptabilité!$F$1:$F$675,Comptabilité!$A$1:$A$675,$A246,Comptabilité!$B$1:$B$675,$B246,Comptabilité!$C$1:$C$675,"2026"),0))</f>
        <v/>
      </c>
      <c r="G246">
        <f>IF($A246="","",IF($D246="V01",Cadrage!$C$22,IF($D246="V02",Cadrage!$D$22,Cadrage!$E$22)))</f>
        <v/>
      </c>
      <c r="H246">
        <f>IF($A246="","",IF($D246="V01",Cadrage!$C$23,IF($D246="V02",Cadrage!$D$23,Cadrage!$E$23)))</f>
        <v/>
      </c>
      <c r="I246">
        <f>IF($A246="","",IF($D246="V01",Cadrage!$C$31,IF($D246="V02",Cadrage!$D$31,Cadrage!$E$31)))</f>
        <v/>
      </c>
      <c r="J246">
        <f>IF($A246="","",IF($D246="V01",Cadrage!$C$32,IF($D246="V02",Cadrage!$D$32,Cadrage!$E$32)))</f>
        <v/>
      </c>
      <c r="K246">
        <f>IF($A246="","",IF($D246="V01",Cadrage!$C$33,IF($D246="V02",Cadrage!$D$33,Cadrage!$E$33)))</f>
        <v/>
      </c>
      <c r="L246">
        <f>IF($A246="","",IF($D246="V01",Cadrage!$C$34,IF($D246="V02",Cadrage!$D$34,Cadrage!$E$34)))</f>
        <v/>
      </c>
      <c r="M246">
        <f>IF($A246="","",IF($D246="V01",Cadrage!$C$35,IF($D246="V02",Cadrage!$D$35,Cadrage!$E$35)))</f>
        <v/>
      </c>
      <c r="N246">
        <f>IF($A246="","",IF($D246="V01",$R$2,IF($D246="V02",$R$3,$R$4)))</f>
        <v/>
      </c>
      <c r="O246">
        <f>IF($A246="","",IF(OR($B246="7062",$B246="706",$B246="708"),$N246,IF($B246="6231",1+$G246,IF($B246="6236",1+$H246,IF(OR($B246="621",$B246="604",$B246="6063"),$N246*(1-$L246),IF(OR($B246="6411",$B246="6413",$B246="6414",$B246="645"),(1+$J246)*(1+$K246),IF(OR($B246="613",$B246="615",$B246="616",$B246="6226",$B246="625",$B246="626",$B246="6281"),(1+$I246)*(1-$L246)*(1+$M246),IF(OR($B246="6331",$B246="63511",$B246="6333"),(1+$I246)*(1-$L246),IF($B246="6811",1+$I246,1)))))))))</f>
        <v/>
      </c>
      <c r="P246">
        <f>IF($A246="","",IF($E246=1,$F246*$O246,PNL!G246))</f>
        <v/>
      </c>
      <c r="T246">
        <f>IF($A246="","",IF($E246=1,IF(OR($B246="7062",$B246="706",$B246="708"),$P246,IF(AND(LEFT($B246,1)="6",$B246&lt;&gt;"6811"),-$P246,0)),0))</f>
        <v/>
      </c>
    </row>
    <row r="247">
      <c r="A247">
        <f>IF(PNL!A247="","",PNL!A247)</f>
        <v/>
      </c>
      <c r="B247">
        <f>IF(PNL!B247="","",PNL!B247)</f>
        <v/>
      </c>
      <c r="C247">
        <f>IF(PNL!C247="","",PNL!C247)</f>
        <v/>
      </c>
      <c r="D247">
        <f>IF(PNL!D247="","",PNL!D247)</f>
        <v/>
      </c>
      <c r="E247">
        <f>IF($A247="","",IF(AND($C247="2027",OR($D247="V01",$D247="V02",$D247="V03")),1,0))</f>
        <v/>
      </c>
      <c r="F247">
        <f>IF($A247="","",IF($E247=1,SUMIFS(Comptabilité!$F$1:$F$675,Comptabilité!$A$1:$A$675,$A247,Comptabilité!$B$1:$B$675,$B247,Comptabilité!$C$1:$C$675,"2026"),0))</f>
        <v/>
      </c>
      <c r="G247">
        <f>IF($A247="","",IF($D247="V01",Cadrage!$C$22,IF($D247="V02",Cadrage!$D$22,Cadrage!$E$22)))</f>
        <v/>
      </c>
      <c r="H247">
        <f>IF($A247="","",IF($D247="V01",Cadrage!$C$23,IF($D247="V02",Cadrage!$D$23,Cadrage!$E$23)))</f>
        <v/>
      </c>
      <c r="I247">
        <f>IF($A247="","",IF($D247="V01",Cadrage!$C$31,IF($D247="V02",Cadrage!$D$31,Cadrage!$E$31)))</f>
        <v/>
      </c>
      <c r="J247">
        <f>IF($A247="","",IF($D247="V01",Cadrage!$C$32,IF($D247="V02",Cadrage!$D$32,Cadrage!$E$32)))</f>
        <v/>
      </c>
      <c r="K247">
        <f>IF($A247="","",IF($D247="V01",Cadrage!$C$33,IF($D247="V02",Cadrage!$D$33,Cadrage!$E$33)))</f>
        <v/>
      </c>
      <c r="L247">
        <f>IF($A247="","",IF($D247="V01",Cadrage!$C$34,IF($D247="V02",Cadrage!$D$34,Cadrage!$E$34)))</f>
        <v/>
      </c>
      <c r="M247">
        <f>IF($A247="","",IF($D247="V01",Cadrage!$C$35,IF($D247="V02",Cadrage!$D$35,Cadrage!$E$35)))</f>
        <v/>
      </c>
      <c r="N247">
        <f>IF($A247="","",IF($D247="V01",$R$2,IF($D247="V02",$R$3,$R$4)))</f>
        <v/>
      </c>
      <c r="O247">
        <f>IF($A247="","",IF(OR($B247="7062",$B247="706",$B247="708"),$N247,IF($B247="6231",1+$G247,IF($B247="6236",1+$H247,IF(OR($B247="621",$B247="604",$B247="6063"),$N247*(1-$L247),IF(OR($B247="6411",$B247="6413",$B247="6414",$B247="645"),(1+$J247)*(1+$K247),IF(OR($B247="613",$B247="615",$B247="616",$B247="6226",$B247="625",$B247="626",$B247="6281"),(1+$I247)*(1-$L247)*(1+$M247),IF(OR($B247="6331",$B247="63511",$B247="6333"),(1+$I247)*(1-$L247),IF($B247="6811",1+$I247,1)))))))))</f>
        <v/>
      </c>
      <c r="P247">
        <f>IF($A247="","",IF($E247=1,$F247*$O247,PNL!G247))</f>
        <v/>
      </c>
      <c r="T247">
        <f>IF($A247="","",IF($E247=1,IF(OR($B247="7062",$B247="706",$B247="708"),$P247,IF(AND(LEFT($B247,1)="6",$B247&lt;&gt;"6811"),-$P247,0)),0))</f>
        <v/>
      </c>
    </row>
    <row r="248">
      <c r="A248">
        <f>IF(PNL!A248="","",PNL!A248)</f>
        <v/>
      </c>
      <c r="B248">
        <f>IF(PNL!B248="","",PNL!B248)</f>
        <v/>
      </c>
      <c r="C248">
        <f>IF(PNL!C248="","",PNL!C248)</f>
        <v/>
      </c>
      <c r="D248">
        <f>IF(PNL!D248="","",PNL!D248)</f>
        <v/>
      </c>
      <c r="E248">
        <f>IF($A248="","",IF(AND($C248="2027",OR($D248="V01",$D248="V02",$D248="V03")),1,0))</f>
        <v/>
      </c>
      <c r="F248">
        <f>IF($A248="","",IF($E248=1,SUMIFS(Comptabilité!$F$1:$F$675,Comptabilité!$A$1:$A$675,$A248,Comptabilité!$B$1:$B$675,$B248,Comptabilité!$C$1:$C$675,"2026"),0))</f>
        <v/>
      </c>
      <c r="G248">
        <f>IF($A248="","",IF($D248="V01",Cadrage!$C$22,IF($D248="V02",Cadrage!$D$22,Cadrage!$E$22)))</f>
        <v/>
      </c>
      <c r="H248">
        <f>IF($A248="","",IF($D248="V01",Cadrage!$C$23,IF($D248="V02",Cadrage!$D$23,Cadrage!$E$23)))</f>
        <v/>
      </c>
      <c r="I248">
        <f>IF($A248="","",IF($D248="V01",Cadrage!$C$31,IF($D248="V02",Cadrage!$D$31,Cadrage!$E$31)))</f>
        <v/>
      </c>
      <c r="J248">
        <f>IF($A248="","",IF($D248="V01",Cadrage!$C$32,IF($D248="V02",Cadrage!$D$32,Cadrage!$E$32)))</f>
        <v/>
      </c>
      <c r="K248">
        <f>IF($A248="","",IF($D248="V01",Cadrage!$C$33,IF($D248="V02",Cadrage!$D$33,Cadrage!$E$33)))</f>
        <v/>
      </c>
      <c r="L248">
        <f>IF($A248="","",IF($D248="V01",Cadrage!$C$34,IF($D248="V02",Cadrage!$D$34,Cadrage!$E$34)))</f>
        <v/>
      </c>
      <c r="M248">
        <f>IF($A248="","",IF($D248="V01",Cadrage!$C$35,IF($D248="V02",Cadrage!$D$35,Cadrage!$E$35)))</f>
        <v/>
      </c>
      <c r="N248">
        <f>IF($A248="","",IF($D248="V01",$R$2,IF($D248="V02",$R$3,$R$4)))</f>
        <v/>
      </c>
      <c r="O248">
        <f>IF($A248="","",IF(OR($B248="7062",$B248="706",$B248="708"),$N248,IF($B248="6231",1+$G248,IF($B248="6236",1+$H248,IF(OR($B248="621",$B248="604",$B248="6063"),$N248*(1-$L248),IF(OR($B248="6411",$B248="6413",$B248="6414",$B248="645"),(1+$J248)*(1+$K248),IF(OR($B248="613",$B248="615",$B248="616",$B248="6226",$B248="625",$B248="626",$B248="6281"),(1+$I248)*(1-$L248)*(1+$M248),IF(OR($B248="6331",$B248="63511",$B248="6333"),(1+$I248)*(1-$L248),IF($B248="6811",1+$I248,1)))))))))</f>
        <v/>
      </c>
      <c r="P248">
        <f>IF($A248="","",IF($E248=1,$F248*$O248,PNL!G248))</f>
        <v/>
      </c>
      <c r="T248">
        <f>IF($A248="","",IF($E248=1,IF(OR($B248="7062",$B248="706",$B248="708"),$P248,IF(AND(LEFT($B248,1)="6",$B248&lt;&gt;"6811"),-$P248,0)),0))</f>
        <v/>
      </c>
    </row>
    <row r="249">
      <c r="A249">
        <f>IF(PNL!A249="","",PNL!A249)</f>
        <v/>
      </c>
      <c r="B249">
        <f>IF(PNL!B249="","",PNL!B249)</f>
        <v/>
      </c>
      <c r="C249">
        <f>IF(PNL!C249="","",PNL!C249)</f>
        <v/>
      </c>
      <c r="D249">
        <f>IF(PNL!D249="","",PNL!D249)</f>
        <v/>
      </c>
      <c r="E249">
        <f>IF($A249="","",IF(AND($C249="2027",OR($D249="V01",$D249="V02",$D249="V03")),1,0))</f>
        <v/>
      </c>
      <c r="F249">
        <f>IF($A249="","",IF($E249=1,SUMIFS(Comptabilité!$F$1:$F$675,Comptabilité!$A$1:$A$675,$A249,Comptabilité!$B$1:$B$675,$B249,Comptabilité!$C$1:$C$675,"2026"),0))</f>
        <v/>
      </c>
      <c r="G249">
        <f>IF($A249="","",IF($D249="V01",Cadrage!$C$22,IF($D249="V02",Cadrage!$D$22,Cadrage!$E$22)))</f>
        <v/>
      </c>
      <c r="H249">
        <f>IF($A249="","",IF($D249="V01",Cadrage!$C$23,IF($D249="V02",Cadrage!$D$23,Cadrage!$E$23)))</f>
        <v/>
      </c>
      <c r="I249">
        <f>IF($A249="","",IF($D249="V01",Cadrage!$C$31,IF($D249="V02",Cadrage!$D$31,Cadrage!$E$31)))</f>
        <v/>
      </c>
      <c r="J249">
        <f>IF($A249="","",IF($D249="V01",Cadrage!$C$32,IF($D249="V02",Cadrage!$D$32,Cadrage!$E$32)))</f>
        <v/>
      </c>
      <c r="K249">
        <f>IF($A249="","",IF($D249="V01",Cadrage!$C$33,IF($D249="V02",Cadrage!$D$33,Cadrage!$E$33)))</f>
        <v/>
      </c>
      <c r="L249">
        <f>IF($A249="","",IF($D249="V01",Cadrage!$C$34,IF($D249="V02",Cadrage!$D$34,Cadrage!$E$34)))</f>
        <v/>
      </c>
      <c r="M249">
        <f>IF($A249="","",IF($D249="V01",Cadrage!$C$35,IF($D249="V02",Cadrage!$D$35,Cadrage!$E$35)))</f>
        <v/>
      </c>
      <c r="N249">
        <f>IF($A249="","",IF($D249="V01",$R$2,IF($D249="V02",$R$3,$R$4)))</f>
        <v/>
      </c>
      <c r="O249">
        <f>IF($A249="","",IF(OR($B249="7062",$B249="706",$B249="708"),$N249,IF($B249="6231",1+$G249,IF($B249="6236",1+$H249,IF(OR($B249="621",$B249="604",$B249="6063"),$N249*(1-$L249),IF(OR($B249="6411",$B249="6413",$B249="6414",$B249="645"),(1+$J249)*(1+$K249),IF(OR($B249="613",$B249="615",$B249="616",$B249="6226",$B249="625",$B249="626",$B249="6281"),(1+$I249)*(1-$L249)*(1+$M249),IF(OR($B249="6331",$B249="63511",$B249="6333"),(1+$I249)*(1-$L249),IF($B249="6811",1+$I249,1)))))))))</f>
        <v/>
      </c>
      <c r="P249">
        <f>IF($A249="","",IF($E249=1,$F249*$O249,PNL!G249))</f>
        <v/>
      </c>
      <c r="T249">
        <f>IF($A249="","",IF($E249=1,IF(OR($B249="7062",$B249="706",$B249="708"),$P249,IF(AND(LEFT($B249,1)="6",$B249&lt;&gt;"6811"),-$P249,0)),0))</f>
        <v/>
      </c>
    </row>
    <row r="250">
      <c r="A250">
        <f>IF(PNL!A250="","",PNL!A250)</f>
        <v/>
      </c>
      <c r="B250">
        <f>IF(PNL!B250="","",PNL!B250)</f>
        <v/>
      </c>
      <c r="C250">
        <f>IF(PNL!C250="","",PNL!C250)</f>
        <v/>
      </c>
      <c r="D250">
        <f>IF(PNL!D250="","",PNL!D250)</f>
        <v/>
      </c>
      <c r="E250">
        <f>IF($A250="","",IF(AND($C250="2027",OR($D250="V01",$D250="V02",$D250="V03")),1,0))</f>
        <v/>
      </c>
      <c r="F250">
        <f>IF($A250="","",IF($E250=1,SUMIFS(Comptabilité!$F$1:$F$675,Comptabilité!$A$1:$A$675,$A250,Comptabilité!$B$1:$B$675,$B250,Comptabilité!$C$1:$C$675,"2026"),0))</f>
        <v/>
      </c>
      <c r="G250">
        <f>IF($A250="","",IF($D250="V01",Cadrage!$C$22,IF($D250="V02",Cadrage!$D$22,Cadrage!$E$22)))</f>
        <v/>
      </c>
      <c r="H250">
        <f>IF($A250="","",IF($D250="V01",Cadrage!$C$23,IF($D250="V02",Cadrage!$D$23,Cadrage!$E$23)))</f>
        <v/>
      </c>
      <c r="I250">
        <f>IF($A250="","",IF($D250="V01",Cadrage!$C$31,IF($D250="V02",Cadrage!$D$31,Cadrage!$E$31)))</f>
        <v/>
      </c>
      <c r="J250">
        <f>IF($A250="","",IF($D250="V01",Cadrage!$C$32,IF($D250="V02",Cadrage!$D$32,Cadrage!$E$32)))</f>
        <v/>
      </c>
      <c r="K250">
        <f>IF($A250="","",IF($D250="V01",Cadrage!$C$33,IF($D250="V02",Cadrage!$D$33,Cadrage!$E$33)))</f>
        <v/>
      </c>
      <c r="L250">
        <f>IF($A250="","",IF($D250="V01",Cadrage!$C$34,IF($D250="V02",Cadrage!$D$34,Cadrage!$E$34)))</f>
        <v/>
      </c>
      <c r="M250">
        <f>IF($A250="","",IF($D250="V01",Cadrage!$C$35,IF($D250="V02",Cadrage!$D$35,Cadrage!$E$35)))</f>
        <v/>
      </c>
      <c r="N250">
        <f>IF($A250="","",IF($D250="V01",$R$2,IF($D250="V02",$R$3,$R$4)))</f>
        <v/>
      </c>
      <c r="O250">
        <f>IF($A250="","",IF(OR($B250="7062",$B250="706",$B250="708"),$N250,IF($B250="6231",1+$G250,IF($B250="6236",1+$H250,IF(OR($B250="621",$B250="604",$B250="6063"),$N250*(1-$L250),IF(OR($B250="6411",$B250="6413",$B250="6414",$B250="645"),(1+$J250)*(1+$K250),IF(OR($B250="613",$B250="615",$B250="616",$B250="6226",$B250="625",$B250="626",$B250="6281"),(1+$I250)*(1-$L250)*(1+$M250),IF(OR($B250="6331",$B250="63511",$B250="6333"),(1+$I250)*(1-$L250),IF($B250="6811",1+$I250,1)))))))))</f>
        <v/>
      </c>
      <c r="P250">
        <f>IF($A250="","",IF($E250=1,$F250*$O250,PNL!G250))</f>
        <v/>
      </c>
      <c r="T250">
        <f>IF($A250="","",IF($E250=1,IF(OR($B250="7062",$B250="706",$B250="708"),$P250,IF(AND(LEFT($B250,1)="6",$B250&lt;&gt;"6811"),-$P250,0)),0))</f>
        <v/>
      </c>
    </row>
    <row r="251">
      <c r="A251">
        <f>IF(PNL!A251="","",PNL!A251)</f>
        <v/>
      </c>
      <c r="B251">
        <f>IF(PNL!B251="","",PNL!B251)</f>
        <v/>
      </c>
      <c r="C251">
        <f>IF(PNL!C251="","",PNL!C251)</f>
        <v/>
      </c>
      <c r="D251">
        <f>IF(PNL!D251="","",PNL!D251)</f>
        <v/>
      </c>
      <c r="E251">
        <f>IF($A251="","",IF(AND($C251="2027",OR($D251="V01",$D251="V02",$D251="V03")),1,0))</f>
        <v/>
      </c>
      <c r="F251">
        <f>IF($A251="","",IF($E251=1,SUMIFS(Comptabilité!$F$1:$F$675,Comptabilité!$A$1:$A$675,$A251,Comptabilité!$B$1:$B$675,$B251,Comptabilité!$C$1:$C$675,"2026"),0))</f>
        <v/>
      </c>
      <c r="G251">
        <f>IF($A251="","",IF($D251="V01",Cadrage!$C$22,IF($D251="V02",Cadrage!$D$22,Cadrage!$E$22)))</f>
        <v/>
      </c>
      <c r="H251">
        <f>IF($A251="","",IF($D251="V01",Cadrage!$C$23,IF($D251="V02",Cadrage!$D$23,Cadrage!$E$23)))</f>
        <v/>
      </c>
      <c r="I251">
        <f>IF($A251="","",IF($D251="V01",Cadrage!$C$31,IF($D251="V02",Cadrage!$D$31,Cadrage!$E$31)))</f>
        <v/>
      </c>
      <c r="J251">
        <f>IF($A251="","",IF($D251="V01",Cadrage!$C$32,IF($D251="V02",Cadrage!$D$32,Cadrage!$E$32)))</f>
        <v/>
      </c>
      <c r="K251">
        <f>IF($A251="","",IF($D251="V01",Cadrage!$C$33,IF($D251="V02",Cadrage!$D$33,Cadrage!$E$33)))</f>
        <v/>
      </c>
      <c r="L251">
        <f>IF($A251="","",IF($D251="V01",Cadrage!$C$34,IF($D251="V02",Cadrage!$D$34,Cadrage!$E$34)))</f>
        <v/>
      </c>
      <c r="M251">
        <f>IF($A251="","",IF($D251="V01",Cadrage!$C$35,IF($D251="V02",Cadrage!$D$35,Cadrage!$E$35)))</f>
        <v/>
      </c>
      <c r="N251">
        <f>IF($A251="","",IF($D251="V01",$R$2,IF($D251="V02",$R$3,$R$4)))</f>
        <v/>
      </c>
      <c r="O251">
        <f>IF($A251="","",IF(OR($B251="7062",$B251="706",$B251="708"),$N251,IF($B251="6231",1+$G251,IF($B251="6236",1+$H251,IF(OR($B251="621",$B251="604",$B251="6063"),$N251*(1-$L251),IF(OR($B251="6411",$B251="6413",$B251="6414",$B251="645"),(1+$J251)*(1+$K251),IF(OR($B251="613",$B251="615",$B251="616",$B251="6226",$B251="625",$B251="626",$B251="6281"),(1+$I251)*(1-$L251)*(1+$M251),IF(OR($B251="6331",$B251="63511",$B251="6333"),(1+$I251)*(1-$L251),IF($B251="6811",1+$I251,1)))))))))</f>
        <v/>
      </c>
      <c r="P251">
        <f>IF($A251="","",IF($E251=1,$F251*$O251,PNL!G251))</f>
        <v/>
      </c>
      <c r="T251">
        <f>IF($A251="","",IF($E251=1,IF(OR($B251="7062",$B251="706",$B251="708"),$P251,IF(AND(LEFT($B251,1)="6",$B251&lt;&gt;"6811"),-$P251,0)),0))</f>
        <v/>
      </c>
    </row>
    <row r="252">
      <c r="A252">
        <f>IF(PNL!A252="","",PNL!A252)</f>
        <v/>
      </c>
      <c r="B252">
        <f>IF(PNL!B252="","",PNL!B252)</f>
        <v/>
      </c>
      <c r="C252">
        <f>IF(PNL!C252="","",PNL!C252)</f>
        <v/>
      </c>
      <c r="D252">
        <f>IF(PNL!D252="","",PNL!D252)</f>
        <v/>
      </c>
      <c r="E252">
        <f>IF($A252="","",IF(AND($C252="2027",OR($D252="V01",$D252="V02",$D252="V03")),1,0))</f>
        <v/>
      </c>
      <c r="F252">
        <f>IF($A252="","",IF($E252=1,SUMIFS(Comptabilité!$F$1:$F$675,Comptabilité!$A$1:$A$675,$A252,Comptabilité!$B$1:$B$675,$B252,Comptabilité!$C$1:$C$675,"2026"),0))</f>
        <v/>
      </c>
      <c r="G252">
        <f>IF($A252="","",IF($D252="V01",Cadrage!$C$22,IF($D252="V02",Cadrage!$D$22,Cadrage!$E$22)))</f>
        <v/>
      </c>
      <c r="H252">
        <f>IF($A252="","",IF($D252="V01",Cadrage!$C$23,IF($D252="V02",Cadrage!$D$23,Cadrage!$E$23)))</f>
        <v/>
      </c>
      <c r="I252">
        <f>IF($A252="","",IF($D252="V01",Cadrage!$C$31,IF($D252="V02",Cadrage!$D$31,Cadrage!$E$31)))</f>
        <v/>
      </c>
      <c r="J252">
        <f>IF($A252="","",IF($D252="V01",Cadrage!$C$32,IF($D252="V02",Cadrage!$D$32,Cadrage!$E$32)))</f>
        <v/>
      </c>
      <c r="K252">
        <f>IF($A252="","",IF($D252="V01",Cadrage!$C$33,IF($D252="V02",Cadrage!$D$33,Cadrage!$E$33)))</f>
        <v/>
      </c>
      <c r="L252">
        <f>IF($A252="","",IF($D252="V01",Cadrage!$C$34,IF($D252="V02",Cadrage!$D$34,Cadrage!$E$34)))</f>
        <v/>
      </c>
      <c r="M252">
        <f>IF($A252="","",IF($D252="V01",Cadrage!$C$35,IF($D252="V02",Cadrage!$D$35,Cadrage!$E$35)))</f>
        <v/>
      </c>
      <c r="N252">
        <f>IF($A252="","",IF($D252="V01",$R$2,IF($D252="V02",$R$3,$R$4)))</f>
        <v/>
      </c>
      <c r="O252">
        <f>IF($A252="","",IF(OR($B252="7062",$B252="706",$B252="708"),$N252,IF($B252="6231",1+$G252,IF($B252="6236",1+$H252,IF(OR($B252="621",$B252="604",$B252="6063"),$N252*(1-$L252),IF(OR($B252="6411",$B252="6413",$B252="6414",$B252="645"),(1+$J252)*(1+$K252),IF(OR($B252="613",$B252="615",$B252="616",$B252="6226",$B252="625",$B252="626",$B252="6281"),(1+$I252)*(1-$L252)*(1+$M252),IF(OR($B252="6331",$B252="63511",$B252="6333"),(1+$I252)*(1-$L252),IF($B252="6811",1+$I252,1)))))))))</f>
        <v/>
      </c>
      <c r="P252">
        <f>IF($A252="","",IF($E252=1,$F252*$O252,PNL!G252))</f>
        <v/>
      </c>
      <c r="T252">
        <f>IF($A252="","",IF($E252=1,IF(OR($B252="7062",$B252="706",$B252="708"),$P252,IF(AND(LEFT($B252,1)="6",$B252&lt;&gt;"6811"),-$P252,0)),0))</f>
        <v/>
      </c>
    </row>
    <row r="253">
      <c r="A253">
        <f>IF(PNL!A253="","",PNL!A253)</f>
        <v/>
      </c>
      <c r="B253">
        <f>IF(PNL!B253="","",PNL!B253)</f>
        <v/>
      </c>
      <c r="C253">
        <f>IF(PNL!C253="","",PNL!C253)</f>
        <v/>
      </c>
      <c r="D253">
        <f>IF(PNL!D253="","",PNL!D253)</f>
        <v/>
      </c>
      <c r="E253">
        <f>IF($A253="","",IF(AND($C253="2027",OR($D253="V01",$D253="V02",$D253="V03")),1,0))</f>
        <v/>
      </c>
      <c r="F253">
        <f>IF($A253="","",IF($E253=1,SUMIFS(Comptabilité!$F$1:$F$675,Comptabilité!$A$1:$A$675,$A253,Comptabilité!$B$1:$B$675,$B253,Comptabilité!$C$1:$C$675,"2026"),0))</f>
        <v/>
      </c>
      <c r="G253">
        <f>IF($A253="","",IF($D253="V01",Cadrage!$C$22,IF($D253="V02",Cadrage!$D$22,Cadrage!$E$22)))</f>
        <v/>
      </c>
      <c r="H253">
        <f>IF($A253="","",IF($D253="V01",Cadrage!$C$23,IF($D253="V02",Cadrage!$D$23,Cadrage!$E$23)))</f>
        <v/>
      </c>
      <c r="I253">
        <f>IF($A253="","",IF($D253="V01",Cadrage!$C$31,IF($D253="V02",Cadrage!$D$31,Cadrage!$E$31)))</f>
        <v/>
      </c>
      <c r="J253">
        <f>IF($A253="","",IF($D253="V01",Cadrage!$C$32,IF($D253="V02",Cadrage!$D$32,Cadrage!$E$32)))</f>
        <v/>
      </c>
      <c r="K253">
        <f>IF($A253="","",IF($D253="V01",Cadrage!$C$33,IF($D253="V02",Cadrage!$D$33,Cadrage!$E$33)))</f>
        <v/>
      </c>
      <c r="L253">
        <f>IF($A253="","",IF($D253="V01",Cadrage!$C$34,IF($D253="V02",Cadrage!$D$34,Cadrage!$E$34)))</f>
        <v/>
      </c>
      <c r="M253">
        <f>IF($A253="","",IF($D253="V01",Cadrage!$C$35,IF($D253="V02",Cadrage!$D$35,Cadrage!$E$35)))</f>
        <v/>
      </c>
      <c r="N253">
        <f>IF($A253="","",IF($D253="V01",$R$2,IF($D253="V02",$R$3,$R$4)))</f>
        <v/>
      </c>
      <c r="O253">
        <f>IF($A253="","",IF(OR($B253="7062",$B253="706",$B253="708"),$N253,IF($B253="6231",1+$G253,IF($B253="6236",1+$H253,IF(OR($B253="621",$B253="604",$B253="6063"),$N253*(1-$L253),IF(OR($B253="6411",$B253="6413",$B253="6414",$B253="645"),(1+$J253)*(1+$K253),IF(OR($B253="613",$B253="615",$B253="616",$B253="6226",$B253="625",$B253="626",$B253="6281"),(1+$I253)*(1-$L253)*(1+$M253),IF(OR($B253="6331",$B253="63511",$B253="6333"),(1+$I253)*(1-$L253),IF($B253="6811",1+$I253,1)))))))))</f>
        <v/>
      </c>
      <c r="P253">
        <f>IF($A253="","",IF($E253=1,$F253*$O253,PNL!G253))</f>
        <v/>
      </c>
      <c r="T253">
        <f>IF($A253="","",IF($E253=1,IF(OR($B253="7062",$B253="706",$B253="708"),$P253,IF(AND(LEFT($B253,1)="6",$B253&lt;&gt;"6811"),-$P253,0)),0))</f>
        <v/>
      </c>
    </row>
    <row r="254">
      <c r="A254">
        <f>IF(PNL!A254="","",PNL!A254)</f>
        <v/>
      </c>
      <c r="B254">
        <f>IF(PNL!B254="","",PNL!B254)</f>
        <v/>
      </c>
      <c r="C254">
        <f>IF(PNL!C254="","",PNL!C254)</f>
        <v/>
      </c>
      <c r="D254">
        <f>IF(PNL!D254="","",PNL!D254)</f>
        <v/>
      </c>
      <c r="E254">
        <f>IF($A254="","",IF(AND($C254="2027",OR($D254="V01",$D254="V02",$D254="V03")),1,0))</f>
        <v/>
      </c>
      <c r="F254">
        <f>IF($A254="","",IF($E254=1,SUMIFS(Comptabilité!$F$1:$F$675,Comptabilité!$A$1:$A$675,$A254,Comptabilité!$B$1:$B$675,$B254,Comptabilité!$C$1:$C$675,"2026"),0))</f>
        <v/>
      </c>
      <c r="G254">
        <f>IF($A254="","",IF($D254="V01",Cadrage!$C$22,IF($D254="V02",Cadrage!$D$22,Cadrage!$E$22)))</f>
        <v/>
      </c>
      <c r="H254">
        <f>IF($A254="","",IF($D254="V01",Cadrage!$C$23,IF($D254="V02",Cadrage!$D$23,Cadrage!$E$23)))</f>
        <v/>
      </c>
      <c r="I254">
        <f>IF($A254="","",IF($D254="V01",Cadrage!$C$31,IF($D254="V02",Cadrage!$D$31,Cadrage!$E$31)))</f>
        <v/>
      </c>
      <c r="J254">
        <f>IF($A254="","",IF($D254="V01",Cadrage!$C$32,IF($D254="V02",Cadrage!$D$32,Cadrage!$E$32)))</f>
        <v/>
      </c>
      <c r="K254">
        <f>IF($A254="","",IF($D254="V01",Cadrage!$C$33,IF($D254="V02",Cadrage!$D$33,Cadrage!$E$33)))</f>
        <v/>
      </c>
      <c r="L254">
        <f>IF($A254="","",IF($D254="V01",Cadrage!$C$34,IF($D254="V02",Cadrage!$D$34,Cadrage!$E$34)))</f>
        <v/>
      </c>
      <c r="M254">
        <f>IF($A254="","",IF($D254="V01",Cadrage!$C$35,IF($D254="V02",Cadrage!$D$35,Cadrage!$E$35)))</f>
        <v/>
      </c>
      <c r="N254">
        <f>IF($A254="","",IF($D254="V01",$R$2,IF($D254="V02",$R$3,$R$4)))</f>
        <v/>
      </c>
      <c r="O254">
        <f>IF($A254="","",IF(OR($B254="7062",$B254="706",$B254="708"),$N254,IF($B254="6231",1+$G254,IF($B254="6236",1+$H254,IF(OR($B254="621",$B254="604",$B254="6063"),$N254*(1-$L254),IF(OR($B254="6411",$B254="6413",$B254="6414",$B254="645"),(1+$J254)*(1+$K254),IF(OR($B254="613",$B254="615",$B254="616",$B254="6226",$B254="625",$B254="626",$B254="6281"),(1+$I254)*(1-$L254)*(1+$M254),IF(OR($B254="6331",$B254="63511",$B254="6333"),(1+$I254)*(1-$L254),IF($B254="6811",1+$I254,1)))))))))</f>
        <v/>
      </c>
      <c r="P254">
        <f>IF($A254="","",IF($E254=1,$F254*$O254,PNL!G254))</f>
        <v/>
      </c>
      <c r="T254">
        <f>IF($A254="","",IF($E254=1,IF(OR($B254="7062",$B254="706",$B254="708"),$P254,IF(AND(LEFT($B254,1)="6",$B254&lt;&gt;"6811"),-$P254,0)),0))</f>
        <v/>
      </c>
    </row>
    <row r="255">
      <c r="A255">
        <f>IF(PNL!A255="","",PNL!A255)</f>
        <v/>
      </c>
      <c r="B255">
        <f>IF(PNL!B255="","",PNL!B255)</f>
        <v/>
      </c>
      <c r="C255">
        <f>IF(PNL!C255="","",PNL!C255)</f>
        <v/>
      </c>
      <c r="D255">
        <f>IF(PNL!D255="","",PNL!D255)</f>
        <v/>
      </c>
      <c r="E255">
        <f>IF($A255="","",IF(AND($C255="2027",OR($D255="V01",$D255="V02",$D255="V03")),1,0))</f>
        <v/>
      </c>
      <c r="F255">
        <f>IF($A255="","",IF($E255=1,SUMIFS(Comptabilité!$F$1:$F$675,Comptabilité!$A$1:$A$675,$A255,Comptabilité!$B$1:$B$675,$B255,Comptabilité!$C$1:$C$675,"2026"),0))</f>
        <v/>
      </c>
      <c r="G255">
        <f>IF($A255="","",IF($D255="V01",Cadrage!$C$22,IF($D255="V02",Cadrage!$D$22,Cadrage!$E$22)))</f>
        <v/>
      </c>
      <c r="H255">
        <f>IF($A255="","",IF($D255="V01",Cadrage!$C$23,IF($D255="V02",Cadrage!$D$23,Cadrage!$E$23)))</f>
        <v/>
      </c>
      <c r="I255">
        <f>IF($A255="","",IF($D255="V01",Cadrage!$C$31,IF($D255="V02",Cadrage!$D$31,Cadrage!$E$31)))</f>
        <v/>
      </c>
      <c r="J255">
        <f>IF($A255="","",IF($D255="V01",Cadrage!$C$32,IF($D255="V02",Cadrage!$D$32,Cadrage!$E$32)))</f>
        <v/>
      </c>
      <c r="K255">
        <f>IF($A255="","",IF($D255="V01",Cadrage!$C$33,IF($D255="V02",Cadrage!$D$33,Cadrage!$E$33)))</f>
        <v/>
      </c>
      <c r="L255">
        <f>IF($A255="","",IF($D255="V01",Cadrage!$C$34,IF($D255="V02",Cadrage!$D$34,Cadrage!$E$34)))</f>
        <v/>
      </c>
      <c r="M255">
        <f>IF($A255="","",IF($D255="V01",Cadrage!$C$35,IF($D255="V02",Cadrage!$D$35,Cadrage!$E$35)))</f>
        <v/>
      </c>
      <c r="N255">
        <f>IF($A255="","",IF($D255="V01",$R$2,IF($D255="V02",$R$3,$R$4)))</f>
        <v/>
      </c>
      <c r="O255">
        <f>IF($A255="","",IF(OR($B255="7062",$B255="706",$B255="708"),$N255,IF($B255="6231",1+$G255,IF($B255="6236",1+$H255,IF(OR($B255="621",$B255="604",$B255="6063"),$N255*(1-$L255),IF(OR($B255="6411",$B255="6413",$B255="6414",$B255="645"),(1+$J255)*(1+$K255),IF(OR($B255="613",$B255="615",$B255="616",$B255="6226",$B255="625",$B255="626",$B255="6281"),(1+$I255)*(1-$L255)*(1+$M255),IF(OR($B255="6331",$B255="63511",$B255="6333"),(1+$I255)*(1-$L255),IF($B255="6811",1+$I255,1)))))))))</f>
        <v/>
      </c>
      <c r="P255">
        <f>IF($A255="","",IF($E255=1,$F255*$O255,PNL!G255))</f>
        <v/>
      </c>
      <c r="T255">
        <f>IF($A255="","",IF($E255=1,IF(OR($B255="7062",$B255="706",$B255="708"),$P255,IF(AND(LEFT($B255,1)="6",$B255&lt;&gt;"6811"),-$P255,0)),0))</f>
        <v/>
      </c>
    </row>
    <row r="256">
      <c r="A256">
        <f>IF(PNL!A256="","",PNL!A256)</f>
        <v/>
      </c>
      <c r="B256">
        <f>IF(PNL!B256="","",PNL!B256)</f>
        <v/>
      </c>
      <c r="C256">
        <f>IF(PNL!C256="","",PNL!C256)</f>
        <v/>
      </c>
      <c r="D256">
        <f>IF(PNL!D256="","",PNL!D256)</f>
        <v/>
      </c>
      <c r="E256">
        <f>IF($A256="","",IF(AND($C256="2027",OR($D256="V01",$D256="V02",$D256="V03")),1,0))</f>
        <v/>
      </c>
      <c r="F256">
        <f>IF($A256="","",IF($E256=1,SUMIFS(Comptabilité!$F$1:$F$675,Comptabilité!$A$1:$A$675,$A256,Comptabilité!$B$1:$B$675,$B256,Comptabilité!$C$1:$C$675,"2026"),0))</f>
        <v/>
      </c>
      <c r="G256">
        <f>IF($A256="","",IF($D256="V01",Cadrage!$C$22,IF($D256="V02",Cadrage!$D$22,Cadrage!$E$22)))</f>
        <v/>
      </c>
      <c r="H256">
        <f>IF($A256="","",IF($D256="V01",Cadrage!$C$23,IF($D256="V02",Cadrage!$D$23,Cadrage!$E$23)))</f>
        <v/>
      </c>
      <c r="I256">
        <f>IF($A256="","",IF($D256="V01",Cadrage!$C$31,IF($D256="V02",Cadrage!$D$31,Cadrage!$E$31)))</f>
        <v/>
      </c>
      <c r="J256">
        <f>IF($A256="","",IF($D256="V01",Cadrage!$C$32,IF($D256="V02",Cadrage!$D$32,Cadrage!$E$32)))</f>
        <v/>
      </c>
      <c r="K256">
        <f>IF($A256="","",IF($D256="V01",Cadrage!$C$33,IF($D256="V02",Cadrage!$D$33,Cadrage!$E$33)))</f>
        <v/>
      </c>
      <c r="L256">
        <f>IF($A256="","",IF($D256="V01",Cadrage!$C$34,IF($D256="V02",Cadrage!$D$34,Cadrage!$E$34)))</f>
        <v/>
      </c>
      <c r="M256">
        <f>IF($A256="","",IF($D256="V01",Cadrage!$C$35,IF($D256="V02",Cadrage!$D$35,Cadrage!$E$35)))</f>
        <v/>
      </c>
      <c r="N256">
        <f>IF($A256="","",IF($D256="V01",$R$2,IF($D256="V02",$R$3,$R$4)))</f>
        <v/>
      </c>
      <c r="O256">
        <f>IF($A256="","",IF(OR($B256="7062",$B256="706",$B256="708"),$N256,IF($B256="6231",1+$G256,IF($B256="6236",1+$H256,IF(OR($B256="621",$B256="604",$B256="6063"),$N256*(1-$L256),IF(OR($B256="6411",$B256="6413",$B256="6414",$B256="645"),(1+$J256)*(1+$K256),IF(OR($B256="613",$B256="615",$B256="616",$B256="6226",$B256="625",$B256="626",$B256="6281"),(1+$I256)*(1-$L256)*(1+$M256),IF(OR($B256="6331",$B256="63511",$B256="6333"),(1+$I256)*(1-$L256),IF($B256="6811",1+$I256,1)))))))))</f>
        <v/>
      </c>
      <c r="P256">
        <f>IF($A256="","",IF($E256=1,$F256*$O256,PNL!G256))</f>
        <v/>
      </c>
      <c r="T256">
        <f>IF($A256="","",IF($E256=1,IF(OR($B256="7062",$B256="706",$B256="708"),$P256,IF(AND(LEFT($B256,1)="6",$B256&lt;&gt;"6811"),-$P256,0)),0))</f>
        <v/>
      </c>
    </row>
    <row r="257">
      <c r="A257">
        <f>IF(PNL!A257="","",PNL!A257)</f>
        <v/>
      </c>
      <c r="B257">
        <f>IF(PNL!B257="","",PNL!B257)</f>
        <v/>
      </c>
      <c r="C257">
        <f>IF(PNL!C257="","",PNL!C257)</f>
        <v/>
      </c>
      <c r="D257">
        <f>IF(PNL!D257="","",PNL!D257)</f>
        <v/>
      </c>
      <c r="E257">
        <f>IF($A257="","",IF(AND($C257="2027",OR($D257="V01",$D257="V02",$D257="V03")),1,0))</f>
        <v/>
      </c>
      <c r="F257">
        <f>IF($A257="","",IF($E257=1,SUMIFS(Comptabilité!$F$1:$F$675,Comptabilité!$A$1:$A$675,$A257,Comptabilité!$B$1:$B$675,$B257,Comptabilité!$C$1:$C$675,"2026"),0))</f>
        <v/>
      </c>
      <c r="G257">
        <f>IF($A257="","",IF($D257="V01",Cadrage!$C$22,IF($D257="V02",Cadrage!$D$22,Cadrage!$E$22)))</f>
        <v/>
      </c>
      <c r="H257">
        <f>IF($A257="","",IF($D257="V01",Cadrage!$C$23,IF($D257="V02",Cadrage!$D$23,Cadrage!$E$23)))</f>
        <v/>
      </c>
      <c r="I257">
        <f>IF($A257="","",IF($D257="V01",Cadrage!$C$31,IF($D257="V02",Cadrage!$D$31,Cadrage!$E$31)))</f>
        <v/>
      </c>
      <c r="J257">
        <f>IF($A257="","",IF($D257="V01",Cadrage!$C$32,IF($D257="V02",Cadrage!$D$32,Cadrage!$E$32)))</f>
        <v/>
      </c>
      <c r="K257">
        <f>IF($A257="","",IF($D257="V01",Cadrage!$C$33,IF($D257="V02",Cadrage!$D$33,Cadrage!$E$33)))</f>
        <v/>
      </c>
      <c r="L257">
        <f>IF($A257="","",IF($D257="V01",Cadrage!$C$34,IF($D257="V02",Cadrage!$D$34,Cadrage!$E$34)))</f>
        <v/>
      </c>
      <c r="M257">
        <f>IF($A257="","",IF($D257="V01",Cadrage!$C$35,IF($D257="V02",Cadrage!$D$35,Cadrage!$E$35)))</f>
        <v/>
      </c>
      <c r="N257">
        <f>IF($A257="","",IF($D257="V01",$R$2,IF($D257="V02",$R$3,$R$4)))</f>
        <v/>
      </c>
      <c r="O257">
        <f>IF($A257="","",IF(OR($B257="7062",$B257="706",$B257="708"),$N257,IF($B257="6231",1+$G257,IF($B257="6236",1+$H257,IF(OR($B257="621",$B257="604",$B257="6063"),$N257*(1-$L257),IF(OR($B257="6411",$B257="6413",$B257="6414",$B257="645"),(1+$J257)*(1+$K257),IF(OR($B257="613",$B257="615",$B257="616",$B257="6226",$B257="625",$B257="626",$B257="6281"),(1+$I257)*(1-$L257)*(1+$M257),IF(OR($B257="6331",$B257="63511",$B257="6333"),(1+$I257)*(1-$L257),IF($B257="6811",1+$I257,1)))))))))</f>
        <v/>
      </c>
      <c r="P257">
        <f>IF($A257="","",IF($E257=1,$F257*$O257,PNL!G257))</f>
        <v/>
      </c>
      <c r="T257">
        <f>IF($A257="","",IF($E257=1,IF(OR($B257="7062",$B257="706",$B257="708"),$P257,IF(AND(LEFT($B257,1)="6",$B257&lt;&gt;"6811"),-$P257,0)),0))</f>
        <v/>
      </c>
    </row>
    <row r="258">
      <c r="A258">
        <f>IF(PNL!A258="","",PNL!A258)</f>
        <v/>
      </c>
      <c r="B258">
        <f>IF(PNL!B258="","",PNL!B258)</f>
        <v/>
      </c>
      <c r="C258">
        <f>IF(PNL!C258="","",PNL!C258)</f>
        <v/>
      </c>
      <c r="D258">
        <f>IF(PNL!D258="","",PNL!D258)</f>
        <v/>
      </c>
      <c r="E258">
        <f>IF($A258="","",IF(AND($C258="2027",OR($D258="V01",$D258="V02",$D258="V03")),1,0))</f>
        <v/>
      </c>
      <c r="F258">
        <f>IF($A258="","",IF($E258=1,SUMIFS(Comptabilité!$F$1:$F$675,Comptabilité!$A$1:$A$675,$A258,Comptabilité!$B$1:$B$675,$B258,Comptabilité!$C$1:$C$675,"2026"),0))</f>
        <v/>
      </c>
      <c r="G258">
        <f>IF($A258="","",IF($D258="V01",Cadrage!$C$22,IF($D258="V02",Cadrage!$D$22,Cadrage!$E$22)))</f>
        <v/>
      </c>
      <c r="H258">
        <f>IF($A258="","",IF($D258="V01",Cadrage!$C$23,IF($D258="V02",Cadrage!$D$23,Cadrage!$E$23)))</f>
        <v/>
      </c>
      <c r="I258">
        <f>IF($A258="","",IF($D258="V01",Cadrage!$C$31,IF($D258="V02",Cadrage!$D$31,Cadrage!$E$31)))</f>
        <v/>
      </c>
      <c r="J258">
        <f>IF($A258="","",IF($D258="V01",Cadrage!$C$32,IF($D258="V02",Cadrage!$D$32,Cadrage!$E$32)))</f>
        <v/>
      </c>
      <c r="K258">
        <f>IF($A258="","",IF($D258="V01",Cadrage!$C$33,IF($D258="V02",Cadrage!$D$33,Cadrage!$E$33)))</f>
        <v/>
      </c>
      <c r="L258">
        <f>IF($A258="","",IF($D258="V01",Cadrage!$C$34,IF($D258="V02",Cadrage!$D$34,Cadrage!$E$34)))</f>
        <v/>
      </c>
      <c r="M258">
        <f>IF($A258="","",IF($D258="V01",Cadrage!$C$35,IF($D258="V02",Cadrage!$D$35,Cadrage!$E$35)))</f>
        <v/>
      </c>
      <c r="N258">
        <f>IF($A258="","",IF($D258="V01",$R$2,IF($D258="V02",$R$3,$R$4)))</f>
        <v/>
      </c>
      <c r="O258">
        <f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>
        <f>IF($A258="","",IF($E258=1,$F258*$O258,PNL!G258))</f>
        <v/>
      </c>
      <c r="T258">
        <f>IF($A258="","",IF($E258=1,IF(OR($B258="7062",$B258="706",$B258="708"),$P258,IF(AND(LEFT($B258,1)="6",$B258&lt;&gt;"6811"),-$P258,0)),0))</f>
        <v/>
      </c>
    </row>
    <row r="259">
      <c r="A259">
        <f>IF(PNL!A259="","",PNL!A259)</f>
        <v/>
      </c>
      <c r="B259">
        <f>IF(PNL!B259="","",PNL!B259)</f>
        <v/>
      </c>
      <c r="C259">
        <f>IF(PNL!C259="","",PNL!C259)</f>
        <v/>
      </c>
      <c r="D259">
        <f>IF(PNL!D259="","",PNL!D259)</f>
        <v/>
      </c>
      <c r="E259">
        <f>IF($A259="","",IF(AND($C259="2027",OR($D259="V01",$D259="V02",$D259="V03")),1,0))</f>
        <v/>
      </c>
      <c r="F259">
        <f>IF($A259="","",IF($E259=1,SUMIFS(Comptabilité!$F$1:$F$675,Comptabilité!$A$1:$A$675,$A259,Comptabilité!$B$1:$B$675,$B259,Comptabilité!$C$1:$C$675,"2026"),0))</f>
        <v/>
      </c>
      <c r="G259">
        <f>IF($A259="","",IF($D259="V01",Cadrage!$C$22,IF($D259="V02",Cadrage!$D$22,Cadrage!$E$22)))</f>
        <v/>
      </c>
      <c r="H259">
        <f>IF($A259="","",IF($D259="V01",Cadrage!$C$23,IF($D259="V02",Cadrage!$D$23,Cadrage!$E$23)))</f>
        <v/>
      </c>
      <c r="I259">
        <f>IF($A259="","",IF($D259="V01",Cadrage!$C$31,IF($D259="V02",Cadrage!$D$31,Cadrage!$E$31)))</f>
        <v/>
      </c>
      <c r="J259">
        <f>IF($A259="","",IF($D259="V01",Cadrage!$C$32,IF($D259="V02",Cadrage!$D$32,Cadrage!$E$32)))</f>
        <v/>
      </c>
      <c r="K259">
        <f>IF($A259="","",IF($D259="V01",Cadrage!$C$33,IF($D259="V02",Cadrage!$D$33,Cadrage!$E$33)))</f>
        <v/>
      </c>
      <c r="L259">
        <f>IF($A259="","",IF($D259="V01",Cadrage!$C$34,IF($D259="V02",Cadrage!$D$34,Cadrage!$E$34)))</f>
        <v/>
      </c>
      <c r="M259">
        <f>IF($A259="","",IF($D259="V01",Cadrage!$C$35,IF($D259="V02",Cadrage!$D$35,Cadrage!$E$35)))</f>
        <v/>
      </c>
      <c r="N259">
        <f>IF($A259="","",IF($D259="V01",$R$2,IF($D259="V02",$R$3,$R$4)))</f>
        <v/>
      </c>
      <c r="O259">
        <f>IF($A259="","",IF(OR($B259="7062",$B259="706",$B259="708"),$N259,IF($B259="6231",1+$G259,IF($B259="6236",1+$H259,IF(OR($B259="621",$B259="604",$B259="6063"),$N259*(1-$L259),IF(OR($B259="6411",$B259="6413",$B259="6414",$B259="645"),(1+$J259)*(1+$K259),IF(OR($B259="613",$B259="615",$B259="616",$B259="6226",$B259="625",$B259="626",$B259="6281"),(1+$I259)*(1-$L259)*(1+$M259),IF(OR($B259="6331",$B259="63511",$B259="6333"),(1+$I259)*(1-$L259),IF($B259="6811",1+$I259,1)))))))))</f>
        <v/>
      </c>
      <c r="P259">
        <f>IF($A259="","",IF($E259=1,$F259*$O259,PNL!G259))</f>
        <v/>
      </c>
      <c r="T259">
        <f>IF($A259="","",IF($E259=1,IF(OR($B259="7062",$B259="706",$B259="708"),$P259,IF(AND(LEFT($B259,1)="6",$B259&lt;&gt;"6811"),-$P259,0)),0))</f>
        <v/>
      </c>
    </row>
    <row r="260">
      <c r="A260">
        <f>IF(PNL!A260="","",PNL!A260)</f>
        <v/>
      </c>
      <c r="B260">
        <f>IF(PNL!B260="","",PNL!B260)</f>
        <v/>
      </c>
      <c r="C260">
        <f>IF(PNL!C260="","",PNL!C260)</f>
        <v/>
      </c>
      <c r="D260">
        <f>IF(PNL!D260="","",PNL!D260)</f>
        <v/>
      </c>
      <c r="E260">
        <f>IF($A260="","",IF(AND($C260="2027",OR($D260="V01",$D260="V02",$D260="V03")),1,0))</f>
        <v/>
      </c>
      <c r="F260">
        <f>IF($A260="","",IF($E260=1,SUMIFS(Comptabilité!$F$1:$F$675,Comptabilité!$A$1:$A$675,$A260,Comptabilité!$B$1:$B$675,$B260,Comptabilité!$C$1:$C$675,"2026"),0))</f>
        <v/>
      </c>
      <c r="G260">
        <f>IF($A260="","",IF($D260="V01",Cadrage!$C$22,IF($D260="V02",Cadrage!$D$22,Cadrage!$E$22)))</f>
        <v/>
      </c>
      <c r="H260">
        <f>IF($A260="","",IF($D260="V01",Cadrage!$C$23,IF($D260="V02",Cadrage!$D$23,Cadrage!$E$23)))</f>
        <v/>
      </c>
      <c r="I260">
        <f>IF($A260="","",IF($D260="V01",Cadrage!$C$31,IF($D260="V02",Cadrage!$D$31,Cadrage!$E$31)))</f>
        <v/>
      </c>
      <c r="J260">
        <f>IF($A260="","",IF($D260="V01",Cadrage!$C$32,IF($D260="V02",Cadrage!$D$32,Cadrage!$E$32)))</f>
        <v/>
      </c>
      <c r="K260">
        <f>IF($A260="","",IF($D260="V01",Cadrage!$C$33,IF($D260="V02",Cadrage!$D$33,Cadrage!$E$33)))</f>
        <v/>
      </c>
      <c r="L260">
        <f>IF($A260="","",IF($D260="V01",Cadrage!$C$34,IF($D260="V02",Cadrage!$D$34,Cadrage!$E$34)))</f>
        <v/>
      </c>
      <c r="M260">
        <f>IF($A260="","",IF($D260="V01",Cadrage!$C$35,IF($D260="V02",Cadrage!$D$35,Cadrage!$E$35)))</f>
        <v/>
      </c>
      <c r="N260">
        <f>IF($A260="","",IF($D260="V01",$R$2,IF($D260="V02",$R$3,$R$4)))</f>
        <v/>
      </c>
      <c r="O260">
        <f>IF($A260="","",IF(OR($B260="7062",$B260="706",$B260="708"),$N260,IF($B260="6231",1+$G260,IF($B260="6236",1+$H260,IF(OR($B260="621",$B260="604",$B260="6063"),$N260*(1-$L260),IF(OR($B260="6411",$B260="6413",$B260="6414",$B260="645"),(1+$J260)*(1+$K260),IF(OR($B260="613",$B260="615",$B260="616",$B260="6226",$B260="625",$B260="626",$B260="6281"),(1+$I260)*(1-$L260)*(1+$M260),IF(OR($B260="6331",$B260="63511",$B260="6333"),(1+$I260)*(1-$L260),IF($B260="6811",1+$I260,1)))))))))</f>
        <v/>
      </c>
      <c r="P260">
        <f>IF($A260="","",IF($E260=1,$F260*$O260,PNL!G260))</f>
        <v/>
      </c>
      <c r="T260">
        <f>IF($A260="","",IF($E260=1,IF(OR($B260="7062",$B260="706",$B260="708"),$P260,IF(AND(LEFT($B260,1)="6",$B260&lt;&gt;"6811"),-$P260,0)),0))</f>
        <v/>
      </c>
    </row>
    <row r="261">
      <c r="A261">
        <f>IF(PNL!A261="","",PNL!A261)</f>
        <v/>
      </c>
      <c r="B261">
        <f>IF(PNL!B261="","",PNL!B261)</f>
        <v/>
      </c>
      <c r="C261">
        <f>IF(PNL!C261="","",PNL!C261)</f>
        <v/>
      </c>
      <c r="D261">
        <f>IF(PNL!D261="","",PNL!D261)</f>
        <v/>
      </c>
      <c r="E261">
        <f>IF($A261="","",IF(AND($C261="2027",OR($D261="V01",$D261="V02",$D261="V03")),1,0))</f>
        <v/>
      </c>
      <c r="F261">
        <f>IF($A261="","",IF($E261=1,SUMIFS(Comptabilité!$F$1:$F$675,Comptabilité!$A$1:$A$675,$A261,Comptabilité!$B$1:$B$675,$B261,Comptabilité!$C$1:$C$675,"2026"),0))</f>
        <v/>
      </c>
      <c r="G261">
        <f>IF($A261="","",IF($D261="V01",Cadrage!$C$22,IF($D261="V02",Cadrage!$D$22,Cadrage!$E$22)))</f>
        <v/>
      </c>
      <c r="H261">
        <f>IF($A261="","",IF($D261="V01",Cadrage!$C$23,IF($D261="V02",Cadrage!$D$23,Cadrage!$E$23)))</f>
        <v/>
      </c>
      <c r="I261">
        <f>IF($A261="","",IF($D261="V01",Cadrage!$C$31,IF($D261="V02",Cadrage!$D$31,Cadrage!$E$31)))</f>
        <v/>
      </c>
      <c r="J261">
        <f>IF($A261="","",IF($D261="V01",Cadrage!$C$32,IF($D261="V02",Cadrage!$D$32,Cadrage!$E$32)))</f>
        <v/>
      </c>
      <c r="K261">
        <f>IF($A261="","",IF($D261="V01",Cadrage!$C$33,IF($D261="V02",Cadrage!$D$33,Cadrage!$E$33)))</f>
        <v/>
      </c>
      <c r="L261">
        <f>IF($A261="","",IF($D261="V01",Cadrage!$C$34,IF($D261="V02",Cadrage!$D$34,Cadrage!$E$34)))</f>
        <v/>
      </c>
      <c r="M261">
        <f>IF($A261="","",IF($D261="V01",Cadrage!$C$35,IF($D261="V02",Cadrage!$D$35,Cadrage!$E$35)))</f>
        <v/>
      </c>
      <c r="N261">
        <f>IF($A261="","",IF($D261="V01",$R$2,IF($D261="V02",$R$3,$R$4)))</f>
        <v/>
      </c>
      <c r="O261">
        <f>IF($A261="","",IF(OR($B261="7062",$B261="706",$B261="708"),$N261,IF($B261="6231",1+$G261,IF($B261="6236",1+$H261,IF(OR($B261="621",$B261="604",$B261="6063"),$N261*(1-$L261),IF(OR($B261="6411",$B261="6413",$B261="6414",$B261="645"),(1+$J261)*(1+$K261),IF(OR($B261="613",$B261="615",$B261="616",$B261="6226",$B261="625",$B261="626",$B261="6281"),(1+$I261)*(1-$L261)*(1+$M261),IF(OR($B261="6331",$B261="63511",$B261="6333"),(1+$I261)*(1-$L261),IF($B261="6811",1+$I261,1)))))))))</f>
        <v/>
      </c>
      <c r="P261">
        <f>IF($A261="","",IF($E261=1,$F261*$O261,PNL!G261))</f>
        <v/>
      </c>
      <c r="T261">
        <f>IF($A261="","",IF($E261=1,IF(OR($B261="7062",$B261="706",$B261="708"),$P261,IF(AND(LEFT($B261,1)="6",$B261&lt;&gt;"6811"),-$P261,0)),0))</f>
        <v/>
      </c>
    </row>
    <row r="262">
      <c r="A262">
        <f>IF(PNL!A262="","",PNL!A262)</f>
        <v/>
      </c>
      <c r="B262">
        <f>IF(PNL!B262="","",PNL!B262)</f>
        <v/>
      </c>
      <c r="C262">
        <f>IF(PNL!C262="","",PNL!C262)</f>
        <v/>
      </c>
      <c r="D262">
        <f>IF(PNL!D262="","",PNL!D262)</f>
        <v/>
      </c>
      <c r="E262">
        <f>IF($A262="","",IF(AND($C262="2027",OR($D262="V01",$D262="V02",$D262="V03")),1,0))</f>
        <v/>
      </c>
      <c r="F262">
        <f>IF($A262="","",IF($E262=1,SUMIFS(Comptabilité!$F$1:$F$675,Comptabilité!$A$1:$A$675,$A262,Comptabilité!$B$1:$B$675,$B262,Comptabilité!$C$1:$C$675,"2026"),0))</f>
        <v/>
      </c>
      <c r="G262">
        <f>IF($A262="","",IF($D262="V01",Cadrage!$C$22,IF($D262="V02",Cadrage!$D$22,Cadrage!$E$22)))</f>
        <v/>
      </c>
      <c r="H262">
        <f>IF($A262="","",IF($D262="V01",Cadrage!$C$23,IF($D262="V02",Cadrage!$D$23,Cadrage!$E$23)))</f>
        <v/>
      </c>
      <c r="I262">
        <f>IF($A262="","",IF($D262="V01",Cadrage!$C$31,IF($D262="V02",Cadrage!$D$31,Cadrage!$E$31)))</f>
        <v/>
      </c>
      <c r="J262">
        <f>IF($A262="","",IF($D262="V01",Cadrage!$C$32,IF($D262="V02",Cadrage!$D$32,Cadrage!$E$32)))</f>
        <v/>
      </c>
      <c r="K262">
        <f>IF($A262="","",IF($D262="V01",Cadrage!$C$33,IF($D262="V02",Cadrage!$D$33,Cadrage!$E$33)))</f>
        <v/>
      </c>
      <c r="L262">
        <f>IF($A262="","",IF($D262="V01",Cadrage!$C$34,IF($D262="V02",Cadrage!$D$34,Cadrage!$E$34)))</f>
        <v/>
      </c>
      <c r="M262">
        <f>IF($A262="","",IF($D262="V01",Cadrage!$C$35,IF($D262="V02",Cadrage!$D$35,Cadrage!$E$35)))</f>
        <v/>
      </c>
      <c r="N262">
        <f>IF($A262="","",IF($D262="V01",$R$2,IF($D262="V02",$R$3,$R$4)))</f>
        <v/>
      </c>
      <c r="O262">
        <f>IF($A262="","",IF(OR($B262="7062",$B262="706",$B262="708"),$N262,IF($B262="6231",1+$G262,IF($B262="6236",1+$H262,IF(OR($B262="621",$B262="604",$B262="6063"),$N262*(1-$L262),IF(OR($B262="6411",$B262="6413",$B262="6414",$B262="645"),(1+$J262)*(1+$K262),IF(OR($B262="613",$B262="615",$B262="616",$B262="6226",$B262="625",$B262="626",$B262="6281"),(1+$I262)*(1-$L262)*(1+$M262),IF(OR($B262="6331",$B262="63511",$B262="6333"),(1+$I262)*(1-$L262),IF($B262="6811",1+$I262,1)))))))))</f>
        <v/>
      </c>
      <c r="P262">
        <f>IF($A262="","",IF($E262=1,$F262*$O262,PNL!G262))</f>
        <v/>
      </c>
      <c r="T262">
        <f>IF($A262="","",IF($E262=1,IF(OR($B262="7062",$B262="706",$B262="708"),$P262,IF(AND(LEFT($B262,1)="6",$B262&lt;&gt;"6811"),-$P262,0)),0))</f>
        <v/>
      </c>
    </row>
    <row r="263">
      <c r="A263">
        <f>IF(PNL!A263="","",PNL!A263)</f>
        <v/>
      </c>
      <c r="B263">
        <f>IF(PNL!B263="","",PNL!B263)</f>
        <v/>
      </c>
      <c r="C263">
        <f>IF(PNL!C263="","",PNL!C263)</f>
        <v/>
      </c>
      <c r="D263">
        <f>IF(PNL!D263="","",PNL!D263)</f>
        <v/>
      </c>
      <c r="E263">
        <f>IF($A263="","",IF(AND($C263="2027",OR($D263="V01",$D263="V02",$D263="V03")),1,0))</f>
        <v/>
      </c>
      <c r="F263">
        <f>IF($A263="","",IF($E263=1,SUMIFS(Comptabilité!$F$1:$F$675,Comptabilité!$A$1:$A$675,$A263,Comptabilité!$B$1:$B$675,$B263,Comptabilité!$C$1:$C$675,"2026"),0))</f>
        <v/>
      </c>
      <c r="G263">
        <f>IF($A263="","",IF($D263="V01",Cadrage!$C$22,IF($D263="V02",Cadrage!$D$22,Cadrage!$E$22)))</f>
        <v/>
      </c>
      <c r="H263">
        <f>IF($A263="","",IF($D263="V01",Cadrage!$C$23,IF($D263="V02",Cadrage!$D$23,Cadrage!$E$23)))</f>
        <v/>
      </c>
      <c r="I263">
        <f>IF($A263="","",IF($D263="V01",Cadrage!$C$31,IF($D263="V02",Cadrage!$D$31,Cadrage!$E$31)))</f>
        <v/>
      </c>
      <c r="J263">
        <f>IF($A263="","",IF($D263="V01",Cadrage!$C$32,IF($D263="V02",Cadrage!$D$32,Cadrage!$E$32)))</f>
        <v/>
      </c>
      <c r="K263">
        <f>IF($A263="","",IF($D263="V01",Cadrage!$C$33,IF($D263="V02",Cadrage!$D$33,Cadrage!$E$33)))</f>
        <v/>
      </c>
      <c r="L263">
        <f>IF($A263="","",IF($D263="V01",Cadrage!$C$34,IF($D263="V02",Cadrage!$D$34,Cadrage!$E$34)))</f>
        <v/>
      </c>
      <c r="M263">
        <f>IF($A263="","",IF($D263="V01",Cadrage!$C$35,IF($D263="V02",Cadrage!$D$35,Cadrage!$E$35)))</f>
        <v/>
      </c>
      <c r="N263">
        <f>IF($A263="","",IF($D263="V01",$R$2,IF($D263="V02",$R$3,$R$4)))</f>
        <v/>
      </c>
      <c r="O263">
        <f>IF($A263="","",IF(OR($B263="7062",$B263="706",$B263="708"),$N263,IF($B263="6231",1+$G263,IF($B263="6236",1+$H263,IF(OR($B263="621",$B263="604",$B263="6063"),$N263*(1-$L263),IF(OR($B263="6411",$B263="6413",$B263="6414",$B263="645"),(1+$J263)*(1+$K263),IF(OR($B263="613",$B263="615",$B263="616",$B263="6226",$B263="625",$B263="626",$B263="6281"),(1+$I263)*(1-$L263)*(1+$M263),IF(OR($B263="6331",$B263="63511",$B263="6333"),(1+$I263)*(1-$L263),IF($B263="6811",1+$I263,1)))))))))</f>
        <v/>
      </c>
      <c r="P263">
        <f>IF($A263="","",IF($E263=1,$F263*$O263,PNL!G263))</f>
        <v/>
      </c>
      <c r="T263">
        <f>IF($A263="","",IF($E263=1,IF(OR($B263="7062",$B263="706",$B263="708"),$P263,IF(AND(LEFT($B263,1)="6",$B263&lt;&gt;"6811"),-$P263,0)),0))</f>
        <v/>
      </c>
    </row>
    <row r="264">
      <c r="A264">
        <f>IF(PNL!A264="","",PNL!A264)</f>
        <v/>
      </c>
      <c r="B264">
        <f>IF(PNL!B264="","",PNL!B264)</f>
        <v/>
      </c>
      <c r="C264">
        <f>IF(PNL!C264="","",PNL!C264)</f>
        <v/>
      </c>
      <c r="D264">
        <f>IF(PNL!D264="","",PNL!D264)</f>
        <v/>
      </c>
      <c r="E264">
        <f>IF($A264="","",IF(AND($C264="2027",OR($D264="V01",$D264="V02",$D264="V03")),1,0))</f>
        <v/>
      </c>
      <c r="F264">
        <f>IF($A264="","",IF($E264=1,SUMIFS(Comptabilité!$F$1:$F$675,Comptabilité!$A$1:$A$675,$A264,Comptabilité!$B$1:$B$675,$B264,Comptabilité!$C$1:$C$675,"2026"),0))</f>
        <v/>
      </c>
      <c r="G264">
        <f>IF($A264="","",IF($D264="V01",Cadrage!$C$22,IF($D264="V02",Cadrage!$D$22,Cadrage!$E$22)))</f>
        <v/>
      </c>
      <c r="H264">
        <f>IF($A264="","",IF($D264="V01",Cadrage!$C$23,IF($D264="V02",Cadrage!$D$23,Cadrage!$E$23)))</f>
        <v/>
      </c>
      <c r="I264">
        <f>IF($A264="","",IF($D264="V01",Cadrage!$C$31,IF($D264="V02",Cadrage!$D$31,Cadrage!$E$31)))</f>
        <v/>
      </c>
      <c r="J264">
        <f>IF($A264="","",IF($D264="V01",Cadrage!$C$32,IF($D264="V02",Cadrage!$D$32,Cadrage!$E$32)))</f>
        <v/>
      </c>
      <c r="K264">
        <f>IF($A264="","",IF($D264="V01",Cadrage!$C$33,IF($D264="V02",Cadrage!$D$33,Cadrage!$E$33)))</f>
        <v/>
      </c>
      <c r="L264">
        <f>IF($A264="","",IF($D264="V01",Cadrage!$C$34,IF($D264="V02",Cadrage!$D$34,Cadrage!$E$34)))</f>
        <v/>
      </c>
      <c r="M264">
        <f>IF($A264="","",IF($D264="V01",Cadrage!$C$35,IF($D264="V02",Cadrage!$D$35,Cadrage!$E$35)))</f>
        <v/>
      </c>
      <c r="N264">
        <f>IF($A264="","",IF($D264="V01",$R$2,IF($D264="V02",$R$3,$R$4)))</f>
        <v/>
      </c>
      <c r="O264">
        <f>IF($A264="","",IF(OR($B264="7062",$B264="706",$B264="708"),$N264,IF($B264="6231",1+$G264,IF($B264="6236",1+$H264,IF(OR($B264="621",$B264="604",$B264="6063"),$N264*(1-$L264),IF(OR($B264="6411",$B264="6413",$B264="6414",$B264="645"),(1+$J264)*(1+$K264),IF(OR($B264="613",$B264="615",$B264="616",$B264="6226",$B264="625",$B264="626",$B264="6281"),(1+$I264)*(1-$L264)*(1+$M264),IF(OR($B264="6331",$B264="63511",$B264="6333"),(1+$I264)*(1-$L264),IF($B264="6811",1+$I264,1)))))))))</f>
        <v/>
      </c>
      <c r="P264">
        <f>IF($A264="","",IF($E264=1,$F264*$O264,PNL!G264))</f>
        <v/>
      </c>
      <c r="T264">
        <f>IF($A264="","",IF($E264=1,IF(OR($B264="7062",$B264="706",$B264="708"),$P264,IF(AND(LEFT($B264,1)="6",$B264&lt;&gt;"6811"),-$P264,0)),0))</f>
        <v/>
      </c>
    </row>
    <row r="265">
      <c r="A265">
        <f>IF(PNL!A265="","",PNL!A265)</f>
        <v/>
      </c>
      <c r="B265">
        <f>IF(PNL!B265="","",PNL!B265)</f>
        <v/>
      </c>
      <c r="C265">
        <f>IF(PNL!C265="","",PNL!C265)</f>
        <v/>
      </c>
      <c r="D265">
        <f>IF(PNL!D265="","",PNL!D265)</f>
        <v/>
      </c>
      <c r="E265">
        <f>IF($A265="","",IF(AND($C265="2027",OR($D265="V01",$D265="V02",$D265="V03")),1,0))</f>
        <v/>
      </c>
      <c r="F265">
        <f>IF($A265="","",IF($E265=1,SUMIFS(Comptabilité!$F$1:$F$675,Comptabilité!$A$1:$A$675,$A265,Comptabilité!$B$1:$B$675,$B265,Comptabilité!$C$1:$C$675,"2026"),0))</f>
        <v/>
      </c>
      <c r="G265">
        <f>IF($A265="","",IF($D265="V01",Cadrage!$C$22,IF($D265="V02",Cadrage!$D$22,Cadrage!$E$22)))</f>
        <v/>
      </c>
      <c r="H265">
        <f>IF($A265="","",IF($D265="V01",Cadrage!$C$23,IF($D265="V02",Cadrage!$D$23,Cadrage!$E$23)))</f>
        <v/>
      </c>
      <c r="I265">
        <f>IF($A265="","",IF($D265="V01",Cadrage!$C$31,IF($D265="V02",Cadrage!$D$31,Cadrage!$E$31)))</f>
        <v/>
      </c>
      <c r="J265">
        <f>IF($A265="","",IF($D265="V01",Cadrage!$C$32,IF($D265="V02",Cadrage!$D$32,Cadrage!$E$32)))</f>
        <v/>
      </c>
      <c r="K265">
        <f>IF($A265="","",IF($D265="V01",Cadrage!$C$33,IF($D265="V02",Cadrage!$D$33,Cadrage!$E$33)))</f>
        <v/>
      </c>
      <c r="L265">
        <f>IF($A265="","",IF($D265="V01",Cadrage!$C$34,IF($D265="V02",Cadrage!$D$34,Cadrage!$E$34)))</f>
        <v/>
      </c>
      <c r="M265">
        <f>IF($A265="","",IF($D265="V01",Cadrage!$C$35,IF($D265="V02",Cadrage!$D$35,Cadrage!$E$35)))</f>
        <v/>
      </c>
      <c r="N265">
        <f>IF($A265="","",IF($D265="V01",$R$2,IF($D265="V02",$R$3,$R$4)))</f>
        <v/>
      </c>
      <c r="O265">
        <f>IF($A265="","",IF(OR($B265="7062",$B265="706",$B265="708"),$N265,IF($B265="6231",1+$G265,IF($B265="6236",1+$H265,IF(OR($B265="621",$B265="604",$B265="6063"),$N265*(1-$L265),IF(OR($B265="6411",$B265="6413",$B265="6414",$B265="645"),(1+$J265)*(1+$K265),IF(OR($B265="613",$B265="615",$B265="616",$B265="6226",$B265="625",$B265="626",$B265="6281"),(1+$I265)*(1-$L265)*(1+$M265),IF(OR($B265="6331",$B265="63511",$B265="6333"),(1+$I265)*(1-$L265),IF($B265="6811",1+$I265,1)))))))))</f>
        <v/>
      </c>
      <c r="P265">
        <f>IF($A265="","",IF($E265=1,$F265*$O265,PNL!G265))</f>
        <v/>
      </c>
      <c r="T265">
        <f>IF($A265="","",IF($E265=1,IF(OR($B265="7062",$B265="706",$B265="708"),$P265,IF(AND(LEFT($B265,1)="6",$B265&lt;&gt;"6811"),-$P265,0)),0))</f>
        <v/>
      </c>
    </row>
    <row r="266">
      <c r="A266">
        <f>IF(PNL!A266="","",PNL!A266)</f>
        <v/>
      </c>
      <c r="B266">
        <f>IF(PNL!B266="","",PNL!B266)</f>
        <v/>
      </c>
      <c r="C266">
        <f>IF(PNL!C266="","",PNL!C266)</f>
        <v/>
      </c>
      <c r="D266">
        <f>IF(PNL!D266="","",PNL!D266)</f>
        <v/>
      </c>
      <c r="E266">
        <f>IF($A266="","",IF(AND($C266="2027",OR($D266="V01",$D266="V02",$D266="V03")),1,0))</f>
        <v/>
      </c>
      <c r="F266">
        <f>IF($A266="","",IF($E266=1,SUMIFS(Comptabilité!$F$1:$F$675,Comptabilité!$A$1:$A$675,$A266,Comptabilité!$B$1:$B$675,$B266,Comptabilité!$C$1:$C$675,"2026"),0))</f>
        <v/>
      </c>
      <c r="G266">
        <f>IF($A266="","",IF($D266="V01",Cadrage!$C$22,IF($D266="V02",Cadrage!$D$22,Cadrage!$E$22)))</f>
        <v/>
      </c>
      <c r="H266">
        <f>IF($A266="","",IF($D266="V01",Cadrage!$C$23,IF($D266="V02",Cadrage!$D$23,Cadrage!$E$23)))</f>
        <v/>
      </c>
      <c r="I266">
        <f>IF($A266="","",IF($D266="V01",Cadrage!$C$31,IF($D266="V02",Cadrage!$D$31,Cadrage!$E$31)))</f>
        <v/>
      </c>
      <c r="J266">
        <f>IF($A266="","",IF($D266="V01",Cadrage!$C$32,IF($D266="V02",Cadrage!$D$32,Cadrage!$E$32)))</f>
        <v/>
      </c>
      <c r="K266">
        <f>IF($A266="","",IF($D266="V01",Cadrage!$C$33,IF($D266="V02",Cadrage!$D$33,Cadrage!$E$33)))</f>
        <v/>
      </c>
      <c r="L266">
        <f>IF($A266="","",IF($D266="V01",Cadrage!$C$34,IF($D266="V02",Cadrage!$D$34,Cadrage!$E$34)))</f>
        <v/>
      </c>
      <c r="M266">
        <f>IF($A266="","",IF($D266="V01",Cadrage!$C$35,IF($D266="V02",Cadrage!$D$35,Cadrage!$E$35)))</f>
        <v/>
      </c>
      <c r="N266">
        <f>IF($A266="","",IF($D266="V01",$R$2,IF($D266="V02",$R$3,$R$4)))</f>
        <v/>
      </c>
      <c r="O266">
        <f>IF($A266="","",IF(OR($B266="7062",$B266="706",$B266="708"),$N266,IF($B266="6231",1+$G266,IF($B266="6236",1+$H266,IF(OR($B266="621",$B266="604",$B266="6063"),$N266*(1-$L266),IF(OR($B266="6411",$B266="6413",$B266="6414",$B266="645"),(1+$J266)*(1+$K266),IF(OR($B266="613",$B266="615",$B266="616",$B266="6226",$B266="625",$B266="626",$B266="6281"),(1+$I266)*(1-$L266)*(1+$M266),IF(OR($B266="6331",$B266="63511",$B266="6333"),(1+$I266)*(1-$L266),IF($B266="6811",1+$I266,1)))))))))</f>
        <v/>
      </c>
      <c r="P266">
        <f>IF($A266="","",IF($E266=1,$F266*$O266,PNL!G266))</f>
        <v/>
      </c>
      <c r="T266">
        <f>IF($A266="","",IF($E266=1,IF(OR($B266="7062",$B266="706",$B266="708"),$P266,IF(AND(LEFT($B266,1)="6",$B266&lt;&gt;"6811"),-$P266,0)),0))</f>
        <v/>
      </c>
    </row>
    <row r="267">
      <c r="A267">
        <f>IF(PNL!A267="","",PNL!A267)</f>
        <v/>
      </c>
      <c r="B267">
        <f>IF(PNL!B267="","",PNL!B267)</f>
        <v/>
      </c>
      <c r="C267">
        <f>IF(PNL!C267="","",PNL!C267)</f>
        <v/>
      </c>
      <c r="D267">
        <f>IF(PNL!D267="","",PNL!D267)</f>
        <v/>
      </c>
      <c r="E267">
        <f>IF($A267="","",IF(AND($C267="2027",OR($D267="V01",$D267="V02",$D267="V03")),1,0))</f>
        <v/>
      </c>
      <c r="F267">
        <f>IF($A267="","",IF($E267=1,SUMIFS(Comptabilité!$F$1:$F$675,Comptabilité!$A$1:$A$675,$A267,Comptabilité!$B$1:$B$675,$B267,Comptabilité!$C$1:$C$675,"2026"),0))</f>
        <v/>
      </c>
      <c r="G267">
        <f>IF($A267="","",IF($D267="V01",Cadrage!$C$22,IF($D267="V02",Cadrage!$D$22,Cadrage!$E$22)))</f>
        <v/>
      </c>
      <c r="H267">
        <f>IF($A267="","",IF($D267="V01",Cadrage!$C$23,IF($D267="V02",Cadrage!$D$23,Cadrage!$E$23)))</f>
        <v/>
      </c>
      <c r="I267">
        <f>IF($A267="","",IF($D267="V01",Cadrage!$C$31,IF($D267="V02",Cadrage!$D$31,Cadrage!$E$31)))</f>
        <v/>
      </c>
      <c r="J267">
        <f>IF($A267="","",IF($D267="V01",Cadrage!$C$32,IF($D267="V02",Cadrage!$D$32,Cadrage!$E$32)))</f>
        <v/>
      </c>
      <c r="K267">
        <f>IF($A267="","",IF($D267="V01",Cadrage!$C$33,IF($D267="V02",Cadrage!$D$33,Cadrage!$E$33)))</f>
        <v/>
      </c>
      <c r="L267">
        <f>IF($A267="","",IF($D267="V01",Cadrage!$C$34,IF($D267="V02",Cadrage!$D$34,Cadrage!$E$34)))</f>
        <v/>
      </c>
      <c r="M267">
        <f>IF($A267="","",IF($D267="V01",Cadrage!$C$35,IF($D267="V02",Cadrage!$D$35,Cadrage!$E$35)))</f>
        <v/>
      </c>
      <c r="N267">
        <f>IF($A267="","",IF($D267="V01",$R$2,IF($D267="V02",$R$3,$R$4)))</f>
        <v/>
      </c>
      <c r="O267">
        <f>IF($A267="","",IF(OR($B267="7062",$B267="706",$B267="708"),$N267,IF($B267="6231",1+$G267,IF($B267="6236",1+$H267,IF(OR($B267="621",$B267="604",$B267="6063"),$N267*(1-$L267),IF(OR($B267="6411",$B267="6413",$B267="6414",$B267="645"),(1+$J267)*(1+$K267),IF(OR($B267="613",$B267="615",$B267="616",$B267="6226",$B267="625",$B267="626",$B267="6281"),(1+$I267)*(1-$L267)*(1+$M267),IF(OR($B267="6331",$B267="63511",$B267="6333"),(1+$I267)*(1-$L267),IF($B267="6811",1+$I267,1)))))))))</f>
        <v/>
      </c>
      <c r="P267">
        <f>IF($A267="","",IF($E267=1,$F267*$O267,PNL!G267))</f>
        <v/>
      </c>
      <c r="T267">
        <f>IF($A267="","",IF($E267=1,IF(OR($B267="7062",$B267="706",$B267="708"),$P267,IF(AND(LEFT($B267,1)="6",$B267&lt;&gt;"6811"),-$P267,0)),0))</f>
        <v/>
      </c>
    </row>
    <row r="268">
      <c r="A268">
        <f>IF(PNL!A268="","",PNL!A268)</f>
        <v/>
      </c>
      <c r="B268">
        <f>IF(PNL!B268="","",PNL!B268)</f>
        <v/>
      </c>
      <c r="C268">
        <f>IF(PNL!C268="","",PNL!C268)</f>
        <v/>
      </c>
      <c r="D268">
        <f>IF(PNL!D268="","",PNL!D268)</f>
        <v/>
      </c>
      <c r="E268">
        <f>IF($A268="","",IF(AND($C268="2027",OR($D268="V01",$D268="V02",$D268="V03")),1,0))</f>
        <v/>
      </c>
      <c r="F268">
        <f>IF($A268="","",IF($E268=1,SUMIFS(Comptabilité!$F$1:$F$675,Comptabilité!$A$1:$A$675,$A268,Comptabilité!$B$1:$B$675,$B268,Comptabilité!$C$1:$C$675,"2026"),0))</f>
        <v/>
      </c>
      <c r="G268">
        <f>IF($A268="","",IF($D268="V01",Cadrage!$C$22,IF($D268="V02",Cadrage!$D$22,Cadrage!$E$22)))</f>
        <v/>
      </c>
      <c r="H268">
        <f>IF($A268="","",IF($D268="V01",Cadrage!$C$23,IF($D268="V02",Cadrage!$D$23,Cadrage!$E$23)))</f>
        <v/>
      </c>
      <c r="I268">
        <f>IF($A268="","",IF($D268="V01",Cadrage!$C$31,IF($D268="V02",Cadrage!$D$31,Cadrage!$E$31)))</f>
        <v/>
      </c>
      <c r="J268">
        <f>IF($A268="","",IF($D268="V01",Cadrage!$C$32,IF($D268="V02",Cadrage!$D$32,Cadrage!$E$32)))</f>
        <v/>
      </c>
      <c r="K268">
        <f>IF($A268="","",IF($D268="V01",Cadrage!$C$33,IF($D268="V02",Cadrage!$D$33,Cadrage!$E$33)))</f>
        <v/>
      </c>
      <c r="L268">
        <f>IF($A268="","",IF($D268="V01",Cadrage!$C$34,IF($D268="V02",Cadrage!$D$34,Cadrage!$E$34)))</f>
        <v/>
      </c>
      <c r="M268">
        <f>IF($A268="","",IF($D268="V01",Cadrage!$C$35,IF($D268="V02",Cadrage!$D$35,Cadrage!$E$35)))</f>
        <v/>
      </c>
      <c r="N268">
        <f>IF($A268="","",IF($D268="V01",$R$2,IF($D268="V02",$R$3,$R$4)))</f>
        <v/>
      </c>
      <c r="O268">
        <f>IF($A268="","",IF(OR($B268="7062",$B268="706",$B268="708"),$N268,IF($B268="6231",1+$G268,IF($B268="6236",1+$H268,IF(OR($B268="621",$B268="604",$B268="6063"),$N268*(1-$L268),IF(OR($B268="6411",$B268="6413",$B268="6414",$B268="645"),(1+$J268)*(1+$K268),IF(OR($B268="613",$B268="615",$B268="616",$B268="6226",$B268="625",$B268="626",$B268="6281"),(1+$I268)*(1-$L268)*(1+$M268),IF(OR($B268="6331",$B268="63511",$B268="6333"),(1+$I268)*(1-$L268),IF($B268="6811",1+$I268,1)))))))))</f>
        <v/>
      </c>
      <c r="P268">
        <f>IF($A268="","",IF($E268=1,$F268*$O268,PNL!G268))</f>
        <v/>
      </c>
      <c r="T268">
        <f>IF($A268="","",IF($E268=1,IF(OR($B268="7062",$B268="706",$B268="708"),$P268,IF(AND(LEFT($B268,1)="6",$B268&lt;&gt;"6811"),-$P268,0)),0))</f>
        <v/>
      </c>
    </row>
    <row r="269">
      <c r="A269">
        <f>IF(PNL!A269="","",PNL!A269)</f>
        <v/>
      </c>
      <c r="B269">
        <f>IF(PNL!B269="","",PNL!B269)</f>
        <v/>
      </c>
      <c r="C269">
        <f>IF(PNL!C269="","",PNL!C269)</f>
        <v/>
      </c>
      <c r="D269">
        <f>IF(PNL!D269="","",PNL!D269)</f>
        <v/>
      </c>
      <c r="E269">
        <f>IF($A269="","",IF(AND($C269="2027",OR($D269="V01",$D269="V02",$D269="V03")),1,0))</f>
        <v/>
      </c>
      <c r="F269">
        <f>IF($A269="","",IF($E269=1,SUMIFS(Comptabilité!$F$1:$F$675,Comptabilité!$A$1:$A$675,$A269,Comptabilité!$B$1:$B$675,$B269,Comptabilité!$C$1:$C$675,"2026"),0))</f>
        <v/>
      </c>
      <c r="G269">
        <f>IF($A269="","",IF($D269="V01",Cadrage!$C$22,IF($D269="V02",Cadrage!$D$22,Cadrage!$E$22)))</f>
        <v/>
      </c>
      <c r="H269">
        <f>IF($A269="","",IF($D269="V01",Cadrage!$C$23,IF($D269="V02",Cadrage!$D$23,Cadrage!$E$23)))</f>
        <v/>
      </c>
      <c r="I269">
        <f>IF($A269="","",IF($D269="V01",Cadrage!$C$31,IF($D269="V02",Cadrage!$D$31,Cadrage!$E$31)))</f>
        <v/>
      </c>
      <c r="J269">
        <f>IF($A269="","",IF($D269="V01",Cadrage!$C$32,IF($D269="V02",Cadrage!$D$32,Cadrage!$E$32)))</f>
        <v/>
      </c>
      <c r="K269">
        <f>IF($A269="","",IF($D269="V01",Cadrage!$C$33,IF($D269="V02",Cadrage!$D$33,Cadrage!$E$33)))</f>
        <v/>
      </c>
      <c r="L269">
        <f>IF($A269="","",IF($D269="V01",Cadrage!$C$34,IF($D269="V02",Cadrage!$D$34,Cadrage!$E$34)))</f>
        <v/>
      </c>
      <c r="M269">
        <f>IF($A269="","",IF($D269="V01",Cadrage!$C$35,IF($D269="V02",Cadrage!$D$35,Cadrage!$E$35)))</f>
        <v/>
      </c>
      <c r="N269">
        <f>IF($A269="","",IF($D269="V01",$R$2,IF($D269="V02",$R$3,$R$4)))</f>
        <v/>
      </c>
      <c r="O269">
        <f>IF($A269="","",IF(OR($B269="7062",$B269="706",$B269="708"),$N269,IF($B269="6231",1+$G269,IF($B269="6236",1+$H269,IF(OR($B269="621",$B269="604",$B269="6063"),$N269*(1-$L269),IF(OR($B269="6411",$B269="6413",$B269="6414",$B269="645"),(1+$J269)*(1+$K269),IF(OR($B269="613",$B269="615",$B269="616",$B269="6226",$B269="625",$B269="626",$B269="6281"),(1+$I269)*(1-$L269)*(1+$M269),IF(OR($B269="6331",$B269="63511",$B269="6333"),(1+$I269)*(1-$L269),IF($B269="6811",1+$I269,1)))))))))</f>
        <v/>
      </c>
      <c r="P269">
        <f>IF($A269="","",IF($E269=1,$F269*$O269,PNL!G269))</f>
        <v/>
      </c>
      <c r="T269">
        <f>IF($A269="","",IF($E269=1,IF(OR($B269="7062",$B269="706",$B269="708"),$P269,IF(AND(LEFT($B269,1)="6",$B269&lt;&gt;"6811"),-$P269,0)),0))</f>
        <v/>
      </c>
    </row>
    <row r="270">
      <c r="A270">
        <f>IF(PNL!A270="","",PNL!A270)</f>
        <v/>
      </c>
      <c r="B270">
        <f>IF(PNL!B270="","",PNL!B270)</f>
        <v/>
      </c>
      <c r="C270">
        <f>IF(PNL!C270="","",PNL!C270)</f>
        <v/>
      </c>
      <c r="D270">
        <f>IF(PNL!D270="","",PNL!D270)</f>
        <v/>
      </c>
      <c r="E270">
        <f>IF($A270="","",IF(AND($C270="2027",OR($D270="V01",$D270="V02",$D270="V03")),1,0))</f>
        <v/>
      </c>
      <c r="F270">
        <f>IF($A270="","",IF($E270=1,SUMIFS(Comptabilité!$F$1:$F$675,Comptabilité!$A$1:$A$675,$A270,Comptabilité!$B$1:$B$675,$B270,Comptabilité!$C$1:$C$675,"2026"),0))</f>
        <v/>
      </c>
      <c r="G270">
        <f>IF($A270="","",IF($D270="V01",Cadrage!$C$22,IF($D270="V02",Cadrage!$D$22,Cadrage!$E$22)))</f>
        <v/>
      </c>
      <c r="H270">
        <f>IF($A270="","",IF($D270="V01",Cadrage!$C$23,IF($D270="V02",Cadrage!$D$23,Cadrage!$E$23)))</f>
        <v/>
      </c>
      <c r="I270">
        <f>IF($A270="","",IF($D270="V01",Cadrage!$C$31,IF($D270="V02",Cadrage!$D$31,Cadrage!$E$31)))</f>
        <v/>
      </c>
      <c r="J270">
        <f>IF($A270="","",IF($D270="V01",Cadrage!$C$32,IF($D270="V02",Cadrage!$D$32,Cadrage!$E$32)))</f>
        <v/>
      </c>
      <c r="K270">
        <f>IF($A270="","",IF($D270="V01",Cadrage!$C$33,IF($D270="V02",Cadrage!$D$33,Cadrage!$E$33)))</f>
        <v/>
      </c>
      <c r="L270">
        <f>IF($A270="","",IF($D270="V01",Cadrage!$C$34,IF($D270="V02",Cadrage!$D$34,Cadrage!$E$34)))</f>
        <v/>
      </c>
      <c r="M270">
        <f>IF($A270="","",IF($D270="V01",Cadrage!$C$35,IF($D270="V02",Cadrage!$D$35,Cadrage!$E$35)))</f>
        <v/>
      </c>
      <c r="N270">
        <f>IF($A270="","",IF($D270="V01",$R$2,IF($D270="V02",$R$3,$R$4)))</f>
        <v/>
      </c>
      <c r="O270">
        <f>IF($A270="","",IF(OR($B270="7062",$B270="706",$B270="708"),$N270,IF($B270="6231",1+$G270,IF($B270="6236",1+$H270,IF(OR($B270="621",$B270="604",$B270="6063"),$N270*(1-$L270),IF(OR($B270="6411",$B270="6413",$B270="6414",$B270="645"),(1+$J270)*(1+$K270),IF(OR($B270="613",$B270="615",$B270="616",$B270="6226",$B270="625",$B270="626",$B270="6281"),(1+$I270)*(1-$L270)*(1+$M270),IF(OR($B270="6331",$B270="63511",$B270="6333"),(1+$I270)*(1-$L270),IF($B270="6811",1+$I270,1)))))))))</f>
        <v/>
      </c>
      <c r="P270">
        <f>IF($A270="","",IF($E270=1,$F270*$O270,PNL!G270))</f>
        <v/>
      </c>
      <c r="T270">
        <f>IF($A270="","",IF($E270=1,IF(OR($B270="7062",$B270="706",$B270="708"),$P270,IF(AND(LEFT($B270,1)="6",$B270&lt;&gt;"6811"),-$P270,0)),0))</f>
        <v/>
      </c>
    </row>
    <row r="271">
      <c r="A271">
        <f>IF(PNL!A271="","",PNL!A271)</f>
        <v/>
      </c>
      <c r="B271">
        <f>IF(PNL!B271="","",PNL!B271)</f>
        <v/>
      </c>
      <c r="C271">
        <f>IF(PNL!C271="","",PNL!C271)</f>
        <v/>
      </c>
      <c r="D271">
        <f>IF(PNL!D271="","",PNL!D271)</f>
        <v/>
      </c>
      <c r="E271">
        <f>IF($A271="","",IF(AND($C271="2027",OR($D271="V01",$D271="V02",$D271="V03")),1,0))</f>
        <v/>
      </c>
      <c r="F271">
        <f>IF($A271="","",IF($E271=1,SUMIFS(Comptabilité!$F$1:$F$675,Comptabilité!$A$1:$A$675,$A271,Comptabilité!$B$1:$B$675,$B271,Comptabilité!$C$1:$C$675,"2026"),0))</f>
        <v/>
      </c>
      <c r="G271">
        <f>IF($A271="","",IF($D271="V01",Cadrage!$C$22,IF($D271="V02",Cadrage!$D$22,Cadrage!$E$22)))</f>
        <v/>
      </c>
      <c r="H271">
        <f>IF($A271="","",IF($D271="V01",Cadrage!$C$23,IF($D271="V02",Cadrage!$D$23,Cadrage!$E$23)))</f>
        <v/>
      </c>
      <c r="I271">
        <f>IF($A271="","",IF($D271="V01",Cadrage!$C$31,IF($D271="V02",Cadrage!$D$31,Cadrage!$E$31)))</f>
        <v/>
      </c>
      <c r="J271">
        <f>IF($A271="","",IF($D271="V01",Cadrage!$C$32,IF($D271="V02",Cadrage!$D$32,Cadrage!$E$32)))</f>
        <v/>
      </c>
      <c r="K271">
        <f>IF($A271="","",IF($D271="V01",Cadrage!$C$33,IF($D271="V02",Cadrage!$D$33,Cadrage!$E$33)))</f>
        <v/>
      </c>
      <c r="L271">
        <f>IF($A271="","",IF($D271="V01",Cadrage!$C$34,IF($D271="V02",Cadrage!$D$34,Cadrage!$E$34)))</f>
        <v/>
      </c>
      <c r="M271">
        <f>IF($A271="","",IF($D271="V01",Cadrage!$C$35,IF($D271="V02",Cadrage!$D$35,Cadrage!$E$35)))</f>
        <v/>
      </c>
      <c r="N271">
        <f>IF($A271="","",IF($D271="V01",$R$2,IF($D271="V02",$R$3,$R$4)))</f>
        <v/>
      </c>
      <c r="O271">
        <f>IF($A271="","",IF(OR($B271="7062",$B271="706",$B271="708"),$N271,IF($B271="6231",1+$G271,IF($B271="6236",1+$H271,IF(OR($B271="621",$B271="604",$B271="6063"),$N271*(1-$L271),IF(OR($B271="6411",$B271="6413",$B271="6414",$B271="645"),(1+$J271)*(1+$K271),IF(OR($B271="613",$B271="615",$B271="616",$B271="6226",$B271="625",$B271="626",$B271="6281"),(1+$I271)*(1-$L271)*(1+$M271),IF(OR($B271="6331",$B271="63511",$B271="6333"),(1+$I271)*(1-$L271),IF($B271="6811",1+$I271,1)))))))))</f>
        <v/>
      </c>
      <c r="P271">
        <f>IF($A271="","",IF($E271=1,$F271*$O271,PNL!G271))</f>
        <v/>
      </c>
      <c r="T271">
        <f>IF($A271="","",IF($E271=1,IF(OR($B271="7062",$B271="706",$B271="708"),$P271,IF(AND(LEFT($B271,1)="6",$B271&lt;&gt;"6811"),-$P271,0)),0))</f>
        <v/>
      </c>
    </row>
    <row r="272">
      <c r="A272">
        <f>IF(PNL!A272="","",PNL!A272)</f>
        <v/>
      </c>
      <c r="B272">
        <f>IF(PNL!B272="","",PNL!B272)</f>
        <v/>
      </c>
      <c r="C272">
        <f>IF(PNL!C272="","",PNL!C272)</f>
        <v/>
      </c>
      <c r="D272">
        <f>IF(PNL!D272="","",PNL!D272)</f>
        <v/>
      </c>
      <c r="E272">
        <f>IF($A272="","",IF(AND($C272="2027",OR($D272="V01",$D272="V02",$D272="V03")),1,0))</f>
        <v/>
      </c>
      <c r="F272">
        <f>IF($A272="","",IF($E272=1,SUMIFS(Comptabilité!$F$1:$F$675,Comptabilité!$A$1:$A$675,$A272,Comptabilité!$B$1:$B$675,$B272,Comptabilité!$C$1:$C$675,"2026"),0))</f>
        <v/>
      </c>
      <c r="G272">
        <f>IF($A272="","",IF($D272="V01",Cadrage!$C$22,IF($D272="V02",Cadrage!$D$22,Cadrage!$E$22)))</f>
        <v/>
      </c>
      <c r="H272">
        <f>IF($A272="","",IF($D272="V01",Cadrage!$C$23,IF($D272="V02",Cadrage!$D$23,Cadrage!$E$23)))</f>
        <v/>
      </c>
      <c r="I272">
        <f>IF($A272="","",IF($D272="V01",Cadrage!$C$31,IF($D272="V02",Cadrage!$D$31,Cadrage!$E$31)))</f>
        <v/>
      </c>
      <c r="J272">
        <f>IF($A272="","",IF($D272="V01",Cadrage!$C$32,IF($D272="V02",Cadrage!$D$32,Cadrage!$E$32)))</f>
        <v/>
      </c>
      <c r="K272">
        <f>IF($A272="","",IF($D272="V01",Cadrage!$C$33,IF($D272="V02",Cadrage!$D$33,Cadrage!$E$33)))</f>
        <v/>
      </c>
      <c r="L272">
        <f>IF($A272="","",IF($D272="V01",Cadrage!$C$34,IF($D272="V02",Cadrage!$D$34,Cadrage!$E$34)))</f>
        <v/>
      </c>
      <c r="M272">
        <f>IF($A272="","",IF($D272="V01",Cadrage!$C$35,IF($D272="V02",Cadrage!$D$35,Cadrage!$E$35)))</f>
        <v/>
      </c>
      <c r="N272">
        <f>IF($A272="","",IF($D272="V01",$R$2,IF($D272="V02",$R$3,$R$4)))</f>
        <v/>
      </c>
      <c r="O272">
        <f>IF($A272="","",IF(OR($B272="7062",$B272="706",$B272="708"),$N272,IF($B272="6231",1+$G272,IF($B272="6236",1+$H272,IF(OR($B272="621",$B272="604",$B272="6063"),$N272*(1-$L272),IF(OR($B272="6411",$B272="6413",$B272="6414",$B272="645"),(1+$J272)*(1+$K272),IF(OR($B272="613",$B272="615",$B272="616",$B272="6226",$B272="625",$B272="626",$B272="6281"),(1+$I272)*(1-$L272)*(1+$M272),IF(OR($B272="6331",$B272="63511",$B272="6333"),(1+$I272)*(1-$L272),IF($B272="6811",1+$I272,1)))))))))</f>
        <v/>
      </c>
      <c r="P272">
        <f>IF($A272="","",IF($E272=1,$F272*$O272,PNL!G272))</f>
        <v/>
      </c>
      <c r="T272">
        <f>IF($A272="","",IF($E272=1,IF(OR($B272="7062",$B272="706",$B272="708"),$P272,IF(AND(LEFT($B272,1)="6",$B272&lt;&gt;"6811"),-$P272,0)),0))</f>
        <v/>
      </c>
    </row>
    <row r="273">
      <c r="A273">
        <f>IF(PNL!A273="","",PNL!A273)</f>
        <v/>
      </c>
      <c r="B273">
        <f>IF(PNL!B273="","",PNL!B273)</f>
        <v/>
      </c>
      <c r="C273">
        <f>IF(PNL!C273="","",PNL!C273)</f>
        <v/>
      </c>
      <c r="D273">
        <f>IF(PNL!D273="","",PNL!D273)</f>
        <v/>
      </c>
      <c r="E273">
        <f>IF($A273="","",IF(AND($C273="2027",OR($D273="V01",$D273="V02",$D273="V03")),1,0))</f>
        <v/>
      </c>
      <c r="F273">
        <f>IF($A273="","",IF($E273=1,SUMIFS(Comptabilité!$F$1:$F$675,Comptabilité!$A$1:$A$675,$A273,Comptabilité!$B$1:$B$675,$B273,Comptabilité!$C$1:$C$675,"2026"),0))</f>
        <v/>
      </c>
      <c r="G273">
        <f>IF($A273="","",IF($D273="V01",Cadrage!$C$22,IF($D273="V02",Cadrage!$D$22,Cadrage!$E$22)))</f>
        <v/>
      </c>
      <c r="H273">
        <f>IF($A273="","",IF($D273="V01",Cadrage!$C$23,IF($D273="V02",Cadrage!$D$23,Cadrage!$E$23)))</f>
        <v/>
      </c>
      <c r="I273">
        <f>IF($A273="","",IF($D273="V01",Cadrage!$C$31,IF($D273="V02",Cadrage!$D$31,Cadrage!$E$31)))</f>
        <v/>
      </c>
      <c r="J273">
        <f>IF($A273="","",IF($D273="V01",Cadrage!$C$32,IF($D273="V02",Cadrage!$D$32,Cadrage!$E$32)))</f>
        <v/>
      </c>
      <c r="K273">
        <f>IF($A273="","",IF($D273="V01",Cadrage!$C$33,IF($D273="V02",Cadrage!$D$33,Cadrage!$E$33)))</f>
        <v/>
      </c>
      <c r="L273">
        <f>IF($A273="","",IF($D273="V01",Cadrage!$C$34,IF($D273="V02",Cadrage!$D$34,Cadrage!$E$34)))</f>
        <v/>
      </c>
      <c r="M273">
        <f>IF($A273="","",IF($D273="V01",Cadrage!$C$35,IF($D273="V02",Cadrage!$D$35,Cadrage!$E$35)))</f>
        <v/>
      </c>
      <c r="N273">
        <f>IF($A273="","",IF($D273="V01",$R$2,IF($D273="V02",$R$3,$R$4)))</f>
        <v/>
      </c>
      <c r="O273">
        <f>IF($A273="","",IF(OR($B273="7062",$B273="706",$B273="708"),$N273,IF($B273="6231",1+$G273,IF($B273="6236",1+$H273,IF(OR($B273="621",$B273="604",$B273="6063"),$N273*(1-$L273),IF(OR($B273="6411",$B273="6413",$B273="6414",$B273="645"),(1+$J273)*(1+$K273),IF(OR($B273="613",$B273="615",$B273="616",$B273="6226",$B273="625",$B273="626",$B273="6281"),(1+$I273)*(1-$L273)*(1+$M273),IF(OR($B273="6331",$B273="63511",$B273="6333"),(1+$I273)*(1-$L273),IF($B273="6811",1+$I273,1)))))))))</f>
        <v/>
      </c>
      <c r="P273">
        <f>IF($A273="","",IF($E273=1,$F273*$O273,PNL!G273))</f>
        <v/>
      </c>
      <c r="T273">
        <f>IF($A273="","",IF($E273=1,IF(OR($B273="7062",$B273="706",$B273="708"),$P273,IF(AND(LEFT($B273,1)="6",$B273&lt;&gt;"6811"),-$P273,0)),0))</f>
        <v/>
      </c>
    </row>
    <row r="274">
      <c r="A274">
        <f>IF(PNL!A274="","",PNL!A274)</f>
        <v/>
      </c>
      <c r="B274">
        <f>IF(PNL!B274="","",PNL!B274)</f>
        <v/>
      </c>
      <c r="C274">
        <f>IF(PNL!C274="","",PNL!C274)</f>
        <v/>
      </c>
      <c r="D274">
        <f>IF(PNL!D274="","",PNL!D274)</f>
        <v/>
      </c>
      <c r="E274">
        <f>IF($A274="","",IF(AND($C274="2027",OR($D274="V01",$D274="V02",$D274="V03")),1,0))</f>
        <v/>
      </c>
      <c r="F274">
        <f>IF($A274="","",IF($E274=1,SUMIFS(Comptabilité!$F$1:$F$675,Comptabilité!$A$1:$A$675,$A274,Comptabilité!$B$1:$B$675,$B274,Comptabilité!$C$1:$C$675,"2026"),0))</f>
        <v/>
      </c>
      <c r="G274">
        <f>IF($A274="","",IF($D274="V01",Cadrage!$C$22,IF($D274="V02",Cadrage!$D$22,Cadrage!$E$22)))</f>
        <v/>
      </c>
      <c r="H274">
        <f>IF($A274="","",IF($D274="V01",Cadrage!$C$23,IF($D274="V02",Cadrage!$D$23,Cadrage!$E$23)))</f>
        <v/>
      </c>
      <c r="I274">
        <f>IF($A274="","",IF($D274="V01",Cadrage!$C$31,IF($D274="V02",Cadrage!$D$31,Cadrage!$E$31)))</f>
        <v/>
      </c>
      <c r="J274">
        <f>IF($A274="","",IF($D274="V01",Cadrage!$C$32,IF($D274="V02",Cadrage!$D$32,Cadrage!$E$32)))</f>
        <v/>
      </c>
      <c r="K274">
        <f>IF($A274="","",IF($D274="V01",Cadrage!$C$33,IF($D274="V02",Cadrage!$D$33,Cadrage!$E$33)))</f>
        <v/>
      </c>
      <c r="L274">
        <f>IF($A274="","",IF($D274="V01",Cadrage!$C$34,IF($D274="V02",Cadrage!$D$34,Cadrage!$E$34)))</f>
        <v/>
      </c>
      <c r="M274">
        <f>IF($A274="","",IF($D274="V01",Cadrage!$C$35,IF($D274="V02",Cadrage!$D$35,Cadrage!$E$35)))</f>
        <v/>
      </c>
      <c r="N274">
        <f>IF($A274="","",IF($D274="V01",$R$2,IF($D274="V02",$R$3,$R$4)))</f>
        <v/>
      </c>
      <c r="O274">
        <f>IF($A274="","",IF(OR($B274="7062",$B274="706",$B274="708"),$N274,IF($B274="6231",1+$G274,IF($B274="6236",1+$H274,IF(OR($B274="621",$B274="604",$B274="6063"),$N274*(1-$L274),IF(OR($B274="6411",$B274="6413",$B274="6414",$B274="645"),(1+$J274)*(1+$K274),IF(OR($B274="613",$B274="615",$B274="616",$B274="6226",$B274="625",$B274="626",$B274="6281"),(1+$I274)*(1-$L274)*(1+$M274),IF(OR($B274="6331",$B274="63511",$B274="6333"),(1+$I274)*(1-$L274),IF($B274="6811",1+$I274,1)))))))))</f>
        <v/>
      </c>
      <c r="P274">
        <f>IF($A274="","",IF($E274=1,$F274*$O274,PNL!G274))</f>
        <v/>
      </c>
      <c r="T274">
        <f>IF($A274="","",IF($E274=1,IF(OR($B274="7062",$B274="706",$B274="708"),$P274,IF(AND(LEFT($B274,1)="6",$B274&lt;&gt;"6811"),-$P274,0)),0))</f>
        <v/>
      </c>
    </row>
    <row r="275">
      <c r="A275">
        <f>IF(PNL!A275="","",PNL!A275)</f>
        <v/>
      </c>
      <c r="B275">
        <f>IF(PNL!B275="","",PNL!B275)</f>
        <v/>
      </c>
      <c r="C275">
        <f>IF(PNL!C275="","",PNL!C275)</f>
        <v/>
      </c>
      <c r="D275">
        <f>IF(PNL!D275="","",PNL!D275)</f>
        <v/>
      </c>
      <c r="E275">
        <f>IF($A275="","",IF(AND($C275="2027",OR($D275="V01",$D275="V02",$D275="V03")),1,0))</f>
        <v/>
      </c>
      <c r="F275">
        <f>IF($A275="","",IF($E275=1,SUMIFS(Comptabilité!$F$1:$F$675,Comptabilité!$A$1:$A$675,$A275,Comptabilité!$B$1:$B$675,$B275,Comptabilité!$C$1:$C$675,"2026"),0))</f>
        <v/>
      </c>
      <c r="G275">
        <f>IF($A275="","",IF($D275="V01",Cadrage!$C$22,IF($D275="V02",Cadrage!$D$22,Cadrage!$E$22)))</f>
        <v/>
      </c>
      <c r="H275">
        <f>IF($A275="","",IF($D275="V01",Cadrage!$C$23,IF($D275="V02",Cadrage!$D$23,Cadrage!$E$23)))</f>
        <v/>
      </c>
      <c r="I275">
        <f>IF($A275="","",IF($D275="V01",Cadrage!$C$31,IF($D275="V02",Cadrage!$D$31,Cadrage!$E$31)))</f>
        <v/>
      </c>
      <c r="J275">
        <f>IF($A275="","",IF($D275="V01",Cadrage!$C$32,IF($D275="V02",Cadrage!$D$32,Cadrage!$E$32)))</f>
        <v/>
      </c>
      <c r="K275">
        <f>IF($A275="","",IF($D275="V01",Cadrage!$C$33,IF($D275="V02",Cadrage!$D$33,Cadrage!$E$33)))</f>
        <v/>
      </c>
      <c r="L275">
        <f>IF($A275="","",IF($D275="V01",Cadrage!$C$34,IF($D275="V02",Cadrage!$D$34,Cadrage!$E$34)))</f>
        <v/>
      </c>
      <c r="M275">
        <f>IF($A275="","",IF($D275="V01",Cadrage!$C$35,IF($D275="V02",Cadrage!$D$35,Cadrage!$E$35)))</f>
        <v/>
      </c>
      <c r="N275">
        <f>IF($A275="","",IF($D275="V01",$R$2,IF($D275="V02",$R$3,$R$4)))</f>
        <v/>
      </c>
      <c r="O275">
        <f>IF($A275="","",IF(OR($B275="7062",$B275="706",$B275="708"),$N275,IF($B275="6231",1+$G275,IF($B275="6236",1+$H275,IF(OR($B275="621",$B275="604",$B275="6063"),$N275*(1-$L275),IF(OR($B275="6411",$B275="6413",$B275="6414",$B275="645"),(1+$J275)*(1+$K275),IF(OR($B275="613",$B275="615",$B275="616",$B275="6226",$B275="625",$B275="626",$B275="6281"),(1+$I275)*(1-$L275)*(1+$M275),IF(OR($B275="6331",$B275="63511",$B275="6333"),(1+$I275)*(1-$L275),IF($B275="6811",1+$I275,1)))))))))</f>
        <v/>
      </c>
      <c r="P275">
        <f>IF($A275="","",IF($E275=1,$F275*$O275,PNL!G275))</f>
        <v/>
      </c>
      <c r="T275">
        <f>IF($A275="","",IF($E275=1,IF(OR($B275="7062",$B275="706",$B275="708"),$P275,IF(AND(LEFT($B275,1)="6",$B275&lt;&gt;"6811"),-$P275,0)),0))</f>
        <v/>
      </c>
    </row>
    <row r="276">
      <c r="A276">
        <f>IF(PNL!A276="","",PNL!A276)</f>
        <v/>
      </c>
      <c r="B276">
        <f>IF(PNL!B276="","",PNL!B276)</f>
        <v/>
      </c>
      <c r="C276">
        <f>IF(PNL!C276="","",PNL!C276)</f>
        <v/>
      </c>
      <c r="D276">
        <f>IF(PNL!D276="","",PNL!D276)</f>
        <v/>
      </c>
      <c r="E276">
        <f>IF($A276="","",IF(AND($C276="2027",OR($D276="V01",$D276="V02",$D276="V03")),1,0))</f>
        <v/>
      </c>
      <c r="F276">
        <f>IF($A276="","",IF($E276=1,SUMIFS(Comptabilité!$F$1:$F$675,Comptabilité!$A$1:$A$675,$A276,Comptabilité!$B$1:$B$675,$B276,Comptabilité!$C$1:$C$675,"2026"),0))</f>
        <v/>
      </c>
      <c r="G276">
        <f>IF($A276="","",IF($D276="V01",Cadrage!$C$22,IF($D276="V02",Cadrage!$D$22,Cadrage!$E$22)))</f>
        <v/>
      </c>
      <c r="H276">
        <f>IF($A276="","",IF($D276="V01",Cadrage!$C$23,IF($D276="V02",Cadrage!$D$23,Cadrage!$E$23)))</f>
        <v/>
      </c>
      <c r="I276">
        <f>IF($A276="","",IF($D276="V01",Cadrage!$C$31,IF($D276="V02",Cadrage!$D$31,Cadrage!$E$31)))</f>
        <v/>
      </c>
      <c r="J276">
        <f>IF($A276="","",IF($D276="V01",Cadrage!$C$32,IF($D276="V02",Cadrage!$D$32,Cadrage!$E$32)))</f>
        <v/>
      </c>
      <c r="K276">
        <f>IF($A276="","",IF($D276="V01",Cadrage!$C$33,IF($D276="V02",Cadrage!$D$33,Cadrage!$E$33)))</f>
        <v/>
      </c>
      <c r="L276">
        <f>IF($A276="","",IF($D276="V01",Cadrage!$C$34,IF($D276="V02",Cadrage!$D$34,Cadrage!$E$34)))</f>
        <v/>
      </c>
      <c r="M276">
        <f>IF($A276="","",IF($D276="V01",Cadrage!$C$35,IF($D276="V02",Cadrage!$D$35,Cadrage!$E$35)))</f>
        <v/>
      </c>
      <c r="N276">
        <f>IF($A276="","",IF($D276="V01",$R$2,IF($D276="V02",$R$3,$R$4)))</f>
        <v/>
      </c>
      <c r="O276">
        <f>IF($A276="","",IF(OR($B276="7062",$B276="706",$B276="708"),$N276,IF($B276="6231",1+$G276,IF($B276="6236",1+$H276,IF(OR($B276="621",$B276="604",$B276="6063"),$N276*(1-$L276),IF(OR($B276="6411",$B276="6413",$B276="6414",$B276="645"),(1+$J276)*(1+$K276),IF(OR($B276="613",$B276="615",$B276="616",$B276="6226",$B276="625",$B276="626",$B276="6281"),(1+$I276)*(1-$L276)*(1+$M276),IF(OR($B276="6331",$B276="63511",$B276="6333"),(1+$I276)*(1-$L276),IF($B276="6811",1+$I276,1)))))))))</f>
        <v/>
      </c>
      <c r="P276">
        <f>IF($A276="","",IF($E276=1,$F276*$O276,PNL!G276))</f>
        <v/>
      </c>
      <c r="T276">
        <f>IF($A276="","",IF($E276=1,IF(OR($B276="7062",$B276="706",$B276="708"),$P276,IF(AND(LEFT($B276,1)="6",$B276&lt;&gt;"6811"),-$P276,0)),0))</f>
        <v/>
      </c>
    </row>
    <row r="277">
      <c r="A277">
        <f>IF(PNL!A277="","",PNL!A277)</f>
        <v/>
      </c>
      <c r="B277">
        <f>IF(PNL!B277="","",PNL!B277)</f>
        <v/>
      </c>
      <c r="C277">
        <f>IF(PNL!C277="","",PNL!C277)</f>
        <v/>
      </c>
      <c r="D277">
        <f>IF(PNL!D277="","",PNL!D277)</f>
        <v/>
      </c>
      <c r="E277">
        <f>IF($A277="","",IF(AND($C277="2027",OR($D277="V01",$D277="V02",$D277="V03")),1,0))</f>
        <v/>
      </c>
      <c r="F277">
        <f>IF($A277="","",IF($E277=1,SUMIFS(Comptabilité!$F$1:$F$675,Comptabilité!$A$1:$A$675,$A277,Comptabilité!$B$1:$B$675,$B277,Comptabilité!$C$1:$C$675,"2026"),0))</f>
        <v/>
      </c>
      <c r="G277">
        <f>IF($A277="","",IF($D277="V01",Cadrage!$C$22,IF($D277="V02",Cadrage!$D$22,Cadrage!$E$22)))</f>
        <v/>
      </c>
      <c r="H277">
        <f>IF($A277="","",IF($D277="V01",Cadrage!$C$23,IF($D277="V02",Cadrage!$D$23,Cadrage!$E$23)))</f>
        <v/>
      </c>
      <c r="I277">
        <f>IF($A277="","",IF($D277="V01",Cadrage!$C$31,IF($D277="V02",Cadrage!$D$31,Cadrage!$E$31)))</f>
        <v/>
      </c>
      <c r="J277">
        <f>IF($A277="","",IF($D277="V01",Cadrage!$C$32,IF($D277="V02",Cadrage!$D$32,Cadrage!$E$32)))</f>
        <v/>
      </c>
      <c r="K277">
        <f>IF($A277="","",IF($D277="V01",Cadrage!$C$33,IF($D277="V02",Cadrage!$D$33,Cadrage!$E$33)))</f>
        <v/>
      </c>
      <c r="L277">
        <f>IF($A277="","",IF($D277="V01",Cadrage!$C$34,IF($D277="V02",Cadrage!$D$34,Cadrage!$E$34)))</f>
        <v/>
      </c>
      <c r="M277">
        <f>IF($A277="","",IF($D277="V01",Cadrage!$C$35,IF($D277="V02",Cadrage!$D$35,Cadrage!$E$35)))</f>
        <v/>
      </c>
      <c r="N277">
        <f>IF($A277="","",IF($D277="V01",$R$2,IF($D277="V02",$R$3,$R$4)))</f>
        <v/>
      </c>
      <c r="O277">
        <f>IF($A277="","",IF(OR($B277="7062",$B277="706",$B277="708"),$N277,IF($B277="6231",1+$G277,IF($B277="6236",1+$H277,IF(OR($B277="621",$B277="604",$B277="6063"),$N277*(1-$L277),IF(OR($B277="6411",$B277="6413",$B277="6414",$B277="645"),(1+$J277)*(1+$K277),IF(OR($B277="613",$B277="615",$B277="616",$B277="6226",$B277="625",$B277="626",$B277="6281"),(1+$I277)*(1-$L277)*(1+$M277),IF(OR($B277="6331",$B277="63511",$B277="6333"),(1+$I277)*(1-$L277),IF($B277="6811",1+$I277,1)))))))))</f>
        <v/>
      </c>
      <c r="P277">
        <f>IF($A277="","",IF($E277=1,$F277*$O277,PNL!G277))</f>
        <v/>
      </c>
      <c r="T277">
        <f>IF($A277="","",IF($E277=1,IF(OR($B277="7062",$B277="706",$B277="708"),$P277,IF(AND(LEFT($B277,1)="6",$B277&lt;&gt;"6811"),-$P277,0)),0))</f>
        <v/>
      </c>
    </row>
    <row r="278">
      <c r="A278">
        <f>IF(PNL!A278="","",PNL!A278)</f>
        <v/>
      </c>
      <c r="B278">
        <f>IF(PNL!B278="","",PNL!B278)</f>
        <v/>
      </c>
      <c r="C278">
        <f>IF(PNL!C278="","",PNL!C278)</f>
        <v/>
      </c>
      <c r="D278">
        <f>IF(PNL!D278="","",PNL!D278)</f>
        <v/>
      </c>
      <c r="E278">
        <f>IF($A278="","",IF(AND($C278="2027",OR($D278="V01",$D278="V02",$D278="V03")),1,0))</f>
        <v/>
      </c>
      <c r="F278">
        <f>IF($A278="","",IF($E278=1,SUMIFS(Comptabilité!$F$1:$F$675,Comptabilité!$A$1:$A$675,$A278,Comptabilité!$B$1:$B$675,$B278,Comptabilité!$C$1:$C$675,"2026"),0))</f>
        <v/>
      </c>
      <c r="G278">
        <f>IF($A278="","",IF($D278="V01",Cadrage!$C$22,IF($D278="V02",Cadrage!$D$22,Cadrage!$E$22)))</f>
        <v/>
      </c>
      <c r="H278">
        <f>IF($A278="","",IF($D278="V01",Cadrage!$C$23,IF($D278="V02",Cadrage!$D$23,Cadrage!$E$23)))</f>
        <v/>
      </c>
      <c r="I278">
        <f>IF($A278="","",IF($D278="V01",Cadrage!$C$31,IF($D278="V02",Cadrage!$D$31,Cadrage!$E$31)))</f>
        <v/>
      </c>
      <c r="J278">
        <f>IF($A278="","",IF($D278="V01",Cadrage!$C$32,IF($D278="V02",Cadrage!$D$32,Cadrage!$E$32)))</f>
        <v/>
      </c>
      <c r="K278">
        <f>IF($A278="","",IF($D278="V01",Cadrage!$C$33,IF($D278="V02",Cadrage!$D$33,Cadrage!$E$33)))</f>
        <v/>
      </c>
      <c r="L278">
        <f>IF($A278="","",IF($D278="V01",Cadrage!$C$34,IF($D278="V02",Cadrage!$D$34,Cadrage!$E$34)))</f>
        <v/>
      </c>
      <c r="M278">
        <f>IF($A278="","",IF($D278="V01",Cadrage!$C$35,IF($D278="V02",Cadrage!$D$35,Cadrage!$E$35)))</f>
        <v/>
      </c>
      <c r="N278">
        <f>IF($A278="","",IF($D278="V01",$R$2,IF($D278="V02",$R$3,$R$4)))</f>
        <v/>
      </c>
      <c r="O278">
        <f>IF($A278="","",IF(OR($B278="7062",$B278="706",$B278="708"),$N278,IF($B278="6231",1+$G278,IF($B278="6236",1+$H278,IF(OR($B278="621",$B278="604",$B278="6063"),$N278*(1-$L278),IF(OR($B278="6411",$B278="6413",$B278="6414",$B278="645"),(1+$J278)*(1+$K278),IF(OR($B278="613",$B278="615",$B278="616",$B278="6226",$B278="625",$B278="626",$B278="6281"),(1+$I278)*(1-$L278)*(1+$M278),IF(OR($B278="6331",$B278="63511",$B278="6333"),(1+$I278)*(1-$L278),IF($B278="6811",1+$I278,1)))))))))</f>
        <v/>
      </c>
      <c r="P278">
        <f>IF($A278="","",IF($E278=1,$F278*$O278,PNL!G278))</f>
        <v/>
      </c>
      <c r="T278">
        <f>IF($A278="","",IF($E278=1,IF(OR($B278="7062",$B278="706",$B278="708"),$P278,IF(AND(LEFT($B278,1)="6",$B278&lt;&gt;"6811"),-$P278,0)),0))</f>
        <v/>
      </c>
    </row>
    <row r="279">
      <c r="A279">
        <f>IF(PNL!A279="","",PNL!A279)</f>
        <v/>
      </c>
      <c r="B279">
        <f>IF(PNL!B279="","",PNL!B279)</f>
        <v/>
      </c>
      <c r="C279">
        <f>IF(PNL!C279="","",PNL!C279)</f>
        <v/>
      </c>
      <c r="D279">
        <f>IF(PNL!D279="","",PNL!D279)</f>
        <v/>
      </c>
      <c r="E279">
        <f>IF($A279="","",IF(AND($C279="2027",OR($D279="V01",$D279="V02",$D279="V03")),1,0))</f>
        <v/>
      </c>
      <c r="F279">
        <f>IF($A279="","",IF($E279=1,SUMIFS(Comptabilité!$F$1:$F$675,Comptabilité!$A$1:$A$675,$A279,Comptabilité!$B$1:$B$675,$B279,Comptabilité!$C$1:$C$675,"2026"),0))</f>
        <v/>
      </c>
      <c r="G279">
        <f>IF($A279="","",IF($D279="V01",Cadrage!$C$22,IF($D279="V02",Cadrage!$D$22,Cadrage!$E$22)))</f>
        <v/>
      </c>
      <c r="H279">
        <f>IF($A279="","",IF($D279="V01",Cadrage!$C$23,IF($D279="V02",Cadrage!$D$23,Cadrage!$E$23)))</f>
        <v/>
      </c>
      <c r="I279">
        <f>IF($A279="","",IF($D279="V01",Cadrage!$C$31,IF($D279="V02",Cadrage!$D$31,Cadrage!$E$31)))</f>
        <v/>
      </c>
      <c r="J279">
        <f>IF($A279="","",IF($D279="V01",Cadrage!$C$32,IF($D279="V02",Cadrage!$D$32,Cadrage!$E$32)))</f>
        <v/>
      </c>
      <c r="K279">
        <f>IF($A279="","",IF($D279="V01",Cadrage!$C$33,IF($D279="V02",Cadrage!$D$33,Cadrage!$E$33)))</f>
        <v/>
      </c>
      <c r="L279">
        <f>IF($A279="","",IF($D279="V01",Cadrage!$C$34,IF($D279="V02",Cadrage!$D$34,Cadrage!$E$34)))</f>
        <v/>
      </c>
      <c r="M279">
        <f>IF($A279="","",IF($D279="V01",Cadrage!$C$35,IF($D279="V02",Cadrage!$D$35,Cadrage!$E$35)))</f>
        <v/>
      </c>
      <c r="N279">
        <f>IF($A279="","",IF($D279="V01",$R$2,IF($D279="V02",$R$3,$R$4)))</f>
        <v/>
      </c>
      <c r="O279">
        <f>IF($A279="","",IF(OR($B279="7062",$B279="706",$B279="708"),$N279,IF($B279="6231",1+$G279,IF($B279="6236",1+$H279,IF(OR($B279="621",$B279="604",$B279="6063"),$N279*(1-$L279),IF(OR($B279="6411",$B279="6413",$B279="6414",$B279="645"),(1+$J279)*(1+$K279),IF(OR($B279="613",$B279="615",$B279="616",$B279="6226",$B279="625",$B279="626",$B279="6281"),(1+$I279)*(1-$L279)*(1+$M279),IF(OR($B279="6331",$B279="63511",$B279="6333"),(1+$I279)*(1-$L279),IF($B279="6811",1+$I279,1)))))))))</f>
        <v/>
      </c>
      <c r="P279">
        <f>IF($A279="","",IF($E279=1,$F279*$O279,PNL!G279))</f>
        <v/>
      </c>
      <c r="T279">
        <f>IF($A279="","",IF($E279=1,IF(OR($B279="7062",$B279="706",$B279="708"),$P279,IF(AND(LEFT($B279,1)="6",$B279&lt;&gt;"6811"),-$P279,0)),0))</f>
        <v/>
      </c>
    </row>
    <row r="280">
      <c r="A280">
        <f>IF(PNL!A280="","",PNL!A280)</f>
        <v/>
      </c>
      <c r="B280">
        <f>IF(PNL!B280="","",PNL!B280)</f>
        <v/>
      </c>
      <c r="C280">
        <f>IF(PNL!C280="","",PNL!C280)</f>
        <v/>
      </c>
      <c r="D280">
        <f>IF(PNL!D280="","",PNL!D280)</f>
        <v/>
      </c>
      <c r="E280">
        <f>IF($A280="","",IF(AND($C280="2027",OR($D280="V01",$D280="V02",$D280="V03")),1,0))</f>
        <v/>
      </c>
      <c r="F280">
        <f>IF($A280="","",IF($E280=1,SUMIFS(Comptabilité!$F$1:$F$675,Comptabilité!$A$1:$A$675,$A280,Comptabilité!$B$1:$B$675,$B280,Comptabilité!$C$1:$C$675,"2026"),0))</f>
        <v/>
      </c>
      <c r="G280">
        <f>IF($A280="","",IF($D280="V01",Cadrage!$C$22,IF($D280="V02",Cadrage!$D$22,Cadrage!$E$22)))</f>
        <v/>
      </c>
      <c r="H280">
        <f>IF($A280="","",IF($D280="V01",Cadrage!$C$23,IF($D280="V02",Cadrage!$D$23,Cadrage!$E$23)))</f>
        <v/>
      </c>
      <c r="I280">
        <f>IF($A280="","",IF($D280="V01",Cadrage!$C$31,IF($D280="V02",Cadrage!$D$31,Cadrage!$E$31)))</f>
        <v/>
      </c>
      <c r="J280">
        <f>IF($A280="","",IF($D280="V01",Cadrage!$C$32,IF($D280="V02",Cadrage!$D$32,Cadrage!$E$32)))</f>
        <v/>
      </c>
      <c r="K280">
        <f>IF($A280="","",IF($D280="V01",Cadrage!$C$33,IF($D280="V02",Cadrage!$D$33,Cadrage!$E$33)))</f>
        <v/>
      </c>
      <c r="L280">
        <f>IF($A280="","",IF($D280="V01",Cadrage!$C$34,IF($D280="V02",Cadrage!$D$34,Cadrage!$E$34)))</f>
        <v/>
      </c>
      <c r="M280">
        <f>IF($A280="","",IF($D280="V01",Cadrage!$C$35,IF($D280="V02",Cadrage!$D$35,Cadrage!$E$35)))</f>
        <v/>
      </c>
      <c r="N280">
        <f>IF($A280="","",IF($D280="V01",$R$2,IF($D280="V02",$R$3,$R$4)))</f>
        <v/>
      </c>
      <c r="O280">
        <f>IF($A280="","",IF(OR($B280="7062",$B280="706",$B280="708"),$N280,IF($B280="6231",1+$G280,IF($B280="6236",1+$H280,IF(OR($B280="621",$B280="604",$B280="6063"),$N280*(1-$L280),IF(OR($B280="6411",$B280="6413",$B280="6414",$B280="645"),(1+$J280)*(1+$K280),IF(OR($B280="613",$B280="615",$B280="616",$B280="6226",$B280="625",$B280="626",$B280="6281"),(1+$I280)*(1-$L280)*(1+$M280),IF(OR($B280="6331",$B280="63511",$B280="6333"),(1+$I280)*(1-$L280),IF($B280="6811",1+$I280,1)))))))))</f>
        <v/>
      </c>
      <c r="P280">
        <f>IF($A280="","",IF($E280=1,$F280*$O280,PNL!G280))</f>
        <v/>
      </c>
      <c r="T280">
        <f>IF($A280="","",IF($E280=1,IF(OR($B280="7062",$B280="706",$B280="708"),$P280,IF(AND(LEFT($B280,1)="6",$B280&lt;&gt;"6811"),-$P280,0)),0))</f>
        <v/>
      </c>
    </row>
    <row r="281">
      <c r="A281">
        <f>IF(PNL!A281="","",PNL!A281)</f>
        <v/>
      </c>
      <c r="B281">
        <f>IF(PNL!B281="","",PNL!B281)</f>
        <v/>
      </c>
      <c r="C281">
        <f>IF(PNL!C281="","",PNL!C281)</f>
        <v/>
      </c>
      <c r="D281">
        <f>IF(PNL!D281="","",PNL!D281)</f>
        <v/>
      </c>
      <c r="E281">
        <f>IF($A281="","",IF(AND($C281="2027",OR($D281="V01",$D281="V02",$D281="V03")),1,0))</f>
        <v/>
      </c>
      <c r="F281">
        <f>IF($A281="","",IF($E281=1,SUMIFS(Comptabilité!$F$1:$F$675,Comptabilité!$A$1:$A$675,$A281,Comptabilité!$B$1:$B$675,$B281,Comptabilité!$C$1:$C$675,"2026"),0))</f>
        <v/>
      </c>
      <c r="G281">
        <f>IF($A281="","",IF($D281="V01",Cadrage!$C$22,IF($D281="V02",Cadrage!$D$22,Cadrage!$E$22)))</f>
        <v/>
      </c>
      <c r="H281">
        <f>IF($A281="","",IF($D281="V01",Cadrage!$C$23,IF($D281="V02",Cadrage!$D$23,Cadrage!$E$23)))</f>
        <v/>
      </c>
      <c r="I281">
        <f>IF($A281="","",IF($D281="V01",Cadrage!$C$31,IF($D281="V02",Cadrage!$D$31,Cadrage!$E$31)))</f>
        <v/>
      </c>
      <c r="J281">
        <f>IF($A281="","",IF($D281="V01",Cadrage!$C$32,IF($D281="V02",Cadrage!$D$32,Cadrage!$E$32)))</f>
        <v/>
      </c>
      <c r="K281">
        <f>IF($A281="","",IF($D281="V01",Cadrage!$C$33,IF($D281="V02",Cadrage!$D$33,Cadrage!$E$33)))</f>
        <v/>
      </c>
      <c r="L281">
        <f>IF($A281="","",IF($D281="V01",Cadrage!$C$34,IF($D281="V02",Cadrage!$D$34,Cadrage!$E$34)))</f>
        <v/>
      </c>
      <c r="M281">
        <f>IF($A281="","",IF($D281="V01",Cadrage!$C$35,IF($D281="V02",Cadrage!$D$35,Cadrage!$E$35)))</f>
        <v/>
      </c>
      <c r="N281">
        <f>IF($A281="","",IF($D281="V01",$R$2,IF($D281="V02",$R$3,$R$4)))</f>
        <v/>
      </c>
      <c r="O281">
        <f>IF($A281="","",IF(OR($B281="7062",$B281="706",$B281="708"),$N281,IF($B281="6231",1+$G281,IF($B281="6236",1+$H281,IF(OR($B281="621",$B281="604",$B281="6063"),$N281*(1-$L281),IF(OR($B281="6411",$B281="6413",$B281="6414",$B281="645"),(1+$J281)*(1+$K281),IF(OR($B281="613",$B281="615",$B281="616",$B281="6226",$B281="625",$B281="626",$B281="6281"),(1+$I281)*(1-$L281)*(1+$M281),IF(OR($B281="6331",$B281="63511",$B281="6333"),(1+$I281)*(1-$L281),IF($B281="6811",1+$I281,1)))))))))</f>
        <v/>
      </c>
      <c r="P281">
        <f>IF($A281="","",IF($E281=1,$F281*$O281,PNL!G281))</f>
        <v/>
      </c>
      <c r="T281">
        <f>IF($A281="","",IF($E281=1,IF(OR($B281="7062",$B281="706",$B281="708"),$P281,IF(AND(LEFT($B281,1)="6",$B281&lt;&gt;"6811"),-$P281,0)),0))</f>
        <v/>
      </c>
    </row>
    <row r="282">
      <c r="A282">
        <f>IF(PNL!A282="","",PNL!A282)</f>
        <v/>
      </c>
      <c r="B282">
        <f>IF(PNL!B282="","",PNL!B282)</f>
        <v/>
      </c>
      <c r="C282">
        <f>IF(PNL!C282="","",PNL!C282)</f>
        <v/>
      </c>
      <c r="D282">
        <f>IF(PNL!D282="","",PNL!D282)</f>
        <v/>
      </c>
      <c r="E282">
        <f>IF($A282="","",IF(AND($C282="2027",OR($D282="V01",$D282="V02",$D282="V03")),1,0))</f>
        <v/>
      </c>
      <c r="F282">
        <f>IF($A282="","",IF($E282=1,SUMIFS(Comptabilité!$F$1:$F$675,Comptabilité!$A$1:$A$675,$A282,Comptabilité!$B$1:$B$675,$B282,Comptabilité!$C$1:$C$675,"2026"),0))</f>
        <v/>
      </c>
      <c r="G282">
        <f>IF($A282="","",IF($D282="V01",Cadrage!$C$22,IF($D282="V02",Cadrage!$D$22,Cadrage!$E$22)))</f>
        <v/>
      </c>
      <c r="H282">
        <f>IF($A282="","",IF($D282="V01",Cadrage!$C$23,IF($D282="V02",Cadrage!$D$23,Cadrage!$E$23)))</f>
        <v/>
      </c>
      <c r="I282">
        <f>IF($A282="","",IF($D282="V01",Cadrage!$C$31,IF($D282="V02",Cadrage!$D$31,Cadrage!$E$31)))</f>
        <v/>
      </c>
      <c r="J282">
        <f>IF($A282="","",IF($D282="V01",Cadrage!$C$32,IF($D282="V02",Cadrage!$D$32,Cadrage!$E$32)))</f>
        <v/>
      </c>
      <c r="K282">
        <f>IF($A282="","",IF($D282="V01",Cadrage!$C$33,IF($D282="V02",Cadrage!$D$33,Cadrage!$E$33)))</f>
        <v/>
      </c>
      <c r="L282">
        <f>IF($A282="","",IF($D282="V01",Cadrage!$C$34,IF($D282="V02",Cadrage!$D$34,Cadrage!$E$34)))</f>
        <v/>
      </c>
      <c r="M282">
        <f>IF($A282="","",IF($D282="V01",Cadrage!$C$35,IF($D282="V02",Cadrage!$D$35,Cadrage!$E$35)))</f>
        <v/>
      </c>
      <c r="N282">
        <f>IF($A282="","",IF($D282="V01",$R$2,IF($D282="V02",$R$3,$R$4)))</f>
        <v/>
      </c>
      <c r="O282">
        <f>IF($A282="","",IF(OR($B282="7062",$B282="706",$B282="708"),$N282,IF($B282="6231",1+$G282,IF($B282="6236",1+$H282,IF(OR($B282="621",$B282="604",$B282="6063"),$N282*(1-$L282),IF(OR($B282="6411",$B282="6413",$B282="6414",$B282="645"),(1+$J282)*(1+$K282),IF(OR($B282="613",$B282="615",$B282="616",$B282="6226",$B282="625",$B282="626",$B282="6281"),(1+$I282)*(1-$L282)*(1+$M282),IF(OR($B282="6331",$B282="63511",$B282="6333"),(1+$I282)*(1-$L282),IF($B282="6811",1+$I282,1)))))))))</f>
        <v/>
      </c>
      <c r="P282">
        <f>IF($A282="","",IF($E282=1,$F282*$O282,PNL!G282))</f>
        <v/>
      </c>
      <c r="T282">
        <f>IF($A282="","",IF($E282=1,IF(OR($B282="7062",$B282="706",$B282="708"),$P282,IF(AND(LEFT($B282,1)="6",$B282&lt;&gt;"6811"),-$P282,0)),0))</f>
        <v/>
      </c>
    </row>
    <row r="283">
      <c r="A283">
        <f>IF(PNL!A283="","",PNL!A283)</f>
        <v/>
      </c>
      <c r="B283">
        <f>IF(PNL!B283="","",PNL!B283)</f>
        <v/>
      </c>
      <c r="C283">
        <f>IF(PNL!C283="","",PNL!C283)</f>
        <v/>
      </c>
      <c r="D283">
        <f>IF(PNL!D283="","",PNL!D283)</f>
        <v/>
      </c>
      <c r="E283">
        <f>IF($A283="","",IF(AND($C283="2027",OR($D283="V01",$D283="V02",$D283="V03")),1,0))</f>
        <v/>
      </c>
      <c r="F283">
        <f>IF($A283="","",IF($E283=1,SUMIFS(Comptabilité!$F$1:$F$675,Comptabilité!$A$1:$A$675,$A283,Comptabilité!$B$1:$B$675,$B283,Comptabilité!$C$1:$C$675,"2026"),0))</f>
        <v/>
      </c>
      <c r="G283">
        <f>IF($A283="","",IF($D283="V01",Cadrage!$C$22,IF($D283="V02",Cadrage!$D$22,Cadrage!$E$22)))</f>
        <v/>
      </c>
      <c r="H283">
        <f>IF($A283="","",IF($D283="V01",Cadrage!$C$23,IF($D283="V02",Cadrage!$D$23,Cadrage!$E$23)))</f>
        <v/>
      </c>
      <c r="I283">
        <f>IF($A283="","",IF($D283="V01",Cadrage!$C$31,IF($D283="V02",Cadrage!$D$31,Cadrage!$E$31)))</f>
        <v/>
      </c>
      <c r="J283">
        <f>IF($A283="","",IF($D283="V01",Cadrage!$C$32,IF($D283="V02",Cadrage!$D$32,Cadrage!$E$32)))</f>
        <v/>
      </c>
      <c r="K283">
        <f>IF($A283="","",IF($D283="V01",Cadrage!$C$33,IF($D283="V02",Cadrage!$D$33,Cadrage!$E$33)))</f>
        <v/>
      </c>
      <c r="L283">
        <f>IF($A283="","",IF($D283="V01",Cadrage!$C$34,IF($D283="V02",Cadrage!$D$34,Cadrage!$E$34)))</f>
        <v/>
      </c>
      <c r="M283">
        <f>IF($A283="","",IF($D283="V01",Cadrage!$C$35,IF($D283="V02",Cadrage!$D$35,Cadrage!$E$35)))</f>
        <v/>
      </c>
      <c r="N283">
        <f>IF($A283="","",IF($D283="V01",$R$2,IF($D283="V02",$R$3,$R$4)))</f>
        <v/>
      </c>
      <c r="O283">
        <f>IF($A283="","",IF(OR($B283="7062",$B283="706",$B283="708"),$N283,IF($B283="6231",1+$G283,IF($B283="6236",1+$H283,IF(OR($B283="621",$B283="604",$B283="6063"),$N283*(1-$L283),IF(OR($B283="6411",$B283="6413",$B283="6414",$B283="645"),(1+$J283)*(1+$K283),IF(OR($B283="613",$B283="615",$B283="616",$B283="6226",$B283="625",$B283="626",$B283="6281"),(1+$I283)*(1-$L283)*(1+$M283),IF(OR($B283="6331",$B283="63511",$B283="6333"),(1+$I283)*(1-$L283),IF($B283="6811",1+$I283,1)))))))))</f>
        <v/>
      </c>
      <c r="P283">
        <f>IF($A283="","",IF($E283=1,$F283*$O283,PNL!G283))</f>
        <v/>
      </c>
      <c r="T283">
        <f>IF($A283="","",IF($E283=1,IF(OR($B283="7062",$B283="706",$B283="708"),$P283,IF(AND(LEFT($B283,1)="6",$B283&lt;&gt;"6811"),-$P283,0)),0))</f>
        <v/>
      </c>
    </row>
    <row r="284">
      <c r="A284">
        <f>IF(PNL!A284="","",PNL!A284)</f>
        <v/>
      </c>
      <c r="B284">
        <f>IF(PNL!B284="","",PNL!B284)</f>
        <v/>
      </c>
      <c r="C284">
        <f>IF(PNL!C284="","",PNL!C284)</f>
        <v/>
      </c>
      <c r="D284">
        <f>IF(PNL!D284="","",PNL!D284)</f>
        <v/>
      </c>
      <c r="E284">
        <f>IF($A284="","",IF(AND($C284="2027",OR($D284="V01",$D284="V02",$D284="V03")),1,0))</f>
        <v/>
      </c>
      <c r="F284">
        <f>IF($A284="","",IF($E284=1,SUMIFS(Comptabilité!$F$1:$F$675,Comptabilité!$A$1:$A$675,$A284,Comptabilité!$B$1:$B$675,$B284,Comptabilité!$C$1:$C$675,"2026"),0))</f>
        <v/>
      </c>
      <c r="G284">
        <f>IF($A284="","",IF($D284="V01",Cadrage!$C$22,IF($D284="V02",Cadrage!$D$22,Cadrage!$E$22)))</f>
        <v/>
      </c>
      <c r="H284">
        <f>IF($A284="","",IF($D284="V01",Cadrage!$C$23,IF($D284="V02",Cadrage!$D$23,Cadrage!$E$23)))</f>
        <v/>
      </c>
      <c r="I284">
        <f>IF($A284="","",IF($D284="V01",Cadrage!$C$31,IF($D284="V02",Cadrage!$D$31,Cadrage!$E$31)))</f>
        <v/>
      </c>
      <c r="J284">
        <f>IF($A284="","",IF($D284="V01",Cadrage!$C$32,IF($D284="V02",Cadrage!$D$32,Cadrage!$E$32)))</f>
        <v/>
      </c>
      <c r="K284">
        <f>IF($A284="","",IF($D284="V01",Cadrage!$C$33,IF($D284="V02",Cadrage!$D$33,Cadrage!$E$33)))</f>
        <v/>
      </c>
      <c r="L284">
        <f>IF($A284="","",IF($D284="V01",Cadrage!$C$34,IF($D284="V02",Cadrage!$D$34,Cadrage!$E$34)))</f>
        <v/>
      </c>
      <c r="M284">
        <f>IF($A284="","",IF($D284="V01",Cadrage!$C$35,IF($D284="V02",Cadrage!$D$35,Cadrage!$E$35)))</f>
        <v/>
      </c>
      <c r="N284">
        <f>IF($A284="","",IF($D284="V01",$R$2,IF($D284="V02",$R$3,$R$4)))</f>
        <v/>
      </c>
      <c r="O284">
        <f>IF($A284="","",IF(OR($B284="7062",$B284="706",$B284="708"),$N284,IF($B284="6231",1+$G284,IF($B284="6236",1+$H284,IF(OR($B284="621",$B284="604",$B284="6063"),$N284*(1-$L284),IF(OR($B284="6411",$B284="6413",$B284="6414",$B284="645"),(1+$J284)*(1+$K284),IF(OR($B284="613",$B284="615",$B284="616",$B284="6226",$B284="625",$B284="626",$B284="6281"),(1+$I284)*(1-$L284)*(1+$M284),IF(OR($B284="6331",$B284="63511",$B284="6333"),(1+$I284)*(1-$L284),IF($B284="6811",1+$I284,1)))))))))</f>
        <v/>
      </c>
      <c r="P284">
        <f>IF($A284="","",IF($E284=1,$F284*$O284,PNL!G284))</f>
        <v/>
      </c>
      <c r="T284">
        <f>IF($A284="","",IF($E284=1,IF(OR($B284="7062",$B284="706",$B284="708"),$P284,IF(AND(LEFT($B284,1)="6",$B284&lt;&gt;"6811"),-$P284,0)),0))</f>
        <v/>
      </c>
    </row>
    <row r="285">
      <c r="A285">
        <f>IF(PNL!A285="","",PNL!A285)</f>
        <v/>
      </c>
      <c r="B285">
        <f>IF(PNL!B285="","",PNL!B285)</f>
        <v/>
      </c>
      <c r="C285">
        <f>IF(PNL!C285="","",PNL!C285)</f>
        <v/>
      </c>
      <c r="D285">
        <f>IF(PNL!D285="","",PNL!D285)</f>
        <v/>
      </c>
      <c r="E285">
        <f>IF($A285="","",IF(AND($C285="2027",OR($D285="V01",$D285="V02",$D285="V03")),1,0))</f>
        <v/>
      </c>
      <c r="F285">
        <f>IF($A285="","",IF($E285=1,SUMIFS(Comptabilité!$F$1:$F$675,Comptabilité!$A$1:$A$675,$A285,Comptabilité!$B$1:$B$675,$B285,Comptabilité!$C$1:$C$675,"2026"),0))</f>
        <v/>
      </c>
      <c r="G285">
        <f>IF($A285="","",IF($D285="V01",Cadrage!$C$22,IF($D285="V02",Cadrage!$D$22,Cadrage!$E$22)))</f>
        <v/>
      </c>
      <c r="H285">
        <f>IF($A285="","",IF($D285="V01",Cadrage!$C$23,IF($D285="V02",Cadrage!$D$23,Cadrage!$E$23)))</f>
        <v/>
      </c>
      <c r="I285">
        <f>IF($A285="","",IF($D285="V01",Cadrage!$C$31,IF($D285="V02",Cadrage!$D$31,Cadrage!$E$31)))</f>
        <v/>
      </c>
      <c r="J285">
        <f>IF($A285="","",IF($D285="V01",Cadrage!$C$32,IF($D285="V02",Cadrage!$D$32,Cadrage!$E$32)))</f>
        <v/>
      </c>
      <c r="K285">
        <f>IF($A285="","",IF($D285="V01",Cadrage!$C$33,IF($D285="V02",Cadrage!$D$33,Cadrage!$E$33)))</f>
        <v/>
      </c>
      <c r="L285">
        <f>IF($A285="","",IF($D285="V01",Cadrage!$C$34,IF($D285="V02",Cadrage!$D$34,Cadrage!$E$34)))</f>
        <v/>
      </c>
      <c r="M285">
        <f>IF($A285="","",IF($D285="V01",Cadrage!$C$35,IF($D285="V02",Cadrage!$D$35,Cadrage!$E$35)))</f>
        <v/>
      </c>
      <c r="N285">
        <f>IF($A285="","",IF($D285="V01",$R$2,IF($D285="V02",$R$3,$R$4)))</f>
        <v/>
      </c>
      <c r="O285">
        <f>IF($A285="","",IF(OR($B285="7062",$B285="706",$B285="708"),$N285,IF($B285="6231",1+$G285,IF($B285="6236",1+$H285,IF(OR($B285="621",$B285="604",$B285="6063"),$N285*(1-$L285),IF(OR($B285="6411",$B285="6413",$B285="6414",$B285="645"),(1+$J285)*(1+$K285),IF(OR($B285="613",$B285="615",$B285="616",$B285="6226",$B285="625",$B285="626",$B285="6281"),(1+$I285)*(1-$L285)*(1+$M285),IF(OR($B285="6331",$B285="63511",$B285="6333"),(1+$I285)*(1-$L285),IF($B285="6811",1+$I285,1)))))))))</f>
        <v/>
      </c>
      <c r="P285">
        <f>IF($A285="","",IF($E285=1,$F285*$O285,PNL!G285))</f>
        <v/>
      </c>
      <c r="T285">
        <f>IF($A285="","",IF($E285=1,IF(OR($B285="7062",$B285="706",$B285="708"),$P285,IF(AND(LEFT($B285,1)="6",$B285&lt;&gt;"6811"),-$P285,0)),0))</f>
        <v/>
      </c>
    </row>
    <row r="286">
      <c r="A286">
        <f>IF(PNL!A286="","",PNL!A286)</f>
        <v/>
      </c>
      <c r="B286">
        <f>IF(PNL!B286="","",PNL!B286)</f>
        <v/>
      </c>
      <c r="C286">
        <f>IF(PNL!C286="","",PNL!C286)</f>
        <v/>
      </c>
      <c r="D286">
        <f>IF(PNL!D286="","",PNL!D286)</f>
        <v/>
      </c>
      <c r="E286">
        <f>IF($A286="","",IF(AND($C286="2027",OR($D286="V01",$D286="V02",$D286="V03")),1,0))</f>
        <v/>
      </c>
      <c r="F286">
        <f>IF($A286="","",IF($E286=1,SUMIFS(Comptabilité!$F$1:$F$675,Comptabilité!$A$1:$A$675,$A286,Comptabilité!$B$1:$B$675,$B286,Comptabilité!$C$1:$C$675,"2026"),0))</f>
        <v/>
      </c>
      <c r="G286">
        <f>IF($A286="","",IF($D286="V01",Cadrage!$C$22,IF($D286="V02",Cadrage!$D$22,Cadrage!$E$22)))</f>
        <v/>
      </c>
      <c r="H286">
        <f>IF($A286="","",IF($D286="V01",Cadrage!$C$23,IF($D286="V02",Cadrage!$D$23,Cadrage!$E$23)))</f>
        <v/>
      </c>
      <c r="I286">
        <f>IF($A286="","",IF($D286="V01",Cadrage!$C$31,IF($D286="V02",Cadrage!$D$31,Cadrage!$E$31)))</f>
        <v/>
      </c>
      <c r="J286">
        <f>IF($A286="","",IF($D286="V01",Cadrage!$C$32,IF($D286="V02",Cadrage!$D$32,Cadrage!$E$32)))</f>
        <v/>
      </c>
      <c r="K286">
        <f>IF($A286="","",IF($D286="V01",Cadrage!$C$33,IF($D286="V02",Cadrage!$D$33,Cadrage!$E$33)))</f>
        <v/>
      </c>
      <c r="L286">
        <f>IF($A286="","",IF($D286="V01",Cadrage!$C$34,IF($D286="V02",Cadrage!$D$34,Cadrage!$E$34)))</f>
        <v/>
      </c>
      <c r="M286">
        <f>IF($A286="","",IF($D286="V01",Cadrage!$C$35,IF($D286="V02",Cadrage!$D$35,Cadrage!$E$35)))</f>
        <v/>
      </c>
      <c r="N286">
        <f>IF($A286="","",IF($D286="V01",$R$2,IF($D286="V02",$R$3,$R$4)))</f>
        <v/>
      </c>
      <c r="O286">
        <f>IF($A286="","",IF(OR($B286="7062",$B286="706",$B286="708"),$N286,IF($B286="6231",1+$G286,IF($B286="6236",1+$H286,IF(OR($B286="621",$B286="604",$B286="6063"),$N286*(1-$L286),IF(OR($B286="6411",$B286="6413",$B286="6414",$B286="645"),(1+$J286)*(1+$K286),IF(OR($B286="613",$B286="615",$B286="616",$B286="6226",$B286="625",$B286="626",$B286="6281"),(1+$I286)*(1-$L286)*(1+$M286),IF(OR($B286="6331",$B286="63511",$B286="6333"),(1+$I286)*(1-$L286),IF($B286="6811",1+$I286,1)))))))))</f>
        <v/>
      </c>
      <c r="P286">
        <f>IF($A286="","",IF($E286=1,$F286*$O286,PNL!G286))</f>
        <v/>
      </c>
      <c r="T286">
        <f>IF($A286="","",IF($E286=1,IF(OR($B286="7062",$B286="706",$B286="708"),$P286,IF(AND(LEFT($B286,1)="6",$B286&lt;&gt;"6811"),-$P286,0)),0))</f>
        <v/>
      </c>
    </row>
    <row r="287">
      <c r="A287">
        <f>IF(PNL!A287="","",PNL!A287)</f>
        <v/>
      </c>
      <c r="B287">
        <f>IF(PNL!B287="","",PNL!B287)</f>
        <v/>
      </c>
      <c r="C287">
        <f>IF(PNL!C287="","",PNL!C287)</f>
        <v/>
      </c>
      <c r="D287">
        <f>IF(PNL!D287="","",PNL!D287)</f>
        <v/>
      </c>
      <c r="E287">
        <f>IF($A287="","",IF(AND($C287="2027",OR($D287="V01",$D287="V02",$D287="V03")),1,0))</f>
        <v/>
      </c>
      <c r="F287">
        <f>IF($A287="","",IF($E287=1,SUMIFS(Comptabilité!$F$1:$F$675,Comptabilité!$A$1:$A$675,$A287,Comptabilité!$B$1:$B$675,$B287,Comptabilité!$C$1:$C$675,"2026"),0))</f>
        <v/>
      </c>
      <c r="G287">
        <f>IF($A287="","",IF($D287="V01",Cadrage!$C$22,IF($D287="V02",Cadrage!$D$22,Cadrage!$E$22)))</f>
        <v/>
      </c>
      <c r="H287">
        <f>IF($A287="","",IF($D287="V01",Cadrage!$C$23,IF($D287="V02",Cadrage!$D$23,Cadrage!$E$23)))</f>
        <v/>
      </c>
      <c r="I287">
        <f>IF($A287="","",IF($D287="V01",Cadrage!$C$31,IF($D287="V02",Cadrage!$D$31,Cadrage!$E$31)))</f>
        <v/>
      </c>
      <c r="J287">
        <f>IF($A287="","",IF($D287="V01",Cadrage!$C$32,IF($D287="V02",Cadrage!$D$32,Cadrage!$E$32)))</f>
        <v/>
      </c>
      <c r="K287">
        <f>IF($A287="","",IF($D287="V01",Cadrage!$C$33,IF($D287="V02",Cadrage!$D$33,Cadrage!$E$33)))</f>
        <v/>
      </c>
      <c r="L287">
        <f>IF($A287="","",IF($D287="V01",Cadrage!$C$34,IF($D287="V02",Cadrage!$D$34,Cadrage!$E$34)))</f>
        <v/>
      </c>
      <c r="M287">
        <f>IF($A287="","",IF($D287="V01",Cadrage!$C$35,IF($D287="V02",Cadrage!$D$35,Cadrage!$E$35)))</f>
        <v/>
      </c>
      <c r="N287">
        <f>IF($A287="","",IF($D287="V01",$R$2,IF($D287="V02",$R$3,$R$4)))</f>
        <v/>
      </c>
      <c r="O287">
        <f>IF($A287="","",IF(OR($B287="7062",$B287="706",$B287="708"),$N287,IF($B287="6231",1+$G287,IF($B287="6236",1+$H287,IF(OR($B287="621",$B287="604",$B287="6063"),$N287*(1-$L287),IF(OR($B287="6411",$B287="6413",$B287="6414",$B287="645"),(1+$J287)*(1+$K287),IF(OR($B287="613",$B287="615",$B287="616",$B287="6226",$B287="625",$B287="626",$B287="6281"),(1+$I287)*(1-$L287)*(1+$M287),IF(OR($B287="6331",$B287="63511",$B287="6333"),(1+$I287)*(1-$L287),IF($B287="6811",1+$I287,1)))))))))</f>
        <v/>
      </c>
      <c r="P287">
        <f>IF($A287="","",IF($E287=1,$F287*$O287,PNL!G287))</f>
        <v/>
      </c>
      <c r="T287">
        <f>IF($A287="","",IF($E287=1,IF(OR($B287="7062",$B287="706",$B287="708"),$P287,IF(AND(LEFT($B287,1)="6",$B287&lt;&gt;"6811"),-$P287,0)),0))</f>
        <v/>
      </c>
    </row>
    <row r="288">
      <c r="A288">
        <f>IF(PNL!A288="","",PNL!A288)</f>
        <v/>
      </c>
      <c r="B288">
        <f>IF(PNL!B288="","",PNL!B288)</f>
        <v/>
      </c>
      <c r="C288">
        <f>IF(PNL!C288="","",PNL!C288)</f>
        <v/>
      </c>
      <c r="D288">
        <f>IF(PNL!D288="","",PNL!D288)</f>
        <v/>
      </c>
      <c r="E288">
        <f>IF($A288="","",IF(AND($C288="2027",OR($D288="V01",$D288="V02",$D288="V03")),1,0))</f>
        <v/>
      </c>
      <c r="F288">
        <f>IF($A288="","",IF($E288=1,SUMIFS(Comptabilité!$F$1:$F$675,Comptabilité!$A$1:$A$675,$A288,Comptabilité!$B$1:$B$675,$B288,Comptabilité!$C$1:$C$675,"2026"),0))</f>
        <v/>
      </c>
      <c r="G288">
        <f>IF($A288="","",IF($D288="V01",Cadrage!$C$22,IF($D288="V02",Cadrage!$D$22,Cadrage!$E$22)))</f>
        <v/>
      </c>
      <c r="H288">
        <f>IF($A288="","",IF($D288="V01",Cadrage!$C$23,IF($D288="V02",Cadrage!$D$23,Cadrage!$E$23)))</f>
        <v/>
      </c>
      <c r="I288">
        <f>IF($A288="","",IF($D288="V01",Cadrage!$C$31,IF($D288="V02",Cadrage!$D$31,Cadrage!$E$31)))</f>
        <v/>
      </c>
      <c r="J288">
        <f>IF($A288="","",IF($D288="V01",Cadrage!$C$32,IF($D288="V02",Cadrage!$D$32,Cadrage!$E$32)))</f>
        <v/>
      </c>
      <c r="K288">
        <f>IF($A288="","",IF($D288="V01",Cadrage!$C$33,IF($D288="V02",Cadrage!$D$33,Cadrage!$E$33)))</f>
        <v/>
      </c>
      <c r="L288">
        <f>IF($A288="","",IF($D288="V01",Cadrage!$C$34,IF($D288="V02",Cadrage!$D$34,Cadrage!$E$34)))</f>
        <v/>
      </c>
      <c r="M288">
        <f>IF($A288="","",IF($D288="V01",Cadrage!$C$35,IF($D288="V02",Cadrage!$D$35,Cadrage!$E$35)))</f>
        <v/>
      </c>
      <c r="N288">
        <f>IF($A288="","",IF($D288="V01",$R$2,IF($D288="V02",$R$3,$R$4)))</f>
        <v/>
      </c>
      <c r="O288">
        <f>IF($A288="","",IF(OR($B288="7062",$B288="706",$B288="708"),$N288,IF($B288="6231",1+$G288,IF($B288="6236",1+$H288,IF(OR($B288="621",$B288="604",$B288="6063"),$N288*(1-$L288),IF(OR($B288="6411",$B288="6413",$B288="6414",$B288="645"),(1+$J288)*(1+$K288),IF(OR($B288="613",$B288="615",$B288="616",$B288="6226",$B288="625",$B288="626",$B288="6281"),(1+$I288)*(1-$L288)*(1+$M288),IF(OR($B288="6331",$B288="63511",$B288="6333"),(1+$I288)*(1-$L288),IF($B288="6811",1+$I288,1)))))))))</f>
        <v/>
      </c>
      <c r="P288">
        <f>IF($A288="","",IF($E288=1,$F288*$O288,PNL!G288))</f>
        <v/>
      </c>
      <c r="T288">
        <f>IF($A288="","",IF($E288=1,IF(OR($B288="7062",$B288="706",$B288="708"),$P288,IF(AND(LEFT($B288,1)="6",$B288&lt;&gt;"6811"),-$P288,0)),0))</f>
        <v/>
      </c>
    </row>
    <row r="289">
      <c r="A289">
        <f>IF(PNL!A289="","",PNL!A289)</f>
        <v/>
      </c>
      <c r="B289">
        <f>IF(PNL!B289="","",PNL!B289)</f>
        <v/>
      </c>
      <c r="C289">
        <f>IF(PNL!C289="","",PNL!C289)</f>
        <v/>
      </c>
      <c r="D289">
        <f>IF(PNL!D289="","",PNL!D289)</f>
        <v/>
      </c>
      <c r="E289">
        <f>IF($A289="","",IF(AND($C289="2027",OR($D289="V01",$D289="V02",$D289="V03")),1,0))</f>
        <v/>
      </c>
      <c r="F289">
        <f>IF($A289="","",IF($E289=1,SUMIFS(Comptabilité!$F$1:$F$675,Comptabilité!$A$1:$A$675,$A289,Comptabilité!$B$1:$B$675,$B289,Comptabilité!$C$1:$C$675,"2026"),0))</f>
        <v/>
      </c>
      <c r="G289">
        <f>IF($A289="","",IF($D289="V01",Cadrage!$C$22,IF($D289="V02",Cadrage!$D$22,Cadrage!$E$22)))</f>
        <v/>
      </c>
      <c r="H289">
        <f>IF($A289="","",IF($D289="V01",Cadrage!$C$23,IF($D289="V02",Cadrage!$D$23,Cadrage!$E$23)))</f>
        <v/>
      </c>
      <c r="I289">
        <f>IF($A289="","",IF($D289="V01",Cadrage!$C$31,IF($D289="V02",Cadrage!$D$31,Cadrage!$E$31)))</f>
        <v/>
      </c>
      <c r="J289">
        <f>IF($A289="","",IF($D289="V01",Cadrage!$C$32,IF($D289="V02",Cadrage!$D$32,Cadrage!$E$32)))</f>
        <v/>
      </c>
      <c r="K289">
        <f>IF($A289="","",IF($D289="V01",Cadrage!$C$33,IF($D289="V02",Cadrage!$D$33,Cadrage!$E$33)))</f>
        <v/>
      </c>
      <c r="L289">
        <f>IF($A289="","",IF($D289="V01",Cadrage!$C$34,IF($D289="V02",Cadrage!$D$34,Cadrage!$E$34)))</f>
        <v/>
      </c>
      <c r="M289">
        <f>IF($A289="","",IF($D289="V01",Cadrage!$C$35,IF($D289="V02",Cadrage!$D$35,Cadrage!$E$35)))</f>
        <v/>
      </c>
      <c r="N289">
        <f>IF($A289="","",IF($D289="V01",$R$2,IF($D289="V02",$R$3,$R$4)))</f>
        <v/>
      </c>
      <c r="O289">
        <f>IF($A289="","",IF(OR($B289="7062",$B289="706",$B289="708"),$N289,IF($B289="6231",1+$G289,IF($B289="6236",1+$H289,IF(OR($B289="621",$B289="604",$B289="6063"),$N289*(1-$L289),IF(OR($B289="6411",$B289="6413",$B289="6414",$B289="645"),(1+$J289)*(1+$K289),IF(OR($B289="613",$B289="615",$B289="616",$B289="6226",$B289="625",$B289="626",$B289="6281"),(1+$I289)*(1-$L289)*(1+$M289),IF(OR($B289="6331",$B289="63511",$B289="6333"),(1+$I289)*(1-$L289),IF($B289="6811",1+$I289,1)))))))))</f>
        <v/>
      </c>
      <c r="P289">
        <f>IF($A289="","",IF($E289=1,$F289*$O289,PNL!G289))</f>
        <v/>
      </c>
      <c r="T289">
        <f>IF($A289="","",IF($E289=1,IF(OR($B289="7062",$B289="706",$B289="708"),$P289,IF(AND(LEFT($B289,1)="6",$B289&lt;&gt;"6811"),-$P289,0)),0))</f>
        <v/>
      </c>
    </row>
    <row r="290">
      <c r="A290">
        <f>IF(PNL!A290="","",PNL!A290)</f>
        <v/>
      </c>
      <c r="B290">
        <f>IF(PNL!B290="","",PNL!B290)</f>
        <v/>
      </c>
      <c r="C290">
        <f>IF(PNL!C290="","",PNL!C290)</f>
        <v/>
      </c>
      <c r="D290">
        <f>IF(PNL!D290="","",PNL!D290)</f>
        <v/>
      </c>
      <c r="E290">
        <f>IF($A290="","",IF(AND($C290="2027",OR($D290="V01",$D290="V02",$D290="V03")),1,0))</f>
        <v/>
      </c>
      <c r="F290">
        <f>IF($A290="","",IF($E290=1,SUMIFS(Comptabilité!$F$1:$F$675,Comptabilité!$A$1:$A$675,$A290,Comptabilité!$B$1:$B$675,$B290,Comptabilité!$C$1:$C$675,"2026"),0))</f>
        <v/>
      </c>
      <c r="G290">
        <f>IF($A290="","",IF($D290="V01",Cadrage!$C$22,IF($D290="V02",Cadrage!$D$22,Cadrage!$E$22)))</f>
        <v/>
      </c>
      <c r="H290">
        <f>IF($A290="","",IF($D290="V01",Cadrage!$C$23,IF($D290="V02",Cadrage!$D$23,Cadrage!$E$23)))</f>
        <v/>
      </c>
      <c r="I290">
        <f>IF($A290="","",IF($D290="V01",Cadrage!$C$31,IF($D290="V02",Cadrage!$D$31,Cadrage!$E$31)))</f>
        <v/>
      </c>
      <c r="J290">
        <f>IF($A290="","",IF($D290="V01",Cadrage!$C$32,IF($D290="V02",Cadrage!$D$32,Cadrage!$E$32)))</f>
        <v/>
      </c>
      <c r="K290">
        <f>IF($A290="","",IF($D290="V01",Cadrage!$C$33,IF($D290="V02",Cadrage!$D$33,Cadrage!$E$33)))</f>
        <v/>
      </c>
      <c r="L290">
        <f>IF($A290="","",IF($D290="V01",Cadrage!$C$34,IF($D290="V02",Cadrage!$D$34,Cadrage!$E$34)))</f>
        <v/>
      </c>
      <c r="M290">
        <f>IF($A290="","",IF($D290="V01",Cadrage!$C$35,IF($D290="V02",Cadrage!$D$35,Cadrage!$E$35)))</f>
        <v/>
      </c>
      <c r="N290">
        <f>IF($A290="","",IF($D290="V01",$R$2,IF($D290="V02",$R$3,$R$4)))</f>
        <v/>
      </c>
      <c r="O290">
        <f>IF($A290="","",IF(OR($B290="7062",$B290="706",$B290="708"),$N290,IF($B290="6231",1+$G290,IF($B290="6236",1+$H290,IF(OR($B290="621",$B290="604",$B290="6063"),$N290*(1-$L290),IF(OR($B290="6411",$B290="6413",$B290="6414",$B290="645"),(1+$J290)*(1+$K290),IF(OR($B290="613",$B290="615",$B290="616",$B290="6226",$B290="625",$B290="626",$B290="6281"),(1+$I290)*(1-$L290)*(1+$M290),IF(OR($B290="6331",$B290="63511",$B290="6333"),(1+$I290)*(1-$L290),IF($B290="6811",1+$I290,1)))))))))</f>
        <v/>
      </c>
      <c r="P290">
        <f>IF($A290="","",IF($E290=1,$F290*$O290,PNL!G290))</f>
        <v/>
      </c>
      <c r="T290">
        <f>IF($A290="","",IF($E290=1,IF(OR($B290="7062",$B290="706",$B290="708"),$P290,IF(AND(LEFT($B290,1)="6",$B290&lt;&gt;"6811"),-$P290,0)),0))</f>
        <v/>
      </c>
    </row>
    <row r="291">
      <c r="A291">
        <f>IF(PNL!A291="","",PNL!A291)</f>
        <v/>
      </c>
      <c r="B291">
        <f>IF(PNL!B291="","",PNL!B291)</f>
        <v/>
      </c>
      <c r="C291">
        <f>IF(PNL!C291="","",PNL!C291)</f>
        <v/>
      </c>
      <c r="D291">
        <f>IF(PNL!D291="","",PNL!D291)</f>
        <v/>
      </c>
      <c r="E291">
        <f>IF($A291="","",IF(AND($C291="2027",OR($D291="V01",$D291="V02",$D291="V03")),1,0))</f>
        <v/>
      </c>
      <c r="F291">
        <f>IF($A291="","",IF($E291=1,SUMIFS(Comptabilité!$F$1:$F$675,Comptabilité!$A$1:$A$675,$A291,Comptabilité!$B$1:$B$675,$B291,Comptabilité!$C$1:$C$675,"2026"),0))</f>
        <v/>
      </c>
      <c r="G291">
        <f>IF($A291="","",IF($D291="V01",Cadrage!$C$22,IF($D291="V02",Cadrage!$D$22,Cadrage!$E$22)))</f>
        <v/>
      </c>
      <c r="H291">
        <f>IF($A291="","",IF($D291="V01",Cadrage!$C$23,IF($D291="V02",Cadrage!$D$23,Cadrage!$E$23)))</f>
        <v/>
      </c>
      <c r="I291">
        <f>IF($A291="","",IF($D291="V01",Cadrage!$C$31,IF($D291="V02",Cadrage!$D$31,Cadrage!$E$31)))</f>
        <v/>
      </c>
      <c r="J291">
        <f>IF($A291="","",IF($D291="V01",Cadrage!$C$32,IF($D291="V02",Cadrage!$D$32,Cadrage!$E$32)))</f>
        <v/>
      </c>
      <c r="K291">
        <f>IF($A291="","",IF($D291="V01",Cadrage!$C$33,IF($D291="V02",Cadrage!$D$33,Cadrage!$E$33)))</f>
        <v/>
      </c>
      <c r="L291">
        <f>IF($A291="","",IF($D291="V01",Cadrage!$C$34,IF($D291="V02",Cadrage!$D$34,Cadrage!$E$34)))</f>
        <v/>
      </c>
      <c r="M291">
        <f>IF($A291="","",IF($D291="V01",Cadrage!$C$35,IF($D291="V02",Cadrage!$D$35,Cadrage!$E$35)))</f>
        <v/>
      </c>
      <c r="N291">
        <f>IF($A291="","",IF($D291="V01",$R$2,IF($D291="V02",$R$3,$R$4)))</f>
        <v/>
      </c>
      <c r="O291">
        <f>IF($A291="","",IF(OR($B291="7062",$B291="706",$B291="708"),$N291,IF($B291="6231",1+$G291,IF($B291="6236",1+$H291,IF(OR($B291="621",$B291="604",$B291="6063"),$N291*(1-$L291),IF(OR($B291="6411",$B291="6413",$B291="6414",$B291="645"),(1+$J291)*(1+$K291),IF(OR($B291="613",$B291="615",$B291="616",$B291="6226",$B291="625",$B291="626",$B291="6281"),(1+$I291)*(1-$L291)*(1+$M291),IF(OR($B291="6331",$B291="63511",$B291="6333"),(1+$I291)*(1-$L291),IF($B291="6811",1+$I291,1)))))))))</f>
        <v/>
      </c>
      <c r="P291">
        <f>IF($A291="","",IF($E291=1,$F291*$O291,PNL!G291))</f>
        <v/>
      </c>
      <c r="T291">
        <f>IF($A291="","",IF($E291=1,IF(OR($B291="7062",$B291="706",$B291="708"),$P291,IF(AND(LEFT($B291,1)="6",$B291&lt;&gt;"6811"),-$P291,0)),0))</f>
        <v/>
      </c>
    </row>
    <row r="292">
      <c r="A292">
        <f>IF(PNL!A292="","",PNL!A292)</f>
        <v/>
      </c>
      <c r="B292">
        <f>IF(PNL!B292="","",PNL!B292)</f>
        <v/>
      </c>
      <c r="C292">
        <f>IF(PNL!C292="","",PNL!C292)</f>
        <v/>
      </c>
      <c r="D292">
        <f>IF(PNL!D292="","",PNL!D292)</f>
        <v/>
      </c>
      <c r="E292">
        <f>IF($A292="","",IF(AND($C292="2027",OR($D292="V01",$D292="V02",$D292="V03")),1,0))</f>
        <v/>
      </c>
      <c r="F292">
        <f>IF($A292="","",IF($E292=1,SUMIFS(Comptabilité!$F$1:$F$675,Comptabilité!$A$1:$A$675,$A292,Comptabilité!$B$1:$B$675,$B292,Comptabilité!$C$1:$C$675,"2026"),0))</f>
        <v/>
      </c>
      <c r="G292">
        <f>IF($A292="","",IF($D292="V01",Cadrage!$C$22,IF($D292="V02",Cadrage!$D$22,Cadrage!$E$22)))</f>
        <v/>
      </c>
      <c r="H292">
        <f>IF($A292="","",IF($D292="V01",Cadrage!$C$23,IF($D292="V02",Cadrage!$D$23,Cadrage!$E$23)))</f>
        <v/>
      </c>
      <c r="I292">
        <f>IF($A292="","",IF($D292="V01",Cadrage!$C$31,IF($D292="V02",Cadrage!$D$31,Cadrage!$E$31)))</f>
        <v/>
      </c>
      <c r="J292">
        <f>IF($A292="","",IF($D292="V01",Cadrage!$C$32,IF($D292="V02",Cadrage!$D$32,Cadrage!$E$32)))</f>
        <v/>
      </c>
      <c r="K292">
        <f>IF($A292="","",IF($D292="V01",Cadrage!$C$33,IF($D292="V02",Cadrage!$D$33,Cadrage!$E$33)))</f>
        <v/>
      </c>
      <c r="L292">
        <f>IF($A292="","",IF($D292="V01",Cadrage!$C$34,IF($D292="V02",Cadrage!$D$34,Cadrage!$E$34)))</f>
        <v/>
      </c>
      <c r="M292">
        <f>IF($A292="","",IF($D292="V01",Cadrage!$C$35,IF($D292="V02",Cadrage!$D$35,Cadrage!$E$35)))</f>
        <v/>
      </c>
      <c r="N292">
        <f>IF($A292="","",IF($D292="V01",$R$2,IF($D292="V02",$R$3,$R$4)))</f>
        <v/>
      </c>
      <c r="O292">
        <f>IF($A292="","",IF(OR($B292="7062",$B292="706",$B292="708"),$N292,IF($B292="6231",1+$G292,IF($B292="6236",1+$H292,IF(OR($B292="621",$B292="604",$B292="6063"),$N292*(1-$L292),IF(OR($B292="6411",$B292="6413",$B292="6414",$B292="645"),(1+$J292)*(1+$K292),IF(OR($B292="613",$B292="615",$B292="616",$B292="6226",$B292="625",$B292="626",$B292="6281"),(1+$I292)*(1-$L292)*(1+$M292),IF(OR($B292="6331",$B292="63511",$B292="6333"),(1+$I292)*(1-$L292),IF($B292="6811",1+$I292,1)))))))))</f>
        <v/>
      </c>
      <c r="P292">
        <f>IF($A292="","",IF($E292=1,$F292*$O292,PNL!G292))</f>
        <v/>
      </c>
      <c r="T292">
        <f>IF($A292="","",IF($E292=1,IF(OR($B292="7062",$B292="706",$B292="708"),$P292,IF(AND(LEFT($B292,1)="6",$B292&lt;&gt;"6811"),-$P292,0)),0))</f>
        <v/>
      </c>
    </row>
    <row r="293">
      <c r="A293">
        <f>IF(PNL!A293="","",PNL!A293)</f>
        <v/>
      </c>
      <c r="B293">
        <f>IF(PNL!B293="","",PNL!B293)</f>
        <v/>
      </c>
      <c r="C293">
        <f>IF(PNL!C293="","",PNL!C293)</f>
        <v/>
      </c>
      <c r="D293">
        <f>IF(PNL!D293="","",PNL!D293)</f>
        <v/>
      </c>
      <c r="E293">
        <f>IF($A293="","",IF(AND($C293="2027",OR($D293="V01",$D293="V02",$D293="V03")),1,0))</f>
        <v/>
      </c>
      <c r="F293">
        <f>IF($A293="","",IF($E293=1,SUMIFS(Comptabilité!$F$1:$F$675,Comptabilité!$A$1:$A$675,$A293,Comptabilité!$B$1:$B$675,$B293,Comptabilité!$C$1:$C$675,"2026"),0))</f>
        <v/>
      </c>
      <c r="G293">
        <f>IF($A293="","",IF($D293="V01",Cadrage!$C$22,IF($D293="V02",Cadrage!$D$22,Cadrage!$E$22)))</f>
        <v/>
      </c>
      <c r="H293">
        <f>IF($A293="","",IF($D293="V01",Cadrage!$C$23,IF($D293="V02",Cadrage!$D$23,Cadrage!$E$23)))</f>
        <v/>
      </c>
      <c r="I293">
        <f>IF($A293="","",IF($D293="V01",Cadrage!$C$31,IF($D293="V02",Cadrage!$D$31,Cadrage!$E$31)))</f>
        <v/>
      </c>
      <c r="J293">
        <f>IF($A293="","",IF($D293="V01",Cadrage!$C$32,IF($D293="V02",Cadrage!$D$32,Cadrage!$E$32)))</f>
        <v/>
      </c>
      <c r="K293">
        <f>IF($A293="","",IF($D293="V01",Cadrage!$C$33,IF($D293="V02",Cadrage!$D$33,Cadrage!$E$33)))</f>
        <v/>
      </c>
      <c r="L293">
        <f>IF($A293="","",IF($D293="V01",Cadrage!$C$34,IF($D293="V02",Cadrage!$D$34,Cadrage!$E$34)))</f>
        <v/>
      </c>
      <c r="M293">
        <f>IF($A293="","",IF($D293="V01",Cadrage!$C$35,IF($D293="V02",Cadrage!$D$35,Cadrage!$E$35)))</f>
        <v/>
      </c>
      <c r="N293">
        <f>IF($A293="","",IF($D293="V01",$R$2,IF($D293="V02",$R$3,$R$4)))</f>
        <v/>
      </c>
      <c r="O293">
        <f>IF($A293="","",IF(OR($B293="7062",$B293="706",$B293="708"),$N293,IF($B293="6231",1+$G293,IF($B293="6236",1+$H293,IF(OR($B293="621",$B293="604",$B293="6063"),$N293*(1-$L293),IF(OR($B293="6411",$B293="6413",$B293="6414",$B293="645"),(1+$J293)*(1+$K293),IF(OR($B293="613",$B293="615",$B293="616",$B293="6226",$B293="625",$B293="626",$B293="6281"),(1+$I293)*(1-$L293)*(1+$M293),IF(OR($B293="6331",$B293="63511",$B293="6333"),(1+$I293)*(1-$L293),IF($B293="6811",1+$I293,1)))))))))</f>
        <v/>
      </c>
      <c r="P293">
        <f>IF($A293="","",IF($E293=1,$F293*$O293,PNL!G293))</f>
        <v/>
      </c>
      <c r="T293">
        <f>IF($A293="","",IF($E293=1,IF(OR($B293="7062",$B293="706",$B293="708"),$P293,IF(AND(LEFT($B293,1)="6",$B293&lt;&gt;"6811"),-$P293,0)),0))</f>
        <v/>
      </c>
    </row>
    <row r="294">
      <c r="A294">
        <f>IF(PNL!A294="","",PNL!A294)</f>
        <v/>
      </c>
      <c r="B294">
        <f>IF(PNL!B294="","",PNL!B294)</f>
        <v/>
      </c>
      <c r="C294">
        <f>IF(PNL!C294="","",PNL!C294)</f>
        <v/>
      </c>
      <c r="D294">
        <f>IF(PNL!D294="","",PNL!D294)</f>
        <v/>
      </c>
      <c r="E294">
        <f>IF($A294="","",IF(AND($C294="2027",OR($D294="V01",$D294="V02",$D294="V03")),1,0))</f>
        <v/>
      </c>
      <c r="F294">
        <f>IF($A294="","",IF($E294=1,SUMIFS(Comptabilité!$F$1:$F$675,Comptabilité!$A$1:$A$675,$A294,Comptabilité!$B$1:$B$675,$B294,Comptabilité!$C$1:$C$675,"2026"),0))</f>
        <v/>
      </c>
      <c r="G294">
        <f>IF($A294="","",IF($D294="V01",Cadrage!$C$22,IF($D294="V02",Cadrage!$D$22,Cadrage!$E$22)))</f>
        <v/>
      </c>
      <c r="H294">
        <f>IF($A294="","",IF($D294="V01",Cadrage!$C$23,IF($D294="V02",Cadrage!$D$23,Cadrage!$E$23)))</f>
        <v/>
      </c>
      <c r="I294">
        <f>IF($A294="","",IF($D294="V01",Cadrage!$C$31,IF($D294="V02",Cadrage!$D$31,Cadrage!$E$31)))</f>
        <v/>
      </c>
      <c r="J294">
        <f>IF($A294="","",IF($D294="V01",Cadrage!$C$32,IF($D294="V02",Cadrage!$D$32,Cadrage!$E$32)))</f>
        <v/>
      </c>
      <c r="K294">
        <f>IF($A294="","",IF($D294="V01",Cadrage!$C$33,IF($D294="V02",Cadrage!$D$33,Cadrage!$E$33)))</f>
        <v/>
      </c>
      <c r="L294">
        <f>IF($A294="","",IF($D294="V01",Cadrage!$C$34,IF($D294="V02",Cadrage!$D$34,Cadrage!$E$34)))</f>
        <v/>
      </c>
      <c r="M294">
        <f>IF($A294="","",IF($D294="V01",Cadrage!$C$35,IF($D294="V02",Cadrage!$D$35,Cadrage!$E$35)))</f>
        <v/>
      </c>
      <c r="N294">
        <f>IF($A294="","",IF($D294="V01",$R$2,IF($D294="V02",$R$3,$R$4)))</f>
        <v/>
      </c>
      <c r="O294">
        <f>IF($A294="","",IF(OR($B294="7062",$B294="706",$B294="708"),$N294,IF($B294="6231",1+$G294,IF($B294="6236",1+$H294,IF(OR($B294="621",$B294="604",$B294="6063"),$N294*(1-$L294),IF(OR($B294="6411",$B294="6413",$B294="6414",$B294="645"),(1+$J294)*(1+$K294),IF(OR($B294="613",$B294="615",$B294="616",$B294="6226",$B294="625",$B294="626",$B294="6281"),(1+$I294)*(1-$L294)*(1+$M294),IF(OR($B294="6331",$B294="63511",$B294="6333"),(1+$I294)*(1-$L294),IF($B294="6811",1+$I294,1)))))))))</f>
        <v/>
      </c>
      <c r="P294">
        <f>IF($A294="","",IF($E294=1,$F294*$O294,PNL!G294))</f>
        <v/>
      </c>
      <c r="T294">
        <f>IF($A294="","",IF($E294=1,IF(OR($B294="7062",$B294="706",$B294="708"),$P294,IF(AND(LEFT($B294,1)="6",$B294&lt;&gt;"6811"),-$P294,0)),0))</f>
        <v/>
      </c>
    </row>
    <row r="295">
      <c r="A295">
        <f>IF(PNL!A295="","",PNL!A295)</f>
        <v/>
      </c>
      <c r="B295">
        <f>IF(PNL!B295="","",PNL!B295)</f>
        <v/>
      </c>
      <c r="C295">
        <f>IF(PNL!C295="","",PNL!C295)</f>
        <v/>
      </c>
      <c r="D295">
        <f>IF(PNL!D295="","",PNL!D295)</f>
        <v/>
      </c>
      <c r="E295">
        <f>IF($A295="","",IF(AND($C295="2027",OR($D295="V01",$D295="V02",$D295="V03")),1,0))</f>
        <v/>
      </c>
      <c r="F295">
        <f>IF($A295="","",IF($E295=1,SUMIFS(Comptabilité!$F$1:$F$675,Comptabilité!$A$1:$A$675,$A295,Comptabilité!$B$1:$B$675,$B295,Comptabilité!$C$1:$C$675,"2026"),0))</f>
        <v/>
      </c>
      <c r="G295">
        <f>IF($A295="","",IF($D295="V01",Cadrage!$C$22,IF($D295="V02",Cadrage!$D$22,Cadrage!$E$22)))</f>
        <v/>
      </c>
      <c r="H295">
        <f>IF($A295="","",IF($D295="V01",Cadrage!$C$23,IF($D295="V02",Cadrage!$D$23,Cadrage!$E$23)))</f>
        <v/>
      </c>
      <c r="I295">
        <f>IF($A295="","",IF($D295="V01",Cadrage!$C$31,IF($D295="V02",Cadrage!$D$31,Cadrage!$E$31)))</f>
        <v/>
      </c>
      <c r="J295">
        <f>IF($A295="","",IF($D295="V01",Cadrage!$C$32,IF($D295="V02",Cadrage!$D$32,Cadrage!$E$32)))</f>
        <v/>
      </c>
      <c r="K295">
        <f>IF($A295="","",IF($D295="V01",Cadrage!$C$33,IF($D295="V02",Cadrage!$D$33,Cadrage!$E$33)))</f>
        <v/>
      </c>
      <c r="L295">
        <f>IF($A295="","",IF($D295="V01",Cadrage!$C$34,IF($D295="V02",Cadrage!$D$34,Cadrage!$E$34)))</f>
        <v/>
      </c>
      <c r="M295">
        <f>IF($A295="","",IF($D295="V01",Cadrage!$C$35,IF($D295="V02",Cadrage!$D$35,Cadrage!$E$35)))</f>
        <v/>
      </c>
      <c r="N295">
        <f>IF($A295="","",IF($D295="V01",$R$2,IF($D295="V02",$R$3,$R$4)))</f>
        <v/>
      </c>
      <c r="O295">
        <f>IF($A295="","",IF(OR($B295="7062",$B295="706",$B295="708"),$N295,IF($B295="6231",1+$G295,IF($B295="6236",1+$H295,IF(OR($B295="621",$B295="604",$B295="6063"),$N295*(1-$L295),IF(OR($B295="6411",$B295="6413",$B295="6414",$B295="645"),(1+$J295)*(1+$K295),IF(OR($B295="613",$B295="615",$B295="616",$B295="6226",$B295="625",$B295="626",$B295="6281"),(1+$I295)*(1-$L295)*(1+$M295),IF(OR($B295="6331",$B295="63511",$B295="6333"),(1+$I295)*(1-$L295),IF($B295="6811",1+$I295,1)))))))))</f>
        <v/>
      </c>
      <c r="P295">
        <f>IF($A295="","",IF($E295=1,$F295*$O295,PNL!G295))</f>
        <v/>
      </c>
      <c r="T295">
        <f>IF($A295="","",IF($E295=1,IF(OR($B295="7062",$B295="706",$B295="708"),$P295,IF(AND(LEFT($B295,1)="6",$B295&lt;&gt;"6811"),-$P295,0)),0))</f>
        <v/>
      </c>
    </row>
    <row r="296">
      <c r="A296">
        <f>IF(PNL!A296="","",PNL!A296)</f>
        <v/>
      </c>
      <c r="B296">
        <f>IF(PNL!B296="","",PNL!B296)</f>
        <v/>
      </c>
      <c r="C296">
        <f>IF(PNL!C296="","",PNL!C296)</f>
        <v/>
      </c>
      <c r="D296">
        <f>IF(PNL!D296="","",PNL!D296)</f>
        <v/>
      </c>
      <c r="E296">
        <f>IF($A296="","",IF(AND($C296="2027",OR($D296="V01",$D296="V02",$D296="V03")),1,0))</f>
        <v/>
      </c>
      <c r="F296">
        <f>IF($A296="","",IF($E296=1,SUMIFS(Comptabilité!$F$1:$F$675,Comptabilité!$A$1:$A$675,$A296,Comptabilité!$B$1:$B$675,$B296,Comptabilité!$C$1:$C$675,"2026"),0))</f>
        <v/>
      </c>
      <c r="G296">
        <f>IF($A296="","",IF($D296="V01",Cadrage!$C$22,IF($D296="V02",Cadrage!$D$22,Cadrage!$E$22)))</f>
        <v/>
      </c>
      <c r="H296">
        <f>IF($A296="","",IF($D296="V01",Cadrage!$C$23,IF($D296="V02",Cadrage!$D$23,Cadrage!$E$23)))</f>
        <v/>
      </c>
      <c r="I296">
        <f>IF($A296="","",IF($D296="V01",Cadrage!$C$31,IF($D296="V02",Cadrage!$D$31,Cadrage!$E$31)))</f>
        <v/>
      </c>
      <c r="J296">
        <f>IF($A296="","",IF($D296="V01",Cadrage!$C$32,IF($D296="V02",Cadrage!$D$32,Cadrage!$E$32)))</f>
        <v/>
      </c>
      <c r="K296">
        <f>IF($A296="","",IF($D296="V01",Cadrage!$C$33,IF($D296="V02",Cadrage!$D$33,Cadrage!$E$33)))</f>
        <v/>
      </c>
      <c r="L296">
        <f>IF($A296="","",IF($D296="V01",Cadrage!$C$34,IF($D296="V02",Cadrage!$D$34,Cadrage!$E$34)))</f>
        <v/>
      </c>
      <c r="M296">
        <f>IF($A296="","",IF($D296="V01",Cadrage!$C$35,IF($D296="V02",Cadrage!$D$35,Cadrage!$E$35)))</f>
        <v/>
      </c>
      <c r="N296">
        <f>IF($A296="","",IF($D296="V01",$R$2,IF($D296="V02",$R$3,$R$4)))</f>
        <v/>
      </c>
      <c r="O296">
        <f>IF($A296="","",IF(OR($B296="7062",$B296="706",$B296="708"),$N296,IF($B296="6231",1+$G296,IF($B296="6236",1+$H296,IF(OR($B296="621",$B296="604",$B296="6063"),$N296*(1-$L296),IF(OR($B296="6411",$B296="6413",$B296="6414",$B296="645"),(1+$J296)*(1+$K296),IF(OR($B296="613",$B296="615",$B296="616",$B296="6226",$B296="625",$B296="626",$B296="6281"),(1+$I296)*(1-$L296)*(1+$M296),IF(OR($B296="6331",$B296="63511",$B296="6333"),(1+$I296)*(1-$L296),IF($B296="6811",1+$I296,1)))))))))</f>
        <v/>
      </c>
      <c r="P296">
        <f>IF($A296="","",IF($E296=1,$F296*$O296,PNL!G296))</f>
        <v/>
      </c>
      <c r="T296">
        <f>IF($A296="","",IF($E296=1,IF(OR($B296="7062",$B296="706",$B296="708"),$P296,IF(AND(LEFT($B296,1)="6",$B296&lt;&gt;"6811"),-$P296,0)),0))</f>
        <v/>
      </c>
    </row>
    <row r="297">
      <c r="A297">
        <f>IF(PNL!A297="","",PNL!A297)</f>
        <v/>
      </c>
      <c r="B297">
        <f>IF(PNL!B297="","",PNL!B297)</f>
        <v/>
      </c>
      <c r="C297">
        <f>IF(PNL!C297="","",PNL!C297)</f>
        <v/>
      </c>
      <c r="D297">
        <f>IF(PNL!D297="","",PNL!D297)</f>
        <v/>
      </c>
      <c r="E297">
        <f>IF($A297="","",IF(AND($C297="2027",OR($D297="V01",$D297="V02",$D297="V03")),1,0))</f>
        <v/>
      </c>
      <c r="F297">
        <f>IF($A297="","",IF($E297=1,SUMIFS(Comptabilité!$F$1:$F$675,Comptabilité!$A$1:$A$675,$A297,Comptabilité!$B$1:$B$675,$B297,Comptabilité!$C$1:$C$675,"2026"),0))</f>
        <v/>
      </c>
      <c r="G297">
        <f>IF($A297="","",IF($D297="V01",Cadrage!$C$22,IF($D297="V02",Cadrage!$D$22,Cadrage!$E$22)))</f>
        <v/>
      </c>
      <c r="H297">
        <f>IF($A297="","",IF($D297="V01",Cadrage!$C$23,IF($D297="V02",Cadrage!$D$23,Cadrage!$E$23)))</f>
        <v/>
      </c>
      <c r="I297">
        <f>IF($A297="","",IF($D297="V01",Cadrage!$C$31,IF($D297="V02",Cadrage!$D$31,Cadrage!$E$31)))</f>
        <v/>
      </c>
      <c r="J297">
        <f>IF($A297="","",IF($D297="V01",Cadrage!$C$32,IF($D297="V02",Cadrage!$D$32,Cadrage!$E$32)))</f>
        <v/>
      </c>
      <c r="K297">
        <f>IF($A297="","",IF($D297="V01",Cadrage!$C$33,IF($D297="V02",Cadrage!$D$33,Cadrage!$E$33)))</f>
        <v/>
      </c>
      <c r="L297">
        <f>IF($A297="","",IF($D297="V01",Cadrage!$C$34,IF($D297="V02",Cadrage!$D$34,Cadrage!$E$34)))</f>
        <v/>
      </c>
      <c r="M297">
        <f>IF($A297="","",IF($D297="V01",Cadrage!$C$35,IF($D297="V02",Cadrage!$D$35,Cadrage!$E$35)))</f>
        <v/>
      </c>
      <c r="N297">
        <f>IF($A297="","",IF($D297="V01",$R$2,IF($D297="V02",$R$3,$R$4)))</f>
        <v/>
      </c>
      <c r="O297">
        <f>IF($A297="","",IF(OR($B297="7062",$B297="706",$B297="708"),$N297,IF($B297="6231",1+$G297,IF($B297="6236",1+$H297,IF(OR($B297="621",$B297="604",$B297="6063"),$N297*(1-$L297),IF(OR($B297="6411",$B297="6413",$B297="6414",$B297="645"),(1+$J297)*(1+$K297),IF(OR($B297="613",$B297="615",$B297="616",$B297="6226",$B297="625",$B297="626",$B297="6281"),(1+$I297)*(1-$L297)*(1+$M297),IF(OR($B297="6331",$B297="63511",$B297="6333"),(1+$I297)*(1-$L297),IF($B297="6811",1+$I297,1)))))))))</f>
        <v/>
      </c>
      <c r="P297">
        <f>IF($A297="","",IF($E297=1,$F297*$O297,PNL!G297))</f>
        <v/>
      </c>
      <c r="T297">
        <f>IF($A297="","",IF($E297=1,IF(OR($B297="7062",$B297="706",$B297="708"),$P297,IF(AND(LEFT($B297,1)="6",$B297&lt;&gt;"6811"),-$P297,0)),0))</f>
        <v/>
      </c>
    </row>
    <row r="298">
      <c r="A298">
        <f>IF(PNL!A298="","",PNL!A298)</f>
        <v/>
      </c>
      <c r="B298">
        <f>IF(PNL!B298="","",PNL!B298)</f>
        <v/>
      </c>
      <c r="C298">
        <f>IF(PNL!C298="","",PNL!C298)</f>
        <v/>
      </c>
      <c r="D298">
        <f>IF(PNL!D298="","",PNL!D298)</f>
        <v/>
      </c>
      <c r="E298">
        <f>IF($A298="","",IF(AND($C298="2027",OR($D298="V01",$D298="V02",$D298="V03")),1,0))</f>
        <v/>
      </c>
      <c r="F298">
        <f>IF($A298="","",IF($E298=1,SUMIFS(Comptabilité!$F$1:$F$675,Comptabilité!$A$1:$A$675,$A298,Comptabilité!$B$1:$B$675,$B298,Comptabilité!$C$1:$C$675,"2026"),0))</f>
        <v/>
      </c>
      <c r="G298">
        <f>IF($A298="","",IF($D298="V01",Cadrage!$C$22,IF($D298="V02",Cadrage!$D$22,Cadrage!$E$22)))</f>
        <v/>
      </c>
      <c r="H298">
        <f>IF($A298="","",IF($D298="V01",Cadrage!$C$23,IF($D298="V02",Cadrage!$D$23,Cadrage!$E$23)))</f>
        <v/>
      </c>
      <c r="I298">
        <f>IF($A298="","",IF($D298="V01",Cadrage!$C$31,IF($D298="V02",Cadrage!$D$31,Cadrage!$E$31)))</f>
        <v/>
      </c>
      <c r="J298">
        <f>IF($A298="","",IF($D298="V01",Cadrage!$C$32,IF($D298="V02",Cadrage!$D$32,Cadrage!$E$32)))</f>
        <v/>
      </c>
      <c r="K298">
        <f>IF($A298="","",IF($D298="V01",Cadrage!$C$33,IF($D298="V02",Cadrage!$D$33,Cadrage!$E$33)))</f>
        <v/>
      </c>
      <c r="L298">
        <f>IF($A298="","",IF($D298="V01",Cadrage!$C$34,IF($D298="V02",Cadrage!$D$34,Cadrage!$E$34)))</f>
        <v/>
      </c>
      <c r="M298">
        <f>IF($A298="","",IF($D298="V01",Cadrage!$C$35,IF($D298="V02",Cadrage!$D$35,Cadrage!$E$35)))</f>
        <v/>
      </c>
      <c r="N298">
        <f>IF($A298="","",IF($D298="V01",$R$2,IF($D298="V02",$R$3,$R$4)))</f>
        <v/>
      </c>
      <c r="O298">
        <f>IF($A298="","",IF(OR($B298="7062",$B298="706",$B298="708"),$N298,IF($B298="6231",1+$G298,IF($B298="6236",1+$H298,IF(OR($B298="621",$B298="604",$B298="6063"),$N298*(1-$L298),IF(OR($B298="6411",$B298="6413",$B298="6414",$B298="645"),(1+$J298)*(1+$K298),IF(OR($B298="613",$B298="615",$B298="616",$B298="6226",$B298="625",$B298="626",$B298="6281"),(1+$I298)*(1-$L298)*(1+$M298),IF(OR($B298="6331",$B298="63511",$B298="6333"),(1+$I298)*(1-$L298),IF($B298="6811",1+$I298,1)))))))))</f>
        <v/>
      </c>
      <c r="P298">
        <f>IF($A298="","",IF($E298=1,$F298*$O298,PNL!G298))</f>
        <v/>
      </c>
      <c r="T298">
        <f>IF($A298="","",IF($E298=1,IF(OR($B298="7062",$B298="706",$B298="708"),$P298,IF(AND(LEFT($B298,1)="6",$B298&lt;&gt;"6811"),-$P298,0)),0))</f>
        <v/>
      </c>
    </row>
    <row r="299">
      <c r="A299">
        <f>IF(PNL!A299="","",PNL!A299)</f>
        <v/>
      </c>
      <c r="B299">
        <f>IF(PNL!B299="","",PNL!B299)</f>
        <v/>
      </c>
      <c r="C299">
        <f>IF(PNL!C299="","",PNL!C299)</f>
        <v/>
      </c>
      <c r="D299">
        <f>IF(PNL!D299="","",PNL!D299)</f>
        <v/>
      </c>
      <c r="E299">
        <f>IF($A299="","",IF(AND($C299="2027",OR($D299="V01",$D299="V02",$D299="V03")),1,0))</f>
        <v/>
      </c>
      <c r="F299">
        <f>IF($A299="","",IF($E299=1,SUMIFS(Comptabilité!$F$1:$F$675,Comptabilité!$A$1:$A$675,$A299,Comptabilité!$B$1:$B$675,$B299,Comptabilité!$C$1:$C$675,"2026"),0))</f>
        <v/>
      </c>
      <c r="G299">
        <f>IF($A299="","",IF($D299="V01",Cadrage!$C$22,IF($D299="V02",Cadrage!$D$22,Cadrage!$E$22)))</f>
        <v/>
      </c>
      <c r="H299">
        <f>IF($A299="","",IF($D299="V01",Cadrage!$C$23,IF($D299="V02",Cadrage!$D$23,Cadrage!$E$23)))</f>
        <v/>
      </c>
      <c r="I299">
        <f>IF($A299="","",IF($D299="V01",Cadrage!$C$31,IF($D299="V02",Cadrage!$D$31,Cadrage!$E$31)))</f>
        <v/>
      </c>
      <c r="J299">
        <f>IF($A299="","",IF($D299="V01",Cadrage!$C$32,IF($D299="V02",Cadrage!$D$32,Cadrage!$E$32)))</f>
        <v/>
      </c>
      <c r="K299">
        <f>IF($A299="","",IF($D299="V01",Cadrage!$C$33,IF($D299="V02",Cadrage!$D$33,Cadrage!$E$33)))</f>
        <v/>
      </c>
      <c r="L299">
        <f>IF($A299="","",IF($D299="V01",Cadrage!$C$34,IF($D299="V02",Cadrage!$D$34,Cadrage!$E$34)))</f>
        <v/>
      </c>
      <c r="M299">
        <f>IF($A299="","",IF($D299="V01",Cadrage!$C$35,IF($D299="V02",Cadrage!$D$35,Cadrage!$E$35)))</f>
        <v/>
      </c>
      <c r="N299">
        <f>IF($A299="","",IF($D299="V01",$R$2,IF($D299="V02",$R$3,$R$4)))</f>
        <v/>
      </c>
      <c r="O299">
        <f>IF($A299="","",IF(OR($B299="7062",$B299="706",$B299="708"),$N299,IF($B299="6231",1+$G299,IF($B299="6236",1+$H299,IF(OR($B299="621",$B299="604",$B299="6063"),$N299*(1-$L299),IF(OR($B299="6411",$B299="6413",$B299="6414",$B299="645"),(1+$J299)*(1+$K299),IF(OR($B299="613",$B299="615",$B299="616",$B299="6226",$B299="625",$B299="626",$B299="6281"),(1+$I299)*(1-$L299)*(1+$M299),IF(OR($B299="6331",$B299="63511",$B299="6333"),(1+$I299)*(1-$L299),IF($B299="6811",1+$I299,1)))))))))</f>
        <v/>
      </c>
      <c r="P299">
        <f>IF($A299="","",IF($E299=1,$F299*$O299,PNL!G299))</f>
        <v/>
      </c>
      <c r="T299">
        <f>IF($A299="","",IF($E299=1,IF(OR($B299="7062",$B299="706",$B299="708"),$P299,IF(AND(LEFT($B299,1)="6",$B299&lt;&gt;"6811"),-$P299,0)),0))</f>
        <v/>
      </c>
    </row>
    <row r="300">
      <c r="A300">
        <f>IF(PNL!A300="","",PNL!A300)</f>
        <v/>
      </c>
      <c r="B300">
        <f>IF(PNL!B300="","",PNL!B300)</f>
        <v/>
      </c>
      <c r="C300">
        <f>IF(PNL!C300="","",PNL!C300)</f>
        <v/>
      </c>
      <c r="D300">
        <f>IF(PNL!D300="","",PNL!D300)</f>
        <v/>
      </c>
      <c r="E300">
        <f>IF($A300="","",IF(AND($C300="2027",OR($D300="V01",$D300="V02",$D300="V03")),1,0))</f>
        <v/>
      </c>
      <c r="F300">
        <f>IF($A300="","",IF($E300=1,SUMIFS(Comptabilité!$F$1:$F$675,Comptabilité!$A$1:$A$675,$A300,Comptabilité!$B$1:$B$675,$B300,Comptabilité!$C$1:$C$675,"2026"),0))</f>
        <v/>
      </c>
      <c r="G300">
        <f>IF($A300="","",IF($D300="V01",Cadrage!$C$22,IF($D300="V02",Cadrage!$D$22,Cadrage!$E$22)))</f>
        <v/>
      </c>
      <c r="H300">
        <f>IF($A300="","",IF($D300="V01",Cadrage!$C$23,IF($D300="V02",Cadrage!$D$23,Cadrage!$E$23)))</f>
        <v/>
      </c>
      <c r="I300">
        <f>IF($A300="","",IF($D300="V01",Cadrage!$C$31,IF($D300="V02",Cadrage!$D$31,Cadrage!$E$31)))</f>
        <v/>
      </c>
      <c r="J300">
        <f>IF($A300="","",IF($D300="V01",Cadrage!$C$32,IF($D300="V02",Cadrage!$D$32,Cadrage!$E$32)))</f>
        <v/>
      </c>
      <c r="K300">
        <f>IF($A300="","",IF($D300="V01",Cadrage!$C$33,IF($D300="V02",Cadrage!$D$33,Cadrage!$E$33)))</f>
        <v/>
      </c>
      <c r="L300">
        <f>IF($A300="","",IF($D300="V01",Cadrage!$C$34,IF($D300="V02",Cadrage!$D$34,Cadrage!$E$34)))</f>
        <v/>
      </c>
      <c r="M300">
        <f>IF($A300="","",IF($D300="V01",Cadrage!$C$35,IF($D300="V02",Cadrage!$D$35,Cadrage!$E$35)))</f>
        <v/>
      </c>
      <c r="N300">
        <f>IF($A300="","",IF($D300="V01",$R$2,IF($D300="V02",$R$3,$R$4)))</f>
        <v/>
      </c>
      <c r="O300">
        <f>IF($A300="","",IF(OR($B300="7062",$B300="706",$B300="708"),$N300,IF($B300="6231",1+$G300,IF($B300="6236",1+$H300,IF(OR($B300="621",$B300="604",$B300="6063"),$N300*(1-$L300),IF(OR($B300="6411",$B300="6413",$B300="6414",$B300="645"),(1+$J300)*(1+$K300),IF(OR($B300="613",$B300="615",$B300="616",$B300="6226",$B300="625",$B300="626",$B300="6281"),(1+$I300)*(1-$L300)*(1+$M300),IF(OR($B300="6331",$B300="63511",$B300="6333"),(1+$I300)*(1-$L300),IF($B300="6811",1+$I300,1)))))))))</f>
        <v/>
      </c>
      <c r="P300">
        <f>IF($A300="","",IF($E300=1,$F300*$O300,PNL!G300))</f>
        <v/>
      </c>
      <c r="T300">
        <f>IF($A300="","",IF($E300=1,IF(OR($B300="7062",$B300="706",$B300="708"),$P300,IF(AND(LEFT($B300,1)="6",$B300&lt;&gt;"6811"),-$P300,0)),0))</f>
        <v/>
      </c>
    </row>
    <row r="301">
      <c r="A301">
        <f>IF(PNL!A301="","",PNL!A301)</f>
        <v/>
      </c>
      <c r="B301">
        <f>IF(PNL!B301="","",PNL!B301)</f>
        <v/>
      </c>
      <c r="C301">
        <f>IF(PNL!C301="","",PNL!C301)</f>
        <v/>
      </c>
      <c r="D301">
        <f>IF(PNL!D301="","",PNL!D301)</f>
        <v/>
      </c>
      <c r="E301">
        <f>IF($A301="","",IF(AND($C301="2027",OR($D301="V01",$D301="V02",$D301="V03")),1,0))</f>
        <v/>
      </c>
      <c r="F301">
        <f>IF($A301="","",IF($E301=1,SUMIFS(Comptabilité!$F$1:$F$675,Comptabilité!$A$1:$A$675,$A301,Comptabilité!$B$1:$B$675,$B301,Comptabilité!$C$1:$C$675,"2026"),0))</f>
        <v/>
      </c>
      <c r="G301">
        <f>IF($A301="","",IF($D301="V01",Cadrage!$C$22,IF($D301="V02",Cadrage!$D$22,Cadrage!$E$22)))</f>
        <v/>
      </c>
      <c r="H301">
        <f>IF($A301="","",IF($D301="V01",Cadrage!$C$23,IF($D301="V02",Cadrage!$D$23,Cadrage!$E$23)))</f>
        <v/>
      </c>
      <c r="I301">
        <f>IF($A301="","",IF($D301="V01",Cadrage!$C$31,IF($D301="V02",Cadrage!$D$31,Cadrage!$E$31)))</f>
        <v/>
      </c>
      <c r="J301">
        <f>IF($A301="","",IF($D301="V01",Cadrage!$C$32,IF($D301="V02",Cadrage!$D$32,Cadrage!$E$32)))</f>
        <v/>
      </c>
      <c r="K301">
        <f>IF($A301="","",IF($D301="V01",Cadrage!$C$33,IF($D301="V02",Cadrage!$D$33,Cadrage!$E$33)))</f>
        <v/>
      </c>
      <c r="L301">
        <f>IF($A301="","",IF($D301="V01",Cadrage!$C$34,IF($D301="V02",Cadrage!$D$34,Cadrage!$E$34)))</f>
        <v/>
      </c>
      <c r="M301">
        <f>IF($A301="","",IF($D301="V01",Cadrage!$C$35,IF($D301="V02",Cadrage!$D$35,Cadrage!$E$35)))</f>
        <v/>
      </c>
      <c r="N301">
        <f>IF($A301="","",IF($D301="V01",$R$2,IF($D301="V02",$R$3,$R$4)))</f>
        <v/>
      </c>
      <c r="O301">
        <f>IF($A301="","",IF(OR($B301="7062",$B301="706",$B301="708"),$N301,IF($B301="6231",1+$G301,IF($B301="6236",1+$H301,IF(OR($B301="621",$B301="604",$B301="6063"),$N301*(1-$L301),IF(OR($B301="6411",$B301="6413",$B301="6414",$B301="645"),(1+$J301)*(1+$K301),IF(OR($B301="613",$B301="615",$B301="616",$B301="6226",$B301="625",$B301="626",$B301="6281"),(1+$I301)*(1-$L301)*(1+$M301),IF(OR($B301="6331",$B301="63511",$B301="6333"),(1+$I301)*(1-$L301),IF($B301="6811",1+$I301,1)))))))))</f>
        <v/>
      </c>
      <c r="P301">
        <f>IF($A301="","",IF($E301=1,$F301*$O301,PNL!G301))</f>
        <v/>
      </c>
      <c r="T301">
        <f>IF($A301="","",IF($E301=1,IF(OR($B301="7062",$B301="706",$B301="708"),$P301,IF(AND(LEFT($B301,1)="6",$B301&lt;&gt;"6811"),-$P301,0)),0))</f>
        <v/>
      </c>
    </row>
    <row r="302">
      <c r="A302">
        <f>IF(PNL!A302="","",PNL!A302)</f>
        <v/>
      </c>
      <c r="B302">
        <f>IF(PNL!B302="","",PNL!B302)</f>
        <v/>
      </c>
      <c r="C302">
        <f>IF(PNL!C302="","",PNL!C302)</f>
        <v/>
      </c>
      <c r="D302">
        <f>IF(PNL!D302="","",PNL!D302)</f>
        <v/>
      </c>
      <c r="E302">
        <f>IF($A302="","",IF(AND($C302="2027",OR($D302="V01",$D302="V02",$D302="V03")),1,0))</f>
        <v/>
      </c>
      <c r="F302">
        <f>IF($A302="","",IF($E302=1,SUMIFS(Comptabilité!$F$1:$F$675,Comptabilité!$A$1:$A$675,$A302,Comptabilité!$B$1:$B$675,$B302,Comptabilité!$C$1:$C$675,"2026"),0))</f>
        <v/>
      </c>
      <c r="G302">
        <f>IF($A302="","",IF($D302="V01",Cadrage!$C$22,IF($D302="V02",Cadrage!$D$22,Cadrage!$E$22)))</f>
        <v/>
      </c>
      <c r="H302">
        <f>IF($A302="","",IF($D302="V01",Cadrage!$C$23,IF($D302="V02",Cadrage!$D$23,Cadrage!$E$23)))</f>
        <v/>
      </c>
      <c r="I302">
        <f>IF($A302="","",IF($D302="V01",Cadrage!$C$31,IF($D302="V02",Cadrage!$D$31,Cadrage!$E$31)))</f>
        <v/>
      </c>
      <c r="J302">
        <f>IF($A302="","",IF($D302="V01",Cadrage!$C$32,IF($D302="V02",Cadrage!$D$32,Cadrage!$E$32)))</f>
        <v/>
      </c>
      <c r="K302">
        <f>IF($A302="","",IF($D302="V01",Cadrage!$C$33,IF($D302="V02",Cadrage!$D$33,Cadrage!$E$33)))</f>
        <v/>
      </c>
      <c r="L302">
        <f>IF($A302="","",IF($D302="V01",Cadrage!$C$34,IF($D302="V02",Cadrage!$D$34,Cadrage!$E$34)))</f>
        <v/>
      </c>
      <c r="M302">
        <f>IF($A302="","",IF($D302="V01",Cadrage!$C$35,IF($D302="V02",Cadrage!$D$35,Cadrage!$E$35)))</f>
        <v/>
      </c>
      <c r="N302">
        <f>IF($A302="","",IF($D302="V01",$R$2,IF($D302="V02",$R$3,$R$4)))</f>
        <v/>
      </c>
      <c r="O302">
        <f>IF($A302="","",IF(OR($B302="7062",$B302="706",$B302="708"),$N302,IF($B302="6231",1+$G302,IF($B302="6236",1+$H302,IF(OR($B302="621",$B302="604",$B302="6063"),$N302*(1-$L302),IF(OR($B302="6411",$B302="6413",$B302="6414",$B302="645"),(1+$J302)*(1+$K302),IF(OR($B302="613",$B302="615",$B302="616",$B302="6226",$B302="625",$B302="626",$B302="6281"),(1+$I302)*(1-$L302)*(1+$M302),IF(OR($B302="6331",$B302="63511",$B302="6333"),(1+$I302)*(1-$L302),IF($B302="6811",1+$I302,1)))))))))</f>
        <v/>
      </c>
      <c r="P302">
        <f>IF($A302="","",IF($E302=1,$F302*$O302,PNL!G302))</f>
        <v/>
      </c>
      <c r="T302">
        <f>IF($A302="","",IF($E302=1,IF(OR($B302="7062",$B302="706",$B302="708"),$P302,IF(AND(LEFT($B302,1)="6",$B302&lt;&gt;"6811"),-$P302,0)),0))</f>
        <v/>
      </c>
    </row>
    <row r="303">
      <c r="A303">
        <f>IF(PNL!A303="","",PNL!A303)</f>
        <v/>
      </c>
      <c r="B303">
        <f>IF(PNL!B303="","",PNL!B303)</f>
        <v/>
      </c>
      <c r="C303">
        <f>IF(PNL!C303="","",PNL!C303)</f>
        <v/>
      </c>
      <c r="D303">
        <f>IF(PNL!D303="","",PNL!D303)</f>
        <v/>
      </c>
      <c r="E303">
        <f>IF($A303="","",IF(AND($C303="2027",OR($D303="V01",$D303="V02",$D303="V03")),1,0))</f>
        <v/>
      </c>
      <c r="F303">
        <f>IF($A303="","",IF($E303=1,SUMIFS(Comptabilité!$F$1:$F$675,Comptabilité!$A$1:$A$675,$A303,Comptabilité!$B$1:$B$675,$B303,Comptabilité!$C$1:$C$675,"2026"),0))</f>
        <v/>
      </c>
      <c r="G303">
        <f>IF($A303="","",IF($D303="V01",Cadrage!$C$22,IF($D303="V02",Cadrage!$D$22,Cadrage!$E$22)))</f>
        <v/>
      </c>
      <c r="H303">
        <f>IF($A303="","",IF($D303="V01",Cadrage!$C$23,IF($D303="V02",Cadrage!$D$23,Cadrage!$E$23)))</f>
        <v/>
      </c>
      <c r="I303">
        <f>IF($A303="","",IF($D303="V01",Cadrage!$C$31,IF($D303="V02",Cadrage!$D$31,Cadrage!$E$31)))</f>
        <v/>
      </c>
      <c r="J303">
        <f>IF($A303="","",IF($D303="V01",Cadrage!$C$32,IF($D303="V02",Cadrage!$D$32,Cadrage!$E$32)))</f>
        <v/>
      </c>
      <c r="K303">
        <f>IF($A303="","",IF($D303="V01",Cadrage!$C$33,IF($D303="V02",Cadrage!$D$33,Cadrage!$E$33)))</f>
        <v/>
      </c>
      <c r="L303">
        <f>IF($A303="","",IF($D303="V01",Cadrage!$C$34,IF($D303="V02",Cadrage!$D$34,Cadrage!$E$34)))</f>
        <v/>
      </c>
      <c r="M303">
        <f>IF($A303="","",IF($D303="V01",Cadrage!$C$35,IF($D303="V02",Cadrage!$D$35,Cadrage!$E$35)))</f>
        <v/>
      </c>
      <c r="N303">
        <f>IF($A303="","",IF($D303="V01",$R$2,IF($D303="V02",$R$3,$R$4)))</f>
        <v/>
      </c>
      <c r="O303">
        <f>IF($A303="","",IF(OR($B303="7062",$B303="706",$B303="708"),$N303,IF($B303="6231",1+$G303,IF($B303="6236",1+$H303,IF(OR($B303="621",$B303="604",$B303="6063"),$N303*(1-$L303),IF(OR($B303="6411",$B303="6413",$B303="6414",$B303="645"),(1+$J303)*(1+$K303),IF(OR($B303="613",$B303="615",$B303="616",$B303="6226",$B303="625",$B303="626",$B303="6281"),(1+$I303)*(1-$L303)*(1+$M303),IF(OR($B303="6331",$B303="63511",$B303="6333"),(1+$I303)*(1-$L303),IF($B303="6811",1+$I303,1)))))))))</f>
        <v/>
      </c>
      <c r="P303">
        <f>IF($A303="","",IF($E303=1,$F303*$O303,PNL!G303))</f>
        <v/>
      </c>
      <c r="T303">
        <f>IF($A303="","",IF($E303=1,IF(OR($B303="7062",$B303="706",$B303="708"),$P303,IF(AND(LEFT($B303,1)="6",$B303&lt;&gt;"6811"),-$P303,0)),0))</f>
        <v/>
      </c>
    </row>
    <row r="304">
      <c r="A304">
        <f>IF(PNL!A304="","",PNL!A304)</f>
        <v/>
      </c>
      <c r="B304">
        <f>IF(PNL!B304="","",PNL!B304)</f>
        <v/>
      </c>
      <c r="C304">
        <f>IF(PNL!C304="","",PNL!C304)</f>
        <v/>
      </c>
      <c r="D304">
        <f>IF(PNL!D304="","",PNL!D304)</f>
        <v/>
      </c>
      <c r="E304">
        <f>IF($A304="","",IF(AND($C304="2027",OR($D304="V01",$D304="V02",$D304="V03")),1,0))</f>
        <v/>
      </c>
      <c r="F304">
        <f>IF($A304="","",IF($E304=1,SUMIFS(Comptabilité!$F$1:$F$675,Comptabilité!$A$1:$A$675,$A304,Comptabilité!$B$1:$B$675,$B304,Comptabilité!$C$1:$C$675,"2026"),0))</f>
        <v/>
      </c>
      <c r="G304">
        <f>IF($A304="","",IF($D304="V01",Cadrage!$C$22,IF($D304="V02",Cadrage!$D$22,Cadrage!$E$22)))</f>
        <v/>
      </c>
      <c r="H304">
        <f>IF($A304="","",IF($D304="V01",Cadrage!$C$23,IF($D304="V02",Cadrage!$D$23,Cadrage!$E$23)))</f>
        <v/>
      </c>
      <c r="I304">
        <f>IF($A304="","",IF($D304="V01",Cadrage!$C$31,IF($D304="V02",Cadrage!$D$31,Cadrage!$E$31)))</f>
        <v/>
      </c>
      <c r="J304">
        <f>IF($A304="","",IF($D304="V01",Cadrage!$C$32,IF($D304="V02",Cadrage!$D$32,Cadrage!$E$32)))</f>
        <v/>
      </c>
      <c r="K304">
        <f>IF($A304="","",IF($D304="V01",Cadrage!$C$33,IF($D304="V02",Cadrage!$D$33,Cadrage!$E$33)))</f>
        <v/>
      </c>
      <c r="L304">
        <f>IF($A304="","",IF($D304="V01",Cadrage!$C$34,IF($D304="V02",Cadrage!$D$34,Cadrage!$E$34)))</f>
        <v/>
      </c>
      <c r="M304">
        <f>IF($A304="","",IF($D304="V01",Cadrage!$C$35,IF($D304="V02",Cadrage!$D$35,Cadrage!$E$35)))</f>
        <v/>
      </c>
      <c r="N304">
        <f>IF($A304="","",IF($D304="V01",$R$2,IF($D304="V02",$R$3,$R$4)))</f>
        <v/>
      </c>
      <c r="O304">
        <f>IF($A304="","",IF(OR($B304="7062",$B304="706",$B304="708"),$N304,IF($B304="6231",1+$G304,IF($B304="6236",1+$H304,IF(OR($B304="621",$B304="604",$B304="6063"),$N304*(1-$L304),IF(OR($B304="6411",$B304="6413",$B304="6414",$B304="645"),(1+$J304)*(1+$K304),IF(OR($B304="613",$B304="615",$B304="616",$B304="6226",$B304="625",$B304="626",$B304="6281"),(1+$I304)*(1-$L304)*(1+$M304),IF(OR($B304="6331",$B304="63511",$B304="6333"),(1+$I304)*(1-$L304),IF($B304="6811",1+$I304,1)))))))))</f>
        <v/>
      </c>
      <c r="P304">
        <f>IF($A304="","",IF($E304=1,$F304*$O304,PNL!G304))</f>
        <v/>
      </c>
      <c r="T304">
        <f>IF($A304="","",IF($E304=1,IF(OR($B304="7062",$B304="706",$B304="708"),$P304,IF(AND(LEFT($B304,1)="6",$B304&lt;&gt;"6811"),-$P304,0)),0))</f>
        <v/>
      </c>
    </row>
    <row r="305">
      <c r="A305">
        <f>IF(PNL!A305="","",PNL!A305)</f>
        <v/>
      </c>
      <c r="B305">
        <f>IF(PNL!B305="","",PNL!B305)</f>
        <v/>
      </c>
      <c r="C305">
        <f>IF(PNL!C305="","",PNL!C305)</f>
        <v/>
      </c>
      <c r="D305">
        <f>IF(PNL!D305="","",PNL!D305)</f>
        <v/>
      </c>
      <c r="E305">
        <f>IF($A305="","",IF(AND($C305="2027",OR($D305="V01",$D305="V02",$D305="V03")),1,0))</f>
        <v/>
      </c>
      <c r="F305">
        <f>IF($A305="","",IF($E305=1,SUMIFS(Comptabilité!$F$1:$F$675,Comptabilité!$A$1:$A$675,$A305,Comptabilité!$B$1:$B$675,$B305,Comptabilité!$C$1:$C$675,"2026"),0))</f>
        <v/>
      </c>
      <c r="G305">
        <f>IF($A305="","",IF($D305="V01",Cadrage!$C$22,IF($D305="V02",Cadrage!$D$22,Cadrage!$E$22)))</f>
        <v/>
      </c>
      <c r="H305">
        <f>IF($A305="","",IF($D305="V01",Cadrage!$C$23,IF($D305="V02",Cadrage!$D$23,Cadrage!$E$23)))</f>
        <v/>
      </c>
      <c r="I305">
        <f>IF($A305="","",IF($D305="V01",Cadrage!$C$31,IF($D305="V02",Cadrage!$D$31,Cadrage!$E$31)))</f>
        <v/>
      </c>
      <c r="J305">
        <f>IF($A305="","",IF($D305="V01",Cadrage!$C$32,IF($D305="V02",Cadrage!$D$32,Cadrage!$E$32)))</f>
        <v/>
      </c>
      <c r="K305">
        <f>IF($A305="","",IF($D305="V01",Cadrage!$C$33,IF($D305="V02",Cadrage!$D$33,Cadrage!$E$33)))</f>
        <v/>
      </c>
      <c r="L305">
        <f>IF($A305="","",IF($D305="V01",Cadrage!$C$34,IF($D305="V02",Cadrage!$D$34,Cadrage!$E$34)))</f>
        <v/>
      </c>
      <c r="M305">
        <f>IF($A305="","",IF($D305="V01",Cadrage!$C$35,IF($D305="V02",Cadrage!$D$35,Cadrage!$E$35)))</f>
        <v/>
      </c>
      <c r="N305">
        <f>IF($A305="","",IF($D305="V01",$R$2,IF($D305="V02",$R$3,$R$4)))</f>
        <v/>
      </c>
      <c r="O305">
        <f>IF($A305="","",IF(OR($B305="7062",$B305="706",$B305="708"),$N305,IF($B305="6231",1+$G305,IF($B305="6236",1+$H305,IF(OR($B305="621",$B305="604",$B305="6063"),$N305*(1-$L305),IF(OR($B305="6411",$B305="6413",$B305="6414",$B305="645"),(1+$J305)*(1+$K305),IF(OR($B305="613",$B305="615",$B305="616",$B305="6226",$B305="625",$B305="626",$B305="6281"),(1+$I305)*(1-$L305)*(1+$M305),IF(OR($B305="6331",$B305="63511",$B305="6333"),(1+$I305)*(1-$L305),IF($B305="6811",1+$I305,1)))))))))</f>
        <v/>
      </c>
      <c r="P305">
        <f>IF($A305="","",IF($E305=1,$F305*$O305,PNL!G305))</f>
        <v/>
      </c>
      <c r="T305">
        <f>IF($A305="","",IF($E305=1,IF(OR($B305="7062",$B305="706",$B305="708"),$P305,IF(AND(LEFT($B305,1)="6",$B305&lt;&gt;"6811"),-$P305,0)),0))</f>
        <v/>
      </c>
    </row>
    <row r="306">
      <c r="A306">
        <f>IF(PNL!A306="","",PNL!A306)</f>
        <v/>
      </c>
      <c r="B306">
        <f>IF(PNL!B306="","",PNL!B306)</f>
        <v/>
      </c>
      <c r="C306">
        <f>IF(PNL!C306="","",PNL!C306)</f>
        <v/>
      </c>
      <c r="D306">
        <f>IF(PNL!D306="","",PNL!D306)</f>
        <v/>
      </c>
      <c r="E306">
        <f>IF($A306="","",IF(AND($C306="2027",OR($D306="V01",$D306="V02",$D306="V03")),1,0))</f>
        <v/>
      </c>
      <c r="F306">
        <f>IF($A306="","",IF($E306=1,SUMIFS(Comptabilité!$F$1:$F$675,Comptabilité!$A$1:$A$675,$A306,Comptabilité!$B$1:$B$675,$B306,Comptabilité!$C$1:$C$675,"2026"),0))</f>
        <v/>
      </c>
      <c r="G306">
        <f>IF($A306="","",IF($D306="V01",Cadrage!$C$22,IF($D306="V02",Cadrage!$D$22,Cadrage!$E$22)))</f>
        <v/>
      </c>
      <c r="H306">
        <f>IF($A306="","",IF($D306="V01",Cadrage!$C$23,IF($D306="V02",Cadrage!$D$23,Cadrage!$E$23)))</f>
        <v/>
      </c>
      <c r="I306">
        <f>IF($A306="","",IF($D306="V01",Cadrage!$C$31,IF($D306="V02",Cadrage!$D$31,Cadrage!$E$31)))</f>
        <v/>
      </c>
      <c r="J306">
        <f>IF($A306="","",IF($D306="V01",Cadrage!$C$32,IF($D306="V02",Cadrage!$D$32,Cadrage!$E$32)))</f>
        <v/>
      </c>
      <c r="K306">
        <f>IF($A306="","",IF($D306="V01",Cadrage!$C$33,IF($D306="V02",Cadrage!$D$33,Cadrage!$E$33)))</f>
        <v/>
      </c>
      <c r="L306">
        <f>IF($A306="","",IF($D306="V01",Cadrage!$C$34,IF($D306="V02",Cadrage!$D$34,Cadrage!$E$34)))</f>
        <v/>
      </c>
      <c r="M306">
        <f>IF($A306="","",IF($D306="V01",Cadrage!$C$35,IF($D306="V02",Cadrage!$D$35,Cadrage!$E$35)))</f>
        <v/>
      </c>
      <c r="N306">
        <f>IF($A306="","",IF($D306="V01",$R$2,IF($D306="V02",$R$3,$R$4)))</f>
        <v/>
      </c>
      <c r="O306">
        <f>IF($A306="","",IF(OR($B306="7062",$B306="706",$B306="708"),$N306,IF($B306="6231",1+$G306,IF($B306="6236",1+$H306,IF(OR($B306="621",$B306="604",$B306="6063"),$N306*(1-$L306),IF(OR($B306="6411",$B306="6413",$B306="6414",$B306="645"),(1+$J306)*(1+$K306),IF(OR($B306="613",$B306="615",$B306="616",$B306="6226",$B306="625",$B306="626",$B306="6281"),(1+$I306)*(1-$L306)*(1+$M306),IF(OR($B306="6331",$B306="63511",$B306="6333"),(1+$I306)*(1-$L306),IF($B306="6811",1+$I306,1)))))))))</f>
        <v/>
      </c>
      <c r="P306">
        <f>IF($A306="","",IF($E306=1,$F306*$O306,PNL!G306))</f>
        <v/>
      </c>
      <c r="T306">
        <f>IF($A306="","",IF($E306=1,IF(OR($B306="7062",$B306="706",$B306="708"),$P306,IF(AND(LEFT($B306,1)="6",$B306&lt;&gt;"6811"),-$P306,0)),0))</f>
        <v/>
      </c>
    </row>
    <row r="307">
      <c r="A307">
        <f>IF(PNL!A307="","",PNL!A307)</f>
        <v/>
      </c>
      <c r="B307">
        <f>IF(PNL!B307="","",PNL!B307)</f>
        <v/>
      </c>
      <c r="C307">
        <f>IF(PNL!C307="","",PNL!C307)</f>
        <v/>
      </c>
      <c r="D307">
        <f>IF(PNL!D307="","",PNL!D307)</f>
        <v/>
      </c>
      <c r="E307">
        <f>IF($A307="","",IF(AND($C307="2027",OR($D307="V01",$D307="V02",$D307="V03")),1,0))</f>
        <v/>
      </c>
      <c r="F307">
        <f>IF($A307="","",IF($E307=1,SUMIFS(Comptabilité!$F$1:$F$675,Comptabilité!$A$1:$A$675,$A307,Comptabilité!$B$1:$B$675,$B307,Comptabilité!$C$1:$C$675,"2026"),0))</f>
        <v/>
      </c>
      <c r="G307">
        <f>IF($A307="","",IF($D307="V01",Cadrage!$C$22,IF($D307="V02",Cadrage!$D$22,Cadrage!$E$22)))</f>
        <v/>
      </c>
      <c r="H307">
        <f>IF($A307="","",IF($D307="V01",Cadrage!$C$23,IF($D307="V02",Cadrage!$D$23,Cadrage!$E$23)))</f>
        <v/>
      </c>
      <c r="I307">
        <f>IF($A307="","",IF($D307="V01",Cadrage!$C$31,IF($D307="V02",Cadrage!$D$31,Cadrage!$E$31)))</f>
        <v/>
      </c>
      <c r="J307">
        <f>IF($A307="","",IF($D307="V01",Cadrage!$C$32,IF($D307="V02",Cadrage!$D$32,Cadrage!$E$32)))</f>
        <v/>
      </c>
      <c r="K307">
        <f>IF($A307="","",IF($D307="V01",Cadrage!$C$33,IF($D307="V02",Cadrage!$D$33,Cadrage!$E$33)))</f>
        <v/>
      </c>
      <c r="L307">
        <f>IF($A307="","",IF($D307="V01",Cadrage!$C$34,IF($D307="V02",Cadrage!$D$34,Cadrage!$E$34)))</f>
        <v/>
      </c>
      <c r="M307">
        <f>IF($A307="","",IF($D307="V01",Cadrage!$C$35,IF($D307="V02",Cadrage!$D$35,Cadrage!$E$35)))</f>
        <v/>
      </c>
      <c r="N307">
        <f>IF($A307="","",IF($D307="V01",$R$2,IF($D307="V02",$R$3,$R$4)))</f>
        <v/>
      </c>
      <c r="O307">
        <f>IF($A307="","",IF(OR($B307="7062",$B307="706",$B307="708"),$N307,IF($B307="6231",1+$G307,IF($B307="6236",1+$H307,IF(OR($B307="621",$B307="604",$B307="6063"),$N307*(1-$L307),IF(OR($B307="6411",$B307="6413",$B307="6414",$B307="645"),(1+$J307)*(1+$K307),IF(OR($B307="613",$B307="615",$B307="616",$B307="6226",$B307="625",$B307="626",$B307="6281"),(1+$I307)*(1-$L307)*(1+$M307),IF(OR($B307="6331",$B307="63511",$B307="6333"),(1+$I307)*(1-$L307),IF($B307="6811",1+$I307,1)))))))))</f>
        <v/>
      </c>
      <c r="P307">
        <f>IF($A307="","",IF($E307=1,$F307*$O307,PNL!G307))</f>
        <v/>
      </c>
      <c r="T307">
        <f>IF($A307="","",IF($E307=1,IF(OR($B307="7062",$B307="706",$B307="708"),$P307,IF(AND(LEFT($B307,1)="6",$B307&lt;&gt;"6811"),-$P307,0)),0))</f>
        <v/>
      </c>
    </row>
    <row r="308">
      <c r="A308">
        <f>IF(PNL!A308="","",PNL!A308)</f>
        <v/>
      </c>
      <c r="B308">
        <f>IF(PNL!B308="","",PNL!B308)</f>
        <v/>
      </c>
      <c r="C308">
        <f>IF(PNL!C308="","",PNL!C308)</f>
        <v/>
      </c>
      <c r="D308">
        <f>IF(PNL!D308="","",PNL!D308)</f>
        <v/>
      </c>
      <c r="E308">
        <f>IF($A308="","",IF(AND($C308="2027",OR($D308="V01",$D308="V02",$D308="V03")),1,0))</f>
        <v/>
      </c>
      <c r="F308">
        <f>IF($A308="","",IF($E308=1,SUMIFS(Comptabilité!$F$1:$F$675,Comptabilité!$A$1:$A$675,$A308,Comptabilité!$B$1:$B$675,$B308,Comptabilité!$C$1:$C$675,"2026"),0))</f>
        <v/>
      </c>
      <c r="G308">
        <f>IF($A308="","",IF($D308="V01",Cadrage!$C$22,IF($D308="V02",Cadrage!$D$22,Cadrage!$E$22)))</f>
        <v/>
      </c>
      <c r="H308">
        <f>IF($A308="","",IF($D308="V01",Cadrage!$C$23,IF($D308="V02",Cadrage!$D$23,Cadrage!$E$23)))</f>
        <v/>
      </c>
      <c r="I308">
        <f>IF($A308="","",IF($D308="V01",Cadrage!$C$31,IF($D308="V02",Cadrage!$D$31,Cadrage!$E$31)))</f>
        <v/>
      </c>
      <c r="J308">
        <f>IF($A308="","",IF($D308="V01",Cadrage!$C$32,IF($D308="V02",Cadrage!$D$32,Cadrage!$E$32)))</f>
        <v/>
      </c>
      <c r="K308">
        <f>IF($A308="","",IF($D308="V01",Cadrage!$C$33,IF($D308="V02",Cadrage!$D$33,Cadrage!$E$33)))</f>
        <v/>
      </c>
      <c r="L308">
        <f>IF($A308="","",IF($D308="V01",Cadrage!$C$34,IF($D308="V02",Cadrage!$D$34,Cadrage!$E$34)))</f>
        <v/>
      </c>
      <c r="M308">
        <f>IF($A308="","",IF($D308="V01",Cadrage!$C$35,IF($D308="V02",Cadrage!$D$35,Cadrage!$E$35)))</f>
        <v/>
      </c>
      <c r="N308">
        <f>IF($A308="","",IF($D308="V01",$R$2,IF($D308="V02",$R$3,$R$4)))</f>
        <v/>
      </c>
      <c r="O308">
        <f>IF($A308="","",IF(OR($B308="7062",$B308="706",$B308="708"),$N308,IF($B308="6231",1+$G308,IF($B308="6236",1+$H308,IF(OR($B308="621",$B308="604",$B308="6063"),$N308*(1-$L308),IF(OR($B308="6411",$B308="6413",$B308="6414",$B308="645"),(1+$J308)*(1+$K308),IF(OR($B308="613",$B308="615",$B308="616",$B308="6226",$B308="625",$B308="626",$B308="6281"),(1+$I308)*(1-$L308)*(1+$M308),IF(OR($B308="6331",$B308="63511",$B308="6333"),(1+$I308)*(1-$L308),IF($B308="6811",1+$I308,1)))))))))</f>
        <v/>
      </c>
      <c r="P308">
        <f>IF($A308="","",IF($E308=1,$F308*$O308,PNL!G308))</f>
        <v/>
      </c>
      <c r="T308">
        <f>IF($A308="","",IF($E308=1,IF(OR($B308="7062",$B308="706",$B308="708"),$P308,IF(AND(LEFT($B308,1)="6",$B308&lt;&gt;"6811"),-$P308,0)),0))</f>
        <v/>
      </c>
    </row>
    <row r="309">
      <c r="A309">
        <f>IF(PNL!A309="","",PNL!A309)</f>
        <v/>
      </c>
      <c r="B309">
        <f>IF(PNL!B309="","",PNL!B309)</f>
        <v/>
      </c>
      <c r="C309">
        <f>IF(PNL!C309="","",PNL!C309)</f>
        <v/>
      </c>
      <c r="D309">
        <f>IF(PNL!D309="","",PNL!D309)</f>
        <v/>
      </c>
      <c r="E309">
        <f>IF($A309="","",IF(AND($C309="2027",OR($D309="V01",$D309="V02",$D309="V03")),1,0))</f>
        <v/>
      </c>
      <c r="F309">
        <f>IF($A309="","",IF($E309=1,SUMIFS(Comptabilité!$F$1:$F$675,Comptabilité!$A$1:$A$675,$A309,Comptabilité!$B$1:$B$675,$B309,Comptabilité!$C$1:$C$675,"2026"),0))</f>
        <v/>
      </c>
      <c r="G309">
        <f>IF($A309="","",IF($D309="V01",Cadrage!$C$22,IF($D309="V02",Cadrage!$D$22,Cadrage!$E$22)))</f>
        <v/>
      </c>
      <c r="H309">
        <f>IF($A309="","",IF($D309="V01",Cadrage!$C$23,IF($D309="V02",Cadrage!$D$23,Cadrage!$E$23)))</f>
        <v/>
      </c>
      <c r="I309">
        <f>IF($A309="","",IF($D309="V01",Cadrage!$C$31,IF($D309="V02",Cadrage!$D$31,Cadrage!$E$31)))</f>
        <v/>
      </c>
      <c r="J309">
        <f>IF($A309="","",IF($D309="V01",Cadrage!$C$32,IF($D309="V02",Cadrage!$D$32,Cadrage!$E$32)))</f>
        <v/>
      </c>
      <c r="K309">
        <f>IF($A309="","",IF($D309="V01",Cadrage!$C$33,IF($D309="V02",Cadrage!$D$33,Cadrage!$E$33)))</f>
        <v/>
      </c>
      <c r="L309">
        <f>IF($A309="","",IF($D309="V01",Cadrage!$C$34,IF($D309="V02",Cadrage!$D$34,Cadrage!$E$34)))</f>
        <v/>
      </c>
      <c r="M309">
        <f>IF($A309="","",IF($D309="V01",Cadrage!$C$35,IF($D309="V02",Cadrage!$D$35,Cadrage!$E$35)))</f>
        <v/>
      </c>
      <c r="N309">
        <f>IF($A309="","",IF($D309="V01",$R$2,IF($D309="V02",$R$3,$R$4)))</f>
        <v/>
      </c>
      <c r="O309">
        <f>IF($A309="","",IF(OR($B309="7062",$B309="706",$B309="708"),$N309,IF($B309="6231",1+$G309,IF($B309="6236",1+$H309,IF(OR($B309="621",$B309="604",$B309="6063"),$N309*(1-$L309),IF(OR($B309="6411",$B309="6413",$B309="6414",$B309="645"),(1+$J309)*(1+$K309),IF(OR($B309="613",$B309="615",$B309="616",$B309="6226",$B309="625",$B309="626",$B309="6281"),(1+$I309)*(1-$L309)*(1+$M309),IF(OR($B309="6331",$B309="63511",$B309="6333"),(1+$I309)*(1-$L309),IF($B309="6811",1+$I309,1)))))))))</f>
        <v/>
      </c>
      <c r="P309">
        <f>IF($A309="","",IF($E309=1,$F309*$O309,PNL!G309))</f>
        <v/>
      </c>
      <c r="T309">
        <f>IF($A309="","",IF($E309=1,IF(OR($B309="7062",$B309="706",$B309="708"),$P309,IF(AND(LEFT($B309,1)="6",$B309&lt;&gt;"6811"),-$P309,0)),0))</f>
        <v/>
      </c>
    </row>
    <row r="310">
      <c r="A310">
        <f>IF(PNL!A310="","",PNL!A310)</f>
        <v/>
      </c>
      <c r="B310">
        <f>IF(PNL!B310="","",PNL!B310)</f>
        <v/>
      </c>
      <c r="C310">
        <f>IF(PNL!C310="","",PNL!C310)</f>
        <v/>
      </c>
      <c r="D310">
        <f>IF(PNL!D310="","",PNL!D310)</f>
        <v/>
      </c>
      <c r="E310">
        <f>IF($A310="","",IF(AND($C310="2027",OR($D310="V01",$D310="V02",$D310="V03")),1,0))</f>
        <v/>
      </c>
      <c r="F310">
        <f>IF($A310="","",IF($E310=1,SUMIFS(Comptabilité!$F$1:$F$675,Comptabilité!$A$1:$A$675,$A310,Comptabilité!$B$1:$B$675,$B310,Comptabilité!$C$1:$C$675,"2026"),0))</f>
        <v/>
      </c>
      <c r="G310">
        <f>IF($A310="","",IF($D310="V01",Cadrage!$C$22,IF($D310="V02",Cadrage!$D$22,Cadrage!$E$22)))</f>
        <v/>
      </c>
      <c r="H310">
        <f>IF($A310="","",IF($D310="V01",Cadrage!$C$23,IF($D310="V02",Cadrage!$D$23,Cadrage!$E$23)))</f>
        <v/>
      </c>
      <c r="I310">
        <f>IF($A310="","",IF($D310="V01",Cadrage!$C$31,IF($D310="V02",Cadrage!$D$31,Cadrage!$E$31)))</f>
        <v/>
      </c>
      <c r="J310">
        <f>IF($A310="","",IF($D310="V01",Cadrage!$C$32,IF($D310="V02",Cadrage!$D$32,Cadrage!$E$32)))</f>
        <v/>
      </c>
      <c r="K310">
        <f>IF($A310="","",IF($D310="V01",Cadrage!$C$33,IF($D310="V02",Cadrage!$D$33,Cadrage!$E$33)))</f>
        <v/>
      </c>
      <c r="L310">
        <f>IF($A310="","",IF($D310="V01",Cadrage!$C$34,IF($D310="V02",Cadrage!$D$34,Cadrage!$E$34)))</f>
        <v/>
      </c>
      <c r="M310">
        <f>IF($A310="","",IF($D310="V01",Cadrage!$C$35,IF($D310="V02",Cadrage!$D$35,Cadrage!$E$35)))</f>
        <v/>
      </c>
      <c r="N310">
        <f>IF($A310="","",IF($D310="V01",$R$2,IF($D310="V02",$R$3,$R$4)))</f>
        <v/>
      </c>
      <c r="O310">
        <f>IF($A310="","",IF(OR($B310="7062",$B310="706",$B310="708"),$N310,IF($B310="6231",1+$G310,IF($B310="6236",1+$H310,IF(OR($B310="621",$B310="604",$B310="6063"),$N310*(1-$L310),IF(OR($B310="6411",$B310="6413",$B310="6414",$B310="645"),(1+$J310)*(1+$K310),IF(OR($B310="613",$B310="615",$B310="616",$B310="6226",$B310="625",$B310="626",$B310="6281"),(1+$I310)*(1-$L310)*(1+$M310),IF(OR($B310="6331",$B310="63511",$B310="6333"),(1+$I310)*(1-$L310),IF($B310="6811",1+$I310,1)))))))))</f>
        <v/>
      </c>
      <c r="P310">
        <f>IF($A310="","",IF($E310=1,$F310*$O310,PNL!G310))</f>
        <v/>
      </c>
      <c r="T310">
        <f>IF($A310="","",IF($E310=1,IF(OR($B310="7062",$B310="706",$B310="708"),$P310,IF(AND(LEFT($B310,1)="6",$B310&lt;&gt;"6811"),-$P310,0)),0))</f>
        <v/>
      </c>
    </row>
    <row r="311">
      <c r="A311">
        <f>IF(PNL!A311="","",PNL!A311)</f>
        <v/>
      </c>
      <c r="B311">
        <f>IF(PNL!B311="","",PNL!B311)</f>
        <v/>
      </c>
      <c r="C311">
        <f>IF(PNL!C311="","",PNL!C311)</f>
        <v/>
      </c>
      <c r="D311">
        <f>IF(PNL!D311="","",PNL!D311)</f>
        <v/>
      </c>
      <c r="E311">
        <f>IF($A311="","",IF(AND($C311="2027",OR($D311="V01",$D311="V02",$D311="V03")),1,0))</f>
        <v/>
      </c>
      <c r="F311">
        <f>IF($A311="","",IF($E311=1,SUMIFS(Comptabilité!$F$1:$F$675,Comptabilité!$A$1:$A$675,$A311,Comptabilité!$B$1:$B$675,$B311,Comptabilité!$C$1:$C$675,"2026"),0))</f>
        <v/>
      </c>
      <c r="G311">
        <f>IF($A311="","",IF($D311="V01",Cadrage!$C$22,IF($D311="V02",Cadrage!$D$22,Cadrage!$E$22)))</f>
        <v/>
      </c>
      <c r="H311">
        <f>IF($A311="","",IF($D311="V01",Cadrage!$C$23,IF($D311="V02",Cadrage!$D$23,Cadrage!$E$23)))</f>
        <v/>
      </c>
      <c r="I311">
        <f>IF($A311="","",IF($D311="V01",Cadrage!$C$31,IF($D311="V02",Cadrage!$D$31,Cadrage!$E$31)))</f>
        <v/>
      </c>
      <c r="J311">
        <f>IF($A311="","",IF($D311="V01",Cadrage!$C$32,IF($D311="V02",Cadrage!$D$32,Cadrage!$E$32)))</f>
        <v/>
      </c>
      <c r="K311">
        <f>IF($A311="","",IF($D311="V01",Cadrage!$C$33,IF($D311="V02",Cadrage!$D$33,Cadrage!$E$33)))</f>
        <v/>
      </c>
      <c r="L311">
        <f>IF($A311="","",IF($D311="V01",Cadrage!$C$34,IF($D311="V02",Cadrage!$D$34,Cadrage!$E$34)))</f>
        <v/>
      </c>
      <c r="M311">
        <f>IF($A311="","",IF($D311="V01",Cadrage!$C$35,IF($D311="V02",Cadrage!$D$35,Cadrage!$E$35)))</f>
        <v/>
      </c>
      <c r="N311">
        <f>IF($A311="","",IF($D311="V01",$R$2,IF($D311="V02",$R$3,$R$4)))</f>
        <v/>
      </c>
      <c r="O311">
        <f>IF($A311="","",IF(OR($B311="7062",$B311="706",$B311="708"),$N311,IF($B311="6231",1+$G311,IF($B311="6236",1+$H311,IF(OR($B311="621",$B311="604",$B311="6063"),$N311*(1-$L311),IF(OR($B311="6411",$B311="6413",$B311="6414",$B311="645"),(1+$J311)*(1+$K311),IF(OR($B311="613",$B311="615",$B311="616",$B311="6226",$B311="625",$B311="626",$B311="6281"),(1+$I311)*(1-$L311)*(1+$M311),IF(OR($B311="6331",$B311="63511",$B311="6333"),(1+$I311)*(1-$L311),IF($B311="6811",1+$I311,1)))))))))</f>
        <v/>
      </c>
      <c r="P311">
        <f>IF($A311="","",IF($E311=1,$F311*$O311,PNL!G311))</f>
        <v/>
      </c>
      <c r="T311">
        <f>IF($A311="","",IF($E311=1,IF(OR($B311="7062",$B311="706",$B311="708"),$P311,IF(AND(LEFT($B311,1)="6",$B311&lt;&gt;"6811"),-$P311,0)),0))</f>
        <v/>
      </c>
    </row>
    <row r="312">
      <c r="A312">
        <f>IF(PNL!A312="","",PNL!A312)</f>
        <v/>
      </c>
      <c r="B312">
        <f>IF(PNL!B312="","",PNL!B312)</f>
        <v/>
      </c>
      <c r="C312">
        <f>IF(PNL!C312="","",PNL!C312)</f>
        <v/>
      </c>
      <c r="D312">
        <f>IF(PNL!D312="","",PNL!D312)</f>
        <v/>
      </c>
      <c r="E312">
        <f>IF($A312="","",IF(AND($C312="2027",OR($D312="V01",$D312="V02",$D312="V03")),1,0))</f>
        <v/>
      </c>
      <c r="F312">
        <f>IF($A312="","",IF($E312=1,SUMIFS(Comptabilité!$F$1:$F$675,Comptabilité!$A$1:$A$675,$A312,Comptabilité!$B$1:$B$675,$B312,Comptabilité!$C$1:$C$675,"2026"),0))</f>
        <v/>
      </c>
      <c r="G312">
        <f>IF($A312="","",IF($D312="V01",Cadrage!$C$22,IF($D312="V02",Cadrage!$D$22,Cadrage!$E$22)))</f>
        <v/>
      </c>
      <c r="H312">
        <f>IF($A312="","",IF($D312="V01",Cadrage!$C$23,IF($D312="V02",Cadrage!$D$23,Cadrage!$E$23)))</f>
        <v/>
      </c>
      <c r="I312">
        <f>IF($A312="","",IF($D312="V01",Cadrage!$C$31,IF($D312="V02",Cadrage!$D$31,Cadrage!$E$31)))</f>
        <v/>
      </c>
      <c r="J312">
        <f>IF($A312="","",IF($D312="V01",Cadrage!$C$32,IF($D312="V02",Cadrage!$D$32,Cadrage!$E$32)))</f>
        <v/>
      </c>
      <c r="K312">
        <f>IF($A312="","",IF($D312="V01",Cadrage!$C$33,IF($D312="V02",Cadrage!$D$33,Cadrage!$E$33)))</f>
        <v/>
      </c>
      <c r="L312">
        <f>IF($A312="","",IF($D312="V01",Cadrage!$C$34,IF($D312="V02",Cadrage!$D$34,Cadrage!$E$34)))</f>
        <v/>
      </c>
      <c r="M312">
        <f>IF($A312="","",IF($D312="V01",Cadrage!$C$35,IF($D312="V02",Cadrage!$D$35,Cadrage!$E$35)))</f>
        <v/>
      </c>
      <c r="N312">
        <f>IF($A312="","",IF($D312="V01",$R$2,IF($D312="V02",$R$3,$R$4)))</f>
        <v/>
      </c>
      <c r="O312">
        <f>IF($A312="","",IF(OR($B312="7062",$B312="706",$B312="708"),$N312,IF($B312="6231",1+$G312,IF($B312="6236",1+$H312,IF(OR($B312="621",$B312="604",$B312="6063"),$N312*(1-$L312),IF(OR($B312="6411",$B312="6413",$B312="6414",$B312="645"),(1+$J312)*(1+$K312),IF(OR($B312="613",$B312="615",$B312="616",$B312="6226",$B312="625",$B312="626",$B312="6281"),(1+$I312)*(1-$L312)*(1+$M312),IF(OR($B312="6331",$B312="63511",$B312="6333"),(1+$I312)*(1-$L312),IF($B312="6811",1+$I312,1)))))))))</f>
        <v/>
      </c>
      <c r="P312">
        <f>IF($A312="","",IF($E312=1,$F312*$O312,PNL!G312))</f>
        <v/>
      </c>
      <c r="T312">
        <f>IF($A312="","",IF($E312=1,IF(OR($B312="7062",$B312="706",$B312="708"),$P312,IF(AND(LEFT($B312,1)="6",$B312&lt;&gt;"6811"),-$P312,0)),0))</f>
        <v/>
      </c>
    </row>
    <row r="313">
      <c r="A313">
        <f>IF(PNL!A313="","",PNL!A313)</f>
        <v/>
      </c>
      <c r="B313">
        <f>IF(PNL!B313="","",PNL!B313)</f>
        <v/>
      </c>
      <c r="C313">
        <f>IF(PNL!C313="","",PNL!C313)</f>
        <v/>
      </c>
      <c r="D313">
        <f>IF(PNL!D313="","",PNL!D313)</f>
        <v/>
      </c>
      <c r="E313">
        <f>IF($A313="","",IF(AND($C313="2027",OR($D313="V01",$D313="V02",$D313="V03")),1,0))</f>
        <v/>
      </c>
      <c r="F313">
        <f>IF($A313="","",IF($E313=1,SUMIFS(Comptabilité!$F$1:$F$675,Comptabilité!$A$1:$A$675,$A313,Comptabilité!$B$1:$B$675,$B313,Comptabilité!$C$1:$C$675,"2026"),0))</f>
        <v/>
      </c>
      <c r="G313">
        <f>IF($A313="","",IF($D313="V01",Cadrage!$C$22,IF($D313="V02",Cadrage!$D$22,Cadrage!$E$22)))</f>
        <v/>
      </c>
      <c r="H313">
        <f>IF($A313="","",IF($D313="V01",Cadrage!$C$23,IF($D313="V02",Cadrage!$D$23,Cadrage!$E$23)))</f>
        <v/>
      </c>
      <c r="I313">
        <f>IF($A313="","",IF($D313="V01",Cadrage!$C$31,IF($D313="V02",Cadrage!$D$31,Cadrage!$E$31)))</f>
        <v/>
      </c>
      <c r="J313">
        <f>IF($A313="","",IF($D313="V01",Cadrage!$C$32,IF($D313="V02",Cadrage!$D$32,Cadrage!$E$32)))</f>
        <v/>
      </c>
      <c r="K313">
        <f>IF($A313="","",IF($D313="V01",Cadrage!$C$33,IF($D313="V02",Cadrage!$D$33,Cadrage!$E$33)))</f>
        <v/>
      </c>
      <c r="L313">
        <f>IF($A313="","",IF($D313="V01",Cadrage!$C$34,IF($D313="V02",Cadrage!$D$34,Cadrage!$E$34)))</f>
        <v/>
      </c>
      <c r="M313">
        <f>IF($A313="","",IF($D313="V01",Cadrage!$C$35,IF($D313="V02",Cadrage!$D$35,Cadrage!$E$35)))</f>
        <v/>
      </c>
      <c r="N313">
        <f>IF($A313="","",IF($D313="V01",$R$2,IF($D313="V02",$R$3,$R$4)))</f>
        <v/>
      </c>
      <c r="O313">
        <f>IF($A313="","",IF(OR($B313="7062",$B313="706",$B313="708"),$N313,IF($B313="6231",1+$G313,IF($B313="6236",1+$H313,IF(OR($B313="621",$B313="604",$B313="6063"),$N313*(1-$L313),IF(OR($B313="6411",$B313="6413",$B313="6414",$B313="645"),(1+$J313)*(1+$K313),IF(OR($B313="613",$B313="615",$B313="616",$B313="6226",$B313="625",$B313="626",$B313="6281"),(1+$I313)*(1-$L313)*(1+$M313),IF(OR($B313="6331",$B313="63511",$B313="6333"),(1+$I313)*(1-$L313),IF($B313="6811",1+$I313,1)))))))))</f>
        <v/>
      </c>
      <c r="P313">
        <f>IF($A313="","",IF($E313=1,$F313*$O313,PNL!G313))</f>
        <v/>
      </c>
      <c r="T313">
        <f>IF($A313="","",IF($E313=1,IF(OR($B313="7062",$B313="706",$B313="708"),$P313,IF(AND(LEFT($B313,1)="6",$B313&lt;&gt;"6811"),-$P313,0)),0))</f>
        <v/>
      </c>
    </row>
    <row r="314">
      <c r="A314">
        <f>IF(PNL!A314="","",PNL!A314)</f>
        <v/>
      </c>
      <c r="B314">
        <f>IF(PNL!B314="","",PNL!B314)</f>
        <v/>
      </c>
      <c r="C314">
        <f>IF(PNL!C314="","",PNL!C314)</f>
        <v/>
      </c>
      <c r="D314">
        <f>IF(PNL!D314="","",PNL!D314)</f>
        <v/>
      </c>
      <c r="E314">
        <f>IF($A314="","",IF(AND($C314="2027",OR($D314="V01",$D314="V02",$D314="V03")),1,0))</f>
        <v/>
      </c>
      <c r="F314">
        <f>IF($A314="","",IF($E314=1,SUMIFS(Comptabilité!$F$1:$F$675,Comptabilité!$A$1:$A$675,$A314,Comptabilité!$B$1:$B$675,$B314,Comptabilité!$C$1:$C$675,"2026"),0))</f>
        <v/>
      </c>
      <c r="G314">
        <f>IF($A314="","",IF($D314="V01",Cadrage!$C$22,IF($D314="V02",Cadrage!$D$22,Cadrage!$E$22)))</f>
        <v/>
      </c>
      <c r="H314">
        <f>IF($A314="","",IF($D314="V01",Cadrage!$C$23,IF($D314="V02",Cadrage!$D$23,Cadrage!$E$23)))</f>
        <v/>
      </c>
      <c r="I314">
        <f>IF($A314="","",IF($D314="V01",Cadrage!$C$31,IF($D314="V02",Cadrage!$D$31,Cadrage!$E$31)))</f>
        <v/>
      </c>
      <c r="J314">
        <f>IF($A314="","",IF($D314="V01",Cadrage!$C$32,IF($D314="V02",Cadrage!$D$32,Cadrage!$E$32)))</f>
        <v/>
      </c>
      <c r="K314">
        <f>IF($A314="","",IF($D314="V01",Cadrage!$C$33,IF($D314="V02",Cadrage!$D$33,Cadrage!$E$33)))</f>
        <v/>
      </c>
      <c r="L314">
        <f>IF($A314="","",IF($D314="V01",Cadrage!$C$34,IF($D314="V02",Cadrage!$D$34,Cadrage!$E$34)))</f>
        <v/>
      </c>
      <c r="M314">
        <f>IF($A314="","",IF($D314="V01",Cadrage!$C$35,IF($D314="V02",Cadrage!$D$35,Cadrage!$E$35)))</f>
        <v/>
      </c>
      <c r="N314">
        <f>IF($A314="","",IF($D314="V01",$R$2,IF($D314="V02",$R$3,$R$4)))</f>
        <v/>
      </c>
      <c r="O314">
        <f>IF($A314="","",IF(OR($B314="7062",$B314="706",$B314="708"),$N314,IF($B314="6231",1+$G314,IF($B314="6236",1+$H314,IF(OR($B314="621",$B314="604",$B314="6063"),$N314*(1-$L314),IF(OR($B314="6411",$B314="6413",$B314="6414",$B314="645"),(1+$J314)*(1+$K314),IF(OR($B314="613",$B314="615",$B314="616",$B314="6226",$B314="625",$B314="626",$B314="6281"),(1+$I314)*(1-$L314)*(1+$M314),IF(OR($B314="6331",$B314="63511",$B314="6333"),(1+$I314)*(1-$L314),IF($B314="6811",1+$I314,1)))))))))</f>
        <v/>
      </c>
      <c r="P314">
        <f>IF($A314="","",IF($E314=1,$F314*$O314,PNL!G314))</f>
        <v/>
      </c>
      <c r="T314">
        <f>IF($A314="","",IF($E314=1,IF(OR($B314="7062",$B314="706",$B314="708"),$P314,IF(AND(LEFT($B314,1)="6",$B314&lt;&gt;"6811"),-$P314,0)),0))</f>
        <v/>
      </c>
    </row>
    <row r="315">
      <c r="A315">
        <f>IF(PNL!A315="","",PNL!A315)</f>
        <v/>
      </c>
      <c r="B315">
        <f>IF(PNL!B315="","",PNL!B315)</f>
        <v/>
      </c>
      <c r="C315">
        <f>IF(PNL!C315="","",PNL!C315)</f>
        <v/>
      </c>
      <c r="D315">
        <f>IF(PNL!D315="","",PNL!D315)</f>
        <v/>
      </c>
      <c r="E315">
        <f>IF($A315="","",IF(AND($C315="2027",OR($D315="V01",$D315="V02",$D315="V03")),1,0))</f>
        <v/>
      </c>
      <c r="F315">
        <f>IF($A315="","",IF($E315=1,SUMIFS(Comptabilité!$F$1:$F$675,Comptabilité!$A$1:$A$675,$A315,Comptabilité!$B$1:$B$675,$B315,Comptabilité!$C$1:$C$675,"2026"),0))</f>
        <v/>
      </c>
      <c r="G315">
        <f>IF($A315="","",IF($D315="V01",Cadrage!$C$22,IF($D315="V02",Cadrage!$D$22,Cadrage!$E$22)))</f>
        <v/>
      </c>
      <c r="H315">
        <f>IF($A315="","",IF($D315="V01",Cadrage!$C$23,IF($D315="V02",Cadrage!$D$23,Cadrage!$E$23)))</f>
        <v/>
      </c>
      <c r="I315">
        <f>IF($A315="","",IF($D315="V01",Cadrage!$C$31,IF($D315="V02",Cadrage!$D$31,Cadrage!$E$31)))</f>
        <v/>
      </c>
      <c r="J315">
        <f>IF($A315="","",IF($D315="V01",Cadrage!$C$32,IF($D315="V02",Cadrage!$D$32,Cadrage!$E$32)))</f>
        <v/>
      </c>
      <c r="K315">
        <f>IF($A315="","",IF($D315="V01",Cadrage!$C$33,IF($D315="V02",Cadrage!$D$33,Cadrage!$E$33)))</f>
        <v/>
      </c>
      <c r="L315">
        <f>IF($A315="","",IF($D315="V01",Cadrage!$C$34,IF($D315="V02",Cadrage!$D$34,Cadrage!$E$34)))</f>
        <v/>
      </c>
      <c r="M315">
        <f>IF($A315="","",IF($D315="V01",Cadrage!$C$35,IF($D315="V02",Cadrage!$D$35,Cadrage!$E$35)))</f>
        <v/>
      </c>
      <c r="N315">
        <f>IF($A315="","",IF($D315="V01",$R$2,IF($D315="V02",$R$3,$R$4)))</f>
        <v/>
      </c>
      <c r="O315">
        <f>IF($A315="","",IF(OR($B315="7062",$B315="706",$B315="708"),$N315,IF($B315="6231",1+$G315,IF($B315="6236",1+$H315,IF(OR($B315="621",$B315="604",$B315="6063"),$N315*(1-$L315),IF(OR($B315="6411",$B315="6413",$B315="6414",$B315="645"),(1+$J315)*(1+$K315),IF(OR($B315="613",$B315="615",$B315="616",$B315="6226",$B315="625",$B315="626",$B315="6281"),(1+$I315)*(1-$L315)*(1+$M315),IF(OR($B315="6331",$B315="63511",$B315="6333"),(1+$I315)*(1-$L315),IF($B315="6811",1+$I315,1)))))))))</f>
        <v/>
      </c>
      <c r="P315">
        <f>IF($A315="","",IF($E315=1,$F315*$O315,PNL!G315))</f>
        <v/>
      </c>
      <c r="T315">
        <f>IF($A315="","",IF($E315=1,IF(OR($B315="7062",$B315="706",$B315="708"),$P315,IF(AND(LEFT($B315,1)="6",$B315&lt;&gt;"6811"),-$P315,0)),0))</f>
        <v/>
      </c>
    </row>
    <row r="316">
      <c r="A316">
        <f>IF(PNL!A316="","",PNL!A316)</f>
        <v/>
      </c>
      <c r="B316">
        <f>IF(PNL!B316="","",PNL!B316)</f>
        <v/>
      </c>
      <c r="C316">
        <f>IF(PNL!C316="","",PNL!C316)</f>
        <v/>
      </c>
      <c r="D316">
        <f>IF(PNL!D316="","",PNL!D316)</f>
        <v/>
      </c>
      <c r="E316">
        <f>IF($A316="","",IF(AND($C316="2027",OR($D316="V01",$D316="V02",$D316="V03")),1,0))</f>
        <v/>
      </c>
      <c r="F316">
        <f>IF($A316="","",IF($E316=1,SUMIFS(Comptabilité!$F$1:$F$675,Comptabilité!$A$1:$A$675,$A316,Comptabilité!$B$1:$B$675,$B316,Comptabilité!$C$1:$C$675,"2026"),0))</f>
        <v/>
      </c>
      <c r="G316">
        <f>IF($A316="","",IF($D316="V01",Cadrage!$C$22,IF($D316="V02",Cadrage!$D$22,Cadrage!$E$22)))</f>
        <v/>
      </c>
      <c r="H316">
        <f>IF($A316="","",IF($D316="V01",Cadrage!$C$23,IF($D316="V02",Cadrage!$D$23,Cadrage!$E$23)))</f>
        <v/>
      </c>
      <c r="I316">
        <f>IF($A316="","",IF($D316="V01",Cadrage!$C$31,IF($D316="V02",Cadrage!$D$31,Cadrage!$E$31)))</f>
        <v/>
      </c>
      <c r="J316">
        <f>IF($A316="","",IF($D316="V01",Cadrage!$C$32,IF($D316="V02",Cadrage!$D$32,Cadrage!$E$32)))</f>
        <v/>
      </c>
      <c r="K316">
        <f>IF($A316="","",IF($D316="V01",Cadrage!$C$33,IF($D316="V02",Cadrage!$D$33,Cadrage!$E$33)))</f>
        <v/>
      </c>
      <c r="L316">
        <f>IF($A316="","",IF($D316="V01",Cadrage!$C$34,IF($D316="V02",Cadrage!$D$34,Cadrage!$E$34)))</f>
        <v/>
      </c>
      <c r="M316">
        <f>IF($A316="","",IF($D316="V01",Cadrage!$C$35,IF($D316="V02",Cadrage!$D$35,Cadrage!$E$35)))</f>
        <v/>
      </c>
      <c r="N316">
        <f>IF($A316="","",IF($D316="V01",$R$2,IF($D316="V02",$R$3,$R$4)))</f>
        <v/>
      </c>
      <c r="O316">
        <f>IF($A316="","",IF(OR($B316="7062",$B316="706",$B316="708"),$N316,IF($B316="6231",1+$G316,IF($B316="6236",1+$H316,IF(OR($B316="621",$B316="604",$B316="6063"),$N316*(1-$L316),IF(OR($B316="6411",$B316="6413",$B316="6414",$B316="645"),(1+$J316)*(1+$K316),IF(OR($B316="613",$B316="615",$B316="616",$B316="6226",$B316="625",$B316="626",$B316="6281"),(1+$I316)*(1-$L316)*(1+$M316),IF(OR($B316="6331",$B316="63511",$B316="6333"),(1+$I316)*(1-$L316),IF($B316="6811",1+$I316,1)))))))))</f>
        <v/>
      </c>
      <c r="P316">
        <f>IF($A316="","",IF($E316=1,$F316*$O316,PNL!G316))</f>
        <v/>
      </c>
      <c r="T316">
        <f>IF($A316="","",IF($E316=1,IF(OR($B316="7062",$B316="706",$B316="708"),$P316,IF(AND(LEFT($B316,1)="6",$B316&lt;&gt;"6811"),-$P316,0)),0))</f>
        <v/>
      </c>
    </row>
    <row r="317">
      <c r="A317">
        <f>IF(PNL!A317="","",PNL!A317)</f>
        <v/>
      </c>
      <c r="B317">
        <f>IF(PNL!B317="","",PNL!B317)</f>
        <v/>
      </c>
      <c r="C317">
        <f>IF(PNL!C317="","",PNL!C317)</f>
        <v/>
      </c>
      <c r="D317">
        <f>IF(PNL!D317="","",PNL!D317)</f>
        <v/>
      </c>
      <c r="E317">
        <f>IF($A317="","",IF(AND($C317="2027",OR($D317="V01",$D317="V02",$D317="V03")),1,0))</f>
        <v/>
      </c>
      <c r="F317">
        <f>IF($A317="","",IF($E317=1,SUMIFS(Comptabilité!$F$1:$F$675,Comptabilité!$A$1:$A$675,$A317,Comptabilité!$B$1:$B$675,$B317,Comptabilité!$C$1:$C$675,"2026"),0))</f>
        <v/>
      </c>
      <c r="G317">
        <f>IF($A317="","",IF($D317="V01",Cadrage!$C$22,IF($D317="V02",Cadrage!$D$22,Cadrage!$E$22)))</f>
        <v/>
      </c>
      <c r="H317">
        <f>IF($A317="","",IF($D317="V01",Cadrage!$C$23,IF($D317="V02",Cadrage!$D$23,Cadrage!$E$23)))</f>
        <v/>
      </c>
      <c r="I317">
        <f>IF($A317="","",IF($D317="V01",Cadrage!$C$31,IF($D317="V02",Cadrage!$D$31,Cadrage!$E$31)))</f>
        <v/>
      </c>
      <c r="J317">
        <f>IF($A317="","",IF($D317="V01",Cadrage!$C$32,IF($D317="V02",Cadrage!$D$32,Cadrage!$E$32)))</f>
        <v/>
      </c>
      <c r="K317">
        <f>IF($A317="","",IF($D317="V01",Cadrage!$C$33,IF($D317="V02",Cadrage!$D$33,Cadrage!$E$33)))</f>
        <v/>
      </c>
      <c r="L317">
        <f>IF($A317="","",IF($D317="V01",Cadrage!$C$34,IF($D317="V02",Cadrage!$D$34,Cadrage!$E$34)))</f>
        <v/>
      </c>
      <c r="M317">
        <f>IF($A317="","",IF($D317="V01",Cadrage!$C$35,IF($D317="V02",Cadrage!$D$35,Cadrage!$E$35)))</f>
        <v/>
      </c>
      <c r="N317">
        <f>IF($A317="","",IF($D317="V01",$R$2,IF($D317="V02",$R$3,$R$4)))</f>
        <v/>
      </c>
      <c r="O317">
        <f>IF($A317="","",IF(OR($B317="7062",$B317="706",$B317="708"),$N317,IF($B317="6231",1+$G317,IF($B317="6236",1+$H317,IF(OR($B317="621",$B317="604",$B317="6063"),$N317*(1-$L317),IF(OR($B317="6411",$B317="6413",$B317="6414",$B317="645"),(1+$J317)*(1+$K317),IF(OR($B317="613",$B317="615",$B317="616",$B317="6226",$B317="625",$B317="626",$B317="6281"),(1+$I317)*(1-$L317)*(1+$M317),IF(OR($B317="6331",$B317="63511",$B317="6333"),(1+$I317)*(1-$L317),IF($B317="6811",1+$I317,1)))))))))</f>
        <v/>
      </c>
      <c r="P317">
        <f>IF($A317="","",IF($E317=1,$F317*$O317,PNL!G317))</f>
        <v/>
      </c>
      <c r="T317">
        <f>IF($A317="","",IF($E317=1,IF(OR($B317="7062",$B317="706",$B317="708"),$P317,IF(AND(LEFT($B317,1)="6",$B317&lt;&gt;"6811"),-$P317,0)),0))</f>
        <v/>
      </c>
    </row>
    <row r="318">
      <c r="A318">
        <f>IF(PNL!A318="","",PNL!A318)</f>
        <v/>
      </c>
      <c r="B318">
        <f>IF(PNL!B318="","",PNL!B318)</f>
        <v/>
      </c>
      <c r="C318">
        <f>IF(PNL!C318="","",PNL!C318)</f>
        <v/>
      </c>
      <c r="D318">
        <f>IF(PNL!D318="","",PNL!D318)</f>
        <v/>
      </c>
      <c r="E318">
        <f>IF($A318="","",IF(AND($C318="2027",OR($D318="V01",$D318="V02",$D318="V03")),1,0))</f>
        <v/>
      </c>
      <c r="F318">
        <f>IF($A318="","",IF($E318=1,SUMIFS(Comptabilité!$F$1:$F$675,Comptabilité!$A$1:$A$675,$A318,Comptabilité!$B$1:$B$675,$B318,Comptabilité!$C$1:$C$675,"2026"),0))</f>
        <v/>
      </c>
      <c r="G318">
        <f>IF($A318="","",IF($D318="V01",Cadrage!$C$22,IF($D318="V02",Cadrage!$D$22,Cadrage!$E$22)))</f>
        <v/>
      </c>
      <c r="H318">
        <f>IF($A318="","",IF($D318="V01",Cadrage!$C$23,IF($D318="V02",Cadrage!$D$23,Cadrage!$E$23)))</f>
        <v/>
      </c>
      <c r="I318">
        <f>IF($A318="","",IF($D318="V01",Cadrage!$C$31,IF($D318="V02",Cadrage!$D$31,Cadrage!$E$31)))</f>
        <v/>
      </c>
      <c r="J318">
        <f>IF($A318="","",IF($D318="V01",Cadrage!$C$32,IF($D318="V02",Cadrage!$D$32,Cadrage!$E$32)))</f>
        <v/>
      </c>
      <c r="K318">
        <f>IF($A318="","",IF($D318="V01",Cadrage!$C$33,IF($D318="V02",Cadrage!$D$33,Cadrage!$E$33)))</f>
        <v/>
      </c>
      <c r="L318">
        <f>IF($A318="","",IF($D318="V01",Cadrage!$C$34,IF($D318="V02",Cadrage!$D$34,Cadrage!$E$34)))</f>
        <v/>
      </c>
      <c r="M318">
        <f>IF($A318="","",IF($D318="V01",Cadrage!$C$35,IF($D318="V02",Cadrage!$D$35,Cadrage!$E$35)))</f>
        <v/>
      </c>
      <c r="N318">
        <f>IF($A318="","",IF($D318="V01",$R$2,IF($D318="V02",$R$3,$R$4)))</f>
        <v/>
      </c>
      <c r="O318">
        <f>IF($A318="","",IF(OR($B318="7062",$B318="706",$B318="708"),$N318,IF($B318="6231",1+$G318,IF($B318="6236",1+$H318,IF(OR($B318="621",$B318="604",$B318="6063"),$N318*(1-$L318),IF(OR($B318="6411",$B318="6413",$B318="6414",$B318="645"),(1+$J318)*(1+$K318),IF(OR($B318="613",$B318="615",$B318="616",$B318="6226",$B318="625",$B318="626",$B318="6281"),(1+$I318)*(1-$L318)*(1+$M318),IF(OR($B318="6331",$B318="63511",$B318="6333"),(1+$I318)*(1-$L318),IF($B318="6811",1+$I318,1)))))))))</f>
        <v/>
      </c>
      <c r="P318">
        <f>IF($A318="","",IF($E318=1,$F318*$O318,PNL!G318))</f>
        <v/>
      </c>
      <c r="T318">
        <f>IF($A318="","",IF($E318=1,IF(OR($B318="7062",$B318="706",$B318="708"),$P318,IF(AND(LEFT($B318,1)="6",$B318&lt;&gt;"6811"),-$P318,0)),0))</f>
        <v/>
      </c>
    </row>
    <row r="319">
      <c r="A319">
        <f>IF(PNL!A319="","",PNL!A319)</f>
        <v/>
      </c>
      <c r="B319">
        <f>IF(PNL!B319="","",PNL!B319)</f>
        <v/>
      </c>
      <c r="C319">
        <f>IF(PNL!C319="","",PNL!C319)</f>
        <v/>
      </c>
      <c r="D319">
        <f>IF(PNL!D319="","",PNL!D319)</f>
        <v/>
      </c>
      <c r="E319">
        <f>IF($A319="","",IF(AND($C319="2027",OR($D319="V01",$D319="V02",$D319="V03")),1,0))</f>
        <v/>
      </c>
      <c r="F319">
        <f>IF($A319="","",IF($E319=1,SUMIFS(Comptabilité!$F$1:$F$675,Comptabilité!$A$1:$A$675,$A319,Comptabilité!$B$1:$B$675,$B319,Comptabilité!$C$1:$C$675,"2026"),0))</f>
        <v/>
      </c>
      <c r="G319">
        <f>IF($A319="","",IF($D319="V01",Cadrage!$C$22,IF($D319="V02",Cadrage!$D$22,Cadrage!$E$22)))</f>
        <v/>
      </c>
      <c r="H319">
        <f>IF($A319="","",IF($D319="V01",Cadrage!$C$23,IF($D319="V02",Cadrage!$D$23,Cadrage!$E$23)))</f>
        <v/>
      </c>
      <c r="I319">
        <f>IF($A319="","",IF($D319="V01",Cadrage!$C$31,IF($D319="V02",Cadrage!$D$31,Cadrage!$E$31)))</f>
        <v/>
      </c>
      <c r="J319">
        <f>IF($A319="","",IF($D319="V01",Cadrage!$C$32,IF($D319="V02",Cadrage!$D$32,Cadrage!$E$32)))</f>
        <v/>
      </c>
      <c r="K319">
        <f>IF($A319="","",IF($D319="V01",Cadrage!$C$33,IF($D319="V02",Cadrage!$D$33,Cadrage!$E$33)))</f>
        <v/>
      </c>
      <c r="L319">
        <f>IF($A319="","",IF($D319="V01",Cadrage!$C$34,IF($D319="V02",Cadrage!$D$34,Cadrage!$E$34)))</f>
        <v/>
      </c>
      <c r="M319">
        <f>IF($A319="","",IF($D319="V01",Cadrage!$C$35,IF($D319="V02",Cadrage!$D$35,Cadrage!$E$35)))</f>
        <v/>
      </c>
      <c r="N319">
        <f>IF($A319="","",IF($D319="V01",$R$2,IF($D319="V02",$R$3,$R$4)))</f>
        <v/>
      </c>
      <c r="O319">
        <f>IF($A319="","",IF(OR($B319="7062",$B319="706",$B319="708"),$N319,IF($B319="6231",1+$G319,IF($B319="6236",1+$H319,IF(OR($B319="621",$B319="604",$B319="6063"),$N319*(1-$L319),IF(OR($B319="6411",$B319="6413",$B319="6414",$B319="645"),(1+$J319)*(1+$K319),IF(OR($B319="613",$B319="615",$B319="616",$B319="6226",$B319="625",$B319="626",$B319="6281"),(1+$I319)*(1-$L319)*(1+$M319),IF(OR($B319="6331",$B319="63511",$B319="6333"),(1+$I319)*(1-$L319),IF($B319="6811",1+$I319,1)))))))))</f>
        <v/>
      </c>
      <c r="P319">
        <f>IF($A319="","",IF($E319=1,$F319*$O319,PNL!G319))</f>
        <v/>
      </c>
      <c r="T319">
        <f>IF($A319="","",IF($E319=1,IF(OR($B319="7062",$B319="706",$B319="708"),$P319,IF(AND(LEFT($B319,1)="6",$B319&lt;&gt;"6811"),-$P319,0)),0))</f>
        <v/>
      </c>
    </row>
    <row r="320">
      <c r="A320">
        <f>IF(PNL!A320="","",PNL!A320)</f>
        <v/>
      </c>
      <c r="B320">
        <f>IF(PNL!B320="","",PNL!B320)</f>
        <v/>
      </c>
      <c r="C320">
        <f>IF(PNL!C320="","",PNL!C320)</f>
        <v/>
      </c>
      <c r="D320">
        <f>IF(PNL!D320="","",PNL!D320)</f>
        <v/>
      </c>
      <c r="E320">
        <f>IF($A320="","",IF(AND($C320="2027",OR($D320="V01",$D320="V02",$D320="V03")),1,0))</f>
        <v/>
      </c>
      <c r="F320">
        <f>IF($A320="","",IF($E320=1,SUMIFS(Comptabilité!$F$1:$F$675,Comptabilité!$A$1:$A$675,$A320,Comptabilité!$B$1:$B$675,$B320,Comptabilité!$C$1:$C$675,"2026"),0))</f>
        <v/>
      </c>
      <c r="G320">
        <f>IF($A320="","",IF($D320="V01",Cadrage!$C$22,IF($D320="V02",Cadrage!$D$22,Cadrage!$E$22)))</f>
        <v/>
      </c>
      <c r="H320">
        <f>IF($A320="","",IF($D320="V01",Cadrage!$C$23,IF($D320="V02",Cadrage!$D$23,Cadrage!$E$23)))</f>
        <v/>
      </c>
      <c r="I320">
        <f>IF($A320="","",IF($D320="V01",Cadrage!$C$31,IF($D320="V02",Cadrage!$D$31,Cadrage!$E$31)))</f>
        <v/>
      </c>
      <c r="J320">
        <f>IF($A320="","",IF($D320="V01",Cadrage!$C$32,IF($D320="V02",Cadrage!$D$32,Cadrage!$E$32)))</f>
        <v/>
      </c>
      <c r="K320">
        <f>IF($A320="","",IF($D320="V01",Cadrage!$C$33,IF($D320="V02",Cadrage!$D$33,Cadrage!$E$33)))</f>
        <v/>
      </c>
      <c r="L320">
        <f>IF($A320="","",IF($D320="V01",Cadrage!$C$34,IF($D320="V02",Cadrage!$D$34,Cadrage!$E$34)))</f>
        <v/>
      </c>
      <c r="M320">
        <f>IF($A320="","",IF($D320="V01",Cadrage!$C$35,IF($D320="V02",Cadrage!$D$35,Cadrage!$E$35)))</f>
        <v/>
      </c>
      <c r="N320">
        <f>IF($A320="","",IF($D320="V01",$R$2,IF($D320="V02",$R$3,$R$4)))</f>
        <v/>
      </c>
      <c r="O320">
        <f>IF($A320="","",IF(OR($B320="7062",$B320="706",$B320="708"),$N320,IF($B320="6231",1+$G320,IF($B320="6236",1+$H320,IF(OR($B320="621",$B320="604",$B320="6063"),$N320*(1-$L320),IF(OR($B320="6411",$B320="6413",$B320="6414",$B320="645"),(1+$J320)*(1+$K320),IF(OR($B320="613",$B320="615",$B320="616",$B320="6226",$B320="625",$B320="626",$B320="6281"),(1+$I320)*(1-$L320)*(1+$M320),IF(OR($B320="6331",$B320="63511",$B320="6333"),(1+$I320)*(1-$L320),IF($B320="6811",1+$I320,1)))))))))</f>
        <v/>
      </c>
      <c r="P320">
        <f>IF($A320="","",IF($E320=1,$F320*$O320,PNL!G320))</f>
        <v/>
      </c>
      <c r="T320">
        <f>IF($A320="","",IF($E320=1,IF(OR($B320="7062",$B320="706",$B320="708"),$P320,IF(AND(LEFT($B320,1)="6",$B320&lt;&gt;"6811"),-$P320,0)),0))</f>
        <v/>
      </c>
    </row>
    <row r="321">
      <c r="A321">
        <f>IF(PNL!A321="","",PNL!A321)</f>
        <v/>
      </c>
      <c r="B321">
        <f>IF(PNL!B321="","",PNL!B321)</f>
        <v/>
      </c>
      <c r="C321">
        <f>IF(PNL!C321="","",PNL!C321)</f>
        <v/>
      </c>
      <c r="D321">
        <f>IF(PNL!D321="","",PNL!D321)</f>
        <v/>
      </c>
      <c r="E321">
        <f>IF($A321="","",IF(AND($C321="2027",OR($D321="V01",$D321="V02",$D321="V03")),1,0))</f>
        <v/>
      </c>
      <c r="F321">
        <f>IF($A321="","",IF($E321=1,SUMIFS(Comptabilité!$F$1:$F$675,Comptabilité!$A$1:$A$675,$A321,Comptabilité!$B$1:$B$675,$B321,Comptabilité!$C$1:$C$675,"2026"),0))</f>
        <v/>
      </c>
      <c r="G321">
        <f>IF($A321="","",IF($D321="V01",Cadrage!$C$22,IF($D321="V02",Cadrage!$D$22,Cadrage!$E$22)))</f>
        <v/>
      </c>
      <c r="H321">
        <f>IF($A321="","",IF($D321="V01",Cadrage!$C$23,IF($D321="V02",Cadrage!$D$23,Cadrage!$E$23)))</f>
        <v/>
      </c>
      <c r="I321">
        <f>IF($A321="","",IF($D321="V01",Cadrage!$C$31,IF($D321="V02",Cadrage!$D$31,Cadrage!$E$31)))</f>
        <v/>
      </c>
      <c r="J321">
        <f>IF($A321="","",IF($D321="V01",Cadrage!$C$32,IF($D321="V02",Cadrage!$D$32,Cadrage!$E$32)))</f>
        <v/>
      </c>
      <c r="K321">
        <f>IF($A321="","",IF($D321="V01",Cadrage!$C$33,IF($D321="V02",Cadrage!$D$33,Cadrage!$E$33)))</f>
        <v/>
      </c>
      <c r="L321">
        <f>IF($A321="","",IF($D321="V01",Cadrage!$C$34,IF($D321="V02",Cadrage!$D$34,Cadrage!$E$34)))</f>
        <v/>
      </c>
      <c r="M321">
        <f>IF($A321="","",IF($D321="V01",Cadrage!$C$35,IF($D321="V02",Cadrage!$D$35,Cadrage!$E$35)))</f>
        <v/>
      </c>
      <c r="N321">
        <f>IF($A321="","",IF($D321="V01",$R$2,IF($D321="V02",$R$3,$R$4)))</f>
        <v/>
      </c>
      <c r="O321">
        <f>IF($A321="","",IF(OR($B321="7062",$B321="706",$B321="708"),$N321,IF($B321="6231",1+$G321,IF($B321="6236",1+$H321,IF(OR($B321="621",$B321="604",$B321="6063"),$N321*(1-$L321),IF(OR($B321="6411",$B321="6413",$B321="6414",$B321="645"),(1+$J321)*(1+$K321),IF(OR($B321="613",$B321="615",$B321="616",$B321="6226",$B321="625",$B321="626",$B321="6281"),(1+$I321)*(1-$L321)*(1+$M321),IF(OR($B321="6331",$B321="63511",$B321="6333"),(1+$I321)*(1-$L321),IF($B321="6811",1+$I321,1)))))))))</f>
        <v/>
      </c>
      <c r="P321">
        <f>IF($A321="","",IF($E321=1,$F321*$O321,PNL!G321))</f>
        <v/>
      </c>
      <c r="T321">
        <f>IF($A321="","",IF($E321=1,IF(OR($B321="7062",$B321="706",$B321="708"),$P321,IF(AND(LEFT($B321,1)="6",$B321&lt;&gt;"6811"),-$P321,0)),0))</f>
        <v/>
      </c>
    </row>
    <row r="322">
      <c r="A322">
        <f>IF(PNL!A322="","",PNL!A322)</f>
        <v/>
      </c>
      <c r="B322">
        <f>IF(PNL!B322="","",PNL!B322)</f>
        <v/>
      </c>
      <c r="C322">
        <f>IF(PNL!C322="","",PNL!C322)</f>
        <v/>
      </c>
      <c r="D322">
        <f>IF(PNL!D322="","",PNL!D322)</f>
        <v/>
      </c>
      <c r="E322">
        <f>IF($A322="","",IF(AND($C322="2027",OR($D322="V01",$D322="V02",$D322="V03")),1,0))</f>
        <v/>
      </c>
      <c r="F322">
        <f>IF($A322="","",IF($E322=1,SUMIFS(Comptabilité!$F$1:$F$675,Comptabilité!$A$1:$A$675,$A322,Comptabilité!$B$1:$B$675,$B322,Comptabilité!$C$1:$C$675,"2026"),0))</f>
        <v/>
      </c>
      <c r="G322">
        <f>IF($A322="","",IF($D322="V01",Cadrage!$C$22,IF($D322="V02",Cadrage!$D$22,Cadrage!$E$22)))</f>
        <v/>
      </c>
      <c r="H322">
        <f>IF($A322="","",IF($D322="V01",Cadrage!$C$23,IF($D322="V02",Cadrage!$D$23,Cadrage!$E$23)))</f>
        <v/>
      </c>
      <c r="I322">
        <f>IF($A322="","",IF($D322="V01",Cadrage!$C$31,IF($D322="V02",Cadrage!$D$31,Cadrage!$E$31)))</f>
        <v/>
      </c>
      <c r="J322">
        <f>IF($A322="","",IF($D322="V01",Cadrage!$C$32,IF($D322="V02",Cadrage!$D$32,Cadrage!$E$32)))</f>
        <v/>
      </c>
      <c r="K322">
        <f>IF($A322="","",IF($D322="V01",Cadrage!$C$33,IF($D322="V02",Cadrage!$D$33,Cadrage!$E$33)))</f>
        <v/>
      </c>
      <c r="L322">
        <f>IF($A322="","",IF($D322="V01",Cadrage!$C$34,IF($D322="V02",Cadrage!$D$34,Cadrage!$E$34)))</f>
        <v/>
      </c>
      <c r="M322">
        <f>IF($A322="","",IF($D322="V01",Cadrage!$C$35,IF($D322="V02",Cadrage!$D$35,Cadrage!$E$35)))</f>
        <v/>
      </c>
      <c r="N322">
        <f>IF($A322="","",IF($D322="V01",$R$2,IF($D322="V02",$R$3,$R$4)))</f>
        <v/>
      </c>
      <c r="O322">
        <f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>
        <f>IF($A322="","",IF($E322=1,$F322*$O322,PNL!G322))</f>
        <v/>
      </c>
      <c r="T322">
        <f>IF($A322="","",IF($E322=1,IF(OR($B322="7062",$B322="706",$B322="708"),$P322,IF(AND(LEFT($B322,1)="6",$B322&lt;&gt;"6811"),-$P322,0)),0))</f>
        <v/>
      </c>
    </row>
    <row r="323">
      <c r="A323">
        <f>IF(PNL!A323="","",PNL!A323)</f>
        <v/>
      </c>
      <c r="B323">
        <f>IF(PNL!B323="","",PNL!B323)</f>
        <v/>
      </c>
      <c r="C323">
        <f>IF(PNL!C323="","",PNL!C323)</f>
        <v/>
      </c>
      <c r="D323">
        <f>IF(PNL!D323="","",PNL!D323)</f>
        <v/>
      </c>
      <c r="E323">
        <f>IF($A323="","",IF(AND($C323="2027",OR($D323="V01",$D323="V02",$D323="V03")),1,0))</f>
        <v/>
      </c>
      <c r="F323">
        <f>IF($A323="","",IF($E323=1,SUMIFS(Comptabilité!$F$1:$F$675,Comptabilité!$A$1:$A$675,$A323,Comptabilité!$B$1:$B$675,$B323,Comptabilité!$C$1:$C$675,"2026"),0))</f>
        <v/>
      </c>
      <c r="G323">
        <f>IF($A323="","",IF($D323="V01",Cadrage!$C$22,IF($D323="V02",Cadrage!$D$22,Cadrage!$E$22)))</f>
        <v/>
      </c>
      <c r="H323">
        <f>IF($A323="","",IF($D323="V01",Cadrage!$C$23,IF($D323="V02",Cadrage!$D$23,Cadrage!$E$23)))</f>
        <v/>
      </c>
      <c r="I323">
        <f>IF($A323="","",IF($D323="V01",Cadrage!$C$31,IF($D323="V02",Cadrage!$D$31,Cadrage!$E$31)))</f>
        <v/>
      </c>
      <c r="J323">
        <f>IF($A323="","",IF($D323="V01",Cadrage!$C$32,IF($D323="V02",Cadrage!$D$32,Cadrage!$E$32)))</f>
        <v/>
      </c>
      <c r="K323">
        <f>IF($A323="","",IF($D323="V01",Cadrage!$C$33,IF($D323="V02",Cadrage!$D$33,Cadrage!$E$33)))</f>
        <v/>
      </c>
      <c r="L323">
        <f>IF($A323="","",IF($D323="V01",Cadrage!$C$34,IF($D323="V02",Cadrage!$D$34,Cadrage!$E$34)))</f>
        <v/>
      </c>
      <c r="M323">
        <f>IF($A323="","",IF($D323="V01",Cadrage!$C$35,IF($D323="V02",Cadrage!$D$35,Cadrage!$E$35)))</f>
        <v/>
      </c>
      <c r="N323">
        <f>IF($A323="","",IF($D323="V01",$R$2,IF($D323="V02",$R$3,$R$4)))</f>
        <v/>
      </c>
      <c r="O323">
        <f>IF($A323="","",IF(OR($B323="7062",$B323="706",$B323="708"),$N323,IF($B323="6231",1+$G323,IF($B323="6236",1+$H323,IF(OR($B323="621",$B323="604",$B323="6063"),$N323*(1-$L323),IF(OR($B323="6411",$B323="6413",$B323="6414",$B323="645"),(1+$J323)*(1+$K323),IF(OR($B323="613",$B323="615",$B323="616",$B323="6226",$B323="625",$B323="626",$B323="6281"),(1+$I323)*(1-$L323)*(1+$M323),IF(OR($B323="6331",$B323="63511",$B323="6333"),(1+$I323)*(1-$L323),IF($B323="6811",1+$I323,1)))))))))</f>
        <v/>
      </c>
      <c r="P323">
        <f>IF($A323="","",IF($E323=1,$F323*$O323,PNL!G323))</f>
        <v/>
      </c>
      <c r="T323">
        <f>IF($A323="","",IF($E323=1,IF(OR($B323="7062",$B323="706",$B323="708"),$P323,IF(AND(LEFT($B323,1)="6",$B323&lt;&gt;"6811"),-$P323,0)),0))</f>
        <v/>
      </c>
    </row>
    <row r="324">
      <c r="A324">
        <f>IF(PNL!A324="","",PNL!A324)</f>
        <v/>
      </c>
      <c r="B324">
        <f>IF(PNL!B324="","",PNL!B324)</f>
        <v/>
      </c>
      <c r="C324">
        <f>IF(PNL!C324="","",PNL!C324)</f>
        <v/>
      </c>
      <c r="D324">
        <f>IF(PNL!D324="","",PNL!D324)</f>
        <v/>
      </c>
      <c r="E324">
        <f>IF($A324="","",IF(AND($C324="2027",OR($D324="V01",$D324="V02",$D324="V03")),1,0))</f>
        <v/>
      </c>
      <c r="F324">
        <f>IF($A324="","",IF($E324=1,SUMIFS(Comptabilité!$F$1:$F$675,Comptabilité!$A$1:$A$675,$A324,Comptabilité!$B$1:$B$675,$B324,Comptabilité!$C$1:$C$675,"2026"),0))</f>
        <v/>
      </c>
      <c r="G324">
        <f>IF($A324="","",IF($D324="V01",Cadrage!$C$22,IF($D324="V02",Cadrage!$D$22,Cadrage!$E$22)))</f>
        <v/>
      </c>
      <c r="H324">
        <f>IF($A324="","",IF($D324="V01",Cadrage!$C$23,IF($D324="V02",Cadrage!$D$23,Cadrage!$E$23)))</f>
        <v/>
      </c>
      <c r="I324">
        <f>IF($A324="","",IF($D324="V01",Cadrage!$C$31,IF($D324="V02",Cadrage!$D$31,Cadrage!$E$31)))</f>
        <v/>
      </c>
      <c r="J324">
        <f>IF($A324="","",IF($D324="V01",Cadrage!$C$32,IF($D324="V02",Cadrage!$D$32,Cadrage!$E$32)))</f>
        <v/>
      </c>
      <c r="K324">
        <f>IF($A324="","",IF($D324="V01",Cadrage!$C$33,IF($D324="V02",Cadrage!$D$33,Cadrage!$E$33)))</f>
        <v/>
      </c>
      <c r="L324">
        <f>IF($A324="","",IF($D324="V01",Cadrage!$C$34,IF($D324="V02",Cadrage!$D$34,Cadrage!$E$34)))</f>
        <v/>
      </c>
      <c r="M324">
        <f>IF($A324="","",IF($D324="V01",Cadrage!$C$35,IF($D324="V02",Cadrage!$D$35,Cadrage!$E$35)))</f>
        <v/>
      </c>
      <c r="N324">
        <f>IF($A324="","",IF($D324="V01",$R$2,IF($D324="V02",$R$3,$R$4)))</f>
        <v/>
      </c>
      <c r="O324">
        <f>IF($A324="","",IF(OR($B324="7062",$B324="706",$B324="708"),$N324,IF($B324="6231",1+$G324,IF($B324="6236",1+$H324,IF(OR($B324="621",$B324="604",$B324="6063"),$N324*(1-$L324),IF(OR($B324="6411",$B324="6413",$B324="6414",$B324="645"),(1+$J324)*(1+$K324),IF(OR($B324="613",$B324="615",$B324="616",$B324="6226",$B324="625",$B324="626",$B324="6281"),(1+$I324)*(1-$L324)*(1+$M324),IF(OR($B324="6331",$B324="63511",$B324="6333"),(1+$I324)*(1-$L324),IF($B324="6811",1+$I324,1)))))))))</f>
        <v/>
      </c>
      <c r="P324">
        <f>IF($A324="","",IF($E324=1,$F324*$O324,PNL!G324))</f>
        <v/>
      </c>
      <c r="T324">
        <f>IF($A324="","",IF($E324=1,IF(OR($B324="7062",$B324="706",$B324="708"),$P324,IF(AND(LEFT($B324,1)="6",$B324&lt;&gt;"6811"),-$P324,0)),0))</f>
        <v/>
      </c>
    </row>
    <row r="325">
      <c r="A325">
        <f>IF(PNL!A325="","",PNL!A325)</f>
        <v/>
      </c>
      <c r="B325">
        <f>IF(PNL!B325="","",PNL!B325)</f>
        <v/>
      </c>
      <c r="C325">
        <f>IF(PNL!C325="","",PNL!C325)</f>
        <v/>
      </c>
      <c r="D325">
        <f>IF(PNL!D325="","",PNL!D325)</f>
        <v/>
      </c>
      <c r="E325">
        <f>IF($A325="","",IF(AND($C325="2027",OR($D325="V01",$D325="V02",$D325="V03")),1,0))</f>
        <v/>
      </c>
      <c r="F325">
        <f>IF($A325="","",IF($E325=1,SUMIFS(Comptabilité!$F$1:$F$675,Comptabilité!$A$1:$A$675,$A325,Comptabilité!$B$1:$B$675,$B325,Comptabilité!$C$1:$C$675,"2026"),0))</f>
        <v/>
      </c>
      <c r="G325">
        <f>IF($A325="","",IF($D325="V01",Cadrage!$C$22,IF($D325="V02",Cadrage!$D$22,Cadrage!$E$22)))</f>
        <v/>
      </c>
      <c r="H325">
        <f>IF($A325="","",IF($D325="V01",Cadrage!$C$23,IF($D325="V02",Cadrage!$D$23,Cadrage!$E$23)))</f>
        <v/>
      </c>
      <c r="I325">
        <f>IF($A325="","",IF($D325="V01",Cadrage!$C$31,IF($D325="V02",Cadrage!$D$31,Cadrage!$E$31)))</f>
        <v/>
      </c>
      <c r="J325">
        <f>IF($A325="","",IF($D325="V01",Cadrage!$C$32,IF($D325="V02",Cadrage!$D$32,Cadrage!$E$32)))</f>
        <v/>
      </c>
      <c r="K325">
        <f>IF($A325="","",IF($D325="V01",Cadrage!$C$33,IF($D325="V02",Cadrage!$D$33,Cadrage!$E$33)))</f>
        <v/>
      </c>
      <c r="L325">
        <f>IF($A325="","",IF($D325="V01",Cadrage!$C$34,IF($D325="V02",Cadrage!$D$34,Cadrage!$E$34)))</f>
        <v/>
      </c>
      <c r="M325">
        <f>IF($A325="","",IF($D325="V01",Cadrage!$C$35,IF($D325="V02",Cadrage!$D$35,Cadrage!$E$35)))</f>
        <v/>
      </c>
      <c r="N325">
        <f>IF($A325="","",IF($D325="V01",$R$2,IF($D325="V02",$R$3,$R$4)))</f>
        <v/>
      </c>
      <c r="O325">
        <f>IF($A325="","",IF(OR($B325="7062",$B325="706",$B325="708"),$N325,IF($B325="6231",1+$G325,IF($B325="6236",1+$H325,IF(OR($B325="621",$B325="604",$B325="6063"),$N325*(1-$L325),IF(OR($B325="6411",$B325="6413",$B325="6414",$B325="645"),(1+$J325)*(1+$K325),IF(OR($B325="613",$B325="615",$B325="616",$B325="6226",$B325="625",$B325="626",$B325="6281"),(1+$I325)*(1-$L325)*(1+$M325),IF(OR($B325="6331",$B325="63511",$B325="6333"),(1+$I325)*(1-$L325),IF($B325="6811",1+$I325,1)))))))))</f>
        <v/>
      </c>
      <c r="P325">
        <f>IF($A325="","",IF($E325=1,$F325*$O325,PNL!G325))</f>
        <v/>
      </c>
      <c r="T325">
        <f>IF($A325="","",IF($E325=1,IF(OR($B325="7062",$B325="706",$B325="708"),$P325,IF(AND(LEFT($B325,1)="6",$B325&lt;&gt;"6811"),-$P325,0)),0))</f>
        <v/>
      </c>
    </row>
    <row r="326">
      <c r="A326">
        <f>IF(PNL!A326="","",PNL!A326)</f>
        <v/>
      </c>
      <c r="B326">
        <f>IF(PNL!B326="","",PNL!B326)</f>
        <v/>
      </c>
      <c r="C326">
        <f>IF(PNL!C326="","",PNL!C326)</f>
        <v/>
      </c>
      <c r="D326">
        <f>IF(PNL!D326="","",PNL!D326)</f>
        <v/>
      </c>
      <c r="E326">
        <f>IF($A326="","",IF(AND($C326="2027",OR($D326="V01",$D326="V02",$D326="V03")),1,0))</f>
        <v/>
      </c>
      <c r="F326">
        <f>IF($A326="","",IF($E326=1,SUMIFS(Comptabilité!$F$1:$F$675,Comptabilité!$A$1:$A$675,$A326,Comptabilité!$B$1:$B$675,$B326,Comptabilité!$C$1:$C$675,"2026"),0))</f>
        <v/>
      </c>
      <c r="G326">
        <f>IF($A326="","",IF($D326="V01",Cadrage!$C$22,IF($D326="V02",Cadrage!$D$22,Cadrage!$E$22)))</f>
        <v/>
      </c>
      <c r="H326">
        <f>IF($A326="","",IF($D326="V01",Cadrage!$C$23,IF($D326="V02",Cadrage!$D$23,Cadrage!$E$23)))</f>
        <v/>
      </c>
      <c r="I326">
        <f>IF($A326="","",IF($D326="V01",Cadrage!$C$31,IF($D326="V02",Cadrage!$D$31,Cadrage!$E$31)))</f>
        <v/>
      </c>
      <c r="J326">
        <f>IF($A326="","",IF($D326="V01",Cadrage!$C$32,IF($D326="V02",Cadrage!$D$32,Cadrage!$E$32)))</f>
        <v/>
      </c>
      <c r="K326">
        <f>IF($A326="","",IF($D326="V01",Cadrage!$C$33,IF($D326="V02",Cadrage!$D$33,Cadrage!$E$33)))</f>
        <v/>
      </c>
      <c r="L326">
        <f>IF($A326="","",IF($D326="V01",Cadrage!$C$34,IF($D326="V02",Cadrage!$D$34,Cadrage!$E$34)))</f>
        <v/>
      </c>
      <c r="M326">
        <f>IF($A326="","",IF($D326="V01",Cadrage!$C$35,IF($D326="V02",Cadrage!$D$35,Cadrage!$E$35)))</f>
        <v/>
      </c>
      <c r="N326">
        <f>IF($A326="","",IF($D326="V01",$R$2,IF($D326="V02",$R$3,$R$4)))</f>
        <v/>
      </c>
      <c r="O326">
        <f>IF($A326="","",IF(OR($B326="7062",$B326="706",$B326="708"),$N326,IF($B326="6231",1+$G326,IF($B326="6236",1+$H326,IF(OR($B326="621",$B326="604",$B326="6063"),$N326*(1-$L326),IF(OR($B326="6411",$B326="6413",$B326="6414",$B326="645"),(1+$J326)*(1+$K326),IF(OR($B326="613",$B326="615",$B326="616",$B326="6226",$B326="625",$B326="626",$B326="6281"),(1+$I326)*(1-$L326)*(1+$M326),IF(OR($B326="6331",$B326="63511",$B326="6333"),(1+$I326)*(1-$L326),IF($B326="6811",1+$I326,1)))))))))</f>
        <v/>
      </c>
      <c r="P326">
        <f>IF($A326="","",IF($E326=1,$F326*$O326,PNL!G326))</f>
        <v/>
      </c>
      <c r="T326">
        <f>IF($A326="","",IF($E326=1,IF(OR($B326="7062",$B326="706",$B326="708"),$P326,IF(AND(LEFT($B326,1)="6",$B326&lt;&gt;"6811"),-$P326,0)),0))</f>
        <v/>
      </c>
    </row>
    <row r="327">
      <c r="A327">
        <f>IF(PNL!A327="","",PNL!A327)</f>
        <v/>
      </c>
      <c r="B327">
        <f>IF(PNL!B327="","",PNL!B327)</f>
        <v/>
      </c>
      <c r="C327">
        <f>IF(PNL!C327="","",PNL!C327)</f>
        <v/>
      </c>
      <c r="D327">
        <f>IF(PNL!D327="","",PNL!D327)</f>
        <v/>
      </c>
      <c r="E327">
        <f>IF($A327="","",IF(AND($C327="2027",OR($D327="V01",$D327="V02",$D327="V03")),1,0))</f>
        <v/>
      </c>
      <c r="F327">
        <f>IF($A327="","",IF($E327=1,SUMIFS(Comptabilité!$F$1:$F$675,Comptabilité!$A$1:$A$675,$A327,Comptabilité!$B$1:$B$675,$B327,Comptabilité!$C$1:$C$675,"2026"),0))</f>
        <v/>
      </c>
      <c r="G327">
        <f>IF($A327="","",IF($D327="V01",Cadrage!$C$22,IF($D327="V02",Cadrage!$D$22,Cadrage!$E$22)))</f>
        <v/>
      </c>
      <c r="H327">
        <f>IF($A327="","",IF($D327="V01",Cadrage!$C$23,IF($D327="V02",Cadrage!$D$23,Cadrage!$E$23)))</f>
        <v/>
      </c>
      <c r="I327">
        <f>IF($A327="","",IF($D327="V01",Cadrage!$C$31,IF($D327="V02",Cadrage!$D$31,Cadrage!$E$31)))</f>
        <v/>
      </c>
      <c r="J327">
        <f>IF($A327="","",IF($D327="V01",Cadrage!$C$32,IF($D327="V02",Cadrage!$D$32,Cadrage!$E$32)))</f>
        <v/>
      </c>
      <c r="K327">
        <f>IF($A327="","",IF($D327="V01",Cadrage!$C$33,IF($D327="V02",Cadrage!$D$33,Cadrage!$E$33)))</f>
        <v/>
      </c>
      <c r="L327">
        <f>IF($A327="","",IF($D327="V01",Cadrage!$C$34,IF($D327="V02",Cadrage!$D$34,Cadrage!$E$34)))</f>
        <v/>
      </c>
      <c r="M327">
        <f>IF($A327="","",IF($D327="V01",Cadrage!$C$35,IF($D327="V02",Cadrage!$D$35,Cadrage!$E$35)))</f>
        <v/>
      </c>
      <c r="N327">
        <f>IF($A327="","",IF($D327="V01",$R$2,IF($D327="V02",$R$3,$R$4)))</f>
        <v/>
      </c>
      <c r="O327">
        <f>IF($A327="","",IF(OR($B327="7062",$B327="706",$B327="708"),$N327,IF($B327="6231",1+$G327,IF($B327="6236",1+$H327,IF(OR($B327="621",$B327="604",$B327="6063"),$N327*(1-$L327),IF(OR($B327="6411",$B327="6413",$B327="6414",$B327="645"),(1+$J327)*(1+$K327),IF(OR($B327="613",$B327="615",$B327="616",$B327="6226",$B327="625",$B327="626",$B327="6281"),(1+$I327)*(1-$L327)*(1+$M327),IF(OR($B327="6331",$B327="63511",$B327="6333"),(1+$I327)*(1-$L327),IF($B327="6811",1+$I327,1)))))))))</f>
        <v/>
      </c>
      <c r="P327">
        <f>IF($A327="","",IF($E327=1,$F327*$O327,PNL!G327))</f>
        <v/>
      </c>
      <c r="T327">
        <f>IF($A327="","",IF($E327=1,IF(OR($B327="7062",$B327="706",$B327="708"),$P327,IF(AND(LEFT($B327,1)="6",$B327&lt;&gt;"6811"),-$P327,0)),0))</f>
        <v/>
      </c>
    </row>
    <row r="328">
      <c r="A328">
        <f>IF(PNL!A328="","",PNL!A328)</f>
        <v/>
      </c>
      <c r="B328">
        <f>IF(PNL!B328="","",PNL!B328)</f>
        <v/>
      </c>
      <c r="C328">
        <f>IF(PNL!C328="","",PNL!C328)</f>
        <v/>
      </c>
      <c r="D328">
        <f>IF(PNL!D328="","",PNL!D328)</f>
        <v/>
      </c>
      <c r="E328">
        <f>IF($A328="","",IF(AND($C328="2027",OR($D328="V01",$D328="V02",$D328="V03")),1,0))</f>
        <v/>
      </c>
      <c r="F328">
        <f>IF($A328="","",IF($E328=1,SUMIFS(Comptabilité!$F$1:$F$675,Comptabilité!$A$1:$A$675,$A328,Comptabilité!$B$1:$B$675,$B328,Comptabilité!$C$1:$C$675,"2026"),0))</f>
        <v/>
      </c>
      <c r="G328">
        <f>IF($A328="","",IF($D328="V01",Cadrage!$C$22,IF($D328="V02",Cadrage!$D$22,Cadrage!$E$22)))</f>
        <v/>
      </c>
      <c r="H328">
        <f>IF($A328="","",IF($D328="V01",Cadrage!$C$23,IF($D328="V02",Cadrage!$D$23,Cadrage!$E$23)))</f>
        <v/>
      </c>
      <c r="I328">
        <f>IF($A328="","",IF($D328="V01",Cadrage!$C$31,IF($D328="V02",Cadrage!$D$31,Cadrage!$E$31)))</f>
        <v/>
      </c>
      <c r="J328">
        <f>IF($A328="","",IF($D328="V01",Cadrage!$C$32,IF($D328="V02",Cadrage!$D$32,Cadrage!$E$32)))</f>
        <v/>
      </c>
      <c r="K328">
        <f>IF($A328="","",IF($D328="V01",Cadrage!$C$33,IF($D328="V02",Cadrage!$D$33,Cadrage!$E$33)))</f>
        <v/>
      </c>
      <c r="L328">
        <f>IF($A328="","",IF($D328="V01",Cadrage!$C$34,IF($D328="V02",Cadrage!$D$34,Cadrage!$E$34)))</f>
        <v/>
      </c>
      <c r="M328">
        <f>IF($A328="","",IF($D328="V01",Cadrage!$C$35,IF($D328="V02",Cadrage!$D$35,Cadrage!$E$35)))</f>
        <v/>
      </c>
      <c r="N328">
        <f>IF($A328="","",IF($D328="V01",$R$2,IF($D328="V02",$R$3,$R$4)))</f>
        <v/>
      </c>
      <c r="O328">
        <f>IF($A328="","",IF(OR($B328="7062",$B328="706",$B328="708"),$N328,IF($B328="6231",1+$G328,IF($B328="6236",1+$H328,IF(OR($B328="621",$B328="604",$B328="6063"),$N328*(1-$L328),IF(OR($B328="6411",$B328="6413",$B328="6414",$B328="645"),(1+$J328)*(1+$K328),IF(OR($B328="613",$B328="615",$B328="616",$B328="6226",$B328="625",$B328="626",$B328="6281"),(1+$I328)*(1-$L328)*(1+$M328),IF(OR($B328="6331",$B328="63511",$B328="6333"),(1+$I328)*(1-$L328),IF($B328="6811",1+$I328,1)))))))))</f>
        <v/>
      </c>
      <c r="P328">
        <f>IF($A328="","",IF($E328=1,$F328*$O328,PNL!G328))</f>
        <v/>
      </c>
      <c r="T328">
        <f>IF($A328="","",IF($E328=1,IF(OR($B328="7062",$B328="706",$B328="708"),$P328,IF(AND(LEFT($B328,1)="6",$B328&lt;&gt;"6811"),-$P328,0)),0))</f>
        <v/>
      </c>
    </row>
    <row r="329">
      <c r="A329">
        <f>IF(PNL!A329="","",PNL!A329)</f>
        <v/>
      </c>
      <c r="B329">
        <f>IF(PNL!B329="","",PNL!B329)</f>
        <v/>
      </c>
      <c r="C329">
        <f>IF(PNL!C329="","",PNL!C329)</f>
        <v/>
      </c>
      <c r="D329">
        <f>IF(PNL!D329="","",PNL!D329)</f>
        <v/>
      </c>
      <c r="E329">
        <f>IF($A329="","",IF(AND($C329="2027",OR($D329="V01",$D329="V02",$D329="V03")),1,0))</f>
        <v/>
      </c>
      <c r="F329">
        <f>IF($A329="","",IF($E329=1,SUMIFS(Comptabilité!$F$1:$F$675,Comptabilité!$A$1:$A$675,$A329,Comptabilité!$B$1:$B$675,$B329,Comptabilité!$C$1:$C$675,"2026"),0))</f>
        <v/>
      </c>
      <c r="G329">
        <f>IF($A329="","",IF($D329="V01",Cadrage!$C$22,IF($D329="V02",Cadrage!$D$22,Cadrage!$E$22)))</f>
        <v/>
      </c>
      <c r="H329">
        <f>IF($A329="","",IF($D329="V01",Cadrage!$C$23,IF($D329="V02",Cadrage!$D$23,Cadrage!$E$23)))</f>
        <v/>
      </c>
      <c r="I329">
        <f>IF($A329="","",IF($D329="V01",Cadrage!$C$31,IF($D329="V02",Cadrage!$D$31,Cadrage!$E$31)))</f>
        <v/>
      </c>
      <c r="J329">
        <f>IF($A329="","",IF($D329="V01",Cadrage!$C$32,IF($D329="V02",Cadrage!$D$32,Cadrage!$E$32)))</f>
        <v/>
      </c>
      <c r="K329">
        <f>IF($A329="","",IF($D329="V01",Cadrage!$C$33,IF($D329="V02",Cadrage!$D$33,Cadrage!$E$33)))</f>
        <v/>
      </c>
      <c r="L329">
        <f>IF($A329="","",IF($D329="V01",Cadrage!$C$34,IF($D329="V02",Cadrage!$D$34,Cadrage!$E$34)))</f>
        <v/>
      </c>
      <c r="M329">
        <f>IF($A329="","",IF($D329="V01",Cadrage!$C$35,IF($D329="V02",Cadrage!$D$35,Cadrage!$E$35)))</f>
        <v/>
      </c>
      <c r="N329">
        <f>IF($A329="","",IF($D329="V01",$R$2,IF($D329="V02",$R$3,$R$4)))</f>
        <v/>
      </c>
      <c r="O329">
        <f>IF($A329="","",IF(OR($B329="7062",$B329="706",$B329="708"),$N329,IF($B329="6231",1+$G329,IF($B329="6236",1+$H329,IF(OR($B329="621",$B329="604",$B329="6063"),$N329*(1-$L329),IF(OR($B329="6411",$B329="6413",$B329="6414",$B329="645"),(1+$J329)*(1+$K329),IF(OR($B329="613",$B329="615",$B329="616",$B329="6226",$B329="625",$B329="626",$B329="6281"),(1+$I329)*(1-$L329)*(1+$M329),IF(OR($B329="6331",$B329="63511",$B329="6333"),(1+$I329)*(1-$L329),IF($B329="6811",1+$I329,1)))))))))</f>
        <v/>
      </c>
      <c r="P329">
        <f>IF($A329="","",IF($E329=1,$F329*$O329,PNL!G329))</f>
        <v/>
      </c>
      <c r="T329">
        <f>IF($A329="","",IF($E329=1,IF(OR($B329="7062",$B329="706",$B329="708"),$P329,IF(AND(LEFT($B329,1)="6",$B329&lt;&gt;"6811"),-$P329,0)),0))</f>
        <v/>
      </c>
    </row>
    <row r="330">
      <c r="A330">
        <f>IF(PNL!A330="","",PNL!A330)</f>
        <v/>
      </c>
      <c r="B330">
        <f>IF(PNL!B330="","",PNL!B330)</f>
        <v/>
      </c>
      <c r="C330">
        <f>IF(PNL!C330="","",PNL!C330)</f>
        <v/>
      </c>
      <c r="D330">
        <f>IF(PNL!D330="","",PNL!D330)</f>
        <v/>
      </c>
      <c r="E330">
        <f>IF($A330="","",IF(AND($C330="2027",OR($D330="V01",$D330="V02",$D330="V03")),1,0))</f>
        <v/>
      </c>
      <c r="F330">
        <f>IF($A330="","",IF($E330=1,SUMIFS(Comptabilité!$F$1:$F$675,Comptabilité!$A$1:$A$675,$A330,Comptabilité!$B$1:$B$675,$B330,Comptabilité!$C$1:$C$675,"2026"),0))</f>
        <v/>
      </c>
      <c r="G330">
        <f>IF($A330="","",IF($D330="V01",Cadrage!$C$22,IF($D330="V02",Cadrage!$D$22,Cadrage!$E$22)))</f>
        <v/>
      </c>
      <c r="H330">
        <f>IF($A330="","",IF($D330="V01",Cadrage!$C$23,IF($D330="V02",Cadrage!$D$23,Cadrage!$E$23)))</f>
        <v/>
      </c>
      <c r="I330">
        <f>IF($A330="","",IF($D330="V01",Cadrage!$C$31,IF($D330="V02",Cadrage!$D$31,Cadrage!$E$31)))</f>
        <v/>
      </c>
      <c r="J330">
        <f>IF($A330="","",IF($D330="V01",Cadrage!$C$32,IF($D330="V02",Cadrage!$D$32,Cadrage!$E$32)))</f>
        <v/>
      </c>
      <c r="K330">
        <f>IF($A330="","",IF($D330="V01",Cadrage!$C$33,IF($D330="V02",Cadrage!$D$33,Cadrage!$E$33)))</f>
        <v/>
      </c>
      <c r="L330">
        <f>IF($A330="","",IF($D330="V01",Cadrage!$C$34,IF($D330="V02",Cadrage!$D$34,Cadrage!$E$34)))</f>
        <v/>
      </c>
      <c r="M330">
        <f>IF($A330="","",IF($D330="V01",Cadrage!$C$35,IF($D330="V02",Cadrage!$D$35,Cadrage!$E$35)))</f>
        <v/>
      </c>
      <c r="N330">
        <f>IF($A330="","",IF($D330="V01",$R$2,IF($D330="V02",$R$3,$R$4)))</f>
        <v/>
      </c>
      <c r="O330">
        <f>IF($A330="","",IF(OR($B330="7062",$B330="706",$B330="708"),$N330,IF($B330="6231",1+$G330,IF($B330="6236",1+$H330,IF(OR($B330="621",$B330="604",$B330="6063"),$N330*(1-$L330),IF(OR($B330="6411",$B330="6413",$B330="6414",$B330="645"),(1+$J330)*(1+$K330),IF(OR($B330="613",$B330="615",$B330="616",$B330="6226",$B330="625",$B330="626",$B330="6281"),(1+$I330)*(1-$L330)*(1+$M330),IF(OR($B330="6331",$B330="63511",$B330="6333"),(1+$I330)*(1-$L330),IF($B330="6811",1+$I330,1)))))))))</f>
        <v/>
      </c>
      <c r="P330">
        <f>IF($A330="","",IF($E330=1,$F330*$O330,PNL!G330))</f>
        <v/>
      </c>
      <c r="T330">
        <f>IF($A330="","",IF($E330=1,IF(OR($B330="7062",$B330="706",$B330="708"),$P330,IF(AND(LEFT($B330,1)="6",$B330&lt;&gt;"6811"),-$P330,0)),0))</f>
        <v/>
      </c>
    </row>
    <row r="331">
      <c r="A331">
        <f>IF(PNL!A331="","",PNL!A331)</f>
        <v/>
      </c>
      <c r="B331">
        <f>IF(PNL!B331="","",PNL!B331)</f>
        <v/>
      </c>
      <c r="C331">
        <f>IF(PNL!C331="","",PNL!C331)</f>
        <v/>
      </c>
      <c r="D331">
        <f>IF(PNL!D331="","",PNL!D331)</f>
        <v/>
      </c>
      <c r="E331">
        <f>IF($A331="","",IF(AND($C331="2027",OR($D331="V01",$D331="V02",$D331="V03")),1,0))</f>
        <v/>
      </c>
      <c r="F331">
        <f>IF($A331="","",IF($E331=1,SUMIFS(Comptabilité!$F$1:$F$675,Comptabilité!$A$1:$A$675,$A331,Comptabilité!$B$1:$B$675,$B331,Comptabilité!$C$1:$C$675,"2026"),0))</f>
        <v/>
      </c>
      <c r="G331">
        <f>IF($A331="","",IF($D331="V01",Cadrage!$C$22,IF($D331="V02",Cadrage!$D$22,Cadrage!$E$22)))</f>
        <v/>
      </c>
      <c r="H331">
        <f>IF($A331="","",IF($D331="V01",Cadrage!$C$23,IF($D331="V02",Cadrage!$D$23,Cadrage!$E$23)))</f>
        <v/>
      </c>
      <c r="I331">
        <f>IF($A331="","",IF($D331="V01",Cadrage!$C$31,IF($D331="V02",Cadrage!$D$31,Cadrage!$E$31)))</f>
        <v/>
      </c>
      <c r="J331">
        <f>IF($A331="","",IF($D331="V01",Cadrage!$C$32,IF($D331="V02",Cadrage!$D$32,Cadrage!$E$32)))</f>
        <v/>
      </c>
      <c r="K331">
        <f>IF($A331="","",IF($D331="V01",Cadrage!$C$33,IF($D331="V02",Cadrage!$D$33,Cadrage!$E$33)))</f>
        <v/>
      </c>
      <c r="L331">
        <f>IF($A331="","",IF($D331="V01",Cadrage!$C$34,IF($D331="V02",Cadrage!$D$34,Cadrage!$E$34)))</f>
        <v/>
      </c>
      <c r="M331">
        <f>IF($A331="","",IF($D331="V01",Cadrage!$C$35,IF($D331="V02",Cadrage!$D$35,Cadrage!$E$35)))</f>
        <v/>
      </c>
      <c r="N331">
        <f>IF($A331="","",IF($D331="V01",$R$2,IF($D331="V02",$R$3,$R$4)))</f>
        <v/>
      </c>
      <c r="O331">
        <f>IF($A331="","",IF(OR($B331="7062",$B331="706",$B331="708"),$N331,IF($B331="6231",1+$G331,IF($B331="6236",1+$H331,IF(OR($B331="621",$B331="604",$B331="6063"),$N331*(1-$L331),IF(OR($B331="6411",$B331="6413",$B331="6414",$B331="645"),(1+$J331)*(1+$K331),IF(OR($B331="613",$B331="615",$B331="616",$B331="6226",$B331="625",$B331="626",$B331="6281"),(1+$I331)*(1-$L331)*(1+$M331),IF(OR($B331="6331",$B331="63511",$B331="6333"),(1+$I331)*(1-$L331),IF($B331="6811",1+$I331,1)))))))))</f>
        <v/>
      </c>
      <c r="P331">
        <f>IF($A331="","",IF($E331=1,$F331*$O331,PNL!G331))</f>
        <v/>
      </c>
      <c r="T331">
        <f>IF($A331="","",IF($E331=1,IF(OR($B331="7062",$B331="706",$B331="708"),$P331,IF(AND(LEFT($B331,1)="6",$B331&lt;&gt;"6811"),-$P331,0)),0))</f>
        <v/>
      </c>
    </row>
    <row r="332">
      <c r="A332">
        <f>IF(PNL!A332="","",PNL!A332)</f>
        <v/>
      </c>
      <c r="B332">
        <f>IF(PNL!B332="","",PNL!B332)</f>
        <v/>
      </c>
      <c r="C332">
        <f>IF(PNL!C332="","",PNL!C332)</f>
        <v/>
      </c>
      <c r="D332">
        <f>IF(PNL!D332="","",PNL!D332)</f>
        <v/>
      </c>
      <c r="E332">
        <f>IF($A332="","",IF(AND($C332="2027",OR($D332="V01",$D332="V02",$D332="V03")),1,0))</f>
        <v/>
      </c>
      <c r="F332">
        <f>IF($A332="","",IF($E332=1,SUMIFS(Comptabilité!$F$1:$F$675,Comptabilité!$A$1:$A$675,$A332,Comptabilité!$B$1:$B$675,$B332,Comptabilité!$C$1:$C$675,"2026"),0))</f>
        <v/>
      </c>
      <c r="G332">
        <f>IF($A332="","",IF($D332="V01",Cadrage!$C$22,IF($D332="V02",Cadrage!$D$22,Cadrage!$E$22)))</f>
        <v/>
      </c>
      <c r="H332">
        <f>IF($A332="","",IF($D332="V01",Cadrage!$C$23,IF($D332="V02",Cadrage!$D$23,Cadrage!$E$23)))</f>
        <v/>
      </c>
      <c r="I332">
        <f>IF($A332="","",IF($D332="V01",Cadrage!$C$31,IF($D332="V02",Cadrage!$D$31,Cadrage!$E$31)))</f>
        <v/>
      </c>
      <c r="J332">
        <f>IF($A332="","",IF($D332="V01",Cadrage!$C$32,IF($D332="V02",Cadrage!$D$32,Cadrage!$E$32)))</f>
        <v/>
      </c>
      <c r="K332">
        <f>IF($A332="","",IF($D332="V01",Cadrage!$C$33,IF($D332="V02",Cadrage!$D$33,Cadrage!$E$33)))</f>
        <v/>
      </c>
      <c r="L332">
        <f>IF($A332="","",IF($D332="V01",Cadrage!$C$34,IF($D332="V02",Cadrage!$D$34,Cadrage!$E$34)))</f>
        <v/>
      </c>
      <c r="M332">
        <f>IF($A332="","",IF($D332="V01",Cadrage!$C$35,IF($D332="V02",Cadrage!$D$35,Cadrage!$E$35)))</f>
        <v/>
      </c>
      <c r="N332">
        <f>IF($A332="","",IF($D332="V01",$R$2,IF($D332="V02",$R$3,$R$4)))</f>
        <v/>
      </c>
      <c r="O332">
        <f>IF($A332="","",IF(OR($B332="7062",$B332="706",$B332="708"),$N332,IF($B332="6231",1+$G332,IF($B332="6236",1+$H332,IF(OR($B332="621",$B332="604",$B332="6063"),$N332*(1-$L332),IF(OR($B332="6411",$B332="6413",$B332="6414",$B332="645"),(1+$J332)*(1+$K332),IF(OR($B332="613",$B332="615",$B332="616",$B332="6226",$B332="625",$B332="626",$B332="6281"),(1+$I332)*(1-$L332)*(1+$M332),IF(OR($B332="6331",$B332="63511",$B332="6333"),(1+$I332)*(1-$L332),IF($B332="6811",1+$I332,1)))))))))</f>
        <v/>
      </c>
      <c r="P332">
        <f>IF($A332="","",IF($E332=1,$F332*$O332,PNL!G332))</f>
        <v/>
      </c>
      <c r="T332">
        <f>IF($A332="","",IF($E332=1,IF(OR($B332="7062",$B332="706",$B332="708"),$P332,IF(AND(LEFT($B332,1)="6",$B332&lt;&gt;"6811"),-$P332,0)),0))</f>
        <v/>
      </c>
    </row>
    <row r="333">
      <c r="A333">
        <f>IF(PNL!A333="","",PNL!A333)</f>
        <v/>
      </c>
      <c r="B333">
        <f>IF(PNL!B333="","",PNL!B333)</f>
        <v/>
      </c>
      <c r="C333">
        <f>IF(PNL!C333="","",PNL!C333)</f>
        <v/>
      </c>
      <c r="D333">
        <f>IF(PNL!D333="","",PNL!D333)</f>
        <v/>
      </c>
      <c r="E333">
        <f>IF($A333="","",IF(AND($C333="2027",OR($D333="V01",$D333="V02",$D333="V03")),1,0))</f>
        <v/>
      </c>
      <c r="F333">
        <f>IF($A333="","",IF($E333=1,SUMIFS(Comptabilité!$F$1:$F$675,Comptabilité!$A$1:$A$675,$A333,Comptabilité!$B$1:$B$675,$B333,Comptabilité!$C$1:$C$675,"2026"),0))</f>
        <v/>
      </c>
      <c r="G333">
        <f>IF($A333="","",IF($D333="V01",Cadrage!$C$22,IF($D333="V02",Cadrage!$D$22,Cadrage!$E$22)))</f>
        <v/>
      </c>
      <c r="H333">
        <f>IF($A333="","",IF($D333="V01",Cadrage!$C$23,IF($D333="V02",Cadrage!$D$23,Cadrage!$E$23)))</f>
        <v/>
      </c>
      <c r="I333">
        <f>IF($A333="","",IF($D333="V01",Cadrage!$C$31,IF($D333="V02",Cadrage!$D$31,Cadrage!$E$31)))</f>
        <v/>
      </c>
      <c r="J333">
        <f>IF($A333="","",IF($D333="V01",Cadrage!$C$32,IF($D333="V02",Cadrage!$D$32,Cadrage!$E$32)))</f>
        <v/>
      </c>
      <c r="K333">
        <f>IF($A333="","",IF($D333="V01",Cadrage!$C$33,IF($D333="V02",Cadrage!$D$33,Cadrage!$E$33)))</f>
        <v/>
      </c>
      <c r="L333">
        <f>IF($A333="","",IF($D333="V01",Cadrage!$C$34,IF($D333="V02",Cadrage!$D$34,Cadrage!$E$34)))</f>
        <v/>
      </c>
      <c r="M333">
        <f>IF($A333="","",IF($D333="V01",Cadrage!$C$35,IF($D333="V02",Cadrage!$D$35,Cadrage!$E$35)))</f>
        <v/>
      </c>
      <c r="N333">
        <f>IF($A333="","",IF($D333="V01",$R$2,IF($D333="V02",$R$3,$R$4)))</f>
        <v/>
      </c>
      <c r="O333">
        <f>IF($A333="","",IF(OR($B333="7062",$B333="706",$B333="708"),$N333,IF($B333="6231",1+$G333,IF($B333="6236",1+$H333,IF(OR($B333="621",$B333="604",$B333="6063"),$N333*(1-$L333),IF(OR($B333="6411",$B333="6413",$B333="6414",$B333="645"),(1+$J333)*(1+$K333),IF(OR($B333="613",$B333="615",$B333="616",$B333="6226",$B333="625",$B333="626",$B333="6281"),(1+$I333)*(1-$L333)*(1+$M333),IF(OR($B333="6331",$B333="63511",$B333="6333"),(1+$I333)*(1-$L333),IF($B333="6811",1+$I333,1)))))))))</f>
        <v/>
      </c>
      <c r="P333">
        <f>IF($A333="","",IF($E333=1,$F333*$O333,PNL!G333))</f>
        <v/>
      </c>
      <c r="T333">
        <f>IF($A333="","",IF($E333=1,IF(OR($B333="7062",$B333="706",$B333="708"),$P333,IF(AND(LEFT($B333,1)="6",$B333&lt;&gt;"6811"),-$P333,0)),0))</f>
        <v/>
      </c>
    </row>
    <row r="334">
      <c r="A334">
        <f>IF(PNL!A334="","",PNL!A334)</f>
        <v/>
      </c>
      <c r="B334">
        <f>IF(PNL!B334="","",PNL!B334)</f>
        <v/>
      </c>
      <c r="C334">
        <f>IF(PNL!C334="","",PNL!C334)</f>
        <v/>
      </c>
      <c r="D334">
        <f>IF(PNL!D334="","",PNL!D334)</f>
        <v/>
      </c>
      <c r="E334">
        <f>IF($A334="","",IF(AND($C334="2027",OR($D334="V01",$D334="V02",$D334="V03")),1,0))</f>
        <v/>
      </c>
      <c r="F334">
        <f>IF($A334="","",IF($E334=1,SUMIFS(Comptabilité!$F$1:$F$675,Comptabilité!$A$1:$A$675,$A334,Comptabilité!$B$1:$B$675,$B334,Comptabilité!$C$1:$C$675,"2026"),0))</f>
        <v/>
      </c>
      <c r="G334">
        <f>IF($A334="","",IF($D334="V01",Cadrage!$C$22,IF($D334="V02",Cadrage!$D$22,Cadrage!$E$22)))</f>
        <v/>
      </c>
      <c r="H334">
        <f>IF($A334="","",IF($D334="V01",Cadrage!$C$23,IF($D334="V02",Cadrage!$D$23,Cadrage!$E$23)))</f>
        <v/>
      </c>
      <c r="I334">
        <f>IF($A334="","",IF($D334="V01",Cadrage!$C$31,IF($D334="V02",Cadrage!$D$31,Cadrage!$E$31)))</f>
        <v/>
      </c>
      <c r="J334">
        <f>IF($A334="","",IF($D334="V01",Cadrage!$C$32,IF($D334="V02",Cadrage!$D$32,Cadrage!$E$32)))</f>
        <v/>
      </c>
      <c r="K334">
        <f>IF($A334="","",IF($D334="V01",Cadrage!$C$33,IF($D334="V02",Cadrage!$D$33,Cadrage!$E$33)))</f>
        <v/>
      </c>
      <c r="L334">
        <f>IF($A334="","",IF($D334="V01",Cadrage!$C$34,IF($D334="V02",Cadrage!$D$34,Cadrage!$E$34)))</f>
        <v/>
      </c>
      <c r="M334">
        <f>IF($A334="","",IF($D334="V01",Cadrage!$C$35,IF($D334="V02",Cadrage!$D$35,Cadrage!$E$35)))</f>
        <v/>
      </c>
      <c r="N334">
        <f>IF($A334="","",IF($D334="V01",$R$2,IF($D334="V02",$R$3,$R$4)))</f>
        <v/>
      </c>
      <c r="O334">
        <f>IF($A334="","",IF(OR($B334="7062",$B334="706",$B334="708"),$N334,IF($B334="6231",1+$G334,IF($B334="6236",1+$H334,IF(OR($B334="621",$B334="604",$B334="6063"),$N334*(1-$L334),IF(OR($B334="6411",$B334="6413",$B334="6414",$B334="645"),(1+$J334)*(1+$K334),IF(OR($B334="613",$B334="615",$B334="616",$B334="6226",$B334="625",$B334="626",$B334="6281"),(1+$I334)*(1-$L334)*(1+$M334),IF(OR($B334="6331",$B334="63511",$B334="6333"),(1+$I334)*(1-$L334),IF($B334="6811",1+$I334,1)))))))))</f>
        <v/>
      </c>
      <c r="P334">
        <f>IF($A334="","",IF($E334=1,$F334*$O334,PNL!G334))</f>
        <v/>
      </c>
      <c r="T334">
        <f>IF($A334="","",IF($E334=1,IF(OR($B334="7062",$B334="706",$B334="708"),$P334,IF(AND(LEFT($B334,1)="6",$B334&lt;&gt;"6811"),-$P334,0)),0))</f>
        <v/>
      </c>
    </row>
    <row r="335">
      <c r="A335">
        <f>IF(PNL!A335="","",PNL!A335)</f>
        <v/>
      </c>
      <c r="B335">
        <f>IF(PNL!B335="","",PNL!B335)</f>
        <v/>
      </c>
      <c r="C335">
        <f>IF(PNL!C335="","",PNL!C335)</f>
        <v/>
      </c>
      <c r="D335">
        <f>IF(PNL!D335="","",PNL!D335)</f>
        <v/>
      </c>
      <c r="E335">
        <f>IF($A335="","",IF(AND($C335="2027",OR($D335="V01",$D335="V02",$D335="V03")),1,0))</f>
        <v/>
      </c>
      <c r="F335">
        <f>IF($A335="","",IF($E335=1,SUMIFS(Comptabilité!$F$1:$F$675,Comptabilité!$A$1:$A$675,$A335,Comptabilité!$B$1:$B$675,$B335,Comptabilité!$C$1:$C$675,"2026"),0))</f>
        <v/>
      </c>
      <c r="G335">
        <f>IF($A335="","",IF($D335="V01",Cadrage!$C$22,IF($D335="V02",Cadrage!$D$22,Cadrage!$E$22)))</f>
        <v/>
      </c>
      <c r="H335">
        <f>IF($A335="","",IF($D335="V01",Cadrage!$C$23,IF($D335="V02",Cadrage!$D$23,Cadrage!$E$23)))</f>
        <v/>
      </c>
      <c r="I335">
        <f>IF($A335="","",IF($D335="V01",Cadrage!$C$31,IF($D335="V02",Cadrage!$D$31,Cadrage!$E$31)))</f>
        <v/>
      </c>
      <c r="J335">
        <f>IF($A335="","",IF($D335="V01",Cadrage!$C$32,IF($D335="V02",Cadrage!$D$32,Cadrage!$E$32)))</f>
        <v/>
      </c>
      <c r="K335">
        <f>IF($A335="","",IF($D335="V01",Cadrage!$C$33,IF($D335="V02",Cadrage!$D$33,Cadrage!$E$33)))</f>
        <v/>
      </c>
      <c r="L335">
        <f>IF($A335="","",IF($D335="V01",Cadrage!$C$34,IF($D335="V02",Cadrage!$D$34,Cadrage!$E$34)))</f>
        <v/>
      </c>
      <c r="M335">
        <f>IF($A335="","",IF($D335="V01",Cadrage!$C$35,IF($D335="V02",Cadrage!$D$35,Cadrage!$E$35)))</f>
        <v/>
      </c>
      <c r="N335">
        <f>IF($A335="","",IF($D335="V01",$R$2,IF($D335="V02",$R$3,$R$4)))</f>
        <v/>
      </c>
      <c r="O335">
        <f>IF($A335="","",IF(OR($B335="7062",$B335="706",$B335="708"),$N335,IF($B335="6231",1+$G335,IF($B335="6236",1+$H335,IF(OR($B335="621",$B335="604",$B335="6063"),$N335*(1-$L335),IF(OR($B335="6411",$B335="6413",$B335="6414",$B335="645"),(1+$J335)*(1+$K335),IF(OR($B335="613",$B335="615",$B335="616",$B335="6226",$B335="625",$B335="626",$B335="6281"),(1+$I335)*(1-$L335)*(1+$M335),IF(OR($B335="6331",$B335="63511",$B335="6333"),(1+$I335)*(1-$L335),IF($B335="6811",1+$I335,1)))))))))</f>
        <v/>
      </c>
      <c r="P335">
        <f>IF($A335="","",IF($E335=1,$F335*$O335,PNL!G335))</f>
        <v/>
      </c>
      <c r="T335">
        <f>IF($A335="","",IF($E335=1,IF(OR($B335="7062",$B335="706",$B335="708"),$P335,IF(AND(LEFT($B335,1)="6",$B335&lt;&gt;"6811"),-$P335,0)),0))</f>
        <v/>
      </c>
    </row>
    <row r="336">
      <c r="A336">
        <f>IF(PNL!A336="","",PNL!A336)</f>
        <v/>
      </c>
      <c r="B336">
        <f>IF(PNL!B336="","",PNL!B336)</f>
        <v/>
      </c>
      <c r="C336">
        <f>IF(PNL!C336="","",PNL!C336)</f>
        <v/>
      </c>
      <c r="D336">
        <f>IF(PNL!D336="","",PNL!D336)</f>
        <v/>
      </c>
      <c r="E336">
        <f>IF($A336="","",IF(AND($C336="2027",OR($D336="V01",$D336="V02",$D336="V03")),1,0))</f>
        <v/>
      </c>
      <c r="F336">
        <f>IF($A336="","",IF($E336=1,SUMIFS(Comptabilité!$F$1:$F$675,Comptabilité!$A$1:$A$675,$A336,Comptabilité!$B$1:$B$675,$B336,Comptabilité!$C$1:$C$675,"2026"),0))</f>
        <v/>
      </c>
      <c r="G336">
        <f>IF($A336="","",IF($D336="V01",Cadrage!$C$22,IF($D336="V02",Cadrage!$D$22,Cadrage!$E$22)))</f>
        <v/>
      </c>
      <c r="H336">
        <f>IF($A336="","",IF($D336="V01",Cadrage!$C$23,IF($D336="V02",Cadrage!$D$23,Cadrage!$E$23)))</f>
        <v/>
      </c>
      <c r="I336">
        <f>IF($A336="","",IF($D336="V01",Cadrage!$C$31,IF($D336="V02",Cadrage!$D$31,Cadrage!$E$31)))</f>
        <v/>
      </c>
      <c r="J336">
        <f>IF($A336="","",IF($D336="V01",Cadrage!$C$32,IF($D336="V02",Cadrage!$D$32,Cadrage!$E$32)))</f>
        <v/>
      </c>
      <c r="K336">
        <f>IF($A336="","",IF($D336="V01",Cadrage!$C$33,IF($D336="V02",Cadrage!$D$33,Cadrage!$E$33)))</f>
        <v/>
      </c>
      <c r="L336">
        <f>IF($A336="","",IF($D336="V01",Cadrage!$C$34,IF($D336="V02",Cadrage!$D$34,Cadrage!$E$34)))</f>
        <v/>
      </c>
      <c r="M336">
        <f>IF($A336="","",IF($D336="V01",Cadrage!$C$35,IF($D336="V02",Cadrage!$D$35,Cadrage!$E$35)))</f>
        <v/>
      </c>
      <c r="N336">
        <f>IF($A336="","",IF($D336="V01",$R$2,IF($D336="V02",$R$3,$R$4)))</f>
        <v/>
      </c>
      <c r="O336">
        <f>IF($A336="","",IF(OR($B336="7062",$B336="706",$B336="708"),$N336,IF($B336="6231",1+$G336,IF($B336="6236",1+$H336,IF(OR($B336="621",$B336="604",$B336="6063"),$N336*(1-$L336),IF(OR($B336="6411",$B336="6413",$B336="6414",$B336="645"),(1+$J336)*(1+$K336),IF(OR($B336="613",$B336="615",$B336="616",$B336="6226",$B336="625",$B336="626",$B336="6281"),(1+$I336)*(1-$L336)*(1+$M336),IF(OR($B336="6331",$B336="63511",$B336="6333"),(1+$I336)*(1-$L336),IF($B336="6811",1+$I336,1)))))))))</f>
        <v/>
      </c>
      <c r="P336">
        <f>IF($A336="","",IF($E336=1,$F336*$O336,PNL!G336))</f>
        <v/>
      </c>
      <c r="T336">
        <f>IF($A336="","",IF($E336=1,IF(OR($B336="7062",$B336="706",$B336="708"),$P336,IF(AND(LEFT($B336,1)="6",$B336&lt;&gt;"6811"),-$P336,0)),0))</f>
        <v/>
      </c>
    </row>
    <row r="337">
      <c r="A337">
        <f>IF(PNL!A337="","",PNL!A337)</f>
        <v/>
      </c>
      <c r="B337">
        <f>IF(PNL!B337="","",PNL!B337)</f>
        <v/>
      </c>
      <c r="C337">
        <f>IF(PNL!C337="","",PNL!C337)</f>
        <v/>
      </c>
      <c r="D337">
        <f>IF(PNL!D337="","",PNL!D337)</f>
        <v/>
      </c>
      <c r="E337">
        <f>IF($A337="","",IF(AND($C337="2027",OR($D337="V01",$D337="V02",$D337="V03")),1,0))</f>
        <v/>
      </c>
      <c r="F337">
        <f>IF($A337="","",IF($E337=1,SUMIFS(Comptabilité!$F$1:$F$675,Comptabilité!$A$1:$A$675,$A337,Comptabilité!$B$1:$B$675,$B337,Comptabilité!$C$1:$C$675,"2026"),0))</f>
        <v/>
      </c>
      <c r="G337">
        <f>IF($A337="","",IF($D337="V01",Cadrage!$C$22,IF($D337="V02",Cadrage!$D$22,Cadrage!$E$22)))</f>
        <v/>
      </c>
      <c r="H337">
        <f>IF($A337="","",IF($D337="V01",Cadrage!$C$23,IF($D337="V02",Cadrage!$D$23,Cadrage!$E$23)))</f>
        <v/>
      </c>
      <c r="I337">
        <f>IF($A337="","",IF($D337="V01",Cadrage!$C$31,IF($D337="V02",Cadrage!$D$31,Cadrage!$E$31)))</f>
        <v/>
      </c>
      <c r="J337">
        <f>IF($A337="","",IF($D337="V01",Cadrage!$C$32,IF($D337="V02",Cadrage!$D$32,Cadrage!$E$32)))</f>
        <v/>
      </c>
      <c r="K337">
        <f>IF($A337="","",IF($D337="V01",Cadrage!$C$33,IF($D337="V02",Cadrage!$D$33,Cadrage!$E$33)))</f>
        <v/>
      </c>
      <c r="L337">
        <f>IF($A337="","",IF($D337="V01",Cadrage!$C$34,IF($D337="V02",Cadrage!$D$34,Cadrage!$E$34)))</f>
        <v/>
      </c>
      <c r="M337">
        <f>IF($A337="","",IF($D337="V01",Cadrage!$C$35,IF($D337="V02",Cadrage!$D$35,Cadrage!$E$35)))</f>
        <v/>
      </c>
      <c r="N337">
        <f>IF($A337="","",IF($D337="V01",$R$2,IF($D337="V02",$R$3,$R$4)))</f>
        <v/>
      </c>
      <c r="O337">
        <f>IF($A337="","",IF(OR($B337="7062",$B337="706",$B337="708"),$N337,IF($B337="6231",1+$G337,IF($B337="6236",1+$H337,IF(OR($B337="621",$B337="604",$B337="6063"),$N337*(1-$L337),IF(OR($B337="6411",$B337="6413",$B337="6414",$B337="645"),(1+$J337)*(1+$K337),IF(OR($B337="613",$B337="615",$B337="616",$B337="6226",$B337="625",$B337="626",$B337="6281"),(1+$I337)*(1-$L337)*(1+$M337),IF(OR($B337="6331",$B337="63511",$B337="6333"),(1+$I337)*(1-$L337),IF($B337="6811",1+$I337,1)))))))))</f>
        <v/>
      </c>
      <c r="P337">
        <f>IF($A337="","",IF($E337=1,$F337*$O337,PNL!G337))</f>
        <v/>
      </c>
      <c r="T337">
        <f>IF($A337="","",IF($E337=1,IF(OR($B337="7062",$B337="706",$B337="708"),$P337,IF(AND(LEFT($B337,1)="6",$B337&lt;&gt;"6811"),-$P337,0)),0))</f>
        <v/>
      </c>
    </row>
    <row r="338">
      <c r="A338">
        <f>IF(PNL!A338="","",PNL!A338)</f>
        <v/>
      </c>
      <c r="B338">
        <f>IF(PNL!B338="","",PNL!B338)</f>
        <v/>
      </c>
      <c r="C338">
        <f>IF(PNL!C338="","",PNL!C338)</f>
        <v/>
      </c>
      <c r="D338">
        <f>IF(PNL!D338="","",PNL!D338)</f>
        <v/>
      </c>
      <c r="E338">
        <f>IF($A338="","",IF(AND($C338="2027",OR($D338="V01",$D338="V02",$D338="V03")),1,0))</f>
        <v/>
      </c>
      <c r="F338">
        <f>IF($A338="","",IF($E338=1,SUMIFS(Comptabilité!$F$1:$F$675,Comptabilité!$A$1:$A$675,$A338,Comptabilité!$B$1:$B$675,$B338,Comptabilité!$C$1:$C$675,"2026"),0))</f>
        <v/>
      </c>
      <c r="G338">
        <f>IF($A338="","",IF($D338="V01",Cadrage!$C$22,IF($D338="V02",Cadrage!$D$22,Cadrage!$E$22)))</f>
        <v/>
      </c>
      <c r="H338">
        <f>IF($A338="","",IF($D338="V01",Cadrage!$C$23,IF($D338="V02",Cadrage!$D$23,Cadrage!$E$23)))</f>
        <v/>
      </c>
      <c r="I338">
        <f>IF($A338="","",IF($D338="V01",Cadrage!$C$31,IF($D338="V02",Cadrage!$D$31,Cadrage!$E$31)))</f>
        <v/>
      </c>
      <c r="J338">
        <f>IF($A338="","",IF($D338="V01",Cadrage!$C$32,IF($D338="V02",Cadrage!$D$32,Cadrage!$E$32)))</f>
        <v/>
      </c>
      <c r="K338">
        <f>IF($A338="","",IF($D338="V01",Cadrage!$C$33,IF($D338="V02",Cadrage!$D$33,Cadrage!$E$33)))</f>
        <v/>
      </c>
      <c r="L338">
        <f>IF($A338="","",IF($D338="V01",Cadrage!$C$34,IF($D338="V02",Cadrage!$D$34,Cadrage!$E$34)))</f>
        <v/>
      </c>
      <c r="M338">
        <f>IF($A338="","",IF($D338="V01",Cadrage!$C$35,IF($D338="V02",Cadrage!$D$35,Cadrage!$E$35)))</f>
        <v/>
      </c>
      <c r="N338">
        <f>IF($A338="","",IF($D338="V01",$R$2,IF($D338="V02",$R$3,$R$4)))</f>
        <v/>
      </c>
      <c r="O338">
        <f>IF($A338="","",IF(OR($B338="7062",$B338="706",$B338="708"),$N338,IF($B338="6231",1+$G338,IF($B338="6236",1+$H338,IF(OR($B338="621",$B338="604",$B338="6063"),$N338*(1-$L338),IF(OR($B338="6411",$B338="6413",$B338="6414",$B338="645"),(1+$J338)*(1+$K338),IF(OR($B338="613",$B338="615",$B338="616",$B338="6226",$B338="625",$B338="626",$B338="6281"),(1+$I338)*(1-$L338)*(1+$M338),IF(OR($B338="6331",$B338="63511",$B338="6333"),(1+$I338)*(1-$L338),IF($B338="6811",1+$I338,1)))))))))</f>
        <v/>
      </c>
      <c r="P338">
        <f>IF($A338="","",IF($E338=1,$F338*$O338,PNL!G338))</f>
        <v/>
      </c>
      <c r="T338">
        <f>IF($A338="","",IF($E338=1,IF(OR($B338="7062",$B338="706",$B338="708"),$P338,IF(AND(LEFT($B338,1)="6",$B338&lt;&gt;"6811"),-$P338,0)),0))</f>
        <v/>
      </c>
    </row>
    <row r="339">
      <c r="A339">
        <f>IF(PNL!A339="","",PNL!A339)</f>
        <v/>
      </c>
      <c r="B339">
        <f>IF(PNL!B339="","",PNL!B339)</f>
        <v/>
      </c>
      <c r="C339">
        <f>IF(PNL!C339="","",PNL!C339)</f>
        <v/>
      </c>
      <c r="D339">
        <f>IF(PNL!D339="","",PNL!D339)</f>
        <v/>
      </c>
      <c r="E339">
        <f>IF($A339="","",IF(AND($C339="2027",OR($D339="V01",$D339="V02",$D339="V03")),1,0))</f>
        <v/>
      </c>
      <c r="F339">
        <f>IF($A339="","",IF($E339=1,SUMIFS(Comptabilité!$F$1:$F$675,Comptabilité!$A$1:$A$675,$A339,Comptabilité!$B$1:$B$675,$B339,Comptabilité!$C$1:$C$675,"2026"),0))</f>
        <v/>
      </c>
      <c r="G339">
        <f>IF($A339="","",IF($D339="V01",Cadrage!$C$22,IF($D339="V02",Cadrage!$D$22,Cadrage!$E$22)))</f>
        <v/>
      </c>
      <c r="H339">
        <f>IF($A339="","",IF($D339="V01",Cadrage!$C$23,IF($D339="V02",Cadrage!$D$23,Cadrage!$E$23)))</f>
        <v/>
      </c>
      <c r="I339">
        <f>IF($A339="","",IF($D339="V01",Cadrage!$C$31,IF($D339="V02",Cadrage!$D$31,Cadrage!$E$31)))</f>
        <v/>
      </c>
      <c r="J339">
        <f>IF($A339="","",IF($D339="V01",Cadrage!$C$32,IF($D339="V02",Cadrage!$D$32,Cadrage!$E$32)))</f>
        <v/>
      </c>
      <c r="K339">
        <f>IF($A339="","",IF($D339="V01",Cadrage!$C$33,IF($D339="V02",Cadrage!$D$33,Cadrage!$E$33)))</f>
        <v/>
      </c>
      <c r="L339">
        <f>IF($A339="","",IF($D339="V01",Cadrage!$C$34,IF($D339="V02",Cadrage!$D$34,Cadrage!$E$34)))</f>
        <v/>
      </c>
      <c r="M339">
        <f>IF($A339="","",IF($D339="V01",Cadrage!$C$35,IF($D339="V02",Cadrage!$D$35,Cadrage!$E$35)))</f>
        <v/>
      </c>
      <c r="N339">
        <f>IF($A339="","",IF($D339="V01",$R$2,IF($D339="V02",$R$3,$R$4)))</f>
        <v/>
      </c>
      <c r="O339">
        <f>IF($A339="","",IF(OR($B339="7062",$B339="706",$B339="708"),$N339,IF($B339="6231",1+$G339,IF($B339="6236",1+$H339,IF(OR($B339="621",$B339="604",$B339="6063"),$N339*(1-$L339),IF(OR($B339="6411",$B339="6413",$B339="6414",$B339="645"),(1+$J339)*(1+$K339),IF(OR($B339="613",$B339="615",$B339="616",$B339="6226",$B339="625",$B339="626",$B339="6281"),(1+$I339)*(1-$L339)*(1+$M339),IF(OR($B339="6331",$B339="63511",$B339="6333"),(1+$I339)*(1-$L339),IF($B339="6811",1+$I339,1)))))))))</f>
        <v/>
      </c>
      <c r="P339">
        <f>IF($A339="","",IF($E339=1,$F339*$O339,PNL!G339))</f>
        <v/>
      </c>
      <c r="T339">
        <f>IF($A339="","",IF($E339=1,IF(OR($B339="7062",$B339="706",$B339="708"),$P339,IF(AND(LEFT($B339,1)="6",$B339&lt;&gt;"6811"),-$P339,0)),0))</f>
        <v/>
      </c>
    </row>
    <row r="340">
      <c r="A340">
        <f>IF(PNL!A340="","",PNL!A340)</f>
        <v/>
      </c>
      <c r="B340">
        <f>IF(PNL!B340="","",PNL!B340)</f>
        <v/>
      </c>
      <c r="C340">
        <f>IF(PNL!C340="","",PNL!C340)</f>
        <v/>
      </c>
      <c r="D340">
        <f>IF(PNL!D340="","",PNL!D340)</f>
        <v/>
      </c>
      <c r="E340">
        <f>IF($A340="","",IF(AND($C340="2027",OR($D340="V01",$D340="V02",$D340="V03")),1,0))</f>
        <v/>
      </c>
      <c r="F340">
        <f>IF($A340="","",IF($E340=1,SUMIFS(Comptabilité!$F$1:$F$675,Comptabilité!$A$1:$A$675,$A340,Comptabilité!$B$1:$B$675,$B340,Comptabilité!$C$1:$C$675,"2026"),0))</f>
        <v/>
      </c>
      <c r="G340">
        <f>IF($A340="","",IF($D340="V01",Cadrage!$C$22,IF($D340="V02",Cadrage!$D$22,Cadrage!$E$22)))</f>
        <v/>
      </c>
      <c r="H340">
        <f>IF($A340="","",IF($D340="V01",Cadrage!$C$23,IF($D340="V02",Cadrage!$D$23,Cadrage!$E$23)))</f>
        <v/>
      </c>
      <c r="I340">
        <f>IF($A340="","",IF($D340="V01",Cadrage!$C$31,IF($D340="V02",Cadrage!$D$31,Cadrage!$E$31)))</f>
        <v/>
      </c>
      <c r="J340">
        <f>IF($A340="","",IF($D340="V01",Cadrage!$C$32,IF($D340="V02",Cadrage!$D$32,Cadrage!$E$32)))</f>
        <v/>
      </c>
      <c r="K340">
        <f>IF($A340="","",IF($D340="V01",Cadrage!$C$33,IF($D340="V02",Cadrage!$D$33,Cadrage!$E$33)))</f>
        <v/>
      </c>
      <c r="L340">
        <f>IF($A340="","",IF($D340="V01",Cadrage!$C$34,IF($D340="V02",Cadrage!$D$34,Cadrage!$E$34)))</f>
        <v/>
      </c>
      <c r="M340">
        <f>IF($A340="","",IF($D340="V01",Cadrage!$C$35,IF($D340="V02",Cadrage!$D$35,Cadrage!$E$35)))</f>
        <v/>
      </c>
      <c r="N340">
        <f>IF($A340="","",IF($D340="V01",$R$2,IF($D340="V02",$R$3,$R$4)))</f>
        <v/>
      </c>
      <c r="O340">
        <f>IF($A340="","",IF(OR($B340="7062",$B340="706",$B340="708"),$N340,IF($B340="6231",1+$G340,IF($B340="6236",1+$H340,IF(OR($B340="621",$B340="604",$B340="6063"),$N340*(1-$L340),IF(OR($B340="6411",$B340="6413",$B340="6414",$B340="645"),(1+$J340)*(1+$K340),IF(OR($B340="613",$B340="615",$B340="616",$B340="6226",$B340="625",$B340="626",$B340="6281"),(1+$I340)*(1-$L340)*(1+$M340),IF(OR($B340="6331",$B340="63511",$B340="6333"),(1+$I340)*(1-$L340),IF($B340="6811",1+$I340,1)))))))))</f>
        <v/>
      </c>
      <c r="P340">
        <f>IF($A340="","",IF($E340=1,$F340*$O340,PNL!G340))</f>
        <v/>
      </c>
      <c r="T340">
        <f>IF($A340="","",IF($E340=1,IF(OR($B340="7062",$B340="706",$B340="708"),$P340,IF(AND(LEFT($B340,1)="6",$B340&lt;&gt;"6811"),-$P340,0)),0))</f>
        <v/>
      </c>
    </row>
    <row r="341">
      <c r="A341">
        <f>IF(PNL!A341="","",PNL!A341)</f>
        <v/>
      </c>
      <c r="B341">
        <f>IF(PNL!B341="","",PNL!B341)</f>
        <v/>
      </c>
      <c r="C341">
        <f>IF(PNL!C341="","",PNL!C341)</f>
        <v/>
      </c>
      <c r="D341">
        <f>IF(PNL!D341="","",PNL!D341)</f>
        <v/>
      </c>
      <c r="E341">
        <f>IF($A341="","",IF(AND($C341="2027",OR($D341="V01",$D341="V02",$D341="V03")),1,0))</f>
        <v/>
      </c>
      <c r="F341">
        <f>IF($A341="","",IF($E341=1,SUMIFS(Comptabilité!$F$1:$F$675,Comptabilité!$A$1:$A$675,$A341,Comptabilité!$B$1:$B$675,$B341,Comptabilité!$C$1:$C$675,"2026"),0))</f>
        <v/>
      </c>
      <c r="G341">
        <f>IF($A341="","",IF($D341="V01",Cadrage!$C$22,IF($D341="V02",Cadrage!$D$22,Cadrage!$E$22)))</f>
        <v/>
      </c>
      <c r="H341">
        <f>IF($A341="","",IF($D341="V01",Cadrage!$C$23,IF($D341="V02",Cadrage!$D$23,Cadrage!$E$23)))</f>
        <v/>
      </c>
      <c r="I341">
        <f>IF($A341="","",IF($D341="V01",Cadrage!$C$31,IF($D341="V02",Cadrage!$D$31,Cadrage!$E$31)))</f>
        <v/>
      </c>
      <c r="J341">
        <f>IF($A341="","",IF($D341="V01",Cadrage!$C$32,IF($D341="V02",Cadrage!$D$32,Cadrage!$E$32)))</f>
        <v/>
      </c>
      <c r="K341">
        <f>IF($A341="","",IF($D341="V01",Cadrage!$C$33,IF($D341="V02",Cadrage!$D$33,Cadrage!$E$33)))</f>
        <v/>
      </c>
      <c r="L341">
        <f>IF($A341="","",IF($D341="V01",Cadrage!$C$34,IF($D341="V02",Cadrage!$D$34,Cadrage!$E$34)))</f>
        <v/>
      </c>
      <c r="M341">
        <f>IF($A341="","",IF($D341="V01",Cadrage!$C$35,IF($D341="V02",Cadrage!$D$35,Cadrage!$E$35)))</f>
        <v/>
      </c>
      <c r="N341">
        <f>IF($A341="","",IF($D341="V01",$R$2,IF($D341="V02",$R$3,$R$4)))</f>
        <v/>
      </c>
      <c r="O341">
        <f>IF($A341="","",IF(OR($B341="7062",$B341="706",$B341="708"),$N341,IF($B341="6231",1+$G341,IF($B341="6236",1+$H341,IF(OR($B341="621",$B341="604",$B341="6063"),$N341*(1-$L341),IF(OR($B341="6411",$B341="6413",$B341="6414",$B341="645"),(1+$J341)*(1+$K341),IF(OR($B341="613",$B341="615",$B341="616",$B341="6226",$B341="625",$B341="626",$B341="6281"),(1+$I341)*(1-$L341)*(1+$M341),IF(OR($B341="6331",$B341="63511",$B341="6333"),(1+$I341)*(1-$L341),IF($B341="6811",1+$I341,1)))))))))</f>
        <v/>
      </c>
      <c r="P341">
        <f>IF($A341="","",IF($E341=1,$F341*$O341,PNL!G341))</f>
        <v/>
      </c>
      <c r="T341">
        <f>IF($A341="","",IF($E341=1,IF(OR($B341="7062",$B341="706",$B341="708"),$P341,IF(AND(LEFT($B341,1)="6",$B341&lt;&gt;"6811"),-$P341,0)),0))</f>
        <v/>
      </c>
    </row>
    <row r="342">
      <c r="A342">
        <f>IF(PNL!A342="","",PNL!A342)</f>
        <v/>
      </c>
      <c r="B342">
        <f>IF(PNL!B342="","",PNL!B342)</f>
        <v/>
      </c>
      <c r="C342">
        <f>IF(PNL!C342="","",PNL!C342)</f>
        <v/>
      </c>
      <c r="D342">
        <f>IF(PNL!D342="","",PNL!D342)</f>
        <v/>
      </c>
      <c r="E342">
        <f>IF($A342="","",IF(AND($C342="2027",OR($D342="V01",$D342="V02",$D342="V03")),1,0))</f>
        <v/>
      </c>
      <c r="F342">
        <f>IF($A342="","",IF($E342=1,SUMIFS(Comptabilité!$F$1:$F$675,Comptabilité!$A$1:$A$675,$A342,Comptabilité!$B$1:$B$675,$B342,Comptabilité!$C$1:$C$675,"2026"),0))</f>
        <v/>
      </c>
      <c r="G342">
        <f>IF($A342="","",IF($D342="V01",Cadrage!$C$22,IF($D342="V02",Cadrage!$D$22,Cadrage!$E$22)))</f>
        <v/>
      </c>
      <c r="H342">
        <f>IF($A342="","",IF($D342="V01",Cadrage!$C$23,IF($D342="V02",Cadrage!$D$23,Cadrage!$E$23)))</f>
        <v/>
      </c>
      <c r="I342">
        <f>IF($A342="","",IF($D342="V01",Cadrage!$C$31,IF($D342="V02",Cadrage!$D$31,Cadrage!$E$31)))</f>
        <v/>
      </c>
      <c r="J342">
        <f>IF($A342="","",IF($D342="V01",Cadrage!$C$32,IF($D342="V02",Cadrage!$D$32,Cadrage!$E$32)))</f>
        <v/>
      </c>
      <c r="K342">
        <f>IF($A342="","",IF($D342="V01",Cadrage!$C$33,IF($D342="V02",Cadrage!$D$33,Cadrage!$E$33)))</f>
        <v/>
      </c>
      <c r="L342">
        <f>IF($A342="","",IF($D342="V01",Cadrage!$C$34,IF($D342="V02",Cadrage!$D$34,Cadrage!$E$34)))</f>
        <v/>
      </c>
      <c r="M342">
        <f>IF($A342="","",IF($D342="V01",Cadrage!$C$35,IF($D342="V02",Cadrage!$D$35,Cadrage!$E$35)))</f>
        <v/>
      </c>
      <c r="N342">
        <f>IF($A342="","",IF($D342="V01",$R$2,IF($D342="V02",$R$3,$R$4)))</f>
        <v/>
      </c>
      <c r="O342">
        <f>IF($A342="","",IF(OR($B342="7062",$B342="706",$B342="708"),$N342,IF($B342="6231",1+$G342,IF($B342="6236",1+$H342,IF(OR($B342="621",$B342="604",$B342="6063"),$N342*(1-$L342),IF(OR($B342="6411",$B342="6413",$B342="6414",$B342="645"),(1+$J342)*(1+$K342),IF(OR($B342="613",$B342="615",$B342="616",$B342="6226",$B342="625",$B342="626",$B342="6281"),(1+$I342)*(1-$L342)*(1+$M342),IF(OR($B342="6331",$B342="63511",$B342="6333"),(1+$I342)*(1-$L342),IF($B342="6811",1+$I342,1)))))))))</f>
        <v/>
      </c>
      <c r="P342">
        <f>IF($A342="","",IF($E342=1,$F342*$O342,PNL!G342))</f>
        <v/>
      </c>
      <c r="T342">
        <f>IF($A342="","",IF($E342=1,IF(OR($B342="7062",$B342="706",$B342="708"),$P342,IF(AND(LEFT($B342,1)="6",$B342&lt;&gt;"6811"),-$P342,0)),0))</f>
        <v/>
      </c>
    </row>
    <row r="343">
      <c r="A343">
        <f>IF(PNL!A343="","",PNL!A343)</f>
        <v/>
      </c>
      <c r="B343">
        <f>IF(PNL!B343="","",PNL!B343)</f>
        <v/>
      </c>
      <c r="C343">
        <f>IF(PNL!C343="","",PNL!C343)</f>
        <v/>
      </c>
      <c r="D343">
        <f>IF(PNL!D343="","",PNL!D343)</f>
        <v/>
      </c>
      <c r="E343">
        <f>IF($A343="","",IF(AND($C343="2027",OR($D343="V01",$D343="V02",$D343="V03")),1,0))</f>
        <v/>
      </c>
      <c r="F343">
        <f>IF($A343="","",IF($E343=1,SUMIFS(Comptabilité!$F$1:$F$675,Comptabilité!$A$1:$A$675,$A343,Comptabilité!$B$1:$B$675,$B343,Comptabilité!$C$1:$C$675,"2026"),0))</f>
        <v/>
      </c>
      <c r="G343">
        <f>IF($A343="","",IF($D343="V01",Cadrage!$C$22,IF($D343="V02",Cadrage!$D$22,Cadrage!$E$22)))</f>
        <v/>
      </c>
      <c r="H343">
        <f>IF($A343="","",IF($D343="V01",Cadrage!$C$23,IF($D343="V02",Cadrage!$D$23,Cadrage!$E$23)))</f>
        <v/>
      </c>
      <c r="I343">
        <f>IF($A343="","",IF($D343="V01",Cadrage!$C$31,IF($D343="V02",Cadrage!$D$31,Cadrage!$E$31)))</f>
        <v/>
      </c>
      <c r="J343">
        <f>IF($A343="","",IF($D343="V01",Cadrage!$C$32,IF($D343="V02",Cadrage!$D$32,Cadrage!$E$32)))</f>
        <v/>
      </c>
      <c r="K343">
        <f>IF($A343="","",IF($D343="V01",Cadrage!$C$33,IF($D343="V02",Cadrage!$D$33,Cadrage!$E$33)))</f>
        <v/>
      </c>
      <c r="L343">
        <f>IF($A343="","",IF($D343="V01",Cadrage!$C$34,IF($D343="V02",Cadrage!$D$34,Cadrage!$E$34)))</f>
        <v/>
      </c>
      <c r="M343">
        <f>IF($A343="","",IF($D343="V01",Cadrage!$C$35,IF($D343="V02",Cadrage!$D$35,Cadrage!$E$35)))</f>
        <v/>
      </c>
      <c r="N343">
        <f>IF($A343="","",IF($D343="V01",$R$2,IF($D343="V02",$R$3,$R$4)))</f>
        <v/>
      </c>
      <c r="O343">
        <f>IF($A343="","",IF(OR($B343="7062",$B343="706",$B343="708"),$N343,IF($B343="6231",1+$G343,IF($B343="6236",1+$H343,IF(OR($B343="621",$B343="604",$B343="6063"),$N343*(1-$L343),IF(OR($B343="6411",$B343="6413",$B343="6414",$B343="645"),(1+$J343)*(1+$K343),IF(OR($B343="613",$B343="615",$B343="616",$B343="6226",$B343="625",$B343="626",$B343="6281"),(1+$I343)*(1-$L343)*(1+$M343),IF(OR($B343="6331",$B343="63511",$B343="6333"),(1+$I343)*(1-$L343),IF($B343="6811",1+$I343,1)))))))))</f>
        <v/>
      </c>
      <c r="P343">
        <f>IF($A343="","",IF($E343=1,$F343*$O343,PNL!G343))</f>
        <v/>
      </c>
      <c r="T343">
        <f>IF($A343="","",IF($E343=1,IF(OR($B343="7062",$B343="706",$B343="708"),$P343,IF(AND(LEFT($B343,1)="6",$B343&lt;&gt;"6811"),-$P343,0)),0))</f>
        <v/>
      </c>
    </row>
    <row r="344">
      <c r="A344">
        <f>IF(PNL!A344="","",PNL!A344)</f>
        <v/>
      </c>
      <c r="B344">
        <f>IF(PNL!B344="","",PNL!B344)</f>
        <v/>
      </c>
      <c r="C344">
        <f>IF(PNL!C344="","",PNL!C344)</f>
        <v/>
      </c>
      <c r="D344">
        <f>IF(PNL!D344="","",PNL!D344)</f>
        <v/>
      </c>
      <c r="E344">
        <f>IF($A344="","",IF(AND($C344="2027",OR($D344="V01",$D344="V02",$D344="V03")),1,0))</f>
        <v/>
      </c>
      <c r="F344">
        <f>IF($A344="","",IF($E344=1,SUMIFS(Comptabilité!$F$1:$F$675,Comptabilité!$A$1:$A$675,$A344,Comptabilité!$B$1:$B$675,$B344,Comptabilité!$C$1:$C$675,"2026"),0))</f>
        <v/>
      </c>
      <c r="G344">
        <f>IF($A344="","",IF($D344="V01",Cadrage!$C$22,IF($D344="V02",Cadrage!$D$22,Cadrage!$E$22)))</f>
        <v/>
      </c>
      <c r="H344">
        <f>IF($A344="","",IF($D344="V01",Cadrage!$C$23,IF($D344="V02",Cadrage!$D$23,Cadrage!$E$23)))</f>
        <v/>
      </c>
      <c r="I344">
        <f>IF($A344="","",IF($D344="V01",Cadrage!$C$31,IF($D344="V02",Cadrage!$D$31,Cadrage!$E$31)))</f>
        <v/>
      </c>
      <c r="J344">
        <f>IF($A344="","",IF($D344="V01",Cadrage!$C$32,IF($D344="V02",Cadrage!$D$32,Cadrage!$E$32)))</f>
        <v/>
      </c>
      <c r="K344">
        <f>IF($A344="","",IF($D344="V01",Cadrage!$C$33,IF($D344="V02",Cadrage!$D$33,Cadrage!$E$33)))</f>
        <v/>
      </c>
      <c r="L344">
        <f>IF($A344="","",IF($D344="V01",Cadrage!$C$34,IF($D344="V02",Cadrage!$D$34,Cadrage!$E$34)))</f>
        <v/>
      </c>
      <c r="M344">
        <f>IF($A344="","",IF($D344="V01",Cadrage!$C$35,IF($D344="V02",Cadrage!$D$35,Cadrage!$E$35)))</f>
        <v/>
      </c>
      <c r="N344">
        <f>IF($A344="","",IF($D344="V01",$R$2,IF($D344="V02",$R$3,$R$4)))</f>
        <v/>
      </c>
      <c r="O344">
        <f>IF($A344="","",IF(OR($B344="7062",$B344="706",$B344="708"),$N344,IF($B344="6231",1+$G344,IF($B344="6236",1+$H344,IF(OR($B344="621",$B344="604",$B344="6063"),$N344*(1-$L344),IF(OR($B344="6411",$B344="6413",$B344="6414",$B344="645"),(1+$J344)*(1+$K344),IF(OR($B344="613",$B344="615",$B344="616",$B344="6226",$B344="625",$B344="626",$B344="6281"),(1+$I344)*(1-$L344)*(1+$M344),IF(OR($B344="6331",$B344="63511",$B344="6333"),(1+$I344)*(1-$L344),IF($B344="6811",1+$I344,1)))))))))</f>
        <v/>
      </c>
      <c r="P344">
        <f>IF($A344="","",IF($E344=1,$F344*$O344,PNL!G344))</f>
        <v/>
      </c>
      <c r="T344">
        <f>IF($A344="","",IF($E344=1,IF(OR($B344="7062",$B344="706",$B344="708"),$P344,IF(AND(LEFT($B344,1)="6",$B344&lt;&gt;"6811"),-$P344,0)),0))</f>
        <v/>
      </c>
    </row>
    <row r="345">
      <c r="A345">
        <f>IF(PNL!A345="","",PNL!A345)</f>
        <v/>
      </c>
      <c r="B345">
        <f>IF(PNL!B345="","",PNL!B345)</f>
        <v/>
      </c>
      <c r="C345">
        <f>IF(PNL!C345="","",PNL!C345)</f>
        <v/>
      </c>
      <c r="D345">
        <f>IF(PNL!D345="","",PNL!D345)</f>
        <v/>
      </c>
      <c r="E345">
        <f>IF($A345="","",IF(AND($C345="2027",OR($D345="V01",$D345="V02",$D345="V03")),1,0))</f>
        <v/>
      </c>
      <c r="F345">
        <f>IF($A345="","",IF($E345=1,SUMIFS(Comptabilité!$F$1:$F$675,Comptabilité!$A$1:$A$675,$A345,Comptabilité!$B$1:$B$675,$B345,Comptabilité!$C$1:$C$675,"2026"),0))</f>
        <v/>
      </c>
      <c r="G345">
        <f>IF($A345="","",IF($D345="V01",Cadrage!$C$22,IF($D345="V02",Cadrage!$D$22,Cadrage!$E$22)))</f>
        <v/>
      </c>
      <c r="H345">
        <f>IF($A345="","",IF($D345="V01",Cadrage!$C$23,IF($D345="V02",Cadrage!$D$23,Cadrage!$E$23)))</f>
        <v/>
      </c>
      <c r="I345">
        <f>IF($A345="","",IF($D345="V01",Cadrage!$C$31,IF($D345="V02",Cadrage!$D$31,Cadrage!$E$31)))</f>
        <v/>
      </c>
      <c r="J345">
        <f>IF($A345="","",IF($D345="V01",Cadrage!$C$32,IF($D345="V02",Cadrage!$D$32,Cadrage!$E$32)))</f>
        <v/>
      </c>
      <c r="K345">
        <f>IF($A345="","",IF($D345="V01",Cadrage!$C$33,IF($D345="V02",Cadrage!$D$33,Cadrage!$E$33)))</f>
        <v/>
      </c>
      <c r="L345">
        <f>IF($A345="","",IF($D345="V01",Cadrage!$C$34,IF($D345="V02",Cadrage!$D$34,Cadrage!$E$34)))</f>
        <v/>
      </c>
      <c r="M345">
        <f>IF($A345="","",IF($D345="V01",Cadrage!$C$35,IF($D345="V02",Cadrage!$D$35,Cadrage!$E$35)))</f>
        <v/>
      </c>
      <c r="N345">
        <f>IF($A345="","",IF($D345="V01",$R$2,IF($D345="V02",$R$3,$R$4)))</f>
        <v/>
      </c>
      <c r="O345">
        <f>IF($A345="","",IF(OR($B345="7062",$B345="706",$B345="708"),$N345,IF($B345="6231",1+$G345,IF($B345="6236",1+$H345,IF(OR($B345="621",$B345="604",$B345="6063"),$N345*(1-$L345),IF(OR($B345="6411",$B345="6413",$B345="6414",$B345="645"),(1+$J345)*(1+$K345),IF(OR($B345="613",$B345="615",$B345="616",$B345="6226",$B345="625",$B345="626",$B345="6281"),(1+$I345)*(1-$L345)*(1+$M345),IF(OR($B345="6331",$B345="63511",$B345="6333"),(1+$I345)*(1-$L345),IF($B345="6811",1+$I345,1)))))))))</f>
        <v/>
      </c>
      <c r="P345">
        <f>IF($A345="","",IF($E345=1,$F345*$O345,PNL!G345))</f>
        <v/>
      </c>
      <c r="T345">
        <f>IF($A345="","",IF($E345=1,IF(OR($B345="7062",$B345="706",$B345="708"),$P345,IF(AND(LEFT($B345,1)="6",$B345&lt;&gt;"6811"),-$P345,0)),0))</f>
        <v/>
      </c>
    </row>
    <row r="346">
      <c r="A346">
        <f>IF(PNL!A346="","",PNL!A346)</f>
        <v/>
      </c>
      <c r="B346">
        <f>IF(PNL!B346="","",PNL!B346)</f>
        <v/>
      </c>
      <c r="C346">
        <f>IF(PNL!C346="","",PNL!C346)</f>
        <v/>
      </c>
      <c r="D346">
        <f>IF(PNL!D346="","",PNL!D346)</f>
        <v/>
      </c>
      <c r="E346">
        <f>IF($A346="","",IF(AND($C346="2027",OR($D346="V01",$D346="V02",$D346="V03")),1,0))</f>
        <v/>
      </c>
      <c r="F346">
        <f>IF($A346="","",IF($E346=1,SUMIFS(Comptabilité!$F$1:$F$675,Comptabilité!$A$1:$A$675,$A346,Comptabilité!$B$1:$B$675,$B346,Comptabilité!$C$1:$C$675,"2026"),0))</f>
        <v/>
      </c>
      <c r="G346">
        <f>IF($A346="","",IF($D346="V01",Cadrage!$C$22,IF($D346="V02",Cadrage!$D$22,Cadrage!$E$22)))</f>
        <v/>
      </c>
      <c r="H346">
        <f>IF($A346="","",IF($D346="V01",Cadrage!$C$23,IF($D346="V02",Cadrage!$D$23,Cadrage!$E$23)))</f>
        <v/>
      </c>
      <c r="I346">
        <f>IF($A346="","",IF($D346="V01",Cadrage!$C$31,IF($D346="V02",Cadrage!$D$31,Cadrage!$E$31)))</f>
        <v/>
      </c>
      <c r="J346">
        <f>IF($A346="","",IF($D346="V01",Cadrage!$C$32,IF($D346="V02",Cadrage!$D$32,Cadrage!$E$32)))</f>
        <v/>
      </c>
      <c r="K346">
        <f>IF($A346="","",IF($D346="V01",Cadrage!$C$33,IF($D346="V02",Cadrage!$D$33,Cadrage!$E$33)))</f>
        <v/>
      </c>
      <c r="L346">
        <f>IF($A346="","",IF($D346="V01",Cadrage!$C$34,IF($D346="V02",Cadrage!$D$34,Cadrage!$E$34)))</f>
        <v/>
      </c>
      <c r="M346">
        <f>IF($A346="","",IF($D346="V01",Cadrage!$C$35,IF($D346="V02",Cadrage!$D$35,Cadrage!$E$35)))</f>
        <v/>
      </c>
      <c r="N346">
        <f>IF($A346="","",IF($D346="V01",$R$2,IF($D346="V02",$R$3,$R$4)))</f>
        <v/>
      </c>
      <c r="O346">
        <f>IF($A346="","",IF(OR($B346="7062",$B346="706",$B346="708"),$N346,IF($B346="6231",1+$G346,IF($B346="6236",1+$H346,IF(OR($B346="621",$B346="604",$B346="6063"),$N346*(1-$L346),IF(OR($B346="6411",$B346="6413",$B346="6414",$B346="645"),(1+$J346)*(1+$K346),IF(OR($B346="613",$B346="615",$B346="616",$B346="6226",$B346="625",$B346="626",$B346="6281"),(1+$I346)*(1-$L346)*(1+$M346),IF(OR($B346="6331",$B346="63511",$B346="6333"),(1+$I346)*(1-$L346),IF($B346="6811",1+$I346,1)))))))))</f>
        <v/>
      </c>
      <c r="P346">
        <f>IF($A346="","",IF($E346=1,$F346*$O346,PNL!G346))</f>
        <v/>
      </c>
      <c r="T346">
        <f>IF($A346="","",IF($E346=1,IF(OR($B346="7062",$B346="706",$B346="708"),$P346,IF(AND(LEFT($B346,1)="6",$B346&lt;&gt;"6811"),-$P346,0)),0))</f>
        <v/>
      </c>
    </row>
    <row r="347">
      <c r="A347">
        <f>IF(PNL!A347="","",PNL!A347)</f>
        <v/>
      </c>
      <c r="B347">
        <f>IF(PNL!B347="","",PNL!B347)</f>
        <v/>
      </c>
      <c r="C347">
        <f>IF(PNL!C347="","",PNL!C347)</f>
        <v/>
      </c>
      <c r="D347">
        <f>IF(PNL!D347="","",PNL!D347)</f>
        <v/>
      </c>
      <c r="E347">
        <f>IF($A347="","",IF(AND($C347="2027",OR($D347="V01",$D347="V02",$D347="V03")),1,0))</f>
        <v/>
      </c>
      <c r="F347">
        <f>IF($A347="","",IF($E347=1,SUMIFS(Comptabilité!$F$1:$F$675,Comptabilité!$A$1:$A$675,$A347,Comptabilité!$B$1:$B$675,$B347,Comptabilité!$C$1:$C$675,"2026"),0))</f>
        <v/>
      </c>
      <c r="G347">
        <f>IF($A347="","",IF($D347="V01",Cadrage!$C$22,IF($D347="V02",Cadrage!$D$22,Cadrage!$E$22)))</f>
        <v/>
      </c>
      <c r="H347">
        <f>IF($A347="","",IF($D347="V01",Cadrage!$C$23,IF($D347="V02",Cadrage!$D$23,Cadrage!$E$23)))</f>
        <v/>
      </c>
      <c r="I347">
        <f>IF($A347="","",IF($D347="V01",Cadrage!$C$31,IF($D347="V02",Cadrage!$D$31,Cadrage!$E$31)))</f>
        <v/>
      </c>
      <c r="J347">
        <f>IF($A347="","",IF($D347="V01",Cadrage!$C$32,IF($D347="V02",Cadrage!$D$32,Cadrage!$E$32)))</f>
        <v/>
      </c>
      <c r="K347">
        <f>IF($A347="","",IF($D347="V01",Cadrage!$C$33,IF($D347="V02",Cadrage!$D$33,Cadrage!$E$33)))</f>
        <v/>
      </c>
      <c r="L347">
        <f>IF($A347="","",IF($D347="V01",Cadrage!$C$34,IF($D347="V02",Cadrage!$D$34,Cadrage!$E$34)))</f>
        <v/>
      </c>
      <c r="M347">
        <f>IF($A347="","",IF($D347="V01",Cadrage!$C$35,IF($D347="V02",Cadrage!$D$35,Cadrage!$E$35)))</f>
        <v/>
      </c>
      <c r="N347">
        <f>IF($A347="","",IF($D347="V01",$R$2,IF($D347="V02",$R$3,$R$4)))</f>
        <v/>
      </c>
      <c r="O347">
        <f>IF($A347="","",IF(OR($B347="7062",$B347="706",$B347="708"),$N347,IF($B347="6231",1+$G347,IF($B347="6236",1+$H347,IF(OR($B347="621",$B347="604",$B347="6063"),$N347*(1-$L347),IF(OR($B347="6411",$B347="6413",$B347="6414",$B347="645"),(1+$J347)*(1+$K347),IF(OR($B347="613",$B347="615",$B347="616",$B347="6226",$B347="625",$B347="626",$B347="6281"),(1+$I347)*(1-$L347)*(1+$M347),IF(OR($B347="6331",$B347="63511",$B347="6333"),(1+$I347)*(1-$L347),IF($B347="6811",1+$I347,1)))))))))</f>
        <v/>
      </c>
      <c r="P347">
        <f>IF($A347="","",IF($E347=1,$F347*$O347,PNL!G347))</f>
        <v/>
      </c>
      <c r="T347">
        <f>IF($A347="","",IF($E347=1,IF(OR($B347="7062",$B347="706",$B347="708"),$P347,IF(AND(LEFT($B347,1)="6",$B347&lt;&gt;"6811"),-$P347,0)),0))</f>
        <v/>
      </c>
    </row>
    <row r="348">
      <c r="A348">
        <f>IF(PNL!A348="","",PNL!A348)</f>
        <v/>
      </c>
      <c r="B348">
        <f>IF(PNL!B348="","",PNL!B348)</f>
        <v/>
      </c>
      <c r="C348">
        <f>IF(PNL!C348="","",PNL!C348)</f>
        <v/>
      </c>
      <c r="D348">
        <f>IF(PNL!D348="","",PNL!D348)</f>
        <v/>
      </c>
      <c r="E348">
        <f>IF($A348="","",IF(AND($C348="2027",OR($D348="V01",$D348="V02",$D348="V03")),1,0))</f>
        <v/>
      </c>
      <c r="F348">
        <f>IF($A348="","",IF($E348=1,SUMIFS(Comptabilité!$F$1:$F$675,Comptabilité!$A$1:$A$675,$A348,Comptabilité!$B$1:$B$675,$B348,Comptabilité!$C$1:$C$675,"2026"),0))</f>
        <v/>
      </c>
      <c r="G348">
        <f>IF($A348="","",IF($D348="V01",Cadrage!$C$22,IF($D348="V02",Cadrage!$D$22,Cadrage!$E$22)))</f>
        <v/>
      </c>
      <c r="H348">
        <f>IF($A348="","",IF($D348="V01",Cadrage!$C$23,IF($D348="V02",Cadrage!$D$23,Cadrage!$E$23)))</f>
        <v/>
      </c>
      <c r="I348">
        <f>IF($A348="","",IF($D348="V01",Cadrage!$C$31,IF($D348="V02",Cadrage!$D$31,Cadrage!$E$31)))</f>
        <v/>
      </c>
      <c r="J348">
        <f>IF($A348="","",IF($D348="V01",Cadrage!$C$32,IF($D348="V02",Cadrage!$D$32,Cadrage!$E$32)))</f>
        <v/>
      </c>
      <c r="K348">
        <f>IF($A348="","",IF($D348="V01",Cadrage!$C$33,IF($D348="V02",Cadrage!$D$33,Cadrage!$E$33)))</f>
        <v/>
      </c>
      <c r="L348">
        <f>IF($A348="","",IF($D348="V01",Cadrage!$C$34,IF($D348="V02",Cadrage!$D$34,Cadrage!$E$34)))</f>
        <v/>
      </c>
      <c r="M348">
        <f>IF($A348="","",IF($D348="V01",Cadrage!$C$35,IF($D348="V02",Cadrage!$D$35,Cadrage!$E$35)))</f>
        <v/>
      </c>
      <c r="N348">
        <f>IF($A348="","",IF($D348="V01",$R$2,IF($D348="V02",$R$3,$R$4)))</f>
        <v/>
      </c>
      <c r="O348">
        <f>IF($A348="","",IF(OR($B348="7062",$B348="706",$B348="708"),$N348,IF($B348="6231",1+$G348,IF($B348="6236",1+$H348,IF(OR($B348="621",$B348="604",$B348="6063"),$N348*(1-$L348),IF(OR($B348="6411",$B348="6413",$B348="6414",$B348="645"),(1+$J348)*(1+$K348),IF(OR($B348="613",$B348="615",$B348="616",$B348="6226",$B348="625",$B348="626",$B348="6281"),(1+$I348)*(1-$L348)*(1+$M348),IF(OR($B348="6331",$B348="63511",$B348="6333"),(1+$I348)*(1-$L348),IF($B348="6811",1+$I348,1)))))))))</f>
        <v/>
      </c>
      <c r="P348">
        <f>IF($A348="","",IF($E348=1,$F348*$O348,PNL!G348))</f>
        <v/>
      </c>
      <c r="T348">
        <f>IF($A348="","",IF($E348=1,IF(OR($B348="7062",$B348="706",$B348="708"),$P348,IF(AND(LEFT($B348,1)="6",$B348&lt;&gt;"6811"),-$P348,0)),0))</f>
        <v/>
      </c>
    </row>
    <row r="349">
      <c r="A349">
        <f>IF(PNL!A349="","",PNL!A349)</f>
        <v/>
      </c>
      <c r="B349">
        <f>IF(PNL!B349="","",PNL!B349)</f>
        <v/>
      </c>
      <c r="C349">
        <f>IF(PNL!C349="","",PNL!C349)</f>
        <v/>
      </c>
      <c r="D349">
        <f>IF(PNL!D349="","",PNL!D349)</f>
        <v/>
      </c>
      <c r="E349">
        <f>IF($A349="","",IF(AND($C349="2027",OR($D349="V01",$D349="V02",$D349="V03")),1,0))</f>
        <v/>
      </c>
      <c r="F349">
        <f>IF($A349="","",IF($E349=1,SUMIFS(Comptabilité!$F$1:$F$675,Comptabilité!$A$1:$A$675,$A349,Comptabilité!$B$1:$B$675,$B349,Comptabilité!$C$1:$C$675,"2026"),0))</f>
        <v/>
      </c>
      <c r="G349">
        <f>IF($A349="","",IF($D349="V01",Cadrage!$C$22,IF($D349="V02",Cadrage!$D$22,Cadrage!$E$22)))</f>
        <v/>
      </c>
      <c r="H349">
        <f>IF($A349="","",IF($D349="V01",Cadrage!$C$23,IF($D349="V02",Cadrage!$D$23,Cadrage!$E$23)))</f>
        <v/>
      </c>
      <c r="I349">
        <f>IF($A349="","",IF($D349="V01",Cadrage!$C$31,IF($D349="V02",Cadrage!$D$31,Cadrage!$E$31)))</f>
        <v/>
      </c>
      <c r="J349">
        <f>IF($A349="","",IF($D349="V01",Cadrage!$C$32,IF($D349="V02",Cadrage!$D$32,Cadrage!$E$32)))</f>
        <v/>
      </c>
      <c r="K349">
        <f>IF($A349="","",IF($D349="V01",Cadrage!$C$33,IF($D349="V02",Cadrage!$D$33,Cadrage!$E$33)))</f>
        <v/>
      </c>
      <c r="L349">
        <f>IF($A349="","",IF($D349="V01",Cadrage!$C$34,IF($D349="V02",Cadrage!$D$34,Cadrage!$E$34)))</f>
        <v/>
      </c>
      <c r="M349">
        <f>IF($A349="","",IF($D349="V01",Cadrage!$C$35,IF($D349="V02",Cadrage!$D$35,Cadrage!$E$35)))</f>
        <v/>
      </c>
      <c r="N349">
        <f>IF($A349="","",IF($D349="V01",$R$2,IF($D349="V02",$R$3,$R$4)))</f>
        <v/>
      </c>
      <c r="O349">
        <f>IF($A349="","",IF(OR($B349="7062",$B349="706",$B349="708"),$N349,IF($B349="6231",1+$G349,IF($B349="6236",1+$H349,IF(OR($B349="621",$B349="604",$B349="6063"),$N349*(1-$L349),IF(OR($B349="6411",$B349="6413",$B349="6414",$B349="645"),(1+$J349)*(1+$K349),IF(OR($B349="613",$B349="615",$B349="616",$B349="6226",$B349="625",$B349="626",$B349="6281"),(1+$I349)*(1-$L349)*(1+$M349),IF(OR($B349="6331",$B349="63511",$B349="6333"),(1+$I349)*(1-$L349),IF($B349="6811",1+$I349,1)))))))))</f>
        <v/>
      </c>
      <c r="P349">
        <f>IF($A349="","",IF($E349=1,$F349*$O349,PNL!G349))</f>
        <v/>
      </c>
      <c r="T349">
        <f>IF($A349="","",IF($E349=1,IF(OR($B349="7062",$B349="706",$B349="708"),$P349,IF(AND(LEFT($B349,1)="6",$B349&lt;&gt;"6811"),-$P349,0)),0))</f>
        <v/>
      </c>
    </row>
    <row r="350">
      <c r="A350">
        <f>IF(PNL!A350="","",PNL!A350)</f>
        <v/>
      </c>
      <c r="B350">
        <f>IF(PNL!B350="","",PNL!B350)</f>
        <v/>
      </c>
      <c r="C350">
        <f>IF(PNL!C350="","",PNL!C350)</f>
        <v/>
      </c>
      <c r="D350">
        <f>IF(PNL!D350="","",PNL!D350)</f>
        <v/>
      </c>
      <c r="E350">
        <f>IF($A350="","",IF(AND($C350="2027",OR($D350="V01",$D350="V02",$D350="V03")),1,0))</f>
        <v/>
      </c>
      <c r="F350">
        <f>IF($A350="","",IF($E350=1,SUMIFS(Comptabilité!$F$1:$F$675,Comptabilité!$A$1:$A$675,$A350,Comptabilité!$B$1:$B$675,$B350,Comptabilité!$C$1:$C$675,"2026"),0))</f>
        <v/>
      </c>
      <c r="G350">
        <f>IF($A350="","",IF($D350="V01",Cadrage!$C$22,IF($D350="V02",Cadrage!$D$22,Cadrage!$E$22)))</f>
        <v/>
      </c>
      <c r="H350">
        <f>IF($A350="","",IF($D350="V01",Cadrage!$C$23,IF($D350="V02",Cadrage!$D$23,Cadrage!$E$23)))</f>
        <v/>
      </c>
      <c r="I350">
        <f>IF($A350="","",IF($D350="V01",Cadrage!$C$31,IF($D350="V02",Cadrage!$D$31,Cadrage!$E$31)))</f>
        <v/>
      </c>
      <c r="J350">
        <f>IF($A350="","",IF($D350="V01",Cadrage!$C$32,IF($D350="V02",Cadrage!$D$32,Cadrage!$E$32)))</f>
        <v/>
      </c>
      <c r="K350">
        <f>IF($A350="","",IF($D350="V01",Cadrage!$C$33,IF($D350="V02",Cadrage!$D$33,Cadrage!$E$33)))</f>
        <v/>
      </c>
      <c r="L350">
        <f>IF($A350="","",IF($D350="V01",Cadrage!$C$34,IF($D350="V02",Cadrage!$D$34,Cadrage!$E$34)))</f>
        <v/>
      </c>
      <c r="M350">
        <f>IF($A350="","",IF($D350="V01",Cadrage!$C$35,IF($D350="V02",Cadrage!$D$35,Cadrage!$E$35)))</f>
        <v/>
      </c>
      <c r="N350">
        <f>IF($A350="","",IF($D350="V01",$R$2,IF($D350="V02",$R$3,$R$4)))</f>
        <v/>
      </c>
      <c r="O350">
        <f>IF($A350="","",IF(OR($B350="7062",$B350="706",$B350="708"),$N350,IF($B350="6231",1+$G350,IF($B350="6236",1+$H350,IF(OR($B350="621",$B350="604",$B350="6063"),$N350*(1-$L350),IF(OR($B350="6411",$B350="6413",$B350="6414",$B350="645"),(1+$J350)*(1+$K350),IF(OR($B350="613",$B350="615",$B350="616",$B350="6226",$B350="625",$B350="626",$B350="6281"),(1+$I350)*(1-$L350)*(1+$M350),IF(OR($B350="6331",$B350="63511",$B350="6333"),(1+$I350)*(1-$L350),IF($B350="6811",1+$I350,1)))))))))</f>
        <v/>
      </c>
      <c r="P350">
        <f>IF($A350="","",IF($E350=1,$F350*$O350,PNL!G350))</f>
        <v/>
      </c>
      <c r="T350">
        <f>IF($A350="","",IF($E350=1,IF(OR($B350="7062",$B350="706",$B350="708"),$P350,IF(AND(LEFT($B350,1)="6",$B350&lt;&gt;"6811"),-$P350,0)),0))</f>
        <v/>
      </c>
    </row>
    <row r="351">
      <c r="A351">
        <f>IF(PNL!A351="","",PNL!A351)</f>
        <v/>
      </c>
      <c r="B351">
        <f>IF(PNL!B351="","",PNL!B351)</f>
        <v/>
      </c>
      <c r="C351">
        <f>IF(PNL!C351="","",PNL!C351)</f>
        <v/>
      </c>
      <c r="D351">
        <f>IF(PNL!D351="","",PNL!D351)</f>
        <v/>
      </c>
      <c r="E351">
        <f>IF($A351="","",IF(AND($C351="2027",OR($D351="V01",$D351="V02",$D351="V03")),1,0))</f>
        <v/>
      </c>
      <c r="F351">
        <f>IF($A351="","",IF($E351=1,SUMIFS(Comptabilité!$F$1:$F$675,Comptabilité!$A$1:$A$675,$A351,Comptabilité!$B$1:$B$675,$B351,Comptabilité!$C$1:$C$675,"2026"),0))</f>
        <v/>
      </c>
      <c r="G351">
        <f>IF($A351="","",IF($D351="V01",Cadrage!$C$22,IF($D351="V02",Cadrage!$D$22,Cadrage!$E$22)))</f>
        <v/>
      </c>
      <c r="H351">
        <f>IF($A351="","",IF($D351="V01",Cadrage!$C$23,IF($D351="V02",Cadrage!$D$23,Cadrage!$E$23)))</f>
        <v/>
      </c>
      <c r="I351">
        <f>IF($A351="","",IF($D351="V01",Cadrage!$C$31,IF($D351="V02",Cadrage!$D$31,Cadrage!$E$31)))</f>
        <v/>
      </c>
      <c r="J351">
        <f>IF($A351="","",IF($D351="V01",Cadrage!$C$32,IF($D351="V02",Cadrage!$D$32,Cadrage!$E$32)))</f>
        <v/>
      </c>
      <c r="K351">
        <f>IF($A351="","",IF($D351="V01",Cadrage!$C$33,IF($D351="V02",Cadrage!$D$33,Cadrage!$E$33)))</f>
        <v/>
      </c>
      <c r="L351">
        <f>IF($A351="","",IF($D351="V01",Cadrage!$C$34,IF($D351="V02",Cadrage!$D$34,Cadrage!$E$34)))</f>
        <v/>
      </c>
      <c r="M351">
        <f>IF($A351="","",IF($D351="V01",Cadrage!$C$35,IF($D351="V02",Cadrage!$D$35,Cadrage!$E$35)))</f>
        <v/>
      </c>
      <c r="N351">
        <f>IF($A351="","",IF($D351="V01",$R$2,IF($D351="V02",$R$3,$R$4)))</f>
        <v/>
      </c>
      <c r="O351">
        <f>IF($A351="","",IF(OR($B351="7062",$B351="706",$B351="708"),$N351,IF($B351="6231",1+$G351,IF($B351="6236",1+$H351,IF(OR($B351="621",$B351="604",$B351="6063"),$N351*(1-$L351),IF(OR($B351="6411",$B351="6413",$B351="6414",$B351="645"),(1+$J351)*(1+$K351),IF(OR($B351="613",$B351="615",$B351="616",$B351="6226",$B351="625",$B351="626",$B351="6281"),(1+$I351)*(1-$L351)*(1+$M351),IF(OR($B351="6331",$B351="63511",$B351="6333"),(1+$I351)*(1-$L351),IF($B351="6811",1+$I351,1)))))))))</f>
        <v/>
      </c>
      <c r="P351">
        <f>IF($A351="","",IF($E351=1,$F351*$O351,PNL!G351))</f>
        <v/>
      </c>
      <c r="T351">
        <f>IF($A351="","",IF($E351=1,IF(OR($B351="7062",$B351="706",$B351="708"),$P351,IF(AND(LEFT($B351,1)="6",$B351&lt;&gt;"6811"),-$P351,0)),0))</f>
        <v/>
      </c>
    </row>
    <row r="352">
      <c r="A352">
        <f>IF(PNL!A352="","",PNL!A352)</f>
        <v/>
      </c>
      <c r="B352">
        <f>IF(PNL!B352="","",PNL!B352)</f>
        <v/>
      </c>
      <c r="C352">
        <f>IF(PNL!C352="","",PNL!C352)</f>
        <v/>
      </c>
      <c r="D352">
        <f>IF(PNL!D352="","",PNL!D352)</f>
        <v/>
      </c>
      <c r="E352">
        <f>IF($A352="","",IF(AND($C352="2027",OR($D352="V01",$D352="V02",$D352="V03")),1,0))</f>
        <v/>
      </c>
      <c r="F352">
        <f>IF($A352="","",IF($E352=1,SUMIFS(Comptabilité!$F$1:$F$675,Comptabilité!$A$1:$A$675,$A352,Comptabilité!$B$1:$B$675,$B352,Comptabilité!$C$1:$C$675,"2026"),0))</f>
        <v/>
      </c>
      <c r="G352">
        <f>IF($A352="","",IF($D352="V01",Cadrage!$C$22,IF($D352="V02",Cadrage!$D$22,Cadrage!$E$22)))</f>
        <v/>
      </c>
      <c r="H352">
        <f>IF($A352="","",IF($D352="V01",Cadrage!$C$23,IF($D352="V02",Cadrage!$D$23,Cadrage!$E$23)))</f>
        <v/>
      </c>
      <c r="I352">
        <f>IF($A352="","",IF($D352="V01",Cadrage!$C$31,IF($D352="V02",Cadrage!$D$31,Cadrage!$E$31)))</f>
        <v/>
      </c>
      <c r="J352">
        <f>IF($A352="","",IF($D352="V01",Cadrage!$C$32,IF($D352="V02",Cadrage!$D$32,Cadrage!$E$32)))</f>
        <v/>
      </c>
      <c r="K352">
        <f>IF($A352="","",IF($D352="V01",Cadrage!$C$33,IF($D352="V02",Cadrage!$D$33,Cadrage!$E$33)))</f>
        <v/>
      </c>
      <c r="L352">
        <f>IF($A352="","",IF($D352="V01",Cadrage!$C$34,IF($D352="V02",Cadrage!$D$34,Cadrage!$E$34)))</f>
        <v/>
      </c>
      <c r="M352">
        <f>IF($A352="","",IF($D352="V01",Cadrage!$C$35,IF($D352="V02",Cadrage!$D$35,Cadrage!$E$35)))</f>
        <v/>
      </c>
      <c r="N352">
        <f>IF($A352="","",IF($D352="V01",$R$2,IF($D352="V02",$R$3,$R$4)))</f>
        <v/>
      </c>
      <c r="O352">
        <f>IF($A352="","",IF(OR($B352="7062",$B352="706",$B352="708"),$N352,IF($B352="6231",1+$G352,IF($B352="6236",1+$H352,IF(OR($B352="621",$B352="604",$B352="6063"),$N352*(1-$L352),IF(OR($B352="6411",$B352="6413",$B352="6414",$B352="645"),(1+$J352)*(1+$K352),IF(OR($B352="613",$B352="615",$B352="616",$B352="6226",$B352="625",$B352="626",$B352="6281"),(1+$I352)*(1-$L352)*(1+$M352),IF(OR($B352="6331",$B352="63511",$B352="6333"),(1+$I352)*(1-$L352),IF($B352="6811",1+$I352,1)))))))))</f>
        <v/>
      </c>
      <c r="P352">
        <f>IF($A352="","",IF($E352=1,$F352*$O352,PNL!G352))</f>
        <v/>
      </c>
      <c r="T352">
        <f>IF($A352="","",IF($E352=1,IF(OR($B352="7062",$B352="706",$B352="708"),$P352,IF(AND(LEFT($B352,1)="6",$B352&lt;&gt;"6811"),-$P352,0)),0))</f>
        <v/>
      </c>
    </row>
    <row r="353">
      <c r="A353">
        <f>IF(PNL!A353="","",PNL!A353)</f>
        <v/>
      </c>
      <c r="B353">
        <f>IF(PNL!B353="","",PNL!B353)</f>
        <v/>
      </c>
      <c r="C353">
        <f>IF(PNL!C353="","",PNL!C353)</f>
        <v/>
      </c>
      <c r="D353">
        <f>IF(PNL!D353="","",PNL!D353)</f>
        <v/>
      </c>
      <c r="E353">
        <f>IF($A353="","",IF(AND($C353="2027",OR($D353="V01",$D353="V02",$D353="V03")),1,0))</f>
        <v/>
      </c>
      <c r="F353">
        <f>IF($A353="","",IF($E353=1,SUMIFS(Comptabilité!$F$1:$F$675,Comptabilité!$A$1:$A$675,$A353,Comptabilité!$B$1:$B$675,$B353,Comptabilité!$C$1:$C$675,"2026"),0))</f>
        <v/>
      </c>
      <c r="G353">
        <f>IF($A353="","",IF($D353="V01",Cadrage!$C$22,IF($D353="V02",Cadrage!$D$22,Cadrage!$E$22)))</f>
        <v/>
      </c>
      <c r="H353">
        <f>IF($A353="","",IF($D353="V01",Cadrage!$C$23,IF($D353="V02",Cadrage!$D$23,Cadrage!$E$23)))</f>
        <v/>
      </c>
      <c r="I353">
        <f>IF($A353="","",IF($D353="V01",Cadrage!$C$31,IF($D353="V02",Cadrage!$D$31,Cadrage!$E$31)))</f>
        <v/>
      </c>
      <c r="J353">
        <f>IF($A353="","",IF($D353="V01",Cadrage!$C$32,IF($D353="V02",Cadrage!$D$32,Cadrage!$E$32)))</f>
        <v/>
      </c>
      <c r="K353">
        <f>IF($A353="","",IF($D353="V01",Cadrage!$C$33,IF($D353="V02",Cadrage!$D$33,Cadrage!$E$33)))</f>
        <v/>
      </c>
      <c r="L353">
        <f>IF($A353="","",IF($D353="V01",Cadrage!$C$34,IF($D353="V02",Cadrage!$D$34,Cadrage!$E$34)))</f>
        <v/>
      </c>
      <c r="M353">
        <f>IF($A353="","",IF($D353="V01",Cadrage!$C$35,IF($D353="V02",Cadrage!$D$35,Cadrage!$E$35)))</f>
        <v/>
      </c>
      <c r="N353">
        <f>IF($A353="","",IF($D353="V01",$R$2,IF($D353="V02",$R$3,$R$4)))</f>
        <v/>
      </c>
      <c r="O353">
        <f>IF($A353="","",IF(OR($B353="7062",$B353="706",$B353="708"),$N353,IF($B353="6231",1+$G353,IF($B353="6236",1+$H353,IF(OR($B353="621",$B353="604",$B353="6063"),$N353*(1-$L353),IF(OR($B353="6411",$B353="6413",$B353="6414",$B353="645"),(1+$J353)*(1+$K353),IF(OR($B353="613",$B353="615",$B353="616",$B353="6226",$B353="625",$B353="626",$B353="6281"),(1+$I353)*(1-$L353)*(1+$M353),IF(OR($B353="6331",$B353="63511",$B353="6333"),(1+$I353)*(1-$L353),IF($B353="6811",1+$I353,1)))))))))</f>
        <v/>
      </c>
      <c r="P353">
        <f>IF($A353="","",IF($E353=1,$F353*$O353,PNL!G353))</f>
        <v/>
      </c>
      <c r="T353">
        <f>IF($A353="","",IF($E353=1,IF(OR($B353="7062",$B353="706",$B353="708"),$P353,IF(AND(LEFT($B353,1)="6",$B353&lt;&gt;"6811"),-$P353,0)),0))</f>
        <v/>
      </c>
    </row>
    <row r="354">
      <c r="A354">
        <f>IF(PNL!A354="","",PNL!A354)</f>
        <v/>
      </c>
      <c r="B354">
        <f>IF(PNL!B354="","",PNL!B354)</f>
        <v/>
      </c>
      <c r="C354">
        <f>IF(PNL!C354="","",PNL!C354)</f>
        <v/>
      </c>
      <c r="D354">
        <f>IF(PNL!D354="","",PNL!D354)</f>
        <v/>
      </c>
      <c r="E354">
        <f>IF($A354="","",IF(AND($C354="2027",OR($D354="V01",$D354="V02",$D354="V03")),1,0))</f>
        <v/>
      </c>
      <c r="F354">
        <f>IF($A354="","",IF($E354=1,SUMIFS(Comptabilité!$F$1:$F$675,Comptabilité!$A$1:$A$675,$A354,Comptabilité!$B$1:$B$675,$B354,Comptabilité!$C$1:$C$675,"2026"),0))</f>
        <v/>
      </c>
      <c r="G354">
        <f>IF($A354="","",IF($D354="V01",Cadrage!$C$22,IF($D354="V02",Cadrage!$D$22,Cadrage!$E$22)))</f>
        <v/>
      </c>
      <c r="H354">
        <f>IF($A354="","",IF($D354="V01",Cadrage!$C$23,IF($D354="V02",Cadrage!$D$23,Cadrage!$E$23)))</f>
        <v/>
      </c>
      <c r="I354">
        <f>IF($A354="","",IF($D354="V01",Cadrage!$C$31,IF($D354="V02",Cadrage!$D$31,Cadrage!$E$31)))</f>
        <v/>
      </c>
      <c r="J354">
        <f>IF($A354="","",IF($D354="V01",Cadrage!$C$32,IF($D354="V02",Cadrage!$D$32,Cadrage!$E$32)))</f>
        <v/>
      </c>
      <c r="K354">
        <f>IF($A354="","",IF($D354="V01",Cadrage!$C$33,IF($D354="V02",Cadrage!$D$33,Cadrage!$E$33)))</f>
        <v/>
      </c>
      <c r="L354">
        <f>IF($A354="","",IF($D354="V01",Cadrage!$C$34,IF($D354="V02",Cadrage!$D$34,Cadrage!$E$34)))</f>
        <v/>
      </c>
      <c r="M354">
        <f>IF($A354="","",IF($D354="V01",Cadrage!$C$35,IF($D354="V02",Cadrage!$D$35,Cadrage!$E$35)))</f>
        <v/>
      </c>
      <c r="N354">
        <f>IF($A354="","",IF($D354="V01",$R$2,IF($D354="V02",$R$3,$R$4)))</f>
        <v/>
      </c>
      <c r="O354">
        <f>IF($A354="","",IF(OR($B354="7062",$B354="706",$B354="708"),$N354,IF($B354="6231",1+$G354,IF($B354="6236",1+$H354,IF(OR($B354="621",$B354="604",$B354="6063"),$N354*(1-$L354),IF(OR($B354="6411",$B354="6413",$B354="6414",$B354="645"),(1+$J354)*(1+$K354),IF(OR($B354="613",$B354="615",$B354="616",$B354="6226",$B354="625",$B354="626",$B354="6281"),(1+$I354)*(1-$L354)*(1+$M354),IF(OR($B354="6331",$B354="63511",$B354="6333"),(1+$I354)*(1-$L354),IF($B354="6811",1+$I354,1)))))))))</f>
        <v/>
      </c>
      <c r="P354">
        <f>IF($A354="","",IF($E354=1,$F354*$O354,PNL!G354))</f>
        <v/>
      </c>
      <c r="T354">
        <f>IF($A354="","",IF($E354=1,IF(OR($B354="7062",$B354="706",$B354="708"),$P354,IF(AND(LEFT($B354,1)="6",$B354&lt;&gt;"6811"),-$P354,0)),0))</f>
        <v/>
      </c>
    </row>
    <row r="355">
      <c r="A355">
        <f>IF(PNL!A355="","",PNL!A355)</f>
        <v/>
      </c>
      <c r="B355">
        <f>IF(PNL!B355="","",PNL!B355)</f>
        <v/>
      </c>
      <c r="C355">
        <f>IF(PNL!C355="","",PNL!C355)</f>
        <v/>
      </c>
      <c r="D355">
        <f>IF(PNL!D355="","",PNL!D355)</f>
        <v/>
      </c>
      <c r="E355">
        <f>IF($A355="","",IF(AND($C355="2027",OR($D355="V01",$D355="V02",$D355="V03")),1,0))</f>
        <v/>
      </c>
      <c r="F355">
        <f>IF($A355="","",IF($E355=1,SUMIFS(Comptabilité!$F$1:$F$675,Comptabilité!$A$1:$A$675,$A355,Comptabilité!$B$1:$B$675,$B355,Comptabilité!$C$1:$C$675,"2026"),0))</f>
        <v/>
      </c>
      <c r="G355">
        <f>IF($A355="","",IF($D355="V01",Cadrage!$C$22,IF($D355="V02",Cadrage!$D$22,Cadrage!$E$22)))</f>
        <v/>
      </c>
      <c r="H355">
        <f>IF($A355="","",IF($D355="V01",Cadrage!$C$23,IF($D355="V02",Cadrage!$D$23,Cadrage!$E$23)))</f>
        <v/>
      </c>
      <c r="I355">
        <f>IF($A355="","",IF($D355="V01",Cadrage!$C$31,IF($D355="V02",Cadrage!$D$31,Cadrage!$E$31)))</f>
        <v/>
      </c>
      <c r="J355">
        <f>IF($A355="","",IF($D355="V01",Cadrage!$C$32,IF($D355="V02",Cadrage!$D$32,Cadrage!$E$32)))</f>
        <v/>
      </c>
      <c r="K355">
        <f>IF($A355="","",IF($D355="V01",Cadrage!$C$33,IF($D355="V02",Cadrage!$D$33,Cadrage!$E$33)))</f>
        <v/>
      </c>
      <c r="L355">
        <f>IF($A355="","",IF($D355="V01",Cadrage!$C$34,IF($D355="V02",Cadrage!$D$34,Cadrage!$E$34)))</f>
        <v/>
      </c>
      <c r="M355">
        <f>IF($A355="","",IF($D355="V01",Cadrage!$C$35,IF($D355="V02",Cadrage!$D$35,Cadrage!$E$35)))</f>
        <v/>
      </c>
      <c r="N355">
        <f>IF($A355="","",IF($D355="V01",$R$2,IF($D355="V02",$R$3,$R$4)))</f>
        <v/>
      </c>
      <c r="O355">
        <f>IF($A355="","",IF(OR($B355="7062",$B355="706",$B355="708"),$N355,IF($B355="6231",1+$G355,IF($B355="6236",1+$H355,IF(OR($B355="621",$B355="604",$B355="6063"),$N355*(1-$L355),IF(OR($B355="6411",$B355="6413",$B355="6414",$B355="645"),(1+$J355)*(1+$K355),IF(OR($B355="613",$B355="615",$B355="616",$B355="6226",$B355="625",$B355="626",$B355="6281"),(1+$I355)*(1-$L355)*(1+$M355),IF(OR($B355="6331",$B355="63511",$B355="6333"),(1+$I355)*(1-$L355),IF($B355="6811",1+$I355,1)))))))))</f>
        <v/>
      </c>
      <c r="P355">
        <f>IF($A355="","",IF($E355=1,$F355*$O355,PNL!G355))</f>
        <v/>
      </c>
      <c r="T355">
        <f>IF($A355="","",IF($E355=1,IF(OR($B355="7062",$B355="706",$B355="708"),$P355,IF(AND(LEFT($B355,1)="6",$B355&lt;&gt;"6811"),-$P355,0)),0))</f>
        <v/>
      </c>
    </row>
    <row r="356">
      <c r="A356">
        <f>IF(PNL!A356="","",PNL!A356)</f>
        <v/>
      </c>
      <c r="B356">
        <f>IF(PNL!B356="","",PNL!B356)</f>
        <v/>
      </c>
      <c r="C356">
        <f>IF(PNL!C356="","",PNL!C356)</f>
        <v/>
      </c>
      <c r="D356">
        <f>IF(PNL!D356="","",PNL!D356)</f>
        <v/>
      </c>
      <c r="E356">
        <f>IF($A356="","",IF(AND($C356="2027",OR($D356="V01",$D356="V02",$D356="V03")),1,0))</f>
        <v/>
      </c>
      <c r="F356">
        <f>IF($A356="","",IF($E356=1,SUMIFS(Comptabilité!$F$1:$F$675,Comptabilité!$A$1:$A$675,$A356,Comptabilité!$B$1:$B$675,$B356,Comptabilité!$C$1:$C$675,"2026"),0))</f>
        <v/>
      </c>
      <c r="G356">
        <f>IF($A356="","",IF($D356="V01",Cadrage!$C$22,IF($D356="V02",Cadrage!$D$22,Cadrage!$E$22)))</f>
        <v/>
      </c>
      <c r="H356">
        <f>IF($A356="","",IF($D356="V01",Cadrage!$C$23,IF($D356="V02",Cadrage!$D$23,Cadrage!$E$23)))</f>
        <v/>
      </c>
      <c r="I356">
        <f>IF($A356="","",IF($D356="V01",Cadrage!$C$31,IF($D356="V02",Cadrage!$D$31,Cadrage!$E$31)))</f>
        <v/>
      </c>
      <c r="J356">
        <f>IF($A356="","",IF($D356="V01",Cadrage!$C$32,IF($D356="V02",Cadrage!$D$32,Cadrage!$E$32)))</f>
        <v/>
      </c>
      <c r="K356">
        <f>IF($A356="","",IF($D356="V01",Cadrage!$C$33,IF($D356="V02",Cadrage!$D$33,Cadrage!$E$33)))</f>
        <v/>
      </c>
      <c r="L356">
        <f>IF($A356="","",IF($D356="V01",Cadrage!$C$34,IF($D356="V02",Cadrage!$D$34,Cadrage!$E$34)))</f>
        <v/>
      </c>
      <c r="M356">
        <f>IF($A356="","",IF($D356="V01",Cadrage!$C$35,IF($D356="V02",Cadrage!$D$35,Cadrage!$E$35)))</f>
        <v/>
      </c>
      <c r="N356">
        <f>IF($A356="","",IF($D356="V01",$R$2,IF($D356="V02",$R$3,$R$4)))</f>
        <v/>
      </c>
      <c r="O356">
        <f>IF($A356="","",IF(OR($B356="7062",$B356="706",$B356="708"),$N356,IF($B356="6231",1+$G356,IF($B356="6236",1+$H356,IF(OR($B356="621",$B356="604",$B356="6063"),$N356*(1-$L356),IF(OR($B356="6411",$B356="6413",$B356="6414",$B356="645"),(1+$J356)*(1+$K356),IF(OR($B356="613",$B356="615",$B356="616",$B356="6226",$B356="625",$B356="626",$B356="6281"),(1+$I356)*(1-$L356)*(1+$M356),IF(OR($B356="6331",$B356="63511",$B356="6333"),(1+$I356)*(1-$L356),IF($B356="6811",1+$I356,1)))))))))</f>
        <v/>
      </c>
      <c r="P356">
        <f>IF($A356="","",IF($E356=1,$F356*$O356,PNL!G356))</f>
        <v/>
      </c>
      <c r="T356">
        <f>IF($A356="","",IF($E356=1,IF(OR($B356="7062",$B356="706",$B356="708"),$P356,IF(AND(LEFT($B356,1)="6",$B356&lt;&gt;"6811"),-$P356,0)),0))</f>
        <v/>
      </c>
    </row>
    <row r="357">
      <c r="A357">
        <f>IF(PNL!A357="","",PNL!A357)</f>
        <v/>
      </c>
      <c r="B357">
        <f>IF(PNL!B357="","",PNL!B357)</f>
        <v/>
      </c>
      <c r="C357">
        <f>IF(PNL!C357="","",PNL!C357)</f>
        <v/>
      </c>
      <c r="D357">
        <f>IF(PNL!D357="","",PNL!D357)</f>
        <v/>
      </c>
      <c r="E357">
        <f>IF($A357="","",IF(AND($C357="2027",OR($D357="V01",$D357="V02",$D357="V03")),1,0))</f>
        <v/>
      </c>
      <c r="F357">
        <f>IF($A357="","",IF($E357=1,SUMIFS(Comptabilité!$F$1:$F$675,Comptabilité!$A$1:$A$675,$A357,Comptabilité!$B$1:$B$675,$B357,Comptabilité!$C$1:$C$675,"2026"),0))</f>
        <v/>
      </c>
      <c r="G357">
        <f>IF($A357="","",IF($D357="V01",Cadrage!$C$22,IF($D357="V02",Cadrage!$D$22,Cadrage!$E$22)))</f>
        <v/>
      </c>
      <c r="H357">
        <f>IF($A357="","",IF($D357="V01",Cadrage!$C$23,IF($D357="V02",Cadrage!$D$23,Cadrage!$E$23)))</f>
        <v/>
      </c>
      <c r="I357">
        <f>IF($A357="","",IF($D357="V01",Cadrage!$C$31,IF($D357="V02",Cadrage!$D$31,Cadrage!$E$31)))</f>
        <v/>
      </c>
      <c r="J357">
        <f>IF($A357="","",IF($D357="V01",Cadrage!$C$32,IF($D357="V02",Cadrage!$D$32,Cadrage!$E$32)))</f>
        <v/>
      </c>
      <c r="K357">
        <f>IF($A357="","",IF($D357="V01",Cadrage!$C$33,IF($D357="V02",Cadrage!$D$33,Cadrage!$E$33)))</f>
        <v/>
      </c>
      <c r="L357">
        <f>IF($A357="","",IF($D357="V01",Cadrage!$C$34,IF($D357="V02",Cadrage!$D$34,Cadrage!$E$34)))</f>
        <v/>
      </c>
      <c r="M357">
        <f>IF($A357="","",IF($D357="V01",Cadrage!$C$35,IF($D357="V02",Cadrage!$D$35,Cadrage!$E$35)))</f>
        <v/>
      </c>
      <c r="N357">
        <f>IF($A357="","",IF($D357="V01",$R$2,IF($D357="V02",$R$3,$R$4)))</f>
        <v/>
      </c>
      <c r="O357">
        <f>IF($A357="","",IF(OR($B357="7062",$B357="706",$B357="708"),$N357,IF($B357="6231",1+$G357,IF($B357="6236",1+$H357,IF(OR($B357="621",$B357="604",$B357="6063"),$N357*(1-$L357),IF(OR($B357="6411",$B357="6413",$B357="6414",$B357="645"),(1+$J357)*(1+$K357),IF(OR($B357="613",$B357="615",$B357="616",$B357="6226",$B357="625",$B357="626",$B357="6281"),(1+$I357)*(1-$L357)*(1+$M357),IF(OR($B357="6331",$B357="63511",$B357="6333"),(1+$I357)*(1-$L357),IF($B357="6811",1+$I357,1)))))))))</f>
        <v/>
      </c>
      <c r="P357">
        <f>IF($A357="","",IF($E357=1,$F357*$O357,PNL!G357))</f>
        <v/>
      </c>
      <c r="T357">
        <f>IF($A357="","",IF($E357=1,IF(OR($B357="7062",$B357="706",$B357="708"),$P357,IF(AND(LEFT($B357,1)="6",$B357&lt;&gt;"6811"),-$P357,0)),0))</f>
        <v/>
      </c>
    </row>
    <row r="358">
      <c r="A358">
        <f>IF(PNL!A358="","",PNL!A358)</f>
        <v/>
      </c>
      <c r="B358">
        <f>IF(PNL!B358="","",PNL!B358)</f>
        <v/>
      </c>
      <c r="C358">
        <f>IF(PNL!C358="","",PNL!C358)</f>
        <v/>
      </c>
      <c r="D358">
        <f>IF(PNL!D358="","",PNL!D358)</f>
        <v/>
      </c>
      <c r="E358">
        <f>IF($A358="","",IF(AND($C358="2027",OR($D358="V01",$D358="V02",$D358="V03")),1,0))</f>
        <v/>
      </c>
      <c r="F358">
        <f>IF($A358="","",IF($E358=1,SUMIFS(Comptabilité!$F$1:$F$675,Comptabilité!$A$1:$A$675,$A358,Comptabilité!$B$1:$B$675,$B358,Comptabilité!$C$1:$C$675,"2026"),0))</f>
        <v/>
      </c>
      <c r="G358">
        <f>IF($A358="","",IF($D358="V01",Cadrage!$C$22,IF($D358="V02",Cadrage!$D$22,Cadrage!$E$22)))</f>
        <v/>
      </c>
      <c r="H358">
        <f>IF($A358="","",IF($D358="V01",Cadrage!$C$23,IF($D358="V02",Cadrage!$D$23,Cadrage!$E$23)))</f>
        <v/>
      </c>
      <c r="I358">
        <f>IF($A358="","",IF($D358="V01",Cadrage!$C$31,IF($D358="V02",Cadrage!$D$31,Cadrage!$E$31)))</f>
        <v/>
      </c>
      <c r="J358">
        <f>IF($A358="","",IF($D358="V01",Cadrage!$C$32,IF($D358="V02",Cadrage!$D$32,Cadrage!$E$32)))</f>
        <v/>
      </c>
      <c r="K358">
        <f>IF($A358="","",IF($D358="V01",Cadrage!$C$33,IF($D358="V02",Cadrage!$D$33,Cadrage!$E$33)))</f>
        <v/>
      </c>
      <c r="L358">
        <f>IF($A358="","",IF($D358="V01",Cadrage!$C$34,IF($D358="V02",Cadrage!$D$34,Cadrage!$E$34)))</f>
        <v/>
      </c>
      <c r="M358">
        <f>IF($A358="","",IF($D358="V01",Cadrage!$C$35,IF($D358="V02",Cadrage!$D$35,Cadrage!$E$35)))</f>
        <v/>
      </c>
      <c r="N358">
        <f>IF($A358="","",IF($D358="V01",$R$2,IF($D358="V02",$R$3,$R$4)))</f>
        <v/>
      </c>
      <c r="O358">
        <f>IF($A358="","",IF(OR($B358="7062",$B358="706",$B358="708"),$N358,IF($B358="6231",1+$G358,IF($B358="6236",1+$H358,IF(OR($B358="621",$B358="604",$B358="6063"),$N358*(1-$L358),IF(OR($B358="6411",$B358="6413",$B358="6414",$B358="645"),(1+$J358)*(1+$K358),IF(OR($B358="613",$B358="615",$B358="616",$B358="6226",$B358="625",$B358="626",$B358="6281"),(1+$I358)*(1-$L358)*(1+$M358),IF(OR($B358="6331",$B358="63511",$B358="6333"),(1+$I358)*(1-$L358),IF($B358="6811",1+$I358,1)))))))))</f>
        <v/>
      </c>
      <c r="P358">
        <f>IF($A358="","",IF($E358=1,$F358*$O358,PNL!G358))</f>
        <v/>
      </c>
      <c r="T358">
        <f>IF($A358="","",IF($E358=1,IF(OR($B358="7062",$B358="706",$B358="708"),$P358,IF(AND(LEFT($B358,1)="6",$B358&lt;&gt;"6811"),-$P358,0)),0))</f>
        <v/>
      </c>
    </row>
    <row r="359">
      <c r="A359">
        <f>IF(PNL!A359="","",PNL!A359)</f>
        <v/>
      </c>
      <c r="B359">
        <f>IF(PNL!B359="","",PNL!B359)</f>
        <v/>
      </c>
      <c r="C359">
        <f>IF(PNL!C359="","",PNL!C359)</f>
        <v/>
      </c>
      <c r="D359">
        <f>IF(PNL!D359="","",PNL!D359)</f>
        <v/>
      </c>
      <c r="E359">
        <f>IF($A359="","",IF(AND($C359="2027",OR($D359="V01",$D359="V02",$D359="V03")),1,0))</f>
        <v/>
      </c>
      <c r="F359">
        <f>IF($A359="","",IF($E359=1,SUMIFS(Comptabilité!$F$1:$F$675,Comptabilité!$A$1:$A$675,$A359,Comptabilité!$B$1:$B$675,$B359,Comptabilité!$C$1:$C$675,"2026"),0))</f>
        <v/>
      </c>
      <c r="G359">
        <f>IF($A359="","",IF($D359="V01",Cadrage!$C$22,IF($D359="V02",Cadrage!$D$22,Cadrage!$E$22)))</f>
        <v/>
      </c>
      <c r="H359">
        <f>IF($A359="","",IF($D359="V01",Cadrage!$C$23,IF($D359="V02",Cadrage!$D$23,Cadrage!$E$23)))</f>
        <v/>
      </c>
      <c r="I359">
        <f>IF($A359="","",IF($D359="V01",Cadrage!$C$31,IF($D359="V02",Cadrage!$D$31,Cadrage!$E$31)))</f>
        <v/>
      </c>
      <c r="J359">
        <f>IF($A359="","",IF($D359="V01",Cadrage!$C$32,IF($D359="V02",Cadrage!$D$32,Cadrage!$E$32)))</f>
        <v/>
      </c>
      <c r="K359">
        <f>IF($A359="","",IF($D359="V01",Cadrage!$C$33,IF($D359="V02",Cadrage!$D$33,Cadrage!$E$33)))</f>
        <v/>
      </c>
      <c r="L359">
        <f>IF($A359="","",IF($D359="V01",Cadrage!$C$34,IF($D359="V02",Cadrage!$D$34,Cadrage!$E$34)))</f>
        <v/>
      </c>
      <c r="M359">
        <f>IF($A359="","",IF($D359="V01",Cadrage!$C$35,IF($D359="V02",Cadrage!$D$35,Cadrage!$E$35)))</f>
        <v/>
      </c>
      <c r="N359">
        <f>IF($A359="","",IF($D359="V01",$R$2,IF($D359="V02",$R$3,$R$4)))</f>
        <v/>
      </c>
      <c r="O359">
        <f>IF($A359="","",IF(OR($B359="7062",$B359="706",$B359="708"),$N359,IF($B359="6231",1+$G359,IF($B359="6236",1+$H359,IF(OR($B359="621",$B359="604",$B359="6063"),$N359*(1-$L359),IF(OR($B359="6411",$B359="6413",$B359="6414",$B359="645"),(1+$J359)*(1+$K359),IF(OR($B359="613",$B359="615",$B359="616",$B359="6226",$B359="625",$B359="626",$B359="6281"),(1+$I359)*(1-$L359)*(1+$M359),IF(OR($B359="6331",$B359="63511",$B359="6333"),(1+$I359)*(1-$L359),IF($B359="6811",1+$I359,1)))))))))</f>
        <v/>
      </c>
      <c r="P359">
        <f>IF($A359="","",IF($E359=1,$F359*$O359,PNL!G359))</f>
        <v/>
      </c>
      <c r="T359">
        <f>IF($A359="","",IF($E359=1,IF(OR($B359="7062",$B359="706",$B359="708"),$P359,IF(AND(LEFT($B359,1)="6",$B359&lt;&gt;"6811"),-$P359,0)),0))</f>
        <v/>
      </c>
    </row>
    <row r="360">
      <c r="A360">
        <f>IF(PNL!A360="","",PNL!A360)</f>
        <v/>
      </c>
      <c r="B360">
        <f>IF(PNL!B360="","",PNL!B360)</f>
        <v/>
      </c>
      <c r="C360">
        <f>IF(PNL!C360="","",PNL!C360)</f>
        <v/>
      </c>
      <c r="D360">
        <f>IF(PNL!D360="","",PNL!D360)</f>
        <v/>
      </c>
      <c r="E360">
        <f>IF($A360="","",IF(AND($C360="2027",OR($D360="V01",$D360="V02",$D360="V03")),1,0))</f>
        <v/>
      </c>
      <c r="F360">
        <f>IF($A360="","",IF($E360=1,SUMIFS(Comptabilité!$F$1:$F$675,Comptabilité!$A$1:$A$675,$A360,Comptabilité!$B$1:$B$675,$B360,Comptabilité!$C$1:$C$675,"2026"),0))</f>
        <v/>
      </c>
      <c r="G360">
        <f>IF($A360="","",IF($D360="V01",Cadrage!$C$22,IF($D360="V02",Cadrage!$D$22,Cadrage!$E$22)))</f>
        <v/>
      </c>
      <c r="H360">
        <f>IF($A360="","",IF($D360="V01",Cadrage!$C$23,IF($D360="V02",Cadrage!$D$23,Cadrage!$E$23)))</f>
        <v/>
      </c>
      <c r="I360">
        <f>IF($A360="","",IF($D360="V01",Cadrage!$C$31,IF($D360="V02",Cadrage!$D$31,Cadrage!$E$31)))</f>
        <v/>
      </c>
      <c r="J360">
        <f>IF($A360="","",IF($D360="V01",Cadrage!$C$32,IF($D360="V02",Cadrage!$D$32,Cadrage!$E$32)))</f>
        <v/>
      </c>
      <c r="K360">
        <f>IF($A360="","",IF($D360="V01",Cadrage!$C$33,IF($D360="V02",Cadrage!$D$33,Cadrage!$E$33)))</f>
        <v/>
      </c>
      <c r="L360">
        <f>IF($A360="","",IF($D360="V01",Cadrage!$C$34,IF($D360="V02",Cadrage!$D$34,Cadrage!$E$34)))</f>
        <v/>
      </c>
      <c r="M360">
        <f>IF($A360="","",IF($D360="V01",Cadrage!$C$35,IF($D360="V02",Cadrage!$D$35,Cadrage!$E$35)))</f>
        <v/>
      </c>
      <c r="N360">
        <f>IF($A360="","",IF($D360="V01",$R$2,IF($D360="V02",$R$3,$R$4)))</f>
        <v/>
      </c>
      <c r="O360">
        <f>IF($A360="","",IF(OR($B360="7062",$B360="706",$B360="708"),$N360,IF($B360="6231",1+$G360,IF($B360="6236",1+$H360,IF(OR($B360="621",$B360="604",$B360="6063"),$N360*(1-$L360),IF(OR($B360="6411",$B360="6413",$B360="6414",$B360="645"),(1+$J360)*(1+$K360),IF(OR($B360="613",$B360="615",$B360="616",$B360="6226",$B360="625",$B360="626",$B360="6281"),(1+$I360)*(1-$L360)*(1+$M360),IF(OR($B360="6331",$B360="63511",$B360="6333"),(1+$I360)*(1-$L360),IF($B360="6811",1+$I360,1)))))))))</f>
        <v/>
      </c>
      <c r="P360">
        <f>IF($A360="","",IF($E360=1,$F360*$O360,PNL!G360))</f>
        <v/>
      </c>
      <c r="T360">
        <f>IF($A360="","",IF($E360=1,IF(OR($B360="7062",$B360="706",$B360="708"),$P360,IF(AND(LEFT($B360,1)="6",$B360&lt;&gt;"6811"),-$P360,0)),0))</f>
        <v/>
      </c>
    </row>
    <row r="361">
      <c r="A361">
        <f>IF(PNL!A361="","",PNL!A361)</f>
        <v/>
      </c>
      <c r="B361">
        <f>IF(PNL!B361="","",PNL!B361)</f>
        <v/>
      </c>
      <c r="C361">
        <f>IF(PNL!C361="","",PNL!C361)</f>
        <v/>
      </c>
      <c r="D361">
        <f>IF(PNL!D361="","",PNL!D361)</f>
        <v/>
      </c>
      <c r="E361">
        <f>IF($A361="","",IF(AND($C361="2027",OR($D361="V01",$D361="V02",$D361="V03")),1,0))</f>
        <v/>
      </c>
      <c r="F361">
        <f>IF($A361="","",IF($E361=1,SUMIFS(Comptabilité!$F$1:$F$675,Comptabilité!$A$1:$A$675,$A361,Comptabilité!$B$1:$B$675,$B361,Comptabilité!$C$1:$C$675,"2026"),0))</f>
        <v/>
      </c>
      <c r="G361">
        <f>IF($A361="","",IF($D361="V01",Cadrage!$C$22,IF($D361="V02",Cadrage!$D$22,Cadrage!$E$22)))</f>
        <v/>
      </c>
      <c r="H361">
        <f>IF($A361="","",IF($D361="V01",Cadrage!$C$23,IF($D361="V02",Cadrage!$D$23,Cadrage!$E$23)))</f>
        <v/>
      </c>
      <c r="I361">
        <f>IF($A361="","",IF($D361="V01",Cadrage!$C$31,IF($D361="V02",Cadrage!$D$31,Cadrage!$E$31)))</f>
        <v/>
      </c>
      <c r="J361">
        <f>IF($A361="","",IF($D361="V01",Cadrage!$C$32,IF($D361="V02",Cadrage!$D$32,Cadrage!$E$32)))</f>
        <v/>
      </c>
      <c r="K361">
        <f>IF($A361="","",IF($D361="V01",Cadrage!$C$33,IF($D361="V02",Cadrage!$D$33,Cadrage!$E$33)))</f>
        <v/>
      </c>
      <c r="L361">
        <f>IF($A361="","",IF($D361="V01",Cadrage!$C$34,IF($D361="V02",Cadrage!$D$34,Cadrage!$E$34)))</f>
        <v/>
      </c>
      <c r="M361">
        <f>IF($A361="","",IF($D361="V01",Cadrage!$C$35,IF($D361="V02",Cadrage!$D$35,Cadrage!$E$35)))</f>
        <v/>
      </c>
      <c r="N361">
        <f>IF($A361="","",IF($D361="V01",$R$2,IF($D361="V02",$R$3,$R$4)))</f>
        <v/>
      </c>
      <c r="O361">
        <f>IF($A361="","",IF(OR($B361="7062",$B361="706",$B361="708"),$N361,IF($B361="6231",1+$G361,IF($B361="6236",1+$H361,IF(OR($B361="621",$B361="604",$B361="6063"),$N361*(1-$L361),IF(OR($B361="6411",$B361="6413",$B361="6414",$B361="645"),(1+$J361)*(1+$K361),IF(OR($B361="613",$B361="615",$B361="616",$B361="6226",$B361="625",$B361="626",$B361="6281"),(1+$I361)*(1-$L361)*(1+$M361),IF(OR($B361="6331",$B361="63511",$B361="6333"),(1+$I361)*(1-$L361),IF($B361="6811",1+$I361,1)))))))))</f>
        <v/>
      </c>
      <c r="P361">
        <f>IF($A361="","",IF($E361=1,$F361*$O361,PNL!G361))</f>
        <v/>
      </c>
      <c r="T361">
        <f>IF($A361="","",IF($E361=1,IF(OR($B361="7062",$B361="706",$B361="708"),$P361,IF(AND(LEFT($B361,1)="6",$B361&lt;&gt;"6811"),-$P361,0)),0))</f>
        <v/>
      </c>
    </row>
    <row r="362">
      <c r="A362">
        <f>IF(PNL!A362="","",PNL!A362)</f>
        <v/>
      </c>
      <c r="B362">
        <f>IF(PNL!B362="","",PNL!B362)</f>
        <v/>
      </c>
      <c r="C362">
        <f>IF(PNL!C362="","",PNL!C362)</f>
        <v/>
      </c>
      <c r="D362">
        <f>IF(PNL!D362="","",PNL!D362)</f>
        <v/>
      </c>
      <c r="E362">
        <f>IF($A362="","",IF(AND($C362="2027",OR($D362="V01",$D362="V02",$D362="V03")),1,0))</f>
        <v/>
      </c>
      <c r="F362">
        <f>IF($A362="","",IF($E362=1,SUMIFS(Comptabilité!$F$1:$F$675,Comptabilité!$A$1:$A$675,$A362,Comptabilité!$B$1:$B$675,$B362,Comptabilité!$C$1:$C$675,"2026"),0))</f>
        <v/>
      </c>
      <c r="G362">
        <f>IF($A362="","",IF($D362="V01",Cadrage!$C$22,IF($D362="V02",Cadrage!$D$22,Cadrage!$E$22)))</f>
        <v/>
      </c>
      <c r="H362">
        <f>IF($A362="","",IF($D362="V01",Cadrage!$C$23,IF($D362="V02",Cadrage!$D$23,Cadrage!$E$23)))</f>
        <v/>
      </c>
      <c r="I362">
        <f>IF($A362="","",IF($D362="V01",Cadrage!$C$31,IF($D362="V02",Cadrage!$D$31,Cadrage!$E$31)))</f>
        <v/>
      </c>
      <c r="J362">
        <f>IF($A362="","",IF($D362="V01",Cadrage!$C$32,IF($D362="V02",Cadrage!$D$32,Cadrage!$E$32)))</f>
        <v/>
      </c>
      <c r="K362">
        <f>IF($A362="","",IF($D362="V01",Cadrage!$C$33,IF($D362="V02",Cadrage!$D$33,Cadrage!$E$33)))</f>
        <v/>
      </c>
      <c r="L362">
        <f>IF($A362="","",IF($D362="V01",Cadrage!$C$34,IF($D362="V02",Cadrage!$D$34,Cadrage!$E$34)))</f>
        <v/>
      </c>
      <c r="M362">
        <f>IF($A362="","",IF($D362="V01",Cadrage!$C$35,IF($D362="V02",Cadrage!$D$35,Cadrage!$E$35)))</f>
        <v/>
      </c>
      <c r="N362">
        <f>IF($A362="","",IF($D362="V01",$R$2,IF($D362="V02",$R$3,$R$4)))</f>
        <v/>
      </c>
      <c r="O362">
        <f>IF($A362="","",IF(OR($B362="7062",$B362="706",$B362="708"),$N362,IF($B362="6231",1+$G362,IF($B362="6236",1+$H362,IF(OR($B362="621",$B362="604",$B362="6063"),$N362*(1-$L362),IF(OR($B362="6411",$B362="6413",$B362="6414",$B362="645"),(1+$J362)*(1+$K362),IF(OR($B362="613",$B362="615",$B362="616",$B362="6226",$B362="625",$B362="626",$B362="6281"),(1+$I362)*(1-$L362)*(1+$M362),IF(OR($B362="6331",$B362="63511",$B362="6333"),(1+$I362)*(1-$L362),IF($B362="6811",1+$I362,1)))))))))</f>
        <v/>
      </c>
      <c r="P362">
        <f>IF($A362="","",IF($E362=1,$F362*$O362,PNL!G362))</f>
        <v/>
      </c>
      <c r="T362">
        <f>IF($A362="","",IF($E362=1,IF(OR($B362="7062",$B362="706",$B362="708"),$P362,IF(AND(LEFT($B362,1)="6",$B362&lt;&gt;"6811"),-$P362,0)),0))</f>
        <v/>
      </c>
    </row>
    <row r="363">
      <c r="A363">
        <f>IF(PNL!A363="","",PNL!A363)</f>
        <v/>
      </c>
      <c r="B363">
        <f>IF(PNL!B363="","",PNL!B363)</f>
        <v/>
      </c>
      <c r="C363">
        <f>IF(PNL!C363="","",PNL!C363)</f>
        <v/>
      </c>
      <c r="D363">
        <f>IF(PNL!D363="","",PNL!D363)</f>
        <v/>
      </c>
      <c r="E363">
        <f>IF($A363="","",IF(AND($C363="2027",OR($D363="V01",$D363="V02",$D363="V03")),1,0))</f>
        <v/>
      </c>
      <c r="F363">
        <f>IF($A363="","",IF($E363=1,SUMIFS(Comptabilité!$F$1:$F$675,Comptabilité!$A$1:$A$675,$A363,Comptabilité!$B$1:$B$675,$B363,Comptabilité!$C$1:$C$675,"2026"),0))</f>
        <v/>
      </c>
      <c r="G363">
        <f>IF($A363="","",IF($D363="V01",Cadrage!$C$22,IF($D363="V02",Cadrage!$D$22,Cadrage!$E$22)))</f>
        <v/>
      </c>
      <c r="H363">
        <f>IF($A363="","",IF($D363="V01",Cadrage!$C$23,IF($D363="V02",Cadrage!$D$23,Cadrage!$E$23)))</f>
        <v/>
      </c>
      <c r="I363">
        <f>IF($A363="","",IF($D363="V01",Cadrage!$C$31,IF($D363="V02",Cadrage!$D$31,Cadrage!$E$31)))</f>
        <v/>
      </c>
      <c r="J363">
        <f>IF($A363="","",IF($D363="V01",Cadrage!$C$32,IF($D363="V02",Cadrage!$D$32,Cadrage!$E$32)))</f>
        <v/>
      </c>
      <c r="K363">
        <f>IF($A363="","",IF($D363="V01",Cadrage!$C$33,IF($D363="V02",Cadrage!$D$33,Cadrage!$E$33)))</f>
        <v/>
      </c>
      <c r="L363">
        <f>IF($A363="","",IF($D363="V01",Cadrage!$C$34,IF($D363="V02",Cadrage!$D$34,Cadrage!$E$34)))</f>
        <v/>
      </c>
      <c r="M363">
        <f>IF($A363="","",IF($D363="V01",Cadrage!$C$35,IF($D363="V02",Cadrage!$D$35,Cadrage!$E$35)))</f>
        <v/>
      </c>
      <c r="N363">
        <f>IF($A363="","",IF($D363="V01",$R$2,IF($D363="V02",$R$3,$R$4)))</f>
        <v/>
      </c>
      <c r="O363">
        <f>IF($A363="","",IF(OR($B363="7062",$B363="706",$B363="708"),$N363,IF($B363="6231",1+$G363,IF($B363="6236",1+$H363,IF(OR($B363="621",$B363="604",$B363="6063"),$N363*(1-$L363),IF(OR($B363="6411",$B363="6413",$B363="6414",$B363="645"),(1+$J363)*(1+$K363),IF(OR($B363="613",$B363="615",$B363="616",$B363="6226",$B363="625",$B363="626",$B363="6281"),(1+$I363)*(1-$L363)*(1+$M363),IF(OR($B363="6331",$B363="63511",$B363="6333"),(1+$I363)*(1-$L363),IF($B363="6811",1+$I363,1)))))))))</f>
        <v/>
      </c>
      <c r="P363">
        <f>IF($A363="","",IF($E363=1,$F363*$O363,PNL!G363))</f>
        <v/>
      </c>
      <c r="T363">
        <f>IF($A363="","",IF($E363=1,IF(OR($B363="7062",$B363="706",$B363="708"),$P363,IF(AND(LEFT($B363,1)="6",$B363&lt;&gt;"6811"),-$P363,0)),0))</f>
        <v/>
      </c>
    </row>
    <row r="364">
      <c r="A364">
        <f>IF(PNL!A364="","",PNL!A364)</f>
        <v/>
      </c>
      <c r="B364">
        <f>IF(PNL!B364="","",PNL!B364)</f>
        <v/>
      </c>
      <c r="C364">
        <f>IF(PNL!C364="","",PNL!C364)</f>
        <v/>
      </c>
      <c r="D364">
        <f>IF(PNL!D364="","",PNL!D364)</f>
        <v/>
      </c>
      <c r="E364">
        <f>IF($A364="","",IF(AND($C364="2027",OR($D364="V01",$D364="V02",$D364="V03")),1,0))</f>
        <v/>
      </c>
      <c r="F364">
        <f>IF($A364="","",IF($E364=1,SUMIFS(Comptabilité!$F$1:$F$675,Comptabilité!$A$1:$A$675,$A364,Comptabilité!$B$1:$B$675,$B364,Comptabilité!$C$1:$C$675,"2026"),0))</f>
        <v/>
      </c>
      <c r="G364">
        <f>IF($A364="","",IF($D364="V01",Cadrage!$C$22,IF($D364="V02",Cadrage!$D$22,Cadrage!$E$22)))</f>
        <v/>
      </c>
      <c r="H364">
        <f>IF($A364="","",IF($D364="V01",Cadrage!$C$23,IF($D364="V02",Cadrage!$D$23,Cadrage!$E$23)))</f>
        <v/>
      </c>
      <c r="I364">
        <f>IF($A364="","",IF($D364="V01",Cadrage!$C$31,IF($D364="V02",Cadrage!$D$31,Cadrage!$E$31)))</f>
        <v/>
      </c>
      <c r="J364">
        <f>IF($A364="","",IF($D364="V01",Cadrage!$C$32,IF($D364="V02",Cadrage!$D$32,Cadrage!$E$32)))</f>
        <v/>
      </c>
      <c r="K364">
        <f>IF($A364="","",IF($D364="V01",Cadrage!$C$33,IF($D364="V02",Cadrage!$D$33,Cadrage!$E$33)))</f>
        <v/>
      </c>
      <c r="L364">
        <f>IF($A364="","",IF($D364="V01",Cadrage!$C$34,IF($D364="V02",Cadrage!$D$34,Cadrage!$E$34)))</f>
        <v/>
      </c>
      <c r="M364">
        <f>IF($A364="","",IF($D364="V01",Cadrage!$C$35,IF($D364="V02",Cadrage!$D$35,Cadrage!$E$35)))</f>
        <v/>
      </c>
      <c r="N364">
        <f>IF($A364="","",IF($D364="V01",$R$2,IF($D364="V02",$R$3,$R$4)))</f>
        <v/>
      </c>
      <c r="O364">
        <f>IF($A364="","",IF(OR($B364="7062",$B364="706",$B364="708"),$N364,IF($B364="6231",1+$G364,IF($B364="6236",1+$H364,IF(OR($B364="621",$B364="604",$B364="6063"),$N364*(1-$L364),IF(OR($B364="6411",$B364="6413",$B364="6414",$B364="645"),(1+$J364)*(1+$K364),IF(OR($B364="613",$B364="615",$B364="616",$B364="6226",$B364="625",$B364="626",$B364="6281"),(1+$I364)*(1-$L364)*(1+$M364),IF(OR($B364="6331",$B364="63511",$B364="6333"),(1+$I364)*(1-$L364),IF($B364="6811",1+$I364,1)))))))))</f>
        <v/>
      </c>
      <c r="P364">
        <f>IF($A364="","",IF($E364=1,$F364*$O364,PNL!G364))</f>
        <v/>
      </c>
      <c r="T364">
        <f>IF($A364="","",IF($E364=1,IF(OR($B364="7062",$B364="706",$B364="708"),$P364,IF(AND(LEFT($B364,1)="6",$B364&lt;&gt;"6811"),-$P364,0)),0))</f>
        <v/>
      </c>
    </row>
    <row r="365">
      <c r="A365">
        <f>IF(PNL!A365="","",PNL!A365)</f>
        <v/>
      </c>
      <c r="B365">
        <f>IF(PNL!B365="","",PNL!B365)</f>
        <v/>
      </c>
      <c r="C365">
        <f>IF(PNL!C365="","",PNL!C365)</f>
        <v/>
      </c>
      <c r="D365">
        <f>IF(PNL!D365="","",PNL!D365)</f>
        <v/>
      </c>
      <c r="E365">
        <f>IF($A365="","",IF(AND($C365="2027",OR($D365="V01",$D365="V02",$D365="V03")),1,0))</f>
        <v/>
      </c>
      <c r="F365">
        <f>IF($A365="","",IF($E365=1,SUMIFS(Comptabilité!$F$1:$F$675,Comptabilité!$A$1:$A$675,$A365,Comptabilité!$B$1:$B$675,$B365,Comptabilité!$C$1:$C$675,"2026"),0))</f>
        <v/>
      </c>
      <c r="G365">
        <f>IF($A365="","",IF($D365="V01",Cadrage!$C$22,IF($D365="V02",Cadrage!$D$22,Cadrage!$E$22)))</f>
        <v/>
      </c>
      <c r="H365">
        <f>IF($A365="","",IF($D365="V01",Cadrage!$C$23,IF($D365="V02",Cadrage!$D$23,Cadrage!$E$23)))</f>
        <v/>
      </c>
      <c r="I365">
        <f>IF($A365="","",IF($D365="V01",Cadrage!$C$31,IF($D365="V02",Cadrage!$D$31,Cadrage!$E$31)))</f>
        <v/>
      </c>
      <c r="J365">
        <f>IF($A365="","",IF($D365="V01",Cadrage!$C$32,IF($D365="V02",Cadrage!$D$32,Cadrage!$E$32)))</f>
        <v/>
      </c>
      <c r="K365">
        <f>IF($A365="","",IF($D365="V01",Cadrage!$C$33,IF($D365="V02",Cadrage!$D$33,Cadrage!$E$33)))</f>
        <v/>
      </c>
      <c r="L365">
        <f>IF($A365="","",IF($D365="V01",Cadrage!$C$34,IF($D365="V02",Cadrage!$D$34,Cadrage!$E$34)))</f>
        <v/>
      </c>
      <c r="M365">
        <f>IF($A365="","",IF($D365="V01",Cadrage!$C$35,IF($D365="V02",Cadrage!$D$35,Cadrage!$E$35)))</f>
        <v/>
      </c>
      <c r="N365">
        <f>IF($A365="","",IF($D365="V01",$R$2,IF($D365="V02",$R$3,$R$4)))</f>
        <v/>
      </c>
      <c r="O365">
        <f>IF($A365="","",IF(OR($B365="7062",$B365="706",$B365="708"),$N365,IF($B365="6231",1+$G365,IF($B365="6236",1+$H365,IF(OR($B365="621",$B365="604",$B365="6063"),$N365*(1-$L365),IF(OR($B365="6411",$B365="6413",$B365="6414",$B365="645"),(1+$J365)*(1+$K365),IF(OR($B365="613",$B365="615",$B365="616",$B365="6226",$B365="625",$B365="626",$B365="6281"),(1+$I365)*(1-$L365)*(1+$M365),IF(OR($B365="6331",$B365="63511",$B365="6333"),(1+$I365)*(1-$L365),IF($B365="6811",1+$I365,1)))))))))</f>
        <v/>
      </c>
      <c r="P365">
        <f>IF($A365="","",IF($E365=1,$F365*$O365,PNL!G365))</f>
        <v/>
      </c>
      <c r="T365">
        <f>IF($A365="","",IF($E365=1,IF(OR($B365="7062",$B365="706",$B365="708"),$P365,IF(AND(LEFT($B365,1)="6",$B365&lt;&gt;"6811"),-$P365,0)),0))</f>
        <v/>
      </c>
    </row>
    <row r="366">
      <c r="A366">
        <f>IF(PNL!A366="","",PNL!A366)</f>
        <v/>
      </c>
      <c r="B366">
        <f>IF(PNL!B366="","",PNL!B366)</f>
        <v/>
      </c>
      <c r="C366">
        <f>IF(PNL!C366="","",PNL!C366)</f>
        <v/>
      </c>
      <c r="D366">
        <f>IF(PNL!D366="","",PNL!D366)</f>
        <v/>
      </c>
      <c r="E366">
        <f>IF($A366="","",IF(AND($C366="2027",OR($D366="V01",$D366="V02",$D366="V03")),1,0))</f>
        <v/>
      </c>
      <c r="F366">
        <f>IF($A366="","",IF($E366=1,SUMIFS(Comptabilité!$F$1:$F$675,Comptabilité!$A$1:$A$675,$A366,Comptabilité!$B$1:$B$675,$B366,Comptabilité!$C$1:$C$675,"2026"),0))</f>
        <v/>
      </c>
      <c r="G366">
        <f>IF($A366="","",IF($D366="V01",Cadrage!$C$22,IF($D366="V02",Cadrage!$D$22,Cadrage!$E$22)))</f>
        <v/>
      </c>
      <c r="H366">
        <f>IF($A366="","",IF($D366="V01",Cadrage!$C$23,IF($D366="V02",Cadrage!$D$23,Cadrage!$E$23)))</f>
        <v/>
      </c>
      <c r="I366">
        <f>IF($A366="","",IF($D366="V01",Cadrage!$C$31,IF($D366="V02",Cadrage!$D$31,Cadrage!$E$31)))</f>
        <v/>
      </c>
      <c r="J366">
        <f>IF($A366="","",IF($D366="V01",Cadrage!$C$32,IF($D366="V02",Cadrage!$D$32,Cadrage!$E$32)))</f>
        <v/>
      </c>
      <c r="K366">
        <f>IF($A366="","",IF($D366="V01",Cadrage!$C$33,IF($D366="V02",Cadrage!$D$33,Cadrage!$E$33)))</f>
        <v/>
      </c>
      <c r="L366">
        <f>IF($A366="","",IF($D366="V01",Cadrage!$C$34,IF($D366="V02",Cadrage!$D$34,Cadrage!$E$34)))</f>
        <v/>
      </c>
      <c r="M366">
        <f>IF($A366="","",IF($D366="V01",Cadrage!$C$35,IF($D366="V02",Cadrage!$D$35,Cadrage!$E$35)))</f>
        <v/>
      </c>
      <c r="N366">
        <f>IF($A366="","",IF($D366="V01",$R$2,IF($D366="V02",$R$3,$R$4)))</f>
        <v/>
      </c>
      <c r="O366">
        <f>IF($A366="","",IF(OR($B366="7062",$B366="706",$B366="708"),$N366,IF($B366="6231",1+$G366,IF($B366="6236",1+$H366,IF(OR($B366="621",$B366="604",$B366="6063"),$N366*(1-$L366),IF(OR($B366="6411",$B366="6413",$B366="6414",$B366="645"),(1+$J366)*(1+$K366),IF(OR($B366="613",$B366="615",$B366="616",$B366="6226",$B366="625",$B366="626",$B366="6281"),(1+$I366)*(1-$L366)*(1+$M366),IF(OR($B366="6331",$B366="63511",$B366="6333"),(1+$I366)*(1-$L366),IF($B366="6811",1+$I366,1)))))))))</f>
        <v/>
      </c>
      <c r="P366">
        <f>IF($A366="","",IF($E366=1,$F366*$O366,PNL!G366))</f>
        <v/>
      </c>
      <c r="T366">
        <f>IF($A366="","",IF($E366=1,IF(OR($B366="7062",$B366="706",$B366="708"),$P366,IF(AND(LEFT($B366,1)="6",$B366&lt;&gt;"6811"),-$P366,0)),0))</f>
        <v/>
      </c>
    </row>
    <row r="367">
      <c r="A367">
        <f>IF(PNL!A367="","",PNL!A367)</f>
        <v/>
      </c>
      <c r="B367">
        <f>IF(PNL!B367="","",PNL!B367)</f>
        <v/>
      </c>
      <c r="C367">
        <f>IF(PNL!C367="","",PNL!C367)</f>
        <v/>
      </c>
      <c r="D367">
        <f>IF(PNL!D367="","",PNL!D367)</f>
        <v/>
      </c>
      <c r="E367">
        <f>IF($A367="","",IF(AND($C367="2027",OR($D367="V01",$D367="V02",$D367="V03")),1,0))</f>
        <v/>
      </c>
      <c r="F367">
        <f>IF($A367="","",IF($E367=1,SUMIFS(Comptabilité!$F$1:$F$675,Comptabilité!$A$1:$A$675,$A367,Comptabilité!$B$1:$B$675,$B367,Comptabilité!$C$1:$C$675,"2026"),0))</f>
        <v/>
      </c>
      <c r="G367">
        <f>IF($A367="","",IF($D367="V01",Cadrage!$C$22,IF($D367="V02",Cadrage!$D$22,Cadrage!$E$22)))</f>
        <v/>
      </c>
      <c r="H367">
        <f>IF($A367="","",IF($D367="V01",Cadrage!$C$23,IF($D367="V02",Cadrage!$D$23,Cadrage!$E$23)))</f>
        <v/>
      </c>
      <c r="I367">
        <f>IF($A367="","",IF($D367="V01",Cadrage!$C$31,IF($D367="V02",Cadrage!$D$31,Cadrage!$E$31)))</f>
        <v/>
      </c>
      <c r="J367">
        <f>IF($A367="","",IF($D367="V01",Cadrage!$C$32,IF($D367="V02",Cadrage!$D$32,Cadrage!$E$32)))</f>
        <v/>
      </c>
      <c r="K367">
        <f>IF($A367="","",IF($D367="V01",Cadrage!$C$33,IF($D367="V02",Cadrage!$D$33,Cadrage!$E$33)))</f>
        <v/>
      </c>
      <c r="L367">
        <f>IF($A367="","",IF($D367="V01",Cadrage!$C$34,IF($D367="V02",Cadrage!$D$34,Cadrage!$E$34)))</f>
        <v/>
      </c>
      <c r="M367">
        <f>IF($A367="","",IF($D367="V01",Cadrage!$C$35,IF($D367="V02",Cadrage!$D$35,Cadrage!$E$35)))</f>
        <v/>
      </c>
      <c r="N367">
        <f>IF($A367="","",IF($D367="V01",$R$2,IF($D367="V02",$R$3,$R$4)))</f>
        <v/>
      </c>
      <c r="O367">
        <f>IF($A367="","",IF(OR($B367="7062",$B367="706",$B367="708"),$N367,IF($B367="6231",1+$G367,IF($B367="6236",1+$H367,IF(OR($B367="621",$B367="604",$B367="6063"),$N367*(1-$L367),IF(OR($B367="6411",$B367="6413",$B367="6414",$B367="645"),(1+$J367)*(1+$K367),IF(OR($B367="613",$B367="615",$B367="616",$B367="6226",$B367="625",$B367="626",$B367="6281"),(1+$I367)*(1-$L367)*(1+$M367),IF(OR($B367="6331",$B367="63511",$B367="6333"),(1+$I367)*(1-$L367),IF($B367="6811",1+$I367,1)))))))))</f>
        <v/>
      </c>
      <c r="P367">
        <f>IF($A367="","",IF($E367=1,$F367*$O367,PNL!G367))</f>
        <v/>
      </c>
      <c r="T367">
        <f>IF($A367="","",IF($E367=1,IF(OR($B367="7062",$B367="706",$B367="708"),$P367,IF(AND(LEFT($B367,1)="6",$B367&lt;&gt;"6811"),-$P367,0)),0))</f>
        <v/>
      </c>
    </row>
    <row r="368">
      <c r="A368">
        <f>IF(PNL!A368="","",PNL!A368)</f>
        <v/>
      </c>
      <c r="B368">
        <f>IF(PNL!B368="","",PNL!B368)</f>
        <v/>
      </c>
      <c r="C368">
        <f>IF(PNL!C368="","",PNL!C368)</f>
        <v/>
      </c>
      <c r="D368">
        <f>IF(PNL!D368="","",PNL!D368)</f>
        <v/>
      </c>
      <c r="E368">
        <f>IF($A368="","",IF(AND($C368="2027",OR($D368="V01",$D368="V02",$D368="V03")),1,0))</f>
        <v/>
      </c>
      <c r="F368">
        <f>IF($A368="","",IF($E368=1,SUMIFS(Comptabilité!$F$1:$F$675,Comptabilité!$A$1:$A$675,$A368,Comptabilité!$B$1:$B$675,$B368,Comptabilité!$C$1:$C$675,"2026"),0))</f>
        <v/>
      </c>
      <c r="G368">
        <f>IF($A368="","",IF($D368="V01",Cadrage!$C$22,IF($D368="V02",Cadrage!$D$22,Cadrage!$E$22)))</f>
        <v/>
      </c>
      <c r="H368">
        <f>IF($A368="","",IF($D368="V01",Cadrage!$C$23,IF($D368="V02",Cadrage!$D$23,Cadrage!$E$23)))</f>
        <v/>
      </c>
      <c r="I368">
        <f>IF($A368="","",IF($D368="V01",Cadrage!$C$31,IF($D368="V02",Cadrage!$D$31,Cadrage!$E$31)))</f>
        <v/>
      </c>
      <c r="J368">
        <f>IF($A368="","",IF($D368="V01",Cadrage!$C$32,IF($D368="V02",Cadrage!$D$32,Cadrage!$E$32)))</f>
        <v/>
      </c>
      <c r="K368">
        <f>IF($A368="","",IF($D368="V01",Cadrage!$C$33,IF($D368="V02",Cadrage!$D$33,Cadrage!$E$33)))</f>
        <v/>
      </c>
      <c r="L368">
        <f>IF($A368="","",IF($D368="V01",Cadrage!$C$34,IF($D368="V02",Cadrage!$D$34,Cadrage!$E$34)))</f>
        <v/>
      </c>
      <c r="M368">
        <f>IF($A368="","",IF($D368="V01",Cadrage!$C$35,IF($D368="V02",Cadrage!$D$35,Cadrage!$E$35)))</f>
        <v/>
      </c>
      <c r="N368">
        <f>IF($A368="","",IF($D368="V01",$R$2,IF($D368="V02",$R$3,$R$4)))</f>
        <v/>
      </c>
      <c r="O368">
        <f>IF($A368="","",IF(OR($B368="7062",$B368="706",$B368="708"),$N368,IF($B368="6231",1+$G368,IF($B368="6236",1+$H368,IF(OR($B368="621",$B368="604",$B368="6063"),$N368*(1-$L368),IF(OR($B368="6411",$B368="6413",$B368="6414",$B368="645"),(1+$J368)*(1+$K368),IF(OR($B368="613",$B368="615",$B368="616",$B368="6226",$B368="625",$B368="626",$B368="6281"),(1+$I368)*(1-$L368)*(1+$M368),IF(OR($B368="6331",$B368="63511",$B368="6333"),(1+$I368)*(1-$L368),IF($B368="6811",1+$I368,1)))))))))</f>
        <v/>
      </c>
      <c r="P368">
        <f>IF($A368="","",IF($E368=1,$F368*$O368,PNL!G368))</f>
        <v/>
      </c>
      <c r="T368">
        <f>IF($A368="","",IF($E368=1,IF(OR($B368="7062",$B368="706",$B368="708"),$P368,IF(AND(LEFT($B368,1)="6",$B368&lt;&gt;"6811"),-$P368,0)),0))</f>
        <v/>
      </c>
    </row>
    <row r="369">
      <c r="A369">
        <f>IF(PNL!A369="","",PNL!A369)</f>
        <v/>
      </c>
      <c r="B369">
        <f>IF(PNL!B369="","",PNL!B369)</f>
        <v/>
      </c>
      <c r="C369">
        <f>IF(PNL!C369="","",PNL!C369)</f>
        <v/>
      </c>
      <c r="D369">
        <f>IF(PNL!D369="","",PNL!D369)</f>
        <v/>
      </c>
      <c r="E369">
        <f>IF($A369="","",IF(AND($C369="2027",OR($D369="V01",$D369="V02",$D369="V03")),1,0))</f>
        <v/>
      </c>
      <c r="F369">
        <f>IF($A369="","",IF($E369=1,SUMIFS(Comptabilité!$F$1:$F$675,Comptabilité!$A$1:$A$675,$A369,Comptabilité!$B$1:$B$675,$B369,Comptabilité!$C$1:$C$675,"2026"),0))</f>
        <v/>
      </c>
      <c r="G369">
        <f>IF($A369="","",IF($D369="V01",Cadrage!$C$22,IF($D369="V02",Cadrage!$D$22,Cadrage!$E$22)))</f>
        <v/>
      </c>
      <c r="H369">
        <f>IF($A369="","",IF($D369="V01",Cadrage!$C$23,IF($D369="V02",Cadrage!$D$23,Cadrage!$E$23)))</f>
        <v/>
      </c>
      <c r="I369">
        <f>IF($A369="","",IF($D369="V01",Cadrage!$C$31,IF($D369="V02",Cadrage!$D$31,Cadrage!$E$31)))</f>
        <v/>
      </c>
      <c r="J369">
        <f>IF($A369="","",IF($D369="V01",Cadrage!$C$32,IF($D369="V02",Cadrage!$D$32,Cadrage!$E$32)))</f>
        <v/>
      </c>
      <c r="K369">
        <f>IF($A369="","",IF($D369="V01",Cadrage!$C$33,IF($D369="V02",Cadrage!$D$33,Cadrage!$E$33)))</f>
        <v/>
      </c>
      <c r="L369">
        <f>IF($A369="","",IF($D369="V01",Cadrage!$C$34,IF($D369="V02",Cadrage!$D$34,Cadrage!$E$34)))</f>
        <v/>
      </c>
      <c r="M369">
        <f>IF($A369="","",IF($D369="V01",Cadrage!$C$35,IF($D369="V02",Cadrage!$D$35,Cadrage!$E$35)))</f>
        <v/>
      </c>
      <c r="N369">
        <f>IF($A369="","",IF($D369="V01",$R$2,IF($D369="V02",$R$3,$R$4)))</f>
        <v/>
      </c>
      <c r="O369">
        <f>IF($A369="","",IF(OR($B369="7062",$B369="706",$B369="708"),$N369,IF($B369="6231",1+$G369,IF($B369="6236",1+$H369,IF(OR($B369="621",$B369="604",$B369="6063"),$N369*(1-$L369),IF(OR($B369="6411",$B369="6413",$B369="6414",$B369="645"),(1+$J369)*(1+$K369),IF(OR($B369="613",$B369="615",$B369="616",$B369="6226",$B369="625",$B369="626",$B369="6281"),(1+$I369)*(1-$L369)*(1+$M369),IF(OR($B369="6331",$B369="63511",$B369="6333"),(1+$I369)*(1-$L369),IF($B369="6811",1+$I369,1)))))))))</f>
        <v/>
      </c>
      <c r="P369">
        <f>IF($A369="","",IF($E369=1,$F369*$O369,PNL!G369))</f>
        <v/>
      </c>
      <c r="T369">
        <f>IF($A369="","",IF($E369=1,IF(OR($B369="7062",$B369="706",$B369="708"),$P369,IF(AND(LEFT($B369,1)="6",$B369&lt;&gt;"6811"),-$P369,0)),0))</f>
        <v/>
      </c>
    </row>
    <row r="370">
      <c r="A370">
        <f>IF(PNL!A370="","",PNL!A370)</f>
        <v/>
      </c>
      <c r="B370">
        <f>IF(PNL!B370="","",PNL!B370)</f>
        <v/>
      </c>
      <c r="C370">
        <f>IF(PNL!C370="","",PNL!C370)</f>
        <v/>
      </c>
      <c r="D370">
        <f>IF(PNL!D370="","",PNL!D370)</f>
        <v/>
      </c>
      <c r="E370">
        <f>IF($A370="","",IF(AND($C370="2027",OR($D370="V01",$D370="V02",$D370="V03")),1,0))</f>
        <v/>
      </c>
      <c r="F370">
        <f>IF($A370="","",IF($E370=1,SUMIFS(Comptabilité!$F$1:$F$675,Comptabilité!$A$1:$A$675,$A370,Comptabilité!$B$1:$B$675,$B370,Comptabilité!$C$1:$C$675,"2026"),0))</f>
        <v/>
      </c>
      <c r="G370">
        <f>IF($A370="","",IF($D370="V01",Cadrage!$C$22,IF($D370="V02",Cadrage!$D$22,Cadrage!$E$22)))</f>
        <v/>
      </c>
      <c r="H370">
        <f>IF($A370="","",IF($D370="V01",Cadrage!$C$23,IF($D370="V02",Cadrage!$D$23,Cadrage!$E$23)))</f>
        <v/>
      </c>
      <c r="I370">
        <f>IF($A370="","",IF($D370="V01",Cadrage!$C$31,IF($D370="V02",Cadrage!$D$31,Cadrage!$E$31)))</f>
        <v/>
      </c>
      <c r="J370">
        <f>IF($A370="","",IF($D370="V01",Cadrage!$C$32,IF($D370="V02",Cadrage!$D$32,Cadrage!$E$32)))</f>
        <v/>
      </c>
      <c r="K370">
        <f>IF($A370="","",IF($D370="V01",Cadrage!$C$33,IF($D370="V02",Cadrage!$D$33,Cadrage!$E$33)))</f>
        <v/>
      </c>
      <c r="L370">
        <f>IF($A370="","",IF($D370="V01",Cadrage!$C$34,IF($D370="V02",Cadrage!$D$34,Cadrage!$E$34)))</f>
        <v/>
      </c>
      <c r="M370">
        <f>IF($A370="","",IF($D370="V01",Cadrage!$C$35,IF($D370="V02",Cadrage!$D$35,Cadrage!$E$35)))</f>
        <v/>
      </c>
      <c r="N370">
        <f>IF($A370="","",IF($D370="V01",$R$2,IF($D370="V02",$R$3,$R$4)))</f>
        <v/>
      </c>
      <c r="O370">
        <f>IF($A370="","",IF(OR($B370="7062",$B370="706",$B370="708"),$N370,IF($B370="6231",1+$G370,IF($B370="6236",1+$H370,IF(OR($B370="621",$B370="604",$B370="6063"),$N370*(1-$L370),IF(OR($B370="6411",$B370="6413",$B370="6414",$B370="645"),(1+$J370)*(1+$K370),IF(OR($B370="613",$B370="615",$B370="616",$B370="6226",$B370="625",$B370="626",$B370="6281"),(1+$I370)*(1-$L370)*(1+$M370),IF(OR($B370="6331",$B370="63511",$B370="6333"),(1+$I370)*(1-$L370),IF($B370="6811",1+$I370,1)))))))))</f>
        <v/>
      </c>
      <c r="P370">
        <f>IF($A370="","",IF($E370=1,$F370*$O370,PNL!G370))</f>
        <v/>
      </c>
      <c r="T370">
        <f>IF($A370="","",IF($E370=1,IF(OR($B370="7062",$B370="706",$B370="708"),$P370,IF(AND(LEFT($B370,1)="6",$B370&lt;&gt;"6811"),-$P370,0)),0))</f>
        <v/>
      </c>
    </row>
    <row r="371">
      <c r="A371">
        <f>IF(PNL!A371="","",PNL!A371)</f>
        <v/>
      </c>
      <c r="B371">
        <f>IF(PNL!B371="","",PNL!B371)</f>
        <v/>
      </c>
      <c r="C371">
        <f>IF(PNL!C371="","",PNL!C371)</f>
        <v/>
      </c>
      <c r="D371">
        <f>IF(PNL!D371="","",PNL!D371)</f>
        <v/>
      </c>
      <c r="E371">
        <f>IF($A371="","",IF(AND($C371="2027",OR($D371="V01",$D371="V02",$D371="V03")),1,0))</f>
        <v/>
      </c>
      <c r="F371">
        <f>IF($A371="","",IF($E371=1,SUMIFS(Comptabilité!$F$1:$F$675,Comptabilité!$A$1:$A$675,$A371,Comptabilité!$B$1:$B$675,$B371,Comptabilité!$C$1:$C$675,"2026"),0))</f>
        <v/>
      </c>
      <c r="G371">
        <f>IF($A371="","",IF($D371="V01",Cadrage!$C$22,IF($D371="V02",Cadrage!$D$22,Cadrage!$E$22)))</f>
        <v/>
      </c>
      <c r="H371">
        <f>IF($A371="","",IF($D371="V01",Cadrage!$C$23,IF($D371="V02",Cadrage!$D$23,Cadrage!$E$23)))</f>
        <v/>
      </c>
      <c r="I371">
        <f>IF($A371="","",IF($D371="V01",Cadrage!$C$31,IF($D371="V02",Cadrage!$D$31,Cadrage!$E$31)))</f>
        <v/>
      </c>
      <c r="J371">
        <f>IF($A371="","",IF($D371="V01",Cadrage!$C$32,IF($D371="V02",Cadrage!$D$32,Cadrage!$E$32)))</f>
        <v/>
      </c>
      <c r="K371">
        <f>IF($A371="","",IF($D371="V01",Cadrage!$C$33,IF($D371="V02",Cadrage!$D$33,Cadrage!$E$33)))</f>
        <v/>
      </c>
      <c r="L371">
        <f>IF($A371="","",IF($D371="V01",Cadrage!$C$34,IF($D371="V02",Cadrage!$D$34,Cadrage!$E$34)))</f>
        <v/>
      </c>
      <c r="M371">
        <f>IF($A371="","",IF($D371="V01",Cadrage!$C$35,IF($D371="V02",Cadrage!$D$35,Cadrage!$E$35)))</f>
        <v/>
      </c>
      <c r="N371">
        <f>IF($A371="","",IF($D371="V01",$R$2,IF($D371="V02",$R$3,$R$4)))</f>
        <v/>
      </c>
      <c r="O371">
        <f>IF($A371="","",IF(OR($B371="7062",$B371="706",$B371="708"),$N371,IF($B371="6231",1+$G371,IF($B371="6236",1+$H371,IF(OR($B371="621",$B371="604",$B371="6063"),$N371*(1-$L371),IF(OR($B371="6411",$B371="6413",$B371="6414",$B371="645"),(1+$J371)*(1+$K371),IF(OR($B371="613",$B371="615",$B371="616",$B371="6226",$B371="625",$B371="626",$B371="6281"),(1+$I371)*(1-$L371)*(1+$M371),IF(OR($B371="6331",$B371="63511",$B371="6333"),(1+$I371)*(1-$L371),IF($B371="6811",1+$I371,1)))))))))</f>
        <v/>
      </c>
      <c r="P371">
        <f>IF($A371="","",IF($E371=1,$F371*$O371,PNL!G371))</f>
        <v/>
      </c>
      <c r="T371">
        <f>IF($A371="","",IF($E371=1,IF(OR($B371="7062",$B371="706",$B371="708"),$P371,IF(AND(LEFT($B371,1)="6",$B371&lt;&gt;"6811"),-$P371,0)),0))</f>
        <v/>
      </c>
    </row>
    <row r="372">
      <c r="A372">
        <f>IF(PNL!A372="","",PNL!A372)</f>
        <v/>
      </c>
      <c r="B372">
        <f>IF(PNL!B372="","",PNL!B372)</f>
        <v/>
      </c>
      <c r="C372">
        <f>IF(PNL!C372="","",PNL!C372)</f>
        <v/>
      </c>
      <c r="D372">
        <f>IF(PNL!D372="","",PNL!D372)</f>
        <v/>
      </c>
      <c r="E372">
        <f>IF($A372="","",IF(AND($C372="2027",OR($D372="V01",$D372="V02",$D372="V03")),1,0))</f>
        <v/>
      </c>
      <c r="F372">
        <f>IF($A372="","",IF($E372=1,SUMIFS(Comptabilité!$F$1:$F$675,Comptabilité!$A$1:$A$675,$A372,Comptabilité!$B$1:$B$675,$B372,Comptabilité!$C$1:$C$675,"2026"),0))</f>
        <v/>
      </c>
      <c r="G372">
        <f>IF($A372="","",IF($D372="V01",Cadrage!$C$22,IF($D372="V02",Cadrage!$D$22,Cadrage!$E$22)))</f>
        <v/>
      </c>
      <c r="H372">
        <f>IF($A372="","",IF($D372="V01",Cadrage!$C$23,IF($D372="V02",Cadrage!$D$23,Cadrage!$E$23)))</f>
        <v/>
      </c>
      <c r="I372">
        <f>IF($A372="","",IF($D372="V01",Cadrage!$C$31,IF($D372="V02",Cadrage!$D$31,Cadrage!$E$31)))</f>
        <v/>
      </c>
      <c r="J372">
        <f>IF($A372="","",IF($D372="V01",Cadrage!$C$32,IF($D372="V02",Cadrage!$D$32,Cadrage!$E$32)))</f>
        <v/>
      </c>
      <c r="K372">
        <f>IF($A372="","",IF($D372="V01",Cadrage!$C$33,IF($D372="V02",Cadrage!$D$33,Cadrage!$E$33)))</f>
        <v/>
      </c>
      <c r="L372">
        <f>IF($A372="","",IF($D372="V01",Cadrage!$C$34,IF($D372="V02",Cadrage!$D$34,Cadrage!$E$34)))</f>
        <v/>
      </c>
      <c r="M372">
        <f>IF($A372="","",IF($D372="V01",Cadrage!$C$35,IF($D372="V02",Cadrage!$D$35,Cadrage!$E$35)))</f>
        <v/>
      </c>
      <c r="N372">
        <f>IF($A372="","",IF($D372="V01",$R$2,IF($D372="V02",$R$3,$R$4)))</f>
        <v/>
      </c>
      <c r="O372">
        <f>IF($A372="","",IF(OR($B372="7062",$B372="706",$B372="708"),$N372,IF($B372="6231",1+$G372,IF($B372="6236",1+$H372,IF(OR($B372="621",$B372="604",$B372="6063"),$N372*(1-$L372),IF(OR($B372="6411",$B372="6413",$B372="6414",$B372="645"),(1+$J372)*(1+$K372),IF(OR($B372="613",$B372="615",$B372="616",$B372="6226",$B372="625",$B372="626",$B372="6281"),(1+$I372)*(1-$L372)*(1+$M372),IF(OR($B372="6331",$B372="63511",$B372="6333"),(1+$I372)*(1-$L372),IF($B372="6811",1+$I372,1)))))))))</f>
        <v/>
      </c>
      <c r="P372">
        <f>IF($A372="","",IF($E372=1,$F372*$O372,PNL!G372))</f>
        <v/>
      </c>
      <c r="T372">
        <f>IF($A372="","",IF($E372=1,IF(OR($B372="7062",$B372="706",$B372="708"),$P372,IF(AND(LEFT($B372,1)="6",$B372&lt;&gt;"6811"),-$P372,0)),0))</f>
        <v/>
      </c>
    </row>
    <row r="373">
      <c r="A373">
        <f>IF(PNL!A373="","",PNL!A373)</f>
        <v/>
      </c>
      <c r="B373">
        <f>IF(PNL!B373="","",PNL!B373)</f>
        <v/>
      </c>
      <c r="C373">
        <f>IF(PNL!C373="","",PNL!C373)</f>
        <v/>
      </c>
      <c r="D373">
        <f>IF(PNL!D373="","",PNL!D373)</f>
        <v/>
      </c>
      <c r="E373">
        <f>IF($A373="","",IF(AND($C373="2027",OR($D373="V01",$D373="V02",$D373="V03")),1,0))</f>
        <v/>
      </c>
      <c r="F373">
        <f>IF($A373="","",IF($E373=1,SUMIFS(Comptabilité!$F$1:$F$675,Comptabilité!$A$1:$A$675,$A373,Comptabilité!$B$1:$B$675,$B373,Comptabilité!$C$1:$C$675,"2026"),0))</f>
        <v/>
      </c>
      <c r="G373">
        <f>IF($A373="","",IF($D373="V01",Cadrage!$C$22,IF($D373="V02",Cadrage!$D$22,Cadrage!$E$22)))</f>
        <v/>
      </c>
      <c r="H373">
        <f>IF($A373="","",IF($D373="V01",Cadrage!$C$23,IF($D373="V02",Cadrage!$D$23,Cadrage!$E$23)))</f>
        <v/>
      </c>
      <c r="I373">
        <f>IF($A373="","",IF($D373="V01",Cadrage!$C$31,IF($D373="V02",Cadrage!$D$31,Cadrage!$E$31)))</f>
        <v/>
      </c>
      <c r="J373">
        <f>IF($A373="","",IF($D373="V01",Cadrage!$C$32,IF($D373="V02",Cadrage!$D$32,Cadrage!$E$32)))</f>
        <v/>
      </c>
      <c r="K373">
        <f>IF($A373="","",IF($D373="V01",Cadrage!$C$33,IF($D373="V02",Cadrage!$D$33,Cadrage!$E$33)))</f>
        <v/>
      </c>
      <c r="L373">
        <f>IF($A373="","",IF($D373="V01",Cadrage!$C$34,IF($D373="V02",Cadrage!$D$34,Cadrage!$E$34)))</f>
        <v/>
      </c>
      <c r="M373">
        <f>IF($A373="","",IF($D373="V01",Cadrage!$C$35,IF($D373="V02",Cadrage!$D$35,Cadrage!$E$35)))</f>
        <v/>
      </c>
      <c r="N373">
        <f>IF($A373="","",IF($D373="V01",$R$2,IF($D373="V02",$R$3,$R$4)))</f>
        <v/>
      </c>
      <c r="O373">
        <f>IF($A373="","",IF(OR($B373="7062",$B373="706",$B373="708"),$N373,IF($B373="6231",1+$G373,IF($B373="6236",1+$H373,IF(OR($B373="621",$B373="604",$B373="6063"),$N373*(1-$L373),IF(OR($B373="6411",$B373="6413",$B373="6414",$B373="645"),(1+$J373)*(1+$K373),IF(OR($B373="613",$B373="615",$B373="616",$B373="6226",$B373="625",$B373="626",$B373="6281"),(1+$I373)*(1-$L373)*(1+$M373),IF(OR($B373="6331",$B373="63511",$B373="6333"),(1+$I373)*(1-$L373),IF($B373="6811",1+$I373,1)))))))))</f>
        <v/>
      </c>
      <c r="P373">
        <f>IF($A373="","",IF($E373=1,$F373*$O373,PNL!G373))</f>
        <v/>
      </c>
      <c r="T373">
        <f>IF($A373="","",IF($E373=1,IF(OR($B373="7062",$B373="706",$B373="708"),$P373,IF(AND(LEFT($B373,1)="6",$B373&lt;&gt;"6811"),-$P373,0)),0))</f>
        <v/>
      </c>
    </row>
    <row r="374">
      <c r="A374">
        <f>IF(PNL!A374="","",PNL!A374)</f>
        <v/>
      </c>
      <c r="B374">
        <f>IF(PNL!B374="","",PNL!B374)</f>
        <v/>
      </c>
      <c r="C374">
        <f>IF(PNL!C374="","",PNL!C374)</f>
        <v/>
      </c>
      <c r="D374">
        <f>IF(PNL!D374="","",PNL!D374)</f>
        <v/>
      </c>
      <c r="E374">
        <f>IF($A374="","",IF(AND($C374="2027",OR($D374="V01",$D374="V02",$D374="V03")),1,0))</f>
        <v/>
      </c>
      <c r="F374">
        <f>IF($A374="","",IF($E374=1,SUMIFS(Comptabilité!$F$1:$F$675,Comptabilité!$A$1:$A$675,$A374,Comptabilité!$B$1:$B$675,$B374,Comptabilité!$C$1:$C$675,"2026"),0))</f>
        <v/>
      </c>
      <c r="G374">
        <f>IF($A374="","",IF($D374="V01",Cadrage!$C$22,IF($D374="V02",Cadrage!$D$22,Cadrage!$E$22)))</f>
        <v/>
      </c>
      <c r="H374">
        <f>IF($A374="","",IF($D374="V01",Cadrage!$C$23,IF($D374="V02",Cadrage!$D$23,Cadrage!$E$23)))</f>
        <v/>
      </c>
      <c r="I374">
        <f>IF($A374="","",IF($D374="V01",Cadrage!$C$31,IF($D374="V02",Cadrage!$D$31,Cadrage!$E$31)))</f>
        <v/>
      </c>
      <c r="J374">
        <f>IF($A374="","",IF($D374="V01",Cadrage!$C$32,IF($D374="V02",Cadrage!$D$32,Cadrage!$E$32)))</f>
        <v/>
      </c>
      <c r="K374">
        <f>IF($A374="","",IF($D374="V01",Cadrage!$C$33,IF($D374="V02",Cadrage!$D$33,Cadrage!$E$33)))</f>
        <v/>
      </c>
      <c r="L374">
        <f>IF($A374="","",IF($D374="V01",Cadrage!$C$34,IF($D374="V02",Cadrage!$D$34,Cadrage!$E$34)))</f>
        <v/>
      </c>
      <c r="M374">
        <f>IF($A374="","",IF($D374="V01",Cadrage!$C$35,IF($D374="V02",Cadrage!$D$35,Cadrage!$E$35)))</f>
        <v/>
      </c>
      <c r="N374">
        <f>IF($A374="","",IF($D374="V01",$R$2,IF($D374="V02",$R$3,$R$4)))</f>
        <v/>
      </c>
      <c r="O374">
        <f>IF($A374="","",IF(OR($B374="7062",$B374="706",$B374="708"),$N374,IF($B374="6231",1+$G374,IF($B374="6236",1+$H374,IF(OR($B374="621",$B374="604",$B374="6063"),$N374*(1-$L374),IF(OR($B374="6411",$B374="6413",$B374="6414",$B374="645"),(1+$J374)*(1+$K374),IF(OR($B374="613",$B374="615",$B374="616",$B374="6226",$B374="625",$B374="626",$B374="6281"),(1+$I374)*(1-$L374)*(1+$M374),IF(OR($B374="6331",$B374="63511",$B374="6333"),(1+$I374)*(1-$L374),IF($B374="6811",1+$I374,1)))))))))</f>
        <v/>
      </c>
      <c r="P374">
        <f>IF($A374="","",IF($E374=1,$F374*$O374,PNL!G374))</f>
        <v/>
      </c>
      <c r="T374">
        <f>IF($A374="","",IF($E374=1,IF(OR($B374="7062",$B374="706",$B374="708"),$P374,IF(AND(LEFT($B374,1)="6",$B374&lt;&gt;"6811"),-$P374,0)),0))</f>
        <v/>
      </c>
    </row>
    <row r="375">
      <c r="A375">
        <f>IF(PNL!A375="","",PNL!A375)</f>
        <v/>
      </c>
      <c r="B375">
        <f>IF(PNL!B375="","",PNL!B375)</f>
        <v/>
      </c>
      <c r="C375">
        <f>IF(PNL!C375="","",PNL!C375)</f>
        <v/>
      </c>
      <c r="D375">
        <f>IF(PNL!D375="","",PNL!D375)</f>
        <v/>
      </c>
      <c r="E375">
        <f>IF($A375="","",IF(AND($C375="2027",OR($D375="V01",$D375="V02",$D375="V03")),1,0))</f>
        <v/>
      </c>
      <c r="F375">
        <f>IF($A375="","",IF($E375=1,SUMIFS(Comptabilité!$F$1:$F$675,Comptabilité!$A$1:$A$675,$A375,Comptabilité!$B$1:$B$675,$B375,Comptabilité!$C$1:$C$675,"2026"),0))</f>
        <v/>
      </c>
      <c r="G375">
        <f>IF($A375="","",IF($D375="V01",Cadrage!$C$22,IF($D375="V02",Cadrage!$D$22,Cadrage!$E$22)))</f>
        <v/>
      </c>
      <c r="H375">
        <f>IF($A375="","",IF($D375="V01",Cadrage!$C$23,IF($D375="V02",Cadrage!$D$23,Cadrage!$E$23)))</f>
        <v/>
      </c>
      <c r="I375">
        <f>IF($A375="","",IF($D375="V01",Cadrage!$C$31,IF($D375="V02",Cadrage!$D$31,Cadrage!$E$31)))</f>
        <v/>
      </c>
      <c r="J375">
        <f>IF($A375="","",IF($D375="V01",Cadrage!$C$32,IF($D375="V02",Cadrage!$D$32,Cadrage!$E$32)))</f>
        <v/>
      </c>
      <c r="K375">
        <f>IF($A375="","",IF($D375="V01",Cadrage!$C$33,IF($D375="V02",Cadrage!$D$33,Cadrage!$E$33)))</f>
        <v/>
      </c>
      <c r="L375">
        <f>IF($A375="","",IF($D375="V01",Cadrage!$C$34,IF($D375="V02",Cadrage!$D$34,Cadrage!$E$34)))</f>
        <v/>
      </c>
      <c r="M375">
        <f>IF($A375="","",IF($D375="V01",Cadrage!$C$35,IF($D375="V02",Cadrage!$D$35,Cadrage!$E$35)))</f>
        <v/>
      </c>
      <c r="N375">
        <f>IF($A375="","",IF($D375="V01",$R$2,IF($D375="V02",$R$3,$R$4)))</f>
        <v/>
      </c>
      <c r="O375">
        <f>IF($A375="","",IF(OR($B375="7062",$B375="706",$B375="708"),$N375,IF($B375="6231",1+$G375,IF($B375="6236",1+$H375,IF(OR($B375="621",$B375="604",$B375="6063"),$N375*(1-$L375),IF(OR($B375="6411",$B375="6413",$B375="6414",$B375="645"),(1+$J375)*(1+$K375),IF(OR($B375="613",$B375="615",$B375="616",$B375="6226",$B375="625",$B375="626",$B375="6281"),(1+$I375)*(1-$L375)*(1+$M375),IF(OR($B375="6331",$B375="63511",$B375="6333"),(1+$I375)*(1-$L375),IF($B375="6811",1+$I375,1)))))))))</f>
        <v/>
      </c>
      <c r="P375">
        <f>IF($A375="","",IF($E375=1,$F375*$O375,PNL!G375))</f>
        <v/>
      </c>
      <c r="T375">
        <f>IF($A375="","",IF($E375=1,IF(OR($B375="7062",$B375="706",$B375="708"),$P375,IF(AND(LEFT($B375,1)="6",$B375&lt;&gt;"6811"),-$P375,0)),0))</f>
        <v/>
      </c>
    </row>
    <row r="376">
      <c r="A376">
        <f>IF(PNL!A376="","",PNL!A376)</f>
        <v/>
      </c>
      <c r="B376">
        <f>IF(PNL!B376="","",PNL!B376)</f>
        <v/>
      </c>
      <c r="C376">
        <f>IF(PNL!C376="","",PNL!C376)</f>
        <v/>
      </c>
      <c r="D376">
        <f>IF(PNL!D376="","",PNL!D376)</f>
        <v/>
      </c>
      <c r="E376">
        <f>IF($A376="","",IF(AND($C376="2027",OR($D376="V01",$D376="V02",$D376="V03")),1,0))</f>
        <v/>
      </c>
      <c r="F376">
        <f>IF($A376="","",IF($E376=1,SUMIFS(Comptabilité!$F$1:$F$675,Comptabilité!$A$1:$A$675,$A376,Comptabilité!$B$1:$B$675,$B376,Comptabilité!$C$1:$C$675,"2026"),0))</f>
        <v/>
      </c>
      <c r="G376">
        <f>IF($A376="","",IF($D376="V01",Cadrage!$C$22,IF($D376="V02",Cadrage!$D$22,Cadrage!$E$22)))</f>
        <v/>
      </c>
      <c r="H376">
        <f>IF($A376="","",IF($D376="V01",Cadrage!$C$23,IF($D376="V02",Cadrage!$D$23,Cadrage!$E$23)))</f>
        <v/>
      </c>
      <c r="I376">
        <f>IF($A376="","",IF($D376="V01",Cadrage!$C$31,IF($D376="V02",Cadrage!$D$31,Cadrage!$E$31)))</f>
        <v/>
      </c>
      <c r="J376">
        <f>IF($A376="","",IF($D376="V01",Cadrage!$C$32,IF($D376="V02",Cadrage!$D$32,Cadrage!$E$32)))</f>
        <v/>
      </c>
      <c r="K376">
        <f>IF($A376="","",IF($D376="V01",Cadrage!$C$33,IF($D376="V02",Cadrage!$D$33,Cadrage!$E$33)))</f>
        <v/>
      </c>
      <c r="L376">
        <f>IF($A376="","",IF($D376="V01",Cadrage!$C$34,IF($D376="V02",Cadrage!$D$34,Cadrage!$E$34)))</f>
        <v/>
      </c>
      <c r="M376">
        <f>IF($A376="","",IF($D376="V01",Cadrage!$C$35,IF($D376="V02",Cadrage!$D$35,Cadrage!$E$35)))</f>
        <v/>
      </c>
      <c r="N376">
        <f>IF($A376="","",IF($D376="V01",$R$2,IF($D376="V02",$R$3,$R$4)))</f>
        <v/>
      </c>
      <c r="O376">
        <f>IF($A376="","",IF(OR($B376="7062",$B376="706",$B376="708"),$N376,IF($B376="6231",1+$G376,IF($B376="6236",1+$H376,IF(OR($B376="621",$B376="604",$B376="6063"),$N376*(1-$L376),IF(OR($B376="6411",$B376="6413",$B376="6414",$B376="645"),(1+$J376)*(1+$K376),IF(OR($B376="613",$B376="615",$B376="616",$B376="6226",$B376="625",$B376="626",$B376="6281"),(1+$I376)*(1-$L376)*(1+$M376),IF(OR($B376="6331",$B376="63511",$B376="6333"),(1+$I376)*(1-$L376),IF($B376="6811",1+$I376,1)))))))))</f>
        <v/>
      </c>
      <c r="P376">
        <f>IF($A376="","",IF($E376=1,$F376*$O376,PNL!G376))</f>
        <v/>
      </c>
      <c r="T376">
        <f>IF($A376="","",IF($E376=1,IF(OR($B376="7062",$B376="706",$B376="708"),$P376,IF(AND(LEFT($B376,1)="6",$B376&lt;&gt;"6811"),-$P376,0)),0))</f>
        <v/>
      </c>
    </row>
    <row r="377">
      <c r="A377">
        <f>IF(PNL!A377="","",PNL!A377)</f>
        <v/>
      </c>
      <c r="B377">
        <f>IF(PNL!B377="","",PNL!B377)</f>
        <v/>
      </c>
      <c r="C377">
        <f>IF(PNL!C377="","",PNL!C377)</f>
        <v/>
      </c>
      <c r="D377">
        <f>IF(PNL!D377="","",PNL!D377)</f>
        <v/>
      </c>
      <c r="E377">
        <f>IF($A377="","",IF(AND($C377="2027",OR($D377="V01",$D377="V02",$D377="V03")),1,0))</f>
        <v/>
      </c>
      <c r="F377">
        <f>IF($A377="","",IF($E377=1,SUMIFS(Comptabilité!$F$1:$F$675,Comptabilité!$A$1:$A$675,$A377,Comptabilité!$B$1:$B$675,$B377,Comptabilité!$C$1:$C$675,"2026"),0))</f>
        <v/>
      </c>
      <c r="G377">
        <f>IF($A377="","",IF($D377="V01",Cadrage!$C$22,IF($D377="V02",Cadrage!$D$22,Cadrage!$E$22)))</f>
        <v/>
      </c>
      <c r="H377">
        <f>IF($A377="","",IF($D377="V01",Cadrage!$C$23,IF($D377="V02",Cadrage!$D$23,Cadrage!$E$23)))</f>
        <v/>
      </c>
      <c r="I377">
        <f>IF($A377="","",IF($D377="V01",Cadrage!$C$31,IF($D377="V02",Cadrage!$D$31,Cadrage!$E$31)))</f>
        <v/>
      </c>
      <c r="J377">
        <f>IF($A377="","",IF($D377="V01",Cadrage!$C$32,IF($D377="V02",Cadrage!$D$32,Cadrage!$E$32)))</f>
        <v/>
      </c>
      <c r="K377">
        <f>IF($A377="","",IF($D377="V01",Cadrage!$C$33,IF($D377="V02",Cadrage!$D$33,Cadrage!$E$33)))</f>
        <v/>
      </c>
      <c r="L377">
        <f>IF($A377="","",IF($D377="V01",Cadrage!$C$34,IF($D377="V02",Cadrage!$D$34,Cadrage!$E$34)))</f>
        <v/>
      </c>
      <c r="M377">
        <f>IF($A377="","",IF($D377="V01",Cadrage!$C$35,IF($D377="V02",Cadrage!$D$35,Cadrage!$E$35)))</f>
        <v/>
      </c>
      <c r="N377">
        <f>IF($A377="","",IF($D377="V01",$R$2,IF($D377="V02",$R$3,$R$4)))</f>
        <v/>
      </c>
      <c r="O377">
        <f>IF($A377="","",IF(OR($B377="7062",$B377="706",$B377="708"),$N377,IF($B377="6231",1+$G377,IF($B377="6236",1+$H377,IF(OR($B377="621",$B377="604",$B377="6063"),$N377*(1-$L377),IF(OR($B377="6411",$B377="6413",$B377="6414",$B377="645"),(1+$J377)*(1+$K377),IF(OR($B377="613",$B377="615",$B377="616",$B377="6226",$B377="625",$B377="626",$B377="6281"),(1+$I377)*(1-$L377)*(1+$M377),IF(OR($B377="6331",$B377="63511",$B377="6333"),(1+$I377)*(1-$L377),IF($B377="6811",1+$I377,1)))))))))</f>
        <v/>
      </c>
      <c r="P377">
        <f>IF($A377="","",IF($E377=1,$F377*$O377,PNL!G377))</f>
        <v/>
      </c>
      <c r="T377">
        <f>IF($A377="","",IF($E377=1,IF(OR($B377="7062",$B377="706",$B377="708"),$P377,IF(AND(LEFT($B377,1)="6",$B377&lt;&gt;"6811"),-$P377,0)),0))</f>
        <v/>
      </c>
    </row>
    <row r="378">
      <c r="A378">
        <f>IF(PNL!A378="","",PNL!A378)</f>
        <v/>
      </c>
      <c r="B378">
        <f>IF(PNL!B378="","",PNL!B378)</f>
        <v/>
      </c>
      <c r="C378">
        <f>IF(PNL!C378="","",PNL!C378)</f>
        <v/>
      </c>
      <c r="D378">
        <f>IF(PNL!D378="","",PNL!D378)</f>
        <v/>
      </c>
      <c r="E378">
        <f>IF($A378="","",IF(AND($C378="2027",OR($D378="V01",$D378="V02",$D378="V03")),1,0))</f>
        <v/>
      </c>
      <c r="F378">
        <f>IF($A378="","",IF($E378=1,SUMIFS(Comptabilité!$F$1:$F$675,Comptabilité!$A$1:$A$675,$A378,Comptabilité!$B$1:$B$675,$B378,Comptabilité!$C$1:$C$675,"2026"),0))</f>
        <v/>
      </c>
      <c r="G378">
        <f>IF($A378="","",IF($D378="V01",Cadrage!$C$22,IF($D378="V02",Cadrage!$D$22,Cadrage!$E$22)))</f>
        <v/>
      </c>
      <c r="H378">
        <f>IF($A378="","",IF($D378="V01",Cadrage!$C$23,IF($D378="V02",Cadrage!$D$23,Cadrage!$E$23)))</f>
        <v/>
      </c>
      <c r="I378">
        <f>IF($A378="","",IF($D378="V01",Cadrage!$C$31,IF($D378="V02",Cadrage!$D$31,Cadrage!$E$31)))</f>
        <v/>
      </c>
      <c r="J378">
        <f>IF($A378="","",IF($D378="V01",Cadrage!$C$32,IF($D378="V02",Cadrage!$D$32,Cadrage!$E$32)))</f>
        <v/>
      </c>
      <c r="K378">
        <f>IF($A378="","",IF($D378="V01",Cadrage!$C$33,IF($D378="V02",Cadrage!$D$33,Cadrage!$E$33)))</f>
        <v/>
      </c>
      <c r="L378">
        <f>IF($A378="","",IF($D378="V01",Cadrage!$C$34,IF($D378="V02",Cadrage!$D$34,Cadrage!$E$34)))</f>
        <v/>
      </c>
      <c r="M378">
        <f>IF($A378="","",IF($D378="V01",Cadrage!$C$35,IF($D378="V02",Cadrage!$D$35,Cadrage!$E$35)))</f>
        <v/>
      </c>
      <c r="N378">
        <f>IF($A378="","",IF($D378="V01",$R$2,IF($D378="V02",$R$3,$R$4)))</f>
        <v/>
      </c>
      <c r="O378">
        <f>IF($A378="","",IF(OR($B378="7062",$B378="706",$B378="708"),$N378,IF($B378="6231",1+$G378,IF($B378="6236",1+$H378,IF(OR($B378="621",$B378="604",$B378="6063"),$N378*(1-$L378),IF(OR($B378="6411",$B378="6413",$B378="6414",$B378="645"),(1+$J378)*(1+$K378),IF(OR($B378="613",$B378="615",$B378="616",$B378="6226",$B378="625",$B378="626",$B378="6281"),(1+$I378)*(1-$L378)*(1+$M378),IF(OR($B378="6331",$B378="63511",$B378="6333"),(1+$I378)*(1-$L378),IF($B378="6811",1+$I378,1)))))))))</f>
        <v/>
      </c>
      <c r="P378">
        <f>IF($A378="","",IF($E378=1,$F378*$O378,PNL!G378))</f>
        <v/>
      </c>
      <c r="T378">
        <f>IF($A378="","",IF($E378=1,IF(OR($B378="7062",$B378="706",$B378="708"),$P378,IF(AND(LEFT($B378,1)="6",$B378&lt;&gt;"6811"),-$P378,0)),0))</f>
        <v/>
      </c>
    </row>
    <row r="379">
      <c r="A379">
        <f>IF(PNL!A379="","",PNL!A379)</f>
        <v/>
      </c>
      <c r="B379">
        <f>IF(PNL!B379="","",PNL!B379)</f>
        <v/>
      </c>
      <c r="C379">
        <f>IF(PNL!C379="","",PNL!C379)</f>
        <v/>
      </c>
      <c r="D379">
        <f>IF(PNL!D379="","",PNL!D379)</f>
        <v/>
      </c>
      <c r="E379">
        <f>IF($A379="","",IF(AND($C379="2027",OR($D379="V01",$D379="V02",$D379="V03")),1,0))</f>
        <v/>
      </c>
      <c r="F379">
        <f>IF($A379="","",IF($E379=1,SUMIFS(Comptabilité!$F$1:$F$675,Comptabilité!$A$1:$A$675,$A379,Comptabilité!$B$1:$B$675,$B379,Comptabilité!$C$1:$C$675,"2026"),0))</f>
        <v/>
      </c>
      <c r="G379">
        <f>IF($A379="","",IF($D379="V01",Cadrage!$C$22,IF($D379="V02",Cadrage!$D$22,Cadrage!$E$22)))</f>
        <v/>
      </c>
      <c r="H379">
        <f>IF($A379="","",IF($D379="V01",Cadrage!$C$23,IF($D379="V02",Cadrage!$D$23,Cadrage!$E$23)))</f>
        <v/>
      </c>
      <c r="I379">
        <f>IF($A379="","",IF($D379="V01",Cadrage!$C$31,IF($D379="V02",Cadrage!$D$31,Cadrage!$E$31)))</f>
        <v/>
      </c>
      <c r="J379">
        <f>IF($A379="","",IF($D379="V01",Cadrage!$C$32,IF($D379="V02",Cadrage!$D$32,Cadrage!$E$32)))</f>
        <v/>
      </c>
      <c r="K379">
        <f>IF($A379="","",IF($D379="V01",Cadrage!$C$33,IF($D379="V02",Cadrage!$D$33,Cadrage!$E$33)))</f>
        <v/>
      </c>
      <c r="L379">
        <f>IF($A379="","",IF($D379="V01",Cadrage!$C$34,IF($D379="V02",Cadrage!$D$34,Cadrage!$E$34)))</f>
        <v/>
      </c>
      <c r="M379">
        <f>IF($A379="","",IF($D379="V01",Cadrage!$C$35,IF($D379="V02",Cadrage!$D$35,Cadrage!$E$35)))</f>
        <v/>
      </c>
      <c r="N379">
        <f>IF($A379="","",IF($D379="V01",$R$2,IF($D379="V02",$R$3,$R$4)))</f>
        <v/>
      </c>
      <c r="O379">
        <f>IF($A379="","",IF(OR($B379="7062",$B379="706",$B379="708"),$N379,IF($B379="6231",1+$G379,IF($B379="6236",1+$H379,IF(OR($B379="621",$B379="604",$B379="6063"),$N379*(1-$L379),IF(OR($B379="6411",$B379="6413",$B379="6414",$B379="645"),(1+$J379)*(1+$K379),IF(OR($B379="613",$B379="615",$B379="616",$B379="6226",$B379="625",$B379="626",$B379="6281"),(1+$I379)*(1-$L379)*(1+$M379),IF(OR($B379="6331",$B379="63511",$B379="6333"),(1+$I379)*(1-$L379),IF($B379="6811",1+$I379,1)))))))))</f>
        <v/>
      </c>
      <c r="P379">
        <f>IF($A379="","",IF($E379=1,$F379*$O379,PNL!G379))</f>
        <v/>
      </c>
      <c r="T379">
        <f>IF($A379="","",IF($E379=1,IF(OR($B379="7062",$B379="706",$B379="708"),$P379,IF(AND(LEFT($B379,1)="6",$B379&lt;&gt;"6811"),-$P379,0)),0))</f>
        <v/>
      </c>
    </row>
    <row r="380">
      <c r="A380">
        <f>IF(PNL!A380="","",PNL!A380)</f>
        <v/>
      </c>
      <c r="B380">
        <f>IF(PNL!B380="","",PNL!B380)</f>
        <v/>
      </c>
      <c r="C380">
        <f>IF(PNL!C380="","",PNL!C380)</f>
        <v/>
      </c>
      <c r="D380">
        <f>IF(PNL!D380="","",PNL!D380)</f>
        <v/>
      </c>
      <c r="E380">
        <f>IF($A380="","",IF(AND($C380="2027",OR($D380="V01",$D380="V02",$D380="V03")),1,0))</f>
        <v/>
      </c>
      <c r="F380">
        <f>IF($A380="","",IF($E380=1,SUMIFS(Comptabilité!$F$1:$F$675,Comptabilité!$A$1:$A$675,$A380,Comptabilité!$B$1:$B$675,$B380,Comptabilité!$C$1:$C$675,"2026"),0))</f>
        <v/>
      </c>
      <c r="G380">
        <f>IF($A380="","",IF($D380="V01",Cadrage!$C$22,IF($D380="V02",Cadrage!$D$22,Cadrage!$E$22)))</f>
        <v/>
      </c>
      <c r="H380">
        <f>IF($A380="","",IF($D380="V01",Cadrage!$C$23,IF($D380="V02",Cadrage!$D$23,Cadrage!$E$23)))</f>
        <v/>
      </c>
      <c r="I380">
        <f>IF($A380="","",IF($D380="V01",Cadrage!$C$31,IF($D380="V02",Cadrage!$D$31,Cadrage!$E$31)))</f>
        <v/>
      </c>
      <c r="J380">
        <f>IF($A380="","",IF($D380="V01",Cadrage!$C$32,IF($D380="V02",Cadrage!$D$32,Cadrage!$E$32)))</f>
        <v/>
      </c>
      <c r="K380">
        <f>IF($A380="","",IF($D380="V01",Cadrage!$C$33,IF($D380="V02",Cadrage!$D$33,Cadrage!$E$33)))</f>
        <v/>
      </c>
      <c r="L380">
        <f>IF($A380="","",IF($D380="V01",Cadrage!$C$34,IF($D380="V02",Cadrage!$D$34,Cadrage!$E$34)))</f>
        <v/>
      </c>
      <c r="M380">
        <f>IF($A380="","",IF($D380="V01",Cadrage!$C$35,IF($D380="V02",Cadrage!$D$35,Cadrage!$E$35)))</f>
        <v/>
      </c>
      <c r="N380">
        <f>IF($A380="","",IF($D380="V01",$R$2,IF($D380="V02",$R$3,$R$4)))</f>
        <v/>
      </c>
      <c r="O380">
        <f>IF($A380="","",IF(OR($B380="7062",$B380="706",$B380="708"),$N380,IF($B380="6231",1+$G380,IF($B380="6236",1+$H380,IF(OR($B380="621",$B380="604",$B380="6063"),$N380*(1-$L380),IF(OR($B380="6411",$B380="6413",$B380="6414",$B380="645"),(1+$J380)*(1+$K380),IF(OR($B380="613",$B380="615",$B380="616",$B380="6226",$B380="625",$B380="626",$B380="6281"),(1+$I380)*(1-$L380)*(1+$M380),IF(OR($B380="6331",$B380="63511",$B380="6333"),(1+$I380)*(1-$L380),IF($B380="6811",1+$I380,1)))))))))</f>
        <v/>
      </c>
      <c r="P380">
        <f>IF($A380="","",IF($E380=1,$F380*$O380,PNL!G380))</f>
        <v/>
      </c>
      <c r="T380">
        <f>IF($A380="","",IF($E380=1,IF(OR($B380="7062",$B380="706",$B380="708"),$P380,IF(AND(LEFT($B380,1)="6",$B380&lt;&gt;"6811"),-$P380,0)),0))</f>
        <v/>
      </c>
    </row>
    <row r="381">
      <c r="A381">
        <f>IF(PNL!A381="","",PNL!A381)</f>
        <v/>
      </c>
      <c r="B381">
        <f>IF(PNL!B381="","",PNL!B381)</f>
        <v/>
      </c>
      <c r="C381">
        <f>IF(PNL!C381="","",PNL!C381)</f>
        <v/>
      </c>
      <c r="D381">
        <f>IF(PNL!D381="","",PNL!D381)</f>
        <v/>
      </c>
      <c r="E381">
        <f>IF($A381="","",IF(AND($C381="2027",OR($D381="V01",$D381="V02",$D381="V03")),1,0))</f>
        <v/>
      </c>
      <c r="F381">
        <f>IF($A381="","",IF($E381=1,SUMIFS(Comptabilité!$F$1:$F$675,Comptabilité!$A$1:$A$675,$A381,Comptabilité!$B$1:$B$675,$B381,Comptabilité!$C$1:$C$675,"2026"),0))</f>
        <v/>
      </c>
      <c r="G381">
        <f>IF($A381="","",IF($D381="V01",Cadrage!$C$22,IF($D381="V02",Cadrage!$D$22,Cadrage!$E$22)))</f>
        <v/>
      </c>
      <c r="H381">
        <f>IF($A381="","",IF($D381="V01",Cadrage!$C$23,IF($D381="V02",Cadrage!$D$23,Cadrage!$E$23)))</f>
        <v/>
      </c>
      <c r="I381">
        <f>IF($A381="","",IF($D381="V01",Cadrage!$C$31,IF($D381="V02",Cadrage!$D$31,Cadrage!$E$31)))</f>
        <v/>
      </c>
      <c r="J381">
        <f>IF($A381="","",IF($D381="V01",Cadrage!$C$32,IF($D381="V02",Cadrage!$D$32,Cadrage!$E$32)))</f>
        <v/>
      </c>
      <c r="K381">
        <f>IF($A381="","",IF($D381="V01",Cadrage!$C$33,IF($D381="V02",Cadrage!$D$33,Cadrage!$E$33)))</f>
        <v/>
      </c>
      <c r="L381">
        <f>IF($A381="","",IF($D381="V01",Cadrage!$C$34,IF($D381="V02",Cadrage!$D$34,Cadrage!$E$34)))</f>
        <v/>
      </c>
      <c r="M381">
        <f>IF($A381="","",IF($D381="V01",Cadrage!$C$35,IF($D381="V02",Cadrage!$D$35,Cadrage!$E$35)))</f>
        <v/>
      </c>
      <c r="N381">
        <f>IF($A381="","",IF($D381="V01",$R$2,IF($D381="V02",$R$3,$R$4)))</f>
        <v/>
      </c>
      <c r="O381">
        <f>IF($A381="","",IF(OR($B381="7062",$B381="706",$B381="708"),$N381,IF($B381="6231",1+$G381,IF($B381="6236",1+$H381,IF(OR($B381="621",$B381="604",$B381="6063"),$N381*(1-$L381),IF(OR($B381="6411",$B381="6413",$B381="6414",$B381="645"),(1+$J381)*(1+$K381),IF(OR($B381="613",$B381="615",$B381="616",$B381="6226",$B381="625",$B381="626",$B381="6281"),(1+$I381)*(1-$L381)*(1+$M381),IF(OR($B381="6331",$B381="63511",$B381="6333"),(1+$I381)*(1-$L381),IF($B381="6811",1+$I381,1)))))))))</f>
        <v/>
      </c>
      <c r="P381">
        <f>IF($A381="","",IF($E381=1,$F381*$O381,PNL!G381))</f>
        <v/>
      </c>
      <c r="T381">
        <f>IF($A381="","",IF($E381=1,IF(OR($B381="7062",$B381="706",$B381="708"),$P381,IF(AND(LEFT($B381,1)="6",$B381&lt;&gt;"6811"),-$P381,0)),0))</f>
        <v/>
      </c>
    </row>
    <row r="382">
      <c r="A382">
        <f>IF(PNL!A382="","",PNL!A382)</f>
        <v/>
      </c>
      <c r="B382">
        <f>IF(PNL!B382="","",PNL!B382)</f>
        <v/>
      </c>
      <c r="C382">
        <f>IF(PNL!C382="","",PNL!C382)</f>
        <v/>
      </c>
      <c r="D382">
        <f>IF(PNL!D382="","",PNL!D382)</f>
        <v/>
      </c>
      <c r="E382">
        <f>IF($A382="","",IF(AND($C382="2027",OR($D382="V01",$D382="V02",$D382="V03")),1,0))</f>
        <v/>
      </c>
      <c r="F382">
        <f>IF($A382="","",IF($E382=1,SUMIFS(Comptabilité!$F$1:$F$675,Comptabilité!$A$1:$A$675,$A382,Comptabilité!$B$1:$B$675,$B382,Comptabilité!$C$1:$C$675,"2026"),0))</f>
        <v/>
      </c>
      <c r="G382">
        <f>IF($A382="","",IF($D382="V01",Cadrage!$C$22,IF($D382="V02",Cadrage!$D$22,Cadrage!$E$22)))</f>
        <v/>
      </c>
      <c r="H382">
        <f>IF($A382="","",IF($D382="V01",Cadrage!$C$23,IF($D382="V02",Cadrage!$D$23,Cadrage!$E$23)))</f>
        <v/>
      </c>
      <c r="I382">
        <f>IF($A382="","",IF($D382="V01",Cadrage!$C$31,IF($D382="V02",Cadrage!$D$31,Cadrage!$E$31)))</f>
        <v/>
      </c>
      <c r="J382">
        <f>IF($A382="","",IF($D382="V01",Cadrage!$C$32,IF($D382="V02",Cadrage!$D$32,Cadrage!$E$32)))</f>
        <v/>
      </c>
      <c r="K382">
        <f>IF($A382="","",IF($D382="V01",Cadrage!$C$33,IF($D382="V02",Cadrage!$D$33,Cadrage!$E$33)))</f>
        <v/>
      </c>
      <c r="L382">
        <f>IF($A382="","",IF($D382="V01",Cadrage!$C$34,IF($D382="V02",Cadrage!$D$34,Cadrage!$E$34)))</f>
        <v/>
      </c>
      <c r="M382">
        <f>IF($A382="","",IF($D382="V01",Cadrage!$C$35,IF($D382="V02",Cadrage!$D$35,Cadrage!$E$35)))</f>
        <v/>
      </c>
      <c r="N382">
        <f>IF($A382="","",IF($D382="V01",$R$2,IF($D382="V02",$R$3,$R$4)))</f>
        <v/>
      </c>
      <c r="O382">
        <f>IF($A382="","",IF(OR($B382="7062",$B382="706",$B382="708"),$N382,IF($B382="6231",1+$G382,IF($B382="6236",1+$H382,IF(OR($B382="621",$B382="604",$B382="6063"),$N382*(1-$L382),IF(OR($B382="6411",$B382="6413",$B382="6414",$B382="645"),(1+$J382)*(1+$K382),IF(OR($B382="613",$B382="615",$B382="616",$B382="6226",$B382="625",$B382="626",$B382="6281"),(1+$I382)*(1-$L382)*(1+$M382),IF(OR($B382="6331",$B382="63511",$B382="6333"),(1+$I382)*(1-$L382),IF($B382="6811",1+$I382,1)))))))))</f>
        <v/>
      </c>
      <c r="P382">
        <f>IF($A382="","",IF($E382=1,$F382*$O382,PNL!G382))</f>
        <v/>
      </c>
      <c r="T382">
        <f>IF($A382="","",IF($E382=1,IF(OR($B382="7062",$B382="706",$B382="708"),$P382,IF(AND(LEFT($B382,1)="6",$B382&lt;&gt;"6811"),-$P382,0)),0))</f>
        <v/>
      </c>
    </row>
    <row r="383">
      <c r="A383">
        <f>IF(PNL!A383="","",PNL!A383)</f>
        <v/>
      </c>
      <c r="B383">
        <f>IF(PNL!B383="","",PNL!B383)</f>
        <v/>
      </c>
      <c r="C383">
        <f>IF(PNL!C383="","",PNL!C383)</f>
        <v/>
      </c>
      <c r="D383">
        <f>IF(PNL!D383="","",PNL!D383)</f>
        <v/>
      </c>
      <c r="E383">
        <f>IF($A383="","",IF(AND($C383="2027",OR($D383="V01",$D383="V02",$D383="V03")),1,0))</f>
        <v/>
      </c>
      <c r="F383">
        <f>IF($A383="","",IF($E383=1,SUMIFS(Comptabilité!$F$1:$F$675,Comptabilité!$A$1:$A$675,$A383,Comptabilité!$B$1:$B$675,$B383,Comptabilité!$C$1:$C$675,"2026"),0))</f>
        <v/>
      </c>
      <c r="G383">
        <f>IF($A383="","",IF($D383="V01",Cadrage!$C$22,IF($D383="V02",Cadrage!$D$22,Cadrage!$E$22)))</f>
        <v/>
      </c>
      <c r="H383">
        <f>IF($A383="","",IF($D383="V01",Cadrage!$C$23,IF($D383="V02",Cadrage!$D$23,Cadrage!$E$23)))</f>
        <v/>
      </c>
      <c r="I383">
        <f>IF($A383="","",IF($D383="V01",Cadrage!$C$31,IF($D383="V02",Cadrage!$D$31,Cadrage!$E$31)))</f>
        <v/>
      </c>
      <c r="J383">
        <f>IF($A383="","",IF($D383="V01",Cadrage!$C$32,IF($D383="V02",Cadrage!$D$32,Cadrage!$E$32)))</f>
        <v/>
      </c>
      <c r="K383">
        <f>IF($A383="","",IF($D383="V01",Cadrage!$C$33,IF($D383="V02",Cadrage!$D$33,Cadrage!$E$33)))</f>
        <v/>
      </c>
      <c r="L383">
        <f>IF($A383="","",IF($D383="V01",Cadrage!$C$34,IF($D383="V02",Cadrage!$D$34,Cadrage!$E$34)))</f>
        <v/>
      </c>
      <c r="M383">
        <f>IF($A383="","",IF($D383="V01",Cadrage!$C$35,IF($D383="V02",Cadrage!$D$35,Cadrage!$E$35)))</f>
        <v/>
      </c>
      <c r="N383">
        <f>IF($A383="","",IF($D383="V01",$R$2,IF($D383="V02",$R$3,$R$4)))</f>
        <v/>
      </c>
      <c r="O383">
        <f>IF($A383="","",IF(OR($B383="7062",$B383="706",$B383="708"),$N383,IF($B383="6231",1+$G383,IF($B383="6236",1+$H383,IF(OR($B383="621",$B383="604",$B383="6063"),$N383*(1-$L383),IF(OR($B383="6411",$B383="6413",$B383="6414",$B383="645"),(1+$J383)*(1+$K383),IF(OR($B383="613",$B383="615",$B383="616",$B383="6226",$B383="625",$B383="626",$B383="6281"),(1+$I383)*(1-$L383)*(1+$M383),IF(OR($B383="6331",$B383="63511",$B383="6333"),(1+$I383)*(1-$L383),IF($B383="6811",1+$I383,1)))))))))</f>
        <v/>
      </c>
      <c r="P383">
        <f>IF($A383="","",IF($E383=1,$F383*$O383,PNL!G383))</f>
        <v/>
      </c>
      <c r="T383">
        <f>IF($A383="","",IF($E383=1,IF(OR($B383="7062",$B383="706",$B383="708"),$P383,IF(AND(LEFT($B383,1)="6",$B383&lt;&gt;"6811"),-$P383,0)),0))</f>
        <v/>
      </c>
    </row>
    <row r="384">
      <c r="A384">
        <f>IF(PNL!A384="","",PNL!A384)</f>
        <v/>
      </c>
      <c r="B384">
        <f>IF(PNL!B384="","",PNL!B384)</f>
        <v/>
      </c>
      <c r="C384">
        <f>IF(PNL!C384="","",PNL!C384)</f>
        <v/>
      </c>
      <c r="D384">
        <f>IF(PNL!D384="","",PNL!D384)</f>
        <v/>
      </c>
      <c r="E384">
        <f>IF($A384="","",IF(AND($C384="2027",OR($D384="V01",$D384="V02",$D384="V03")),1,0))</f>
        <v/>
      </c>
      <c r="F384">
        <f>IF($A384="","",IF($E384=1,SUMIFS(Comptabilité!$F$1:$F$675,Comptabilité!$A$1:$A$675,$A384,Comptabilité!$B$1:$B$675,$B384,Comptabilité!$C$1:$C$675,"2026"),0))</f>
        <v/>
      </c>
      <c r="G384">
        <f>IF($A384="","",IF($D384="V01",Cadrage!$C$22,IF($D384="V02",Cadrage!$D$22,Cadrage!$E$22)))</f>
        <v/>
      </c>
      <c r="H384">
        <f>IF($A384="","",IF($D384="V01",Cadrage!$C$23,IF($D384="V02",Cadrage!$D$23,Cadrage!$E$23)))</f>
        <v/>
      </c>
      <c r="I384">
        <f>IF($A384="","",IF($D384="V01",Cadrage!$C$31,IF($D384="V02",Cadrage!$D$31,Cadrage!$E$31)))</f>
        <v/>
      </c>
      <c r="J384">
        <f>IF($A384="","",IF($D384="V01",Cadrage!$C$32,IF($D384="V02",Cadrage!$D$32,Cadrage!$E$32)))</f>
        <v/>
      </c>
      <c r="K384">
        <f>IF($A384="","",IF($D384="V01",Cadrage!$C$33,IF($D384="V02",Cadrage!$D$33,Cadrage!$E$33)))</f>
        <v/>
      </c>
      <c r="L384">
        <f>IF($A384="","",IF($D384="V01",Cadrage!$C$34,IF($D384="V02",Cadrage!$D$34,Cadrage!$E$34)))</f>
        <v/>
      </c>
      <c r="M384">
        <f>IF($A384="","",IF($D384="V01",Cadrage!$C$35,IF($D384="V02",Cadrage!$D$35,Cadrage!$E$35)))</f>
        <v/>
      </c>
      <c r="N384">
        <f>IF($A384="","",IF($D384="V01",$R$2,IF($D384="V02",$R$3,$R$4)))</f>
        <v/>
      </c>
      <c r="O384">
        <f>IF($A384="","",IF(OR($B384="7062",$B384="706",$B384="708"),$N384,IF($B384="6231",1+$G384,IF($B384="6236",1+$H384,IF(OR($B384="621",$B384="604",$B384="6063"),$N384*(1-$L384),IF(OR($B384="6411",$B384="6413",$B384="6414",$B384="645"),(1+$J384)*(1+$K384),IF(OR($B384="613",$B384="615",$B384="616",$B384="6226",$B384="625",$B384="626",$B384="6281"),(1+$I384)*(1-$L384)*(1+$M384),IF(OR($B384="6331",$B384="63511",$B384="6333"),(1+$I384)*(1-$L384),IF($B384="6811",1+$I384,1)))))))))</f>
        <v/>
      </c>
      <c r="P384">
        <f>IF($A384="","",IF($E384=1,$F384*$O384,PNL!G384))</f>
        <v/>
      </c>
      <c r="T384">
        <f>IF($A384="","",IF($E384=1,IF(OR($B384="7062",$B384="706",$B384="708"),$P384,IF(AND(LEFT($B384,1)="6",$B384&lt;&gt;"6811"),-$P384,0)),0))</f>
        <v/>
      </c>
    </row>
    <row r="385">
      <c r="A385">
        <f>IF(PNL!A385="","",PNL!A385)</f>
        <v/>
      </c>
      <c r="B385">
        <f>IF(PNL!B385="","",PNL!B385)</f>
        <v/>
      </c>
      <c r="C385">
        <f>IF(PNL!C385="","",PNL!C385)</f>
        <v/>
      </c>
      <c r="D385">
        <f>IF(PNL!D385="","",PNL!D385)</f>
        <v/>
      </c>
      <c r="E385">
        <f>IF($A385="","",IF(AND($C385="2027",OR($D385="V01",$D385="V02",$D385="V03")),1,0))</f>
        <v/>
      </c>
      <c r="F385">
        <f>IF($A385="","",IF($E385=1,SUMIFS(Comptabilité!$F$1:$F$675,Comptabilité!$A$1:$A$675,$A385,Comptabilité!$B$1:$B$675,$B385,Comptabilité!$C$1:$C$675,"2026"),0))</f>
        <v/>
      </c>
      <c r="G385">
        <f>IF($A385="","",IF($D385="V01",Cadrage!$C$22,IF($D385="V02",Cadrage!$D$22,Cadrage!$E$22)))</f>
        <v/>
      </c>
      <c r="H385">
        <f>IF($A385="","",IF($D385="V01",Cadrage!$C$23,IF($D385="V02",Cadrage!$D$23,Cadrage!$E$23)))</f>
        <v/>
      </c>
      <c r="I385">
        <f>IF($A385="","",IF($D385="V01",Cadrage!$C$31,IF($D385="V02",Cadrage!$D$31,Cadrage!$E$31)))</f>
        <v/>
      </c>
      <c r="J385">
        <f>IF($A385="","",IF($D385="V01",Cadrage!$C$32,IF($D385="V02",Cadrage!$D$32,Cadrage!$E$32)))</f>
        <v/>
      </c>
      <c r="K385">
        <f>IF($A385="","",IF($D385="V01",Cadrage!$C$33,IF($D385="V02",Cadrage!$D$33,Cadrage!$E$33)))</f>
        <v/>
      </c>
      <c r="L385">
        <f>IF($A385="","",IF($D385="V01",Cadrage!$C$34,IF($D385="V02",Cadrage!$D$34,Cadrage!$E$34)))</f>
        <v/>
      </c>
      <c r="M385">
        <f>IF($A385="","",IF($D385="V01",Cadrage!$C$35,IF($D385="V02",Cadrage!$D$35,Cadrage!$E$35)))</f>
        <v/>
      </c>
      <c r="N385">
        <f>IF($A385="","",IF($D385="V01",$R$2,IF($D385="V02",$R$3,$R$4)))</f>
        <v/>
      </c>
      <c r="O385">
        <f>IF($A385="","",IF(OR($B385="7062",$B385="706",$B385="708"),$N385,IF($B385="6231",1+$G385,IF($B385="6236",1+$H385,IF(OR($B385="621",$B385="604",$B385="6063"),$N385*(1-$L385),IF(OR($B385="6411",$B385="6413",$B385="6414",$B385="645"),(1+$J385)*(1+$K385),IF(OR($B385="613",$B385="615",$B385="616",$B385="6226",$B385="625",$B385="626",$B385="6281"),(1+$I385)*(1-$L385)*(1+$M385),IF(OR($B385="6331",$B385="63511",$B385="6333"),(1+$I385)*(1-$L385),IF($B385="6811",1+$I385,1)))))))))</f>
        <v/>
      </c>
      <c r="P385">
        <f>IF($A385="","",IF($E385=1,$F385*$O385,PNL!G385))</f>
        <v/>
      </c>
      <c r="T385">
        <f>IF($A385="","",IF($E385=1,IF(OR($B385="7062",$B385="706",$B385="708"),$P385,IF(AND(LEFT($B385,1)="6",$B385&lt;&gt;"6811"),-$P385,0)),0))</f>
        <v/>
      </c>
    </row>
    <row r="386">
      <c r="A386">
        <f>IF(PNL!A386="","",PNL!A386)</f>
        <v/>
      </c>
      <c r="B386">
        <f>IF(PNL!B386="","",PNL!B386)</f>
        <v/>
      </c>
      <c r="C386">
        <f>IF(PNL!C386="","",PNL!C386)</f>
        <v/>
      </c>
      <c r="D386">
        <f>IF(PNL!D386="","",PNL!D386)</f>
        <v/>
      </c>
      <c r="E386">
        <f>IF($A386="","",IF(AND($C386="2027",OR($D386="V01",$D386="V02",$D386="V03")),1,0))</f>
        <v/>
      </c>
      <c r="F386">
        <f>IF($A386="","",IF($E386=1,SUMIFS(Comptabilité!$F$1:$F$675,Comptabilité!$A$1:$A$675,$A386,Comptabilité!$B$1:$B$675,$B386,Comptabilité!$C$1:$C$675,"2026"),0))</f>
        <v/>
      </c>
      <c r="G386">
        <f>IF($A386="","",IF($D386="V01",Cadrage!$C$22,IF($D386="V02",Cadrage!$D$22,Cadrage!$E$22)))</f>
        <v/>
      </c>
      <c r="H386">
        <f>IF($A386="","",IF($D386="V01",Cadrage!$C$23,IF($D386="V02",Cadrage!$D$23,Cadrage!$E$23)))</f>
        <v/>
      </c>
      <c r="I386">
        <f>IF($A386="","",IF($D386="V01",Cadrage!$C$31,IF($D386="V02",Cadrage!$D$31,Cadrage!$E$31)))</f>
        <v/>
      </c>
      <c r="J386">
        <f>IF($A386="","",IF($D386="V01",Cadrage!$C$32,IF($D386="V02",Cadrage!$D$32,Cadrage!$E$32)))</f>
        <v/>
      </c>
      <c r="K386">
        <f>IF($A386="","",IF($D386="V01",Cadrage!$C$33,IF($D386="V02",Cadrage!$D$33,Cadrage!$E$33)))</f>
        <v/>
      </c>
      <c r="L386">
        <f>IF($A386="","",IF($D386="V01",Cadrage!$C$34,IF($D386="V02",Cadrage!$D$34,Cadrage!$E$34)))</f>
        <v/>
      </c>
      <c r="M386">
        <f>IF($A386="","",IF($D386="V01",Cadrage!$C$35,IF($D386="V02",Cadrage!$D$35,Cadrage!$E$35)))</f>
        <v/>
      </c>
      <c r="N386">
        <f>IF($A386="","",IF($D386="V01",$R$2,IF($D386="V02",$R$3,$R$4)))</f>
        <v/>
      </c>
      <c r="O386">
        <f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>
        <f>IF($A386="","",IF($E386=1,$F386*$O386,PNL!G386))</f>
        <v/>
      </c>
      <c r="T386">
        <f>IF($A386="","",IF($E386=1,IF(OR($B386="7062",$B386="706",$B386="708"),$P386,IF(AND(LEFT($B386,1)="6",$B386&lt;&gt;"6811"),-$P386,0)),0))</f>
        <v/>
      </c>
    </row>
    <row r="387">
      <c r="A387">
        <f>IF(PNL!A387="","",PNL!A387)</f>
        <v/>
      </c>
      <c r="B387">
        <f>IF(PNL!B387="","",PNL!B387)</f>
        <v/>
      </c>
      <c r="C387">
        <f>IF(PNL!C387="","",PNL!C387)</f>
        <v/>
      </c>
      <c r="D387">
        <f>IF(PNL!D387="","",PNL!D387)</f>
        <v/>
      </c>
      <c r="E387">
        <f>IF($A387="","",IF(AND($C387="2027",OR($D387="V01",$D387="V02",$D387="V03")),1,0))</f>
        <v/>
      </c>
      <c r="F387">
        <f>IF($A387="","",IF($E387=1,SUMIFS(Comptabilité!$F$1:$F$675,Comptabilité!$A$1:$A$675,$A387,Comptabilité!$B$1:$B$675,$B387,Comptabilité!$C$1:$C$675,"2026"),0))</f>
        <v/>
      </c>
      <c r="G387">
        <f>IF($A387="","",IF($D387="V01",Cadrage!$C$22,IF($D387="V02",Cadrage!$D$22,Cadrage!$E$22)))</f>
        <v/>
      </c>
      <c r="H387">
        <f>IF($A387="","",IF($D387="V01",Cadrage!$C$23,IF($D387="V02",Cadrage!$D$23,Cadrage!$E$23)))</f>
        <v/>
      </c>
      <c r="I387">
        <f>IF($A387="","",IF($D387="V01",Cadrage!$C$31,IF($D387="V02",Cadrage!$D$31,Cadrage!$E$31)))</f>
        <v/>
      </c>
      <c r="J387">
        <f>IF($A387="","",IF($D387="V01",Cadrage!$C$32,IF($D387="V02",Cadrage!$D$32,Cadrage!$E$32)))</f>
        <v/>
      </c>
      <c r="K387">
        <f>IF($A387="","",IF($D387="V01",Cadrage!$C$33,IF($D387="V02",Cadrage!$D$33,Cadrage!$E$33)))</f>
        <v/>
      </c>
      <c r="L387">
        <f>IF($A387="","",IF($D387="V01",Cadrage!$C$34,IF($D387="V02",Cadrage!$D$34,Cadrage!$E$34)))</f>
        <v/>
      </c>
      <c r="M387">
        <f>IF($A387="","",IF($D387="V01",Cadrage!$C$35,IF($D387="V02",Cadrage!$D$35,Cadrage!$E$35)))</f>
        <v/>
      </c>
      <c r="N387">
        <f>IF($A387="","",IF($D387="V01",$R$2,IF($D387="V02",$R$3,$R$4)))</f>
        <v/>
      </c>
      <c r="O387">
        <f>IF($A387="","",IF(OR($B387="7062",$B387="706",$B387="708"),$N387,IF($B387="6231",1+$G387,IF($B387="6236",1+$H387,IF(OR($B387="621",$B387="604",$B387="6063"),$N387*(1-$L387),IF(OR($B387="6411",$B387="6413",$B387="6414",$B387="645"),(1+$J387)*(1+$K387),IF(OR($B387="613",$B387="615",$B387="616",$B387="6226",$B387="625",$B387="626",$B387="6281"),(1+$I387)*(1-$L387)*(1+$M387),IF(OR($B387="6331",$B387="63511",$B387="6333"),(1+$I387)*(1-$L387),IF($B387="6811",1+$I387,1)))))))))</f>
        <v/>
      </c>
      <c r="P387">
        <f>IF($A387="","",IF($E387=1,$F387*$O387,PNL!G387))</f>
        <v/>
      </c>
      <c r="T387">
        <f>IF($A387="","",IF($E387=1,IF(OR($B387="7062",$B387="706",$B387="708"),$P387,IF(AND(LEFT($B387,1)="6",$B387&lt;&gt;"6811"),-$P387,0)),0))</f>
        <v/>
      </c>
    </row>
    <row r="388">
      <c r="A388">
        <f>IF(PNL!A388="","",PNL!A388)</f>
        <v/>
      </c>
      <c r="B388">
        <f>IF(PNL!B388="","",PNL!B388)</f>
        <v/>
      </c>
      <c r="C388">
        <f>IF(PNL!C388="","",PNL!C388)</f>
        <v/>
      </c>
      <c r="D388">
        <f>IF(PNL!D388="","",PNL!D388)</f>
        <v/>
      </c>
      <c r="E388">
        <f>IF($A388="","",IF(AND($C388="2027",OR($D388="V01",$D388="V02",$D388="V03")),1,0))</f>
        <v/>
      </c>
      <c r="F388">
        <f>IF($A388="","",IF($E388=1,SUMIFS(Comptabilité!$F$1:$F$675,Comptabilité!$A$1:$A$675,$A388,Comptabilité!$B$1:$B$675,$B388,Comptabilité!$C$1:$C$675,"2026"),0))</f>
        <v/>
      </c>
      <c r="G388">
        <f>IF($A388="","",IF($D388="V01",Cadrage!$C$22,IF($D388="V02",Cadrage!$D$22,Cadrage!$E$22)))</f>
        <v/>
      </c>
      <c r="H388">
        <f>IF($A388="","",IF($D388="V01",Cadrage!$C$23,IF($D388="V02",Cadrage!$D$23,Cadrage!$E$23)))</f>
        <v/>
      </c>
      <c r="I388">
        <f>IF($A388="","",IF($D388="V01",Cadrage!$C$31,IF($D388="V02",Cadrage!$D$31,Cadrage!$E$31)))</f>
        <v/>
      </c>
      <c r="J388">
        <f>IF($A388="","",IF($D388="V01",Cadrage!$C$32,IF($D388="V02",Cadrage!$D$32,Cadrage!$E$32)))</f>
        <v/>
      </c>
      <c r="K388">
        <f>IF($A388="","",IF($D388="V01",Cadrage!$C$33,IF($D388="V02",Cadrage!$D$33,Cadrage!$E$33)))</f>
        <v/>
      </c>
      <c r="L388">
        <f>IF($A388="","",IF($D388="V01",Cadrage!$C$34,IF($D388="V02",Cadrage!$D$34,Cadrage!$E$34)))</f>
        <v/>
      </c>
      <c r="M388">
        <f>IF($A388="","",IF($D388="V01",Cadrage!$C$35,IF($D388="V02",Cadrage!$D$35,Cadrage!$E$35)))</f>
        <v/>
      </c>
      <c r="N388">
        <f>IF($A388="","",IF($D388="V01",$R$2,IF($D388="V02",$R$3,$R$4)))</f>
        <v/>
      </c>
      <c r="O388">
        <f>IF($A388="","",IF(OR($B388="7062",$B388="706",$B388="708"),$N388,IF($B388="6231",1+$G388,IF($B388="6236",1+$H388,IF(OR($B388="621",$B388="604",$B388="6063"),$N388*(1-$L388),IF(OR($B388="6411",$B388="6413",$B388="6414",$B388="645"),(1+$J388)*(1+$K388),IF(OR($B388="613",$B388="615",$B388="616",$B388="6226",$B388="625",$B388="626",$B388="6281"),(1+$I388)*(1-$L388)*(1+$M388),IF(OR($B388="6331",$B388="63511",$B388="6333"),(1+$I388)*(1-$L388),IF($B388="6811",1+$I388,1)))))))))</f>
        <v/>
      </c>
      <c r="P388">
        <f>IF($A388="","",IF($E388=1,$F388*$O388,PNL!G388))</f>
        <v/>
      </c>
      <c r="T388">
        <f>IF($A388="","",IF($E388=1,IF(OR($B388="7062",$B388="706",$B388="708"),$P388,IF(AND(LEFT($B388,1)="6",$B388&lt;&gt;"6811"),-$P388,0)),0))</f>
        <v/>
      </c>
    </row>
    <row r="389">
      <c r="A389">
        <f>IF(PNL!A389="","",PNL!A389)</f>
        <v/>
      </c>
      <c r="B389">
        <f>IF(PNL!B389="","",PNL!B389)</f>
        <v/>
      </c>
      <c r="C389">
        <f>IF(PNL!C389="","",PNL!C389)</f>
        <v/>
      </c>
      <c r="D389">
        <f>IF(PNL!D389="","",PNL!D389)</f>
        <v/>
      </c>
      <c r="E389">
        <f>IF($A389="","",IF(AND($C389="2027",OR($D389="V01",$D389="V02",$D389="V03")),1,0))</f>
        <v/>
      </c>
      <c r="F389">
        <f>IF($A389="","",IF($E389=1,SUMIFS(Comptabilité!$F$1:$F$675,Comptabilité!$A$1:$A$675,$A389,Comptabilité!$B$1:$B$675,$B389,Comptabilité!$C$1:$C$675,"2026"),0))</f>
        <v/>
      </c>
      <c r="G389">
        <f>IF($A389="","",IF($D389="V01",Cadrage!$C$22,IF($D389="V02",Cadrage!$D$22,Cadrage!$E$22)))</f>
        <v/>
      </c>
      <c r="H389">
        <f>IF($A389="","",IF($D389="V01",Cadrage!$C$23,IF($D389="V02",Cadrage!$D$23,Cadrage!$E$23)))</f>
        <v/>
      </c>
      <c r="I389">
        <f>IF($A389="","",IF($D389="V01",Cadrage!$C$31,IF($D389="V02",Cadrage!$D$31,Cadrage!$E$31)))</f>
        <v/>
      </c>
      <c r="J389">
        <f>IF($A389="","",IF($D389="V01",Cadrage!$C$32,IF($D389="V02",Cadrage!$D$32,Cadrage!$E$32)))</f>
        <v/>
      </c>
      <c r="K389">
        <f>IF($A389="","",IF($D389="V01",Cadrage!$C$33,IF($D389="V02",Cadrage!$D$33,Cadrage!$E$33)))</f>
        <v/>
      </c>
      <c r="L389">
        <f>IF($A389="","",IF($D389="V01",Cadrage!$C$34,IF($D389="V02",Cadrage!$D$34,Cadrage!$E$34)))</f>
        <v/>
      </c>
      <c r="M389">
        <f>IF($A389="","",IF($D389="V01",Cadrage!$C$35,IF($D389="V02",Cadrage!$D$35,Cadrage!$E$35)))</f>
        <v/>
      </c>
      <c r="N389">
        <f>IF($A389="","",IF($D389="V01",$R$2,IF($D389="V02",$R$3,$R$4)))</f>
        <v/>
      </c>
      <c r="O389">
        <f>IF($A389="","",IF(OR($B389="7062",$B389="706",$B389="708"),$N389,IF($B389="6231",1+$G389,IF($B389="6236",1+$H389,IF(OR($B389="621",$B389="604",$B389="6063"),$N389*(1-$L389),IF(OR($B389="6411",$B389="6413",$B389="6414",$B389="645"),(1+$J389)*(1+$K389),IF(OR($B389="613",$B389="615",$B389="616",$B389="6226",$B389="625",$B389="626",$B389="6281"),(1+$I389)*(1-$L389)*(1+$M389),IF(OR($B389="6331",$B389="63511",$B389="6333"),(1+$I389)*(1-$L389),IF($B389="6811",1+$I389,1)))))))))</f>
        <v/>
      </c>
      <c r="P389">
        <f>IF($A389="","",IF($E389=1,$F389*$O389,PNL!G389))</f>
        <v/>
      </c>
      <c r="T389">
        <f>IF($A389="","",IF($E389=1,IF(OR($B389="7062",$B389="706",$B389="708"),$P389,IF(AND(LEFT($B389,1)="6",$B389&lt;&gt;"6811"),-$P389,0)),0))</f>
        <v/>
      </c>
    </row>
    <row r="390">
      <c r="A390">
        <f>IF(PNL!A390="","",PNL!A390)</f>
        <v/>
      </c>
      <c r="B390">
        <f>IF(PNL!B390="","",PNL!B390)</f>
        <v/>
      </c>
      <c r="C390">
        <f>IF(PNL!C390="","",PNL!C390)</f>
        <v/>
      </c>
      <c r="D390">
        <f>IF(PNL!D390="","",PNL!D390)</f>
        <v/>
      </c>
      <c r="E390">
        <f>IF($A390="","",IF(AND($C390="2027",OR($D390="V01",$D390="V02",$D390="V03")),1,0))</f>
        <v/>
      </c>
      <c r="F390">
        <f>IF($A390="","",IF($E390=1,SUMIFS(Comptabilité!$F$1:$F$675,Comptabilité!$A$1:$A$675,$A390,Comptabilité!$B$1:$B$675,$B390,Comptabilité!$C$1:$C$675,"2026"),0))</f>
        <v/>
      </c>
      <c r="G390">
        <f>IF($A390="","",IF($D390="V01",Cadrage!$C$22,IF($D390="V02",Cadrage!$D$22,Cadrage!$E$22)))</f>
        <v/>
      </c>
      <c r="H390">
        <f>IF($A390="","",IF($D390="V01",Cadrage!$C$23,IF($D390="V02",Cadrage!$D$23,Cadrage!$E$23)))</f>
        <v/>
      </c>
      <c r="I390">
        <f>IF($A390="","",IF($D390="V01",Cadrage!$C$31,IF($D390="V02",Cadrage!$D$31,Cadrage!$E$31)))</f>
        <v/>
      </c>
      <c r="J390">
        <f>IF($A390="","",IF($D390="V01",Cadrage!$C$32,IF($D390="V02",Cadrage!$D$32,Cadrage!$E$32)))</f>
        <v/>
      </c>
      <c r="K390">
        <f>IF($A390="","",IF($D390="V01",Cadrage!$C$33,IF($D390="V02",Cadrage!$D$33,Cadrage!$E$33)))</f>
        <v/>
      </c>
      <c r="L390">
        <f>IF($A390="","",IF($D390="V01",Cadrage!$C$34,IF($D390="V02",Cadrage!$D$34,Cadrage!$E$34)))</f>
        <v/>
      </c>
      <c r="M390">
        <f>IF($A390="","",IF($D390="V01",Cadrage!$C$35,IF($D390="V02",Cadrage!$D$35,Cadrage!$E$35)))</f>
        <v/>
      </c>
      <c r="N390">
        <f>IF($A390="","",IF($D390="V01",$R$2,IF($D390="V02",$R$3,$R$4)))</f>
        <v/>
      </c>
      <c r="O390">
        <f>IF($A390="","",IF(OR($B390="7062",$B390="706",$B390="708"),$N390,IF($B390="6231",1+$G390,IF($B390="6236",1+$H390,IF(OR($B390="621",$B390="604",$B390="6063"),$N390*(1-$L390),IF(OR($B390="6411",$B390="6413",$B390="6414",$B390="645"),(1+$J390)*(1+$K390),IF(OR($B390="613",$B390="615",$B390="616",$B390="6226",$B390="625",$B390="626",$B390="6281"),(1+$I390)*(1-$L390)*(1+$M390),IF(OR($B390="6331",$B390="63511",$B390="6333"),(1+$I390)*(1-$L390),IF($B390="6811",1+$I390,1)))))))))</f>
        <v/>
      </c>
      <c r="P390">
        <f>IF($A390="","",IF($E390=1,$F390*$O390,PNL!G390))</f>
        <v/>
      </c>
      <c r="T390">
        <f>IF($A390="","",IF($E390=1,IF(OR($B390="7062",$B390="706",$B390="708"),$P390,IF(AND(LEFT($B390,1)="6",$B390&lt;&gt;"6811"),-$P390,0)),0))</f>
        <v/>
      </c>
    </row>
    <row r="391">
      <c r="A391">
        <f>IF(PNL!A391="","",PNL!A391)</f>
        <v/>
      </c>
      <c r="B391">
        <f>IF(PNL!B391="","",PNL!B391)</f>
        <v/>
      </c>
      <c r="C391">
        <f>IF(PNL!C391="","",PNL!C391)</f>
        <v/>
      </c>
      <c r="D391">
        <f>IF(PNL!D391="","",PNL!D391)</f>
        <v/>
      </c>
      <c r="E391">
        <f>IF($A391="","",IF(AND($C391="2027",OR($D391="V01",$D391="V02",$D391="V03")),1,0))</f>
        <v/>
      </c>
      <c r="F391">
        <f>IF($A391="","",IF($E391=1,SUMIFS(Comptabilité!$F$1:$F$675,Comptabilité!$A$1:$A$675,$A391,Comptabilité!$B$1:$B$675,$B391,Comptabilité!$C$1:$C$675,"2026"),0))</f>
        <v/>
      </c>
      <c r="G391">
        <f>IF($A391="","",IF($D391="V01",Cadrage!$C$22,IF($D391="V02",Cadrage!$D$22,Cadrage!$E$22)))</f>
        <v/>
      </c>
      <c r="H391">
        <f>IF($A391="","",IF($D391="V01",Cadrage!$C$23,IF($D391="V02",Cadrage!$D$23,Cadrage!$E$23)))</f>
        <v/>
      </c>
      <c r="I391">
        <f>IF($A391="","",IF($D391="V01",Cadrage!$C$31,IF($D391="V02",Cadrage!$D$31,Cadrage!$E$31)))</f>
        <v/>
      </c>
      <c r="J391">
        <f>IF($A391="","",IF($D391="V01",Cadrage!$C$32,IF($D391="V02",Cadrage!$D$32,Cadrage!$E$32)))</f>
        <v/>
      </c>
      <c r="K391">
        <f>IF($A391="","",IF($D391="V01",Cadrage!$C$33,IF($D391="V02",Cadrage!$D$33,Cadrage!$E$33)))</f>
        <v/>
      </c>
      <c r="L391">
        <f>IF($A391="","",IF($D391="V01",Cadrage!$C$34,IF($D391="V02",Cadrage!$D$34,Cadrage!$E$34)))</f>
        <v/>
      </c>
      <c r="M391">
        <f>IF($A391="","",IF($D391="V01",Cadrage!$C$35,IF($D391="V02",Cadrage!$D$35,Cadrage!$E$35)))</f>
        <v/>
      </c>
      <c r="N391">
        <f>IF($A391="","",IF($D391="V01",$R$2,IF($D391="V02",$R$3,$R$4)))</f>
        <v/>
      </c>
      <c r="O391">
        <f>IF($A391="","",IF(OR($B391="7062",$B391="706",$B391="708"),$N391,IF($B391="6231",1+$G391,IF($B391="6236",1+$H391,IF(OR($B391="621",$B391="604",$B391="6063"),$N391*(1-$L391),IF(OR($B391="6411",$B391="6413",$B391="6414",$B391="645"),(1+$J391)*(1+$K391),IF(OR($B391="613",$B391="615",$B391="616",$B391="6226",$B391="625",$B391="626",$B391="6281"),(1+$I391)*(1-$L391)*(1+$M391),IF(OR($B391="6331",$B391="63511",$B391="6333"),(1+$I391)*(1-$L391),IF($B391="6811",1+$I391,1)))))))))</f>
        <v/>
      </c>
      <c r="P391">
        <f>IF($A391="","",IF($E391=1,$F391*$O391,PNL!G391))</f>
        <v/>
      </c>
      <c r="T391">
        <f>IF($A391="","",IF($E391=1,IF(OR($B391="7062",$B391="706",$B391="708"),$P391,IF(AND(LEFT($B391,1)="6",$B391&lt;&gt;"6811"),-$P391,0)),0))</f>
        <v/>
      </c>
    </row>
    <row r="392">
      <c r="A392">
        <f>IF(PNL!A392="","",PNL!A392)</f>
        <v/>
      </c>
      <c r="B392">
        <f>IF(PNL!B392="","",PNL!B392)</f>
        <v/>
      </c>
      <c r="C392">
        <f>IF(PNL!C392="","",PNL!C392)</f>
        <v/>
      </c>
      <c r="D392">
        <f>IF(PNL!D392="","",PNL!D392)</f>
        <v/>
      </c>
      <c r="E392">
        <f>IF($A392="","",IF(AND($C392="2027",OR($D392="V01",$D392="V02",$D392="V03")),1,0))</f>
        <v/>
      </c>
      <c r="F392">
        <f>IF($A392="","",IF($E392=1,SUMIFS(Comptabilité!$F$1:$F$675,Comptabilité!$A$1:$A$675,$A392,Comptabilité!$B$1:$B$675,$B392,Comptabilité!$C$1:$C$675,"2026"),0))</f>
        <v/>
      </c>
      <c r="G392">
        <f>IF($A392="","",IF($D392="V01",Cadrage!$C$22,IF($D392="V02",Cadrage!$D$22,Cadrage!$E$22)))</f>
        <v/>
      </c>
      <c r="H392">
        <f>IF($A392="","",IF($D392="V01",Cadrage!$C$23,IF($D392="V02",Cadrage!$D$23,Cadrage!$E$23)))</f>
        <v/>
      </c>
      <c r="I392">
        <f>IF($A392="","",IF($D392="V01",Cadrage!$C$31,IF($D392="V02",Cadrage!$D$31,Cadrage!$E$31)))</f>
        <v/>
      </c>
      <c r="J392">
        <f>IF($A392="","",IF($D392="V01",Cadrage!$C$32,IF($D392="V02",Cadrage!$D$32,Cadrage!$E$32)))</f>
        <v/>
      </c>
      <c r="K392">
        <f>IF($A392="","",IF($D392="V01",Cadrage!$C$33,IF($D392="V02",Cadrage!$D$33,Cadrage!$E$33)))</f>
        <v/>
      </c>
      <c r="L392">
        <f>IF($A392="","",IF($D392="V01",Cadrage!$C$34,IF($D392="V02",Cadrage!$D$34,Cadrage!$E$34)))</f>
        <v/>
      </c>
      <c r="M392">
        <f>IF($A392="","",IF($D392="V01",Cadrage!$C$35,IF($D392="V02",Cadrage!$D$35,Cadrage!$E$35)))</f>
        <v/>
      </c>
      <c r="N392">
        <f>IF($A392="","",IF($D392="V01",$R$2,IF($D392="V02",$R$3,$R$4)))</f>
        <v/>
      </c>
      <c r="O392">
        <f>IF($A392="","",IF(OR($B392="7062",$B392="706",$B392="708"),$N392,IF($B392="6231",1+$G392,IF($B392="6236",1+$H392,IF(OR($B392="621",$B392="604",$B392="6063"),$N392*(1-$L392),IF(OR($B392="6411",$B392="6413",$B392="6414",$B392="645"),(1+$J392)*(1+$K392),IF(OR($B392="613",$B392="615",$B392="616",$B392="6226",$B392="625",$B392="626",$B392="6281"),(1+$I392)*(1-$L392)*(1+$M392),IF(OR($B392="6331",$B392="63511",$B392="6333"),(1+$I392)*(1-$L392),IF($B392="6811",1+$I392,1)))))))))</f>
        <v/>
      </c>
      <c r="P392">
        <f>IF($A392="","",IF($E392=1,$F392*$O392,PNL!G392))</f>
        <v/>
      </c>
      <c r="T392">
        <f>IF($A392="","",IF($E392=1,IF(OR($B392="7062",$B392="706",$B392="708"),$P392,IF(AND(LEFT($B392,1)="6",$B392&lt;&gt;"6811"),-$P392,0)),0))</f>
        <v/>
      </c>
    </row>
    <row r="393">
      <c r="A393">
        <f>IF(PNL!A393="","",PNL!A393)</f>
        <v/>
      </c>
      <c r="B393">
        <f>IF(PNL!B393="","",PNL!B393)</f>
        <v/>
      </c>
      <c r="C393">
        <f>IF(PNL!C393="","",PNL!C393)</f>
        <v/>
      </c>
      <c r="D393">
        <f>IF(PNL!D393="","",PNL!D393)</f>
        <v/>
      </c>
      <c r="E393">
        <f>IF($A393="","",IF(AND($C393="2027",OR($D393="V01",$D393="V02",$D393="V03")),1,0))</f>
        <v/>
      </c>
      <c r="F393">
        <f>IF($A393="","",IF($E393=1,SUMIFS(Comptabilité!$F$1:$F$675,Comptabilité!$A$1:$A$675,$A393,Comptabilité!$B$1:$B$675,$B393,Comptabilité!$C$1:$C$675,"2026"),0))</f>
        <v/>
      </c>
      <c r="G393">
        <f>IF($A393="","",IF($D393="V01",Cadrage!$C$22,IF($D393="V02",Cadrage!$D$22,Cadrage!$E$22)))</f>
        <v/>
      </c>
      <c r="H393">
        <f>IF($A393="","",IF($D393="V01",Cadrage!$C$23,IF($D393="V02",Cadrage!$D$23,Cadrage!$E$23)))</f>
        <v/>
      </c>
      <c r="I393">
        <f>IF($A393="","",IF($D393="V01",Cadrage!$C$31,IF($D393="V02",Cadrage!$D$31,Cadrage!$E$31)))</f>
        <v/>
      </c>
      <c r="J393">
        <f>IF($A393="","",IF($D393="V01",Cadrage!$C$32,IF($D393="V02",Cadrage!$D$32,Cadrage!$E$32)))</f>
        <v/>
      </c>
      <c r="K393">
        <f>IF($A393="","",IF($D393="V01",Cadrage!$C$33,IF($D393="V02",Cadrage!$D$33,Cadrage!$E$33)))</f>
        <v/>
      </c>
      <c r="L393">
        <f>IF($A393="","",IF($D393="V01",Cadrage!$C$34,IF($D393="V02",Cadrage!$D$34,Cadrage!$E$34)))</f>
        <v/>
      </c>
      <c r="M393">
        <f>IF($A393="","",IF($D393="V01",Cadrage!$C$35,IF($D393="V02",Cadrage!$D$35,Cadrage!$E$35)))</f>
        <v/>
      </c>
      <c r="N393">
        <f>IF($A393="","",IF($D393="V01",$R$2,IF($D393="V02",$R$3,$R$4)))</f>
        <v/>
      </c>
      <c r="O393">
        <f>IF($A393="","",IF(OR($B393="7062",$B393="706",$B393="708"),$N393,IF($B393="6231",1+$G393,IF($B393="6236",1+$H393,IF(OR($B393="621",$B393="604",$B393="6063"),$N393*(1-$L393),IF(OR($B393="6411",$B393="6413",$B393="6414",$B393="645"),(1+$J393)*(1+$K393),IF(OR($B393="613",$B393="615",$B393="616",$B393="6226",$B393="625",$B393="626",$B393="6281"),(1+$I393)*(1-$L393)*(1+$M393),IF(OR($B393="6331",$B393="63511",$B393="6333"),(1+$I393)*(1-$L393),IF($B393="6811",1+$I393,1)))))))))</f>
        <v/>
      </c>
      <c r="P393">
        <f>IF($A393="","",IF($E393=1,$F393*$O393,PNL!G393))</f>
        <v/>
      </c>
      <c r="T393">
        <f>IF($A393="","",IF($E393=1,IF(OR($B393="7062",$B393="706",$B393="708"),$P393,IF(AND(LEFT($B393,1)="6",$B393&lt;&gt;"6811"),-$P393,0)),0))</f>
        <v/>
      </c>
    </row>
    <row r="394">
      <c r="A394">
        <f>IF(PNL!A394="","",PNL!A394)</f>
        <v/>
      </c>
      <c r="B394">
        <f>IF(PNL!B394="","",PNL!B394)</f>
        <v/>
      </c>
      <c r="C394">
        <f>IF(PNL!C394="","",PNL!C394)</f>
        <v/>
      </c>
      <c r="D394">
        <f>IF(PNL!D394="","",PNL!D394)</f>
        <v/>
      </c>
      <c r="E394">
        <f>IF($A394="","",IF(AND($C394="2027",OR($D394="V01",$D394="V02",$D394="V03")),1,0))</f>
        <v/>
      </c>
      <c r="F394">
        <f>IF($A394="","",IF($E394=1,SUMIFS(Comptabilité!$F$1:$F$675,Comptabilité!$A$1:$A$675,$A394,Comptabilité!$B$1:$B$675,$B394,Comptabilité!$C$1:$C$675,"2026"),0))</f>
        <v/>
      </c>
      <c r="G394">
        <f>IF($A394="","",IF($D394="V01",Cadrage!$C$22,IF($D394="V02",Cadrage!$D$22,Cadrage!$E$22)))</f>
        <v/>
      </c>
      <c r="H394">
        <f>IF($A394="","",IF($D394="V01",Cadrage!$C$23,IF($D394="V02",Cadrage!$D$23,Cadrage!$E$23)))</f>
        <v/>
      </c>
      <c r="I394">
        <f>IF($A394="","",IF($D394="V01",Cadrage!$C$31,IF($D394="V02",Cadrage!$D$31,Cadrage!$E$31)))</f>
        <v/>
      </c>
      <c r="J394">
        <f>IF($A394="","",IF($D394="V01",Cadrage!$C$32,IF($D394="V02",Cadrage!$D$32,Cadrage!$E$32)))</f>
        <v/>
      </c>
      <c r="K394">
        <f>IF($A394="","",IF($D394="V01",Cadrage!$C$33,IF($D394="V02",Cadrage!$D$33,Cadrage!$E$33)))</f>
        <v/>
      </c>
      <c r="L394">
        <f>IF($A394="","",IF($D394="V01",Cadrage!$C$34,IF($D394="V02",Cadrage!$D$34,Cadrage!$E$34)))</f>
        <v/>
      </c>
      <c r="M394">
        <f>IF($A394="","",IF($D394="V01",Cadrage!$C$35,IF($D394="V02",Cadrage!$D$35,Cadrage!$E$35)))</f>
        <v/>
      </c>
      <c r="N394">
        <f>IF($A394="","",IF($D394="V01",$R$2,IF($D394="V02",$R$3,$R$4)))</f>
        <v/>
      </c>
      <c r="O394">
        <f>IF($A394="","",IF(OR($B394="7062",$B394="706",$B394="708"),$N394,IF($B394="6231",1+$G394,IF($B394="6236",1+$H394,IF(OR($B394="621",$B394="604",$B394="6063"),$N394*(1-$L394),IF(OR($B394="6411",$B394="6413",$B394="6414",$B394="645"),(1+$J394)*(1+$K394),IF(OR($B394="613",$B394="615",$B394="616",$B394="6226",$B394="625",$B394="626",$B394="6281"),(1+$I394)*(1-$L394)*(1+$M394),IF(OR($B394="6331",$B394="63511",$B394="6333"),(1+$I394)*(1-$L394),IF($B394="6811",1+$I394,1)))))))))</f>
        <v/>
      </c>
      <c r="P394">
        <f>IF($A394="","",IF($E394=1,$F394*$O394,PNL!G394))</f>
        <v/>
      </c>
      <c r="T394">
        <f>IF($A394="","",IF($E394=1,IF(OR($B394="7062",$B394="706",$B394="708"),$P394,IF(AND(LEFT($B394,1)="6",$B394&lt;&gt;"6811"),-$P394,0)),0))</f>
        <v/>
      </c>
    </row>
    <row r="395">
      <c r="A395">
        <f>IF(PNL!A395="","",PNL!A395)</f>
        <v/>
      </c>
      <c r="B395">
        <f>IF(PNL!B395="","",PNL!B395)</f>
        <v/>
      </c>
      <c r="C395">
        <f>IF(PNL!C395="","",PNL!C395)</f>
        <v/>
      </c>
      <c r="D395">
        <f>IF(PNL!D395="","",PNL!D395)</f>
        <v/>
      </c>
      <c r="E395">
        <f>IF($A395="","",IF(AND($C395="2027",OR($D395="V01",$D395="V02",$D395="V03")),1,0))</f>
        <v/>
      </c>
      <c r="F395">
        <f>IF($A395="","",IF($E395=1,SUMIFS(Comptabilité!$F$1:$F$675,Comptabilité!$A$1:$A$675,$A395,Comptabilité!$B$1:$B$675,$B395,Comptabilité!$C$1:$C$675,"2026"),0))</f>
        <v/>
      </c>
      <c r="G395">
        <f>IF($A395="","",IF($D395="V01",Cadrage!$C$22,IF($D395="V02",Cadrage!$D$22,Cadrage!$E$22)))</f>
        <v/>
      </c>
      <c r="H395">
        <f>IF($A395="","",IF($D395="V01",Cadrage!$C$23,IF($D395="V02",Cadrage!$D$23,Cadrage!$E$23)))</f>
        <v/>
      </c>
      <c r="I395">
        <f>IF($A395="","",IF($D395="V01",Cadrage!$C$31,IF($D395="V02",Cadrage!$D$31,Cadrage!$E$31)))</f>
        <v/>
      </c>
      <c r="J395">
        <f>IF($A395="","",IF($D395="V01",Cadrage!$C$32,IF($D395="V02",Cadrage!$D$32,Cadrage!$E$32)))</f>
        <v/>
      </c>
      <c r="K395">
        <f>IF($A395="","",IF($D395="V01",Cadrage!$C$33,IF($D395="V02",Cadrage!$D$33,Cadrage!$E$33)))</f>
        <v/>
      </c>
      <c r="L395">
        <f>IF($A395="","",IF($D395="V01",Cadrage!$C$34,IF($D395="V02",Cadrage!$D$34,Cadrage!$E$34)))</f>
        <v/>
      </c>
      <c r="M395">
        <f>IF($A395="","",IF($D395="V01",Cadrage!$C$35,IF($D395="V02",Cadrage!$D$35,Cadrage!$E$35)))</f>
        <v/>
      </c>
      <c r="N395">
        <f>IF($A395="","",IF($D395="V01",$R$2,IF($D395="V02",$R$3,$R$4)))</f>
        <v/>
      </c>
      <c r="O395">
        <f>IF($A395="","",IF(OR($B395="7062",$B395="706",$B395="708"),$N395,IF($B395="6231",1+$G395,IF($B395="6236",1+$H395,IF(OR($B395="621",$B395="604",$B395="6063"),$N395*(1-$L395),IF(OR($B395="6411",$B395="6413",$B395="6414",$B395="645"),(1+$J395)*(1+$K395),IF(OR($B395="613",$B395="615",$B395="616",$B395="6226",$B395="625",$B395="626",$B395="6281"),(1+$I395)*(1-$L395)*(1+$M395),IF(OR($B395="6331",$B395="63511",$B395="6333"),(1+$I395)*(1-$L395),IF($B395="6811",1+$I395,1)))))))))</f>
        <v/>
      </c>
      <c r="P395">
        <f>IF($A395="","",IF($E395=1,$F395*$O395,PNL!G395))</f>
        <v/>
      </c>
      <c r="T395">
        <f>IF($A395="","",IF($E395=1,IF(OR($B395="7062",$B395="706",$B395="708"),$P395,IF(AND(LEFT($B395,1)="6",$B395&lt;&gt;"6811"),-$P395,0)),0))</f>
        <v/>
      </c>
    </row>
    <row r="396">
      <c r="A396">
        <f>IF(PNL!A396="","",PNL!A396)</f>
        <v/>
      </c>
      <c r="B396">
        <f>IF(PNL!B396="","",PNL!B396)</f>
        <v/>
      </c>
      <c r="C396">
        <f>IF(PNL!C396="","",PNL!C396)</f>
        <v/>
      </c>
      <c r="D396">
        <f>IF(PNL!D396="","",PNL!D396)</f>
        <v/>
      </c>
      <c r="E396">
        <f>IF($A396="","",IF(AND($C396="2027",OR($D396="V01",$D396="V02",$D396="V03")),1,0))</f>
        <v/>
      </c>
      <c r="F396">
        <f>IF($A396="","",IF($E396=1,SUMIFS(Comptabilité!$F$1:$F$675,Comptabilité!$A$1:$A$675,$A396,Comptabilité!$B$1:$B$675,$B396,Comptabilité!$C$1:$C$675,"2026"),0))</f>
        <v/>
      </c>
      <c r="G396">
        <f>IF($A396="","",IF($D396="V01",Cadrage!$C$22,IF($D396="V02",Cadrage!$D$22,Cadrage!$E$22)))</f>
        <v/>
      </c>
      <c r="H396">
        <f>IF($A396="","",IF($D396="V01",Cadrage!$C$23,IF($D396="V02",Cadrage!$D$23,Cadrage!$E$23)))</f>
        <v/>
      </c>
      <c r="I396">
        <f>IF($A396="","",IF($D396="V01",Cadrage!$C$31,IF($D396="V02",Cadrage!$D$31,Cadrage!$E$31)))</f>
        <v/>
      </c>
      <c r="J396">
        <f>IF($A396="","",IF($D396="V01",Cadrage!$C$32,IF($D396="V02",Cadrage!$D$32,Cadrage!$E$32)))</f>
        <v/>
      </c>
      <c r="K396">
        <f>IF($A396="","",IF($D396="V01",Cadrage!$C$33,IF($D396="V02",Cadrage!$D$33,Cadrage!$E$33)))</f>
        <v/>
      </c>
      <c r="L396">
        <f>IF($A396="","",IF($D396="V01",Cadrage!$C$34,IF($D396="V02",Cadrage!$D$34,Cadrage!$E$34)))</f>
        <v/>
      </c>
      <c r="M396">
        <f>IF($A396="","",IF($D396="V01",Cadrage!$C$35,IF($D396="V02",Cadrage!$D$35,Cadrage!$E$35)))</f>
        <v/>
      </c>
      <c r="N396">
        <f>IF($A396="","",IF($D396="V01",$R$2,IF($D396="V02",$R$3,$R$4)))</f>
        <v/>
      </c>
      <c r="O396">
        <f>IF($A396="","",IF(OR($B396="7062",$B396="706",$B396="708"),$N396,IF($B396="6231",1+$G396,IF($B396="6236",1+$H396,IF(OR($B396="621",$B396="604",$B396="6063"),$N396*(1-$L396),IF(OR($B396="6411",$B396="6413",$B396="6414",$B396="645"),(1+$J396)*(1+$K396),IF(OR($B396="613",$B396="615",$B396="616",$B396="6226",$B396="625",$B396="626",$B396="6281"),(1+$I396)*(1-$L396)*(1+$M396),IF(OR($B396="6331",$B396="63511",$B396="6333"),(1+$I396)*(1-$L396),IF($B396="6811",1+$I396,1)))))))))</f>
        <v/>
      </c>
      <c r="P396">
        <f>IF($A396="","",IF($E396=1,$F396*$O396,PNL!G396))</f>
        <v/>
      </c>
      <c r="T396">
        <f>IF($A396="","",IF($E396=1,IF(OR($B396="7062",$B396="706",$B396="708"),$P396,IF(AND(LEFT($B396,1)="6",$B396&lt;&gt;"6811"),-$P396,0)),0))</f>
        <v/>
      </c>
    </row>
    <row r="397">
      <c r="A397">
        <f>IF(PNL!A397="","",PNL!A397)</f>
        <v/>
      </c>
      <c r="B397">
        <f>IF(PNL!B397="","",PNL!B397)</f>
        <v/>
      </c>
      <c r="C397">
        <f>IF(PNL!C397="","",PNL!C397)</f>
        <v/>
      </c>
      <c r="D397">
        <f>IF(PNL!D397="","",PNL!D397)</f>
        <v/>
      </c>
      <c r="E397">
        <f>IF($A397="","",IF(AND($C397="2027",OR($D397="V01",$D397="V02",$D397="V03")),1,0))</f>
        <v/>
      </c>
      <c r="F397">
        <f>IF($A397="","",IF($E397=1,SUMIFS(Comptabilité!$F$1:$F$675,Comptabilité!$A$1:$A$675,$A397,Comptabilité!$B$1:$B$675,$B397,Comptabilité!$C$1:$C$675,"2026"),0))</f>
        <v/>
      </c>
      <c r="G397">
        <f>IF($A397="","",IF($D397="V01",Cadrage!$C$22,IF($D397="V02",Cadrage!$D$22,Cadrage!$E$22)))</f>
        <v/>
      </c>
      <c r="H397">
        <f>IF($A397="","",IF($D397="V01",Cadrage!$C$23,IF($D397="V02",Cadrage!$D$23,Cadrage!$E$23)))</f>
        <v/>
      </c>
      <c r="I397">
        <f>IF($A397="","",IF($D397="V01",Cadrage!$C$31,IF($D397="V02",Cadrage!$D$31,Cadrage!$E$31)))</f>
        <v/>
      </c>
      <c r="J397">
        <f>IF($A397="","",IF($D397="V01",Cadrage!$C$32,IF($D397="V02",Cadrage!$D$32,Cadrage!$E$32)))</f>
        <v/>
      </c>
      <c r="K397">
        <f>IF($A397="","",IF($D397="V01",Cadrage!$C$33,IF($D397="V02",Cadrage!$D$33,Cadrage!$E$33)))</f>
        <v/>
      </c>
      <c r="L397">
        <f>IF($A397="","",IF($D397="V01",Cadrage!$C$34,IF($D397="V02",Cadrage!$D$34,Cadrage!$E$34)))</f>
        <v/>
      </c>
      <c r="M397">
        <f>IF($A397="","",IF($D397="V01",Cadrage!$C$35,IF($D397="V02",Cadrage!$D$35,Cadrage!$E$35)))</f>
        <v/>
      </c>
      <c r="N397">
        <f>IF($A397="","",IF($D397="V01",$R$2,IF($D397="V02",$R$3,$R$4)))</f>
        <v/>
      </c>
      <c r="O397">
        <f>IF($A397="","",IF(OR($B397="7062",$B397="706",$B397="708"),$N397,IF($B397="6231",1+$G397,IF($B397="6236",1+$H397,IF(OR($B397="621",$B397="604",$B397="6063"),$N397*(1-$L397),IF(OR($B397="6411",$B397="6413",$B397="6414",$B397="645"),(1+$J397)*(1+$K397),IF(OR($B397="613",$B397="615",$B397="616",$B397="6226",$B397="625",$B397="626",$B397="6281"),(1+$I397)*(1-$L397)*(1+$M397),IF(OR($B397="6331",$B397="63511",$B397="6333"),(1+$I397)*(1-$L397),IF($B397="6811",1+$I397,1)))))))))</f>
        <v/>
      </c>
      <c r="P397">
        <f>IF($A397="","",IF($E397=1,$F397*$O397,PNL!G397))</f>
        <v/>
      </c>
      <c r="T397">
        <f>IF($A397="","",IF($E397=1,IF(OR($B397="7062",$B397="706",$B397="708"),$P397,IF(AND(LEFT($B397,1)="6",$B397&lt;&gt;"6811"),-$P397,0)),0))</f>
        <v/>
      </c>
    </row>
    <row r="398">
      <c r="A398">
        <f>IF(PNL!A398="","",PNL!A398)</f>
        <v/>
      </c>
      <c r="B398">
        <f>IF(PNL!B398="","",PNL!B398)</f>
        <v/>
      </c>
      <c r="C398">
        <f>IF(PNL!C398="","",PNL!C398)</f>
        <v/>
      </c>
      <c r="D398">
        <f>IF(PNL!D398="","",PNL!D398)</f>
        <v/>
      </c>
      <c r="E398">
        <f>IF($A398="","",IF(AND($C398="2027",OR($D398="V01",$D398="V02",$D398="V03")),1,0))</f>
        <v/>
      </c>
      <c r="F398">
        <f>IF($A398="","",IF($E398=1,SUMIFS(Comptabilité!$F$1:$F$675,Comptabilité!$A$1:$A$675,$A398,Comptabilité!$B$1:$B$675,$B398,Comptabilité!$C$1:$C$675,"2026"),0))</f>
        <v/>
      </c>
      <c r="G398">
        <f>IF($A398="","",IF($D398="V01",Cadrage!$C$22,IF($D398="V02",Cadrage!$D$22,Cadrage!$E$22)))</f>
        <v/>
      </c>
      <c r="H398">
        <f>IF($A398="","",IF($D398="V01",Cadrage!$C$23,IF($D398="V02",Cadrage!$D$23,Cadrage!$E$23)))</f>
        <v/>
      </c>
      <c r="I398">
        <f>IF($A398="","",IF($D398="V01",Cadrage!$C$31,IF($D398="V02",Cadrage!$D$31,Cadrage!$E$31)))</f>
        <v/>
      </c>
      <c r="J398">
        <f>IF($A398="","",IF($D398="V01",Cadrage!$C$32,IF($D398="V02",Cadrage!$D$32,Cadrage!$E$32)))</f>
        <v/>
      </c>
      <c r="K398">
        <f>IF($A398="","",IF($D398="V01",Cadrage!$C$33,IF($D398="V02",Cadrage!$D$33,Cadrage!$E$33)))</f>
        <v/>
      </c>
      <c r="L398">
        <f>IF($A398="","",IF($D398="V01",Cadrage!$C$34,IF($D398="V02",Cadrage!$D$34,Cadrage!$E$34)))</f>
        <v/>
      </c>
      <c r="M398">
        <f>IF($A398="","",IF($D398="V01",Cadrage!$C$35,IF($D398="V02",Cadrage!$D$35,Cadrage!$E$35)))</f>
        <v/>
      </c>
      <c r="N398">
        <f>IF($A398="","",IF($D398="V01",$R$2,IF($D398="V02",$R$3,$R$4)))</f>
        <v/>
      </c>
      <c r="O398">
        <f>IF($A398="","",IF(OR($B398="7062",$B398="706",$B398="708"),$N398,IF($B398="6231",1+$G398,IF($B398="6236",1+$H398,IF(OR($B398="621",$B398="604",$B398="6063"),$N398*(1-$L398),IF(OR($B398="6411",$B398="6413",$B398="6414",$B398="645"),(1+$J398)*(1+$K398),IF(OR($B398="613",$B398="615",$B398="616",$B398="6226",$B398="625",$B398="626",$B398="6281"),(1+$I398)*(1-$L398)*(1+$M398),IF(OR($B398="6331",$B398="63511",$B398="6333"),(1+$I398)*(1-$L398),IF($B398="6811",1+$I398,1)))))))))</f>
        <v/>
      </c>
      <c r="P398">
        <f>IF($A398="","",IF($E398=1,$F398*$O398,PNL!G398))</f>
        <v/>
      </c>
      <c r="T398">
        <f>IF($A398="","",IF($E398=1,IF(OR($B398="7062",$B398="706",$B398="708"),$P398,IF(AND(LEFT($B398,1)="6",$B398&lt;&gt;"6811"),-$P398,0)),0))</f>
        <v/>
      </c>
    </row>
    <row r="399">
      <c r="A399">
        <f>IF(PNL!A399="","",PNL!A399)</f>
        <v/>
      </c>
      <c r="B399">
        <f>IF(PNL!B399="","",PNL!B399)</f>
        <v/>
      </c>
      <c r="C399">
        <f>IF(PNL!C399="","",PNL!C399)</f>
        <v/>
      </c>
      <c r="D399">
        <f>IF(PNL!D399="","",PNL!D399)</f>
        <v/>
      </c>
      <c r="E399">
        <f>IF($A399="","",IF(AND($C399="2027",OR($D399="V01",$D399="V02",$D399="V03")),1,0))</f>
        <v/>
      </c>
      <c r="F399">
        <f>IF($A399="","",IF($E399=1,SUMIFS(Comptabilité!$F$1:$F$675,Comptabilité!$A$1:$A$675,$A399,Comptabilité!$B$1:$B$675,$B399,Comptabilité!$C$1:$C$675,"2026"),0))</f>
        <v/>
      </c>
      <c r="G399">
        <f>IF($A399="","",IF($D399="V01",Cadrage!$C$22,IF($D399="V02",Cadrage!$D$22,Cadrage!$E$22)))</f>
        <v/>
      </c>
      <c r="H399">
        <f>IF($A399="","",IF($D399="V01",Cadrage!$C$23,IF($D399="V02",Cadrage!$D$23,Cadrage!$E$23)))</f>
        <v/>
      </c>
      <c r="I399">
        <f>IF($A399="","",IF($D399="V01",Cadrage!$C$31,IF($D399="V02",Cadrage!$D$31,Cadrage!$E$31)))</f>
        <v/>
      </c>
      <c r="J399">
        <f>IF($A399="","",IF($D399="V01",Cadrage!$C$32,IF($D399="V02",Cadrage!$D$32,Cadrage!$E$32)))</f>
        <v/>
      </c>
      <c r="K399">
        <f>IF($A399="","",IF($D399="V01",Cadrage!$C$33,IF($D399="V02",Cadrage!$D$33,Cadrage!$E$33)))</f>
        <v/>
      </c>
      <c r="L399">
        <f>IF($A399="","",IF($D399="V01",Cadrage!$C$34,IF($D399="V02",Cadrage!$D$34,Cadrage!$E$34)))</f>
        <v/>
      </c>
      <c r="M399">
        <f>IF($A399="","",IF($D399="V01",Cadrage!$C$35,IF($D399="V02",Cadrage!$D$35,Cadrage!$E$35)))</f>
        <v/>
      </c>
      <c r="N399">
        <f>IF($A399="","",IF($D399="V01",$R$2,IF($D399="V02",$R$3,$R$4)))</f>
        <v/>
      </c>
      <c r="O399">
        <f>IF($A399="","",IF(OR($B399="7062",$B399="706",$B399="708"),$N399,IF($B399="6231",1+$G399,IF($B399="6236",1+$H399,IF(OR($B399="621",$B399="604",$B399="6063"),$N399*(1-$L399),IF(OR($B399="6411",$B399="6413",$B399="6414",$B399="645"),(1+$J399)*(1+$K399),IF(OR($B399="613",$B399="615",$B399="616",$B399="6226",$B399="625",$B399="626",$B399="6281"),(1+$I399)*(1-$L399)*(1+$M399),IF(OR($B399="6331",$B399="63511",$B399="6333"),(1+$I399)*(1-$L399),IF($B399="6811",1+$I399,1)))))))))</f>
        <v/>
      </c>
      <c r="P399">
        <f>IF($A399="","",IF($E399=1,$F399*$O399,PNL!G399))</f>
        <v/>
      </c>
      <c r="T399">
        <f>IF($A399="","",IF($E399=1,IF(OR($B399="7062",$B399="706",$B399="708"),$P399,IF(AND(LEFT($B399,1)="6",$B399&lt;&gt;"6811"),-$P399,0)),0))</f>
        <v/>
      </c>
    </row>
    <row r="400">
      <c r="A400">
        <f>IF(PNL!A400="","",PNL!A400)</f>
        <v/>
      </c>
      <c r="B400">
        <f>IF(PNL!B400="","",PNL!B400)</f>
        <v/>
      </c>
      <c r="C400">
        <f>IF(PNL!C400="","",PNL!C400)</f>
        <v/>
      </c>
      <c r="D400">
        <f>IF(PNL!D400="","",PNL!D400)</f>
        <v/>
      </c>
      <c r="E400">
        <f>IF($A400="","",IF(AND($C400="2027",OR($D400="V01",$D400="V02",$D400="V03")),1,0))</f>
        <v/>
      </c>
      <c r="F400">
        <f>IF($A400="","",IF($E400=1,SUMIFS(Comptabilité!$F$1:$F$675,Comptabilité!$A$1:$A$675,$A400,Comptabilité!$B$1:$B$675,$B400,Comptabilité!$C$1:$C$675,"2026"),0))</f>
        <v/>
      </c>
      <c r="G400">
        <f>IF($A400="","",IF($D400="V01",Cadrage!$C$22,IF($D400="V02",Cadrage!$D$22,Cadrage!$E$22)))</f>
        <v/>
      </c>
      <c r="H400">
        <f>IF($A400="","",IF($D400="V01",Cadrage!$C$23,IF($D400="V02",Cadrage!$D$23,Cadrage!$E$23)))</f>
        <v/>
      </c>
      <c r="I400">
        <f>IF($A400="","",IF($D400="V01",Cadrage!$C$31,IF($D400="V02",Cadrage!$D$31,Cadrage!$E$31)))</f>
        <v/>
      </c>
      <c r="J400">
        <f>IF($A400="","",IF($D400="V01",Cadrage!$C$32,IF($D400="V02",Cadrage!$D$32,Cadrage!$E$32)))</f>
        <v/>
      </c>
      <c r="K400">
        <f>IF($A400="","",IF($D400="V01",Cadrage!$C$33,IF($D400="V02",Cadrage!$D$33,Cadrage!$E$33)))</f>
        <v/>
      </c>
      <c r="L400">
        <f>IF($A400="","",IF($D400="V01",Cadrage!$C$34,IF($D400="V02",Cadrage!$D$34,Cadrage!$E$34)))</f>
        <v/>
      </c>
      <c r="M400">
        <f>IF($A400="","",IF($D400="V01",Cadrage!$C$35,IF($D400="V02",Cadrage!$D$35,Cadrage!$E$35)))</f>
        <v/>
      </c>
      <c r="N400">
        <f>IF($A400="","",IF($D400="V01",$R$2,IF($D400="V02",$R$3,$R$4)))</f>
        <v/>
      </c>
      <c r="O400">
        <f>IF($A400="","",IF(OR($B400="7062",$B400="706",$B400="708"),$N400,IF($B400="6231",1+$G400,IF($B400="6236",1+$H400,IF(OR($B400="621",$B400="604",$B400="6063"),$N400*(1-$L400),IF(OR($B400="6411",$B400="6413",$B400="6414",$B400="645"),(1+$J400)*(1+$K400),IF(OR($B400="613",$B400="615",$B400="616",$B400="6226",$B400="625",$B400="626",$B400="6281"),(1+$I400)*(1-$L400)*(1+$M400),IF(OR($B400="6331",$B400="63511",$B400="6333"),(1+$I400)*(1-$L400),IF($B400="6811",1+$I400,1)))))))))</f>
        <v/>
      </c>
      <c r="P400">
        <f>IF($A400="","",IF($E400=1,$F400*$O400,PNL!G400))</f>
        <v/>
      </c>
      <c r="T400">
        <f>IF($A400="","",IF($E400=1,IF(OR($B400="7062",$B400="706",$B400="708"),$P400,IF(AND(LEFT($B400,1)="6",$B400&lt;&gt;"6811"),-$P400,0)),0))</f>
        <v/>
      </c>
    </row>
    <row r="401">
      <c r="A401">
        <f>IF(PNL!A401="","",PNL!A401)</f>
        <v/>
      </c>
      <c r="B401">
        <f>IF(PNL!B401="","",PNL!B401)</f>
        <v/>
      </c>
      <c r="C401">
        <f>IF(PNL!C401="","",PNL!C401)</f>
        <v/>
      </c>
      <c r="D401">
        <f>IF(PNL!D401="","",PNL!D401)</f>
        <v/>
      </c>
      <c r="E401">
        <f>IF($A401="","",IF(AND($C401="2027",OR($D401="V01",$D401="V02",$D401="V03")),1,0))</f>
        <v/>
      </c>
      <c r="F401">
        <f>IF($A401="","",IF($E401=1,SUMIFS(Comptabilité!$F$1:$F$675,Comptabilité!$A$1:$A$675,$A401,Comptabilité!$B$1:$B$675,$B401,Comptabilité!$C$1:$C$675,"2026"),0))</f>
        <v/>
      </c>
      <c r="G401">
        <f>IF($A401="","",IF($D401="V01",Cadrage!$C$22,IF($D401="V02",Cadrage!$D$22,Cadrage!$E$22)))</f>
        <v/>
      </c>
      <c r="H401">
        <f>IF($A401="","",IF($D401="V01",Cadrage!$C$23,IF($D401="V02",Cadrage!$D$23,Cadrage!$E$23)))</f>
        <v/>
      </c>
      <c r="I401">
        <f>IF($A401="","",IF($D401="V01",Cadrage!$C$31,IF($D401="V02",Cadrage!$D$31,Cadrage!$E$31)))</f>
        <v/>
      </c>
      <c r="J401">
        <f>IF($A401="","",IF($D401="V01",Cadrage!$C$32,IF($D401="V02",Cadrage!$D$32,Cadrage!$E$32)))</f>
        <v/>
      </c>
      <c r="K401">
        <f>IF($A401="","",IF($D401="V01",Cadrage!$C$33,IF($D401="V02",Cadrage!$D$33,Cadrage!$E$33)))</f>
        <v/>
      </c>
      <c r="L401">
        <f>IF($A401="","",IF($D401="V01",Cadrage!$C$34,IF($D401="V02",Cadrage!$D$34,Cadrage!$E$34)))</f>
        <v/>
      </c>
      <c r="M401">
        <f>IF($A401="","",IF($D401="V01",Cadrage!$C$35,IF($D401="V02",Cadrage!$D$35,Cadrage!$E$35)))</f>
        <v/>
      </c>
      <c r="N401">
        <f>IF($A401="","",IF($D401="V01",$R$2,IF($D401="V02",$R$3,$R$4)))</f>
        <v/>
      </c>
      <c r="O401">
        <f>IF($A401="","",IF(OR($B401="7062",$B401="706",$B401="708"),$N401,IF($B401="6231",1+$G401,IF($B401="6236",1+$H401,IF(OR($B401="621",$B401="604",$B401="6063"),$N401*(1-$L401),IF(OR($B401="6411",$B401="6413",$B401="6414",$B401="645"),(1+$J401)*(1+$K401),IF(OR($B401="613",$B401="615",$B401="616",$B401="6226",$B401="625",$B401="626",$B401="6281"),(1+$I401)*(1-$L401)*(1+$M401),IF(OR($B401="6331",$B401="63511",$B401="6333"),(1+$I401)*(1-$L401),IF($B401="6811",1+$I401,1)))))))))</f>
        <v/>
      </c>
      <c r="P401">
        <f>IF($A401="","",IF($E401=1,$F401*$O401,PNL!G401))</f>
        <v/>
      </c>
      <c r="T401">
        <f>IF($A401="","",IF($E401=1,IF(OR($B401="7062",$B401="706",$B401="708"),$P401,IF(AND(LEFT($B401,1)="6",$B401&lt;&gt;"6811"),-$P401,0)),0))</f>
        <v/>
      </c>
    </row>
    <row r="402">
      <c r="A402">
        <f>IF(PNL!A402="","",PNL!A402)</f>
        <v/>
      </c>
      <c r="B402">
        <f>IF(PNL!B402="","",PNL!B402)</f>
        <v/>
      </c>
      <c r="C402">
        <f>IF(PNL!C402="","",PNL!C402)</f>
        <v/>
      </c>
      <c r="D402">
        <f>IF(PNL!D402="","",PNL!D402)</f>
        <v/>
      </c>
      <c r="E402">
        <f>IF($A402="","",IF(AND($C402="2027",OR($D402="V01",$D402="V02",$D402="V03")),1,0))</f>
        <v/>
      </c>
      <c r="F402">
        <f>IF($A402="","",IF($E402=1,SUMIFS(Comptabilité!$F$1:$F$675,Comptabilité!$A$1:$A$675,$A402,Comptabilité!$B$1:$B$675,$B402,Comptabilité!$C$1:$C$675,"2026"),0))</f>
        <v/>
      </c>
      <c r="G402">
        <f>IF($A402="","",IF($D402="V01",Cadrage!$C$22,IF($D402="V02",Cadrage!$D$22,Cadrage!$E$22)))</f>
        <v/>
      </c>
      <c r="H402">
        <f>IF($A402="","",IF($D402="V01",Cadrage!$C$23,IF($D402="V02",Cadrage!$D$23,Cadrage!$E$23)))</f>
        <v/>
      </c>
      <c r="I402">
        <f>IF($A402="","",IF($D402="V01",Cadrage!$C$31,IF($D402="V02",Cadrage!$D$31,Cadrage!$E$31)))</f>
        <v/>
      </c>
      <c r="J402">
        <f>IF($A402="","",IF($D402="V01",Cadrage!$C$32,IF($D402="V02",Cadrage!$D$32,Cadrage!$E$32)))</f>
        <v/>
      </c>
      <c r="K402">
        <f>IF($A402="","",IF($D402="V01",Cadrage!$C$33,IF($D402="V02",Cadrage!$D$33,Cadrage!$E$33)))</f>
        <v/>
      </c>
      <c r="L402">
        <f>IF($A402="","",IF($D402="V01",Cadrage!$C$34,IF($D402="V02",Cadrage!$D$34,Cadrage!$E$34)))</f>
        <v/>
      </c>
      <c r="M402">
        <f>IF($A402="","",IF($D402="V01",Cadrage!$C$35,IF($D402="V02",Cadrage!$D$35,Cadrage!$E$35)))</f>
        <v/>
      </c>
      <c r="N402">
        <f>IF($A402="","",IF($D402="V01",$R$2,IF($D402="V02",$R$3,$R$4)))</f>
        <v/>
      </c>
      <c r="O402">
        <f>IF($A402="","",IF(OR($B402="7062",$B402="706",$B402="708"),$N402,IF($B402="6231",1+$G402,IF($B402="6236",1+$H402,IF(OR($B402="621",$B402="604",$B402="6063"),$N402*(1-$L402),IF(OR($B402="6411",$B402="6413",$B402="6414",$B402="645"),(1+$J402)*(1+$K402),IF(OR($B402="613",$B402="615",$B402="616",$B402="6226",$B402="625",$B402="626",$B402="6281"),(1+$I402)*(1-$L402)*(1+$M402),IF(OR($B402="6331",$B402="63511",$B402="6333"),(1+$I402)*(1-$L402),IF($B402="6811",1+$I402,1)))))))))</f>
        <v/>
      </c>
      <c r="P402">
        <f>IF($A402="","",IF($E402=1,$F402*$O402,PNL!G402))</f>
        <v/>
      </c>
      <c r="T402">
        <f>IF($A402="","",IF($E402=1,IF(OR($B402="7062",$B402="706",$B402="708"),$P402,IF(AND(LEFT($B402,1)="6",$B402&lt;&gt;"6811"),-$P402,0)),0))</f>
        <v/>
      </c>
    </row>
    <row r="403">
      <c r="A403">
        <f>IF(PNL!A403="","",PNL!A403)</f>
        <v/>
      </c>
      <c r="B403">
        <f>IF(PNL!B403="","",PNL!B403)</f>
        <v/>
      </c>
      <c r="C403">
        <f>IF(PNL!C403="","",PNL!C403)</f>
        <v/>
      </c>
      <c r="D403">
        <f>IF(PNL!D403="","",PNL!D403)</f>
        <v/>
      </c>
      <c r="E403">
        <f>IF($A403="","",IF(AND($C403="2027",OR($D403="V01",$D403="V02",$D403="V03")),1,0))</f>
        <v/>
      </c>
      <c r="F403">
        <f>IF($A403="","",IF($E403=1,SUMIFS(Comptabilité!$F$1:$F$675,Comptabilité!$A$1:$A$675,$A403,Comptabilité!$B$1:$B$675,$B403,Comptabilité!$C$1:$C$675,"2026"),0))</f>
        <v/>
      </c>
      <c r="G403">
        <f>IF($A403="","",IF($D403="V01",Cadrage!$C$22,IF($D403="V02",Cadrage!$D$22,Cadrage!$E$22)))</f>
        <v/>
      </c>
      <c r="H403">
        <f>IF($A403="","",IF($D403="V01",Cadrage!$C$23,IF($D403="V02",Cadrage!$D$23,Cadrage!$E$23)))</f>
        <v/>
      </c>
      <c r="I403">
        <f>IF($A403="","",IF($D403="V01",Cadrage!$C$31,IF($D403="V02",Cadrage!$D$31,Cadrage!$E$31)))</f>
        <v/>
      </c>
      <c r="J403">
        <f>IF($A403="","",IF($D403="V01",Cadrage!$C$32,IF($D403="V02",Cadrage!$D$32,Cadrage!$E$32)))</f>
        <v/>
      </c>
      <c r="K403">
        <f>IF($A403="","",IF($D403="V01",Cadrage!$C$33,IF($D403="V02",Cadrage!$D$33,Cadrage!$E$33)))</f>
        <v/>
      </c>
      <c r="L403">
        <f>IF($A403="","",IF($D403="V01",Cadrage!$C$34,IF($D403="V02",Cadrage!$D$34,Cadrage!$E$34)))</f>
        <v/>
      </c>
      <c r="M403">
        <f>IF($A403="","",IF($D403="V01",Cadrage!$C$35,IF($D403="V02",Cadrage!$D$35,Cadrage!$E$35)))</f>
        <v/>
      </c>
      <c r="N403">
        <f>IF($A403="","",IF($D403="V01",$R$2,IF($D403="V02",$R$3,$R$4)))</f>
        <v/>
      </c>
      <c r="O403">
        <f>IF($A403="","",IF(OR($B403="7062",$B403="706",$B403="708"),$N403,IF($B403="6231",1+$G403,IF($B403="6236",1+$H403,IF(OR($B403="621",$B403="604",$B403="6063"),$N403*(1-$L403),IF(OR($B403="6411",$B403="6413",$B403="6414",$B403="645"),(1+$J403)*(1+$K403),IF(OR($B403="613",$B403="615",$B403="616",$B403="6226",$B403="625",$B403="626",$B403="6281"),(1+$I403)*(1-$L403)*(1+$M403),IF(OR($B403="6331",$B403="63511",$B403="6333"),(1+$I403)*(1-$L403),IF($B403="6811",1+$I403,1)))))))))</f>
        <v/>
      </c>
      <c r="P403">
        <f>IF($A403="","",IF($E403=1,$F403*$O403,PNL!G403))</f>
        <v/>
      </c>
      <c r="T403">
        <f>IF($A403="","",IF($E403=1,IF(OR($B403="7062",$B403="706",$B403="708"),$P403,IF(AND(LEFT($B403,1)="6",$B403&lt;&gt;"6811"),-$P403,0)),0))</f>
        <v/>
      </c>
    </row>
    <row r="404">
      <c r="A404">
        <f>IF(PNL!A404="","",PNL!A404)</f>
        <v/>
      </c>
      <c r="B404">
        <f>IF(PNL!B404="","",PNL!B404)</f>
        <v/>
      </c>
      <c r="C404">
        <f>IF(PNL!C404="","",PNL!C404)</f>
        <v/>
      </c>
      <c r="D404">
        <f>IF(PNL!D404="","",PNL!D404)</f>
        <v/>
      </c>
      <c r="E404">
        <f>IF($A404="","",IF(AND($C404="2027",OR($D404="V01",$D404="V02",$D404="V03")),1,0))</f>
        <v/>
      </c>
      <c r="F404">
        <f>IF($A404="","",IF($E404=1,SUMIFS(Comptabilité!$F$1:$F$675,Comptabilité!$A$1:$A$675,$A404,Comptabilité!$B$1:$B$675,$B404,Comptabilité!$C$1:$C$675,"2026"),0))</f>
        <v/>
      </c>
      <c r="G404">
        <f>IF($A404="","",IF($D404="V01",Cadrage!$C$22,IF($D404="V02",Cadrage!$D$22,Cadrage!$E$22)))</f>
        <v/>
      </c>
      <c r="H404">
        <f>IF($A404="","",IF($D404="V01",Cadrage!$C$23,IF($D404="V02",Cadrage!$D$23,Cadrage!$E$23)))</f>
        <v/>
      </c>
      <c r="I404">
        <f>IF($A404="","",IF($D404="V01",Cadrage!$C$31,IF($D404="V02",Cadrage!$D$31,Cadrage!$E$31)))</f>
        <v/>
      </c>
      <c r="J404">
        <f>IF($A404="","",IF($D404="V01",Cadrage!$C$32,IF($D404="V02",Cadrage!$D$32,Cadrage!$E$32)))</f>
        <v/>
      </c>
      <c r="K404">
        <f>IF($A404="","",IF($D404="V01",Cadrage!$C$33,IF($D404="V02",Cadrage!$D$33,Cadrage!$E$33)))</f>
        <v/>
      </c>
      <c r="L404">
        <f>IF($A404="","",IF($D404="V01",Cadrage!$C$34,IF($D404="V02",Cadrage!$D$34,Cadrage!$E$34)))</f>
        <v/>
      </c>
      <c r="M404">
        <f>IF($A404="","",IF($D404="V01",Cadrage!$C$35,IF($D404="V02",Cadrage!$D$35,Cadrage!$E$35)))</f>
        <v/>
      </c>
      <c r="N404">
        <f>IF($A404="","",IF($D404="V01",$R$2,IF($D404="V02",$R$3,$R$4)))</f>
        <v/>
      </c>
      <c r="O404">
        <f>IF($A404="","",IF(OR($B404="7062",$B404="706",$B404="708"),$N404,IF($B404="6231",1+$G404,IF($B404="6236",1+$H404,IF(OR($B404="621",$B404="604",$B404="6063"),$N404*(1-$L404),IF(OR($B404="6411",$B404="6413",$B404="6414",$B404="645"),(1+$J404)*(1+$K404),IF(OR($B404="613",$B404="615",$B404="616",$B404="6226",$B404="625",$B404="626",$B404="6281"),(1+$I404)*(1-$L404)*(1+$M404),IF(OR($B404="6331",$B404="63511",$B404="6333"),(1+$I404)*(1-$L404),IF($B404="6811",1+$I404,1)))))))))</f>
        <v/>
      </c>
      <c r="P404">
        <f>IF($A404="","",IF($E404=1,$F404*$O404,PNL!G404))</f>
        <v/>
      </c>
      <c r="T404">
        <f>IF($A404="","",IF($E404=1,IF(OR($B404="7062",$B404="706",$B404="708"),$P404,IF(AND(LEFT($B404,1)="6",$B404&lt;&gt;"6811"),-$P404,0)),0))</f>
        <v/>
      </c>
    </row>
    <row r="405">
      <c r="A405">
        <f>IF(PNL!A405="","",PNL!A405)</f>
        <v/>
      </c>
      <c r="B405">
        <f>IF(PNL!B405="","",PNL!B405)</f>
        <v/>
      </c>
      <c r="C405">
        <f>IF(PNL!C405="","",PNL!C405)</f>
        <v/>
      </c>
      <c r="D405">
        <f>IF(PNL!D405="","",PNL!D405)</f>
        <v/>
      </c>
      <c r="E405">
        <f>IF($A405="","",IF(AND($C405="2027",OR($D405="V01",$D405="V02",$D405="V03")),1,0))</f>
        <v/>
      </c>
      <c r="F405">
        <f>IF($A405="","",IF($E405=1,SUMIFS(Comptabilité!$F$1:$F$675,Comptabilité!$A$1:$A$675,$A405,Comptabilité!$B$1:$B$675,$B405,Comptabilité!$C$1:$C$675,"2026"),0))</f>
        <v/>
      </c>
      <c r="G405">
        <f>IF($A405="","",IF($D405="V01",Cadrage!$C$22,IF($D405="V02",Cadrage!$D$22,Cadrage!$E$22)))</f>
        <v/>
      </c>
      <c r="H405">
        <f>IF($A405="","",IF($D405="V01",Cadrage!$C$23,IF($D405="V02",Cadrage!$D$23,Cadrage!$E$23)))</f>
        <v/>
      </c>
      <c r="I405">
        <f>IF($A405="","",IF($D405="V01",Cadrage!$C$31,IF($D405="V02",Cadrage!$D$31,Cadrage!$E$31)))</f>
        <v/>
      </c>
      <c r="J405">
        <f>IF($A405="","",IF($D405="V01",Cadrage!$C$32,IF($D405="V02",Cadrage!$D$32,Cadrage!$E$32)))</f>
        <v/>
      </c>
      <c r="K405">
        <f>IF($A405="","",IF($D405="V01",Cadrage!$C$33,IF($D405="V02",Cadrage!$D$33,Cadrage!$E$33)))</f>
        <v/>
      </c>
      <c r="L405">
        <f>IF($A405="","",IF($D405="V01",Cadrage!$C$34,IF($D405="V02",Cadrage!$D$34,Cadrage!$E$34)))</f>
        <v/>
      </c>
      <c r="M405">
        <f>IF($A405="","",IF($D405="V01",Cadrage!$C$35,IF($D405="V02",Cadrage!$D$35,Cadrage!$E$35)))</f>
        <v/>
      </c>
      <c r="N405">
        <f>IF($A405="","",IF($D405="V01",$R$2,IF($D405="V02",$R$3,$R$4)))</f>
        <v/>
      </c>
      <c r="O405">
        <f>IF($A405="","",IF(OR($B405="7062",$B405="706",$B405="708"),$N405,IF($B405="6231",1+$G405,IF($B405="6236",1+$H405,IF(OR($B405="621",$B405="604",$B405="6063"),$N405*(1-$L405),IF(OR($B405="6411",$B405="6413",$B405="6414",$B405="645"),(1+$J405)*(1+$K405),IF(OR($B405="613",$B405="615",$B405="616",$B405="6226",$B405="625",$B405="626",$B405="6281"),(1+$I405)*(1-$L405)*(1+$M405),IF(OR($B405="6331",$B405="63511",$B405="6333"),(1+$I405)*(1-$L405),IF($B405="6811",1+$I405,1)))))))))</f>
        <v/>
      </c>
      <c r="P405">
        <f>IF($A405="","",IF($E405=1,$F405*$O405,PNL!G405))</f>
        <v/>
      </c>
      <c r="T405">
        <f>IF($A405="","",IF($E405=1,IF(OR($B405="7062",$B405="706",$B405="708"),$P405,IF(AND(LEFT($B405,1)="6",$B405&lt;&gt;"6811"),-$P405,0)),0))</f>
        <v/>
      </c>
    </row>
    <row r="406">
      <c r="A406">
        <f>IF(PNL!A406="","",PNL!A406)</f>
        <v/>
      </c>
      <c r="B406">
        <f>IF(PNL!B406="","",PNL!B406)</f>
        <v/>
      </c>
      <c r="C406">
        <f>IF(PNL!C406="","",PNL!C406)</f>
        <v/>
      </c>
      <c r="D406">
        <f>IF(PNL!D406="","",PNL!D406)</f>
        <v/>
      </c>
      <c r="E406">
        <f>IF($A406="","",IF(AND($C406="2027",OR($D406="V01",$D406="V02",$D406="V03")),1,0))</f>
        <v/>
      </c>
      <c r="F406">
        <f>IF($A406="","",IF($E406=1,SUMIFS(Comptabilité!$F$1:$F$675,Comptabilité!$A$1:$A$675,$A406,Comptabilité!$B$1:$B$675,$B406,Comptabilité!$C$1:$C$675,"2026"),0))</f>
        <v/>
      </c>
      <c r="G406">
        <f>IF($A406="","",IF($D406="V01",Cadrage!$C$22,IF($D406="V02",Cadrage!$D$22,Cadrage!$E$22)))</f>
        <v/>
      </c>
      <c r="H406">
        <f>IF($A406="","",IF($D406="V01",Cadrage!$C$23,IF($D406="V02",Cadrage!$D$23,Cadrage!$E$23)))</f>
        <v/>
      </c>
      <c r="I406">
        <f>IF($A406="","",IF($D406="V01",Cadrage!$C$31,IF($D406="V02",Cadrage!$D$31,Cadrage!$E$31)))</f>
        <v/>
      </c>
      <c r="J406">
        <f>IF($A406="","",IF($D406="V01",Cadrage!$C$32,IF($D406="V02",Cadrage!$D$32,Cadrage!$E$32)))</f>
        <v/>
      </c>
      <c r="K406">
        <f>IF($A406="","",IF($D406="V01",Cadrage!$C$33,IF($D406="V02",Cadrage!$D$33,Cadrage!$E$33)))</f>
        <v/>
      </c>
      <c r="L406">
        <f>IF($A406="","",IF($D406="V01",Cadrage!$C$34,IF($D406="V02",Cadrage!$D$34,Cadrage!$E$34)))</f>
        <v/>
      </c>
      <c r="M406">
        <f>IF($A406="","",IF($D406="V01",Cadrage!$C$35,IF($D406="V02",Cadrage!$D$35,Cadrage!$E$35)))</f>
        <v/>
      </c>
      <c r="N406">
        <f>IF($A406="","",IF($D406="V01",$R$2,IF($D406="V02",$R$3,$R$4)))</f>
        <v/>
      </c>
      <c r="O406">
        <f>IF($A406="","",IF(OR($B406="7062",$B406="706",$B406="708"),$N406,IF($B406="6231",1+$G406,IF($B406="6236",1+$H406,IF(OR($B406="621",$B406="604",$B406="6063"),$N406*(1-$L406),IF(OR($B406="6411",$B406="6413",$B406="6414",$B406="645"),(1+$J406)*(1+$K406),IF(OR($B406="613",$B406="615",$B406="616",$B406="6226",$B406="625",$B406="626",$B406="6281"),(1+$I406)*(1-$L406)*(1+$M406),IF(OR($B406="6331",$B406="63511",$B406="6333"),(1+$I406)*(1-$L406),IF($B406="6811",1+$I406,1)))))))))</f>
        <v/>
      </c>
      <c r="P406">
        <f>IF($A406="","",IF($E406=1,$F406*$O406,PNL!G406))</f>
        <v/>
      </c>
      <c r="T406">
        <f>IF($A406="","",IF($E406=1,IF(OR($B406="7062",$B406="706",$B406="708"),$P406,IF(AND(LEFT($B406,1)="6",$B406&lt;&gt;"6811"),-$P406,0)),0))</f>
        <v/>
      </c>
    </row>
    <row r="407">
      <c r="A407">
        <f>IF(PNL!A407="","",PNL!A407)</f>
        <v/>
      </c>
      <c r="B407">
        <f>IF(PNL!B407="","",PNL!B407)</f>
        <v/>
      </c>
      <c r="C407">
        <f>IF(PNL!C407="","",PNL!C407)</f>
        <v/>
      </c>
      <c r="D407">
        <f>IF(PNL!D407="","",PNL!D407)</f>
        <v/>
      </c>
      <c r="E407">
        <f>IF($A407="","",IF(AND($C407="2027",OR($D407="V01",$D407="V02",$D407="V03")),1,0))</f>
        <v/>
      </c>
      <c r="F407">
        <f>IF($A407="","",IF($E407=1,SUMIFS(Comptabilité!$F$1:$F$675,Comptabilité!$A$1:$A$675,$A407,Comptabilité!$B$1:$B$675,$B407,Comptabilité!$C$1:$C$675,"2026"),0))</f>
        <v/>
      </c>
      <c r="G407">
        <f>IF($A407="","",IF($D407="V01",Cadrage!$C$22,IF($D407="V02",Cadrage!$D$22,Cadrage!$E$22)))</f>
        <v/>
      </c>
      <c r="H407">
        <f>IF($A407="","",IF($D407="V01",Cadrage!$C$23,IF($D407="V02",Cadrage!$D$23,Cadrage!$E$23)))</f>
        <v/>
      </c>
      <c r="I407">
        <f>IF($A407="","",IF($D407="V01",Cadrage!$C$31,IF($D407="V02",Cadrage!$D$31,Cadrage!$E$31)))</f>
        <v/>
      </c>
      <c r="J407">
        <f>IF($A407="","",IF($D407="V01",Cadrage!$C$32,IF($D407="V02",Cadrage!$D$32,Cadrage!$E$32)))</f>
        <v/>
      </c>
      <c r="K407">
        <f>IF($A407="","",IF($D407="V01",Cadrage!$C$33,IF($D407="V02",Cadrage!$D$33,Cadrage!$E$33)))</f>
        <v/>
      </c>
      <c r="L407">
        <f>IF($A407="","",IF($D407="V01",Cadrage!$C$34,IF($D407="V02",Cadrage!$D$34,Cadrage!$E$34)))</f>
        <v/>
      </c>
      <c r="M407">
        <f>IF($A407="","",IF($D407="V01",Cadrage!$C$35,IF($D407="V02",Cadrage!$D$35,Cadrage!$E$35)))</f>
        <v/>
      </c>
      <c r="N407">
        <f>IF($A407="","",IF($D407="V01",$R$2,IF($D407="V02",$R$3,$R$4)))</f>
        <v/>
      </c>
      <c r="O407">
        <f>IF($A407="","",IF(OR($B407="7062",$B407="706",$B407="708"),$N407,IF($B407="6231",1+$G407,IF($B407="6236",1+$H407,IF(OR($B407="621",$B407="604",$B407="6063"),$N407*(1-$L407),IF(OR($B407="6411",$B407="6413",$B407="6414",$B407="645"),(1+$J407)*(1+$K407),IF(OR($B407="613",$B407="615",$B407="616",$B407="6226",$B407="625",$B407="626",$B407="6281"),(1+$I407)*(1-$L407)*(1+$M407),IF(OR($B407="6331",$B407="63511",$B407="6333"),(1+$I407)*(1-$L407),IF($B407="6811",1+$I407,1)))))))))</f>
        <v/>
      </c>
      <c r="P407">
        <f>IF($A407="","",IF($E407=1,$F407*$O407,PNL!G407))</f>
        <v/>
      </c>
      <c r="T407">
        <f>IF($A407="","",IF($E407=1,IF(OR($B407="7062",$B407="706",$B407="708"),$P407,IF(AND(LEFT($B407,1)="6",$B407&lt;&gt;"6811"),-$P407,0)),0))</f>
        <v/>
      </c>
    </row>
    <row r="408">
      <c r="A408">
        <f>IF(PNL!A408="","",PNL!A408)</f>
        <v/>
      </c>
      <c r="B408">
        <f>IF(PNL!B408="","",PNL!B408)</f>
        <v/>
      </c>
      <c r="C408">
        <f>IF(PNL!C408="","",PNL!C408)</f>
        <v/>
      </c>
      <c r="D408">
        <f>IF(PNL!D408="","",PNL!D408)</f>
        <v/>
      </c>
      <c r="E408">
        <f>IF($A408="","",IF(AND($C408="2027",OR($D408="V01",$D408="V02",$D408="V03")),1,0))</f>
        <v/>
      </c>
      <c r="F408">
        <f>IF($A408="","",IF($E408=1,SUMIFS(Comptabilité!$F$1:$F$675,Comptabilité!$A$1:$A$675,$A408,Comptabilité!$B$1:$B$675,$B408,Comptabilité!$C$1:$C$675,"2026"),0))</f>
        <v/>
      </c>
      <c r="G408">
        <f>IF($A408="","",IF($D408="V01",Cadrage!$C$22,IF($D408="V02",Cadrage!$D$22,Cadrage!$E$22)))</f>
        <v/>
      </c>
      <c r="H408">
        <f>IF($A408="","",IF($D408="V01",Cadrage!$C$23,IF($D408="V02",Cadrage!$D$23,Cadrage!$E$23)))</f>
        <v/>
      </c>
      <c r="I408">
        <f>IF($A408="","",IF($D408="V01",Cadrage!$C$31,IF($D408="V02",Cadrage!$D$31,Cadrage!$E$31)))</f>
        <v/>
      </c>
      <c r="J408">
        <f>IF($A408="","",IF($D408="V01",Cadrage!$C$32,IF($D408="V02",Cadrage!$D$32,Cadrage!$E$32)))</f>
        <v/>
      </c>
      <c r="K408">
        <f>IF($A408="","",IF($D408="V01",Cadrage!$C$33,IF($D408="V02",Cadrage!$D$33,Cadrage!$E$33)))</f>
        <v/>
      </c>
      <c r="L408">
        <f>IF($A408="","",IF($D408="V01",Cadrage!$C$34,IF($D408="V02",Cadrage!$D$34,Cadrage!$E$34)))</f>
        <v/>
      </c>
      <c r="M408">
        <f>IF($A408="","",IF($D408="V01",Cadrage!$C$35,IF($D408="V02",Cadrage!$D$35,Cadrage!$E$35)))</f>
        <v/>
      </c>
      <c r="N408">
        <f>IF($A408="","",IF($D408="V01",$R$2,IF($D408="V02",$R$3,$R$4)))</f>
        <v/>
      </c>
      <c r="O408">
        <f>IF($A408="","",IF(OR($B408="7062",$B408="706",$B408="708"),$N408,IF($B408="6231",1+$G408,IF($B408="6236",1+$H408,IF(OR($B408="621",$B408="604",$B408="6063"),$N408*(1-$L408),IF(OR($B408="6411",$B408="6413",$B408="6414",$B408="645"),(1+$J408)*(1+$K408),IF(OR($B408="613",$B408="615",$B408="616",$B408="6226",$B408="625",$B408="626",$B408="6281"),(1+$I408)*(1-$L408)*(1+$M408),IF(OR($B408="6331",$B408="63511",$B408="6333"),(1+$I408)*(1-$L408),IF($B408="6811",1+$I408,1)))))))))</f>
        <v/>
      </c>
      <c r="P408">
        <f>IF($A408="","",IF($E408=1,$F408*$O408,PNL!G408))</f>
        <v/>
      </c>
      <c r="T408">
        <f>IF($A408="","",IF($E408=1,IF(OR($B408="7062",$B408="706",$B408="708"),$P408,IF(AND(LEFT($B408,1)="6",$B408&lt;&gt;"6811"),-$P408,0)),0))</f>
        <v/>
      </c>
    </row>
    <row r="409">
      <c r="A409">
        <f>IF(PNL!A409="","",PNL!A409)</f>
        <v/>
      </c>
      <c r="B409">
        <f>IF(PNL!B409="","",PNL!B409)</f>
        <v/>
      </c>
      <c r="C409">
        <f>IF(PNL!C409="","",PNL!C409)</f>
        <v/>
      </c>
      <c r="D409">
        <f>IF(PNL!D409="","",PNL!D409)</f>
        <v/>
      </c>
      <c r="E409">
        <f>IF($A409="","",IF(AND($C409="2027",OR($D409="V01",$D409="V02",$D409="V03")),1,0))</f>
        <v/>
      </c>
      <c r="F409">
        <f>IF($A409="","",IF($E409=1,SUMIFS(Comptabilité!$F$1:$F$675,Comptabilité!$A$1:$A$675,$A409,Comptabilité!$B$1:$B$675,$B409,Comptabilité!$C$1:$C$675,"2026"),0))</f>
        <v/>
      </c>
      <c r="G409">
        <f>IF($A409="","",IF($D409="V01",Cadrage!$C$22,IF($D409="V02",Cadrage!$D$22,Cadrage!$E$22)))</f>
        <v/>
      </c>
      <c r="H409">
        <f>IF($A409="","",IF($D409="V01",Cadrage!$C$23,IF($D409="V02",Cadrage!$D$23,Cadrage!$E$23)))</f>
        <v/>
      </c>
      <c r="I409">
        <f>IF($A409="","",IF($D409="V01",Cadrage!$C$31,IF($D409="V02",Cadrage!$D$31,Cadrage!$E$31)))</f>
        <v/>
      </c>
      <c r="J409">
        <f>IF($A409="","",IF($D409="V01",Cadrage!$C$32,IF($D409="V02",Cadrage!$D$32,Cadrage!$E$32)))</f>
        <v/>
      </c>
      <c r="K409">
        <f>IF($A409="","",IF($D409="V01",Cadrage!$C$33,IF($D409="V02",Cadrage!$D$33,Cadrage!$E$33)))</f>
        <v/>
      </c>
      <c r="L409">
        <f>IF($A409="","",IF($D409="V01",Cadrage!$C$34,IF($D409="V02",Cadrage!$D$34,Cadrage!$E$34)))</f>
        <v/>
      </c>
      <c r="M409">
        <f>IF($A409="","",IF($D409="V01",Cadrage!$C$35,IF($D409="V02",Cadrage!$D$35,Cadrage!$E$35)))</f>
        <v/>
      </c>
      <c r="N409">
        <f>IF($A409="","",IF($D409="V01",$R$2,IF($D409="V02",$R$3,$R$4)))</f>
        <v/>
      </c>
      <c r="O409">
        <f>IF($A409="","",IF(OR($B409="7062",$B409="706",$B409="708"),$N409,IF($B409="6231",1+$G409,IF($B409="6236",1+$H409,IF(OR($B409="621",$B409="604",$B409="6063"),$N409*(1-$L409),IF(OR($B409="6411",$B409="6413",$B409="6414",$B409="645"),(1+$J409)*(1+$K409),IF(OR($B409="613",$B409="615",$B409="616",$B409="6226",$B409="625",$B409="626",$B409="6281"),(1+$I409)*(1-$L409)*(1+$M409),IF(OR($B409="6331",$B409="63511",$B409="6333"),(1+$I409)*(1-$L409),IF($B409="6811",1+$I409,1)))))))))</f>
        <v/>
      </c>
      <c r="P409">
        <f>IF($A409="","",IF($E409=1,$F409*$O409,PNL!G409))</f>
        <v/>
      </c>
      <c r="T409">
        <f>IF($A409="","",IF($E409=1,IF(OR($B409="7062",$B409="706",$B409="708"),$P409,IF(AND(LEFT($B409,1)="6",$B409&lt;&gt;"6811"),-$P409,0)),0))</f>
        <v/>
      </c>
    </row>
    <row r="410">
      <c r="A410">
        <f>IF(PNL!A410="","",PNL!A410)</f>
        <v/>
      </c>
      <c r="B410">
        <f>IF(PNL!B410="","",PNL!B410)</f>
        <v/>
      </c>
      <c r="C410">
        <f>IF(PNL!C410="","",PNL!C410)</f>
        <v/>
      </c>
      <c r="D410">
        <f>IF(PNL!D410="","",PNL!D410)</f>
        <v/>
      </c>
      <c r="E410">
        <f>IF($A410="","",IF(AND($C410="2027",OR($D410="V01",$D410="V02",$D410="V03")),1,0))</f>
        <v/>
      </c>
      <c r="F410">
        <f>IF($A410="","",IF($E410=1,SUMIFS(Comptabilité!$F$1:$F$675,Comptabilité!$A$1:$A$675,$A410,Comptabilité!$B$1:$B$675,$B410,Comptabilité!$C$1:$C$675,"2026"),0))</f>
        <v/>
      </c>
      <c r="G410">
        <f>IF($A410="","",IF($D410="V01",Cadrage!$C$22,IF($D410="V02",Cadrage!$D$22,Cadrage!$E$22)))</f>
        <v/>
      </c>
      <c r="H410">
        <f>IF($A410="","",IF($D410="V01",Cadrage!$C$23,IF($D410="V02",Cadrage!$D$23,Cadrage!$E$23)))</f>
        <v/>
      </c>
      <c r="I410">
        <f>IF($A410="","",IF($D410="V01",Cadrage!$C$31,IF($D410="V02",Cadrage!$D$31,Cadrage!$E$31)))</f>
        <v/>
      </c>
      <c r="J410">
        <f>IF($A410="","",IF($D410="V01",Cadrage!$C$32,IF($D410="V02",Cadrage!$D$32,Cadrage!$E$32)))</f>
        <v/>
      </c>
      <c r="K410">
        <f>IF($A410="","",IF($D410="V01",Cadrage!$C$33,IF($D410="V02",Cadrage!$D$33,Cadrage!$E$33)))</f>
        <v/>
      </c>
      <c r="L410">
        <f>IF($A410="","",IF($D410="V01",Cadrage!$C$34,IF($D410="V02",Cadrage!$D$34,Cadrage!$E$34)))</f>
        <v/>
      </c>
      <c r="M410">
        <f>IF($A410="","",IF($D410="V01",Cadrage!$C$35,IF($D410="V02",Cadrage!$D$35,Cadrage!$E$35)))</f>
        <v/>
      </c>
      <c r="N410">
        <f>IF($A410="","",IF($D410="V01",$R$2,IF($D410="V02",$R$3,$R$4)))</f>
        <v/>
      </c>
      <c r="O410">
        <f>IF($A410="","",IF(OR($B410="7062",$B410="706",$B410="708"),$N410,IF($B410="6231",1+$G410,IF($B410="6236",1+$H410,IF(OR($B410="621",$B410="604",$B410="6063"),$N410*(1-$L410),IF(OR($B410="6411",$B410="6413",$B410="6414",$B410="645"),(1+$J410)*(1+$K410),IF(OR($B410="613",$B410="615",$B410="616",$B410="6226",$B410="625",$B410="626",$B410="6281"),(1+$I410)*(1-$L410)*(1+$M410),IF(OR($B410="6331",$B410="63511",$B410="6333"),(1+$I410)*(1-$L410),IF($B410="6811",1+$I410,1)))))))))</f>
        <v/>
      </c>
      <c r="P410">
        <f>IF($A410="","",IF($E410=1,$F410*$O410,PNL!G410))</f>
        <v/>
      </c>
      <c r="T410">
        <f>IF($A410="","",IF($E410=1,IF(OR($B410="7062",$B410="706",$B410="708"),$P410,IF(AND(LEFT($B410,1)="6",$B410&lt;&gt;"6811"),-$P410,0)),0))</f>
        <v/>
      </c>
    </row>
    <row r="411">
      <c r="A411">
        <f>IF(PNL!A411="","",PNL!A411)</f>
        <v/>
      </c>
      <c r="B411">
        <f>IF(PNL!B411="","",PNL!B411)</f>
        <v/>
      </c>
      <c r="C411">
        <f>IF(PNL!C411="","",PNL!C411)</f>
        <v/>
      </c>
      <c r="D411">
        <f>IF(PNL!D411="","",PNL!D411)</f>
        <v/>
      </c>
      <c r="E411">
        <f>IF($A411="","",IF(AND($C411="2027",OR($D411="V01",$D411="V02",$D411="V03")),1,0))</f>
        <v/>
      </c>
      <c r="F411">
        <f>IF($A411="","",IF($E411=1,SUMIFS(Comptabilité!$F$1:$F$675,Comptabilité!$A$1:$A$675,$A411,Comptabilité!$B$1:$B$675,$B411,Comptabilité!$C$1:$C$675,"2026"),0))</f>
        <v/>
      </c>
      <c r="G411">
        <f>IF($A411="","",IF($D411="V01",Cadrage!$C$22,IF($D411="V02",Cadrage!$D$22,Cadrage!$E$22)))</f>
        <v/>
      </c>
      <c r="H411">
        <f>IF($A411="","",IF($D411="V01",Cadrage!$C$23,IF($D411="V02",Cadrage!$D$23,Cadrage!$E$23)))</f>
        <v/>
      </c>
      <c r="I411">
        <f>IF($A411="","",IF($D411="V01",Cadrage!$C$31,IF($D411="V02",Cadrage!$D$31,Cadrage!$E$31)))</f>
        <v/>
      </c>
      <c r="J411">
        <f>IF($A411="","",IF($D411="V01",Cadrage!$C$32,IF($D411="V02",Cadrage!$D$32,Cadrage!$E$32)))</f>
        <v/>
      </c>
      <c r="K411">
        <f>IF($A411="","",IF($D411="V01",Cadrage!$C$33,IF($D411="V02",Cadrage!$D$33,Cadrage!$E$33)))</f>
        <v/>
      </c>
      <c r="L411">
        <f>IF($A411="","",IF($D411="V01",Cadrage!$C$34,IF($D411="V02",Cadrage!$D$34,Cadrage!$E$34)))</f>
        <v/>
      </c>
      <c r="M411">
        <f>IF($A411="","",IF($D411="V01",Cadrage!$C$35,IF($D411="V02",Cadrage!$D$35,Cadrage!$E$35)))</f>
        <v/>
      </c>
      <c r="N411">
        <f>IF($A411="","",IF($D411="V01",$R$2,IF($D411="V02",$R$3,$R$4)))</f>
        <v/>
      </c>
      <c r="O411">
        <f>IF($A411="","",IF(OR($B411="7062",$B411="706",$B411="708"),$N411,IF($B411="6231",1+$G411,IF($B411="6236",1+$H411,IF(OR($B411="621",$B411="604",$B411="6063"),$N411*(1-$L411),IF(OR($B411="6411",$B411="6413",$B411="6414",$B411="645"),(1+$J411)*(1+$K411),IF(OR($B411="613",$B411="615",$B411="616",$B411="6226",$B411="625",$B411="626",$B411="6281"),(1+$I411)*(1-$L411)*(1+$M411),IF(OR($B411="6331",$B411="63511",$B411="6333"),(1+$I411)*(1-$L411),IF($B411="6811",1+$I411,1)))))))))</f>
        <v/>
      </c>
      <c r="P411">
        <f>IF($A411="","",IF($E411=1,$F411*$O411,PNL!G411))</f>
        <v/>
      </c>
      <c r="T411">
        <f>IF($A411="","",IF($E411=1,IF(OR($B411="7062",$B411="706",$B411="708"),$P411,IF(AND(LEFT($B411,1)="6",$B411&lt;&gt;"6811"),-$P411,0)),0))</f>
        <v/>
      </c>
    </row>
    <row r="412">
      <c r="A412">
        <f>IF(PNL!A412="","",PNL!A412)</f>
        <v/>
      </c>
      <c r="B412">
        <f>IF(PNL!B412="","",PNL!B412)</f>
        <v/>
      </c>
      <c r="C412">
        <f>IF(PNL!C412="","",PNL!C412)</f>
        <v/>
      </c>
      <c r="D412">
        <f>IF(PNL!D412="","",PNL!D412)</f>
        <v/>
      </c>
      <c r="E412">
        <f>IF($A412="","",IF(AND($C412="2027",OR($D412="V01",$D412="V02",$D412="V03")),1,0))</f>
        <v/>
      </c>
      <c r="F412">
        <f>IF($A412="","",IF($E412=1,SUMIFS(Comptabilité!$F$1:$F$675,Comptabilité!$A$1:$A$675,$A412,Comptabilité!$B$1:$B$675,$B412,Comptabilité!$C$1:$C$675,"2026"),0))</f>
        <v/>
      </c>
      <c r="G412">
        <f>IF($A412="","",IF($D412="V01",Cadrage!$C$22,IF($D412="V02",Cadrage!$D$22,Cadrage!$E$22)))</f>
        <v/>
      </c>
      <c r="H412">
        <f>IF($A412="","",IF($D412="V01",Cadrage!$C$23,IF($D412="V02",Cadrage!$D$23,Cadrage!$E$23)))</f>
        <v/>
      </c>
      <c r="I412">
        <f>IF($A412="","",IF($D412="V01",Cadrage!$C$31,IF($D412="V02",Cadrage!$D$31,Cadrage!$E$31)))</f>
        <v/>
      </c>
      <c r="J412">
        <f>IF($A412="","",IF($D412="V01",Cadrage!$C$32,IF($D412="V02",Cadrage!$D$32,Cadrage!$E$32)))</f>
        <v/>
      </c>
      <c r="K412">
        <f>IF($A412="","",IF($D412="V01",Cadrage!$C$33,IF($D412="V02",Cadrage!$D$33,Cadrage!$E$33)))</f>
        <v/>
      </c>
      <c r="L412">
        <f>IF($A412="","",IF($D412="V01",Cadrage!$C$34,IF($D412="V02",Cadrage!$D$34,Cadrage!$E$34)))</f>
        <v/>
      </c>
      <c r="M412">
        <f>IF($A412="","",IF($D412="V01",Cadrage!$C$35,IF($D412="V02",Cadrage!$D$35,Cadrage!$E$35)))</f>
        <v/>
      </c>
      <c r="N412">
        <f>IF($A412="","",IF($D412="V01",$R$2,IF($D412="V02",$R$3,$R$4)))</f>
        <v/>
      </c>
      <c r="O412">
        <f>IF($A412="","",IF(OR($B412="7062",$B412="706",$B412="708"),$N412,IF($B412="6231",1+$G412,IF($B412="6236",1+$H412,IF(OR($B412="621",$B412="604",$B412="6063"),$N412*(1-$L412),IF(OR($B412="6411",$B412="6413",$B412="6414",$B412="645"),(1+$J412)*(1+$K412),IF(OR($B412="613",$B412="615",$B412="616",$B412="6226",$B412="625",$B412="626",$B412="6281"),(1+$I412)*(1-$L412)*(1+$M412),IF(OR($B412="6331",$B412="63511",$B412="6333"),(1+$I412)*(1-$L412),IF($B412="6811",1+$I412,1)))))))))</f>
        <v/>
      </c>
      <c r="P412">
        <f>IF($A412="","",IF($E412=1,$F412*$O412,PNL!G412))</f>
        <v/>
      </c>
      <c r="T412">
        <f>IF($A412="","",IF($E412=1,IF(OR($B412="7062",$B412="706",$B412="708"),$P412,IF(AND(LEFT($B412,1)="6",$B412&lt;&gt;"6811"),-$P412,0)),0))</f>
        <v/>
      </c>
    </row>
    <row r="413">
      <c r="A413">
        <f>IF(PNL!A413="","",PNL!A413)</f>
        <v/>
      </c>
      <c r="B413">
        <f>IF(PNL!B413="","",PNL!B413)</f>
        <v/>
      </c>
      <c r="C413">
        <f>IF(PNL!C413="","",PNL!C413)</f>
        <v/>
      </c>
      <c r="D413">
        <f>IF(PNL!D413="","",PNL!D413)</f>
        <v/>
      </c>
      <c r="E413">
        <f>IF($A413="","",IF(AND($C413="2027",OR($D413="V01",$D413="V02",$D413="V03")),1,0))</f>
        <v/>
      </c>
      <c r="F413">
        <f>IF($A413="","",IF($E413=1,SUMIFS(Comptabilité!$F$1:$F$675,Comptabilité!$A$1:$A$675,$A413,Comptabilité!$B$1:$B$675,$B413,Comptabilité!$C$1:$C$675,"2026"),0))</f>
        <v/>
      </c>
      <c r="G413">
        <f>IF($A413="","",IF($D413="V01",Cadrage!$C$22,IF($D413="V02",Cadrage!$D$22,Cadrage!$E$22)))</f>
        <v/>
      </c>
      <c r="H413">
        <f>IF($A413="","",IF($D413="V01",Cadrage!$C$23,IF($D413="V02",Cadrage!$D$23,Cadrage!$E$23)))</f>
        <v/>
      </c>
      <c r="I413">
        <f>IF($A413="","",IF($D413="V01",Cadrage!$C$31,IF($D413="V02",Cadrage!$D$31,Cadrage!$E$31)))</f>
        <v/>
      </c>
      <c r="J413">
        <f>IF($A413="","",IF($D413="V01",Cadrage!$C$32,IF($D413="V02",Cadrage!$D$32,Cadrage!$E$32)))</f>
        <v/>
      </c>
      <c r="K413">
        <f>IF($A413="","",IF($D413="V01",Cadrage!$C$33,IF($D413="V02",Cadrage!$D$33,Cadrage!$E$33)))</f>
        <v/>
      </c>
      <c r="L413">
        <f>IF($A413="","",IF($D413="V01",Cadrage!$C$34,IF($D413="V02",Cadrage!$D$34,Cadrage!$E$34)))</f>
        <v/>
      </c>
      <c r="M413">
        <f>IF($A413="","",IF($D413="V01",Cadrage!$C$35,IF($D413="V02",Cadrage!$D$35,Cadrage!$E$35)))</f>
        <v/>
      </c>
      <c r="N413">
        <f>IF($A413="","",IF($D413="V01",$R$2,IF($D413="V02",$R$3,$R$4)))</f>
        <v/>
      </c>
      <c r="O413">
        <f>IF($A413="","",IF(OR($B413="7062",$B413="706",$B413="708"),$N413,IF($B413="6231",1+$G413,IF($B413="6236",1+$H413,IF(OR($B413="621",$B413="604",$B413="6063"),$N413*(1-$L413),IF(OR($B413="6411",$B413="6413",$B413="6414",$B413="645"),(1+$J413)*(1+$K413),IF(OR($B413="613",$B413="615",$B413="616",$B413="6226",$B413="625",$B413="626",$B413="6281"),(1+$I413)*(1-$L413)*(1+$M413),IF(OR($B413="6331",$B413="63511",$B413="6333"),(1+$I413)*(1-$L413),IF($B413="6811",1+$I413,1)))))))))</f>
        <v/>
      </c>
      <c r="P413">
        <f>IF($A413="","",IF($E413=1,$F413*$O413,PNL!G413))</f>
        <v/>
      </c>
      <c r="T413">
        <f>IF($A413="","",IF($E413=1,IF(OR($B413="7062",$B413="706",$B413="708"),$P413,IF(AND(LEFT($B413,1)="6",$B413&lt;&gt;"6811"),-$P413,0)),0))</f>
        <v/>
      </c>
    </row>
    <row r="414">
      <c r="A414">
        <f>IF(PNL!A414="","",PNL!A414)</f>
        <v/>
      </c>
      <c r="B414">
        <f>IF(PNL!B414="","",PNL!B414)</f>
        <v/>
      </c>
      <c r="C414">
        <f>IF(PNL!C414="","",PNL!C414)</f>
        <v/>
      </c>
      <c r="D414">
        <f>IF(PNL!D414="","",PNL!D414)</f>
        <v/>
      </c>
      <c r="E414">
        <f>IF($A414="","",IF(AND($C414="2027",OR($D414="V01",$D414="V02",$D414="V03")),1,0))</f>
        <v/>
      </c>
      <c r="F414">
        <f>IF($A414="","",IF($E414=1,SUMIFS(Comptabilité!$F$1:$F$675,Comptabilité!$A$1:$A$675,$A414,Comptabilité!$B$1:$B$675,$B414,Comptabilité!$C$1:$C$675,"2026"),0))</f>
        <v/>
      </c>
      <c r="G414">
        <f>IF($A414="","",IF($D414="V01",Cadrage!$C$22,IF($D414="V02",Cadrage!$D$22,Cadrage!$E$22)))</f>
        <v/>
      </c>
      <c r="H414">
        <f>IF($A414="","",IF($D414="V01",Cadrage!$C$23,IF($D414="V02",Cadrage!$D$23,Cadrage!$E$23)))</f>
        <v/>
      </c>
      <c r="I414">
        <f>IF($A414="","",IF($D414="V01",Cadrage!$C$31,IF($D414="V02",Cadrage!$D$31,Cadrage!$E$31)))</f>
        <v/>
      </c>
      <c r="J414">
        <f>IF($A414="","",IF($D414="V01",Cadrage!$C$32,IF($D414="V02",Cadrage!$D$32,Cadrage!$E$32)))</f>
        <v/>
      </c>
      <c r="K414">
        <f>IF($A414="","",IF($D414="V01",Cadrage!$C$33,IF($D414="V02",Cadrage!$D$33,Cadrage!$E$33)))</f>
        <v/>
      </c>
      <c r="L414">
        <f>IF($A414="","",IF($D414="V01",Cadrage!$C$34,IF($D414="V02",Cadrage!$D$34,Cadrage!$E$34)))</f>
        <v/>
      </c>
      <c r="M414">
        <f>IF($A414="","",IF($D414="V01",Cadrage!$C$35,IF($D414="V02",Cadrage!$D$35,Cadrage!$E$35)))</f>
        <v/>
      </c>
      <c r="N414">
        <f>IF($A414="","",IF($D414="V01",$R$2,IF($D414="V02",$R$3,$R$4)))</f>
        <v/>
      </c>
      <c r="O414">
        <f>IF($A414="","",IF(OR($B414="7062",$B414="706",$B414="708"),$N414,IF($B414="6231",1+$G414,IF($B414="6236",1+$H414,IF(OR($B414="621",$B414="604",$B414="6063"),$N414*(1-$L414),IF(OR($B414="6411",$B414="6413",$B414="6414",$B414="645"),(1+$J414)*(1+$K414),IF(OR($B414="613",$B414="615",$B414="616",$B414="6226",$B414="625",$B414="626",$B414="6281"),(1+$I414)*(1-$L414)*(1+$M414),IF(OR($B414="6331",$B414="63511",$B414="6333"),(1+$I414)*(1-$L414),IF($B414="6811",1+$I414,1)))))))))</f>
        <v/>
      </c>
      <c r="P414">
        <f>IF($A414="","",IF($E414=1,$F414*$O414,PNL!G414))</f>
        <v/>
      </c>
      <c r="T414">
        <f>IF($A414="","",IF($E414=1,IF(OR($B414="7062",$B414="706",$B414="708"),$P414,IF(AND(LEFT($B414,1)="6",$B414&lt;&gt;"6811"),-$P414,0)),0))</f>
        <v/>
      </c>
    </row>
    <row r="415">
      <c r="A415">
        <f>IF(PNL!A415="","",PNL!A415)</f>
        <v/>
      </c>
      <c r="B415">
        <f>IF(PNL!B415="","",PNL!B415)</f>
        <v/>
      </c>
      <c r="C415">
        <f>IF(PNL!C415="","",PNL!C415)</f>
        <v/>
      </c>
      <c r="D415">
        <f>IF(PNL!D415="","",PNL!D415)</f>
        <v/>
      </c>
      <c r="E415">
        <f>IF($A415="","",IF(AND($C415="2027",OR($D415="V01",$D415="V02",$D415="V03")),1,0))</f>
        <v/>
      </c>
      <c r="F415">
        <f>IF($A415="","",IF($E415=1,SUMIFS(Comptabilité!$F$1:$F$675,Comptabilité!$A$1:$A$675,$A415,Comptabilité!$B$1:$B$675,$B415,Comptabilité!$C$1:$C$675,"2026"),0))</f>
        <v/>
      </c>
      <c r="G415">
        <f>IF($A415="","",IF($D415="V01",Cadrage!$C$22,IF($D415="V02",Cadrage!$D$22,Cadrage!$E$22)))</f>
        <v/>
      </c>
      <c r="H415">
        <f>IF($A415="","",IF($D415="V01",Cadrage!$C$23,IF($D415="V02",Cadrage!$D$23,Cadrage!$E$23)))</f>
        <v/>
      </c>
      <c r="I415">
        <f>IF($A415="","",IF($D415="V01",Cadrage!$C$31,IF($D415="V02",Cadrage!$D$31,Cadrage!$E$31)))</f>
        <v/>
      </c>
      <c r="J415">
        <f>IF($A415="","",IF($D415="V01",Cadrage!$C$32,IF($D415="V02",Cadrage!$D$32,Cadrage!$E$32)))</f>
        <v/>
      </c>
      <c r="K415">
        <f>IF($A415="","",IF($D415="V01",Cadrage!$C$33,IF($D415="V02",Cadrage!$D$33,Cadrage!$E$33)))</f>
        <v/>
      </c>
      <c r="L415">
        <f>IF($A415="","",IF($D415="V01",Cadrage!$C$34,IF($D415="V02",Cadrage!$D$34,Cadrage!$E$34)))</f>
        <v/>
      </c>
      <c r="M415">
        <f>IF($A415="","",IF($D415="V01",Cadrage!$C$35,IF($D415="V02",Cadrage!$D$35,Cadrage!$E$35)))</f>
        <v/>
      </c>
      <c r="N415">
        <f>IF($A415="","",IF($D415="V01",$R$2,IF($D415="V02",$R$3,$R$4)))</f>
        <v/>
      </c>
      <c r="O415">
        <f>IF($A415="","",IF(OR($B415="7062",$B415="706",$B415="708"),$N415,IF($B415="6231",1+$G415,IF($B415="6236",1+$H415,IF(OR($B415="621",$B415="604",$B415="6063"),$N415*(1-$L415),IF(OR($B415="6411",$B415="6413",$B415="6414",$B415="645"),(1+$J415)*(1+$K415),IF(OR($B415="613",$B415="615",$B415="616",$B415="6226",$B415="625",$B415="626",$B415="6281"),(1+$I415)*(1-$L415)*(1+$M415),IF(OR($B415="6331",$B415="63511",$B415="6333"),(1+$I415)*(1-$L415),IF($B415="6811",1+$I415,1)))))))))</f>
        <v/>
      </c>
      <c r="P415">
        <f>IF($A415="","",IF($E415=1,$F415*$O415,PNL!G415))</f>
        <v/>
      </c>
      <c r="T415">
        <f>IF($A415="","",IF($E415=1,IF(OR($B415="7062",$B415="706",$B415="708"),$P415,IF(AND(LEFT($B415,1)="6",$B415&lt;&gt;"6811"),-$P415,0)),0))</f>
        <v/>
      </c>
    </row>
    <row r="416">
      <c r="A416">
        <f>IF(PNL!A416="","",PNL!A416)</f>
        <v/>
      </c>
      <c r="B416">
        <f>IF(PNL!B416="","",PNL!B416)</f>
        <v/>
      </c>
      <c r="C416">
        <f>IF(PNL!C416="","",PNL!C416)</f>
        <v/>
      </c>
      <c r="D416">
        <f>IF(PNL!D416="","",PNL!D416)</f>
        <v/>
      </c>
      <c r="E416">
        <f>IF($A416="","",IF(AND($C416="2027",OR($D416="V01",$D416="V02",$D416="V03")),1,0))</f>
        <v/>
      </c>
      <c r="F416">
        <f>IF($A416="","",IF($E416=1,SUMIFS(Comptabilité!$F$1:$F$675,Comptabilité!$A$1:$A$675,$A416,Comptabilité!$B$1:$B$675,$B416,Comptabilité!$C$1:$C$675,"2026"),0))</f>
        <v/>
      </c>
      <c r="G416">
        <f>IF($A416="","",IF($D416="V01",Cadrage!$C$22,IF($D416="V02",Cadrage!$D$22,Cadrage!$E$22)))</f>
        <v/>
      </c>
      <c r="H416">
        <f>IF($A416="","",IF($D416="V01",Cadrage!$C$23,IF($D416="V02",Cadrage!$D$23,Cadrage!$E$23)))</f>
        <v/>
      </c>
      <c r="I416">
        <f>IF($A416="","",IF($D416="V01",Cadrage!$C$31,IF($D416="V02",Cadrage!$D$31,Cadrage!$E$31)))</f>
        <v/>
      </c>
      <c r="J416">
        <f>IF($A416="","",IF($D416="V01",Cadrage!$C$32,IF($D416="V02",Cadrage!$D$32,Cadrage!$E$32)))</f>
        <v/>
      </c>
      <c r="K416">
        <f>IF($A416="","",IF($D416="V01",Cadrage!$C$33,IF($D416="V02",Cadrage!$D$33,Cadrage!$E$33)))</f>
        <v/>
      </c>
      <c r="L416">
        <f>IF($A416="","",IF($D416="V01",Cadrage!$C$34,IF($D416="V02",Cadrage!$D$34,Cadrage!$E$34)))</f>
        <v/>
      </c>
      <c r="M416">
        <f>IF($A416="","",IF($D416="V01",Cadrage!$C$35,IF($D416="V02",Cadrage!$D$35,Cadrage!$E$35)))</f>
        <v/>
      </c>
      <c r="N416">
        <f>IF($A416="","",IF($D416="V01",$R$2,IF($D416="V02",$R$3,$R$4)))</f>
        <v/>
      </c>
      <c r="O416">
        <f>IF($A416="","",IF(OR($B416="7062",$B416="706",$B416="708"),$N416,IF($B416="6231",1+$G416,IF($B416="6236",1+$H416,IF(OR($B416="621",$B416="604",$B416="6063"),$N416*(1-$L416),IF(OR($B416="6411",$B416="6413",$B416="6414",$B416="645"),(1+$J416)*(1+$K416),IF(OR($B416="613",$B416="615",$B416="616",$B416="6226",$B416="625",$B416="626",$B416="6281"),(1+$I416)*(1-$L416)*(1+$M416),IF(OR($B416="6331",$B416="63511",$B416="6333"),(1+$I416)*(1-$L416),IF($B416="6811",1+$I416,1)))))))))</f>
        <v/>
      </c>
      <c r="P416">
        <f>IF($A416="","",IF($E416=1,$F416*$O416,PNL!G416))</f>
        <v/>
      </c>
      <c r="T416">
        <f>IF($A416="","",IF($E416=1,IF(OR($B416="7062",$B416="706",$B416="708"),$P416,IF(AND(LEFT($B416,1)="6",$B416&lt;&gt;"6811"),-$P416,0)),0))</f>
        <v/>
      </c>
    </row>
    <row r="417">
      <c r="A417">
        <f>IF(PNL!A417="","",PNL!A417)</f>
        <v/>
      </c>
      <c r="B417">
        <f>IF(PNL!B417="","",PNL!B417)</f>
        <v/>
      </c>
      <c r="C417">
        <f>IF(PNL!C417="","",PNL!C417)</f>
        <v/>
      </c>
      <c r="D417">
        <f>IF(PNL!D417="","",PNL!D417)</f>
        <v/>
      </c>
      <c r="E417">
        <f>IF($A417="","",IF(AND($C417="2027",OR($D417="V01",$D417="V02",$D417="V03")),1,0))</f>
        <v/>
      </c>
      <c r="F417">
        <f>IF($A417="","",IF($E417=1,SUMIFS(Comptabilité!$F$1:$F$675,Comptabilité!$A$1:$A$675,$A417,Comptabilité!$B$1:$B$675,$B417,Comptabilité!$C$1:$C$675,"2026"),0))</f>
        <v/>
      </c>
      <c r="G417">
        <f>IF($A417="","",IF($D417="V01",Cadrage!$C$22,IF($D417="V02",Cadrage!$D$22,Cadrage!$E$22)))</f>
        <v/>
      </c>
      <c r="H417">
        <f>IF($A417="","",IF($D417="V01",Cadrage!$C$23,IF($D417="V02",Cadrage!$D$23,Cadrage!$E$23)))</f>
        <v/>
      </c>
      <c r="I417">
        <f>IF($A417="","",IF($D417="V01",Cadrage!$C$31,IF($D417="V02",Cadrage!$D$31,Cadrage!$E$31)))</f>
        <v/>
      </c>
      <c r="J417">
        <f>IF($A417="","",IF($D417="V01",Cadrage!$C$32,IF($D417="V02",Cadrage!$D$32,Cadrage!$E$32)))</f>
        <v/>
      </c>
      <c r="K417">
        <f>IF($A417="","",IF($D417="V01",Cadrage!$C$33,IF($D417="V02",Cadrage!$D$33,Cadrage!$E$33)))</f>
        <v/>
      </c>
      <c r="L417">
        <f>IF($A417="","",IF($D417="V01",Cadrage!$C$34,IF($D417="V02",Cadrage!$D$34,Cadrage!$E$34)))</f>
        <v/>
      </c>
      <c r="M417">
        <f>IF($A417="","",IF($D417="V01",Cadrage!$C$35,IF($D417="V02",Cadrage!$D$35,Cadrage!$E$35)))</f>
        <v/>
      </c>
      <c r="N417">
        <f>IF($A417="","",IF($D417="V01",$R$2,IF($D417="V02",$R$3,$R$4)))</f>
        <v/>
      </c>
      <c r="O417">
        <f>IF($A417="","",IF(OR($B417="7062",$B417="706",$B417="708"),$N417,IF($B417="6231",1+$G417,IF($B417="6236",1+$H417,IF(OR($B417="621",$B417="604",$B417="6063"),$N417*(1-$L417),IF(OR($B417="6411",$B417="6413",$B417="6414",$B417="645"),(1+$J417)*(1+$K417),IF(OR($B417="613",$B417="615",$B417="616",$B417="6226",$B417="625",$B417="626",$B417="6281"),(1+$I417)*(1-$L417)*(1+$M417),IF(OR($B417="6331",$B417="63511",$B417="6333"),(1+$I417)*(1-$L417),IF($B417="6811",1+$I417,1)))))))))</f>
        <v/>
      </c>
      <c r="P417">
        <f>IF($A417="","",IF($E417=1,$F417*$O417,PNL!G417))</f>
        <v/>
      </c>
      <c r="T417">
        <f>IF($A417="","",IF($E417=1,IF(OR($B417="7062",$B417="706",$B417="708"),$P417,IF(AND(LEFT($B417,1)="6",$B417&lt;&gt;"6811"),-$P417,0)),0))</f>
        <v/>
      </c>
    </row>
    <row r="418">
      <c r="A418">
        <f>IF(PNL!A418="","",PNL!A418)</f>
        <v/>
      </c>
      <c r="B418">
        <f>IF(PNL!B418="","",PNL!B418)</f>
        <v/>
      </c>
      <c r="C418">
        <f>IF(PNL!C418="","",PNL!C418)</f>
        <v/>
      </c>
      <c r="D418">
        <f>IF(PNL!D418="","",PNL!D418)</f>
        <v/>
      </c>
      <c r="E418">
        <f>IF($A418="","",IF(AND($C418="2027",OR($D418="V01",$D418="V02",$D418="V03")),1,0))</f>
        <v/>
      </c>
      <c r="F418">
        <f>IF($A418="","",IF($E418=1,SUMIFS(Comptabilité!$F$1:$F$675,Comptabilité!$A$1:$A$675,$A418,Comptabilité!$B$1:$B$675,$B418,Comptabilité!$C$1:$C$675,"2026"),0))</f>
        <v/>
      </c>
      <c r="G418">
        <f>IF($A418="","",IF($D418="V01",Cadrage!$C$22,IF($D418="V02",Cadrage!$D$22,Cadrage!$E$22)))</f>
        <v/>
      </c>
      <c r="H418">
        <f>IF($A418="","",IF($D418="V01",Cadrage!$C$23,IF($D418="V02",Cadrage!$D$23,Cadrage!$E$23)))</f>
        <v/>
      </c>
      <c r="I418">
        <f>IF($A418="","",IF($D418="V01",Cadrage!$C$31,IF($D418="V02",Cadrage!$D$31,Cadrage!$E$31)))</f>
        <v/>
      </c>
      <c r="J418">
        <f>IF($A418="","",IF($D418="V01",Cadrage!$C$32,IF($D418="V02",Cadrage!$D$32,Cadrage!$E$32)))</f>
        <v/>
      </c>
      <c r="K418">
        <f>IF($A418="","",IF($D418="V01",Cadrage!$C$33,IF($D418="V02",Cadrage!$D$33,Cadrage!$E$33)))</f>
        <v/>
      </c>
      <c r="L418">
        <f>IF($A418="","",IF($D418="V01",Cadrage!$C$34,IF($D418="V02",Cadrage!$D$34,Cadrage!$E$34)))</f>
        <v/>
      </c>
      <c r="M418">
        <f>IF($A418="","",IF($D418="V01",Cadrage!$C$35,IF($D418="V02",Cadrage!$D$35,Cadrage!$E$35)))</f>
        <v/>
      </c>
      <c r="N418">
        <f>IF($A418="","",IF($D418="V01",$R$2,IF($D418="V02",$R$3,$R$4)))</f>
        <v/>
      </c>
      <c r="O418">
        <f>IF($A418="","",IF(OR($B418="7062",$B418="706",$B418="708"),$N418,IF($B418="6231",1+$G418,IF($B418="6236",1+$H418,IF(OR($B418="621",$B418="604",$B418="6063"),$N418*(1-$L418),IF(OR($B418="6411",$B418="6413",$B418="6414",$B418="645"),(1+$J418)*(1+$K418),IF(OR($B418="613",$B418="615",$B418="616",$B418="6226",$B418="625",$B418="626",$B418="6281"),(1+$I418)*(1-$L418)*(1+$M418),IF(OR($B418="6331",$B418="63511",$B418="6333"),(1+$I418)*(1-$L418),IF($B418="6811",1+$I418,1)))))))))</f>
        <v/>
      </c>
      <c r="P418">
        <f>IF($A418="","",IF($E418=1,$F418*$O418,PNL!G418))</f>
        <v/>
      </c>
      <c r="T418">
        <f>IF($A418="","",IF($E418=1,IF(OR($B418="7062",$B418="706",$B418="708"),$P418,IF(AND(LEFT($B418,1)="6",$B418&lt;&gt;"6811"),-$P418,0)),0))</f>
        <v/>
      </c>
    </row>
    <row r="419">
      <c r="A419">
        <f>IF(PNL!A419="","",PNL!A419)</f>
        <v/>
      </c>
      <c r="B419">
        <f>IF(PNL!B419="","",PNL!B419)</f>
        <v/>
      </c>
      <c r="C419">
        <f>IF(PNL!C419="","",PNL!C419)</f>
        <v/>
      </c>
      <c r="D419">
        <f>IF(PNL!D419="","",PNL!D419)</f>
        <v/>
      </c>
      <c r="E419">
        <f>IF($A419="","",IF(AND($C419="2027",OR($D419="V01",$D419="V02",$D419="V03")),1,0))</f>
        <v/>
      </c>
      <c r="F419">
        <f>IF($A419="","",IF($E419=1,SUMIFS(Comptabilité!$F$1:$F$675,Comptabilité!$A$1:$A$675,$A419,Comptabilité!$B$1:$B$675,$B419,Comptabilité!$C$1:$C$675,"2026"),0))</f>
        <v/>
      </c>
      <c r="G419">
        <f>IF($A419="","",IF($D419="V01",Cadrage!$C$22,IF($D419="V02",Cadrage!$D$22,Cadrage!$E$22)))</f>
        <v/>
      </c>
      <c r="H419">
        <f>IF($A419="","",IF($D419="V01",Cadrage!$C$23,IF($D419="V02",Cadrage!$D$23,Cadrage!$E$23)))</f>
        <v/>
      </c>
      <c r="I419">
        <f>IF($A419="","",IF($D419="V01",Cadrage!$C$31,IF($D419="V02",Cadrage!$D$31,Cadrage!$E$31)))</f>
        <v/>
      </c>
      <c r="J419">
        <f>IF($A419="","",IF($D419="V01",Cadrage!$C$32,IF($D419="V02",Cadrage!$D$32,Cadrage!$E$32)))</f>
        <v/>
      </c>
      <c r="K419">
        <f>IF($A419="","",IF($D419="V01",Cadrage!$C$33,IF($D419="V02",Cadrage!$D$33,Cadrage!$E$33)))</f>
        <v/>
      </c>
      <c r="L419">
        <f>IF($A419="","",IF($D419="V01",Cadrage!$C$34,IF($D419="V02",Cadrage!$D$34,Cadrage!$E$34)))</f>
        <v/>
      </c>
      <c r="M419">
        <f>IF($A419="","",IF($D419="V01",Cadrage!$C$35,IF($D419="V02",Cadrage!$D$35,Cadrage!$E$35)))</f>
        <v/>
      </c>
      <c r="N419">
        <f>IF($A419="","",IF($D419="V01",$R$2,IF($D419="V02",$R$3,$R$4)))</f>
        <v/>
      </c>
      <c r="O419">
        <f>IF($A419="","",IF(OR($B419="7062",$B419="706",$B419="708"),$N419,IF($B419="6231",1+$G419,IF($B419="6236",1+$H419,IF(OR($B419="621",$B419="604",$B419="6063"),$N419*(1-$L419),IF(OR($B419="6411",$B419="6413",$B419="6414",$B419="645"),(1+$J419)*(1+$K419),IF(OR($B419="613",$B419="615",$B419="616",$B419="6226",$B419="625",$B419="626",$B419="6281"),(1+$I419)*(1-$L419)*(1+$M419),IF(OR($B419="6331",$B419="63511",$B419="6333"),(1+$I419)*(1-$L419),IF($B419="6811",1+$I419,1)))))))))</f>
        <v/>
      </c>
      <c r="P419">
        <f>IF($A419="","",IF($E419=1,$F419*$O419,PNL!G419))</f>
        <v/>
      </c>
      <c r="T419">
        <f>IF($A419="","",IF($E419=1,IF(OR($B419="7062",$B419="706",$B419="708"),$P419,IF(AND(LEFT($B419,1)="6",$B419&lt;&gt;"6811"),-$P419,0)),0))</f>
        <v/>
      </c>
    </row>
    <row r="420">
      <c r="A420">
        <f>IF(PNL!A420="","",PNL!A420)</f>
        <v/>
      </c>
      <c r="B420">
        <f>IF(PNL!B420="","",PNL!B420)</f>
        <v/>
      </c>
      <c r="C420">
        <f>IF(PNL!C420="","",PNL!C420)</f>
        <v/>
      </c>
      <c r="D420">
        <f>IF(PNL!D420="","",PNL!D420)</f>
        <v/>
      </c>
      <c r="E420">
        <f>IF($A420="","",IF(AND($C420="2027",OR($D420="V01",$D420="V02",$D420="V03")),1,0))</f>
        <v/>
      </c>
      <c r="F420">
        <f>IF($A420="","",IF($E420=1,SUMIFS(Comptabilité!$F$1:$F$675,Comptabilité!$A$1:$A$675,$A420,Comptabilité!$B$1:$B$675,$B420,Comptabilité!$C$1:$C$675,"2026"),0))</f>
        <v/>
      </c>
      <c r="G420">
        <f>IF($A420="","",IF($D420="V01",Cadrage!$C$22,IF($D420="V02",Cadrage!$D$22,Cadrage!$E$22)))</f>
        <v/>
      </c>
      <c r="H420">
        <f>IF($A420="","",IF($D420="V01",Cadrage!$C$23,IF($D420="V02",Cadrage!$D$23,Cadrage!$E$23)))</f>
        <v/>
      </c>
      <c r="I420">
        <f>IF($A420="","",IF($D420="V01",Cadrage!$C$31,IF($D420="V02",Cadrage!$D$31,Cadrage!$E$31)))</f>
        <v/>
      </c>
      <c r="J420">
        <f>IF($A420="","",IF($D420="V01",Cadrage!$C$32,IF($D420="V02",Cadrage!$D$32,Cadrage!$E$32)))</f>
        <v/>
      </c>
      <c r="K420">
        <f>IF($A420="","",IF($D420="V01",Cadrage!$C$33,IF($D420="V02",Cadrage!$D$33,Cadrage!$E$33)))</f>
        <v/>
      </c>
      <c r="L420">
        <f>IF($A420="","",IF($D420="V01",Cadrage!$C$34,IF($D420="V02",Cadrage!$D$34,Cadrage!$E$34)))</f>
        <v/>
      </c>
      <c r="M420">
        <f>IF($A420="","",IF($D420="V01",Cadrage!$C$35,IF($D420="V02",Cadrage!$D$35,Cadrage!$E$35)))</f>
        <v/>
      </c>
      <c r="N420">
        <f>IF($A420="","",IF($D420="V01",$R$2,IF($D420="V02",$R$3,$R$4)))</f>
        <v/>
      </c>
      <c r="O420">
        <f>IF($A420="","",IF(OR($B420="7062",$B420="706",$B420="708"),$N420,IF($B420="6231",1+$G420,IF($B420="6236",1+$H420,IF(OR($B420="621",$B420="604",$B420="6063"),$N420*(1-$L420),IF(OR($B420="6411",$B420="6413",$B420="6414",$B420="645"),(1+$J420)*(1+$K420),IF(OR($B420="613",$B420="615",$B420="616",$B420="6226",$B420="625",$B420="626",$B420="6281"),(1+$I420)*(1-$L420)*(1+$M420),IF(OR($B420="6331",$B420="63511",$B420="6333"),(1+$I420)*(1-$L420),IF($B420="6811",1+$I420,1)))))))))</f>
        <v/>
      </c>
      <c r="P420">
        <f>IF($A420="","",IF($E420=1,$F420*$O420,PNL!G420))</f>
        <v/>
      </c>
      <c r="T420">
        <f>IF($A420="","",IF($E420=1,IF(OR($B420="7062",$B420="706",$B420="708"),$P420,IF(AND(LEFT($B420,1)="6",$B420&lt;&gt;"6811"),-$P420,0)),0))</f>
        <v/>
      </c>
    </row>
    <row r="421">
      <c r="A421">
        <f>IF(PNL!A421="","",PNL!A421)</f>
        <v/>
      </c>
      <c r="B421">
        <f>IF(PNL!B421="","",PNL!B421)</f>
        <v/>
      </c>
      <c r="C421">
        <f>IF(PNL!C421="","",PNL!C421)</f>
        <v/>
      </c>
      <c r="D421">
        <f>IF(PNL!D421="","",PNL!D421)</f>
        <v/>
      </c>
      <c r="E421">
        <f>IF($A421="","",IF(AND($C421="2027",OR($D421="V01",$D421="V02",$D421="V03")),1,0))</f>
        <v/>
      </c>
      <c r="F421">
        <f>IF($A421="","",IF($E421=1,SUMIFS(Comptabilité!$F$1:$F$675,Comptabilité!$A$1:$A$675,$A421,Comptabilité!$B$1:$B$675,$B421,Comptabilité!$C$1:$C$675,"2026"),0))</f>
        <v/>
      </c>
      <c r="G421">
        <f>IF($A421="","",IF($D421="V01",Cadrage!$C$22,IF($D421="V02",Cadrage!$D$22,Cadrage!$E$22)))</f>
        <v/>
      </c>
      <c r="H421">
        <f>IF($A421="","",IF($D421="V01",Cadrage!$C$23,IF($D421="V02",Cadrage!$D$23,Cadrage!$E$23)))</f>
        <v/>
      </c>
      <c r="I421">
        <f>IF($A421="","",IF($D421="V01",Cadrage!$C$31,IF($D421="V02",Cadrage!$D$31,Cadrage!$E$31)))</f>
        <v/>
      </c>
      <c r="J421">
        <f>IF($A421="","",IF($D421="V01",Cadrage!$C$32,IF($D421="V02",Cadrage!$D$32,Cadrage!$E$32)))</f>
        <v/>
      </c>
      <c r="K421">
        <f>IF($A421="","",IF($D421="V01",Cadrage!$C$33,IF($D421="V02",Cadrage!$D$33,Cadrage!$E$33)))</f>
        <v/>
      </c>
      <c r="L421">
        <f>IF($A421="","",IF($D421="V01",Cadrage!$C$34,IF($D421="V02",Cadrage!$D$34,Cadrage!$E$34)))</f>
        <v/>
      </c>
      <c r="M421">
        <f>IF($A421="","",IF($D421="V01",Cadrage!$C$35,IF($D421="V02",Cadrage!$D$35,Cadrage!$E$35)))</f>
        <v/>
      </c>
      <c r="N421">
        <f>IF($A421="","",IF($D421="V01",$R$2,IF($D421="V02",$R$3,$R$4)))</f>
        <v/>
      </c>
      <c r="O421">
        <f>IF($A421="","",IF(OR($B421="7062",$B421="706",$B421="708"),$N421,IF($B421="6231",1+$G421,IF($B421="6236",1+$H421,IF(OR($B421="621",$B421="604",$B421="6063"),$N421*(1-$L421),IF(OR($B421="6411",$B421="6413",$B421="6414",$B421="645"),(1+$J421)*(1+$K421),IF(OR($B421="613",$B421="615",$B421="616",$B421="6226",$B421="625",$B421="626",$B421="6281"),(1+$I421)*(1-$L421)*(1+$M421),IF(OR($B421="6331",$B421="63511",$B421="6333"),(1+$I421)*(1-$L421),IF($B421="6811",1+$I421,1)))))))))</f>
        <v/>
      </c>
      <c r="P421">
        <f>IF($A421="","",IF($E421=1,$F421*$O421,PNL!G421))</f>
        <v/>
      </c>
      <c r="T421">
        <f>IF($A421="","",IF($E421=1,IF(OR($B421="7062",$B421="706",$B421="708"),$P421,IF(AND(LEFT($B421,1)="6",$B421&lt;&gt;"6811"),-$P421,0)),0))</f>
        <v/>
      </c>
    </row>
    <row r="422">
      <c r="A422">
        <f>IF(PNL!A422="","",PNL!A422)</f>
        <v/>
      </c>
      <c r="B422">
        <f>IF(PNL!B422="","",PNL!B422)</f>
        <v/>
      </c>
      <c r="C422">
        <f>IF(PNL!C422="","",PNL!C422)</f>
        <v/>
      </c>
      <c r="D422">
        <f>IF(PNL!D422="","",PNL!D422)</f>
        <v/>
      </c>
      <c r="E422">
        <f>IF($A422="","",IF(AND($C422="2027",OR($D422="V01",$D422="V02",$D422="V03")),1,0))</f>
        <v/>
      </c>
      <c r="F422">
        <f>IF($A422="","",IF($E422=1,SUMIFS(Comptabilité!$F$1:$F$675,Comptabilité!$A$1:$A$675,$A422,Comptabilité!$B$1:$B$675,$B422,Comptabilité!$C$1:$C$675,"2026"),0))</f>
        <v/>
      </c>
      <c r="G422">
        <f>IF($A422="","",IF($D422="V01",Cadrage!$C$22,IF($D422="V02",Cadrage!$D$22,Cadrage!$E$22)))</f>
        <v/>
      </c>
      <c r="H422">
        <f>IF($A422="","",IF($D422="V01",Cadrage!$C$23,IF($D422="V02",Cadrage!$D$23,Cadrage!$E$23)))</f>
        <v/>
      </c>
      <c r="I422">
        <f>IF($A422="","",IF($D422="V01",Cadrage!$C$31,IF($D422="V02",Cadrage!$D$31,Cadrage!$E$31)))</f>
        <v/>
      </c>
      <c r="J422">
        <f>IF($A422="","",IF($D422="V01",Cadrage!$C$32,IF($D422="V02",Cadrage!$D$32,Cadrage!$E$32)))</f>
        <v/>
      </c>
      <c r="K422">
        <f>IF($A422="","",IF($D422="V01",Cadrage!$C$33,IF($D422="V02",Cadrage!$D$33,Cadrage!$E$33)))</f>
        <v/>
      </c>
      <c r="L422">
        <f>IF($A422="","",IF($D422="V01",Cadrage!$C$34,IF($D422="V02",Cadrage!$D$34,Cadrage!$E$34)))</f>
        <v/>
      </c>
      <c r="M422">
        <f>IF($A422="","",IF($D422="V01",Cadrage!$C$35,IF($D422="V02",Cadrage!$D$35,Cadrage!$E$35)))</f>
        <v/>
      </c>
      <c r="N422">
        <f>IF($A422="","",IF($D422="V01",$R$2,IF($D422="V02",$R$3,$R$4)))</f>
        <v/>
      </c>
      <c r="O422">
        <f>IF($A422="","",IF(OR($B422="7062",$B422="706",$B422="708"),$N422,IF($B422="6231",1+$G422,IF($B422="6236",1+$H422,IF(OR($B422="621",$B422="604",$B422="6063"),$N422*(1-$L422),IF(OR($B422="6411",$B422="6413",$B422="6414",$B422="645"),(1+$J422)*(1+$K422),IF(OR($B422="613",$B422="615",$B422="616",$B422="6226",$B422="625",$B422="626",$B422="6281"),(1+$I422)*(1-$L422)*(1+$M422),IF(OR($B422="6331",$B422="63511",$B422="6333"),(1+$I422)*(1-$L422),IF($B422="6811",1+$I422,1)))))))))</f>
        <v/>
      </c>
      <c r="P422">
        <f>IF($A422="","",IF($E422=1,$F422*$O422,PNL!G422))</f>
        <v/>
      </c>
      <c r="T422">
        <f>IF($A422="","",IF($E422=1,IF(OR($B422="7062",$B422="706",$B422="708"),$P422,IF(AND(LEFT($B422,1)="6",$B422&lt;&gt;"6811"),-$P422,0)),0))</f>
        <v/>
      </c>
    </row>
    <row r="423">
      <c r="A423">
        <f>IF(PNL!A423="","",PNL!A423)</f>
        <v/>
      </c>
      <c r="B423">
        <f>IF(PNL!B423="","",PNL!B423)</f>
        <v/>
      </c>
      <c r="C423">
        <f>IF(PNL!C423="","",PNL!C423)</f>
        <v/>
      </c>
      <c r="D423">
        <f>IF(PNL!D423="","",PNL!D423)</f>
        <v/>
      </c>
      <c r="E423">
        <f>IF($A423="","",IF(AND($C423="2027",OR($D423="V01",$D423="V02",$D423="V03")),1,0))</f>
        <v/>
      </c>
      <c r="F423">
        <f>IF($A423="","",IF($E423=1,SUMIFS(Comptabilité!$F$1:$F$675,Comptabilité!$A$1:$A$675,$A423,Comptabilité!$B$1:$B$675,$B423,Comptabilité!$C$1:$C$675,"2026"),0))</f>
        <v/>
      </c>
      <c r="G423">
        <f>IF($A423="","",IF($D423="V01",Cadrage!$C$22,IF($D423="V02",Cadrage!$D$22,Cadrage!$E$22)))</f>
        <v/>
      </c>
      <c r="H423">
        <f>IF($A423="","",IF($D423="V01",Cadrage!$C$23,IF($D423="V02",Cadrage!$D$23,Cadrage!$E$23)))</f>
        <v/>
      </c>
      <c r="I423">
        <f>IF($A423="","",IF($D423="V01",Cadrage!$C$31,IF($D423="V02",Cadrage!$D$31,Cadrage!$E$31)))</f>
        <v/>
      </c>
      <c r="J423">
        <f>IF($A423="","",IF($D423="V01",Cadrage!$C$32,IF($D423="V02",Cadrage!$D$32,Cadrage!$E$32)))</f>
        <v/>
      </c>
      <c r="K423">
        <f>IF($A423="","",IF($D423="V01",Cadrage!$C$33,IF($D423="V02",Cadrage!$D$33,Cadrage!$E$33)))</f>
        <v/>
      </c>
      <c r="L423">
        <f>IF($A423="","",IF($D423="V01",Cadrage!$C$34,IF($D423="V02",Cadrage!$D$34,Cadrage!$E$34)))</f>
        <v/>
      </c>
      <c r="M423">
        <f>IF($A423="","",IF($D423="V01",Cadrage!$C$35,IF($D423="V02",Cadrage!$D$35,Cadrage!$E$35)))</f>
        <v/>
      </c>
      <c r="N423">
        <f>IF($A423="","",IF($D423="V01",$R$2,IF($D423="V02",$R$3,$R$4)))</f>
        <v/>
      </c>
      <c r="O423">
        <f>IF($A423="","",IF(OR($B423="7062",$B423="706",$B423="708"),$N423,IF($B423="6231",1+$G423,IF($B423="6236",1+$H423,IF(OR($B423="621",$B423="604",$B423="6063"),$N423*(1-$L423),IF(OR($B423="6411",$B423="6413",$B423="6414",$B423="645"),(1+$J423)*(1+$K423),IF(OR($B423="613",$B423="615",$B423="616",$B423="6226",$B423="625",$B423="626",$B423="6281"),(1+$I423)*(1-$L423)*(1+$M423),IF(OR($B423="6331",$B423="63511",$B423="6333"),(1+$I423)*(1-$L423),IF($B423="6811",1+$I423,1)))))))))</f>
        <v/>
      </c>
      <c r="P423">
        <f>IF($A423="","",IF($E423=1,$F423*$O423,PNL!G423))</f>
        <v/>
      </c>
      <c r="T423">
        <f>IF($A423="","",IF($E423=1,IF(OR($B423="7062",$B423="706",$B423="708"),$P423,IF(AND(LEFT($B423,1)="6",$B423&lt;&gt;"6811"),-$P423,0)),0))</f>
        <v/>
      </c>
    </row>
    <row r="424">
      <c r="A424">
        <f>IF(PNL!A424="","",PNL!A424)</f>
        <v/>
      </c>
      <c r="B424">
        <f>IF(PNL!B424="","",PNL!B424)</f>
        <v/>
      </c>
      <c r="C424">
        <f>IF(PNL!C424="","",PNL!C424)</f>
        <v/>
      </c>
      <c r="D424">
        <f>IF(PNL!D424="","",PNL!D424)</f>
        <v/>
      </c>
      <c r="E424">
        <f>IF($A424="","",IF(AND($C424="2027",OR($D424="V01",$D424="V02",$D424="V03")),1,0))</f>
        <v/>
      </c>
      <c r="F424">
        <f>IF($A424="","",IF($E424=1,SUMIFS(Comptabilité!$F$1:$F$675,Comptabilité!$A$1:$A$675,$A424,Comptabilité!$B$1:$B$675,$B424,Comptabilité!$C$1:$C$675,"2026"),0))</f>
        <v/>
      </c>
      <c r="G424">
        <f>IF($A424="","",IF($D424="V01",Cadrage!$C$22,IF($D424="V02",Cadrage!$D$22,Cadrage!$E$22)))</f>
        <v/>
      </c>
      <c r="H424">
        <f>IF($A424="","",IF($D424="V01",Cadrage!$C$23,IF($D424="V02",Cadrage!$D$23,Cadrage!$E$23)))</f>
        <v/>
      </c>
      <c r="I424">
        <f>IF($A424="","",IF($D424="V01",Cadrage!$C$31,IF($D424="V02",Cadrage!$D$31,Cadrage!$E$31)))</f>
        <v/>
      </c>
      <c r="J424">
        <f>IF($A424="","",IF($D424="V01",Cadrage!$C$32,IF($D424="V02",Cadrage!$D$32,Cadrage!$E$32)))</f>
        <v/>
      </c>
      <c r="K424">
        <f>IF($A424="","",IF($D424="V01",Cadrage!$C$33,IF($D424="V02",Cadrage!$D$33,Cadrage!$E$33)))</f>
        <v/>
      </c>
      <c r="L424">
        <f>IF($A424="","",IF($D424="V01",Cadrage!$C$34,IF($D424="V02",Cadrage!$D$34,Cadrage!$E$34)))</f>
        <v/>
      </c>
      <c r="M424">
        <f>IF($A424="","",IF($D424="V01",Cadrage!$C$35,IF($D424="V02",Cadrage!$D$35,Cadrage!$E$35)))</f>
        <v/>
      </c>
      <c r="N424">
        <f>IF($A424="","",IF($D424="V01",$R$2,IF($D424="V02",$R$3,$R$4)))</f>
        <v/>
      </c>
      <c r="O424">
        <f>IF($A424="","",IF(OR($B424="7062",$B424="706",$B424="708"),$N424,IF($B424="6231",1+$G424,IF($B424="6236",1+$H424,IF(OR($B424="621",$B424="604",$B424="6063"),$N424*(1-$L424),IF(OR($B424="6411",$B424="6413",$B424="6414",$B424="645"),(1+$J424)*(1+$K424),IF(OR($B424="613",$B424="615",$B424="616",$B424="6226",$B424="625",$B424="626",$B424="6281"),(1+$I424)*(1-$L424)*(1+$M424),IF(OR($B424="6331",$B424="63511",$B424="6333"),(1+$I424)*(1-$L424),IF($B424="6811",1+$I424,1)))))))))</f>
        <v/>
      </c>
      <c r="P424">
        <f>IF($A424="","",IF($E424=1,$F424*$O424,PNL!G424))</f>
        <v/>
      </c>
      <c r="T424">
        <f>IF($A424="","",IF($E424=1,IF(OR($B424="7062",$B424="706",$B424="708"),$P424,IF(AND(LEFT($B424,1)="6",$B424&lt;&gt;"6811"),-$P424,0)),0))</f>
        <v/>
      </c>
    </row>
    <row r="425">
      <c r="A425">
        <f>IF(PNL!A425="","",PNL!A425)</f>
        <v/>
      </c>
      <c r="B425">
        <f>IF(PNL!B425="","",PNL!B425)</f>
        <v/>
      </c>
      <c r="C425">
        <f>IF(PNL!C425="","",PNL!C425)</f>
        <v/>
      </c>
      <c r="D425">
        <f>IF(PNL!D425="","",PNL!D425)</f>
        <v/>
      </c>
      <c r="E425">
        <f>IF($A425="","",IF(AND($C425="2027",OR($D425="V01",$D425="V02",$D425="V03")),1,0))</f>
        <v/>
      </c>
      <c r="F425">
        <f>IF($A425="","",IF($E425=1,SUMIFS(Comptabilité!$F$1:$F$675,Comptabilité!$A$1:$A$675,$A425,Comptabilité!$B$1:$B$675,$B425,Comptabilité!$C$1:$C$675,"2026"),0))</f>
        <v/>
      </c>
      <c r="G425">
        <f>IF($A425="","",IF($D425="V01",Cadrage!$C$22,IF($D425="V02",Cadrage!$D$22,Cadrage!$E$22)))</f>
        <v/>
      </c>
      <c r="H425">
        <f>IF($A425="","",IF($D425="V01",Cadrage!$C$23,IF($D425="V02",Cadrage!$D$23,Cadrage!$E$23)))</f>
        <v/>
      </c>
      <c r="I425">
        <f>IF($A425="","",IF($D425="V01",Cadrage!$C$31,IF($D425="V02",Cadrage!$D$31,Cadrage!$E$31)))</f>
        <v/>
      </c>
      <c r="J425">
        <f>IF($A425="","",IF($D425="V01",Cadrage!$C$32,IF($D425="V02",Cadrage!$D$32,Cadrage!$E$32)))</f>
        <v/>
      </c>
      <c r="K425">
        <f>IF($A425="","",IF($D425="V01",Cadrage!$C$33,IF($D425="V02",Cadrage!$D$33,Cadrage!$E$33)))</f>
        <v/>
      </c>
      <c r="L425">
        <f>IF($A425="","",IF($D425="V01",Cadrage!$C$34,IF($D425="V02",Cadrage!$D$34,Cadrage!$E$34)))</f>
        <v/>
      </c>
      <c r="M425">
        <f>IF($A425="","",IF($D425="V01",Cadrage!$C$35,IF($D425="V02",Cadrage!$D$35,Cadrage!$E$35)))</f>
        <v/>
      </c>
      <c r="N425">
        <f>IF($A425="","",IF($D425="V01",$R$2,IF($D425="V02",$R$3,$R$4)))</f>
        <v/>
      </c>
      <c r="O425">
        <f>IF($A425="","",IF(OR($B425="7062",$B425="706",$B425="708"),$N425,IF($B425="6231",1+$G425,IF($B425="6236",1+$H425,IF(OR($B425="621",$B425="604",$B425="6063"),$N425*(1-$L425),IF(OR($B425="6411",$B425="6413",$B425="6414",$B425="645"),(1+$J425)*(1+$K425),IF(OR($B425="613",$B425="615",$B425="616",$B425="6226",$B425="625",$B425="626",$B425="6281"),(1+$I425)*(1-$L425)*(1+$M425),IF(OR($B425="6331",$B425="63511",$B425="6333"),(1+$I425)*(1-$L425),IF($B425="6811",1+$I425,1)))))))))</f>
        <v/>
      </c>
      <c r="P425">
        <f>IF($A425="","",IF($E425=1,$F425*$O425,PNL!G425))</f>
        <v/>
      </c>
      <c r="T425">
        <f>IF($A425="","",IF($E425=1,IF(OR($B425="7062",$B425="706",$B425="708"),$P425,IF(AND(LEFT($B425,1)="6",$B425&lt;&gt;"6811"),-$P425,0)),0))</f>
        <v/>
      </c>
    </row>
    <row r="426">
      <c r="A426">
        <f>IF(PNL!A426="","",PNL!A426)</f>
        <v/>
      </c>
      <c r="B426">
        <f>IF(PNL!B426="","",PNL!B426)</f>
        <v/>
      </c>
      <c r="C426">
        <f>IF(PNL!C426="","",PNL!C426)</f>
        <v/>
      </c>
      <c r="D426">
        <f>IF(PNL!D426="","",PNL!D426)</f>
        <v/>
      </c>
      <c r="E426">
        <f>IF($A426="","",IF(AND($C426="2027",OR($D426="V01",$D426="V02",$D426="V03")),1,0))</f>
        <v/>
      </c>
      <c r="F426">
        <f>IF($A426="","",IF($E426=1,SUMIFS(Comptabilité!$F$1:$F$675,Comptabilité!$A$1:$A$675,$A426,Comptabilité!$B$1:$B$675,$B426,Comptabilité!$C$1:$C$675,"2026"),0))</f>
        <v/>
      </c>
      <c r="G426">
        <f>IF($A426="","",IF($D426="V01",Cadrage!$C$22,IF($D426="V02",Cadrage!$D$22,Cadrage!$E$22)))</f>
        <v/>
      </c>
      <c r="H426">
        <f>IF($A426="","",IF($D426="V01",Cadrage!$C$23,IF($D426="V02",Cadrage!$D$23,Cadrage!$E$23)))</f>
        <v/>
      </c>
      <c r="I426">
        <f>IF($A426="","",IF($D426="V01",Cadrage!$C$31,IF($D426="V02",Cadrage!$D$31,Cadrage!$E$31)))</f>
        <v/>
      </c>
      <c r="J426">
        <f>IF($A426="","",IF($D426="V01",Cadrage!$C$32,IF($D426="V02",Cadrage!$D$32,Cadrage!$E$32)))</f>
        <v/>
      </c>
      <c r="K426">
        <f>IF($A426="","",IF($D426="V01",Cadrage!$C$33,IF($D426="V02",Cadrage!$D$33,Cadrage!$E$33)))</f>
        <v/>
      </c>
      <c r="L426">
        <f>IF($A426="","",IF($D426="V01",Cadrage!$C$34,IF($D426="V02",Cadrage!$D$34,Cadrage!$E$34)))</f>
        <v/>
      </c>
      <c r="M426">
        <f>IF($A426="","",IF($D426="V01",Cadrage!$C$35,IF($D426="V02",Cadrage!$D$35,Cadrage!$E$35)))</f>
        <v/>
      </c>
      <c r="N426">
        <f>IF($A426="","",IF($D426="V01",$R$2,IF($D426="V02",$R$3,$R$4)))</f>
        <v/>
      </c>
      <c r="O426">
        <f>IF($A426="","",IF(OR($B426="7062",$B426="706",$B426="708"),$N426,IF($B426="6231",1+$G426,IF($B426="6236",1+$H426,IF(OR($B426="621",$B426="604",$B426="6063"),$N426*(1-$L426),IF(OR($B426="6411",$B426="6413",$B426="6414",$B426="645"),(1+$J426)*(1+$K426),IF(OR($B426="613",$B426="615",$B426="616",$B426="6226",$B426="625",$B426="626",$B426="6281"),(1+$I426)*(1-$L426)*(1+$M426),IF(OR($B426="6331",$B426="63511",$B426="6333"),(1+$I426)*(1-$L426),IF($B426="6811",1+$I426,1)))))))))</f>
        <v/>
      </c>
      <c r="P426">
        <f>IF($A426="","",IF($E426=1,$F426*$O426,PNL!G426))</f>
        <v/>
      </c>
      <c r="T426">
        <f>IF($A426="","",IF($E426=1,IF(OR($B426="7062",$B426="706",$B426="708"),$P426,IF(AND(LEFT($B426,1)="6",$B426&lt;&gt;"6811"),-$P426,0)),0))</f>
        <v/>
      </c>
    </row>
    <row r="427">
      <c r="A427">
        <f>IF(PNL!A427="","",PNL!A427)</f>
        <v/>
      </c>
      <c r="B427">
        <f>IF(PNL!B427="","",PNL!B427)</f>
        <v/>
      </c>
      <c r="C427">
        <f>IF(PNL!C427="","",PNL!C427)</f>
        <v/>
      </c>
      <c r="D427">
        <f>IF(PNL!D427="","",PNL!D427)</f>
        <v/>
      </c>
      <c r="E427">
        <f>IF($A427="","",IF(AND($C427="2027",OR($D427="V01",$D427="V02",$D427="V03")),1,0))</f>
        <v/>
      </c>
      <c r="F427">
        <f>IF($A427="","",IF($E427=1,SUMIFS(Comptabilité!$F$1:$F$675,Comptabilité!$A$1:$A$675,$A427,Comptabilité!$B$1:$B$675,$B427,Comptabilité!$C$1:$C$675,"2026"),0))</f>
        <v/>
      </c>
      <c r="G427">
        <f>IF($A427="","",IF($D427="V01",Cadrage!$C$22,IF($D427="V02",Cadrage!$D$22,Cadrage!$E$22)))</f>
        <v/>
      </c>
      <c r="H427">
        <f>IF($A427="","",IF($D427="V01",Cadrage!$C$23,IF($D427="V02",Cadrage!$D$23,Cadrage!$E$23)))</f>
        <v/>
      </c>
      <c r="I427">
        <f>IF($A427="","",IF($D427="V01",Cadrage!$C$31,IF($D427="V02",Cadrage!$D$31,Cadrage!$E$31)))</f>
        <v/>
      </c>
      <c r="J427">
        <f>IF($A427="","",IF($D427="V01",Cadrage!$C$32,IF($D427="V02",Cadrage!$D$32,Cadrage!$E$32)))</f>
        <v/>
      </c>
      <c r="K427">
        <f>IF($A427="","",IF($D427="V01",Cadrage!$C$33,IF($D427="V02",Cadrage!$D$33,Cadrage!$E$33)))</f>
        <v/>
      </c>
      <c r="L427">
        <f>IF($A427="","",IF($D427="V01",Cadrage!$C$34,IF($D427="V02",Cadrage!$D$34,Cadrage!$E$34)))</f>
        <v/>
      </c>
      <c r="M427">
        <f>IF($A427="","",IF($D427="V01",Cadrage!$C$35,IF($D427="V02",Cadrage!$D$35,Cadrage!$E$35)))</f>
        <v/>
      </c>
      <c r="N427">
        <f>IF($A427="","",IF($D427="V01",$R$2,IF($D427="V02",$R$3,$R$4)))</f>
        <v/>
      </c>
      <c r="O427">
        <f>IF($A427="","",IF(OR($B427="7062",$B427="706",$B427="708"),$N427,IF($B427="6231",1+$G427,IF($B427="6236",1+$H427,IF(OR($B427="621",$B427="604",$B427="6063"),$N427*(1-$L427),IF(OR($B427="6411",$B427="6413",$B427="6414",$B427="645"),(1+$J427)*(1+$K427),IF(OR($B427="613",$B427="615",$B427="616",$B427="6226",$B427="625",$B427="626",$B427="6281"),(1+$I427)*(1-$L427)*(1+$M427),IF(OR($B427="6331",$B427="63511",$B427="6333"),(1+$I427)*(1-$L427),IF($B427="6811",1+$I427,1)))))))))</f>
        <v/>
      </c>
      <c r="P427">
        <f>IF($A427="","",IF($E427=1,$F427*$O427,PNL!G427))</f>
        <v/>
      </c>
      <c r="T427">
        <f>IF($A427="","",IF($E427=1,IF(OR($B427="7062",$B427="706",$B427="708"),$P427,IF(AND(LEFT($B427,1)="6",$B427&lt;&gt;"6811"),-$P427,0)),0))</f>
        <v/>
      </c>
    </row>
    <row r="428">
      <c r="A428">
        <f>IF(PNL!A428="","",PNL!A428)</f>
        <v/>
      </c>
      <c r="B428">
        <f>IF(PNL!B428="","",PNL!B428)</f>
        <v/>
      </c>
      <c r="C428">
        <f>IF(PNL!C428="","",PNL!C428)</f>
        <v/>
      </c>
      <c r="D428">
        <f>IF(PNL!D428="","",PNL!D428)</f>
        <v/>
      </c>
      <c r="E428">
        <f>IF($A428="","",IF(AND($C428="2027",OR($D428="V01",$D428="V02",$D428="V03")),1,0))</f>
        <v/>
      </c>
      <c r="F428">
        <f>IF($A428="","",IF($E428=1,SUMIFS(Comptabilité!$F$1:$F$675,Comptabilité!$A$1:$A$675,$A428,Comptabilité!$B$1:$B$675,$B428,Comptabilité!$C$1:$C$675,"2026"),0))</f>
        <v/>
      </c>
      <c r="G428">
        <f>IF($A428="","",IF($D428="V01",Cadrage!$C$22,IF($D428="V02",Cadrage!$D$22,Cadrage!$E$22)))</f>
        <v/>
      </c>
      <c r="H428">
        <f>IF($A428="","",IF($D428="V01",Cadrage!$C$23,IF($D428="V02",Cadrage!$D$23,Cadrage!$E$23)))</f>
        <v/>
      </c>
      <c r="I428">
        <f>IF($A428="","",IF($D428="V01",Cadrage!$C$31,IF($D428="V02",Cadrage!$D$31,Cadrage!$E$31)))</f>
        <v/>
      </c>
      <c r="J428">
        <f>IF($A428="","",IF($D428="V01",Cadrage!$C$32,IF($D428="V02",Cadrage!$D$32,Cadrage!$E$32)))</f>
        <v/>
      </c>
      <c r="K428">
        <f>IF($A428="","",IF($D428="V01",Cadrage!$C$33,IF($D428="V02",Cadrage!$D$33,Cadrage!$E$33)))</f>
        <v/>
      </c>
      <c r="L428">
        <f>IF($A428="","",IF($D428="V01",Cadrage!$C$34,IF($D428="V02",Cadrage!$D$34,Cadrage!$E$34)))</f>
        <v/>
      </c>
      <c r="M428">
        <f>IF($A428="","",IF($D428="V01",Cadrage!$C$35,IF($D428="V02",Cadrage!$D$35,Cadrage!$E$35)))</f>
        <v/>
      </c>
      <c r="N428">
        <f>IF($A428="","",IF($D428="V01",$R$2,IF($D428="V02",$R$3,$R$4)))</f>
        <v/>
      </c>
      <c r="O428">
        <f>IF($A428="","",IF(OR($B428="7062",$B428="706",$B428="708"),$N428,IF($B428="6231",1+$G428,IF($B428="6236",1+$H428,IF(OR($B428="621",$B428="604",$B428="6063"),$N428*(1-$L428),IF(OR($B428="6411",$B428="6413",$B428="6414",$B428="645"),(1+$J428)*(1+$K428),IF(OR($B428="613",$B428="615",$B428="616",$B428="6226",$B428="625",$B428="626",$B428="6281"),(1+$I428)*(1-$L428)*(1+$M428),IF(OR($B428="6331",$B428="63511",$B428="6333"),(1+$I428)*(1-$L428),IF($B428="6811",1+$I428,1)))))))))</f>
        <v/>
      </c>
      <c r="P428">
        <f>IF($A428="","",IF($E428=1,$F428*$O428,PNL!G428))</f>
        <v/>
      </c>
      <c r="T428">
        <f>IF($A428="","",IF($E428=1,IF(OR($B428="7062",$B428="706",$B428="708"),$P428,IF(AND(LEFT($B428,1)="6",$B428&lt;&gt;"6811"),-$P428,0)),0))</f>
        <v/>
      </c>
    </row>
    <row r="429">
      <c r="A429">
        <f>IF(PNL!A429="","",PNL!A429)</f>
        <v/>
      </c>
      <c r="B429">
        <f>IF(PNL!B429="","",PNL!B429)</f>
        <v/>
      </c>
      <c r="C429">
        <f>IF(PNL!C429="","",PNL!C429)</f>
        <v/>
      </c>
      <c r="D429">
        <f>IF(PNL!D429="","",PNL!D429)</f>
        <v/>
      </c>
      <c r="E429">
        <f>IF($A429="","",IF(AND($C429="2027",OR($D429="V01",$D429="V02",$D429="V03")),1,0))</f>
        <v/>
      </c>
      <c r="F429">
        <f>IF($A429="","",IF($E429=1,SUMIFS(Comptabilité!$F$1:$F$675,Comptabilité!$A$1:$A$675,$A429,Comptabilité!$B$1:$B$675,$B429,Comptabilité!$C$1:$C$675,"2026"),0))</f>
        <v/>
      </c>
      <c r="G429">
        <f>IF($A429="","",IF($D429="V01",Cadrage!$C$22,IF($D429="V02",Cadrage!$D$22,Cadrage!$E$22)))</f>
        <v/>
      </c>
      <c r="H429">
        <f>IF($A429="","",IF($D429="V01",Cadrage!$C$23,IF($D429="V02",Cadrage!$D$23,Cadrage!$E$23)))</f>
        <v/>
      </c>
      <c r="I429">
        <f>IF($A429="","",IF($D429="V01",Cadrage!$C$31,IF($D429="V02",Cadrage!$D$31,Cadrage!$E$31)))</f>
        <v/>
      </c>
      <c r="J429">
        <f>IF($A429="","",IF($D429="V01",Cadrage!$C$32,IF($D429="V02",Cadrage!$D$32,Cadrage!$E$32)))</f>
        <v/>
      </c>
      <c r="K429">
        <f>IF($A429="","",IF($D429="V01",Cadrage!$C$33,IF($D429="V02",Cadrage!$D$33,Cadrage!$E$33)))</f>
        <v/>
      </c>
      <c r="L429">
        <f>IF($A429="","",IF($D429="V01",Cadrage!$C$34,IF($D429="V02",Cadrage!$D$34,Cadrage!$E$34)))</f>
        <v/>
      </c>
      <c r="M429">
        <f>IF($A429="","",IF($D429="V01",Cadrage!$C$35,IF($D429="V02",Cadrage!$D$35,Cadrage!$E$35)))</f>
        <v/>
      </c>
      <c r="N429">
        <f>IF($A429="","",IF($D429="V01",$R$2,IF($D429="V02",$R$3,$R$4)))</f>
        <v/>
      </c>
      <c r="O429">
        <f>IF($A429="","",IF(OR($B429="7062",$B429="706",$B429="708"),$N429,IF($B429="6231",1+$G429,IF($B429="6236",1+$H429,IF(OR($B429="621",$B429="604",$B429="6063"),$N429*(1-$L429),IF(OR($B429="6411",$B429="6413",$B429="6414",$B429="645"),(1+$J429)*(1+$K429),IF(OR($B429="613",$B429="615",$B429="616",$B429="6226",$B429="625",$B429="626",$B429="6281"),(1+$I429)*(1-$L429)*(1+$M429),IF(OR($B429="6331",$B429="63511",$B429="6333"),(1+$I429)*(1-$L429),IF($B429="6811",1+$I429,1)))))))))</f>
        <v/>
      </c>
      <c r="P429">
        <f>IF($A429="","",IF($E429=1,$F429*$O429,PNL!G429))</f>
        <v/>
      </c>
      <c r="T429">
        <f>IF($A429="","",IF($E429=1,IF(OR($B429="7062",$B429="706",$B429="708"),$P429,IF(AND(LEFT($B429,1)="6",$B429&lt;&gt;"6811"),-$P429,0)),0))</f>
        <v/>
      </c>
    </row>
    <row r="430">
      <c r="A430">
        <f>IF(PNL!A430="","",PNL!A430)</f>
        <v/>
      </c>
      <c r="B430">
        <f>IF(PNL!B430="","",PNL!B430)</f>
        <v/>
      </c>
      <c r="C430">
        <f>IF(PNL!C430="","",PNL!C430)</f>
        <v/>
      </c>
      <c r="D430">
        <f>IF(PNL!D430="","",PNL!D430)</f>
        <v/>
      </c>
      <c r="E430">
        <f>IF($A430="","",IF(AND($C430="2027",OR($D430="V01",$D430="V02",$D430="V03")),1,0))</f>
        <v/>
      </c>
      <c r="F430">
        <f>IF($A430="","",IF($E430=1,SUMIFS(Comptabilité!$F$1:$F$675,Comptabilité!$A$1:$A$675,$A430,Comptabilité!$B$1:$B$675,$B430,Comptabilité!$C$1:$C$675,"2026"),0))</f>
        <v/>
      </c>
      <c r="G430">
        <f>IF($A430="","",IF($D430="V01",Cadrage!$C$22,IF($D430="V02",Cadrage!$D$22,Cadrage!$E$22)))</f>
        <v/>
      </c>
      <c r="H430">
        <f>IF($A430="","",IF($D430="V01",Cadrage!$C$23,IF($D430="V02",Cadrage!$D$23,Cadrage!$E$23)))</f>
        <v/>
      </c>
      <c r="I430">
        <f>IF($A430="","",IF($D430="V01",Cadrage!$C$31,IF($D430="V02",Cadrage!$D$31,Cadrage!$E$31)))</f>
        <v/>
      </c>
      <c r="J430">
        <f>IF($A430="","",IF($D430="V01",Cadrage!$C$32,IF($D430="V02",Cadrage!$D$32,Cadrage!$E$32)))</f>
        <v/>
      </c>
      <c r="K430">
        <f>IF($A430="","",IF($D430="V01",Cadrage!$C$33,IF($D430="V02",Cadrage!$D$33,Cadrage!$E$33)))</f>
        <v/>
      </c>
      <c r="L430">
        <f>IF($A430="","",IF($D430="V01",Cadrage!$C$34,IF($D430="V02",Cadrage!$D$34,Cadrage!$E$34)))</f>
        <v/>
      </c>
      <c r="M430">
        <f>IF($A430="","",IF($D430="V01",Cadrage!$C$35,IF($D430="V02",Cadrage!$D$35,Cadrage!$E$35)))</f>
        <v/>
      </c>
      <c r="N430">
        <f>IF($A430="","",IF($D430="V01",$R$2,IF($D430="V02",$R$3,$R$4)))</f>
        <v/>
      </c>
      <c r="O430">
        <f>IF($A430="","",IF(OR($B430="7062",$B430="706",$B430="708"),$N430,IF($B430="6231",1+$G430,IF($B430="6236",1+$H430,IF(OR($B430="621",$B430="604",$B430="6063"),$N430*(1-$L430),IF(OR($B430="6411",$B430="6413",$B430="6414",$B430="645"),(1+$J430)*(1+$K430),IF(OR($B430="613",$B430="615",$B430="616",$B430="6226",$B430="625",$B430="626",$B430="6281"),(1+$I430)*(1-$L430)*(1+$M430),IF(OR($B430="6331",$B430="63511",$B430="6333"),(1+$I430)*(1-$L430),IF($B430="6811",1+$I430,1)))))))))</f>
        <v/>
      </c>
      <c r="P430">
        <f>IF($A430="","",IF($E430=1,$F430*$O430,PNL!G430))</f>
        <v/>
      </c>
      <c r="T430">
        <f>IF($A430="","",IF($E430=1,IF(OR($B430="7062",$B430="706",$B430="708"),$P430,IF(AND(LEFT($B430,1)="6",$B430&lt;&gt;"6811"),-$P430,0)),0))</f>
        <v/>
      </c>
    </row>
    <row r="431">
      <c r="A431">
        <f>IF(PNL!A431="","",PNL!A431)</f>
        <v/>
      </c>
      <c r="B431">
        <f>IF(PNL!B431="","",PNL!B431)</f>
        <v/>
      </c>
      <c r="C431">
        <f>IF(PNL!C431="","",PNL!C431)</f>
        <v/>
      </c>
      <c r="D431">
        <f>IF(PNL!D431="","",PNL!D431)</f>
        <v/>
      </c>
      <c r="E431">
        <f>IF($A431="","",IF(AND($C431="2027",OR($D431="V01",$D431="V02",$D431="V03")),1,0))</f>
        <v/>
      </c>
      <c r="F431">
        <f>IF($A431="","",IF($E431=1,SUMIFS(Comptabilité!$F$1:$F$675,Comptabilité!$A$1:$A$675,$A431,Comptabilité!$B$1:$B$675,$B431,Comptabilité!$C$1:$C$675,"2026"),0))</f>
        <v/>
      </c>
      <c r="G431">
        <f>IF($A431="","",IF($D431="V01",Cadrage!$C$22,IF($D431="V02",Cadrage!$D$22,Cadrage!$E$22)))</f>
        <v/>
      </c>
      <c r="H431">
        <f>IF($A431="","",IF($D431="V01",Cadrage!$C$23,IF($D431="V02",Cadrage!$D$23,Cadrage!$E$23)))</f>
        <v/>
      </c>
      <c r="I431">
        <f>IF($A431="","",IF($D431="V01",Cadrage!$C$31,IF($D431="V02",Cadrage!$D$31,Cadrage!$E$31)))</f>
        <v/>
      </c>
      <c r="J431">
        <f>IF($A431="","",IF($D431="V01",Cadrage!$C$32,IF($D431="V02",Cadrage!$D$32,Cadrage!$E$32)))</f>
        <v/>
      </c>
      <c r="K431">
        <f>IF($A431="","",IF($D431="V01",Cadrage!$C$33,IF($D431="V02",Cadrage!$D$33,Cadrage!$E$33)))</f>
        <v/>
      </c>
      <c r="L431">
        <f>IF($A431="","",IF($D431="V01",Cadrage!$C$34,IF($D431="V02",Cadrage!$D$34,Cadrage!$E$34)))</f>
        <v/>
      </c>
      <c r="M431">
        <f>IF($A431="","",IF($D431="V01",Cadrage!$C$35,IF($D431="V02",Cadrage!$D$35,Cadrage!$E$35)))</f>
        <v/>
      </c>
      <c r="N431">
        <f>IF($A431="","",IF($D431="V01",$R$2,IF($D431="V02",$R$3,$R$4)))</f>
        <v/>
      </c>
      <c r="O431">
        <f>IF($A431="","",IF(OR($B431="7062",$B431="706",$B431="708"),$N431,IF($B431="6231",1+$G431,IF($B431="6236",1+$H431,IF(OR($B431="621",$B431="604",$B431="6063"),$N431*(1-$L431),IF(OR($B431="6411",$B431="6413",$B431="6414",$B431="645"),(1+$J431)*(1+$K431),IF(OR($B431="613",$B431="615",$B431="616",$B431="6226",$B431="625",$B431="626",$B431="6281"),(1+$I431)*(1-$L431)*(1+$M431),IF(OR($B431="6331",$B431="63511",$B431="6333"),(1+$I431)*(1-$L431),IF($B431="6811",1+$I431,1)))))))))</f>
        <v/>
      </c>
      <c r="P431">
        <f>IF($A431="","",IF($E431=1,$F431*$O431,PNL!G431))</f>
        <v/>
      </c>
      <c r="T431">
        <f>IF($A431="","",IF($E431=1,IF(OR($B431="7062",$B431="706",$B431="708"),$P431,IF(AND(LEFT($B431,1)="6",$B431&lt;&gt;"6811"),-$P431,0)),0))</f>
        <v/>
      </c>
    </row>
    <row r="432">
      <c r="A432">
        <f>IF(PNL!A432="","",PNL!A432)</f>
        <v/>
      </c>
      <c r="B432">
        <f>IF(PNL!B432="","",PNL!B432)</f>
        <v/>
      </c>
      <c r="C432">
        <f>IF(PNL!C432="","",PNL!C432)</f>
        <v/>
      </c>
      <c r="D432">
        <f>IF(PNL!D432="","",PNL!D432)</f>
        <v/>
      </c>
      <c r="E432">
        <f>IF($A432="","",IF(AND($C432="2027",OR($D432="V01",$D432="V02",$D432="V03")),1,0))</f>
        <v/>
      </c>
      <c r="F432">
        <f>IF($A432="","",IF($E432=1,SUMIFS(Comptabilité!$F$1:$F$675,Comptabilité!$A$1:$A$675,$A432,Comptabilité!$B$1:$B$675,$B432,Comptabilité!$C$1:$C$675,"2026"),0))</f>
        <v/>
      </c>
      <c r="G432">
        <f>IF($A432="","",IF($D432="V01",Cadrage!$C$22,IF($D432="V02",Cadrage!$D$22,Cadrage!$E$22)))</f>
        <v/>
      </c>
      <c r="H432">
        <f>IF($A432="","",IF($D432="V01",Cadrage!$C$23,IF($D432="V02",Cadrage!$D$23,Cadrage!$E$23)))</f>
        <v/>
      </c>
      <c r="I432">
        <f>IF($A432="","",IF($D432="V01",Cadrage!$C$31,IF($D432="V02",Cadrage!$D$31,Cadrage!$E$31)))</f>
        <v/>
      </c>
      <c r="J432">
        <f>IF($A432="","",IF($D432="V01",Cadrage!$C$32,IF($D432="V02",Cadrage!$D$32,Cadrage!$E$32)))</f>
        <v/>
      </c>
      <c r="K432">
        <f>IF($A432="","",IF($D432="V01",Cadrage!$C$33,IF($D432="V02",Cadrage!$D$33,Cadrage!$E$33)))</f>
        <v/>
      </c>
      <c r="L432">
        <f>IF($A432="","",IF($D432="V01",Cadrage!$C$34,IF($D432="V02",Cadrage!$D$34,Cadrage!$E$34)))</f>
        <v/>
      </c>
      <c r="M432">
        <f>IF($A432="","",IF($D432="V01",Cadrage!$C$35,IF($D432="V02",Cadrage!$D$35,Cadrage!$E$35)))</f>
        <v/>
      </c>
      <c r="N432">
        <f>IF($A432="","",IF($D432="V01",$R$2,IF($D432="V02",$R$3,$R$4)))</f>
        <v/>
      </c>
      <c r="O432">
        <f>IF($A432="","",IF(OR($B432="7062",$B432="706",$B432="708"),$N432,IF($B432="6231",1+$G432,IF($B432="6236",1+$H432,IF(OR($B432="621",$B432="604",$B432="6063"),$N432*(1-$L432),IF(OR($B432="6411",$B432="6413",$B432="6414",$B432="645"),(1+$J432)*(1+$K432),IF(OR($B432="613",$B432="615",$B432="616",$B432="6226",$B432="625",$B432="626",$B432="6281"),(1+$I432)*(1-$L432)*(1+$M432),IF(OR($B432="6331",$B432="63511",$B432="6333"),(1+$I432)*(1-$L432),IF($B432="6811",1+$I432,1)))))))))</f>
        <v/>
      </c>
      <c r="P432">
        <f>IF($A432="","",IF($E432=1,$F432*$O432,PNL!G432))</f>
        <v/>
      </c>
      <c r="T432">
        <f>IF($A432="","",IF($E432=1,IF(OR($B432="7062",$B432="706",$B432="708"),$P432,IF(AND(LEFT($B432,1)="6",$B432&lt;&gt;"6811"),-$P432,0)),0))</f>
        <v/>
      </c>
    </row>
    <row r="433">
      <c r="A433">
        <f>IF(PNL!A433="","",PNL!A433)</f>
        <v/>
      </c>
      <c r="B433">
        <f>IF(PNL!B433="","",PNL!B433)</f>
        <v/>
      </c>
      <c r="C433">
        <f>IF(PNL!C433="","",PNL!C433)</f>
        <v/>
      </c>
      <c r="D433">
        <f>IF(PNL!D433="","",PNL!D433)</f>
        <v/>
      </c>
      <c r="E433">
        <f>IF($A433="","",IF(AND($C433="2027",OR($D433="V01",$D433="V02",$D433="V03")),1,0))</f>
        <v/>
      </c>
      <c r="F433">
        <f>IF($A433="","",IF($E433=1,SUMIFS(Comptabilité!$F$1:$F$675,Comptabilité!$A$1:$A$675,$A433,Comptabilité!$B$1:$B$675,$B433,Comptabilité!$C$1:$C$675,"2026"),0))</f>
        <v/>
      </c>
      <c r="G433">
        <f>IF($A433="","",IF($D433="V01",Cadrage!$C$22,IF($D433="V02",Cadrage!$D$22,Cadrage!$E$22)))</f>
        <v/>
      </c>
      <c r="H433">
        <f>IF($A433="","",IF($D433="V01",Cadrage!$C$23,IF($D433="V02",Cadrage!$D$23,Cadrage!$E$23)))</f>
        <v/>
      </c>
      <c r="I433">
        <f>IF($A433="","",IF($D433="V01",Cadrage!$C$31,IF($D433="V02",Cadrage!$D$31,Cadrage!$E$31)))</f>
        <v/>
      </c>
      <c r="J433">
        <f>IF($A433="","",IF($D433="V01",Cadrage!$C$32,IF($D433="V02",Cadrage!$D$32,Cadrage!$E$32)))</f>
        <v/>
      </c>
      <c r="K433">
        <f>IF($A433="","",IF($D433="V01",Cadrage!$C$33,IF($D433="V02",Cadrage!$D$33,Cadrage!$E$33)))</f>
        <v/>
      </c>
      <c r="L433">
        <f>IF($A433="","",IF($D433="V01",Cadrage!$C$34,IF($D433="V02",Cadrage!$D$34,Cadrage!$E$34)))</f>
        <v/>
      </c>
      <c r="M433">
        <f>IF($A433="","",IF($D433="V01",Cadrage!$C$35,IF($D433="V02",Cadrage!$D$35,Cadrage!$E$35)))</f>
        <v/>
      </c>
      <c r="N433">
        <f>IF($A433="","",IF($D433="V01",$R$2,IF($D433="V02",$R$3,$R$4)))</f>
        <v/>
      </c>
      <c r="O433">
        <f>IF($A433="","",IF(OR($B433="7062",$B433="706",$B433="708"),$N433,IF($B433="6231",1+$G433,IF($B433="6236",1+$H433,IF(OR($B433="621",$B433="604",$B433="6063"),$N433*(1-$L433),IF(OR($B433="6411",$B433="6413",$B433="6414",$B433="645"),(1+$J433)*(1+$K433),IF(OR($B433="613",$B433="615",$B433="616",$B433="6226",$B433="625",$B433="626",$B433="6281"),(1+$I433)*(1-$L433)*(1+$M433),IF(OR($B433="6331",$B433="63511",$B433="6333"),(1+$I433)*(1-$L433),IF($B433="6811",1+$I433,1)))))))))</f>
        <v/>
      </c>
      <c r="P433">
        <f>IF($A433="","",IF($E433=1,$F433*$O433,PNL!G433))</f>
        <v/>
      </c>
      <c r="T433">
        <f>IF($A433="","",IF($E433=1,IF(OR($B433="7062",$B433="706",$B433="708"),$P433,IF(AND(LEFT($B433,1)="6",$B433&lt;&gt;"6811"),-$P433,0)),0))</f>
        <v/>
      </c>
    </row>
    <row r="434">
      <c r="A434">
        <f>IF(PNL!A434="","",PNL!A434)</f>
        <v/>
      </c>
      <c r="B434">
        <f>IF(PNL!B434="","",PNL!B434)</f>
        <v/>
      </c>
      <c r="C434">
        <f>IF(PNL!C434="","",PNL!C434)</f>
        <v/>
      </c>
      <c r="D434">
        <f>IF(PNL!D434="","",PNL!D434)</f>
        <v/>
      </c>
      <c r="E434">
        <f>IF($A434="","",IF(AND($C434="2027",OR($D434="V01",$D434="V02",$D434="V03")),1,0))</f>
        <v/>
      </c>
      <c r="F434">
        <f>IF($A434="","",IF($E434=1,SUMIFS(Comptabilité!$F$1:$F$675,Comptabilité!$A$1:$A$675,$A434,Comptabilité!$B$1:$B$675,$B434,Comptabilité!$C$1:$C$675,"2026"),0))</f>
        <v/>
      </c>
      <c r="G434">
        <f>IF($A434="","",IF($D434="V01",Cadrage!$C$22,IF($D434="V02",Cadrage!$D$22,Cadrage!$E$22)))</f>
        <v/>
      </c>
      <c r="H434">
        <f>IF($A434="","",IF($D434="V01",Cadrage!$C$23,IF($D434="V02",Cadrage!$D$23,Cadrage!$E$23)))</f>
        <v/>
      </c>
      <c r="I434">
        <f>IF($A434="","",IF($D434="V01",Cadrage!$C$31,IF($D434="V02",Cadrage!$D$31,Cadrage!$E$31)))</f>
        <v/>
      </c>
      <c r="J434">
        <f>IF($A434="","",IF($D434="V01",Cadrage!$C$32,IF($D434="V02",Cadrage!$D$32,Cadrage!$E$32)))</f>
        <v/>
      </c>
      <c r="K434">
        <f>IF($A434="","",IF($D434="V01",Cadrage!$C$33,IF($D434="V02",Cadrage!$D$33,Cadrage!$E$33)))</f>
        <v/>
      </c>
      <c r="L434">
        <f>IF($A434="","",IF($D434="V01",Cadrage!$C$34,IF($D434="V02",Cadrage!$D$34,Cadrage!$E$34)))</f>
        <v/>
      </c>
      <c r="M434">
        <f>IF($A434="","",IF($D434="V01",Cadrage!$C$35,IF($D434="V02",Cadrage!$D$35,Cadrage!$E$35)))</f>
        <v/>
      </c>
      <c r="N434">
        <f>IF($A434="","",IF($D434="V01",$R$2,IF($D434="V02",$R$3,$R$4)))</f>
        <v/>
      </c>
      <c r="O434">
        <f>IF($A434="","",IF(OR($B434="7062",$B434="706",$B434="708"),$N434,IF($B434="6231",1+$G434,IF($B434="6236",1+$H434,IF(OR($B434="621",$B434="604",$B434="6063"),$N434*(1-$L434),IF(OR($B434="6411",$B434="6413",$B434="6414",$B434="645"),(1+$J434)*(1+$K434),IF(OR($B434="613",$B434="615",$B434="616",$B434="6226",$B434="625",$B434="626",$B434="6281"),(1+$I434)*(1-$L434)*(1+$M434),IF(OR($B434="6331",$B434="63511",$B434="6333"),(1+$I434)*(1-$L434),IF($B434="6811",1+$I434,1)))))))))</f>
        <v/>
      </c>
      <c r="P434">
        <f>IF($A434="","",IF($E434=1,$F434*$O434,PNL!G434))</f>
        <v/>
      </c>
      <c r="T434">
        <f>IF($A434="","",IF($E434=1,IF(OR($B434="7062",$B434="706",$B434="708"),$P434,IF(AND(LEFT($B434,1)="6",$B434&lt;&gt;"6811"),-$P434,0)),0))</f>
        <v/>
      </c>
    </row>
    <row r="435">
      <c r="A435">
        <f>IF(PNL!A435="","",PNL!A435)</f>
        <v/>
      </c>
      <c r="B435">
        <f>IF(PNL!B435="","",PNL!B435)</f>
        <v/>
      </c>
      <c r="C435">
        <f>IF(PNL!C435="","",PNL!C435)</f>
        <v/>
      </c>
      <c r="D435">
        <f>IF(PNL!D435="","",PNL!D435)</f>
        <v/>
      </c>
      <c r="E435">
        <f>IF($A435="","",IF(AND($C435="2027",OR($D435="V01",$D435="V02",$D435="V03")),1,0))</f>
        <v/>
      </c>
      <c r="F435">
        <f>IF($A435="","",IF($E435=1,SUMIFS(Comptabilité!$F$1:$F$675,Comptabilité!$A$1:$A$675,$A435,Comptabilité!$B$1:$B$675,$B435,Comptabilité!$C$1:$C$675,"2026"),0))</f>
        <v/>
      </c>
      <c r="G435">
        <f>IF($A435="","",IF($D435="V01",Cadrage!$C$22,IF($D435="V02",Cadrage!$D$22,Cadrage!$E$22)))</f>
        <v/>
      </c>
      <c r="H435">
        <f>IF($A435="","",IF($D435="V01",Cadrage!$C$23,IF($D435="V02",Cadrage!$D$23,Cadrage!$E$23)))</f>
        <v/>
      </c>
      <c r="I435">
        <f>IF($A435="","",IF($D435="V01",Cadrage!$C$31,IF($D435="V02",Cadrage!$D$31,Cadrage!$E$31)))</f>
        <v/>
      </c>
      <c r="J435">
        <f>IF($A435="","",IF($D435="V01",Cadrage!$C$32,IF($D435="V02",Cadrage!$D$32,Cadrage!$E$32)))</f>
        <v/>
      </c>
      <c r="K435">
        <f>IF($A435="","",IF($D435="V01",Cadrage!$C$33,IF($D435="V02",Cadrage!$D$33,Cadrage!$E$33)))</f>
        <v/>
      </c>
      <c r="L435">
        <f>IF($A435="","",IF($D435="V01",Cadrage!$C$34,IF($D435="V02",Cadrage!$D$34,Cadrage!$E$34)))</f>
        <v/>
      </c>
      <c r="M435">
        <f>IF($A435="","",IF($D435="V01",Cadrage!$C$35,IF($D435="V02",Cadrage!$D$35,Cadrage!$E$35)))</f>
        <v/>
      </c>
      <c r="N435">
        <f>IF($A435="","",IF($D435="V01",$R$2,IF($D435="V02",$R$3,$R$4)))</f>
        <v/>
      </c>
      <c r="O435">
        <f>IF($A435="","",IF(OR($B435="7062",$B435="706",$B435="708"),$N435,IF($B435="6231",1+$G435,IF($B435="6236",1+$H435,IF(OR($B435="621",$B435="604",$B435="6063"),$N435*(1-$L435),IF(OR($B435="6411",$B435="6413",$B435="6414",$B435="645"),(1+$J435)*(1+$K435),IF(OR($B435="613",$B435="615",$B435="616",$B435="6226",$B435="625",$B435="626",$B435="6281"),(1+$I435)*(1-$L435)*(1+$M435),IF(OR($B435="6331",$B435="63511",$B435="6333"),(1+$I435)*(1-$L435),IF($B435="6811",1+$I435,1)))))))))</f>
        <v/>
      </c>
      <c r="P435">
        <f>IF($A435="","",IF($E435=1,$F435*$O435,PNL!G435))</f>
        <v/>
      </c>
      <c r="T435">
        <f>IF($A435="","",IF($E435=1,IF(OR($B435="7062",$B435="706",$B435="708"),$P435,IF(AND(LEFT($B435,1)="6",$B435&lt;&gt;"6811"),-$P435,0)),0))</f>
        <v/>
      </c>
    </row>
    <row r="436">
      <c r="A436">
        <f>IF(PNL!A436="","",PNL!A436)</f>
        <v/>
      </c>
      <c r="B436">
        <f>IF(PNL!B436="","",PNL!B436)</f>
        <v/>
      </c>
      <c r="C436">
        <f>IF(PNL!C436="","",PNL!C436)</f>
        <v/>
      </c>
      <c r="D436">
        <f>IF(PNL!D436="","",PNL!D436)</f>
        <v/>
      </c>
      <c r="E436">
        <f>IF($A436="","",IF(AND($C436="2027",OR($D436="V01",$D436="V02",$D436="V03")),1,0))</f>
        <v/>
      </c>
      <c r="F436">
        <f>IF($A436="","",IF($E436=1,SUMIFS(Comptabilité!$F$1:$F$675,Comptabilité!$A$1:$A$675,$A436,Comptabilité!$B$1:$B$675,$B436,Comptabilité!$C$1:$C$675,"2026"),0))</f>
        <v/>
      </c>
      <c r="G436">
        <f>IF($A436="","",IF($D436="V01",Cadrage!$C$22,IF($D436="V02",Cadrage!$D$22,Cadrage!$E$22)))</f>
        <v/>
      </c>
      <c r="H436">
        <f>IF($A436="","",IF($D436="V01",Cadrage!$C$23,IF($D436="V02",Cadrage!$D$23,Cadrage!$E$23)))</f>
        <v/>
      </c>
      <c r="I436">
        <f>IF($A436="","",IF($D436="V01",Cadrage!$C$31,IF($D436="V02",Cadrage!$D$31,Cadrage!$E$31)))</f>
        <v/>
      </c>
      <c r="J436">
        <f>IF($A436="","",IF($D436="V01",Cadrage!$C$32,IF($D436="V02",Cadrage!$D$32,Cadrage!$E$32)))</f>
        <v/>
      </c>
      <c r="K436">
        <f>IF($A436="","",IF($D436="V01",Cadrage!$C$33,IF($D436="V02",Cadrage!$D$33,Cadrage!$E$33)))</f>
        <v/>
      </c>
      <c r="L436">
        <f>IF($A436="","",IF($D436="V01",Cadrage!$C$34,IF($D436="V02",Cadrage!$D$34,Cadrage!$E$34)))</f>
        <v/>
      </c>
      <c r="M436">
        <f>IF($A436="","",IF($D436="V01",Cadrage!$C$35,IF($D436="V02",Cadrage!$D$35,Cadrage!$E$35)))</f>
        <v/>
      </c>
      <c r="N436">
        <f>IF($A436="","",IF($D436="V01",$R$2,IF($D436="V02",$R$3,$R$4)))</f>
        <v/>
      </c>
      <c r="O436">
        <f>IF($A436="","",IF(OR($B436="7062",$B436="706",$B436="708"),$N436,IF($B436="6231",1+$G436,IF($B436="6236",1+$H436,IF(OR($B436="621",$B436="604",$B436="6063"),$N436*(1-$L436),IF(OR($B436="6411",$B436="6413",$B436="6414",$B436="645"),(1+$J436)*(1+$K436),IF(OR($B436="613",$B436="615",$B436="616",$B436="6226",$B436="625",$B436="626",$B436="6281"),(1+$I436)*(1-$L436)*(1+$M436),IF(OR($B436="6331",$B436="63511",$B436="6333"),(1+$I436)*(1-$L436),IF($B436="6811",1+$I436,1)))))))))</f>
        <v/>
      </c>
      <c r="P436">
        <f>IF($A436="","",IF($E436=1,$F436*$O436,PNL!G436))</f>
        <v/>
      </c>
      <c r="T436">
        <f>IF($A436="","",IF($E436=1,IF(OR($B436="7062",$B436="706",$B436="708"),$P436,IF(AND(LEFT($B436,1)="6",$B436&lt;&gt;"6811"),-$P436,0)),0))</f>
        <v/>
      </c>
    </row>
    <row r="437">
      <c r="A437">
        <f>IF(PNL!A437="","",PNL!A437)</f>
        <v/>
      </c>
      <c r="B437">
        <f>IF(PNL!B437="","",PNL!B437)</f>
        <v/>
      </c>
      <c r="C437">
        <f>IF(PNL!C437="","",PNL!C437)</f>
        <v/>
      </c>
      <c r="D437">
        <f>IF(PNL!D437="","",PNL!D437)</f>
        <v/>
      </c>
      <c r="E437">
        <f>IF($A437="","",IF(AND($C437="2027",OR($D437="V01",$D437="V02",$D437="V03")),1,0))</f>
        <v/>
      </c>
      <c r="F437">
        <f>IF($A437="","",IF($E437=1,SUMIFS(Comptabilité!$F$1:$F$675,Comptabilité!$A$1:$A$675,$A437,Comptabilité!$B$1:$B$675,$B437,Comptabilité!$C$1:$C$675,"2026"),0))</f>
        <v/>
      </c>
      <c r="G437">
        <f>IF($A437="","",IF($D437="V01",Cadrage!$C$22,IF($D437="V02",Cadrage!$D$22,Cadrage!$E$22)))</f>
        <v/>
      </c>
      <c r="H437">
        <f>IF($A437="","",IF($D437="V01",Cadrage!$C$23,IF($D437="V02",Cadrage!$D$23,Cadrage!$E$23)))</f>
        <v/>
      </c>
      <c r="I437">
        <f>IF($A437="","",IF($D437="V01",Cadrage!$C$31,IF($D437="V02",Cadrage!$D$31,Cadrage!$E$31)))</f>
        <v/>
      </c>
      <c r="J437">
        <f>IF($A437="","",IF($D437="V01",Cadrage!$C$32,IF($D437="V02",Cadrage!$D$32,Cadrage!$E$32)))</f>
        <v/>
      </c>
      <c r="K437">
        <f>IF($A437="","",IF($D437="V01",Cadrage!$C$33,IF($D437="V02",Cadrage!$D$33,Cadrage!$E$33)))</f>
        <v/>
      </c>
      <c r="L437">
        <f>IF($A437="","",IF($D437="V01",Cadrage!$C$34,IF($D437="V02",Cadrage!$D$34,Cadrage!$E$34)))</f>
        <v/>
      </c>
      <c r="M437">
        <f>IF($A437="","",IF($D437="V01",Cadrage!$C$35,IF($D437="V02",Cadrage!$D$35,Cadrage!$E$35)))</f>
        <v/>
      </c>
      <c r="N437">
        <f>IF($A437="","",IF($D437="V01",$R$2,IF($D437="V02",$R$3,$R$4)))</f>
        <v/>
      </c>
      <c r="O437">
        <f>IF($A437="","",IF(OR($B437="7062",$B437="706",$B437="708"),$N437,IF($B437="6231",1+$G437,IF($B437="6236",1+$H437,IF(OR($B437="621",$B437="604",$B437="6063"),$N437*(1-$L437),IF(OR($B437="6411",$B437="6413",$B437="6414",$B437="645"),(1+$J437)*(1+$K437),IF(OR($B437="613",$B437="615",$B437="616",$B437="6226",$B437="625",$B437="626",$B437="6281"),(1+$I437)*(1-$L437)*(1+$M437),IF(OR($B437="6331",$B437="63511",$B437="6333"),(1+$I437)*(1-$L437),IF($B437="6811",1+$I437,1)))))))))</f>
        <v/>
      </c>
      <c r="P437">
        <f>IF($A437="","",IF($E437=1,$F437*$O437,PNL!G437))</f>
        <v/>
      </c>
      <c r="T437">
        <f>IF($A437="","",IF($E437=1,IF(OR($B437="7062",$B437="706",$B437="708"),$P437,IF(AND(LEFT($B437,1)="6",$B437&lt;&gt;"6811"),-$P437,0)),0))</f>
        <v/>
      </c>
    </row>
    <row r="438">
      <c r="A438">
        <f>IF(PNL!A438="","",PNL!A438)</f>
        <v/>
      </c>
      <c r="B438">
        <f>IF(PNL!B438="","",PNL!B438)</f>
        <v/>
      </c>
      <c r="C438">
        <f>IF(PNL!C438="","",PNL!C438)</f>
        <v/>
      </c>
      <c r="D438">
        <f>IF(PNL!D438="","",PNL!D438)</f>
        <v/>
      </c>
      <c r="E438">
        <f>IF($A438="","",IF(AND($C438="2027",OR($D438="V01",$D438="V02",$D438="V03")),1,0))</f>
        <v/>
      </c>
      <c r="F438">
        <f>IF($A438="","",IF($E438=1,SUMIFS(Comptabilité!$F$1:$F$675,Comptabilité!$A$1:$A$675,$A438,Comptabilité!$B$1:$B$675,$B438,Comptabilité!$C$1:$C$675,"2026"),0))</f>
        <v/>
      </c>
      <c r="G438">
        <f>IF($A438="","",IF($D438="V01",Cadrage!$C$22,IF($D438="V02",Cadrage!$D$22,Cadrage!$E$22)))</f>
        <v/>
      </c>
      <c r="H438">
        <f>IF($A438="","",IF($D438="V01",Cadrage!$C$23,IF($D438="V02",Cadrage!$D$23,Cadrage!$E$23)))</f>
        <v/>
      </c>
      <c r="I438">
        <f>IF($A438="","",IF($D438="V01",Cadrage!$C$31,IF($D438="V02",Cadrage!$D$31,Cadrage!$E$31)))</f>
        <v/>
      </c>
      <c r="J438">
        <f>IF($A438="","",IF($D438="V01",Cadrage!$C$32,IF($D438="V02",Cadrage!$D$32,Cadrage!$E$32)))</f>
        <v/>
      </c>
      <c r="K438">
        <f>IF($A438="","",IF($D438="V01",Cadrage!$C$33,IF($D438="V02",Cadrage!$D$33,Cadrage!$E$33)))</f>
        <v/>
      </c>
      <c r="L438">
        <f>IF($A438="","",IF($D438="V01",Cadrage!$C$34,IF($D438="V02",Cadrage!$D$34,Cadrage!$E$34)))</f>
        <v/>
      </c>
      <c r="M438">
        <f>IF($A438="","",IF($D438="V01",Cadrage!$C$35,IF($D438="V02",Cadrage!$D$35,Cadrage!$E$35)))</f>
        <v/>
      </c>
      <c r="N438">
        <f>IF($A438="","",IF($D438="V01",$R$2,IF($D438="V02",$R$3,$R$4)))</f>
        <v/>
      </c>
      <c r="O438">
        <f>IF($A438="","",IF(OR($B438="7062",$B438="706",$B438="708"),$N438,IF($B438="6231",1+$G438,IF($B438="6236",1+$H438,IF(OR($B438="621",$B438="604",$B438="6063"),$N438*(1-$L438),IF(OR($B438="6411",$B438="6413",$B438="6414",$B438="645"),(1+$J438)*(1+$K438),IF(OR($B438="613",$B438="615",$B438="616",$B438="6226",$B438="625",$B438="626",$B438="6281"),(1+$I438)*(1-$L438)*(1+$M438),IF(OR($B438="6331",$B438="63511",$B438="6333"),(1+$I438)*(1-$L438),IF($B438="6811",1+$I438,1)))))))))</f>
        <v/>
      </c>
      <c r="P438">
        <f>IF($A438="","",IF($E438=1,$F438*$O438,PNL!G438))</f>
        <v/>
      </c>
      <c r="T438">
        <f>IF($A438="","",IF($E438=1,IF(OR($B438="7062",$B438="706",$B438="708"),$P438,IF(AND(LEFT($B438,1)="6",$B438&lt;&gt;"6811"),-$P438,0)),0))</f>
        <v/>
      </c>
    </row>
    <row r="439">
      <c r="A439">
        <f>IF(PNL!A439="","",PNL!A439)</f>
        <v/>
      </c>
      <c r="B439">
        <f>IF(PNL!B439="","",PNL!B439)</f>
        <v/>
      </c>
      <c r="C439">
        <f>IF(PNL!C439="","",PNL!C439)</f>
        <v/>
      </c>
      <c r="D439">
        <f>IF(PNL!D439="","",PNL!D439)</f>
        <v/>
      </c>
      <c r="E439">
        <f>IF($A439="","",IF(AND($C439="2027",OR($D439="V01",$D439="V02",$D439="V03")),1,0))</f>
        <v/>
      </c>
      <c r="F439">
        <f>IF($A439="","",IF($E439=1,SUMIFS(Comptabilité!$F$1:$F$675,Comptabilité!$A$1:$A$675,$A439,Comptabilité!$B$1:$B$675,$B439,Comptabilité!$C$1:$C$675,"2026"),0))</f>
        <v/>
      </c>
      <c r="G439">
        <f>IF($A439="","",IF($D439="V01",Cadrage!$C$22,IF($D439="V02",Cadrage!$D$22,Cadrage!$E$22)))</f>
        <v/>
      </c>
      <c r="H439">
        <f>IF($A439="","",IF($D439="V01",Cadrage!$C$23,IF($D439="V02",Cadrage!$D$23,Cadrage!$E$23)))</f>
        <v/>
      </c>
      <c r="I439">
        <f>IF($A439="","",IF($D439="V01",Cadrage!$C$31,IF($D439="V02",Cadrage!$D$31,Cadrage!$E$31)))</f>
        <v/>
      </c>
      <c r="J439">
        <f>IF($A439="","",IF($D439="V01",Cadrage!$C$32,IF($D439="V02",Cadrage!$D$32,Cadrage!$E$32)))</f>
        <v/>
      </c>
      <c r="K439">
        <f>IF($A439="","",IF($D439="V01",Cadrage!$C$33,IF($D439="V02",Cadrage!$D$33,Cadrage!$E$33)))</f>
        <v/>
      </c>
      <c r="L439">
        <f>IF($A439="","",IF($D439="V01",Cadrage!$C$34,IF($D439="V02",Cadrage!$D$34,Cadrage!$E$34)))</f>
        <v/>
      </c>
      <c r="M439">
        <f>IF($A439="","",IF($D439="V01",Cadrage!$C$35,IF($D439="V02",Cadrage!$D$35,Cadrage!$E$35)))</f>
        <v/>
      </c>
      <c r="N439">
        <f>IF($A439="","",IF($D439="V01",$R$2,IF($D439="V02",$R$3,$R$4)))</f>
        <v/>
      </c>
      <c r="O439">
        <f>IF($A439="","",IF(OR($B439="7062",$B439="706",$B439="708"),$N439,IF($B439="6231",1+$G439,IF($B439="6236",1+$H439,IF(OR($B439="621",$B439="604",$B439="6063"),$N439*(1-$L439),IF(OR($B439="6411",$B439="6413",$B439="6414",$B439="645"),(1+$J439)*(1+$K439),IF(OR($B439="613",$B439="615",$B439="616",$B439="6226",$B439="625",$B439="626",$B439="6281"),(1+$I439)*(1-$L439)*(1+$M439),IF(OR($B439="6331",$B439="63511",$B439="6333"),(1+$I439)*(1-$L439),IF($B439="6811",1+$I439,1)))))))))</f>
        <v/>
      </c>
      <c r="P439">
        <f>IF($A439="","",IF($E439=1,$F439*$O439,PNL!G439))</f>
        <v/>
      </c>
      <c r="T439">
        <f>IF($A439="","",IF($E439=1,IF(OR($B439="7062",$B439="706",$B439="708"),$P439,IF(AND(LEFT($B439,1)="6",$B439&lt;&gt;"6811"),-$P439,0)),0))</f>
        <v/>
      </c>
    </row>
    <row r="440">
      <c r="A440">
        <f>IF(PNL!A440="","",PNL!A440)</f>
        <v/>
      </c>
      <c r="B440">
        <f>IF(PNL!B440="","",PNL!B440)</f>
        <v/>
      </c>
      <c r="C440">
        <f>IF(PNL!C440="","",PNL!C440)</f>
        <v/>
      </c>
      <c r="D440">
        <f>IF(PNL!D440="","",PNL!D440)</f>
        <v/>
      </c>
      <c r="E440">
        <f>IF($A440="","",IF(AND($C440="2027",OR($D440="V01",$D440="V02",$D440="V03")),1,0))</f>
        <v/>
      </c>
      <c r="F440">
        <f>IF($A440="","",IF($E440=1,SUMIFS(Comptabilité!$F$1:$F$675,Comptabilité!$A$1:$A$675,$A440,Comptabilité!$B$1:$B$675,$B440,Comptabilité!$C$1:$C$675,"2026"),0))</f>
        <v/>
      </c>
      <c r="G440">
        <f>IF($A440="","",IF($D440="V01",Cadrage!$C$22,IF($D440="V02",Cadrage!$D$22,Cadrage!$E$22)))</f>
        <v/>
      </c>
      <c r="H440">
        <f>IF($A440="","",IF($D440="V01",Cadrage!$C$23,IF($D440="V02",Cadrage!$D$23,Cadrage!$E$23)))</f>
        <v/>
      </c>
      <c r="I440">
        <f>IF($A440="","",IF($D440="V01",Cadrage!$C$31,IF($D440="V02",Cadrage!$D$31,Cadrage!$E$31)))</f>
        <v/>
      </c>
      <c r="J440">
        <f>IF($A440="","",IF($D440="V01",Cadrage!$C$32,IF($D440="V02",Cadrage!$D$32,Cadrage!$E$32)))</f>
        <v/>
      </c>
      <c r="K440">
        <f>IF($A440="","",IF($D440="V01",Cadrage!$C$33,IF($D440="V02",Cadrage!$D$33,Cadrage!$E$33)))</f>
        <v/>
      </c>
      <c r="L440">
        <f>IF($A440="","",IF($D440="V01",Cadrage!$C$34,IF($D440="V02",Cadrage!$D$34,Cadrage!$E$34)))</f>
        <v/>
      </c>
      <c r="M440">
        <f>IF($A440="","",IF($D440="V01",Cadrage!$C$35,IF($D440="V02",Cadrage!$D$35,Cadrage!$E$35)))</f>
        <v/>
      </c>
      <c r="N440">
        <f>IF($A440="","",IF($D440="V01",$R$2,IF($D440="V02",$R$3,$R$4)))</f>
        <v/>
      </c>
      <c r="O440">
        <f>IF($A440="","",IF(OR($B440="7062",$B440="706",$B440="708"),$N440,IF($B440="6231",1+$G440,IF($B440="6236",1+$H440,IF(OR($B440="621",$B440="604",$B440="6063"),$N440*(1-$L440),IF(OR($B440="6411",$B440="6413",$B440="6414",$B440="645"),(1+$J440)*(1+$K440),IF(OR($B440="613",$B440="615",$B440="616",$B440="6226",$B440="625",$B440="626",$B440="6281"),(1+$I440)*(1-$L440)*(1+$M440),IF(OR($B440="6331",$B440="63511",$B440="6333"),(1+$I440)*(1-$L440),IF($B440="6811",1+$I440,1)))))))))</f>
        <v/>
      </c>
      <c r="P440">
        <f>IF($A440="","",IF($E440=1,$F440*$O440,PNL!G440))</f>
        <v/>
      </c>
      <c r="T440">
        <f>IF($A440="","",IF($E440=1,IF(OR($B440="7062",$B440="706",$B440="708"),$P440,IF(AND(LEFT($B440,1)="6",$B440&lt;&gt;"6811"),-$P440,0)),0))</f>
        <v/>
      </c>
    </row>
    <row r="441">
      <c r="A441">
        <f>IF(PNL!A441="","",PNL!A441)</f>
        <v/>
      </c>
      <c r="B441">
        <f>IF(PNL!B441="","",PNL!B441)</f>
        <v/>
      </c>
      <c r="C441">
        <f>IF(PNL!C441="","",PNL!C441)</f>
        <v/>
      </c>
      <c r="D441">
        <f>IF(PNL!D441="","",PNL!D441)</f>
        <v/>
      </c>
      <c r="E441">
        <f>IF($A441="","",IF(AND($C441="2027",OR($D441="V01",$D441="V02",$D441="V03")),1,0))</f>
        <v/>
      </c>
      <c r="F441">
        <f>IF($A441="","",IF($E441=1,SUMIFS(Comptabilité!$F$1:$F$675,Comptabilité!$A$1:$A$675,$A441,Comptabilité!$B$1:$B$675,$B441,Comptabilité!$C$1:$C$675,"2026"),0))</f>
        <v/>
      </c>
      <c r="G441">
        <f>IF($A441="","",IF($D441="V01",Cadrage!$C$22,IF($D441="V02",Cadrage!$D$22,Cadrage!$E$22)))</f>
        <v/>
      </c>
      <c r="H441">
        <f>IF($A441="","",IF($D441="V01",Cadrage!$C$23,IF($D441="V02",Cadrage!$D$23,Cadrage!$E$23)))</f>
        <v/>
      </c>
      <c r="I441">
        <f>IF($A441="","",IF($D441="V01",Cadrage!$C$31,IF($D441="V02",Cadrage!$D$31,Cadrage!$E$31)))</f>
        <v/>
      </c>
      <c r="J441">
        <f>IF($A441="","",IF($D441="V01",Cadrage!$C$32,IF($D441="V02",Cadrage!$D$32,Cadrage!$E$32)))</f>
        <v/>
      </c>
      <c r="K441">
        <f>IF($A441="","",IF($D441="V01",Cadrage!$C$33,IF($D441="V02",Cadrage!$D$33,Cadrage!$E$33)))</f>
        <v/>
      </c>
      <c r="L441">
        <f>IF($A441="","",IF($D441="V01",Cadrage!$C$34,IF($D441="V02",Cadrage!$D$34,Cadrage!$E$34)))</f>
        <v/>
      </c>
      <c r="M441">
        <f>IF($A441="","",IF($D441="V01",Cadrage!$C$35,IF($D441="V02",Cadrage!$D$35,Cadrage!$E$35)))</f>
        <v/>
      </c>
      <c r="N441">
        <f>IF($A441="","",IF($D441="V01",$R$2,IF($D441="V02",$R$3,$R$4)))</f>
        <v/>
      </c>
      <c r="O441">
        <f>IF($A441="","",IF(OR($B441="7062",$B441="706",$B441="708"),$N441,IF($B441="6231",1+$G441,IF($B441="6236",1+$H441,IF(OR($B441="621",$B441="604",$B441="6063"),$N441*(1-$L441),IF(OR($B441="6411",$B441="6413",$B441="6414",$B441="645"),(1+$J441)*(1+$K441),IF(OR($B441="613",$B441="615",$B441="616",$B441="6226",$B441="625",$B441="626",$B441="6281"),(1+$I441)*(1-$L441)*(1+$M441),IF(OR($B441="6331",$B441="63511",$B441="6333"),(1+$I441)*(1-$L441),IF($B441="6811",1+$I441,1)))))))))</f>
        <v/>
      </c>
      <c r="P441">
        <f>IF($A441="","",IF($E441=1,$F441*$O441,PNL!G441))</f>
        <v/>
      </c>
      <c r="T441">
        <f>IF($A441="","",IF($E441=1,IF(OR($B441="7062",$B441="706",$B441="708"),$P441,IF(AND(LEFT($B441,1)="6",$B441&lt;&gt;"6811"),-$P441,0)),0))</f>
        <v/>
      </c>
    </row>
    <row r="442">
      <c r="A442">
        <f>IF(PNL!A442="","",PNL!A442)</f>
        <v/>
      </c>
      <c r="B442">
        <f>IF(PNL!B442="","",PNL!B442)</f>
        <v/>
      </c>
      <c r="C442">
        <f>IF(PNL!C442="","",PNL!C442)</f>
        <v/>
      </c>
      <c r="D442">
        <f>IF(PNL!D442="","",PNL!D442)</f>
        <v/>
      </c>
      <c r="E442">
        <f>IF($A442="","",IF(AND($C442="2027",OR($D442="V01",$D442="V02",$D442="V03")),1,0))</f>
        <v/>
      </c>
      <c r="F442">
        <f>IF($A442="","",IF($E442=1,SUMIFS(Comptabilité!$F$1:$F$675,Comptabilité!$A$1:$A$675,$A442,Comptabilité!$B$1:$B$675,$B442,Comptabilité!$C$1:$C$675,"2026"),0))</f>
        <v/>
      </c>
      <c r="G442">
        <f>IF($A442="","",IF($D442="V01",Cadrage!$C$22,IF($D442="V02",Cadrage!$D$22,Cadrage!$E$22)))</f>
        <v/>
      </c>
      <c r="H442">
        <f>IF($A442="","",IF($D442="V01",Cadrage!$C$23,IF($D442="V02",Cadrage!$D$23,Cadrage!$E$23)))</f>
        <v/>
      </c>
      <c r="I442">
        <f>IF($A442="","",IF($D442="V01",Cadrage!$C$31,IF($D442="V02",Cadrage!$D$31,Cadrage!$E$31)))</f>
        <v/>
      </c>
      <c r="J442">
        <f>IF($A442="","",IF($D442="V01",Cadrage!$C$32,IF($D442="V02",Cadrage!$D$32,Cadrage!$E$32)))</f>
        <v/>
      </c>
      <c r="K442">
        <f>IF($A442="","",IF($D442="V01",Cadrage!$C$33,IF($D442="V02",Cadrage!$D$33,Cadrage!$E$33)))</f>
        <v/>
      </c>
      <c r="L442">
        <f>IF($A442="","",IF($D442="V01",Cadrage!$C$34,IF($D442="V02",Cadrage!$D$34,Cadrage!$E$34)))</f>
        <v/>
      </c>
      <c r="M442">
        <f>IF($A442="","",IF($D442="V01",Cadrage!$C$35,IF($D442="V02",Cadrage!$D$35,Cadrage!$E$35)))</f>
        <v/>
      </c>
      <c r="N442">
        <f>IF($A442="","",IF($D442="V01",$R$2,IF($D442="V02",$R$3,$R$4)))</f>
        <v/>
      </c>
      <c r="O442">
        <f>IF($A442="","",IF(OR($B442="7062",$B442="706",$B442="708"),$N442,IF($B442="6231",1+$G442,IF($B442="6236",1+$H442,IF(OR($B442="621",$B442="604",$B442="6063"),$N442*(1-$L442),IF(OR($B442="6411",$B442="6413",$B442="6414",$B442="645"),(1+$J442)*(1+$K442),IF(OR($B442="613",$B442="615",$B442="616",$B442="6226",$B442="625",$B442="626",$B442="6281"),(1+$I442)*(1-$L442)*(1+$M442),IF(OR($B442="6331",$B442="63511",$B442="6333"),(1+$I442)*(1-$L442),IF($B442="6811",1+$I442,1)))))))))</f>
        <v/>
      </c>
      <c r="P442">
        <f>IF($A442="","",IF($E442=1,$F442*$O442,PNL!G442))</f>
        <v/>
      </c>
      <c r="T442">
        <f>IF($A442="","",IF($E442=1,IF(OR($B442="7062",$B442="706",$B442="708"),$P442,IF(AND(LEFT($B442,1)="6",$B442&lt;&gt;"6811"),-$P442,0)),0))</f>
        <v/>
      </c>
    </row>
    <row r="443">
      <c r="A443">
        <f>IF(PNL!A443="","",PNL!A443)</f>
        <v/>
      </c>
      <c r="B443">
        <f>IF(PNL!B443="","",PNL!B443)</f>
        <v/>
      </c>
      <c r="C443">
        <f>IF(PNL!C443="","",PNL!C443)</f>
        <v/>
      </c>
      <c r="D443">
        <f>IF(PNL!D443="","",PNL!D443)</f>
        <v/>
      </c>
      <c r="E443">
        <f>IF($A443="","",IF(AND($C443="2027",OR($D443="V01",$D443="V02",$D443="V03")),1,0))</f>
        <v/>
      </c>
      <c r="F443">
        <f>IF($A443="","",IF($E443=1,SUMIFS(Comptabilité!$F$1:$F$675,Comptabilité!$A$1:$A$675,$A443,Comptabilité!$B$1:$B$675,$B443,Comptabilité!$C$1:$C$675,"2026"),0))</f>
        <v/>
      </c>
      <c r="G443">
        <f>IF($A443="","",IF($D443="V01",Cadrage!$C$22,IF($D443="V02",Cadrage!$D$22,Cadrage!$E$22)))</f>
        <v/>
      </c>
      <c r="H443">
        <f>IF($A443="","",IF($D443="V01",Cadrage!$C$23,IF($D443="V02",Cadrage!$D$23,Cadrage!$E$23)))</f>
        <v/>
      </c>
      <c r="I443">
        <f>IF($A443="","",IF($D443="V01",Cadrage!$C$31,IF($D443="V02",Cadrage!$D$31,Cadrage!$E$31)))</f>
        <v/>
      </c>
      <c r="J443">
        <f>IF($A443="","",IF($D443="V01",Cadrage!$C$32,IF($D443="V02",Cadrage!$D$32,Cadrage!$E$32)))</f>
        <v/>
      </c>
      <c r="K443">
        <f>IF($A443="","",IF($D443="V01",Cadrage!$C$33,IF($D443="V02",Cadrage!$D$33,Cadrage!$E$33)))</f>
        <v/>
      </c>
      <c r="L443">
        <f>IF($A443="","",IF($D443="V01",Cadrage!$C$34,IF($D443="V02",Cadrage!$D$34,Cadrage!$E$34)))</f>
        <v/>
      </c>
      <c r="M443">
        <f>IF($A443="","",IF($D443="V01",Cadrage!$C$35,IF($D443="V02",Cadrage!$D$35,Cadrage!$E$35)))</f>
        <v/>
      </c>
      <c r="N443">
        <f>IF($A443="","",IF($D443="V01",$R$2,IF($D443="V02",$R$3,$R$4)))</f>
        <v/>
      </c>
      <c r="O443">
        <f>IF($A443="","",IF(OR($B443="7062",$B443="706",$B443="708"),$N443,IF($B443="6231",1+$G443,IF($B443="6236",1+$H443,IF(OR($B443="621",$B443="604",$B443="6063"),$N443*(1-$L443),IF(OR($B443="6411",$B443="6413",$B443="6414",$B443="645"),(1+$J443)*(1+$K443),IF(OR($B443="613",$B443="615",$B443="616",$B443="6226",$B443="625",$B443="626",$B443="6281"),(1+$I443)*(1-$L443)*(1+$M443),IF(OR($B443="6331",$B443="63511",$B443="6333"),(1+$I443)*(1-$L443),IF($B443="6811",1+$I443,1)))))))))</f>
        <v/>
      </c>
      <c r="P443">
        <f>IF($A443="","",IF($E443=1,$F443*$O443,PNL!G443))</f>
        <v/>
      </c>
      <c r="T443">
        <f>IF($A443="","",IF($E443=1,IF(OR($B443="7062",$B443="706",$B443="708"),$P443,IF(AND(LEFT($B443,1)="6",$B443&lt;&gt;"6811"),-$P443,0)),0))</f>
        <v/>
      </c>
    </row>
    <row r="444">
      <c r="A444">
        <f>IF(PNL!A444="","",PNL!A444)</f>
        <v/>
      </c>
      <c r="B444">
        <f>IF(PNL!B444="","",PNL!B444)</f>
        <v/>
      </c>
      <c r="C444">
        <f>IF(PNL!C444="","",PNL!C444)</f>
        <v/>
      </c>
      <c r="D444">
        <f>IF(PNL!D444="","",PNL!D444)</f>
        <v/>
      </c>
      <c r="E444">
        <f>IF($A444="","",IF(AND($C444="2027",OR($D444="V01",$D444="V02",$D444="V03")),1,0))</f>
        <v/>
      </c>
      <c r="F444">
        <f>IF($A444="","",IF($E444=1,SUMIFS(Comptabilité!$F$1:$F$675,Comptabilité!$A$1:$A$675,$A444,Comptabilité!$B$1:$B$675,$B444,Comptabilité!$C$1:$C$675,"2026"),0))</f>
        <v/>
      </c>
      <c r="G444">
        <f>IF($A444="","",IF($D444="V01",Cadrage!$C$22,IF($D444="V02",Cadrage!$D$22,Cadrage!$E$22)))</f>
        <v/>
      </c>
      <c r="H444">
        <f>IF($A444="","",IF($D444="V01",Cadrage!$C$23,IF($D444="V02",Cadrage!$D$23,Cadrage!$E$23)))</f>
        <v/>
      </c>
      <c r="I444">
        <f>IF($A444="","",IF($D444="V01",Cadrage!$C$31,IF($D444="V02",Cadrage!$D$31,Cadrage!$E$31)))</f>
        <v/>
      </c>
      <c r="J444">
        <f>IF($A444="","",IF($D444="V01",Cadrage!$C$32,IF($D444="V02",Cadrage!$D$32,Cadrage!$E$32)))</f>
        <v/>
      </c>
      <c r="K444">
        <f>IF($A444="","",IF($D444="V01",Cadrage!$C$33,IF($D444="V02",Cadrage!$D$33,Cadrage!$E$33)))</f>
        <v/>
      </c>
      <c r="L444">
        <f>IF($A444="","",IF($D444="V01",Cadrage!$C$34,IF($D444="V02",Cadrage!$D$34,Cadrage!$E$34)))</f>
        <v/>
      </c>
      <c r="M444">
        <f>IF($A444="","",IF($D444="V01",Cadrage!$C$35,IF($D444="V02",Cadrage!$D$35,Cadrage!$E$35)))</f>
        <v/>
      </c>
      <c r="N444">
        <f>IF($A444="","",IF($D444="V01",$R$2,IF($D444="V02",$R$3,$R$4)))</f>
        <v/>
      </c>
      <c r="O444">
        <f>IF($A444="","",IF(OR($B444="7062",$B444="706",$B444="708"),$N444,IF($B444="6231",1+$G444,IF($B444="6236",1+$H444,IF(OR($B444="621",$B444="604",$B444="6063"),$N444*(1-$L444),IF(OR($B444="6411",$B444="6413",$B444="6414",$B444="645"),(1+$J444)*(1+$K444),IF(OR($B444="613",$B444="615",$B444="616",$B444="6226",$B444="625",$B444="626",$B444="6281"),(1+$I444)*(1-$L444)*(1+$M444),IF(OR($B444="6331",$B444="63511",$B444="6333"),(1+$I444)*(1-$L444),IF($B444="6811",1+$I444,1)))))))))</f>
        <v/>
      </c>
      <c r="P444">
        <f>IF($A444="","",IF($E444=1,$F444*$O444,PNL!G444))</f>
        <v/>
      </c>
      <c r="T444">
        <f>IF($A444="","",IF($E444=1,IF(OR($B444="7062",$B444="706",$B444="708"),$P444,IF(AND(LEFT($B444,1)="6",$B444&lt;&gt;"6811"),-$P444,0)),0))</f>
        <v/>
      </c>
    </row>
    <row r="445">
      <c r="A445">
        <f>IF(PNL!A445="","",PNL!A445)</f>
        <v/>
      </c>
      <c r="B445">
        <f>IF(PNL!B445="","",PNL!B445)</f>
        <v/>
      </c>
      <c r="C445">
        <f>IF(PNL!C445="","",PNL!C445)</f>
        <v/>
      </c>
      <c r="D445">
        <f>IF(PNL!D445="","",PNL!D445)</f>
        <v/>
      </c>
      <c r="E445">
        <f>IF($A445="","",IF(AND($C445="2027",OR($D445="V01",$D445="V02",$D445="V03")),1,0))</f>
        <v/>
      </c>
      <c r="F445">
        <f>IF($A445="","",IF($E445=1,SUMIFS(Comptabilité!$F$1:$F$675,Comptabilité!$A$1:$A$675,$A445,Comptabilité!$B$1:$B$675,$B445,Comptabilité!$C$1:$C$675,"2026"),0))</f>
        <v/>
      </c>
      <c r="G445">
        <f>IF($A445="","",IF($D445="V01",Cadrage!$C$22,IF($D445="V02",Cadrage!$D$22,Cadrage!$E$22)))</f>
        <v/>
      </c>
      <c r="H445">
        <f>IF($A445="","",IF($D445="V01",Cadrage!$C$23,IF($D445="V02",Cadrage!$D$23,Cadrage!$E$23)))</f>
        <v/>
      </c>
      <c r="I445">
        <f>IF($A445="","",IF($D445="V01",Cadrage!$C$31,IF($D445="V02",Cadrage!$D$31,Cadrage!$E$31)))</f>
        <v/>
      </c>
      <c r="J445">
        <f>IF($A445="","",IF($D445="V01",Cadrage!$C$32,IF($D445="V02",Cadrage!$D$32,Cadrage!$E$32)))</f>
        <v/>
      </c>
      <c r="K445">
        <f>IF($A445="","",IF($D445="V01",Cadrage!$C$33,IF($D445="V02",Cadrage!$D$33,Cadrage!$E$33)))</f>
        <v/>
      </c>
      <c r="L445">
        <f>IF($A445="","",IF($D445="V01",Cadrage!$C$34,IF($D445="V02",Cadrage!$D$34,Cadrage!$E$34)))</f>
        <v/>
      </c>
      <c r="M445">
        <f>IF($A445="","",IF($D445="V01",Cadrage!$C$35,IF($D445="V02",Cadrage!$D$35,Cadrage!$E$35)))</f>
        <v/>
      </c>
      <c r="N445">
        <f>IF($A445="","",IF($D445="V01",$R$2,IF($D445="V02",$R$3,$R$4)))</f>
        <v/>
      </c>
      <c r="O445">
        <f>IF($A445="","",IF(OR($B445="7062",$B445="706",$B445="708"),$N445,IF($B445="6231",1+$G445,IF($B445="6236",1+$H445,IF(OR($B445="621",$B445="604",$B445="6063"),$N445*(1-$L445),IF(OR($B445="6411",$B445="6413",$B445="6414",$B445="645"),(1+$J445)*(1+$K445),IF(OR($B445="613",$B445="615",$B445="616",$B445="6226",$B445="625",$B445="626",$B445="6281"),(1+$I445)*(1-$L445)*(1+$M445),IF(OR($B445="6331",$B445="63511",$B445="6333"),(1+$I445)*(1-$L445),IF($B445="6811",1+$I445,1)))))))))</f>
        <v/>
      </c>
      <c r="P445">
        <f>IF($A445="","",IF($E445=1,$F445*$O445,PNL!G445))</f>
        <v/>
      </c>
      <c r="T445">
        <f>IF($A445="","",IF($E445=1,IF(OR($B445="7062",$B445="706",$B445="708"),$P445,IF(AND(LEFT($B445,1)="6",$B445&lt;&gt;"6811"),-$P445,0)),0))</f>
        <v/>
      </c>
    </row>
    <row r="446">
      <c r="A446">
        <f>IF(PNL!A446="","",PNL!A446)</f>
        <v/>
      </c>
      <c r="B446">
        <f>IF(PNL!B446="","",PNL!B446)</f>
        <v/>
      </c>
      <c r="C446">
        <f>IF(PNL!C446="","",PNL!C446)</f>
        <v/>
      </c>
      <c r="D446">
        <f>IF(PNL!D446="","",PNL!D446)</f>
        <v/>
      </c>
      <c r="E446">
        <f>IF($A446="","",IF(AND($C446="2027",OR($D446="V01",$D446="V02",$D446="V03")),1,0))</f>
        <v/>
      </c>
      <c r="F446">
        <f>IF($A446="","",IF($E446=1,SUMIFS(Comptabilité!$F$1:$F$675,Comptabilité!$A$1:$A$675,$A446,Comptabilité!$B$1:$B$675,$B446,Comptabilité!$C$1:$C$675,"2026"),0))</f>
        <v/>
      </c>
      <c r="G446">
        <f>IF($A446="","",IF($D446="V01",Cadrage!$C$22,IF($D446="V02",Cadrage!$D$22,Cadrage!$E$22)))</f>
        <v/>
      </c>
      <c r="H446">
        <f>IF($A446="","",IF($D446="V01",Cadrage!$C$23,IF($D446="V02",Cadrage!$D$23,Cadrage!$E$23)))</f>
        <v/>
      </c>
      <c r="I446">
        <f>IF($A446="","",IF($D446="V01",Cadrage!$C$31,IF($D446="V02",Cadrage!$D$31,Cadrage!$E$31)))</f>
        <v/>
      </c>
      <c r="J446">
        <f>IF($A446="","",IF($D446="V01",Cadrage!$C$32,IF($D446="V02",Cadrage!$D$32,Cadrage!$E$32)))</f>
        <v/>
      </c>
      <c r="K446">
        <f>IF($A446="","",IF($D446="V01",Cadrage!$C$33,IF($D446="V02",Cadrage!$D$33,Cadrage!$E$33)))</f>
        <v/>
      </c>
      <c r="L446">
        <f>IF($A446="","",IF($D446="V01",Cadrage!$C$34,IF($D446="V02",Cadrage!$D$34,Cadrage!$E$34)))</f>
        <v/>
      </c>
      <c r="M446">
        <f>IF($A446="","",IF($D446="V01",Cadrage!$C$35,IF($D446="V02",Cadrage!$D$35,Cadrage!$E$35)))</f>
        <v/>
      </c>
      <c r="N446">
        <f>IF($A446="","",IF($D446="V01",$R$2,IF($D446="V02",$R$3,$R$4)))</f>
        <v/>
      </c>
      <c r="O446">
        <f>IF($A446="","",IF(OR($B446="7062",$B446="706",$B446="708"),$N446,IF($B446="6231",1+$G446,IF($B446="6236",1+$H446,IF(OR($B446="621",$B446="604",$B446="6063"),$N446*(1-$L446),IF(OR($B446="6411",$B446="6413",$B446="6414",$B446="645"),(1+$J446)*(1+$K446),IF(OR($B446="613",$B446="615",$B446="616",$B446="6226",$B446="625",$B446="626",$B446="6281"),(1+$I446)*(1-$L446)*(1+$M446),IF(OR($B446="6331",$B446="63511",$B446="6333"),(1+$I446)*(1-$L446),IF($B446="6811",1+$I446,1)))))))))</f>
        <v/>
      </c>
      <c r="P446">
        <f>IF($A446="","",IF($E446=1,$F446*$O446,PNL!G446))</f>
        <v/>
      </c>
      <c r="T446">
        <f>IF($A446="","",IF($E446=1,IF(OR($B446="7062",$B446="706",$B446="708"),$P446,IF(AND(LEFT($B446,1)="6",$B446&lt;&gt;"6811"),-$P446,0)),0))</f>
        <v/>
      </c>
    </row>
    <row r="447">
      <c r="A447">
        <f>IF(PNL!A447="","",PNL!A447)</f>
        <v/>
      </c>
      <c r="B447">
        <f>IF(PNL!B447="","",PNL!B447)</f>
        <v/>
      </c>
      <c r="C447">
        <f>IF(PNL!C447="","",PNL!C447)</f>
        <v/>
      </c>
      <c r="D447">
        <f>IF(PNL!D447="","",PNL!D447)</f>
        <v/>
      </c>
      <c r="E447">
        <f>IF($A447="","",IF(AND($C447="2027",OR($D447="V01",$D447="V02",$D447="V03")),1,0))</f>
        <v/>
      </c>
      <c r="F447">
        <f>IF($A447="","",IF($E447=1,SUMIFS(Comptabilité!$F$1:$F$675,Comptabilité!$A$1:$A$675,$A447,Comptabilité!$B$1:$B$675,$B447,Comptabilité!$C$1:$C$675,"2026"),0))</f>
        <v/>
      </c>
      <c r="G447">
        <f>IF($A447="","",IF($D447="V01",Cadrage!$C$22,IF($D447="V02",Cadrage!$D$22,Cadrage!$E$22)))</f>
        <v/>
      </c>
      <c r="H447">
        <f>IF($A447="","",IF($D447="V01",Cadrage!$C$23,IF($D447="V02",Cadrage!$D$23,Cadrage!$E$23)))</f>
        <v/>
      </c>
      <c r="I447">
        <f>IF($A447="","",IF($D447="V01",Cadrage!$C$31,IF($D447="V02",Cadrage!$D$31,Cadrage!$E$31)))</f>
        <v/>
      </c>
      <c r="J447">
        <f>IF($A447="","",IF($D447="V01",Cadrage!$C$32,IF($D447="V02",Cadrage!$D$32,Cadrage!$E$32)))</f>
        <v/>
      </c>
      <c r="K447">
        <f>IF($A447="","",IF($D447="V01",Cadrage!$C$33,IF($D447="V02",Cadrage!$D$33,Cadrage!$E$33)))</f>
        <v/>
      </c>
      <c r="L447">
        <f>IF($A447="","",IF($D447="V01",Cadrage!$C$34,IF($D447="V02",Cadrage!$D$34,Cadrage!$E$34)))</f>
        <v/>
      </c>
      <c r="M447">
        <f>IF($A447="","",IF($D447="V01",Cadrage!$C$35,IF($D447="V02",Cadrage!$D$35,Cadrage!$E$35)))</f>
        <v/>
      </c>
      <c r="N447">
        <f>IF($A447="","",IF($D447="V01",$R$2,IF($D447="V02",$R$3,$R$4)))</f>
        <v/>
      </c>
      <c r="O447">
        <f>IF($A447="","",IF(OR($B447="7062",$B447="706",$B447="708"),$N447,IF($B447="6231",1+$G447,IF($B447="6236",1+$H447,IF(OR($B447="621",$B447="604",$B447="6063"),$N447*(1-$L447),IF(OR($B447="6411",$B447="6413",$B447="6414",$B447="645"),(1+$J447)*(1+$K447),IF(OR($B447="613",$B447="615",$B447="616",$B447="6226",$B447="625",$B447="626",$B447="6281"),(1+$I447)*(1-$L447)*(1+$M447),IF(OR($B447="6331",$B447="63511",$B447="6333"),(1+$I447)*(1-$L447),IF($B447="6811",1+$I447,1)))))))))</f>
        <v/>
      </c>
      <c r="P447">
        <f>IF($A447="","",IF($E447=1,$F447*$O447,PNL!G447))</f>
        <v/>
      </c>
      <c r="T447">
        <f>IF($A447="","",IF($E447=1,IF(OR($B447="7062",$B447="706",$B447="708"),$P447,IF(AND(LEFT($B447,1)="6",$B447&lt;&gt;"6811"),-$P447,0)),0))</f>
        <v/>
      </c>
    </row>
    <row r="448">
      <c r="A448">
        <f>IF(PNL!A448="","",PNL!A448)</f>
        <v/>
      </c>
      <c r="B448">
        <f>IF(PNL!B448="","",PNL!B448)</f>
        <v/>
      </c>
      <c r="C448">
        <f>IF(PNL!C448="","",PNL!C448)</f>
        <v/>
      </c>
      <c r="D448">
        <f>IF(PNL!D448="","",PNL!D448)</f>
        <v/>
      </c>
      <c r="E448">
        <f>IF($A448="","",IF(AND($C448="2027",OR($D448="V01",$D448="V02",$D448="V03")),1,0))</f>
        <v/>
      </c>
      <c r="F448">
        <f>IF($A448="","",IF($E448=1,SUMIFS(Comptabilité!$F$1:$F$675,Comptabilité!$A$1:$A$675,$A448,Comptabilité!$B$1:$B$675,$B448,Comptabilité!$C$1:$C$675,"2026"),0))</f>
        <v/>
      </c>
      <c r="G448">
        <f>IF($A448="","",IF($D448="V01",Cadrage!$C$22,IF($D448="V02",Cadrage!$D$22,Cadrage!$E$22)))</f>
        <v/>
      </c>
      <c r="H448">
        <f>IF($A448="","",IF($D448="V01",Cadrage!$C$23,IF($D448="V02",Cadrage!$D$23,Cadrage!$E$23)))</f>
        <v/>
      </c>
      <c r="I448">
        <f>IF($A448="","",IF($D448="V01",Cadrage!$C$31,IF($D448="V02",Cadrage!$D$31,Cadrage!$E$31)))</f>
        <v/>
      </c>
      <c r="J448">
        <f>IF($A448="","",IF($D448="V01",Cadrage!$C$32,IF($D448="V02",Cadrage!$D$32,Cadrage!$E$32)))</f>
        <v/>
      </c>
      <c r="K448">
        <f>IF($A448="","",IF($D448="V01",Cadrage!$C$33,IF($D448="V02",Cadrage!$D$33,Cadrage!$E$33)))</f>
        <v/>
      </c>
      <c r="L448">
        <f>IF($A448="","",IF($D448="V01",Cadrage!$C$34,IF($D448="V02",Cadrage!$D$34,Cadrage!$E$34)))</f>
        <v/>
      </c>
      <c r="M448">
        <f>IF($A448="","",IF($D448="V01",Cadrage!$C$35,IF($D448="V02",Cadrage!$D$35,Cadrage!$E$35)))</f>
        <v/>
      </c>
      <c r="N448">
        <f>IF($A448="","",IF($D448="V01",$R$2,IF($D448="V02",$R$3,$R$4)))</f>
        <v/>
      </c>
      <c r="O448">
        <f>IF($A448="","",IF(OR($B448="7062",$B448="706",$B448="708"),$N448,IF($B448="6231",1+$G448,IF($B448="6236",1+$H448,IF(OR($B448="621",$B448="604",$B448="6063"),$N448*(1-$L448),IF(OR($B448="6411",$B448="6413",$B448="6414",$B448="645"),(1+$J448)*(1+$K448),IF(OR($B448="613",$B448="615",$B448="616",$B448="6226",$B448="625",$B448="626",$B448="6281"),(1+$I448)*(1-$L448)*(1+$M448),IF(OR($B448="6331",$B448="63511",$B448="6333"),(1+$I448)*(1-$L448),IF($B448="6811",1+$I448,1)))))))))</f>
        <v/>
      </c>
      <c r="P448">
        <f>IF($A448="","",IF($E448=1,$F448*$O448,PNL!G448))</f>
        <v/>
      </c>
      <c r="T448">
        <f>IF($A448="","",IF($E448=1,IF(OR($B448="7062",$B448="706",$B448="708"),$P448,IF(AND(LEFT($B448,1)="6",$B448&lt;&gt;"6811"),-$P448,0)),0))</f>
        <v/>
      </c>
    </row>
    <row r="449">
      <c r="A449">
        <f>IF(PNL!A449="","",PNL!A449)</f>
        <v/>
      </c>
      <c r="B449">
        <f>IF(PNL!B449="","",PNL!B449)</f>
        <v/>
      </c>
      <c r="C449">
        <f>IF(PNL!C449="","",PNL!C449)</f>
        <v/>
      </c>
      <c r="D449">
        <f>IF(PNL!D449="","",PNL!D449)</f>
        <v/>
      </c>
      <c r="E449">
        <f>IF($A449="","",IF(AND($C449="2027",OR($D449="V01",$D449="V02",$D449="V03")),1,0))</f>
        <v/>
      </c>
      <c r="F449">
        <f>IF($A449="","",IF($E449=1,SUMIFS(Comptabilité!$F$1:$F$675,Comptabilité!$A$1:$A$675,$A449,Comptabilité!$B$1:$B$675,$B449,Comptabilité!$C$1:$C$675,"2026"),0))</f>
        <v/>
      </c>
      <c r="G449">
        <f>IF($A449="","",IF($D449="V01",Cadrage!$C$22,IF($D449="V02",Cadrage!$D$22,Cadrage!$E$22)))</f>
        <v/>
      </c>
      <c r="H449">
        <f>IF($A449="","",IF($D449="V01",Cadrage!$C$23,IF($D449="V02",Cadrage!$D$23,Cadrage!$E$23)))</f>
        <v/>
      </c>
      <c r="I449">
        <f>IF($A449="","",IF($D449="V01",Cadrage!$C$31,IF($D449="V02",Cadrage!$D$31,Cadrage!$E$31)))</f>
        <v/>
      </c>
      <c r="J449">
        <f>IF($A449="","",IF($D449="V01",Cadrage!$C$32,IF($D449="V02",Cadrage!$D$32,Cadrage!$E$32)))</f>
        <v/>
      </c>
      <c r="K449">
        <f>IF($A449="","",IF($D449="V01",Cadrage!$C$33,IF($D449="V02",Cadrage!$D$33,Cadrage!$E$33)))</f>
        <v/>
      </c>
      <c r="L449">
        <f>IF($A449="","",IF($D449="V01",Cadrage!$C$34,IF($D449="V02",Cadrage!$D$34,Cadrage!$E$34)))</f>
        <v/>
      </c>
      <c r="M449">
        <f>IF($A449="","",IF($D449="V01",Cadrage!$C$35,IF($D449="V02",Cadrage!$D$35,Cadrage!$E$35)))</f>
        <v/>
      </c>
      <c r="N449">
        <f>IF($A449="","",IF($D449="V01",$R$2,IF($D449="V02",$R$3,$R$4)))</f>
        <v/>
      </c>
      <c r="O449">
        <f>IF($A449="","",IF(OR($B449="7062",$B449="706",$B449="708"),$N449,IF($B449="6231",1+$G449,IF($B449="6236",1+$H449,IF(OR($B449="621",$B449="604",$B449="6063"),$N449*(1-$L449),IF(OR($B449="6411",$B449="6413",$B449="6414",$B449="645"),(1+$J449)*(1+$K449),IF(OR($B449="613",$B449="615",$B449="616",$B449="6226",$B449="625",$B449="626",$B449="6281"),(1+$I449)*(1-$L449)*(1+$M449),IF(OR($B449="6331",$B449="63511",$B449="6333"),(1+$I449)*(1-$L449),IF($B449="6811",1+$I449,1)))))))))</f>
        <v/>
      </c>
      <c r="P449">
        <f>IF($A449="","",IF($E449=1,$F449*$O449,PNL!G449))</f>
        <v/>
      </c>
      <c r="T449">
        <f>IF($A449="","",IF($E449=1,IF(OR($B449="7062",$B449="706",$B449="708"),$P449,IF(AND(LEFT($B449,1)="6",$B449&lt;&gt;"6811"),-$P449,0)),0))</f>
        <v/>
      </c>
    </row>
    <row r="450">
      <c r="A450">
        <f>IF(PNL!A450="","",PNL!A450)</f>
        <v/>
      </c>
      <c r="B450">
        <f>IF(PNL!B450="","",PNL!B450)</f>
        <v/>
      </c>
      <c r="C450">
        <f>IF(PNL!C450="","",PNL!C450)</f>
        <v/>
      </c>
      <c r="D450">
        <f>IF(PNL!D450="","",PNL!D450)</f>
        <v/>
      </c>
      <c r="E450">
        <f>IF($A450="","",IF(AND($C450="2027",OR($D450="V01",$D450="V02",$D450="V03")),1,0))</f>
        <v/>
      </c>
      <c r="F450">
        <f>IF($A450="","",IF($E450=1,SUMIFS(Comptabilité!$F$1:$F$675,Comptabilité!$A$1:$A$675,$A450,Comptabilité!$B$1:$B$675,$B450,Comptabilité!$C$1:$C$675,"2026"),0))</f>
        <v/>
      </c>
      <c r="G450">
        <f>IF($A450="","",IF($D450="V01",Cadrage!$C$22,IF($D450="V02",Cadrage!$D$22,Cadrage!$E$22)))</f>
        <v/>
      </c>
      <c r="H450">
        <f>IF($A450="","",IF($D450="V01",Cadrage!$C$23,IF($D450="V02",Cadrage!$D$23,Cadrage!$E$23)))</f>
        <v/>
      </c>
      <c r="I450">
        <f>IF($A450="","",IF($D450="V01",Cadrage!$C$31,IF($D450="V02",Cadrage!$D$31,Cadrage!$E$31)))</f>
        <v/>
      </c>
      <c r="J450">
        <f>IF($A450="","",IF($D450="V01",Cadrage!$C$32,IF($D450="V02",Cadrage!$D$32,Cadrage!$E$32)))</f>
        <v/>
      </c>
      <c r="K450">
        <f>IF($A450="","",IF($D450="V01",Cadrage!$C$33,IF($D450="V02",Cadrage!$D$33,Cadrage!$E$33)))</f>
        <v/>
      </c>
      <c r="L450">
        <f>IF($A450="","",IF($D450="V01",Cadrage!$C$34,IF($D450="V02",Cadrage!$D$34,Cadrage!$E$34)))</f>
        <v/>
      </c>
      <c r="M450">
        <f>IF($A450="","",IF($D450="V01",Cadrage!$C$35,IF($D450="V02",Cadrage!$D$35,Cadrage!$E$35)))</f>
        <v/>
      </c>
      <c r="N450">
        <f>IF($A450="","",IF($D450="V01",$R$2,IF($D450="V02",$R$3,$R$4)))</f>
        <v/>
      </c>
      <c r="O450">
        <f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>
        <f>IF($A450="","",IF($E450=1,$F450*$O450,PNL!G450))</f>
        <v/>
      </c>
      <c r="T450">
        <f>IF($A450="","",IF($E450=1,IF(OR($B450="7062",$B450="706",$B450="708"),$P450,IF(AND(LEFT($B450,1)="6",$B450&lt;&gt;"6811"),-$P450,0)),0))</f>
        <v/>
      </c>
    </row>
    <row r="451">
      <c r="A451">
        <f>IF(PNL!A451="","",PNL!A451)</f>
        <v/>
      </c>
      <c r="B451">
        <f>IF(PNL!B451="","",PNL!B451)</f>
        <v/>
      </c>
      <c r="C451">
        <f>IF(PNL!C451="","",PNL!C451)</f>
        <v/>
      </c>
      <c r="D451">
        <f>IF(PNL!D451="","",PNL!D451)</f>
        <v/>
      </c>
      <c r="E451">
        <f>IF($A451="","",IF(AND($C451="2027",OR($D451="V01",$D451="V02",$D451="V03")),1,0))</f>
        <v/>
      </c>
      <c r="F451">
        <f>IF($A451="","",IF($E451=1,SUMIFS(Comptabilité!$F$1:$F$675,Comptabilité!$A$1:$A$675,$A451,Comptabilité!$B$1:$B$675,$B451,Comptabilité!$C$1:$C$675,"2026"),0))</f>
        <v/>
      </c>
      <c r="G451">
        <f>IF($A451="","",IF($D451="V01",Cadrage!$C$22,IF($D451="V02",Cadrage!$D$22,Cadrage!$E$22)))</f>
        <v/>
      </c>
      <c r="H451">
        <f>IF($A451="","",IF($D451="V01",Cadrage!$C$23,IF($D451="V02",Cadrage!$D$23,Cadrage!$E$23)))</f>
        <v/>
      </c>
      <c r="I451">
        <f>IF($A451="","",IF($D451="V01",Cadrage!$C$31,IF($D451="V02",Cadrage!$D$31,Cadrage!$E$31)))</f>
        <v/>
      </c>
      <c r="J451">
        <f>IF($A451="","",IF($D451="V01",Cadrage!$C$32,IF($D451="V02",Cadrage!$D$32,Cadrage!$E$32)))</f>
        <v/>
      </c>
      <c r="K451">
        <f>IF($A451="","",IF($D451="V01",Cadrage!$C$33,IF($D451="V02",Cadrage!$D$33,Cadrage!$E$33)))</f>
        <v/>
      </c>
      <c r="L451">
        <f>IF($A451="","",IF($D451="V01",Cadrage!$C$34,IF($D451="V02",Cadrage!$D$34,Cadrage!$E$34)))</f>
        <v/>
      </c>
      <c r="M451">
        <f>IF($A451="","",IF($D451="V01",Cadrage!$C$35,IF($D451="V02",Cadrage!$D$35,Cadrage!$E$35)))</f>
        <v/>
      </c>
      <c r="N451">
        <f>IF($A451="","",IF($D451="V01",$R$2,IF($D451="V02",$R$3,$R$4)))</f>
        <v/>
      </c>
      <c r="O451">
        <f>IF($A451="","",IF(OR($B451="7062",$B451="706",$B451="708"),$N451,IF($B451="6231",1+$G451,IF($B451="6236",1+$H451,IF(OR($B451="621",$B451="604",$B451="6063"),$N451*(1-$L451),IF(OR($B451="6411",$B451="6413",$B451="6414",$B451="645"),(1+$J451)*(1+$K451),IF(OR($B451="613",$B451="615",$B451="616",$B451="6226",$B451="625",$B451="626",$B451="6281"),(1+$I451)*(1-$L451)*(1+$M451),IF(OR($B451="6331",$B451="63511",$B451="6333"),(1+$I451)*(1-$L451),IF($B451="6811",1+$I451,1)))))))))</f>
        <v/>
      </c>
      <c r="P451">
        <f>IF($A451="","",IF($E451=1,$F451*$O451,PNL!G451))</f>
        <v/>
      </c>
      <c r="T451">
        <f>IF($A451="","",IF($E451=1,IF(OR($B451="7062",$B451="706",$B451="708"),$P451,IF(AND(LEFT($B451,1)="6",$B451&lt;&gt;"6811"),-$P451,0)),0))</f>
        <v/>
      </c>
    </row>
    <row r="452">
      <c r="A452">
        <f>IF(PNL!A452="","",PNL!A452)</f>
        <v/>
      </c>
      <c r="B452">
        <f>IF(PNL!B452="","",PNL!B452)</f>
        <v/>
      </c>
      <c r="C452">
        <f>IF(PNL!C452="","",PNL!C452)</f>
        <v/>
      </c>
      <c r="D452">
        <f>IF(PNL!D452="","",PNL!D452)</f>
        <v/>
      </c>
      <c r="E452">
        <f>IF($A452="","",IF(AND($C452="2027",OR($D452="V01",$D452="V02",$D452="V03")),1,0))</f>
        <v/>
      </c>
      <c r="F452">
        <f>IF($A452="","",IF($E452=1,SUMIFS(Comptabilité!$F$1:$F$675,Comptabilité!$A$1:$A$675,$A452,Comptabilité!$B$1:$B$675,$B452,Comptabilité!$C$1:$C$675,"2026"),0))</f>
        <v/>
      </c>
      <c r="G452">
        <f>IF($A452="","",IF($D452="V01",Cadrage!$C$22,IF($D452="V02",Cadrage!$D$22,Cadrage!$E$22)))</f>
        <v/>
      </c>
      <c r="H452">
        <f>IF($A452="","",IF($D452="V01",Cadrage!$C$23,IF($D452="V02",Cadrage!$D$23,Cadrage!$E$23)))</f>
        <v/>
      </c>
      <c r="I452">
        <f>IF($A452="","",IF($D452="V01",Cadrage!$C$31,IF($D452="V02",Cadrage!$D$31,Cadrage!$E$31)))</f>
        <v/>
      </c>
      <c r="J452">
        <f>IF($A452="","",IF($D452="V01",Cadrage!$C$32,IF($D452="V02",Cadrage!$D$32,Cadrage!$E$32)))</f>
        <v/>
      </c>
      <c r="K452">
        <f>IF($A452="","",IF($D452="V01",Cadrage!$C$33,IF($D452="V02",Cadrage!$D$33,Cadrage!$E$33)))</f>
        <v/>
      </c>
      <c r="L452">
        <f>IF($A452="","",IF($D452="V01",Cadrage!$C$34,IF($D452="V02",Cadrage!$D$34,Cadrage!$E$34)))</f>
        <v/>
      </c>
      <c r="M452">
        <f>IF($A452="","",IF($D452="V01",Cadrage!$C$35,IF($D452="V02",Cadrage!$D$35,Cadrage!$E$35)))</f>
        <v/>
      </c>
      <c r="N452">
        <f>IF($A452="","",IF($D452="V01",$R$2,IF($D452="V02",$R$3,$R$4)))</f>
        <v/>
      </c>
      <c r="O452">
        <f>IF($A452="","",IF(OR($B452="7062",$B452="706",$B452="708"),$N452,IF($B452="6231",1+$G452,IF($B452="6236",1+$H452,IF(OR($B452="621",$B452="604",$B452="6063"),$N452*(1-$L452),IF(OR($B452="6411",$B452="6413",$B452="6414",$B452="645"),(1+$J452)*(1+$K452),IF(OR($B452="613",$B452="615",$B452="616",$B452="6226",$B452="625",$B452="626",$B452="6281"),(1+$I452)*(1-$L452)*(1+$M452),IF(OR($B452="6331",$B452="63511",$B452="6333"),(1+$I452)*(1-$L452),IF($B452="6811",1+$I452,1)))))))))</f>
        <v/>
      </c>
      <c r="P452">
        <f>IF($A452="","",IF($E452=1,$F452*$O452,PNL!G452))</f>
        <v/>
      </c>
      <c r="T452">
        <f>IF($A452="","",IF($E452=1,IF(OR($B452="7062",$B452="706",$B452="708"),$P452,IF(AND(LEFT($B452,1)="6",$B452&lt;&gt;"6811"),-$P452,0)),0))</f>
        <v/>
      </c>
    </row>
    <row r="453">
      <c r="A453">
        <f>IF(PNL!A453="","",PNL!A453)</f>
        <v/>
      </c>
      <c r="B453">
        <f>IF(PNL!B453="","",PNL!B453)</f>
        <v/>
      </c>
      <c r="C453">
        <f>IF(PNL!C453="","",PNL!C453)</f>
        <v/>
      </c>
      <c r="D453">
        <f>IF(PNL!D453="","",PNL!D453)</f>
        <v/>
      </c>
      <c r="E453">
        <f>IF($A453="","",IF(AND($C453="2027",OR($D453="V01",$D453="V02",$D453="V03")),1,0))</f>
        <v/>
      </c>
      <c r="F453">
        <f>IF($A453="","",IF($E453=1,SUMIFS(Comptabilité!$F$1:$F$675,Comptabilité!$A$1:$A$675,$A453,Comptabilité!$B$1:$B$675,$B453,Comptabilité!$C$1:$C$675,"2026"),0))</f>
        <v/>
      </c>
      <c r="G453">
        <f>IF($A453="","",IF($D453="V01",Cadrage!$C$22,IF($D453="V02",Cadrage!$D$22,Cadrage!$E$22)))</f>
        <v/>
      </c>
      <c r="H453">
        <f>IF($A453="","",IF($D453="V01",Cadrage!$C$23,IF($D453="V02",Cadrage!$D$23,Cadrage!$E$23)))</f>
        <v/>
      </c>
      <c r="I453">
        <f>IF($A453="","",IF($D453="V01",Cadrage!$C$31,IF($D453="V02",Cadrage!$D$31,Cadrage!$E$31)))</f>
        <v/>
      </c>
      <c r="J453">
        <f>IF($A453="","",IF($D453="V01",Cadrage!$C$32,IF($D453="V02",Cadrage!$D$32,Cadrage!$E$32)))</f>
        <v/>
      </c>
      <c r="K453">
        <f>IF($A453="","",IF($D453="V01",Cadrage!$C$33,IF($D453="V02",Cadrage!$D$33,Cadrage!$E$33)))</f>
        <v/>
      </c>
      <c r="L453">
        <f>IF($A453="","",IF($D453="V01",Cadrage!$C$34,IF($D453="V02",Cadrage!$D$34,Cadrage!$E$34)))</f>
        <v/>
      </c>
      <c r="M453">
        <f>IF($A453="","",IF($D453="V01",Cadrage!$C$35,IF($D453="V02",Cadrage!$D$35,Cadrage!$E$35)))</f>
        <v/>
      </c>
      <c r="N453">
        <f>IF($A453="","",IF($D453="V01",$R$2,IF($D453="V02",$R$3,$R$4)))</f>
        <v/>
      </c>
      <c r="O453">
        <f>IF($A453="","",IF(OR($B453="7062",$B453="706",$B453="708"),$N453,IF($B453="6231",1+$G453,IF($B453="6236",1+$H453,IF(OR($B453="621",$B453="604",$B453="6063"),$N453*(1-$L453),IF(OR($B453="6411",$B453="6413",$B453="6414",$B453="645"),(1+$J453)*(1+$K453),IF(OR($B453="613",$B453="615",$B453="616",$B453="6226",$B453="625",$B453="626",$B453="6281"),(1+$I453)*(1-$L453)*(1+$M453),IF(OR($B453="6331",$B453="63511",$B453="6333"),(1+$I453)*(1-$L453),IF($B453="6811",1+$I453,1)))))))))</f>
        <v/>
      </c>
      <c r="P453">
        <f>IF($A453="","",IF($E453=1,$F453*$O453,PNL!G453))</f>
        <v/>
      </c>
      <c r="T453">
        <f>IF($A453="","",IF($E453=1,IF(OR($B453="7062",$B453="706",$B453="708"),$P453,IF(AND(LEFT($B453,1)="6",$B453&lt;&gt;"6811"),-$P453,0)),0))</f>
        <v/>
      </c>
    </row>
    <row r="454">
      <c r="A454">
        <f>IF(PNL!A454="","",PNL!A454)</f>
        <v/>
      </c>
      <c r="B454">
        <f>IF(PNL!B454="","",PNL!B454)</f>
        <v/>
      </c>
      <c r="C454">
        <f>IF(PNL!C454="","",PNL!C454)</f>
        <v/>
      </c>
      <c r="D454">
        <f>IF(PNL!D454="","",PNL!D454)</f>
        <v/>
      </c>
      <c r="E454">
        <f>IF($A454="","",IF(AND($C454="2027",OR($D454="V01",$D454="V02",$D454="V03")),1,0))</f>
        <v/>
      </c>
      <c r="F454">
        <f>IF($A454="","",IF($E454=1,SUMIFS(Comptabilité!$F$1:$F$675,Comptabilité!$A$1:$A$675,$A454,Comptabilité!$B$1:$B$675,$B454,Comptabilité!$C$1:$C$675,"2026"),0))</f>
        <v/>
      </c>
      <c r="G454">
        <f>IF($A454="","",IF($D454="V01",Cadrage!$C$22,IF($D454="V02",Cadrage!$D$22,Cadrage!$E$22)))</f>
        <v/>
      </c>
      <c r="H454">
        <f>IF($A454="","",IF($D454="V01",Cadrage!$C$23,IF($D454="V02",Cadrage!$D$23,Cadrage!$E$23)))</f>
        <v/>
      </c>
      <c r="I454">
        <f>IF($A454="","",IF($D454="V01",Cadrage!$C$31,IF($D454="V02",Cadrage!$D$31,Cadrage!$E$31)))</f>
        <v/>
      </c>
      <c r="J454">
        <f>IF($A454="","",IF($D454="V01",Cadrage!$C$32,IF($D454="V02",Cadrage!$D$32,Cadrage!$E$32)))</f>
        <v/>
      </c>
      <c r="K454">
        <f>IF($A454="","",IF($D454="V01",Cadrage!$C$33,IF($D454="V02",Cadrage!$D$33,Cadrage!$E$33)))</f>
        <v/>
      </c>
      <c r="L454">
        <f>IF($A454="","",IF($D454="V01",Cadrage!$C$34,IF($D454="V02",Cadrage!$D$34,Cadrage!$E$34)))</f>
        <v/>
      </c>
      <c r="M454">
        <f>IF($A454="","",IF($D454="V01",Cadrage!$C$35,IF($D454="V02",Cadrage!$D$35,Cadrage!$E$35)))</f>
        <v/>
      </c>
      <c r="N454">
        <f>IF($A454="","",IF($D454="V01",$R$2,IF($D454="V02",$R$3,$R$4)))</f>
        <v/>
      </c>
      <c r="O454">
        <f>IF($A454="","",IF(OR($B454="7062",$B454="706",$B454="708"),$N454,IF($B454="6231",1+$G454,IF($B454="6236",1+$H454,IF(OR($B454="621",$B454="604",$B454="6063"),$N454*(1-$L454),IF(OR($B454="6411",$B454="6413",$B454="6414",$B454="645"),(1+$J454)*(1+$K454),IF(OR($B454="613",$B454="615",$B454="616",$B454="6226",$B454="625",$B454="626",$B454="6281"),(1+$I454)*(1-$L454)*(1+$M454),IF(OR($B454="6331",$B454="63511",$B454="6333"),(1+$I454)*(1-$L454),IF($B454="6811",1+$I454,1)))))))))</f>
        <v/>
      </c>
      <c r="P454">
        <f>IF($A454="","",IF($E454=1,$F454*$O454,PNL!G454))</f>
        <v/>
      </c>
      <c r="T454">
        <f>IF($A454="","",IF($E454=1,IF(OR($B454="7062",$B454="706",$B454="708"),$P454,IF(AND(LEFT($B454,1)="6",$B454&lt;&gt;"6811"),-$P454,0)),0))</f>
        <v/>
      </c>
    </row>
    <row r="455">
      <c r="A455">
        <f>IF(PNL!A455="","",PNL!A455)</f>
        <v/>
      </c>
      <c r="B455">
        <f>IF(PNL!B455="","",PNL!B455)</f>
        <v/>
      </c>
      <c r="C455">
        <f>IF(PNL!C455="","",PNL!C455)</f>
        <v/>
      </c>
      <c r="D455">
        <f>IF(PNL!D455="","",PNL!D455)</f>
        <v/>
      </c>
      <c r="E455">
        <f>IF($A455="","",IF(AND($C455="2027",OR($D455="V01",$D455="V02",$D455="V03")),1,0))</f>
        <v/>
      </c>
      <c r="F455">
        <f>IF($A455="","",IF($E455=1,SUMIFS(Comptabilité!$F$1:$F$675,Comptabilité!$A$1:$A$675,$A455,Comptabilité!$B$1:$B$675,$B455,Comptabilité!$C$1:$C$675,"2026"),0))</f>
        <v/>
      </c>
      <c r="G455">
        <f>IF($A455="","",IF($D455="V01",Cadrage!$C$22,IF($D455="V02",Cadrage!$D$22,Cadrage!$E$22)))</f>
        <v/>
      </c>
      <c r="H455">
        <f>IF($A455="","",IF($D455="V01",Cadrage!$C$23,IF($D455="V02",Cadrage!$D$23,Cadrage!$E$23)))</f>
        <v/>
      </c>
      <c r="I455">
        <f>IF($A455="","",IF($D455="V01",Cadrage!$C$31,IF($D455="V02",Cadrage!$D$31,Cadrage!$E$31)))</f>
        <v/>
      </c>
      <c r="J455">
        <f>IF($A455="","",IF($D455="V01",Cadrage!$C$32,IF($D455="V02",Cadrage!$D$32,Cadrage!$E$32)))</f>
        <v/>
      </c>
      <c r="K455">
        <f>IF($A455="","",IF($D455="V01",Cadrage!$C$33,IF($D455="V02",Cadrage!$D$33,Cadrage!$E$33)))</f>
        <v/>
      </c>
      <c r="L455">
        <f>IF($A455="","",IF($D455="V01",Cadrage!$C$34,IF($D455="V02",Cadrage!$D$34,Cadrage!$E$34)))</f>
        <v/>
      </c>
      <c r="M455">
        <f>IF($A455="","",IF($D455="V01",Cadrage!$C$35,IF($D455="V02",Cadrage!$D$35,Cadrage!$E$35)))</f>
        <v/>
      </c>
      <c r="N455">
        <f>IF($A455="","",IF($D455="V01",$R$2,IF($D455="V02",$R$3,$R$4)))</f>
        <v/>
      </c>
      <c r="O455">
        <f>IF($A455="","",IF(OR($B455="7062",$B455="706",$B455="708"),$N455,IF($B455="6231",1+$G455,IF($B455="6236",1+$H455,IF(OR($B455="621",$B455="604",$B455="6063"),$N455*(1-$L455),IF(OR($B455="6411",$B455="6413",$B455="6414",$B455="645"),(1+$J455)*(1+$K455),IF(OR($B455="613",$B455="615",$B455="616",$B455="6226",$B455="625",$B455="626",$B455="6281"),(1+$I455)*(1-$L455)*(1+$M455),IF(OR($B455="6331",$B455="63511",$B455="6333"),(1+$I455)*(1-$L455),IF($B455="6811",1+$I455,1)))))))))</f>
        <v/>
      </c>
      <c r="P455">
        <f>IF($A455="","",IF($E455=1,$F455*$O455,PNL!G455))</f>
        <v/>
      </c>
      <c r="T455">
        <f>IF($A455="","",IF($E455=1,IF(OR($B455="7062",$B455="706",$B455="708"),$P455,IF(AND(LEFT($B455,1)="6",$B455&lt;&gt;"6811"),-$P455,0)),0))</f>
        <v/>
      </c>
    </row>
    <row r="456">
      <c r="A456">
        <f>IF(PNL!A456="","",PNL!A456)</f>
        <v/>
      </c>
      <c r="B456">
        <f>IF(PNL!B456="","",PNL!B456)</f>
        <v/>
      </c>
      <c r="C456">
        <f>IF(PNL!C456="","",PNL!C456)</f>
        <v/>
      </c>
      <c r="D456">
        <f>IF(PNL!D456="","",PNL!D456)</f>
        <v/>
      </c>
      <c r="E456">
        <f>IF($A456="","",IF(AND($C456="2027",OR($D456="V01",$D456="V02",$D456="V03")),1,0))</f>
        <v/>
      </c>
      <c r="F456">
        <f>IF($A456="","",IF($E456=1,SUMIFS(Comptabilité!$F$1:$F$675,Comptabilité!$A$1:$A$675,$A456,Comptabilité!$B$1:$B$675,$B456,Comptabilité!$C$1:$C$675,"2026"),0))</f>
        <v/>
      </c>
      <c r="G456">
        <f>IF($A456="","",IF($D456="V01",Cadrage!$C$22,IF($D456="V02",Cadrage!$D$22,Cadrage!$E$22)))</f>
        <v/>
      </c>
      <c r="H456">
        <f>IF($A456="","",IF($D456="V01",Cadrage!$C$23,IF($D456="V02",Cadrage!$D$23,Cadrage!$E$23)))</f>
        <v/>
      </c>
      <c r="I456">
        <f>IF($A456="","",IF($D456="V01",Cadrage!$C$31,IF($D456="V02",Cadrage!$D$31,Cadrage!$E$31)))</f>
        <v/>
      </c>
      <c r="J456">
        <f>IF($A456="","",IF($D456="V01",Cadrage!$C$32,IF($D456="V02",Cadrage!$D$32,Cadrage!$E$32)))</f>
        <v/>
      </c>
      <c r="K456">
        <f>IF($A456="","",IF($D456="V01",Cadrage!$C$33,IF($D456="V02",Cadrage!$D$33,Cadrage!$E$33)))</f>
        <v/>
      </c>
      <c r="L456">
        <f>IF($A456="","",IF($D456="V01",Cadrage!$C$34,IF($D456="V02",Cadrage!$D$34,Cadrage!$E$34)))</f>
        <v/>
      </c>
      <c r="M456">
        <f>IF($A456="","",IF($D456="V01",Cadrage!$C$35,IF($D456="V02",Cadrage!$D$35,Cadrage!$E$35)))</f>
        <v/>
      </c>
      <c r="N456">
        <f>IF($A456="","",IF($D456="V01",$R$2,IF($D456="V02",$R$3,$R$4)))</f>
        <v/>
      </c>
      <c r="O456">
        <f>IF($A456="","",IF(OR($B456="7062",$B456="706",$B456="708"),$N456,IF($B456="6231",1+$G456,IF($B456="6236",1+$H456,IF(OR($B456="621",$B456="604",$B456="6063"),$N456*(1-$L456),IF(OR($B456="6411",$B456="6413",$B456="6414",$B456="645"),(1+$J456)*(1+$K456),IF(OR($B456="613",$B456="615",$B456="616",$B456="6226",$B456="625",$B456="626",$B456="6281"),(1+$I456)*(1-$L456)*(1+$M456),IF(OR($B456="6331",$B456="63511",$B456="6333"),(1+$I456)*(1-$L456),IF($B456="6811",1+$I456,1)))))))))</f>
        <v/>
      </c>
      <c r="P456">
        <f>IF($A456="","",IF($E456=1,$F456*$O456,PNL!G456))</f>
        <v/>
      </c>
      <c r="T456">
        <f>IF($A456="","",IF($E456=1,IF(OR($B456="7062",$B456="706",$B456="708"),$P456,IF(AND(LEFT($B456,1)="6",$B456&lt;&gt;"6811"),-$P456,0)),0))</f>
        <v/>
      </c>
    </row>
    <row r="457">
      <c r="A457">
        <f>IF(PNL!A457="","",PNL!A457)</f>
        <v/>
      </c>
      <c r="B457">
        <f>IF(PNL!B457="","",PNL!B457)</f>
        <v/>
      </c>
      <c r="C457">
        <f>IF(PNL!C457="","",PNL!C457)</f>
        <v/>
      </c>
      <c r="D457">
        <f>IF(PNL!D457="","",PNL!D457)</f>
        <v/>
      </c>
      <c r="E457">
        <f>IF($A457="","",IF(AND($C457="2027",OR($D457="V01",$D457="V02",$D457="V03")),1,0))</f>
        <v/>
      </c>
      <c r="F457">
        <f>IF($A457="","",IF($E457=1,SUMIFS(Comptabilité!$F$1:$F$675,Comptabilité!$A$1:$A$675,$A457,Comptabilité!$B$1:$B$675,$B457,Comptabilité!$C$1:$C$675,"2026"),0))</f>
        <v/>
      </c>
      <c r="G457">
        <f>IF($A457="","",IF($D457="V01",Cadrage!$C$22,IF($D457="V02",Cadrage!$D$22,Cadrage!$E$22)))</f>
        <v/>
      </c>
      <c r="H457">
        <f>IF($A457="","",IF($D457="V01",Cadrage!$C$23,IF($D457="V02",Cadrage!$D$23,Cadrage!$E$23)))</f>
        <v/>
      </c>
      <c r="I457">
        <f>IF($A457="","",IF($D457="V01",Cadrage!$C$31,IF($D457="V02",Cadrage!$D$31,Cadrage!$E$31)))</f>
        <v/>
      </c>
      <c r="J457">
        <f>IF($A457="","",IF($D457="V01",Cadrage!$C$32,IF($D457="V02",Cadrage!$D$32,Cadrage!$E$32)))</f>
        <v/>
      </c>
      <c r="K457">
        <f>IF($A457="","",IF($D457="V01",Cadrage!$C$33,IF($D457="V02",Cadrage!$D$33,Cadrage!$E$33)))</f>
        <v/>
      </c>
      <c r="L457">
        <f>IF($A457="","",IF($D457="V01",Cadrage!$C$34,IF($D457="V02",Cadrage!$D$34,Cadrage!$E$34)))</f>
        <v/>
      </c>
      <c r="M457">
        <f>IF($A457="","",IF($D457="V01",Cadrage!$C$35,IF($D457="V02",Cadrage!$D$35,Cadrage!$E$35)))</f>
        <v/>
      </c>
      <c r="N457">
        <f>IF($A457="","",IF($D457="V01",$R$2,IF($D457="V02",$R$3,$R$4)))</f>
        <v/>
      </c>
      <c r="O457">
        <f>IF($A457="","",IF(OR($B457="7062",$B457="706",$B457="708"),$N457,IF($B457="6231",1+$G457,IF($B457="6236",1+$H457,IF(OR($B457="621",$B457="604",$B457="6063"),$N457*(1-$L457),IF(OR($B457="6411",$B457="6413",$B457="6414",$B457="645"),(1+$J457)*(1+$K457),IF(OR($B457="613",$B457="615",$B457="616",$B457="6226",$B457="625",$B457="626",$B457="6281"),(1+$I457)*(1-$L457)*(1+$M457),IF(OR($B457="6331",$B457="63511",$B457="6333"),(1+$I457)*(1-$L457),IF($B457="6811",1+$I457,1)))))))))</f>
        <v/>
      </c>
      <c r="P457">
        <f>IF($A457="","",IF($E457=1,$F457*$O457,PNL!G457))</f>
        <v/>
      </c>
      <c r="T457">
        <f>IF($A457="","",IF($E457=1,IF(OR($B457="7062",$B457="706",$B457="708"),$P457,IF(AND(LEFT($B457,1)="6",$B457&lt;&gt;"6811"),-$P457,0)),0))</f>
        <v/>
      </c>
    </row>
    <row r="458">
      <c r="A458">
        <f>IF(PNL!A458="","",PNL!A458)</f>
        <v/>
      </c>
      <c r="B458">
        <f>IF(PNL!B458="","",PNL!B458)</f>
        <v/>
      </c>
      <c r="C458">
        <f>IF(PNL!C458="","",PNL!C458)</f>
        <v/>
      </c>
      <c r="D458">
        <f>IF(PNL!D458="","",PNL!D458)</f>
        <v/>
      </c>
      <c r="E458">
        <f>IF($A458="","",IF(AND($C458="2027",OR($D458="V01",$D458="V02",$D458="V03")),1,0))</f>
        <v/>
      </c>
      <c r="F458">
        <f>IF($A458="","",IF($E458=1,SUMIFS(Comptabilité!$F$1:$F$675,Comptabilité!$A$1:$A$675,$A458,Comptabilité!$B$1:$B$675,$B458,Comptabilité!$C$1:$C$675,"2026"),0))</f>
        <v/>
      </c>
      <c r="G458">
        <f>IF($A458="","",IF($D458="V01",Cadrage!$C$22,IF($D458="V02",Cadrage!$D$22,Cadrage!$E$22)))</f>
        <v/>
      </c>
      <c r="H458">
        <f>IF($A458="","",IF($D458="V01",Cadrage!$C$23,IF($D458="V02",Cadrage!$D$23,Cadrage!$E$23)))</f>
        <v/>
      </c>
      <c r="I458">
        <f>IF($A458="","",IF($D458="V01",Cadrage!$C$31,IF($D458="V02",Cadrage!$D$31,Cadrage!$E$31)))</f>
        <v/>
      </c>
      <c r="J458">
        <f>IF($A458="","",IF($D458="V01",Cadrage!$C$32,IF($D458="V02",Cadrage!$D$32,Cadrage!$E$32)))</f>
        <v/>
      </c>
      <c r="K458">
        <f>IF($A458="","",IF($D458="V01",Cadrage!$C$33,IF($D458="V02",Cadrage!$D$33,Cadrage!$E$33)))</f>
        <v/>
      </c>
      <c r="L458">
        <f>IF($A458="","",IF($D458="V01",Cadrage!$C$34,IF($D458="V02",Cadrage!$D$34,Cadrage!$E$34)))</f>
        <v/>
      </c>
      <c r="M458">
        <f>IF($A458="","",IF($D458="V01",Cadrage!$C$35,IF($D458="V02",Cadrage!$D$35,Cadrage!$E$35)))</f>
        <v/>
      </c>
      <c r="N458">
        <f>IF($A458="","",IF($D458="V01",$R$2,IF($D458="V02",$R$3,$R$4)))</f>
        <v/>
      </c>
      <c r="O458">
        <f>IF($A458="","",IF(OR($B458="7062",$B458="706",$B458="708"),$N458,IF($B458="6231",1+$G458,IF($B458="6236",1+$H458,IF(OR($B458="621",$B458="604",$B458="6063"),$N458*(1-$L458),IF(OR($B458="6411",$B458="6413",$B458="6414",$B458="645"),(1+$J458)*(1+$K458),IF(OR($B458="613",$B458="615",$B458="616",$B458="6226",$B458="625",$B458="626",$B458="6281"),(1+$I458)*(1-$L458)*(1+$M458),IF(OR($B458="6331",$B458="63511",$B458="6333"),(1+$I458)*(1-$L458),IF($B458="6811",1+$I458,1)))))))))</f>
        <v/>
      </c>
      <c r="P458">
        <f>IF($A458="","",IF($E458=1,$F458*$O458,PNL!G458))</f>
        <v/>
      </c>
      <c r="T458">
        <f>IF($A458="","",IF($E458=1,IF(OR($B458="7062",$B458="706",$B458="708"),$P458,IF(AND(LEFT($B458,1)="6",$B458&lt;&gt;"6811"),-$P458,0)),0))</f>
        <v/>
      </c>
    </row>
    <row r="459">
      <c r="A459">
        <f>IF(PNL!A459="","",PNL!A459)</f>
        <v/>
      </c>
      <c r="B459">
        <f>IF(PNL!B459="","",PNL!B459)</f>
        <v/>
      </c>
      <c r="C459">
        <f>IF(PNL!C459="","",PNL!C459)</f>
        <v/>
      </c>
      <c r="D459">
        <f>IF(PNL!D459="","",PNL!D459)</f>
        <v/>
      </c>
      <c r="E459">
        <f>IF($A459="","",IF(AND($C459="2027",OR($D459="V01",$D459="V02",$D459="V03")),1,0))</f>
        <v/>
      </c>
      <c r="F459">
        <f>IF($A459="","",IF($E459=1,SUMIFS(Comptabilité!$F$1:$F$675,Comptabilité!$A$1:$A$675,$A459,Comptabilité!$B$1:$B$675,$B459,Comptabilité!$C$1:$C$675,"2026"),0))</f>
        <v/>
      </c>
      <c r="G459">
        <f>IF($A459="","",IF($D459="V01",Cadrage!$C$22,IF($D459="V02",Cadrage!$D$22,Cadrage!$E$22)))</f>
        <v/>
      </c>
      <c r="H459">
        <f>IF($A459="","",IF($D459="V01",Cadrage!$C$23,IF($D459="V02",Cadrage!$D$23,Cadrage!$E$23)))</f>
        <v/>
      </c>
      <c r="I459">
        <f>IF($A459="","",IF($D459="V01",Cadrage!$C$31,IF($D459="V02",Cadrage!$D$31,Cadrage!$E$31)))</f>
        <v/>
      </c>
      <c r="J459">
        <f>IF($A459="","",IF($D459="V01",Cadrage!$C$32,IF($D459="V02",Cadrage!$D$32,Cadrage!$E$32)))</f>
        <v/>
      </c>
      <c r="K459">
        <f>IF($A459="","",IF($D459="V01",Cadrage!$C$33,IF($D459="V02",Cadrage!$D$33,Cadrage!$E$33)))</f>
        <v/>
      </c>
      <c r="L459">
        <f>IF($A459="","",IF($D459="V01",Cadrage!$C$34,IF($D459="V02",Cadrage!$D$34,Cadrage!$E$34)))</f>
        <v/>
      </c>
      <c r="M459">
        <f>IF($A459="","",IF($D459="V01",Cadrage!$C$35,IF($D459="V02",Cadrage!$D$35,Cadrage!$E$35)))</f>
        <v/>
      </c>
      <c r="N459">
        <f>IF($A459="","",IF($D459="V01",$R$2,IF($D459="V02",$R$3,$R$4)))</f>
        <v/>
      </c>
      <c r="O459">
        <f>IF($A459="","",IF(OR($B459="7062",$B459="706",$B459="708"),$N459,IF($B459="6231",1+$G459,IF($B459="6236",1+$H459,IF(OR($B459="621",$B459="604",$B459="6063"),$N459*(1-$L459),IF(OR($B459="6411",$B459="6413",$B459="6414",$B459="645"),(1+$J459)*(1+$K459),IF(OR($B459="613",$B459="615",$B459="616",$B459="6226",$B459="625",$B459="626",$B459="6281"),(1+$I459)*(1-$L459)*(1+$M459),IF(OR($B459="6331",$B459="63511",$B459="6333"),(1+$I459)*(1-$L459),IF($B459="6811",1+$I459,1)))))))))</f>
        <v/>
      </c>
      <c r="P459">
        <f>IF($A459="","",IF($E459=1,$F459*$O459,PNL!G459))</f>
        <v/>
      </c>
      <c r="T459">
        <f>IF($A459="","",IF($E459=1,IF(OR($B459="7062",$B459="706",$B459="708"),$P459,IF(AND(LEFT($B459,1)="6",$B459&lt;&gt;"6811"),-$P459,0)),0))</f>
        <v/>
      </c>
    </row>
    <row r="460">
      <c r="A460">
        <f>IF(PNL!A460="","",PNL!A460)</f>
        <v/>
      </c>
      <c r="B460">
        <f>IF(PNL!B460="","",PNL!B460)</f>
        <v/>
      </c>
      <c r="C460">
        <f>IF(PNL!C460="","",PNL!C460)</f>
        <v/>
      </c>
      <c r="D460">
        <f>IF(PNL!D460="","",PNL!D460)</f>
        <v/>
      </c>
      <c r="E460">
        <f>IF($A460="","",IF(AND($C460="2027",OR($D460="V01",$D460="V02",$D460="V03")),1,0))</f>
        <v/>
      </c>
      <c r="F460">
        <f>IF($A460="","",IF($E460=1,SUMIFS(Comptabilité!$F$1:$F$675,Comptabilité!$A$1:$A$675,$A460,Comptabilité!$B$1:$B$675,$B460,Comptabilité!$C$1:$C$675,"2026"),0))</f>
        <v/>
      </c>
      <c r="G460">
        <f>IF($A460="","",IF($D460="V01",Cadrage!$C$22,IF($D460="V02",Cadrage!$D$22,Cadrage!$E$22)))</f>
        <v/>
      </c>
      <c r="H460">
        <f>IF($A460="","",IF($D460="V01",Cadrage!$C$23,IF($D460="V02",Cadrage!$D$23,Cadrage!$E$23)))</f>
        <v/>
      </c>
      <c r="I460">
        <f>IF($A460="","",IF($D460="V01",Cadrage!$C$31,IF($D460="V02",Cadrage!$D$31,Cadrage!$E$31)))</f>
        <v/>
      </c>
      <c r="J460">
        <f>IF($A460="","",IF($D460="V01",Cadrage!$C$32,IF($D460="V02",Cadrage!$D$32,Cadrage!$E$32)))</f>
        <v/>
      </c>
      <c r="K460">
        <f>IF($A460="","",IF($D460="V01",Cadrage!$C$33,IF($D460="V02",Cadrage!$D$33,Cadrage!$E$33)))</f>
        <v/>
      </c>
      <c r="L460">
        <f>IF($A460="","",IF($D460="V01",Cadrage!$C$34,IF($D460="V02",Cadrage!$D$34,Cadrage!$E$34)))</f>
        <v/>
      </c>
      <c r="M460">
        <f>IF($A460="","",IF($D460="V01",Cadrage!$C$35,IF($D460="V02",Cadrage!$D$35,Cadrage!$E$35)))</f>
        <v/>
      </c>
      <c r="N460">
        <f>IF($A460="","",IF($D460="V01",$R$2,IF($D460="V02",$R$3,$R$4)))</f>
        <v/>
      </c>
      <c r="O460">
        <f>IF($A460="","",IF(OR($B460="7062",$B460="706",$B460="708"),$N460,IF($B460="6231",1+$G460,IF($B460="6236",1+$H460,IF(OR($B460="621",$B460="604",$B460="6063"),$N460*(1-$L460),IF(OR($B460="6411",$B460="6413",$B460="6414",$B460="645"),(1+$J460)*(1+$K460),IF(OR($B460="613",$B460="615",$B460="616",$B460="6226",$B460="625",$B460="626",$B460="6281"),(1+$I460)*(1-$L460)*(1+$M460),IF(OR($B460="6331",$B460="63511",$B460="6333"),(1+$I460)*(1-$L460),IF($B460="6811",1+$I460,1)))))))))</f>
        <v/>
      </c>
      <c r="P460">
        <f>IF($A460="","",IF($E460=1,$F460*$O460,PNL!G460))</f>
        <v/>
      </c>
      <c r="T460">
        <f>IF($A460="","",IF($E460=1,IF(OR($B460="7062",$B460="706",$B460="708"),$P460,IF(AND(LEFT($B460,1)="6",$B460&lt;&gt;"6811"),-$P460,0)),0))</f>
        <v/>
      </c>
    </row>
    <row r="461">
      <c r="A461">
        <f>IF(PNL!A461="","",PNL!A461)</f>
        <v/>
      </c>
      <c r="B461">
        <f>IF(PNL!B461="","",PNL!B461)</f>
        <v/>
      </c>
      <c r="C461">
        <f>IF(PNL!C461="","",PNL!C461)</f>
        <v/>
      </c>
      <c r="D461">
        <f>IF(PNL!D461="","",PNL!D461)</f>
        <v/>
      </c>
      <c r="E461">
        <f>IF($A461="","",IF(AND($C461="2027",OR($D461="V01",$D461="V02",$D461="V03")),1,0))</f>
        <v/>
      </c>
      <c r="F461">
        <f>IF($A461="","",IF($E461=1,SUMIFS(Comptabilité!$F$1:$F$675,Comptabilité!$A$1:$A$675,$A461,Comptabilité!$B$1:$B$675,$B461,Comptabilité!$C$1:$C$675,"2026"),0))</f>
        <v/>
      </c>
      <c r="G461">
        <f>IF($A461="","",IF($D461="V01",Cadrage!$C$22,IF($D461="V02",Cadrage!$D$22,Cadrage!$E$22)))</f>
        <v/>
      </c>
      <c r="H461">
        <f>IF($A461="","",IF($D461="V01",Cadrage!$C$23,IF($D461="V02",Cadrage!$D$23,Cadrage!$E$23)))</f>
        <v/>
      </c>
      <c r="I461">
        <f>IF($A461="","",IF($D461="V01",Cadrage!$C$31,IF($D461="V02",Cadrage!$D$31,Cadrage!$E$31)))</f>
        <v/>
      </c>
      <c r="J461">
        <f>IF($A461="","",IF($D461="V01",Cadrage!$C$32,IF($D461="V02",Cadrage!$D$32,Cadrage!$E$32)))</f>
        <v/>
      </c>
      <c r="K461">
        <f>IF($A461="","",IF($D461="V01",Cadrage!$C$33,IF($D461="V02",Cadrage!$D$33,Cadrage!$E$33)))</f>
        <v/>
      </c>
      <c r="L461">
        <f>IF($A461="","",IF($D461="V01",Cadrage!$C$34,IF($D461="V02",Cadrage!$D$34,Cadrage!$E$34)))</f>
        <v/>
      </c>
      <c r="M461">
        <f>IF($A461="","",IF($D461="V01",Cadrage!$C$35,IF($D461="V02",Cadrage!$D$35,Cadrage!$E$35)))</f>
        <v/>
      </c>
      <c r="N461">
        <f>IF($A461="","",IF($D461="V01",$R$2,IF($D461="V02",$R$3,$R$4)))</f>
        <v/>
      </c>
      <c r="O461">
        <f>IF($A461="","",IF(OR($B461="7062",$B461="706",$B461="708"),$N461,IF($B461="6231",1+$G461,IF($B461="6236",1+$H461,IF(OR($B461="621",$B461="604",$B461="6063"),$N461*(1-$L461),IF(OR($B461="6411",$B461="6413",$B461="6414",$B461="645"),(1+$J461)*(1+$K461),IF(OR($B461="613",$B461="615",$B461="616",$B461="6226",$B461="625",$B461="626",$B461="6281"),(1+$I461)*(1-$L461)*(1+$M461),IF(OR($B461="6331",$B461="63511",$B461="6333"),(1+$I461)*(1-$L461),IF($B461="6811",1+$I461,1)))))))))</f>
        <v/>
      </c>
      <c r="P461">
        <f>IF($A461="","",IF($E461=1,$F461*$O461,PNL!G461))</f>
        <v/>
      </c>
      <c r="T461">
        <f>IF($A461="","",IF($E461=1,IF(OR($B461="7062",$B461="706",$B461="708"),$P461,IF(AND(LEFT($B461,1)="6",$B461&lt;&gt;"6811"),-$P461,0)),0))</f>
        <v/>
      </c>
    </row>
    <row r="462">
      <c r="A462">
        <f>IF(PNL!A462="","",PNL!A462)</f>
        <v/>
      </c>
      <c r="B462">
        <f>IF(PNL!B462="","",PNL!B462)</f>
        <v/>
      </c>
      <c r="C462">
        <f>IF(PNL!C462="","",PNL!C462)</f>
        <v/>
      </c>
      <c r="D462">
        <f>IF(PNL!D462="","",PNL!D462)</f>
        <v/>
      </c>
      <c r="E462">
        <f>IF($A462="","",IF(AND($C462="2027",OR($D462="V01",$D462="V02",$D462="V03")),1,0))</f>
        <v/>
      </c>
      <c r="F462">
        <f>IF($A462="","",IF($E462=1,SUMIFS(Comptabilité!$F$1:$F$675,Comptabilité!$A$1:$A$675,$A462,Comptabilité!$B$1:$B$675,$B462,Comptabilité!$C$1:$C$675,"2026"),0))</f>
        <v/>
      </c>
      <c r="G462">
        <f>IF($A462="","",IF($D462="V01",Cadrage!$C$22,IF($D462="V02",Cadrage!$D$22,Cadrage!$E$22)))</f>
        <v/>
      </c>
      <c r="H462">
        <f>IF($A462="","",IF($D462="V01",Cadrage!$C$23,IF($D462="V02",Cadrage!$D$23,Cadrage!$E$23)))</f>
        <v/>
      </c>
      <c r="I462">
        <f>IF($A462="","",IF($D462="V01",Cadrage!$C$31,IF($D462="V02",Cadrage!$D$31,Cadrage!$E$31)))</f>
        <v/>
      </c>
      <c r="J462">
        <f>IF($A462="","",IF($D462="V01",Cadrage!$C$32,IF($D462="V02",Cadrage!$D$32,Cadrage!$E$32)))</f>
        <v/>
      </c>
      <c r="K462">
        <f>IF($A462="","",IF($D462="V01",Cadrage!$C$33,IF($D462="V02",Cadrage!$D$33,Cadrage!$E$33)))</f>
        <v/>
      </c>
      <c r="L462">
        <f>IF($A462="","",IF($D462="V01",Cadrage!$C$34,IF($D462="V02",Cadrage!$D$34,Cadrage!$E$34)))</f>
        <v/>
      </c>
      <c r="M462">
        <f>IF($A462="","",IF($D462="V01",Cadrage!$C$35,IF($D462="V02",Cadrage!$D$35,Cadrage!$E$35)))</f>
        <v/>
      </c>
      <c r="N462">
        <f>IF($A462="","",IF($D462="V01",$R$2,IF($D462="V02",$R$3,$R$4)))</f>
        <v/>
      </c>
      <c r="O462">
        <f>IF($A462="","",IF(OR($B462="7062",$B462="706",$B462="708"),$N462,IF($B462="6231",1+$G462,IF($B462="6236",1+$H462,IF(OR($B462="621",$B462="604",$B462="6063"),$N462*(1-$L462),IF(OR($B462="6411",$B462="6413",$B462="6414",$B462="645"),(1+$J462)*(1+$K462),IF(OR($B462="613",$B462="615",$B462="616",$B462="6226",$B462="625",$B462="626",$B462="6281"),(1+$I462)*(1-$L462)*(1+$M462),IF(OR($B462="6331",$B462="63511",$B462="6333"),(1+$I462)*(1-$L462),IF($B462="6811",1+$I462,1)))))))))</f>
        <v/>
      </c>
      <c r="P462">
        <f>IF($A462="","",IF($E462=1,$F462*$O462,PNL!G462))</f>
        <v/>
      </c>
      <c r="T462">
        <f>IF($A462="","",IF($E462=1,IF(OR($B462="7062",$B462="706",$B462="708"),$P462,IF(AND(LEFT($B462,1)="6",$B462&lt;&gt;"6811"),-$P462,0)),0))</f>
        <v/>
      </c>
    </row>
    <row r="463">
      <c r="A463">
        <f>IF(PNL!A463="","",PNL!A463)</f>
        <v/>
      </c>
      <c r="B463">
        <f>IF(PNL!B463="","",PNL!B463)</f>
        <v/>
      </c>
      <c r="C463">
        <f>IF(PNL!C463="","",PNL!C463)</f>
        <v/>
      </c>
      <c r="D463">
        <f>IF(PNL!D463="","",PNL!D463)</f>
        <v/>
      </c>
      <c r="E463">
        <f>IF($A463="","",IF(AND($C463="2027",OR($D463="V01",$D463="V02",$D463="V03")),1,0))</f>
        <v/>
      </c>
      <c r="F463">
        <f>IF($A463="","",IF($E463=1,SUMIFS(Comptabilité!$F$1:$F$675,Comptabilité!$A$1:$A$675,$A463,Comptabilité!$B$1:$B$675,$B463,Comptabilité!$C$1:$C$675,"2026"),0))</f>
        <v/>
      </c>
      <c r="G463">
        <f>IF($A463="","",IF($D463="V01",Cadrage!$C$22,IF($D463="V02",Cadrage!$D$22,Cadrage!$E$22)))</f>
        <v/>
      </c>
      <c r="H463">
        <f>IF($A463="","",IF($D463="V01",Cadrage!$C$23,IF($D463="V02",Cadrage!$D$23,Cadrage!$E$23)))</f>
        <v/>
      </c>
      <c r="I463">
        <f>IF($A463="","",IF($D463="V01",Cadrage!$C$31,IF($D463="V02",Cadrage!$D$31,Cadrage!$E$31)))</f>
        <v/>
      </c>
      <c r="J463">
        <f>IF($A463="","",IF($D463="V01",Cadrage!$C$32,IF($D463="V02",Cadrage!$D$32,Cadrage!$E$32)))</f>
        <v/>
      </c>
      <c r="K463">
        <f>IF($A463="","",IF($D463="V01",Cadrage!$C$33,IF($D463="V02",Cadrage!$D$33,Cadrage!$E$33)))</f>
        <v/>
      </c>
      <c r="L463">
        <f>IF($A463="","",IF($D463="V01",Cadrage!$C$34,IF($D463="V02",Cadrage!$D$34,Cadrage!$E$34)))</f>
        <v/>
      </c>
      <c r="M463">
        <f>IF($A463="","",IF($D463="V01",Cadrage!$C$35,IF($D463="V02",Cadrage!$D$35,Cadrage!$E$35)))</f>
        <v/>
      </c>
      <c r="N463">
        <f>IF($A463="","",IF($D463="V01",$R$2,IF($D463="V02",$R$3,$R$4)))</f>
        <v/>
      </c>
      <c r="O463">
        <f>IF($A463="","",IF(OR($B463="7062",$B463="706",$B463="708"),$N463,IF($B463="6231",1+$G463,IF($B463="6236",1+$H463,IF(OR($B463="621",$B463="604",$B463="6063"),$N463*(1-$L463),IF(OR($B463="6411",$B463="6413",$B463="6414",$B463="645"),(1+$J463)*(1+$K463),IF(OR($B463="613",$B463="615",$B463="616",$B463="6226",$B463="625",$B463="626",$B463="6281"),(1+$I463)*(1-$L463)*(1+$M463),IF(OR($B463="6331",$B463="63511",$B463="6333"),(1+$I463)*(1-$L463),IF($B463="6811",1+$I463,1)))))))))</f>
        <v/>
      </c>
      <c r="P463">
        <f>IF($A463="","",IF($E463=1,$F463*$O463,PNL!G463))</f>
        <v/>
      </c>
      <c r="T463">
        <f>IF($A463="","",IF($E463=1,IF(OR($B463="7062",$B463="706",$B463="708"),$P463,IF(AND(LEFT($B463,1)="6",$B463&lt;&gt;"6811"),-$P463,0)),0))</f>
        <v/>
      </c>
    </row>
    <row r="464">
      <c r="A464">
        <f>IF(PNL!A464="","",PNL!A464)</f>
        <v/>
      </c>
      <c r="B464">
        <f>IF(PNL!B464="","",PNL!B464)</f>
        <v/>
      </c>
      <c r="C464">
        <f>IF(PNL!C464="","",PNL!C464)</f>
        <v/>
      </c>
      <c r="D464">
        <f>IF(PNL!D464="","",PNL!D464)</f>
        <v/>
      </c>
      <c r="E464">
        <f>IF($A464="","",IF(AND($C464="2027",OR($D464="V01",$D464="V02",$D464="V03")),1,0))</f>
        <v/>
      </c>
      <c r="F464">
        <f>IF($A464="","",IF($E464=1,SUMIFS(Comptabilité!$F$1:$F$675,Comptabilité!$A$1:$A$675,$A464,Comptabilité!$B$1:$B$675,$B464,Comptabilité!$C$1:$C$675,"2026"),0))</f>
        <v/>
      </c>
      <c r="G464">
        <f>IF($A464="","",IF($D464="V01",Cadrage!$C$22,IF($D464="V02",Cadrage!$D$22,Cadrage!$E$22)))</f>
        <v/>
      </c>
      <c r="H464">
        <f>IF($A464="","",IF($D464="V01",Cadrage!$C$23,IF($D464="V02",Cadrage!$D$23,Cadrage!$E$23)))</f>
        <v/>
      </c>
      <c r="I464">
        <f>IF($A464="","",IF($D464="V01",Cadrage!$C$31,IF($D464="V02",Cadrage!$D$31,Cadrage!$E$31)))</f>
        <v/>
      </c>
      <c r="J464">
        <f>IF($A464="","",IF($D464="V01",Cadrage!$C$32,IF($D464="V02",Cadrage!$D$32,Cadrage!$E$32)))</f>
        <v/>
      </c>
      <c r="K464">
        <f>IF($A464="","",IF($D464="V01",Cadrage!$C$33,IF($D464="V02",Cadrage!$D$33,Cadrage!$E$33)))</f>
        <v/>
      </c>
      <c r="L464">
        <f>IF($A464="","",IF($D464="V01",Cadrage!$C$34,IF($D464="V02",Cadrage!$D$34,Cadrage!$E$34)))</f>
        <v/>
      </c>
      <c r="M464">
        <f>IF($A464="","",IF($D464="V01",Cadrage!$C$35,IF($D464="V02",Cadrage!$D$35,Cadrage!$E$35)))</f>
        <v/>
      </c>
      <c r="N464">
        <f>IF($A464="","",IF($D464="V01",$R$2,IF($D464="V02",$R$3,$R$4)))</f>
        <v/>
      </c>
      <c r="O464">
        <f>IF($A464="","",IF(OR($B464="7062",$B464="706",$B464="708"),$N464,IF($B464="6231",1+$G464,IF($B464="6236",1+$H464,IF(OR($B464="621",$B464="604",$B464="6063"),$N464*(1-$L464),IF(OR($B464="6411",$B464="6413",$B464="6414",$B464="645"),(1+$J464)*(1+$K464),IF(OR($B464="613",$B464="615",$B464="616",$B464="6226",$B464="625",$B464="626",$B464="6281"),(1+$I464)*(1-$L464)*(1+$M464),IF(OR($B464="6331",$B464="63511",$B464="6333"),(1+$I464)*(1-$L464),IF($B464="6811",1+$I464,1)))))))))</f>
        <v/>
      </c>
      <c r="P464">
        <f>IF($A464="","",IF($E464=1,$F464*$O464,PNL!G464))</f>
        <v/>
      </c>
      <c r="T464">
        <f>IF($A464="","",IF($E464=1,IF(OR($B464="7062",$B464="706",$B464="708"),$P464,IF(AND(LEFT($B464,1)="6",$B464&lt;&gt;"6811"),-$P464,0)),0))</f>
        <v/>
      </c>
    </row>
    <row r="465">
      <c r="A465">
        <f>IF(PNL!A465="","",PNL!A465)</f>
        <v/>
      </c>
      <c r="B465">
        <f>IF(PNL!B465="","",PNL!B465)</f>
        <v/>
      </c>
      <c r="C465">
        <f>IF(PNL!C465="","",PNL!C465)</f>
        <v/>
      </c>
      <c r="D465">
        <f>IF(PNL!D465="","",PNL!D465)</f>
        <v/>
      </c>
      <c r="E465">
        <f>IF($A465="","",IF(AND($C465="2027",OR($D465="V01",$D465="V02",$D465="V03")),1,0))</f>
        <v/>
      </c>
      <c r="F465">
        <f>IF($A465="","",IF($E465=1,SUMIFS(Comptabilité!$F$1:$F$675,Comptabilité!$A$1:$A$675,$A465,Comptabilité!$B$1:$B$675,$B465,Comptabilité!$C$1:$C$675,"2026"),0))</f>
        <v/>
      </c>
      <c r="G465">
        <f>IF($A465="","",IF($D465="V01",Cadrage!$C$22,IF($D465="V02",Cadrage!$D$22,Cadrage!$E$22)))</f>
        <v/>
      </c>
      <c r="H465">
        <f>IF($A465="","",IF($D465="V01",Cadrage!$C$23,IF($D465="V02",Cadrage!$D$23,Cadrage!$E$23)))</f>
        <v/>
      </c>
      <c r="I465">
        <f>IF($A465="","",IF($D465="V01",Cadrage!$C$31,IF($D465="V02",Cadrage!$D$31,Cadrage!$E$31)))</f>
        <v/>
      </c>
      <c r="J465">
        <f>IF($A465="","",IF($D465="V01",Cadrage!$C$32,IF($D465="V02",Cadrage!$D$32,Cadrage!$E$32)))</f>
        <v/>
      </c>
      <c r="K465">
        <f>IF($A465="","",IF($D465="V01",Cadrage!$C$33,IF($D465="V02",Cadrage!$D$33,Cadrage!$E$33)))</f>
        <v/>
      </c>
      <c r="L465">
        <f>IF($A465="","",IF($D465="V01",Cadrage!$C$34,IF($D465="V02",Cadrage!$D$34,Cadrage!$E$34)))</f>
        <v/>
      </c>
      <c r="M465">
        <f>IF($A465="","",IF($D465="V01",Cadrage!$C$35,IF($D465="V02",Cadrage!$D$35,Cadrage!$E$35)))</f>
        <v/>
      </c>
      <c r="N465">
        <f>IF($A465="","",IF($D465="V01",$R$2,IF($D465="V02",$R$3,$R$4)))</f>
        <v/>
      </c>
      <c r="O465">
        <f>IF($A465="","",IF(OR($B465="7062",$B465="706",$B465="708"),$N465,IF($B465="6231",1+$G465,IF($B465="6236",1+$H465,IF(OR($B465="621",$B465="604",$B465="6063"),$N465*(1-$L465),IF(OR($B465="6411",$B465="6413",$B465="6414",$B465="645"),(1+$J465)*(1+$K465),IF(OR($B465="613",$B465="615",$B465="616",$B465="6226",$B465="625",$B465="626",$B465="6281"),(1+$I465)*(1-$L465)*(1+$M465),IF(OR($B465="6331",$B465="63511",$B465="6333"),(1+$I465)*(1-$L465),IF($B465="6811",1+$I465,1)))))))))</f>
        <v/>
      </c>
      <c r="P465">
        <f>IF($A465="","",IF($E465=1,$F465*$O465,PNL!G465))</f>
        <v/>
      </c>
      <c r="T465">
        <f>IF($A465="","",IF($E465=1,IF(OR($B465="7062",$B465="706",$B465="708"),$P465,IF(AND(LEFT($B465,1)="6",$B465&lt;&gt;"6811"),-$P465,0)),0))</f>
        <v/>
      </c>
    </row>
    <row r="466">
      <c r="A466">
        <f>IF(PNL!A466="","",PNL!A466)</f>
        <v/>
      </c>
      <c r="B466">
        <f>IF(PNL!B466="","",PNL!B466)</f>
        <v/>
      </c>
      <c r="C466">
        <f>IF(PNL!C466="","",PNL!C466)</f>
        <v/>
      </c>
      <c r="D466">
        <f>IF(PNL!D466="","",PNL!D466)</f>
        <v/>
      </c>
      <c r="E466">
        <f>IF($A466="","",IF(AND($C466="2027",OR($D466="V01",$D466="V02",$D466="V03")),1,0))</f>
        <v/>
      </c>
      <c r="F466">
        <f>IF($A466="","",IF($E466=1,SUMIFS(Comptabilité!$F$1:$F$675,Comptabilité!$A$1:$A$675,$A466,Comptabilité!$B$1:$B$675,$B466,Comptabilité!$C$1:$C$675,"2026"),0))</f>
        <v/>
      </c>
      <c r="G466">
        <f>IF($A466="","",IF($D466="V01",Cadrage!$C$22,IF($D466="V02",Cadrage!$D$22,Cadrage!$E$22)))</f>
        <v/>
      </c>
      <c r="H466">
        <f>IF($A466="","",IF($D466="V01",Cadrage!$C$23,IF($D466="V02",Cadrage!$D$23,Cadrage!$E$23)))</f>
        <v/>
      </c>
      <c r="I466">
        <f>IF($A466="","",IF($D466="V01",Cadrage!$C$31,IF($D466="V02",Cadrage!$D$31,Cadrage!$E$31)))</f>
        <v/>
      </c>
      <c r="J466">
        <f>IF($A466="","",IF($D466="V01",Cadrage!$C$32,IF($D466="V02",Cadrage!$D$32,Cadrage!$E$32)))</f>
        <v/>
      </c>
      <c r="K466">
        <f>IF($A466="","",IF($D466="V01",Cadrage!$C$33,IF($D466="V02",Cadrage!$D$33,Cadrage!$E$33)))</f>
        <v/>
      </c>
      <c r="L466">
        <f>IF($A466="","",IF($D466="V01",Cadrage!$C$34,IF($D466="V02",Cadrage!$D$34,Cadrage!$E$34)))</f>
        <v/>
      </c>
      <c r="M466">
        <f>IF($A466="","",IF($D466="V01",Cadrage!$C$35,IF($D466="V02",Cadrage!$D$35,Cadrage!$E$35)))</f>
        <v/>
      </c>
      <c r="N466">
        <f>IF($A466="","",IF($D466="V01",$R$2,IF($D466="V02",$R$3,$R$4)))</f>
        <v/>
      </c>
      <c r="O466">
        <f>IF($A466="","",IF(OR($B466="7062",$B466="706",$B466="708"),$N466,IF($B466="6231",1+$G466,IF($B466="6236",1+$H466,IF(OR($B466="621",$B466="604",$B466="6063"),$N466*(1-$L466),IF(OR($B466="6411",$B466="6413",$B466="6414",$B466="645"),(1+$J466)*(1+$K466),IF(OR($B466="613",$B466="615",$B466="616",$B466="6226",$B466="625",$B466="626",$B466="6281"),(1+$I466)*(1-$L466)*(1+$M466),IF(OR($B466="6331",$B466="63511",$B466="6333"),(1+$I466)*(1-$L466),IF($B466="6811",1+$I466,1)))))))))</f>
        <v/>
      </c>
      <c r="P466">
        <f>IF($A466="","",IF($E466=1,$F466*$O466,PNL!G466))</f>
        <v/>
      </c>
      <c r="T466">
        <f>IF($A466="","",IF($E466=1,IF(OR($B466="7062",$B466="706",$B466="708"),$P466,IF(AND(LEFT($B466,1)="6",$B466&lt;&gt;"6811"),-$P466,0)),0))</f>
        <v/>
      </c>
    </row>
    <row r="467">
      <c r="A467">
        <f>IF(PNL!A467="","",PNL!A467)</f>
        <v/>
      </c>
      <c r="B467">
        <f>IF(PNL!B467="","",PNL!B467)</f>
        <v/>
      </c>
      <c r="C467">
        <f>IF(PNL!C467="","",PNL!C467)</f>
        <v/>
      </c>
      <c r="D467">
        <f>IF(PNL!D467="","",PNL!D467)</f>
        <v/>
      </c>
      <c r="E467">
        <f>IF($A467="","",IF(AND($C467="2027",OR($D467="V01",$D467="V02",$D467="V03")),1,0))</f>
        <v/>
      </c>
      <c r="F467">
        <f>IF($A467="","",IF($E467=1,SUMIFS(Comptabilité!$F$1:$F$675,Comptabilité!$A$1:$A$675,$A467,Comptabilité!$B$1:$B$675,$B467,Comptabilité!$C$1:$C$675,"2026"),0))</f>
        <v/>
      </c>
      <c r="G467">
        <f>IF($A467="","",IF($D467="V01",Cadrage!$C$22,IF($D467="V02",Cadrage!$D$22,Cadrage!$E$22)))</f>
        <v/>
      </c>
      <c r="H467">
        <f>IF($A467="","",IF($D467="V01",Cadrage!$C$23,IF($D467="V02",Cadrage!$D$23,Cadrage!$E$23)))</f>
        <v/>
      </c>
      <c r="I467">
        <f>IF($A467="","",IF($D467="V01",Cadrage!$C$31,IF($D467="V02",Cadrage!$D$31,Cadrage!$E$31)))</f>
        <v/>
      </c>
      <c r="J467">
        <f>IF($A467="","",IF($D467="V01",Cadrage!$C$32,IF($D467="V02",Cadrage!$D$32,Cadrage!$E$32)))</f>
        <v/>
      </c>
      <c r="K467">
        <f>IF($A467="","",IF($D467="V01",Cadrage!$C$33,IF($D467="V02",Cadrage!$D$33,Cadrage!$E$33)))</f>
        <v/>
      </c>
      <c r="L467">
        <f>IF($A467="","",IF($D467="V01",Cadrage!$C$34,IF($D467="V02",Cadrage!$D$34,Cadrage!$E$34)))</f>
        <v/>
      </c>
      <c r="M467">
        <f>IF($A467="","",IF($D467="V01",Cadrage!$C$35,IF($D467="V02",Cadrage!$D$35,Cadrage!$E$35)))</f>
        <v/>
      </c>
      <c r="N467">
        <f>IF($A467="","",IF($D467="V01",$R$2,IF($D467="V02",$R$3,$R$4)))</f>
        <v/>
      </c>
      <c r="O467">
        <f>IF($A467="","",IF(OR($B467="7062",$B467="706",$B467="708"),$N467,IF($B467="6231",1+$G467,IF($B467="6236",1+$H467,IF(OR($B467="621",$B467="604",$B467="6063"),$N467*(1-$L467),IF(OR($B467="6411",$B467="6413",$B467="6414",$B467="645"),(1+$J467)*(1+$K467),IF(OR($B467="613",$B467="615",$B467="616",$B467="6226",$B467="625",$B467="626",$B467="6281"),(1+$I467)*(1-$L467)*(1+$M467),IF(OR($B467="6331",$B467="63511",$B467="6333"),(1+$I467)*(1-$L467),IF($B467="6811",1+$I467,1)))))))))</f>
        <v/>
      </c>
      <c r="P467">
        <f>IF($A467="","",IF($E467=1,$F467*$O467,PNL!G467))</f>
        <v/>
      </c>
      <c r="T467">
        <f>IF($A467="","",IF($E467=1,IF(OR($B467="7062",$B467="706",$B467="708"),$P467,IF(AND(LEFT($B467,1)="6",$B467&lt;&gt;"6811"),-$P467,0)),0))</f>
        <v/>
      </c>
    </row>
    <row r="468">
      <c r="A468">
        <f>IF(PNL!A468="","",PNL!A468)</f>
        <v/>
      </c>
      <c r="B468">
        <f>IF(PNL!B468="","",PNL!B468)</f>
        <v/>
      </c>
      <c r="C468">
        <f>IF(PNL!C468="","",PNL!C468)</f>
        <v/>
      </c>
      <c r="D468">
        <f>IF(PNL!D468="","",PNL!D468)</f>
        <v/>
      </c>
      <c r="E468">
        <f>IF($A468="","",IF(AND($C468="2027",OR($D468="V01",$D468="V02",$D468="V03")),1,0))</f>
        <v/>
      </c>
      <c r="F468">
        <f>IF($A468="","",IF($E468=1,SUMIFS(Comptabilité!$F$1:$F$675,Comptabilité!$A$1:$A$675,$A468,Comptabilité!$B$1:$B$675,$B468,Comptabilité!$C$1:$C$675,"2026"),0))</f>
        <v/>
      </c>
      <c r="G468">
        <f>IF($A468="","",IF($D468="V01",Cadrage!$C$22,IF($D468="V02",Cadrage!$D$22,Cadrage!$E$22)))</f>
        <v/>
      </c>
      <c r="H468">
        <f>IF($A468="","",IF($D468="V01",Cadrage!$C$23,IF($D468="V02",Cadrage!$D$23,Cadrage!$E$23)))</f>
        <v/>
      </c>
      <c r="I468">
        <f>IF($A468="","",IF($D468="V01",Cadrage!$C$31,IF($D468="V02",Cadrage!$D$31,Cadrage!$E$31)))</f>
        <v/>
      </c>
      <c r="J468">
        <f>IF($A468="","",IF($D468="V01",Cadrage!$C$32,IF($D468="V02",Cadrage!$D$32,Cadrage!$E$32)))</f>
        <v/>
      </c>
      <c r="K468">
        <f>IF($A468="","",IF($D468="V01",Cadrage!$C$33,IF($D468="V02",Cadrage!$D$33,Cadrage!$E$33)))</f>
        <v/>
      </c>
      <c r="L468">
        <f>IF($A468="","",IF($D468="V01",Cadrage!$C$34,IF($D468="V02",Cadrage!$D$34,Cadrage!$E$34)))</f>
        <v/>
      </c>
      <c r="M468">
        <f>IF($A468="","",IF($D468="V01",Cadrage!$C$35,IF($D468="V02",Cadrage!$D$35,Cadrage!$E$35)))</f>
        <v/>
      </c>
      <c r="N468">
        <f>IF($A468="","",IF($D468="V01",$R$2,IF($D468="V02",$R$3,$R$4)))</f>
        <v/>
      </c>
      <c r="O468">
        <f>IF($A468="","",IF(OR($B468="7062",$B468="706",$B468="708"),$N468,IF($B468="6231",1+$G468,IF($B468="6236",1+$H468,IF(OR($B468="621",$B468="604",$B468="6063"),$N468*(1-$L468),IF(OR($B468="6411",$B468="6413",$B468="6414",$B468="645"),(1+$J468)*(1+$K468),IF(OR($B468="613",$B468="615",$B468="616",$B468="6226",$B468="625",$B468="626",$B468="6281"),(1+$I468)*(1-$L468)*(1+$M468),IF(OR($B468="6331",$B468="63511",$B468="6333"),(1+$I468)*(1-$L468),IF($B468="6811",1+$I468,1)))))))))</f>
        <v/>
      </c>
      <c r="P468">
        <f>IF($A468="","",IF($E468=1,$F468*$O468,PNL!G468))</f>
        <v/>
      </c>
      <c r="T468">
        <f>IF($A468="","",IF($E468=1,IF(OR($B468="7062",$B468="706",$B468="708"),$P468,IF(AND(LEFT($B468,1)="6",$B468&lt;&gt;"6811"),-$P468,0)),0))</f>
        <v/>
      </c>
    </row>
    <row r="469">
      <c r="A469">
        <f>IF(PNL!A469="","",PNL!A469)</f>
        <v/>
      </c>
      <c r="B469">
        <f>IF(PNL!B469="","",PNL!B469)</f>
        <v/>
      </c>
      <c r="C469">
        <f>IF(PNL!C469="","",PNL!C469)</f>
        <v/>
      </c>
      <c r="D469">
        <f>IF(PNL!D469="","",PNL!D469)</f>
        <v/>
      </c>
      <c r="E469">
        <f>IF($A469="","",IF(AND($C469="2027",OR($D469="V01",$D469="V02",$D469="V03")),1,0))</f>
        <v/>
      </c>
      <c r="F469">
        <f>IF($A469="","",IF($E469=1,SUMIFS(Comptabilité!$F$1:$F$675,Comptabilité!$A$1:$A$675,$A469,Comptabilité!$B$1:$B$675,$B469,Comptabilité!$C$1:$C$675,"2026"),0))</f>
        <v/>
      </c>
      <c r="G469">
        <f>IF($A469="","",IF($D469="V01",Cadrage!$C$22,IF($D469="V02",Cadrage!$D$22,Cadrage!$E$22)))</f>
        <v/>
      </c>
      <c r="H469">
        <f>IF($A469="","",IF($D469="V01",Cadrage!$C$23,IF($D469="V02",Cadrage!$D$23,Cadrage!$E$23)))</f>
        <v/>
      </c>
      <c r="I469">
        <f>IF($A469="","",IF($D469="V01",Cadrage!$C$31,IF($D469="V02",Cadrage!$D$31,Cadrage!$E$31)))</f>
        <v/>
      </c>
      <c r="J469">
        <f>IF($A469="","",IF($D469="V01",Cadrage!$C$32,IF($D469="V02",Cadrage!$D$32,Cadrage!$E$32)))</f>
        <v/>
      </c>
      <c r="K469">
        <f>IF($A469="","",IF($D469="V01",Cadrage!$C$33,IF($D469="V02",Cadrage!$D$33,Cadrage!$E$33)))</f>
        <v/>
      </c>
      <c r="L469">
        <f>IF($A469="","",IF($D469="V01",Cadrage!$C$34,IF($D469="V02",Cadrage!$D$34,Cadrage!$E$34)))</f>
        <v/>
      </c>
      <c r="M469">
        <f>IF($A469="","",IF($D469="V01",Cadrage!$C$35,IF($D469="V02",Cadrage!$D$35,Cadrage!$E$35)))</f>
        <v/>
      </c>
      <c r="N469">
        <f>IF($A469="","",IF($D469="V01",$R$2,IF($D469="V02",$R$3,$R$4)))</f>
        <v/>
      </c>
      <c r="O469">
        <f>IF($A469="","",IF(OR($B469="7062",$B469="706",$B469="708"),$N469,IF($B469="6231",1+$G469,IF($B469="6236",1+$H469,IF(OR($B469="621",$B469="604",$B469="6063"),$N469*(1-$L469),IF(OR($B469="6411",$B469="6413",$B469="6414",$B469="645"),(1+$J469)*(1+$K469),IF(OR($B469="613",$B469="615",$B469="616",$B469="6226",$B469="625",$B469="626",$B469="6281"),(1+$I469)*(1-$L469)*(1+$M469),IF(OR($B469="6331",$B469="63511",$B469="6333"),(1+$I469)*(1-$L469),IF($B469="6811",1+$I469,1)))))))))</f>
        <v/>
      </c>
      <c r="P469">
        <f>IF($A469="","",IF($E469=1,$F469*$O469,PNL!G469))</f>
        <v/>
      </c>
      <c r="T469">
        <f>IF($A469="","",IF($E469=1,IF(OR($B469="7062",$B469="706",$B469="708"),$P469,IF(AND(LEFT($B469,1)="6",$B469&lt;&gt;"6811"),-$P469,0)),0))</f>
        <v/>
      </c>
    </row>
    <row r="470">
      <c r="A470">
        <f>IF(PNL!A470="","",PNL!A470)</f>
        <v/>
      </c>
      <c r="B470">
        <f>IF(PNL!B470="","",PNL!B470)</f>
        <v/>
      </c>
      <c r="C470">
        <f>IF(PNL!C470="","",PNL!C470)</f>
        <v/>
      </c>
      <c r="D470">
        <f>IF(PNL!D470="","",PNL!D470)</f>
        <v/>
      </c>
      <c r="E470">
        <f>IF($A470="","",IF(AND($C470="2027",OR($D470="V01",$D470="V02",$D470="V03")),1,0))</f>
        <v/>
      </c>
      <c r="F470">
        <f>IF($A470="","",IF($E470=1,SUMIFS(Comptabilité!$F$1:$F$675,Comptabilité!$A$1:$A$675,$A470,Comptabilité!$B$1:$B$675,$B470,Comptabilité!$C$1:$C$675,"2026"),0))</f>
        <v/>
      </c>
      <c r="G470">
        <f>IF($A470="","",IF($D470="V01",Cadrage!$C$22,IF($D470="V02",Cadrage!$D$22,Cadrage!$E$22)))</f>
        <v/>
      </c>
      <c r="H470">
        <f>IF($A470="","",IF($D470="V01",Cadrage!$C$23,IF($D470="V02",Cadrage!$D$23,Cadrage!$E$23)))</f>
        <v/>
      </c>
      <c r="I470">
        <f>IF($A470="","",IF($D470="V01",Cadrage!$C$31,IF($D470="V02",Cadrage!$D$31,Cadrage!$E$31)))</f>
        <v/>
      </c>
      <c r="J470">
        <f>IF($A470="","",IF($D470="V01",Cadrage!$C$32,IF($D470="V02",Cadrage!$D$32,Cadrage!$E$32)))</f>
        <v/>
      </c>
      <c r="K470">
        <f>IF($A470="","",IF($D470="V01",Cadrage!$C$33,IF($D470="V02",Cadrage!$D$33,Cadrage!$E$33)))</f>
        <v/>
      </c>
      <c r="L470">
        <f>IF($A470="","",IF($D470="V01",Cadrage!$C$34,IF($D470="V02",Cadrage!$D$34,Cadrage!$E$34)))</f>
        <v/>
      </c>
      <c r="M470">
        <f>IF($A470="","",IF($D470="V01",Cadrage!$C$35,IF($D470="V02",Cadrage!$D$35,Cadrage!$E$35)))</f>
        <v/>
      </c>
      <c r="N470">
        <f>IF($A470="","",IF($D470="V01",$R$2,IF($D470="V02",$R$3,$R$4)))</f>
        <v/>
      </c>
      <c r="O470">
        <f>IF($A470="","",IF(OR($B470="7062",$B470="706",$B470="708"),$N470,IF($B470="6231",1+$G470,IF($B470="6236",1+$H470,IF(OR($B470="621",$B470="604",$B470="6063"),$N470*(1-$L470),IF(OR($B470="6411",$B470="6413",$B470="6414",$B470="645"),(1+$J470)*(1+$K470),IF(OR($B470="613",$B470="615",$B470="616",$B470="6226",$B470="625",$B470="626",$B470="6281"),(1+$I470)*(1-$L470)*(1+$M470),IF(OR($B470="6331",$B470="63511",$B470="6333"),(1+$I470)*(1-$L470),IF($B470="6811",1+$I470,1)))))))))</f>
        <v/>
      </c>
      <c r="P470">
        <f>IF($A470="","",IF($E470=1,$F470*$O470,PNL!G470))</f>
        <v/>
      </c>
      <c r="T470">
        <f>IF($A470="","",IF($E470=1,IF(OR($B470="7062",$B470="706",$B470="708"),$P470,IF(AND(LEFT($B470,1)="6",$B470&lt;&gt;"6811"),-$P470,0)),0))</f>
        <v/>
      </c>
    </row>
    <row r="471">
      <c r="A471">
        <f>IF(PNL!A471="","",PNL!A471)</f>
        <v/>
      </c>
      <c r="B471">
        <f>IF(PNL!B471="","",PNL!B471)</f>
        <v/>
      </c>
      <c r="C471">
        <f>IF(PNL!C471="","",PNL!C471)</f>
        <v/>
      </c>
      <c r="D471">
        <f>IF(PNL!D471="","",PNL!D471)</f>
        <v/>
      </c>
      <c r="E471">
        <f>IF($A471="","",IF(AND($C471="2027",OR($D471="V01",$D471="V02",$D471="V03")),1,0))</f>
        <v/>
      </c>
      <c r="F471">
        <f>IF($A471="","",IF($E471=1,SUMIFS(Comptabilité!$F$1:$F$675,Comptabilité!$A$1:$A$675,$A471,Comptabilité!$B$1:$B$675,$B471,Comptabilité!$C$1:$C$675,"2026"),0))</f>
        <v/>
      </c>
      <c r="G471">
        <f>IF($A471="","",IF($D471="V01",Cadrage!$C$22,IF($D471="V02",Cadrage!$D$22,Cadrage!$E$22)))</f>
        <v/>
      </c>
      <c r="H471">
        <f>IF($A471="","",IF($D471="V01",Cadrage!$C$23,IF($D471="V02",Cadrage!$D$23,Cadrage!$E$23)))</f>
        <v/>
      </c>
      <c r="I471">
        <f>IF($A471="","",IF($D471="V01",Cadrage!$C$31,IF($D471="V02",Cadrage!$D$31,Cadrage!$E$31)))</f>
        <v/>
      </c>
      <c r="J471">
        <f>IF($A471="","",IF($D471="V01",Cadrage!$C$32,IF($D471="V02",Cadrage!$D$32,Cadrage!$E$32)))</f>
        <v/>
      </c>
      <c r="K471">
        <f>IF($A471="","",IF($D471="V01",Cadrage!$C$33,IF($D471="V02",Cadrage!$D$33,Cadrage!$E$33)))</f>
        <v/>
      </c>
      <c r="L471">
        <f>IF($A471="","",IF($D471="V01",Cadrage!$C$34,IF($D471="V02",Cadrage!$D$34,Cadrage!$E$34)))</f>
        <v/>
      </c>
      <c r="M471">
        <f>IF($A471="","",IF($D471="V01",Cadrage!$C$35,IF($D471="V02",Cadrage!$D$35,Cadrage!$E$35)))</f>
        <v/>
      </c>
      <c r="N471">
        <f>IF($A471="","",IF($D471="V01",$R$2,IF($D471="V02",$R$3,$R$4)))</f>
        <v/>
      </c>
      <c r="O471">
        <f>IF($A471="","",IF(OR($B471="7062",$B471="706",$B471="708"),$N471,IF($B471="6231",1+$G471,IF($B471="6236",1+$H471,IF(OR($B471="621",$B471="604",$B471="6063"),$N471*(1-$L471),IF(OR($B471="6411",$B471="6413",$B471="6414",$B471="645"),(1+$J471)*(1+$K471),IF(OR($B471="613",$B471="615",$B471="616",$B471="6226",$B471="625",$B471="626",$B471="6281"),(1+$I471)*(1-$L471)*(1+$M471),IF(OR($B471="6331",$B471="63511",$B471="6333"),(1+$I471)*(1-$L471),IF($B471="6811",1+$I471,1)))))))))</f>
        <v/>
      </c>
      <c r="P471">
        <f>IF($A471="","",IF($E471=1,$F471*$O471,PNL!G471))</f>
        <v/>
      </c>
      <c r="T471">
        <f>IF($A471="","",IF($E471=1,IF(OR($B471="7062",$B471="706",$B471="708"),$P471,IF(AND(LEFT($B471,1)="6",$B471&lt;&gt;"6811"),-$P471,0)),0))</f>
        <v/>
      </c>
    </row>
    <row r="472">
      <c r="A472">
        <f>IF(PNL!A472="","",PNL!A472)</f>
        <v/>
      </c>
      <c r="B472">
        <f>IF(PNL!B472="","",PNL!B472)</f>
        <v/>
      </c>
      <c r="C472">
        <f>IF(PNL!C472="","",PNL!C472)</f>
        <v/>
      </c>
      <c r="D472">
        <f>IF(PNL!D472="","",PNL!D472)</f>
        <v/>
      </c>
      <c r="E472">
        <f>IF($A472="","",IF(AND($C472="2027",OR($D472="V01",$D472="V02",$D472="V03")),1,0))</f>
        <v/>
      </c>
      <c r="F472">
        <f>IF($A472="","",IF($E472=1,SUMIFS(Comptabilité!$F$1:$F$675,Comptabilité!$A$1:$A$675,$A472,Comptabilité!$B$1:$B$675,$B472,Comptabilité!$C$1:$C$675,"2026"),0))</f>
        <v/>
      </c>
      <c r="G472">
        <f>IF($A472="","",IF($D472="V01",Cadrage!$C$22,IF($D472="V02",Cadrage!$D$22,Cadrage!$E$22)))</f>
        <v/>
      </c>
      <c r="H472">
        <f>IF($A472="","",IF($D472="V01",Cadrage!$C$23,IF($D472="V02",Cadrage!$D$23,Cadrage!$E$23)))</f>
        <v/>
      </c>
      <c r="I472">
        <f>IF($A472="","",IF($D472="V01",Cadrage!$C$31,IF($D472="V02",Cadrage!$D$31,Cadrage!$E$31)))</f>
        <v/>
      </c>
      <c r="J472">
        <f>IF($A472="","",IF($D472="V01",Cadrage!$C$32,IF($D472="V02",Cadrage!$D$32,Cadrage!$E$32)))</f>
        <v/>
      </c>
      <c r="K472">
        <f>IF($A472="","",IF($D472="V01",Cadrage!$C$33,IF($D472="V02",Cadrage!$D$33,Cadrage!$E$33)))</f>
        <v/>
      </c>
      <c r="L472">
        <f>IF($A472="","",IF($D472="V01",Cadrage!$C$34,IF($D472="V02",Cadrage!$D$34,Cadrage!$E$34)))</f>
        <v/>
      </c>
      <c r="M472">
        <f>IF($A472="","",IF($D472="V01",Cadrage!$C$35,IF($D472="V02",Cadrage!$D$35,Cadrage!$E$35)))</f>
        <v/>
      </c>
      <c r="N472">
        <f>IF($A472="","",IF($D472="V01",$R$2,IF($D472="V02",$R$3,$R$4)))</f>
        <v/>
      </c>
      <c r="O472">
        <f>IF($A472="","",IF(OR($B472="7062",$B472="706",$B472="708"),$N472,IF($B472="6231",1+$G472,IF($B472="6236",1+$H472,IF(OR($B472="621",$B472="604",$B472="6063"),$N472*(1-$L472),IF(OR($B472="6411",$B472="6413",$B472="6414",$B472="645"),(1+$J472)*(1+$K472),IF(OR($B472="613",$B472="615",$B472="616",$B472="6226",$B472="625",$B472="626",$B472="6281"),(1+$I472)*(1-$L472)*(1+$M472),IF(OR($B472="6331",$B472="63511",$B472="6333"),(1+$I472)*(1-$L472),IF($B472="6811",1+$I472,1)))))))))</f>
        <v/>
      </c>
      <c r="P472">
        <f>IF($A472="","",IF($E472=1,$F472*$O472,PNL!G472))</f>
        <v/>
      </c>
      <c r="T472">
        <f>IF($A472="","",IF($E472=1,IF(OR($B472="7062",$B472="706",$B472="708"),$P472,IF(AND(LEFT($B472,1)="6",$B472&lt;&gt;"6811"),-$P472,0)),0))</f>
        <v/>
      </c>
    </row>
    <row r="473">
      <c r="A473">
        <f>IF(PNL!A473="","",PNL!A473)</f>
        <v/>
      </c>
      <c r="B473">
        <f>IF(PNL!B473="","",PNL!B473)</f>
        <v/>
      </c>
      <c r="C473">
        <f>IF(PNL!C473="","",PNL!C473)</f>
        <v/>
      </c>
      <c r="D473">
        <f>IF(PNL!D473="","",PNL!D473)</f>
        <v/>
      </c>
      <c r="E473">
        <f>IF($A473="","",IF(AND($C473="2027",OR($D473="V01",$D473="V02",$D473="V03")),1,0))</f>
        <v/>
      </c>
      <c r="F473">
        <f>IF($A473="","",IF($E473=1,SUMIFS(Comptabilité!$F$1:$F$675,Comptabilité!$A$1:$A$675,$A473,Comptabilité!$B$1:$B$675,$B473,Comptabilité!$C$1:$C$675,"2026"),0))</f>
        <v/>
      </c>
      <c r="G473">
        <f>IF($A473="","",IF($D473="V01",Cadrage!$C$22,IF($D473="V02",Cadrage!$D$22,Cadrage!$E$22)))</f>
        <v/>
      </c>
      <c r="H473">
        <f>IF($A473="","",IF($D473="V01",Cadrage!$C$23,IF($D473="V02",Cadrage!$D$23,Cadrage!$E$23)))</f>
        <v/>
      </c>
      <c r="I473">
        <f>IF($A473="","",IF($D473="V01",Cadrage!$C$31,IF($D473="V02",Cadrage!$D$31,Cadrage!$E$31)))</f>
        <v/>
      </c>
      <c r="J473">
        <f>IF($A473="","",IF($D473="V01",Cadrage!$C$32,IF($D473="V02",Cadrage!$D$32,Cadrage!$E$32)))</f>
        <v/>
      </c>
      <c r="K473">
        <f>IF($A473="","",IF($D473="V01",Cadrage!$C$33,IF($D473="V02",Cadrage!$D$33,Cadrage!$E$33)))</f>
        <v/>
      </c>
      <c r="L473">
        <f>IF($A473="","",IF($D473="V01",Cadrage!$C$34,IF($D473="V02",Cadrage!$D$34,Cadrage!$E$34)))</f>
        <v/>
      </c>
      <c r="M473">
        <f>IF($A473="","",IF($D473="V01",Cadrage!$C$35,IF($D473="V02",Cadrage!$D$35,Cadrage!$E$35)))</f>
        <v/>
      </c>
      <c r="N473">
        <f>IF($A473="","",IF($D473="V01",$R$2,IF($D473="V02",$R$3,$R$4)))</f>
        <v/>
      </c>
      <c r="O473">
        <f>IF($A473="","",IF(OR($B473="7062",$B473="706",$B473="708"),$N473,IF($B473="6231",1+$G473,IF($B473="6236",1+$H473,IF(OR($B473="621",$B473="604",$B473="6063"),$N473*(1-$L473),IF(OR($B473="6411",$B473="6413",$B473="6414",$B473="645"),(1+$J473)*(1+$K473),IF(OR($B473="613",$B473="615",$B473="616",$B473="6226",$B473="625",$B473="626",$B473="6281"),(1+$I473)*(1-$L473)*(1+$M473),IF(OR($B473="6331",$B473="63511",$B473="6333"),(1+$I473)*(1-$L473),IF($B473="6811",1+$I473,1)))))))))</f>
        <v/>
      </c>
      <c r="P473">
        <f>IF($A473="","",IF($E473=1,$F473*$O473,PNL!G473))</f>
        <v/>
      </c>
      <c r="T473">
        <f>IF($A473="","",IF($E473=1,IF(OR($B473="7062",$B473="706",$B473="708"),$P473,IF(AND(LEFT($B473,1)="6",$B473&lt;&gt;"6811"),-$P473,0)),0))</f>
        <v/>
      </c>
    </row>
    <row r="474">
      <c r="A474">
        <f>IF(PNL!A474="","",PNL!A474)</f>
        <v/>
      </c>
      <c r="B474">
        <f>IF(PNL!B474="","",PNL!B474)</f>
        <v/>
      </c>
      <c r="C474">
        <f>IF(PNL!C474="","",PNL!C474)</f>
        <v/>
      </c>
      <c r="D474">
        <f>IF(PNL!D474="","",PNL!D474)</f>
        <v/>
      </c>
      <c r="E474">
        <f>IF($A474="","",IF(AND($C474="2027",OR($D474="V01",$D474="V02",$D474="V03")),1,0))</f>
        <v/>
      </c>
      <c r="F474">
        <f>IF($A474="","",IF($E474=1,SUMIFS(Comptabilité!$F$1:$F$675,Comptabilité!$A$1:$A$675,$A474,Comptabilité!$B$1:$B$675,$B474,Comptabilité!$C$1:$C$675,"2026"),0))</f>
        <v/>
      </c>
      <c r="G474">
        <f>IF($A474="","",IF($D474="V01",Cadrage!$C$22,IF($D474="V02",Cadrage!$D$22,Cadrage!$E$22)))</f>
        <v/>
      </c>
      <c r="H474">
        <f>IF($A474="","",IF($D474="V01",Cadrage!$C$23,IF($D474="V02",Cadrage!$D$23,Cadrage!$E$23)))</f>
        <v/>
      </c>
      <c r="I474">
        <f>IF($A474="","",IF($D474="V01",Cadrage!$C$31,IF($D474="V02",Cadrage!$D$31,Cadrage!$E$31)))</f>
        <v/>
      </c>
      <c r="J474">
        <f>IF($A474="","",IF($D474="V01",Cadrage!$C$32,IF($D474="V02",Cadrage!$D$32,Cadrage!$E$32)))</f>
        <v/>
      </c>
      <c r="K474">
        <f>IF($A474="","",IF($D474="V01",Cadrage!$C$33,IF($D474="V02",Cadrage!$D$33,Cadrage!$E$33)))</f>
        <v/>
      </c>
      <c r="L474">
        <f>IF($A474="","",IF($D474="V01",Cadrage!$C$34,IF($D474="V02",Cadrage!$D$34,Cadrage!$E$34)))</f>
        <v/>
      </c>
      <c r="M474">
        <f>IF($A474="","",IF($D474="V01",Cadrage!$C$35,IF($D474="V02",Cadrage!$D$35,Cadrage!$E$35)))</f>
        <v/>
      </c>
      <c r="N474">
        <f>IF($A474="","",IF($D474="V01",$R$2,IF($D474="V02",$R$3,$R$4)))</f>
        <v/>
      </c>
      <c r="O474">
        <f>IF($A474="","",IF(OR($B474="7062",$B474="706",$B474="708"),$N474,IF($B474="6231",1+$G474,IF($B474="6236",1+$H474,IF(OR($B474="621",$B474="604",$B474="6063"),$N474*(1-$L474),IF(OR($B474="6411",$B474="6413",$B474="6414",$B474="645"),(1+$J474)*(1+$K474),IF(OR($B474="613",$B474="615",$B474="616",$B474="6226",$B474="625",$B474="626",$B474="6281"),(1+$I474)*(1-$L474)*(1+$M474),IF(OR($B474="6331",$B474="63511",$B474="6333"),(1+$I474)*(1-$L474),IF($B474="6811",1+$I474,1)))))))))</f>
        <v/>
      </c>
      <c r="P474">
        <f>IF($A474="","",IF($E474=1,$F474*$O474,PNL!G474))</f>
        <v/>
      </c>
      <c r="T474">
        <f>IF($A474="","",IF($E474=1,IF(OR($B474="7062",$B474="706",$B474="708"),$P474,IF(AND(LEFT($B474,1)="6",$B474&lt;&gt;"6811"),-$P474,0)),0))</f>
        <v/>
      </c>
    </row>
    <row r="475">
      <c r="A475">
        <f>IF(PNL!A475="","",PNL!A475)</f>
        <v/>
      </c>
      <c r="B475">
        <f>IF(PNL!B475="","",PNL!B475)</f>
        <v/>
      </c>
      <c r="C475">
        <f>IF(PNL!C475="","",PNL!C475)</f>
        <v/>
      </c>
      <c r="D475">
        <f>IF(PNL!D475="","",PNL!D475)</f>
        <v/>
      </c>
      <c r="E475">
        <f>IF($A475="","",IF(AND($C475="2027",OR($D475="V01",$D475="V02",$D475="V03")),1,0))</f>
        <v/>
      </c>
      <c r="F475">
        <f>IF($A475="","",IF($E475=1,SUMIFS(Comptabilité!$F$1:$F$675,Comptabilité!$A$1:$A$675,$A475,Comptabilité!$B$1:$B$675,$B475,Comptabilité!$C$1:$C$675,"2026"),0))</f>
        <v/>
      </c>
      <c r="G475">
        <f>IF($A475="","",IF($D475="V01",Cadrage!$C$22,IF($D475="V02",Cadrage!$D$22,Cadrage!$E$22)))</f>
        <v/>
      </c>
      <c r="H475">
        <f>IF($A475="","",IF($D475="V01",Cadrage!$C$23,IF($D475="V02",Cadrage!$D$23,Cadrage!$E$23)))</f>
        <v/>
      </c>
      <c r="I475">
        <f>IF($A475="","",IF($D475="V01",Cadrage!$C$31,IF($D475="V02",Cadrage!$D$31,Cadrage!$E$31)))</f>
        <v/>
      </c>
      <c r="J475">
        <f>IF($A475="","",IF($D475="V01",Cadrage!$C$32,IF($D475="V02",Cadrage!$D$32,Cadrage!$E$32)))</f>
        <v/>
      </c>
      <c r="K475">
        <f>IF($A475="","",IF($D475="V01",Cadrage!$C$33,IF($D475="V02",Cadrage!$D$33,Cadrage!$E$33)))</f>
        <v/>
      </c>
      <c r="L475">
        <f>IF($A475="","",IF($D475="V01",Cadrage!$C$34,IF($D475="V02",Cadrage!$D$34,Cadrage!$E$34)))</f>
        <v/>
      </c>
      <c r="M475">
        <f>IF($A475="","",IF($D475="V01",Cadrage!$C$35,IF($D475="V02",Cadrage!$D$35,Cadrage!$E$35)))</f>
        <v/>
      </c>
      <c r="N475">
        <f>IF($A475="","",IF($D475="V01",$R$2,IF($D475="V02",$R$3,$R$4)))</f>
        <v/>
      </c>
      <c r="O475">
        <f>IF($A475="","",IF(OR($B475="7062",$B475="706",$B475="708"),$N475,IF($B475="6231",1+$G475,IF($B475="6236",1+$H475,IF(OR($B475="621",$B475="604",$B475="6063"),$N475*(1-$L475),IF(OR($B475="6411",$B475="6413",$B475="6414",$B475="645"),(1+$J475)*(1+$K475),IF(OR($B475="613",$B475="615",$B475="616",$B475="6226",$B475="625",$B475="626",$B475="6281"),(1+$I475)*(1-$L475)*(1+$M475),IF(OR($B475="6331",$B475="63511",$B475="6333"),(1+$I475)*(1-$L475),IF($B475="6811",1+$I475,1)))))))))</f>
        <v/>
      </c>
      <c r="P475">
        <f>IF($A475="","",IF($E475=1,$F475*$O475,PNL!G475))</f>
        <v/>
      </c>
      <c r="T475">
        <f>IF($A475="","",IF($E475=1,IF(OR($B475="7062",$B475="706",$B475="708"),$P475,IF(AND(LEFT($B475,1)="6",$B475&lt;&gt;"6811"),-$P475,0)),0))</f>
        <v/>
      </c>
    </row>
    <row r="476">
      <c r="A476">
        <f>IF(PNL!A476="","",PNL!A476)</f>
        <v/>
      </c>
      <c r="B476">
        <f>IF(PNL!B476="","",PNL!B476)</f>
        <v/>
      </c>
      <c r="C476">
        <f>IF(PNL!C476="","",PNL!C476)</f>
        <v/>
      </c>
      <c r="D476">
        <f>IF(PNL!D476="","",PNL!D476)</f>
        <v/>
      </c>
      <c r="E476">
        <f>IF($A476="","",IF(AND($C476="2027",OR($D476="V01",$D476="V02",$D476="V03")),1,0))</f>
        <v/>
      </c>
      <c r="F476">
        <f>IF($A476="","",IF($E476=1,SUMIFS(Comptabilité!$F$1:$F$675,Comptabilité!$A$1:$A$675,$A476,Comptabilité!$B$1:$B$675,$B476,Comptabilité!$C$1:$C$675,"2026"),0))</f>
        <v/>
      </c>
      <c r="G476">
        <f>IF($A476="","",IF($D476="V01",Cadrage!$C$22,IF($D476="V02",Cadrage!$D$22,Cadrage!$E$22)))</f>
        <v/>
      </c>
      <c r="H476">
        <f>IF($A476="","",IF($D476="V01",Cadrage!$C$23,IF($D476="V02",Cadrage!$D$23,Cadrage!$E$23)))</f>
        <v/>
      </c>
      <c r="I476">
        <f>IF($A476="","",IF($D476="V01",Cadrage!$C$31,IF($D476="V02",Cadrage!$D$31,Cadrage!$E$31)))</f>
        <v/>
      </c>
      <c r="J476">
        <f>IF($A476="","",IF($D476="V01",Cadrage!$C$32,IF($D476="V02",Cadrage!$D$32,Cadrage!$E$32)))</f>
        <v/>
      </c>
      <c r="K476">
        <f>IF($A476="","",IF($D476="V01",Cadrage!$C$33,IF($D476="V02",Cadrage!$D$33,Cadrage!$E$33)))</f>
        <v/>
      </c>
      <c r="L476">
        <f>IF($A476="","",IF($D476="V01",Cadrage!$C$34,IF($D476="V02",Cadrage!$D$34,Cadrage!$E$34)))</f>
        <v/>
      </c>
      <c r="M476">
        <f>IF($A476="","",IF($D476="V01",Cadrage!$C$35,IF($D476="V02",Cadrage!$D$35,Cadrage!$E$35)))</f>
        <v/>
      </c>
      <c r="N476">
        <f>IF($A476="","",IF($D476="V01",$R$2,IF($D476="V02",$R$3,$R$4)))</f>
        <v/>
      </c>
      <c r="O476">
        <f>IF($A476="","",IF(OR($B476="7062",$B476="706",$B476="708"),$N476,IF($B476="6231",1+$G476,IF($B476="6236",1+$H476,IF(OR($B476="621",$B476="604",$B476="6063"),$N476*(1-$L476),IF(OR($B476="6411",$B476="6413",$B476="6414",$B476="645"),(1+$J476)*(1+$K476),IF(OR($B476="613",$B476="615",$B476="616",$B476="6226",$B476="625",$B476="626",$B476="6281"),(1+$I476)*(1-$L476)*(1+$M476),IF(OR($B476="6331",$B476="63511",$B476="6333"),(1+$I476)*(1-$L476),IF($B476="6811",1+$I476,1)))))))))</f>
        <v/>
      </c>
      <c r="P476">
        <f>IF($A476="","",IF($E476=1,$F476*$O476,PNL!G476))</f>
        <v/>
      </c>
      <c r="T476">
        <f>IF($A476="","",IF($E476=1,IF(OR($B476="7062",$B476="706",$B476="708"),$P476,IF(AND(LEFT($B476,1)="6",$B476&lt;&gt;"6811"),-$P476,0)),0))</f>
        <v/>
      </c>
    </row>
    <row r="477">
      <c r="A477">
        <f>IF(PNL!A477="","",PNL!A477)</f>
        <v/>
      </c>
      <c r="B477">
        <f>IF(PNL!B477="","",PNL!B477)</f>
        <v/>
      </c>
      <c r="C477">
        <f>IF(PNL!C477="","",PNL!C477)</f>
        <v/>
      </c>
      <c r="D477">
        <f>IF(PNL!D477="","",PNL!D477)</f>
        <v/>
      </c>
      <c r="E477">
        <f>IF($A477="","",IF(AND($C477="2027",OR($D477="V01",$D477="V02",$D477="V03")),1,0))</f>
        <v/>
      </c>
      <c r="F477">
        <f>IF($A477="","",IF($E477=1,SUMIFS(Comptabilité!$F$1:$F$675,Comptabilité!$A$1:$A$675,$A477,Comptabilité!$B$1:$B$675,$B477,Comptabilité!$C$1:$C$675,"2026"),0))</f>
        <v/>
      </c>
      <c r="G477">
        <f>IF($A477="","",IF($D477="V01",Cadrage!$C$22,IF($D477="V02",Cadrage!$D$22,Cadrage!$E$22)))</f>
        <v/>
      </c>
      <c r="H477">
        <f>IF($A477="","",IF($D477="V01",Cadrage!$C$23,IF($D477="V02",Cadrage!$D$23,Cadrage!$E$23)))</f>
        <v/>
      </c>
      <c r="I477">
        <f>IF($A477="","",IF($D477="V01",Cadrage!$C$31,IF($D477="V02",Cadrage!$D$31,Cadrage!$E$31)))</f>
        <v/>
      </c>
      <c r="J477">
        <f>IF($A477="","",IF($D477="V01",Cadrage!$C$32,IF($D477="V02",Cadrage!$D$32,Cadrage!$E$32)))</f>
        <v/>
      </c>
      <c r="K477">
        <f>IF($A477="","",IF($D477="V01",Cadrage!$C$33,IF($D477="V02",Cadrage!$D$33,Cadrage!$E$33)))</f>
        <v/>
      </c>
      <c r="L477">
        <f>IF($A477="","",IF($D477="V01",Cadrage!$C$34,IF($D477="V02",Cadrage!$D$34,Cadrage!$E$34)))</f>
        <v/>
      </c>
      <c r="M477">
        <f>IF($A477="","",IF($D477="V01",Cadrage!$C$35,IF($D477="V02",Cadrage!$D$35,Cadrage!$E$35)))</f>
        <v/>
      </c>
      <c r="N477">
        <f>IF($A477="","",IF($D477="V01",$R$2,IF($D477="V02",$R$3,$R$4)))</f>
        <v/>
      </c>
      <c r="O477">
        <f>IF($A477="","",IF(OR($B477="7062",$B477="706",$B477="708"),$N477,IF($B477="6231",1+$G477,IF($B477="6236",1+$H477,IF(OR($B477="621",$B477="604",$B477="6063"),$N477*(1-$L477),IF(OR($B477="6411",$B477="6413",$B477="6414",$B477="645"),(1+$J477)*(1+$K477),IF(OR($B477="613",$B477="615",$B477="616",$B477="6226",$B477="625",$B477="626",$B477="6281"),(1+$I477)*(1-$L477)*(1+$M477),IF(OR($B477="6331",$B477="63511",$B477="6333"),(1+$I477)*(1-$L477),IF($B477="6811",1+$I477,1)))))))))</f>
        <v/>
      </c>
      <c r="P477">
        <f>IF($A477="","",IF($E477=1,$F477*$O477,PNL!G477))</f>
        <v/>
      </c>
      <c r="T477">
        <f>IF($A477="","",IF($E477=1,IF(OR($B477="7062",$B477="706",$B477="708"),$P477,IF(AND(LEFT($B477,1)="6",$B477&lt;&gt;"6811"),-$P477,0)),0))</f>
        <v/>
      </c>
    </row>
    <row r="478">
      <c r="A478">
        <f>IF(PNL!A478="","",PNL!A478)</f>
        <v/>
      </c>
      <c r="B478">
        <f>IF(PNL!B478="","",PNL!B478)</f>
        <v/>
      </c>
      <c r="C478">
        <f>IF(PNL!C478="","",PNL!C478)</f>
        <v/>
      </c>
      <c r="D478">
        <f>IF(PNL!D478="","",PNL!D478)</f>
        <v/>
      </c>
      <c r="E478">
        <f>IF($A478="","",IF(AND($C478="2027",OR($D478="V01",$D478="V02",$D478="V03")),1,0))</f>
        <v/>
      </c>
      <c r="F478">
        <f>IF($A478="","",IF($E478=1,SUMIFS(Comptabilité!$F$1:$F$675,Comptabilité!$A$1:$A$675,$A478,Comptabilité!$B$1:$B$675,$B478,Comptabilité!$C$1:$C$675,"2026"),0))</f>
        <v/>
      </c>
      <c r="G478">
        <f>IF($A478="","",IF($D478="V01",Cadrage!$C$22,IF($D478="V02",Cadrage!$D$22,Cadrage!$E$22)))</f>
        <v/>
      </c>
      <c r="H478">
        <f>IF($A478="","",IF($D478="V01",Cadrage!$C$23,IF($D478="V02",Cadrage!$D$23,Cadrage!$E$23)))</f>
        <v/>
      </c>
      <c r="I478">
        <f>IF($A478="","",IF($D478="V01",Cadrage!$C$31,IF($D478="V02",Cadrage!$D$31,Cadrage!$E$31)))</f>
        <v/>
      </c>
      <c r="J478">
        <f>IF($A478="","",IF($D478="V01",Cadrage!$C$32,IF($D478="V02",Cadrage!$D$32,Cadrage!$E$32)))</f>
        <v/>
      </c>
      <c r="K478">
        <f>IF($A478="","",IF($D478="V01",Cadrage!$C$33,IF($D478="V02",Cadrage!$D$33,Cadrage!$E$33)))</f>
        <v/>
      </c>
      <c r="L478">
        <f>IF($A478="","",IF($D478="V01",Cadrage!$C$34,IF($D478="V02",Cadrage!$D$34,Cadrage!$E$34)))</f>
        <v/>
      </c>
      <c r="M478">
        <f>IF($A478="","",IF($D478="V01",Cadrage!$C$35,IF($D478="V02",Cadrage!$D$35,Cadrage!$E$35)))</f>
        <v/>
      </c>
      <c r="N478">
        <f>IF($A478="","",IF($D478="V01",$R$2,IF($D478="V02",$R$3,$R$4)))</f>
        <v/>
      </c>
      <c r="O478">
        <f>IF($A478="","",IF(OR($B478="7062",$B478="706",$B478="708"),$N478,IF($B478="6231",1+$G478,IF($B478="6236",1+$H478,IF(OR($B478="621",$B478="604",$B478="6063"),$N478*(1-$L478),IF(OR($B478="6411",$B478="6413",$B478="6414",$B478="645"),(1+$J478)*(1+$K478),IF(OR($B478="613",$B478="615",$B478="616",$B478="6226",$B478="625",$B478="626",$B478="6281"),(1+$I478)*(1-$L478)*(1+$M478),IF(OR($B478="6331",$B478="63511",$B478="6333"),(1+$I478)*(1-$L478),IF($B478="6811",1+$I478,1)))))))))</f>
        <v/>
      </c>
      <c r="P478">
        <f>IF($A478="","",IF($E478=1,$F478*$O478,PNL!G478))</f>
        <v/>
      </c>
      <c r="T478">
        <f>IF($A478="","",IF($E478=1,IF(OR($B478="7062",$B478="706",$B478="708"),$P478,IF(AND(LEFT($B478,1)="6",$B478&lt;&gt;"6811"),-$P478,0)),0))</f>
        <v/>
      </c>
    </row>
    <row r="479">
      <c r="A479">
        <f>IF(PNL!A479="","",PNL!A479)</f>
        <v/>
      </c>
      <c r="B479">
        <f>IF(PNL!B479="","",PNL!B479)</f>
        <v/>
      </c>
      <c r="C479">
        <f>IF(PNL!C479="","",PNL!C479)</f>
        <v/>
      </c>
      <c r="D479">
        <f>IF(PNL!D479="","",PNL!D479)</f>
        <v/>
      </c>
      <c r="E479">
        <f>IF($A479="","",IF(AND($C479="2027",OR($D479="V01",$D479="V02",$D479="V03")),1,0))</f>
        <v/>
      </c>
      <c r="F479">
        <f>IF($A479="","",IF($E479=1,SUMIFS(Comptabilité!$F$1:$F$675,Comptabilité!$A$1:$A$675,$A479,Comptabilité!$B$1:$B$675,$B479,Comptabilité!$C$1:$C$675,"2026"),0))</f>
        <v/>
      </c>
      <c r="G479">
        <f>IF($A479="","",IF($D479="V01",Cadrage!$C$22,IF($D479="V02",Cadrage!$D$22,Cadrage!$E$22)))</f>
        <v/>
      </c>
      <c r="H479">
        <f>IF($A479="","",IF($D479="V01",Cadrage!$C$23,IF($D479="V02",Cadrage!$D$23,Cadrage!$E$23)))</f>
        <v/>
      </c>
      <c r="I479">
        <f>IF($A479="","",IF($D479="V01",Cadrage!$C$31,IF($D479="V02",Cadrage!$D$31,Cadrage!$E$31)))</f>
        <v/>
      </c>
      <c r="J479">
        <f>IF($A479="","",IF($D479="V01",Cadrage!$C$32,IF($D479="V02",Cadrage!$D$32,Cadrage!$E$32)))</f>
        <v/>
      </c>
      <c r="K479">
        <f>IF($A479="","",IF($D479="V01",Cadrage!$C$33,IF($D479="V02",Cadrage!$D$33,Cadrage!$E$33)))</f>
        <v/>
      </c>
      <c r="L479">
        <f>IF($A479="","",IF($D479="V01",Cadrage!$C$34,IF($D479="V02",Cadrage!$D$34,Cadrage!$E$34)))</f>
        <v/>
      </c>
      <c r="M479">
        <f>IF($A479="","",IF($D479="V01",Cadrage!$C$35,IF($D479="V02",Cadrage!$D$35,Cadrage!$E$35)))</f>
        <v/>
      </c>
      <c r="N479">
        <f>IF($A479="","",IF($D479="V01",$R$2,IF($D479="V02",$R$3,$R$4)))</f>
        <v/>
      </c>
      <c r="O479">
        <f>IF($A479="","",IF(OR($B479="7062",$B479="706",$B479="708"),$N479,IF($B479="6231",1+$G479,IF($B479="6236",1+$H479,IF(OR($B479="621",$B479="604",$B479="6063"),$N479*(1-$L479),IF(OR($B479="6411",$B479="6413",$B479="6414",$B479="645"),(1+$J479)*(1+$K479),IF(OR($B479="613",$B479="615",$B479="616",$B479="6226",$B479="625",$B479="626",$B479="6281"),(1+$I479)*(1-$L479)*(1+$M479),IF(OR($B479="6331",$B479="63511",$B479="6333"),(1+$I479)*(1-$L479),IF($B479="6811",1+$I479,1)))))))))</f>
        <v/>
      </c>
      <c r="P479">
        <f>IF($A479="","",IF($E479=1,$F479*$O479,PNL!G479))</f>
        <v/>
      </c>
      <c r="T479">
        <f>IF($A479="","",IF($E479=1,IF(OR($B479="7062",$B479="706",$B479="708"),$P479,IF(AND(LEFT($B479,1)="6",$B479&lt;&gt;"6811"),-$P479,0)),0))</f>
        <v/>
      </c>
    </row>
    <row r="480">
      <c r="A480">
        <f>IF(PNL!A480="","",PNL!A480)</f>
        <v/>
      </c>
      <c r="B480">
        <f>IF(PNL!B480="","",PNL!B480)</f>
        <v/>
      </c>
      <c r="C480">
        <f>IF(PNL!C480="","",PNL!C480)</f>
        <v/>
      </c>
      <c r="D480">
        <f>IF(PNL!D480="","",PNL!D480)</f>
        <v/>
      </c>
      <c r="E480">
        <f>IF($A480="","",IF(AND($C480="2027",OR($D480="V01",$D480="V02",$D480="V03")),1,0))</f>
        <v/>
      </c>
      <c r="F480">
        <f>IF($A480="","",IF($E480=1,SUMIFS(Comptabilité!$F$1:$F$675,Comptabilité!$A$1:$A$675,$A480,Comptabilité!$B$1:$B$675,$B480,Comptabilité!$C$1:$C$675,"2026"),0))</f>
        <v/>
      </c>
      <c r="G480">
        <f>IF($A480="","",IF($D480="V01",Cadrage!$C$22,IF($D480="V02",Cadrage!$D$22,Cadrage!$E$22)))</f>
        <v/>
      </c>
      <c r="H480">
        <f>IF($A480="","",IF($D480="V01",Cadrage!$C$23,IF($D480="V02",Cadrage!$D$23,Cadrage!$E$23)))</f>
        <v/>
      </c>
      <c r="I480">
        <f>IF($A480="","",IF($D480="V01",Cadrage!$C$31,IF($D480="V02",Cadrage!$D$31,Cadrage!$E$31)))</f>
        <v/>
      </c>
      <c r="J480">
        <f>IF($A480="","",IF($D480="V01",Cadrage!$C$32,IF($D480="V02",Cadrage!$D$32,Cadrage!$E$32)))</f>
        <v/>
      </c>
      <c r="K480">
        <f>IF($A480="","",IF($D480="V01",Cadrage!$C$33,IF($D480="V02",Cadrage!$D$33,Cadrage!$E$33)))</f>
        <v/>
      </c>
      <c r="L480">
        <f>IF($A480="","",IF($D480="V01",Cadrage!$C$34,IF($D480="V02",Cadrage!$D$34,Cadrage!$E$34)))</f>
        <v/>
      </c>
      <c r="M480">
        <f>IF($A480="","",IF($D480="V01",Cadrage!$C$35,IF($D480="V02",Cadrage!$D$35,Cadrage!$E$35)))</f>
        <v/>
      </c>
      <c r="N480">
        <f>IF($A480="","",IF($D480="V01",$R$2,IF($D480="V02",$R$3,$R$4)))</f>
        <v/>
      </c>
      <c r="O480">
        <f>IF($A480="","",IF(OR($B480="7062",$B480="706",$B480="708"),$N480,IF($B480="6231",1+$G480,IF($B480="6236",1+$H480,IF(OR($B480="621",$B480="604",$B480="6063"),$N480*(1-$L480),IF(OR($B480="6411",$B480="6413",$B480="6414",$B480="645"),(1+$J480)*(1+$K480),IF(OR($B480="613",$B480="615",$B480="616",$B480="6226",$B480="625",$B480="626",$B480="6281"),(1+$I480)*(1-$L480)*(1+$M480),IF(OR($B480="6331",$B480="63511",$B480="6333"),(1+$I480)*(1-$L480),IF($B480="6811",1+$I480,1)))))))))</f>
        <v/>
      </c>
      <c r="P480">
        <f>IF($A480="","",IF($E480=1,$F480*$O480,PNL!G480))</f>
        <v/>
      </c>
      <c r="T480">
        <f>IF($A480="","",IF($E480=1,IF(OR($B480="7062",$B480="706",$B480="708"),$P480,IF(AND(LEFT($B480,1)="6",$B480&lt;&gt;"6811"),-$P480,0)),0))</f>
        <v/>
      </c>
    </row>
    <row r="481">
      <c r="A481">
        <f>IF(PNL!A481="","",PNL!A481)</f>
        <v/>
      </c>
      <c r="B481">
        <f>IF(PNL!B481="","",PNL!B481)</f>
        <v/>
      </c>
      <c r="C481">
        <f>IF(PNL!C481="","",PNL!C481)</f>
        <v/>
      </c>
      <c r="D481">
        <f>IF(PNL!D481="","",PNL!D481)</f>
        <v/>
      </c>
      <c r="E481">
        <f>IF($A481="","",IF(AND($C481="2027",OR($D481="V01",$D481="V02",$D481="V03")),1,0))</f>
        <v/>
      </c>
      <c r="F481">
        <f>IF($A481="","",IF($E481=1,SUMIFS(Comptabilité!$F$1:$F$675,Comptabilité!$A$1:$A$675,$A481,Comptabilité!$B$1:$B$675,$B481,Comptabilité!$C$1:$C$675,"2026"),0))</f>
        <v/>
      </c>
      <c r="G481">
        <f>IF($A481="","",IF($D481="V01",Cadrage!$C$22,IF($D481="V02",Cadrage!$D$22,Cadrage!$E$22)))</f>
        <v/>
      </c>
      <c r="H481">
        <f>IF($A481="","",IF($D481="V01",Cadrage!$C$23,IF($D481="V02",Cadrage!$D$23,Cadrage!$E$23)))</f>
        <v/>
      </c>
      <c r="I481">
        <f>IF($A481="","",IF($D481="V01",Cadrage!$C$31,IF($D481="V02",Cadrage!$D$31,Cadrage!$E$31)))</f>
        <v/>
      </c>
      <c r="J481">
        <f>IF($A481="","",IF($D481="V01",Cadrage!$C$32,IF($D481="V02",Cadrage!$D$32,Cadrage!$E$32)))</f>
        <v/>
      </c>
      <c r="K481">
        <f>IF($A481="","",IF($D481="V01",Cadrage!$C$33,IF($D481="V02",Cadrage!$D$33,Cadrage!$E$33)))</f>
        <v/>
      </c>
      <c r="L481">
        <f>IF($A481="","",IF($D481="V01",Cadrage!$C$34,IF($D481="V02",Cadrage!$D$34,Cadrage!$E$34)))</f>
        <v/>
      </c>
      <c r="M481">
        <f>IF($A481="","",IF($D481="V01",Cadrage!$C$35,IF($D481="V02",Cadrage!$D$35,Cadrage!$E$35)))</f>
        <v/>
      </c>
      <c r="N481">
        <f>IF($A481="","",IF($D481="V01",$R$2,IF($D481="V02",$R$3,$R$4)))</f>
        <v/>
      </c>
      <c r="O481">
        <f>IF($A481="","",IF(OR($B481="7062",$B481="706",$B481="708"),$N481,IF($B481="6231",1+$G481,IF($B481="6236",1+$H481,IF(OR($B481="621",$B481="604",$B481="6063"),$N481*(1-$L481),IF(OR($B481="6411",$B481="6413",$B481="6414",$B481="645"),(1+$J481)*(1+$K481),IF(OR($B481="613",$B481="615",$B481="616",$B481="6226",$B481="625",$B481="626",$B481="6281"),(1+$I481)*(1-$L481)*(1+$M481),IF(OR($B481="6331",$B481="63511",$B481="6333"),(1+$I481)*(1-$L481),IF($B481="6811",1+$I481,1)))))))))</f>
        <v/>
      </c>
      <c r="P481">
        <f>IF($A481="","",IF($E481=1,$F481*$O481,PNL!G481))</f>
        <v/>
      </c>
      <c r="T481">
        <f>IF($A481="","",IF($E481=1,IF(OR($B481="7062",$B481="706",$B481="708"),$P481,IF(AND(LEFT($B481,1)="6",$B481&lt;&gt;"6811"),-$P481,0)),0))</f>
        <v/>
      </c>
    </row>
    <row r="482">
      <c r="A482">
        <f>IF(PNL!A482="","",PNL!A482)</f>
        <v/>
      </c>
      <c r="B482">
        <f>IF(PNL!B482="","",PNL!B482)</f>
        <v/>
      </c>
      <c r="C482">
        <f>IF(PNL!C482="","",PNL!C482)</f>
        <v/>
      </c>
      <c r="D482">
        <f>IF(PNL!D482="","",PNL!D482)</f>
        <v/>
      </c>
      <c r="E482">
        <f>IF($A482="","",IF(AND($C482="2027",OR($D482="V01",$D482="V02",$D482="V03")),1,0))</f>
        <v/>
      </c>
      <c r="F482">
        <f>IF($A482="","",IF($E482=1,SUMIFS(Comptabilité!$F$1:$F$675,Comptabilité!$A$1:$A$675,$A482,Comptabilité!$B$1:$B$675,$B482,Comptabilité!$C$1:$C$675,"2026"),0))</f>
        <v/>
      </c>
      <c r="G482">
        <f>IF($A482="","",IF($D482="V01",Cadrage!$C$22,IF($D482="V02",Cadrage!$D$22,Cadrage!$E$22)))</f>
        <v/>
      </c>
      <c r="H482">
        <f>IF($A482="","",IF($D482="V01",Cadrage!$C$23,IF($D482="V02",Cadrage!$D$23,Cadrage!$E$23)))</f>
        <v/>
      </c>
      <c r="I482">
        <f>IF($A482="","",IF($D482="V01",Cadrage!$C$31,IF($D482="V02",Cadrage!$D$31,Cadrage!$E$31)))</f>
        <v/>
      </c>
      <c r="J482">
        <f>IF($A482="","",IF($D482="V01",Cadrage!$C$32,IF($D482="V02",Cadrage!$D$32,Cadrage!$E$32)))</f>
        <v/>
      </c>
      <c r="K482">
        <f>IF($A482="","",IF($D482="V01",Cadrage!$C$33,IF($D482="V02",Cadrage!$D$33,Cadrage!$E$33)))</f>
        <v/>
      </c>
      <c r="L482">
        <f>IF($A482="","",IF($D482="V01",Cadrage!$C$34,IF($D482="V02",Cadrage!$D$34,Cadrage!$E$34)))</f>
        <v/>
      </c>
      <c r="M482">
        <f>IF($A482="","",IF($D482="V01",Cadrage!$C$35,IF($D482="V02",Cadrage!$D$35,Cadrage!$E$35)))</f>
        <v/>
      </c>
      <c r="N482">
        <f>IF($A482="","",IF($D482="V01",$R$2,IF($D482="V02",$R$3,$R$4)))</f>
        <v/>
      </c>
      <c r="O482">
        <f>IF($A482="","",IF(OR($B482="7062",$B482="706",$B482="708"),$N482,IF($B482="6231",1+$G482,IF($B482="6236",1+$H482,IF(OR($B482="621",$B482="604",$B482="6063"),$N482*(1-$L482),IF(OR($B482="6411",$B482="6413",$B482="6414",$B482="645"),(1+$J482)*(1+$K482),IF(OR($B482="613",$B482="615",$B482="616",$B482="6226",$B482="625",$B482="626",$B482="6281"),(1+$I482)*(1-$L482)*(1+$M482),IF(OR($B482="6331",$B482="63511",$B482="6333"),(1+$I482)*(1-$L482),IF($B482="6811",1+$I482,1)))))))))</f>
        <v/>
      </c>
      <c r="P482">
        <f>IF($A482="","",IF($E482=1,$F482*$O482,PNL!G482))</f>
        <v/>
      </c>
      <c r="T482">
        <f>IF($A482="","",IF($E482=1,IF(OR($B482="7062",$B482="706",$B482="708"),$P482,IF(AND(LEFT($B482,1)="6",$B482&lt;&gt;"6811"),-$P482,0)),0))</f>
        <v/>
      </c>
    </row>
    <row r="483">
      <c r="A483">
        <f>IF(PNL!A483="","",PNL!A483)</f>
        <v/>
      </c>
      <c r="B483">
        <f>IF(PNL!B483="","",PNL!B483)</f>
        <v/>
      </c>
      <c r="C483">
        <f>IF(PNL!C483="","",PNL!C483)</f>
        <v/>
      </c>
      <c r="D483">
        <f>IF(PNL!D483="","",PNL!D483)</f>
        <v/>
      </c>
      <c r="E483">
        <f>IF($A483="","",IF(AND($C483="2027",OR($D483="V01",$D483="V02",$D483="V03")),1,0))</f>
        <v/>
      </c>
      <c r="F483">
        <f>IF($A483="","",IF($E483=1,SUMIFS(Comptabilité!$F$1:$F$675,Comptabilité!$A$1:$A$675,$A483,Comptabilité!$B$1:$B$675,$B483,Comptabilité!$C$1:$C$675,"2026"),0))</f>
        <v/>
      </c>
      <c r="G483">
        <f>IF($A483="","",IF($D483="V01",Cadrage!$C$22,IF($D483="V02",Cadrage!$D$22,Cadrage!$E$22)))</f>
        <v/>
      </c>
      <c r="H483">
        <f>IF($A483="","",IF($D483="V01",Cadrage!$C$23,IF($D483="V02",Cadrage!$D$23,Cadrage!$E$23)))</f>
        <v/>
      </c>
      <c r="I483">
        <f>IF($A483="","",IF($D483="V01",Cadrage!$C$31,IF($D483="V02",Cadrage!$D$31,Cadrage!$E$31)))</f>
        <v/>
      </c>
      <c r="J483">
        <f>IF($A483="","",IF($D483="V01",Cadrage!$C$32,IF($D483="V02",Cadrage!$D$32,Cadrage!$E$32)))</f>
        <v/>
      </c>
      <c r="K483">
        <f>IF($A483="","",IF($D483="V01",Cadrage!$C$33,IF($D483="V02",Cadrage!$D$33,Cadrage!$E$33)))</f>
        <v/>
      </c>
      <c r="L483">
        <f>IF($A483="","",IF($D483="V01",Cadrage!$C$34,IF($D483="V02",Cadrage!$D$34,Cadrage!$E$34)))</f>
        <v/>
      </c>
      <c r="M483">
        <f>IF($A483="","",IF($D483="V01",Cadrage!$C$35,IF($D483="V02",Cadrage!$D$35,Cadrage!$E$35)))</f>
        <v/>
      </c>
      <c r="N483">
        <f>IF($A483="","",IF($D483="V01",$R$2,IF($D483="V02",$R$3,$R$4)))</f>
        <v/>
      </c>
      <c r="O483">
        <f>IF($A483="","",IF(OR($B483="7062",$B483="706",$B483="708"),$N483,IF($B483="6231",1+$G483,IF($B483="6236",1+$H483,IF(OR($B483="621",$B483="604",$B483="6063"),$N483*(1-$L483),IF(OR($B483="6411",$B483="6413",$B483="6414",$B483="645"),(1+$J483)*(1+$K483),IF(OR($B483="613",$B483="615",$B483="616",$B483="6226",$B483="625",$B483="626",$B483="6281"),(1+$I483)*(1-$L483)*(1+$M483),IF(OR($B483="6331",$B483="63511",$B483="6333"),(1+$I483)*(1-$L483),IF($B483="6811",1+$I483,1)))))))))</f>
        <v/>
      </c>
      <c r="P483">
        <f>IF($A483="","",IF($E483=1,$F483*$O483,PNL!G483))</f>
        <v/>
      </c>
      <c r="T483">
        <f>IF($A483="","",IF($E483=1,IF(OR($B483="7062",$B483="706",$B483="708"),$P483,IF(AND(LEFT($B483,1)="6",$B483&lt;&gt;"6811"),-$P483,0)),0))</f>
        <v/>
      </c>
    </row>
    <row r="484">
      <c r="A484">
        <f>IF(PNL!A484="","",PNL!A484)</f>
        <v/>
      </c>
      <c r="B484">
        <f>IF(PNL!B484="","",PNL!B484)</f>
        <v/>
      </c>
      <c r="C484">
        <f>IF(PNL!C484="","",PNL!C484)</f>
        <v/>
      </c>
      <c r="D484">
        <f>IF(PNL!D484="","",PNL!D484)</f>
        <v/>
      </c>
      <c r="E484">
        <f>IF($A484="","",IF(AND($C484="2027",OR($D484="V01",$D484="V02",$D484="V03")),1,0))</f>
        <v/>
      </c>
      <c r="F484">
        <f>IF($A484="","",IF($E484=1,SUMIFS(Comptabilité!$F$1:$F$675,Comptabilité!$A$1:$A$675,$A484,Comptabilité!$B$1:$B$675,$B484,Comptabilité!$C$1:$C$675,"2026"),0))</f>
        <v/>
      </c>
      <c r="G484">
        <f>IF($A484="","",IF($D484="V01",Cadrage!$C$22,IF($D484="V02",Cadrage!$D$22,Cadrage!$E$22)))</f>
        <v/>
      </c>
      <c r="H484">
        <f>IF($A484="","",IF($D484="V01",Cadrage!$C$23,IF($D484="V02",Cadrage!$D$23,Cadrage!$E$23)))</f>
        <v/>
      </c>
      <c r="I484">
        <f>IF($A484="","",IF($D484="V01",Cadrage!$C$31,IF($D484="V02",Cadrage!$D$31,Cadrage!$E$31)))</f>
        <v/>
      </c>
      <c r="J484">
        <f>IF($A484="","",IF($D484="V01",Cadrage!$C$32,IF($D484="V02",Cadrage!$D$32,Cadrage!$E$32)))</f>
        <v/>
      </c>
      <c r="K484">
        <f>IF($A484="","",IF($D484="V01",Cadrage!$C$33,IF($D484="V02",Cadrage!$D$33,Cadrage!$E$33)))</f>
        <v/>
      </c>
      <c r="L484">
        <f>IF($A484="","",IF($D484="V01",Cadrage!$C$34,IF($D484="V02",Cadrage!$D$34,Cadrage!$E$34)))</f>
        <v/>
      </c>
      <c r="M484">
        <f>IF($A484="","",IF($D484="V01",Cadrage!$C$35,IF($D484="V02",Cadrage!$D$35,Cadrage!$E$35)))</f>
        <v/>
      </c>
      <c r="N484">
        <f>IF($A484="","",IF($D484="V01",$R$2,IF($D484="V02",$R$3,$R$4)))</f>
        <v/>
      </c>
      <c r="O484">
        <f>IF($A484="","",IF(OR($B484="7062",$B484="706",$B484="708"),$N484,IF($B484="6231",1+$G484,IF($B484="6236",1+$H484,IF(OR($B484="621",$B484="604",$B484="6063"),$N484*(1-$L484),IF(OR($B484="6411",$B484="6413",$B484="6414",$B484="645"),(1+$J484)*(1+$K484),IF(OR($B484="613",$B484="615",$B484="616",$B484="6226",$B484="625",$B484="626",$B484="6281"),(1+$I484)*(1-$L484)*(1+$M484),IF(OR($B484="6331",$B484="63511",$B484="6333"),(1+$I484)*(1-$L484),IF($B484="6811",1+$I484,1)))))))))</f>
        <v/>
      </c>
      <c r="P484">
        <f>IF($A484="","",IF($E484=1,$F484*$O484,PNL!G484))</f>
        <v/>
      </c>
      <c r="T484">
        <f>IF($A484="","",IF($E484=1,IF(OR($B484="7062",$B484="706",$B484="708"),$P484,IF(AND(LEFT($B484,1)="6",$B484&lt;&gt;"6811"),-$P484,0)),0))</f>
        <v/>
      </c>
    </row>
    <row r="485">
      <c r="A485">
        <f>IF(PNL!A485="","",PNL!A485)</f>
        <v/>
      </c>
      <c r="B485">
        <f>IF(PNL!B485="","",PNL!B485)</f>
        <v/>
      </c>
      <c r="C485">
        <f>IF(PNL!C485="","",PNL!C485)</f>
        <v/>
      </c>
      <c r="D485">
        <f>IF(PNL!D485="","",PNL!D485)</f>
        <v/>
      </c>
      <c r="E485">
        <f>IF($A485="","",IF(AND($C485="2027",OR($D485="V01",$D485="V02",$D485="V03")),1,0))</f>
        <v/>
      </c>
      <c r="F485">
        <f>IF($A485="","",IF($E485=1,SUMIFS(Comptabilité!$F$1:$F$675,Comptabilité!$A$1:$A$675,$A485,Comptabilité!$B$1:$B$675,$B485,Comptabilité!$C$1:$C$675,"2026"),0))</f>
        <v/>
      </c>
      <c r="G485">
        <f>IF($A485="","",IF($D485="V01",Cadrage!$C$22,IF($D485="V02",Cadrage!$D$22,Cadrage!$E$22)))</f>
        <v/>
      </c>
      <c r="H485">
        <f>IF($A485="","",IF($D485="V01",Cadrage!$C$23,IF($D485="V02",Cadrage!$D$23,Cadrage!$E$23)))</f>
        <v/>
      </c>
      <c r="I485">
        <f>IF($A485="","",IF($D485="V01",Cadrage!$C$31,IF($D485="V02",Cadrage!$D$31,Cadrage!$E$31)))</f>
        <v/>
      </c>
      <c r="J485">
        <f>IF($A485="","",IF($D485="V01",Cadrage!$C$32,IF($D485="V02",Cadrage!$D$32,Cadrage!$E$32)))</f>
        <v/>
      </c>
      <c r="K485">
        <f>IF($A485="","",IF($D485="V01",Cadrage!$C$33,IF($D485="V02",Cadrage!$D$33,Cadrage!$E$33)))</f>
        <v/>
      </c>
      <c r="L485">
        <f>IF($A485="","",IF($D485="V01",Cadrage!$C$34,IF($D485="V02",Cadrage!$D$34,Cadrage!$E$34)))</f>
        <v/>
      </c>
      <c r="M485">
        <f>IF($A485="","",IF($D485="V01",Cadrage!$C$35,IF($D485="V02",Cadrage!$D$35,Cadrage!$E$35)))</f>
        <v/>
      </c>
      <c r="N485">
        <f>IF($A485="","",IF($D485="V01",$R$2,IF($D485="V02",$R$3,$R$4)))</f>
        <v/>
      </c>
      <c r="O485">
        <f>IF($A485="","",IF(OR($B485="7062",$B485="706",$B485="708"),$N485,IF($B485="6231",1+$G485,IF($B485="6236",1+$H485,IF(OR($B485="621",$B485="604",$B485="6063"),$N485*(1-$L485),IF(OR($B485="6411",$B485="6413",$B485="6414",$B485="645"),(1+$J485)*(1+$K485),IF(OR($B485="613",$B485="615",$B485="616",$B485="6226",$B485="625",$B485="626",$B485="6281"),(1+$I485)*(1-$L485)*(1+$M485),IF(OR($B485="6331",$B485="63511",$B485="6333"),(1+$I485)*(1-$L485),IF($B485="6811",1+$I485,1)))))))))</f>
        <v/>
      </c>
      <c r="P485">
        <f>IF($A485="","",IF($E485=1,$F485*$O485,PNL!G485))</f>
        <v/>
      </c>
      <c r="T485">
        <f>IF($A485="","",IF($E485=1,IF(OR($B485="7062",$B485="706",$B485="708"),$P485,IF(AND(LEFT($B485,1)="6",$B485&lt;&gt;"6811"),-$P485,0)),0))</f>
        <v/>
      </c>
    </row>
    <row r="486">
      <c r="A486">
        <f>IF(PNL!A486="","",PNL!A486)</f>
        <v/>
      </c>
      <c r="B486">
        <f>IF(PNL!B486="","",PNL!B486)</f>
        <v/>
      </c>
      <c r="C486">
        <f>IF(PNL!C486="","",PNL!C486)</f>
        <v/>
      </c>
      <c r="D486">
        <f>IF(PNL!D486="","",PNL!D486)</f>
        <v/>
      </c>
      <c r="E486">
        <f>IF($A486="","",IF(AND($C486="2027",OR($D486="V01",$D486="V02",$D486="V03")),1,0))</f>
        <v/>
      </c>
      <c r="F486">
        <f>IF($A486="","",IF($E486=1,SUMIFS(Comptabilité!$F$1:$F$675,Comptabilité!$A$1:$A$675,$A486,Comptabilité!$B$1:$B$675,$B486,Comptabilité!$C$1:$C$675,"2026"),0))</f>
        <v/>
      </c>
      <c r="G486">
        <f>IF($A486="","",IF($D486="V01",Cadrage!$C$22,IF($D486="V02",Cadrage!$D$22,Cadrage!$E$22)))</f>
        <v/>
      </c>
      <c r="H486">
        <f>IF($A486="","",IF($D486="V01",Cadrage!$C$23,IF($D486="V02",Cadrage!$D$23,Cadrage!$E$23)))</f>
        <v/>
      </c>
      <c r="I486">
        <f>IF($A486="","",IF($D486="V01",Cadrage!$C$31,IF($D486="V02",Cadrage!$D$31,Cadrage!$E$31)))</f>
        <v/>
      </c>
      <c r="J486">
        <f>IF($A486="","",IF($D486="V01",Cadrage!$C$32,IF($D486="V02",Cadrage!$D$32,Cadrage!$E$32)))</f>
        <v/>
      </c>
      <c r="K486">
        <f>IF($A486="","",IF($D486="V01",Cadrage!$C$33,IF($D486="V02",Cadrage!$D$33,Cadrage!$E$33)))</f>
        <v/>
      </c>
      <c r="L486">
        <f>IF($A486="","",IF($D486="V01",Cadrage!$C$34,IF($D486="V02",Cadrage!$D$34,Cadrage!$E$34)))</f>
        <v/>
      </c>
      <c r="M486">
        <f>IF($A486="","",IF($D486="V01",Cadrage!$C$35,IF($D486="V02",Cadrage!$D$35,Cadrage!$E$35)))</f>
        <v/>
      </c>
      <c r="N486">
        <f>IF($A486="","",IF($D486="V01",$R$2,IF($D486="V02",$R$3,$R$4)))</f>
        <v/>
      </c>
      <c r="O486">
        <f>IF($A486="","",IF(OR($B486="7062",$B486="706",$B486="708"),$N486,IF($B486="6231",1+$G486,IF($B486="6236",1+$H486,IF(OR($B486="621",$B486="604",$B486="6063"),$N486*(1-$L486),IF(OR($B486="6411",$B486="6413",$B486="6414",$B486="645"),(1+$J486)*(1+$K486),IF(OR($B486="613",$B486="615",$B486="616",$B486="6226",$B486="625",$B486="626",$B486="6281"),(1+$I486)*(1-$L486)*(1+$M486),IF(OR($B486="6331",$B486="63511",$B486="6333"),(1+$I486)*(1-$L486),IF($B486="6811",1+$I486,1)))))))))</f>
        <v/>
      </c>
      <c r="P486">
        <f>IF($A486="","",IF($E486=1,$F486*$O486,PNL!G486))</f>
        <v/>
      </c>
      <c r="T486">
        <f>IF($A486="","",IF($E486=1,IF(OR($B486="7062",$B486="706",$B486="708"),$P486,IF(AND(LEFT($B486,1)="6",$B486&lt;&gt;"6811"),-$P486,0)),0))</f>
        <v/>
      </c>
    </row>
    <row r="487">
      <c r="A487">
        <f>IF(PNL!A487="","",PNL!A487)</f>
        <v/>
      </c>
      <c r="B487">
        <f>IF(PNL!B487="","",PNL!B487)</f>
        <v/>
      </c>
      <c r="C487">
        <f>IF(PNL!C487="","",PNL!C487)</f>
        <v/>
      </c>
      <c r="D487">
        <f>IF(PNL!D487="","",PNL!D487)</f>
        <v/>
      </c>
      <c r="E487">
        <f>IF($A487="","",IF(AND($C487="2027",OR($D487="V01",$D487="V02",$D487="V03")),1,0))</f>
        <v/>
      </c>
      <c r="F487">
        <f>IF($A487="","",IF($E487=1,SUMIFS(Comptabilité!$F$1:$F$675,Comptabilité!$A$1:$A$675,$A487,Comptabilité!$B$1:$B$675,$B487,Comptabilité!$C$1:$C$675,"2026"),0))</f>
        <v/>
      </c>
      <c r="G487">
        <f>IF($A487="","",IF($D487="V01",Cadrage!$C$22,IF($D487="V02",Cadrage!$D$22,Cadrage!$E$22)))</f>
        <v/>
      </c>
      <c r="H487">
        <f>IF($A487="","",IF($D487="V01",Cadrage!$C$23,IF($D487="V02",Cadrage!$D$23,Cadrage!$E$23)))</f>
        <v/>
      </c>
      <c r="I487">
        <f>IF($A487="","",IF($D487="V01",Cadrage!$C$31,IF($D487="V02",Cadrage!$D$31,Cadrage!$E$31)))</f>
        <v/>
      </c>
      <c r="J487">
        <f>IF($A487="","",IF($D487="V01",Cadrage!$C$32,IF($D487="V02",Cadrage!$D$32,Cadrage!$E$32)))</f>
        <v/>
      </c>
      <c r="K487">
        <f>IF($A487="","",IF($D487="V01",Cadrage!$C$33,IF($D487="V02",Cadrage!$D$33,Cadrage!$E$33)))</f>
        <v/>
      </c>
      <c r="L487">
        <f>IF($A487="","",IF($D487="V01",Cadrage!$C$34,IF($D487="V02",Cadrage!$D$34,Cadrage!$E$34)))</f>
        <v/>
      </c>
      <c r="M487">
        <f>IF($A487="","",IF($D487="V01",Cadrage!$C$35,IF($D487="V02",Cadrage!$D$35,Cadrage!$E$35)))</f>
        <v/>
      </c>
      <c r="N487">
        <f>IF($A487="","",IF($D487="V01",$R$2,IF($D487="V02",$R$3,$R$4)))</f>
        <v/>
      </c>
      <c r="O487">
        <f>IF($A487="","",IF(OR($B487="7062",$B487="706",$B487="708"),$N487,IF($B487="6231",1+$G487,IF($B487="6236",1+$H487,IF(OR($B487="621",$B487="604",$B487="6063"),$N487*(1-$L487),IF(OR($B487="6411",$B487="6413",$B487="6414",$B487="645"),(1+$J487)*(1+$K487),IF(OR($B487="613",$B487="615",$B487="616",$B487="6226",$B487="625",$B487="626",$B487="6281"),(1+$I487)*(1-$L487)*(1+$M487),IF(OR($B487="6331",$B487="63511",$B487="6333"),(1+$I487)*(1-$L487),IF($B487="6811",1+$I487,1)))))))))</f>
        <v/>
      </c>
      <c r="P487">
        <f>IF($A487="","",IF($E487=1,$F487*$O487,PNL!G487))</f>
        <v/>
      </c>
      <c r="T487">
        <f>IF($A487="","",IF($E487=1,IF(OR($B487="7062",$B487="706",$B487="708"),$P487,IF(AND(LEFT($B487,1)="6",$B487&lt;&gt;"6811"),-$P487,0)),0))</f>
        <v/>
      </c>
    </row>
    <row r="488">
      <c r="A488">
        <f>IF(PNL!A488="","",PNL!A488)</f>
        <v/>
      </c>
      <c r="B488">
        <f>IF(PNL!B488="","",PNL!B488)</f>
        <v/>
      </c>
      <c r="C488">
        <f>IF(PNL!C488="","",PNL!C488)</f>
        <v/>
      </c>
      <c r="D488">
        <f>IF(PNL!D488="","",PNL!D488)</f>
        <v/>
      </c>
      <c r="E488">
        <f>IF($A488="","",IF(AND($C488="2027",OR($D488="V01",$D488="V02",$D488="V03")),1,0))</f>
        <v/>
      </c>
      <c r="F488">
        <f>IF($A488="","",IF($E488=1,SUMIFS(Comptabilité!$F$1:$F$675,Comptabilité!$A$1:$A$675,$A488,Comptabilité!$B$1:$B$675,$B488,Comptabilité!$C$1:$C$675,"2026"),0))</f>
        <v/>
      </c>
      <c r="G488">
        <f>IF($A488="","",IF($D488="V01",Cadrage!$C$22,IF($D488="V02",Cadrage!$D$22,Cadrage!$E$22)))</f>
        <v/>
      </c>
      <c r="H488">
        <f>IF($A488="","",IF($D488="V01",Cadrage!$C$23,IF($D488="V02",Cadrage!$D$23,Cadrage!$E$23)))</f>
        <v/>
      </c>
      <c r="I488">
        <f>IF($A488="","",IF($D488="V01",Cadrage!$C$31,IF($D488="V02",Cadrage!$D$31,Cadrage!$E$31)))</f>
        <v/>
      </c>
      <c r="J488">
        <f>IF($A488="","",IF($D488="V01",Cadrage!$C$32,IF($D488="V02",Cadrage!$D$32,Cadrage!$E$32)))</f>
        <v/>
      </c>
      <c r="K488">
        <f>IF($A488="","",IF($D488="V01",Cadrage!$C$33,IF($D488="V02",Cadrage!$D$33,Cadrage!$E$33)))</f>
        <v/>
      </c>
      <c r="L488">
        <f>IF($A488="","",IF($D488="V01",Cadrage!$C$34,IF($D488="V02",Cadrage!$D$34,Cadrage!$E$34)))</f>
        <v/>
      </c>
      <c r="M488">
        <f>IF($A488="","",IF($D488="V01",Cadrage!$C$35,IF($D488="V02",Cadrage!$D$35,Cadrage!$E$35)))</f>
        <v/>
      </c>
      <c r="N488">
        <f>IF($A488="","",IF($D488="V01",$R$2,IF($D488="V02",$R$3,$R$4)))</f>
        <v/>
      </c>
      <c r="O488">
        <f>IF($A488="","",IF(OR($B488="7062",$B488="706",$B488="708"),$N488,IF($B488="6231",1+$G488,IF($B488="6236",1+$H488,IF(OR($B488="621",$B488="604",$B488="6063"),$N488*(1-$L488),IF(OR($B488="6411",$B488="6413",$B488="6414",$B488="645"),(1+$J488)*(1+$K488),IF(OR($B488="613",$B488="615",$B488="616",$B488="6226",$B488="625",$B488="626",$B488="6281"),(1+$I488)*(1-$L488)*(1+$M488),IF(OR($B488="6331",$B488="63511",$B488="6333"),(1+$I488)*(1-$L488),IF($B488="6811",1+$I488,1)))))))))</f>
        <v/>
      </c>
      <c r="P488">
        <f>IF($A488="","",IF($E488=1,$F488*$O488,PNL!G488))</f>
        <v/>
      </c>
      <c r="T488">
        <f>IF($A488="","",IF($E488=1,IF(OR($B488="7062",$B488="706",$B488="708"),$P488,IF(AND(LEFT($B488,1)="6",$B488&lt;&gt;"6811"),-$P488,0)),0))</f>
        <v/>
      </c>
    </row>
    <row r="489">
      <c r="A489">
        <f>IF(PNL!A489="","",PNL!A489)</f>
        <v/>
      </c>
      <c r="B489">
        <f>IF(PNL!B489="","",PNL!B489)</f>
        <v/>
      </c>
      <c r="C489">
        <f>IF(PNL!C489="","",PNL!C489)</f>
        <v/>
      </c>
      <c r="D489">
        <f>IF(PNL!D489="","",PNL!D489)</f>
        <v/>
      </c>
      <c r="E489">
        <f>IF($A489="","",IF(AND($C489="2027",OR($D489="V01",$D489="V02",$D489="V03")),1,0))</f>
        <v/>
      </c>
      <c r="F489">
        <f>IF($A489="","",IF($E489=1,SUMIFS(Comptabilité!$F$1:$F$675,Comptabilité!$A$1:$A$675,$A489,Comptabilité!$B$1:$B$675,$B489,Comptabilité!$C$1:$C$675,"2026"),0))</f>
        <v/>
      </c>
      <c r="G489">
        <f>IF($A489="","",IF($D489="V01",Cadrage!$C$22,IF($D489="V02",Cadrage!$D$22,Cadrage!$E$22)))</f>
        <v/>
      </c>
      <c r="H489">
        <f>IF($A489="","",IF($D489="V01",Cadrage!$C$23,IF($D489="V02",Cadrage!$D$23,Cadrage!$E$23)))</f>
        <v/>
      </c>
      <c r="I489">
        <f>IF($A489="","",IF($D489="V01",Cadrage!$C$31,IF($D489="V02",Cadrage!$D$31,Cadrage!$E$31)))</f>
        <v/>
      </c>
      <c r="J489">
        <f>IF($A489="","",IF($D489="V01",Cadrage!$C$32,IF($D489="V02",Cadrage!$D$32,Cadrage!$E$32)))</f>
        <v/>
      </c>
      <c r="K489">
        <f>IF($A489="","",IF($D489="V01",Cadrage!$C$33,IF($D489="V02",Cadrage!$D$33,Cadrage!$E$33)))</f>
        <v/>
      </c>
      <c r="L489">
        <f>IF($A489="","",IF($D489="V01",Cadrage!$C$34,IF($D489="V02",Cadrage!$D$34,Cadrage!$E$34)))</f>
        <v/>
      </c>
      <c r="M489">
        <f>IF($A489="","",IF($D489="V01",Cadrage!$C$35,IF($D489="V02",Cadrage!$D$35,Cadrage!$E$35)))</f>
        <v/>
      </c>
      <c r="N489">
        <f>IF($A489="","",IF($D489="V01",$R$2,IF($D489="V02",$R$3,$R$4)))</f>
        <v/>
      </c>
      <c r="O489">
        <f>IF($A489="","",IF(OR($B489="7062",$B489="706",$B489="708"),$N489,IF($B489="6231",1+$G489,IF($B489="6236",1+$H489,IF(OR($B489="621",$B489="604",$B489="6063"),$N489*(1-$L489),IF(OR($B489="6411",$B489="6413",$B489="6414",$B489="645"),(1+$J489)*(1+$K489),IF(OR($B489="613",$B489="615",$B489="616",$B489="6226",$B489="625",$B489="626",$B489="6281"),(1+$I489)*(1-$L489)*(1+$M489),IF(OR($B489="6331",$B489="63511",$B489="6333"),(1+$I489)*(1-$L489),IF($B489="6811",1+$I489,1)))))))))</f>
        <v/>
      </c>
      <c r="P489">
        <f>IF($A489="","",IF($E489=1,$F489*$O489,PNL!G489))</f>
        <v/>
      </c>
      <c r="T489">
        <f>IF($A489="","",IF($E489=1,IF(OR($B489="7062",$B489="706",$B489="708"),$P489,IF(AND(LEFT($B489,1)="6",$B489&lt;&gt;"6811"),-$P489,0)),0))</f>
        <v/>
      </c>
    </row>
    <row r="490">
      <c r="A490">
        <f>IF(PNL!A490="","",PNL!A490)</f>
        <v/>
      </c>
      <c r="B490">
        <f>IF(PNL!B490="","",PNL!B490)</f>
        <v/>
      </c>
      <c r="C490">
        <f>IF(PNL!C490="","",PNL!C490)</f>
        <v/>
      </c>
      <c r="D490">
        <f>IF(PNL!D490="","",PNL!D490)</f>
        <v/>
      </c>
      <c r="E490">
        <f>IF($A490="","",IF(AND($C490="2027",OR($D490="V01",$D490="V02",$D490="V03")),1,0))</f>
        <v/>
      </c>
      <c r="F490">
        <f>IF($A490="","",IF($E490=1,SUMIFS(Comptabilité!$F$1:$F$675,Comptabilité!$A$1:$A$675,$A490,Comptabilité!$B$1:$B$675,$B490,Comptabilité!$C$1:$C$675,"2026"),0))</f>
        <v/>
      </c>
      <c r="G490">
        <f>IF($A490="","",IF($D490="V01",Cadrage!$C$22,IF($D490="V02",Cadrage!$D$22,Cadrage!$E$22)))</f>
        <v/>
      </c>
      <c r="H490">
        <f>IF($A490="","",IF($D490="V01",Cadrage!$C$23,IF($D490="V02",Cadrage!$D$23,Cadrage!$E$23)))</f>
        <v/>
      </c>
      <c r="I490">
        <f>IF($A490="","",IF($D490="V01",Cadrage!$C$31,IF($D490="V02",Cadrage!$D$31,Cadrage!$E$31)))</f>
        <v/>
      </c>
      <c r="J490">
        <f>IF($A490="","",IF($D490="V01",Cadrage!$C$32,IF($D490="V02",Cadrage!$D$32,Cadrage!$E$32)))</f>
        <v/>
      </c>
      <c r="K490">
        <f>IF($A490="","",IF($D490="V01",Cadrage!$C$33,IF($D490="V02",Cadrage!$D$33,Cadrage!$E$33)))</f>
        <v/>
      </c>
      <c r="L490">
        <f>IF($A490="","",IF($D490="V01",Cadrage!$C$34,IF($D490="V02",Cadrage!$D$34,Cadrage!$E$34)))</f>
        <v/>
      </c>
      <c r="M490">
        <f>IF($A490="","",IF($D490="V01",Cadrage!$C$35,IF($D490="V02",Cadrage!$D$35,Cadrage!$E$35)))</f>
        <v/>
      </c>
      <c r="N490">
        <f>IF($A490="","",IF($D490="V01",$R$2,IF($D490="V02",$R$3,$R$4)))</f>
        <v/>
      </c>
      <c r="O490">
        <f>IF($A490="","",IF(OR($B490="7062",$B490="706",$B490="708"),$N490,IF($B490="6231",1+$G490,IF($B490="6236",1+$H490,IF(OR($B490="621",$B490="604",$B490="6063"),$N490*(1-$L490),IF(OR($B490="6411",$B490="6413",$B490="6414",$B490="645"),(1+$J490)*(1+$K490),IF(OR($B490="613",$B490="615",$B490="616",$B490="6226",$B490="625",$B490="626",$B490="6281"),(1+$I490)*(1-$L490)*(1+$M490),IF(OR($B490="6331",$B490="63511",$B490="6333"),(1+$I490)*(1-$L490),IF($B490="6811",1+$I490,1)))))))))</f>
        <v/>
      </c>
      <c r="P490">
        <f>IF($A490="","",IF($E490=1,$F490*$O490,PNL!G490))</f>
        <v/>
      </c>
      <c r="T490">
        <f>IF($A490="","",IF($E490=1,IF(OR($B490="7062",$B490="706",$B490="708"),$P490,IF(AND(LEFT($B490,1)="6",$B490&lt;&gt;"6811"),-$P490,0)),0))</f>
        <v/>
      </c>
    </row>
    <row r="491">
      <c r="A491">
        <f>IF(PNL!A491="","",PNL!A491)</f>
        <v/>
      </c>
      <c r="B491">
        <f>IF(PNL!B491="","",PNL!B491)</f>
        <v/>
      </c>
      <c r="C491">
        <f>IF(PNL!C491="","",PNL!C491)</f>
        <v/>
      </c>
      <c r="D491">
        <f>IF(PNL!D491="","",PNL!D491)</f>
        <v/>
      </c>
      <c r="E491">
        <f>IF($A491="","",IF(AND($C491="2027",OR($D491="V01",$D491="V02",$D491="V03")),1,0))</f>
        <v/>
      </c>
      <c r="F491">
        <f>IF($A491="","",IF($E491=1,SUMIFS(Comptabilité!$F$1:$F$675,Comptabilité!$A$1:$A$675,$A491,Comptabilité!$B$1:$B$675,$B491,Comptabilité!$C$1:$C$675,"2026"),0))</f>
        <v/>
      </c>
      <c r="G491">
        <f>IF($A491="","",IF($D491="V01",Cadrage!$C$22,IF($D491="V02",Cadrage!$D$22,Cadrage!$E$22)))</f>
        <v/>
      </c>
      <c r="H491">
        <f>IF($A491="","",IF($D491="V01",Cadrage!$C$23,IF($D491="V02",Cadrage!$D$23,Cadrage!$E$23)))</f>
        <v/>
      </c>
      <c r="I491">
        <f>IF($A491="","",IF($D491="V01",Cadrage!$C$31,IF($D491="V02",Cadrage!$D$31,Cadrage!$E$31)))</f>
        <v/>
      </c>
      <c r="J491">
        <f>IF($A491="","",IF($D491="V01",Cadrage!$C$32,IF($D491="V02",Cadrage!$D$32,Cadrage!$E$32)))</f>
        <v/>
      </c>
      <c r="K491">
        <f>IF($A491="","",IF($D491="V01",Cadrage!$C$33,IF($D491="V02",Cadrage!$D$33,Cadrage!$E$33)))</f>
        <v/>
      </c>
      <c r="L491">
        <f>IF($A491="","",IF($D491="V01",Cadrage!$C$34,IF($D491="V02",Cadrage!$D$34,Cadrage!$E$34)))</f>
        <v/>
      </c>
      <c r="M491">
        <f>IF($A491="","",IF($D491="V01",Cadrage!$C$35,IF($D491="V02",Cadrage!$D$35,Cadrage!$E$35)))</f>
        <v/>
      </c>
      <c r="N491">
        <f>IF($A491="","",IF($D491="V01",$R$2,IF($D491="V02",$R$3,$R$4)))</f>
        <v/>
      </c>
      <c r="O491">
        <f>IF($A491="","",IF(OR($B491="7062",$B491="706",$B491="708"),$N491,IF($B491="6231",1+$G491,IF($B491="6236",1+$H491,IF(OR($B491="621",$B491="604",$B491="6063"),$N491*(1-$L491),IF(OR($B491="6411",$B491="6413",$B491="6414",$B491="645"),(1+$J491)*(1+$K491),IF(OR($B491="613",$B491="615",$B491="616",$B491="6226",$B491="625",$B491="626",$B491="6281"),(1+$I491)*(1-$L491)*(1+$M491),IF(OR($B491="6331",$B491="63511",$B491="6333"),(1+$I491)*(1-$L491),IF($B491="6811",1+$I491,1)))))))))</f>
        <v/>
      </c>
      <c r="P491">
        <f>IF($A491="","",IF($E491=1,$F491*$O491,PNL!G491))</f>
        <v/>
      </c>
      <c r="T491">
        <f>IF($A491="","",IF($E491=1,IF(OR($B491="7062",$B491="706",$B491="708"),$P491,IF(AND(LEFT($B491,1)="6",$B491&lt;&gt;"6811"),-$P491,0)),0))</f>
        <v/>
      </c>
    </row>
    <row r="492">
      <c r="A492">
        <f>IF(PNL!A492="","",PNL!A492)</f>
        <v/>
      </c>
      <c r="B492">
        <f>IF(PNL!B492="","",PNL!B492)</f>
        <v/>
      </c>
      <c r="C492">
        <f>IF(PNL!C492="","",PNL!C492)</f>
        <v/>
      </c>
      <c r="D492">
        <f>IF(PNL!D492="","",PNL!D492)</f>
        <v/>
      </c>
      <c r="E492">
        <f>IF($A492="","",IF(AND($C492="2027",OR($D492="V01",$D492="V02",$D492="V03")),1,0))</f>
        <v/>
      </c>
      <c r="F492">
        <f>IF($A492="","",IF($E492=1,SUMIFS(Comptabilité!$F$1:$F$675,Comptabilité!$A$1:$A$675,$A492,Comptabilité!$B$1:$B$675,$B492,Comptabilité!$C$1:$C$675,"2026"),0))</f>
        <v/>
      </c>
      <c r="G492">
        <f>IF($A492="","",IF($D492="V01",Cadrage!$C$22,IF($D492="V02",Cadrage!$D$22,Cadrage!$E$22)))</f>
        <v/>
      </c>
      <c r="H492">
        <f>IF($A492="","",IF($D492="V01",Cadrage!$C$23,IF($D492="V02",Cadrage!$D$23,Cadrage!$E$23)))</f>
        <v/>
      </c>
      <c r="I492">
        <f>IF($A492="","",IF($D492="V01",Cadrage!$C$31,IF($D492="V02",Cadrage!$D$31,Cadrage!$E$31)))</f>
        <v/>
      </c>
      <c r="J492">
        <f>IF($A492="","",IF($D492="V01",Cadrage!$C$32,IF($D492="V02",Cadrage!$D$32,Cadrage!$E$32)))</f>
        <v/>
      </c>
      <c r="K492">
        <f>IF($A492="","",IF($D492="V01",Cadrage!$C$33,IF($D492="V02",Cadrage!$D$33,Cadrage!$E$33)))</f>
        <v/>
      </c>
      <c r="L492">
        <f>IF($A492="","",IF($D492="V01",Cadrage!$C$34,IF($D492="V02",Cadrage!$D$34,Cadrage!$E$34)))</f>
        <v/>
      </c>
      <c r="M492">
        <f>IF($A492="","",IF($D492="V01",Cadrage!$C$35,IF($D492="V02",Cadrage!$D$35,Cadrage!$E$35)))</f>
        <v/>
      </c>
      <c r="N492">
        <f>IF($A492="","",IF($D492="V01",$R$2,IF($D492="V02",$R$3,$R$4)))</f>
        <v/>
      </c>
      <c r="O492">
        <f>IF($A492="","",IF(OR($B492="7062",$B492="706",$B492="708"),$N492,IF($B492="6231",1+$G492,IF($B492="6236",1+$H492,IF(OR($B492="621",$B492="604",$B492="6063"),$N492*(1-$L492),IF(OR($B492="6411",$B492="6413",$B492="6414",$B492="645"),(1+$J492)*(1+$K492),IF(OR($B492="613",$B492="615",$B492="616",$B492="6226",$B492="625",$B492="626",$B492="6281"),(1+$I492)*(1-$L492)*(1+$M492),IF(OR($B492="6331",$B492="63511",$B492="6333"),(1+$I492)*(1-$L492),IF($B492="6811",1+$I492,1)))))))))</f>
        <v/>
      </c>
      <c r="P492">
        <f>IF($A492="","",IF($E492=1,$F492*$O492,PNL!G492))</f>
        <v/>
      </c>
      <c r="T492">
        <f>IF($A492="","",IF($E492=1,IF(OR($B492="7062",$B492="706",$B492="708"),$P492,IF(AND(LEFT($B492,1)="6",$B492&lt;&gt;"6811"),-$P492,0)),0))</f>
        <v/>
      </c>
    </row>
    <row r="493">
      <c r="A493">
        <f>IF(PNL!A493="","",PNL!A493)</f>
        <v/>
      </c>
      <c r="B493">
        <f>IF(PNL!B493="","",PNL!B493)</f>
        <v/>
      </c>
      <c r="C493">
        <f>IF(PNL!C493="","",PNL!C493)</f>
        <v/>
      </c>
      <c r="D493">
        <f>IF(PNL!D493="","",PNL!D493)</f>
        <v/>
      </c>
      <c r="E493">
        <f>IF($A493="","",IF(AND($C493="2027",OR($D493="V01",$D493="V02",$D493="V03")),1,0))</f>
        <v/>
      </c>
      <c r="F493">
        <f>IF($A493="","",IF($E493=1,SUMIFS(Comptabilité!$F$1:$F$675,Comptabilité!$A$1:$A$675,$A493,Comptabilité!$B$1:$B$675,$B493,Comptabilité!$C$1:$C$675,"2026"),0))</f>
        <v/>
      </c>
      <c r="G493">
        <f>IF($A493="","",IF($D493="V01",Cadrage!$C$22,IF($D493="V02",Cadrage!$D$22,Cadrage!$E$22)))</f>
        <v/>
      </c>
      <c r="H493">
        <f>IF($A493="","",IF($D493="V01",Cadrage!$C$23,IF($D493="V02",Cadrage!$D$23,Cadrage!$E$23)))</f>
        <v/>
      </c>
      <c r="I493">
        <f>IF($A493="","",IF($D493="V01",Cadrage!$C$31,IF($D493="V02",Cadrage!$D$31,Cadrage!$E$31)))</f>
        <v/>
      </c>
      <c r="J493">
        <f>IF($A493="","",IF($D493="V01",Cadrage!$C$32,IF($D493="V02",Cadrage!$D$32,Cadrage!$E$32)))</f>
        <v/>
      </c>
      <c r="K493">
        <f>IF($A493="","",IF($D493="V01",Cadrage!$C$33,IF($D493="V02",Cadrage!$D$33,Cadrage!$E$33)))</f>
        <v/>
      </c>
      <c r="L493">
        <f>IF($A493="","",IF($D493="V01",Cadrage!$C$34,IF($D493="V02",Cadrage!$D$34,Cadrage!$E$34)))</f>
        <v/>
      </c>
      <c r="M493">
        <f>IF($A493="","",IF($D493="V01",Cadrage!$C$35,IF($D493="V02",Cadrage!$D$35,Cadrage!$E$35)))</f>
        <v/>
      </c>
      <c r="N493">
        <f>IF($A493="","",IF($D493="V01",$R$2,IF($D493="V02",$R$3,$R$4)))</f>
        <v/>
      </c>
      <c r="O493">
        <f>IF($A493="","",IF(OR($B493="7062",$B493="706",$B493="708"),$N493,IF($B493="6231",1+$G493,IF($B493="6236",1+$H493,IF(OR($B493="621",$B493="604",$B493="6063"),$N493*(1-$L493),IF(OR($B493="6411",$B493="6413",$B493="6414",$B493="645"),(1+$J493)*(1+$K493),IF(OR($B493="613",$B493="615",$B493="616",$B493="6226",$B493="625",$B493="626",$B493="6281"),(1+$I493)*(1-$L493)*(1+$M493),IF(OR($B493="6331",$B493="63511",$B493="6333"),(1+$I493)*(1-$L493),IF($B493="6811",1+$I493,1)))))))))</f>
        <v/>
      </c>
      <c r="P493">
        <f>IF($A493="","",IF($E493=1,$F493*$O493,PNL!G493))</f>
        <v/>
      </c>
      <c r="T493">
        <f>IF($A493="","",IF($E493=1,IF(OR($B493="7062",$B493="706",$B493="708"),$P493,IF(AND(LEFT($B493,1)="6",$B493&lt;&gt;"6811"),-$P493,0)),0))</f>
        <v/>
      </c>
    </row>
    <row r="494">
      <c r="A494">
        <f>IF(PNL!A494="","",PNL!A494)</f>
        <v/>
      </c>
      <c r="B494">
        <f>IF(PNL!B494="","",PNL!B494)</f>
        <v/>
      </c>
      <c r="C494">
        <f>IF(PNL!C494="","",PNL!C494)</f>
        <v/>
      </c>
      <c r="D494">
        <f>IF(PNL!D494="","",PNL!D494)</f>
        <v/>
      </c>
      <c r="E494">
        <f>IF($A494="","",IF(AND($C494="2027",OR($D494="V01",$D494="V02",$D494="V03")),1,0))</f>
        <v/>
      </c>
      <c r="F494">
        <f>IF($A494="","",IF($E494=1,SUMIFS(Comptabilité!$F$1:$F$675,Comptabilité!$A$1:$A$675,$A494,Comptabilité!$B$1:$B$675,$B494,Comptabilité!$C$1:$C$675,"2026"),0))</f>
        <v/>
      </c>
      <c r="G494">
        <f>IF($A494="","",IF($D494="V01",Cadrage!$C$22,IF($D494="V02",Cadrage!$D$22,Cadrage!$E$22)))</f>
        <v/>
      </c>
      <c r="H494">
        <f>IF($A494="","",IF($D494="V01",Cadrage!$C$23,IF($D494="V02",Cadrage!$D$23,Cadrage!$E$23)))</f>
        <v/>
      </c>
      <c r="I494">
        <f>IF($A494="","",IF($D494="V01",Cadrage!$C$31,IF($D494="V02",Cadrage!$D$31,Cadrage!$E$31)))</f>
        <v/>
      </c>
      <c r="J494">
        <f>IF($A494="","",IF($D494="V01",Cadrage!$C$32,IF($D494="V02",Cadrage!$D$32,Cadrage!$E$32)))</f>
        <v/>
      </c>
      <c r="K494">
        <f>IF($A494="","",IF($D494="V01",Cadrage!$C$33,IF($D494="V02",Cadrage!$D$33,Cadrage!$E$33)))</f>
        <v/>
      </c>
      <c r="L494">
        <f>IF($A494="","",IF($D494="V01",Cadrage!$C$34,IF($D494="V02",Cadrage!$D$34,Cadrage!$E$34)))</f>
        <v/>
      </c>
      <c r="M494">
        <f>IF($A494="","",IF($D494="V01",Cadrage!$C$35,IF($D494="V02",Cadrage!$D$35,Cadrage!$E$35)))</f>
        <v/>
      </c>
      <c r="N494">
        <f>IF($A494="","",IF($D494="V01",$R$2,IF($D494="V02",$R$3,$R$4)))</f>
        <v/>
      </c>
      <c r="O494">
        <f>IF($A494="","",IF(OR($B494="7062",$B494="706",$B494="708"),$N494,IF($B494="6231",1+$G494,IF($B494="6236",1+$H494,IF(OR($B494="621",$B494="604",$B494="6063"),$N494*(1-$L494),IF(OR($B494="6411",$B494="6413",$B494="6414",$B494="645"),(1+$J494)*(1+$K494),IF(OR($B494="613",$B494="615",$B494="616",$B494="6226",$B494="625",$B494="626",$B494="6281"),(1+$I494)*(1-$L494)*(1+$M494),IF(OR($B494="6331",$B494="63511",$B494="6333"),(1+$I494)*(1-$L494),IF($B494="6811",1+$I494,1)))))))))</f>
        <v/>
      </c>
      <c r="P494">
        <f>IF($A494="","",IF($E494=1,$F494*$O494,PNL!G494))</f>
        <v/>
      </c>
      <c r="T494">
        <f>IF($A494="","",IF($E494=1,IF(OR($B494="7062",$B494="706",$B494="708"),$P494,IF(AND(LEFT($B494,1)="6",$B494&lt;&gt;"6811"),-$P494,0)),0))</f>
        <v/>
      </c>
    </row>
    <row r="495">
      <c r="A495">
        <f>IF(PNL!A495="","",PNL!A495)</f>
        <v/>
      </c>
      <c r="B495">
        <f>IF(PNL!B495="","",PNL!B495)</f>
        <v/>
      </c>
      <c r="C495">
        <f>IF(PNL!C495="","",PNL!C495)</f>
        <v/>
      </c>
      <c r="D495">
        <f>IF(PNL!D495="","",PNL!D495)</f>
        <v/>
      </c>
      <c r="E495">
        <f>IF($A495="","",IF(AND($C495="2027",OR($D495="V01",$D495="V02",$D495="V03")),1,0))</f>
        <v/>
      </c>
      <c r="F495">
        <f>IF($A495="","",IF($E495=1,SUMIFS(Comptabilité!$F$1:$F$675,Comptabilité!$A$1:$A$675,$A495,Comptabilité!$B$1:$B$675,$B495,Comptabilité!$C$1:$C$675,"2026"),0))</f>
        <v/>
      </c>
      <c r="G495">
        <f>IF($A495="","",IF($D495="V01",Cadrage!$C$22,IF($D495="V02",Cadrage!$D$22,Cadrage!$E$22)))</f>
        <v/>
      </c>
      <c r="H495">
        <f>IF($A495="","",IF($D495="V01",Cadrage!$C$23,IF($D495="V02",Cadrage!$D$23,Cadrage!$E$23)))</f>
        <v/>
      </c>
      <c r="I495">
        <f>IF($A495="","",IF($D495="V01",Cadrage!$C$31,IF($D495="V02",Cadrage!$D$31,Cadrage!$E$31)))</f>
        <v/>
      </c>
      <c r="J495">
        <f>IF($A495="","",IF($D495="V01",Cadrage!$C$32,IF($D495="V02",Cadrage!$D$32,Cadrage!$E$32)))</f>
        <v/>
      </c>
      <c r="K495">
        <f>IF($A495="","",IF($D495="V01",Cadrage!$C$33,IF($D495="V02",Cadrage!$D$33,Cadrage!$E$33)))</f>
        <v/>
      </c>
      <c r="L495">
        <f>IF($A495="","",IF($D495="V01",Cadrage!$C$34,IF($D495="V02",Cadrage!$D$34,Cadrage!$E$34)))</f>
        <v/>
      </c>
      <c r="M495">
        <f>IF($A495="","",IF($D495="V01",Cadrage!$C$35,IF($D495="V02",Cadrage!$D$35,Cadrage!$E$35)))</f>
        <v/>
      </c>
      <c r="N495">
        <f>IF($A495="","",IF($D495="V01",$R$2,IF($D495="V02",$R$3,$R$4)))</f>
        <v/>
      </c>
      <c r="O495">
        <f>IF($A495="","",IF(OR($B495="7062",$B495="706",$B495="708"),$N495,IF($B495="6231",1+$G495,IF($B495="6236",1+$H495,IF(OR($B495="621",$B495="604",$B495="6063"),$N495*(1-$L495),IF(OR($B495="6411",$B495="6413",$B495="6414",$B495="645"),(1+$J495)*(1+$K495),IF(OR($B495="613",$B495="615",$B495="616",$B495="6226",$B495="625",$B495="626",$B495="6281"),(1+$I495)*(1-$L495)*(1+$M495),IF(OR($B495="6331",$B495="63511",$B495="6333"),(1+$I495)*(1-$L495),IF($B495="6811",1+$I495,1)))))))))</f>
        <v/>
      </c>
      <c r="P495">
        <f>IF($A495="","",IF($E495=1,$F495*$O495,PNL!G495))</f>
        <v/>
      </c>
      <c r="T495">
        <f>IF($A495="","",IF($E495=1,IF(OR($B495="7062",$B495="706",$B495="708"),$P495,IF(AND(LEFT($B495,1)="6",$B495&lt;&gt;"6811"),-$P495,0)),0))</f>
        <v/>
      </c>
    </row>
    <row r="496">
      <c r="A496">
        <f>IF(PNL!A496="","",PNL!A496)</f>
        <v/>
      </c>
      <c r="B496">
        <f>IF(PNL!B496="","",PNL!B496)</f>
        <v/>
      </c>
      <c r="C496">
        <f>IF(PNL!C496="","",PNL!C496)</f>
        <v/>
      </c>
      <c r="D496">
        <f>IF(PNL!D496="","",PNL!D496)</f>
        <v/>
      </c>
      <c r="E496">
        <f>IF($A496="","",IF(AND($C496="2027",OR($D496="V01",$D496="V02",$D496="V03")),1,0))</f>
        <v/>
      </c>
      <c r="F496">
        <f>IF($A496="","",IF($E496=1,SUMIFS(Comptabilité!$F$1:$F$675,Comptabilité!$A$1:$A$675,$A496,Comptabilité!$B$1:$B$675,$B496,Comptabilité!$C$1:$C$675,"2026"),0))</f>
        <v/>
      </c>
      <c r="G496">
        <f>IF($A496="","",IF($D496="V01",Cadrage!$C$22,IF($D496="V02",Cadrage!$D$22,Cadrage!$E$22)))</f>
        <v/>
      </c>
      <c r="H496">
        <f>IF($A496="","",IF($D496="V01",Cadrage!$C$23,IF($D496="V02",Cadrage!$D$23,Cadrage!$E$23)))</f>
        <v/>
      </c>
      <c r="I496">
        <f>IF($A496="","",IF($D496="V01",Cadrage!$C$31,IF($D496="V02",Cadrage!$D$31,Cadrage!$E$31)))</f>
        <v/>
      </c>
      <c r="J496">
        <f>IF($A496="","",IF($D496="V01",Cadrage!$C$32,IF($D496="V02",Cadrage!$D$32,Cadrage!$E$32)))</f>
        <v/>
      </c>
      <c r="K496">
        <f>IF($A496="","",IF($D496="V01",Cadrage!$C$33,IF($D496="V02",Cadrage!$D$33,Cadrage!$E$33)))</f>
        <v/>
      </c>
      <c r="L496">
        <f>IF($A496="","",IF($D496="V01",Cadrage!$C$34,IF($D496="V02",Cadrage!$D$34,Cadrage!$E$34)))</f>
        <v/>
      </c>
      <c r="M496">
        <f>IF($A496="","",IF($D496="V01",Cadrage!$C$35,IF($D496="V02",Cadrage!$D$35,Cadrage!$E$35)))</f>
        <v/>
      </c>
      <c r="N496">
        <f>IF($A496="","",IF($D496="V01",$R$2,IF($D496="V02",$R$3,$R$4)))</f>
        <v/>
      </c>
      <c r="O496">
        <f>IF($A496="","",IF(OR($B496="7062",$B496="706",$B496="708"),$N496,IF($B496="6231",1+$G496,IF($B496="6236",1+$H496,IF(OR($B496="621",$B496="604",$B496="6063"),$N496*(1-$L496),IF(OR($B496="6411",$B496="6413",$B496="6414",$B496="645"),(1+$J496)*(1+$K496),IF(OR($B496="613",$B496="615",$B496="616",$B496="6226",$B496="625",$B496="626",$B496="6281"),(1+$I496)*(1-$L496)*(1+$M496),IF(OR($B496="6331",$B496="63511",$B496="6333"),(1+$I496)*(1-$L496),IF($B496="6811",1+$I496,1)))))))))</f>
        <v/>
      </c>
      <c r="P496">
        <f>IF($A496="","",IF($E496=1,$F496*$O496,PNL!G496))</f>
        <v/>
      </c>
      <c r="T496">
        <f>IF($A496="","",IF($E496=1,IF(OR($B496="7062",$B496="706",$B496="708"),$P496,IF(AND(LEFT($B496,1)="6",$B496&lt;&gt;"6811"),-$P496,0)),0))</f>
        <v/>
      </c>
    </row>
    <row r="497">
      <c r="A497">
        <f>IF(PNL!A497="","",PNL!A497)</f>
        <v/>
      </c>
      <c r="B497">
        <f>IF(PNL!B497="","",PNL!B497)</f>
        <v/>
      </c>
      <c r="C497">
        <f>IF(PNL!C497="","",PNL!C497)</f>
        <v/>
      </c>
      <c r="D497">
        <f>IF(PNL!D497="","",PNL!D497)</f>
        <v/>
      </c>
      <c r="E497">
        <f>IF($A497="","",IF(AND($C497="2027",OR($D497="V01",$D497="V02",$D497="V03")),1,0))</f>
        <v/>
      </c>
      <c r="F497">
        <f>IF($A497="","",IF($E497=1,SUMIFS(Comptabilité!$F$1:$F$675,Comptabilité!$A$1:$A$675,$A497,Comptabilité!$B$1:$B$675,$B497,Comptabilité!$C$1:$C$675,"2026"),0))</f>
        <v/>
      </c>
      <c r="G497">
        <f>IF($A497="","",IF($D497="V01",Cadrage!$C$22,IF($D497="V02",Cadrage!$D$22,Cadrage!$E$22)))</f>
        <v/>
      </c>
      <c r="H497">
        <f>IF($A497="","",IF($D497="V01",Cadrage!$C$23,IF($D497="V02",Cadrage!$D$23,Cadrage!$E$23)))</f>
        <v/>
      </c>
      <c r="I497">
        <f>IF($A497="","",IF($D497="V01",Cadrage!$C$31,IF($D497="V02",Cadrage!$D$31,Cadrage!$E$31)))</f>
        <v/>
      </c>
      <c r="J497">
        <f>IF($A497="","",IF($D497="V01",Cadrage!$C$32,IF($D497="V02",Cadrage!$D$32,Cadrage!$E$32)))</f>
        <v/>
      </c>
      <c r="K497">
        <f>IF($A497="","",IF($D497="V01",Cadrage!$C$33,IF($D497="V02",Cadrage!$D$33,Cadrage!$E$33)))</f>
        <v/>
      </c>
      <c r="L497">
        <f>IF($A497="","",IF($D497="V01",Cadrage!$C$34,IF($D497="V02",Cadrage!$D$34,Cadrage!$E$34)))</f>
        <v/>
      </c>
      <c r="M497">
        <f>IF($A497="","",IF($D497="V01",Cadrage!$C$35,IF($D497="V02",Cadrage!$D$35,Cadrage!$E$35)))</f>
        <v/>
      </c>
      <c r="N497">
        <f>IF($A497="","",IF($D497="V01",$R$2,IF($D497="V02",$R$3,$R$4)))</f>
        <v/>
      </c>
      <c r="O497">
        <f>IF($A497="","",IF(OR($B497="7062",$B497="706",$B497="708"),$N497,IF($B497="6231",1+$G497,IF($B497="6236",1+$H497,IF(OR($B497="621",$B497="604",$B497="6063"),$N497*(1-$L497),IF(OR($B497="6411",$B497="6413",$B497="6414",$B497="645"),(1+$J497)*(1+$K497),IF(OR($B497="613",$B497="615",$B497="616",$B497="6226",$B497="625",$B497="626",$B497="6281"),(1+$I497)*(1-$L497)*(1+$M497),IF(OR($B497="6331",$B497="63511",$B497="6333"),(1+$I497)*(1-$L497),IF($B497="6811",1+$I497,1)))))))))</f>
        <v/>
      </c>
      <c r="P497">
        <f>IF($A497="","",IF($E497=1,$F497*$O497,PNL!G497))</f>
        <v/>
      </c>
      <c r="T497">
        <f>IF($A497="","",IF($E497=1,IF(OR($B497="7062",$B497="706",$B497="708"),$P497,IF(AND(LEFT($B497,1)="6",$B497&lt;&gt;"6811"),-$P497,0)),0))</f>
        <v/>
      </c>
    </row>
    <row r="498">
      <c r="A498">
        <f>IF(PNL!A498="","",PNL!A498)</f>
        <v/>
      </c>
      <c r="B498">
        <f>IF(PNL!B498="","",PNL!B498)</f>
        <v/>
      </c>
      <c r="C498">
        <f>IF(PNL!C498="","",PNL!C498)</f>
        <v/>
      </c>
      <c r="D498">
        <f>IF(PNL!D498="","",PNL!D498)</f>
        <v/>
      </c>
      <c r="E498">
        <f>IF($A498="","",IF(AND($C498="2027",OR($D498="V01",$D498="V02",$D498="V03")),1,0))</f>
        <v/>
      </c>
      <c r="F498">
        <f>IF($A498="","",IF($E498=1,SUMIFS(Comptabilité!$F$1:$F$675,Comptabilité!$A$1:$A$675,$A498,Comptabilité!$B$1:$B$675,$B498,Comptabilité!$C$1:$C$675,"2026"),0))</f>
        <v/>
      </c>
      <c r="G498">
        <f>IF($A498="","",IF($D498="V01",Cadrage!$C$22,IF($D498="V02",Cadrage!$D$22,Cadrage!$E$22)))</f>
        <v/>
      </c>
      <c r="H498">
        <f>IF($A498="","",IF($D498="V01",Cadrage!$C$23,IF($D498="V02",Cadrage!$D$23,Cadrage!$E$23)))</f>
        <v/>
      </c>
      <c r="I498">
        <f>IF($A498="","",IF($D498="V01",Cadrage!$C$31,IF($D498="V02",Cadrage!$D$31,Cadrage!$E$31)))</f>
        <v/>
      </c>
      <c r="J498">
        <f>IF($A498="","",IF($D498="V01",Cadrage!$C$32,IF($D498="V02",Cadrage!$D$32,Cadrage!$E$32)))</f>
        <v/>
      </c>
      <c r="K498">
        <f>IF($A498="","",IF($D498="V01",Cadrage!$C$33,IF($D498="V02",Cadrage!$D$33,Cadrage!$E$33)))</f>
        <v/>
      </c>
      <c r="L498">
        <f>IF($A498="","",IF($D498="V01",Cadrage!$C$34,IF($D498="V02",Cadrage!$D$34,Cadrage!$E$34)))</f>
        <v/>
      </c>
      <c r="M498">
        <f>IF($A498="","",IF($D498="V01",Cadrage!$C$35,IF($D498="V02",Cadrage!$D$35,Cadrage!$E$35)))</f>
        <v/>
      </c>
      <c r="N498">
        <f>IF($A498="","",IF($D498="V01",$R$2,IF($D498="V02",$R$3,$R$4)))</f>
        <v/>
      </c>
      <c r="O498">
        <f>IF($A498="","",IF(OR($B498="7062",$B498="706",$B498="708"),$N498,IF($B498="6231",1+$G498,IF($B498="6236",1+$H498,IF(OR($B498="621",$B498="604",$B498="6063"),$N498*(1-$L498),IF(OR($B498="6411",$B498="6413",$B498="6414",$B498="645"),(1+$J498)*(1+$K498),IF(OR($B498="613",$B498="615",$B498="616",$B498="6226",$B498="625",$B498="626",$B498="6281"),(1+$I498)*(1-$L498)*(1+$M498),IF(OR($B498="6331",$B498="63511",$B498="6333"),(1+$I498)*(1-$L498),IF($B498="6811",1+$I498,1)))))))))</f>
        <v/>
      </c>
      <c r="P498">
        <f>IF($A498="","",IF($E498=1,$F498*$O498,PNL!G498))</f>
        <v/>
      </c>
      <c r="T498">
        <f>IF($A498="","",IF($E498=1,IF(OR($B498="7062",$B498="706",$B498="708"),$P498,IF(AND(LEFT($B498,1)="6",$B498&lt;&gt;"6811"),-$P498,0)),0))</f>
        <v/>
      </c>
    </row>
    <row r="499">
      <c r="A499">
        <f>IF(PNL!A499="","",PNL!A499)</f>
        <v/>
      </c>
      <c r="B499">
        <f>IF(PNL!B499="","",PNL!B499)</f>
        <v/>
      </c>
      <c r="C499">
        <f>IF(PNL!C499="","",PNL!C499)</f>
        <v/>
      </c>
      <c r="D499">
        <f>IF(PNL!D499="","",PNL!D499)</f>
        <v/>
      </c>
      <c r="E499">
        <f>IF($A499="","",IF(AND($C499="2027",OR($D499="V01",$D499="V02",$D499="V03")),1,0))</f>
        <v/>
      </c>
      <c r="F499">
        <f>IF($A499="","",IF($E499=1,SUMIFS(Comptabilité!$F$1:$F$675,Comptabilité!$A$1:$A$675,$A499,Comptabilité!$B$1:$B$675,$B499,Comptabilité!$C$1:$C$675,"2026"),0))</f>
        <v/>
      </c>
      <c r="G499">
        <f>IF($A499="","",IF($D499="V01",Cadrage!$C$22,IF($D499="V02",Cadrage!$D$22,Cadrage!$E$22)))</f>
        <v/>
      </c>
      <c r="H499">
        <f>IF($A499="","",IF($D499="V01",Cadrage!$C$23,IF($D499="V02",Cadrage!$D$23,Cadrage!$E$23)))</f>
        <v/>
      </c>
      <c r="I499">
        <f>IF($A499="","",IF($D499="V01",Cadrage!$C$31,IF($D499="V02",Cadrage!$D$31,Cadrage!$E$31)))</f>
        <v/>
      </c>
      <c r="J499">
        <f>IF($A499="","",IF($D499="V01",Cadrage!$C$32,IF($D499="V02",Cadrage!$D$32,Cadrage!$E$32)))</f>
        <v/>
      </c>
      <c r="K499">
        <f>IF($A499="","",IF($D499="V01",Cadrage!$C$33,IF($D499="V02",Cadrage!$D$33,Cadrage!$E$33)))</f>
        <v/>
      </c>
      <c r="L499">
        <f>IF($A499="","",IF($D499="V01",Cadrage!$C$34,IF($D499="V02",Cadrage!$D$34,Cadrage!$E$34)))</f>
        <v/>
      </c>
      <c r="M499">
        <f>IF($A499="","",IF($D499="V01",Cadrage!$C$35,IF($D499="V02",Cadrage!$D$35,Cadrage!$E$35)))</f>
        <v/>
      </c>
      <c r="N499">
        <f>IF($A499="","",IF($D499="V01",$R$2,IF($D499="V02",$R$3,$R$4)))</f>
        <v/>
      </c>
      <c r="O499">
        <f>IF($A499="","",IF(OR($B499="7062",$B499="706",$B499="708"),$N499,IF($B499="6231",1+$G499,IF($B499="6236",1+$H499,IF(OR($B499="621",$B499="604",$B499="6063"),$N499*(1-$L499),IF(OR($B499="6411",$B499="6413",$B499="6414",$B499="645"),(1+$J499)*(1+$K499),IF(OR($B499="613",$B499="615",$B499="616",$B499="6226",$B499="625",$B499="626",$B499="6281"),(1+$I499)*(1-$L499)*(1+$M499),IF(OR($B499="6331",$B499="63511",$B499="6333"),(1+$I499)*(1-$L499),IF($B499="6811",1+$I499,1)))))))))</f>
        <v/>
      </c>
      <c r="P499">
        <f>IF($A499="","",IF($E499=1,$F499*$O499,PNL!G499))</f>
        <v/>
      </c>
      <c r="T499">
        <f>IF($A499="","",IF($E499=1,IF(OR($B499="7062",$B499="706",$B499="708"),$P499,IF(AND(LEFT($B499,1)="6",$B499&lt;&gt;"6811"),-$P499,0)),0))</f>
        <v/>
      </c>
    </row>
    <row r="500">
      <c r="A500">
        <f>IF(PNL!A500="","",PNL!A500)</f>
        <v/>
      </c>
      <c r="B500">
        <f>IF(PNL!B500="","",PNL!B500)</f>
        <v/>
      </c>
      <c r="C500">
        <f>IF(PNL!C500="","",PNL!C500)</f>
        <v/>
      </c>
      <c r="D500">
        <f>IF(PNL!D500="","",PNL!D500)</f>
        <v/>
      </c>
      <c r="E500">
        <f>IF($A500="","",IF(AND($C500="2027",OR($D500="V01",$D500="V02",$D500="V03")),1,0))</f>
        <v/>
      </c>
      <c r="F500">
        <f>IF($A500="","",IF($E500=1,SUMIFS(Comptabilité!$F$1:$F$675,Comptabilité!$A$1:$A$675,$A500,Comptabilité!$B$1:$B$675,$B500,Comptabilité!$C$1:$C$675,"2026"),0))</f>
        <v/>
      </c>
      <c r="G500">
        <f>IF($A500="","",IF($D500="V01",Cadrage!$C$22,IF($D500="V02",Cadrage!$D$22,Cadrage!$E$22)))</f>
        <v/>
      </c>
      <c r="H500">
        <f>IF($A500="","",IF($D500="V01",Cadrage!$C$23,IF($D500="V02",Cadrage!$D$23,Cadrage!$E$23)))</f>
        <v/>
      </c>
      <c r="I500">
        <f>IF($A500="","",IF($D500="V01",Cadrage!$C$31,IF($D500="V02",Cadrage!$D$31,Cadrage!$E$31)))</f>
        <v/>
      </c>
      <c r="J500">
        <f>IF($A500="","",IF($D500="V01",Cadrage!$C$32,IF($D500="V02",Cadrage!$D$32,Cadrage!$E$32)))</f>
        <v/>
      </c>
      <c r="K500">
        <f>IF($A500="","",IF($D500="V01",Cadrage!$C$33,IF($D500="V02",Cadrage!$D$33,Cadrage!$E$33)))</f>
        <v/>
      </c>
      <c r="L500">
        <f>IF($A500="","",IF($D500="V01",Cadrage!$C$34,IF($D500="V02",Cadrage!$D$34,Cadrage!$E$34)))</f>
        <v/>
      </c>
      <c r="M500">
        <f>IF($A500="","",IF($D500="V01",Cadrage!$C$35,IF($D500="V02",Cadrage!$D$35,Cadrage!$E$35)))</f>
        <v/>
      </c>
      <c r="N500">
        <f>IF($A500="","",IF($D500="V01",$R$2,IF($D500="V02",$R$3,$R$4)))</f>
        <v/>
      </c>
      <c r="O500">
        <f>IF($A500="","",IF(OR($B500="7062",$B500="706",$B500="708"),$N500,IF($B500="6231",1+$G500,IF($B500="6236",1+$H500,IF(OR($B500="621",$B500="604",$B500="6063"),$N500*(1-$L500),IF(OR($B500="6411",$B500="6413",$B500="6414",$B500="645"),(1+$J500)*(1+$K500),IF(OR($B500="613",$B500="615",$B500="616",$B500="6226",$B500="625",$B500="626",$B500="6281"),(1+$I500)*(1-$L500)*(1+$M500),IF(OR($B500="6331",$B500="63511",$B500="6333"),(1+$I500)*(1-$L500),IF($B500="6811",1+$I500,1)))))))))</f>
        <v/>
      </c>
      <c r="P500">
        <f>IF($A500="","",IF($E500=1,$F500*$O500,PNL!G500))</f>
        <v/>
      </c>
      <c r="T500">
        <f>IF($A500="","",IF($E500=1,IF(OR($B500="7062",$B500="706",$B500="708"),$P500,IF(AND(LEFT($B500,1)="6",$B500&lt;&gt;"6811"),-$P500,0)),0))</f>
        <v/>
      </c>
    </row>
    <row r="501">
      <c r="A501">
        <f>IF(PNL!A501="","",PNL!A501)</f>
        <v/>
      </c>
      <c r="B501">
        <f>IF(PNL!B501="","",PNL!B501)</f>
        <v/>
      </c>
      <c r="C501">
        <f>IF(PNL!C501="","",PNL!C501)</f>
        <v/>
      </c>
      <c r="D501">
        <f>IF(PNL!D501="","",PNL!D501)</f>
        <v/>
      </c>
      <c r="E501">
        <f>IF($A501="","",IF(AND($C501="2027",OR($D501="V01",$D501="V02",$D501="V03")),1,0))</f>
        <v/>
      </c>
      <c r="F501">
        <f>IF($A501="","",IF($E501=1,SUMIFS(Comptabilité!$F$1:$F$675,Comptabilité!$A$1:$A$675,$A501,Comptabilité!$B$1:$B$675,$B501,Comptabilité!$C$1:$C$675,"2026"),0))</f>
        <v/>
      </c>
      <c r="G501">
        <f>IF($A501="","",IF($D501="V01",Cadrage!$C$22,IF($D501="V02",Cadrage!$D$22,Cadrage!$E$22)))</f>
        <v/>
      </c>
      <c r="H501">
        <f>IF($A501="","",IF($D501="V01",Cadrage!$C$23,IF($D501="V02",Cadrage!$D$23,Cadrage!$E$23)))</f>
        <v/>
      </c>
      <c r="I501">
        <f>IF($A501="","",IF($D501="V01",Cadrage!$C$31,IF($D501="V02",Cadrage!$D$31,Cadrage!$E$31)))</f>
        <v/>
      </c>
      <c r="J501">
        <f>IF($A501="","",IF($D501="V01",Cadrage!$C$32,IF($D501="V02",Cadrage!$D$32,Cadrage!$E$32)))</f>
        <v/>
      </c>
      <c r="K501">
        <f>IF($A501="","",IF($D501="V01",Cadrage!$C$33,IF($D501="V02",Cadrage!$D$33,Cadrage!$E$33)))</f>
        <v/>
      </c>
      <c r="L501">
        <f>IF($A501="","",IF($D501="V01",Cadrage!$C$34,IF($D501="V02",Cadrage!$D$34,Cadrage!$E$34)))</f>
        <v/>
      </c>
      <c r="M501">
        <f>IF($A501="","",IF($D501="V01",Cadrage!$C$35,IF($D501="V02",Cadrage!$D$35,Cadrage!$E$35)))</f>
        <v/>
      </c>
      <c r="N501">
        <f>IF($A501="","",IF($D501="V01",$R$2,IF($D501="V02",$R$3,$R$4)))</f>
        <v/>
      </c>
      <c r="O501">
        <f>IF($A501="","",IF(OR($B501="7062",$B501="706",$B501="708"),$N501,IF($B501="6231",1+$G501,IF($B501="6236",1+$H501,IF(OR($B501="621",$B501="604",$B501="6063"),$N501*(1-$L501),IF(OR($B501="6411",$B501="6413",$B501="6414",$B501="645"),(1+$J501)*(1+$K501),IF(OR($B501="613",$B501="615",$B501="616",$B501="6226",$B501="625",$B501="626",$B501="6281"),(1+$I501)*(1-$L501)*(1+$M501),IF(OR($B501="6331",$B501="63511",$B501="6333"),(1+$I501)*(1-$L501),IF($B501="6811",1+$I501,1)))))))))</f>
        <v/>
      </c>
      <c r="P501">
        <f>IF($A501="","",IF($E501=1,$F501*$O501,PNL!G501))</f>
        <v/>
      </c>
      <c r="T501">
        <f>IF($A501="","",IF($E501=1,IF(OR($B501="7062",$B501="706",$B501="708"),$P501,IF(AND(LEFT($B501,1)="6",$B501&lt;&gt;"6811"),-$P501,0)),0))</f>
        <v/>
      </c>
    </row>
    <row r="502">
      <c r="A502">
        <f>IF(PNL!A502="","",PNL!A502)</f>
        <v/>
      </c>
      <c r="B502">
        <f>IF(PNL!B502="","",PNL!B502)</f>
        <v/>
      </c>
      <c r="C502">
        <f>IF(PNL!C502="","",PNL!C502)</f>
        <v/>
      </c>
      <c r="D502">
        <f>IF(PNL!D502="","",PNL!D502)</f>
        <v/>
      </c>
      <c r="E502">
        <f>IF($A502="","",IF(AND($C502="2027",OR($D502="V01",$D502="V02",$D502="V03")),1,0))</f>
        <v/>
      </c>
      <c r="F502">
        <f>IF($A502="","",IF($E502=1,SUMIFS(Comptabilité!$F$1:$F$675,Comptabilité!$A$1:$A$675,$A502,Comptabilité!$B$1:$B$675,$B502,Comptabilité!$C$1:$C$675,"2026"),0))</f>
        <v/>
      </c>
      <c r="G502">
        <f>IF($A502="","",IF($D502="V01",Cadrage!$C$22,IF($D502="V02",Cadrage!$D$22,Cadrage!$E$22)))</f>
        <v/>
      </c>
      <c r="H502">
        <f>IF($A502="","",IF($D502="V01",Cadrage!$C$23,IF($D502="V02",Cadrage!$D$23,Cadrage!$E$23)))</f>
        <v/>
      </c>
      <c r="I502">
        <f>IF($A502="","",IF($D502="V01",Cadrage!$C$31,IF($D502="V02",Cadrage!$D$31,Cadrage!$E$31)))</f>
        <v/>
      </c>
      <c r="J502">
        <f>IF($A502="","",IF($D502="V01",Cadrage!$C$32,IF($D502="V02",Cadrage!$D$32,Cadrage!$E$32)))</f>
        <v/>
      </c>
      <c r="K502">
        <f>IF($A502="","",IF($D502="V01",Cadrage!$C$33,IF($D502="V02",Cadrage!$D$33,Cadrage!$E$33)))</f>
        <v/>
      </c>
      <c r="L502">
        <f>IF($A502="","",IF($D502="V01",Cadrage!$C$34,IF($D502="V02",Cadrage!$D$34,Cadrage!$E$34)))</f>
        <v/>
      </c>
      <c r="M502">
        <f>IF($A502="","",IF($D502="V01",Cadrage!$C$35,IF($D502="V02",Cadrage!$D$35,Cadrage!$E$35)))</f>
        <v/>
      </c>
      <c r="N502">
        <f>IF($A502="","",IF($D502="V01",$R$2,IF($D502="V02",$R$3,$R$4)))</f>
        <v/>
      </c>
      <c r="O502">
        <f>IF($A502="","",IF(OR($B502="7062",$B502="706",$B502="708"),$N502,IF($B502="6231",1+$G502,IF($B502="6236",1+$H502,IF(OR($B502="621",$B502="604",$B502="6063"),$N502*(1-$L502),IF(OR($B502="6411",$B502="6413",$B502="6414",$B502="645"),(1+$J502)*(1+$K502),IF(OR($B502="613",$B502="615",$B502="616",$B502="6226",$B502="625",$B502="626",$B502="6281"),(1+$I502)*(1-$L502)*(1+$M502),IF(OR($B502="6331",$B502="63511",$B502="6333"),(1+$I502)*(1-$L502),IF($B502="6811",1+$I502,1)))))))))</f>
        <v/>
      </c>
      <c r="P502">
        <f>IF($A502="","",IF($E502=1,$F502*$O502,PNL!G502))</f>
        <v/>
      </c>
      <c r="T502">
        <f>IF($A502="","",IF($E502=1,IF(OR($B502="7062",$B502="706",$B502="708"),$P502,IF(AND(LEFT($B502,1)="6",$B502&lt;&gt;"6811"),-$P502,0)),0))</f>
        <v/>
      </c>
    </row>
    <row r="503">
      <c r="A503">
        <f>IF(PNL!A503="","",PNL!A503)</f>
        <v/>
      </c>
      <c r="B503">
        <f>IF(PNL!B503="","",PNL!B503)</f>
        <v/>
      </c>
      <c r="C503">
        <f>IF(PNL!C503="","",PNL!C503)</f>
        <v/>
      </c>
      <c r="D503">
        <f>IF(PNL!D503="","",PNL!D503)</f>
        <v/>
      </c>
      <c r="E503">
        <f>IF($A503="","",IF(AND($C503="2027",OR($D503="V01",$D503="V02",$D503="V03")),1,0))</f>
        <v/>
      </c>
      <c r="F503">
        <f>IF($A503="","",IF($E503=1,SUMIFS(Comptabilité!$F$1:$F$675,Comptabilité!$A$1:$A$675,$A503,Comptabilité!$B$1:$B$675,$B503,Comptabilité!$C$1:$C$675,"2026"),0))</f>
        <v/>
      </c>
      <c r="G503">
        <f>IF($A503="","",IF($D503="V01",Cadrage!$C$22,IF($D503="V02",Cadrage!$D$22,Cadrage!$E$22)))</f>
        <v/>
      </c>
      <c r="H503">
        <f>IF($A503="","",IF($D503="V01",Cadrage!$C$23,IF($D503="V02",Cadrage!$D$23,Cadrage!$E$23)))</f>
        <v/>
      </c>
      <c r="I503">
        <f>IF($A503="","",IF($D503="V01",Cadrage!$C$31,IF($D503="V02",Cadrage!$D$31,Cadrage!$E$31)))</f>
        <v/>
      </c>
      <c r="J503">
        <f>IF($A503="","",IF($D503="V01",Cadrage!$C$32,IF($D503="V02",Cadrage!$D$32,Cadrage!$E$32)))</f>
        <v/>
      </c>
      <c r="K503">
        <f>IF($A503="","",IF($D503="V01",Cadrage!$C$33,IF($D503="V02",Cadrage!$D$33,Cadrage!$E$33)))</f>
        <v/>
      </c>
      <c r="L503">
        <f>IF($A503="","",IF($D503="V01",Cadrage!$C$34,IF($D503="V02",Cadrage!$D$34,Cadrage!$E$34)))</f>
        <v/>
      </c>
      <c r="M503">
        <f>IF($A503="","",IF($D503="V01",Cadrage!$C$35,IF($D503="V02",Cadrage!$D$35,Cadrage!$E$35)))</f>
        <v/>
      </c>
      <c r="N503">
        <f>IF($A503="","",IF($D503="V01",$R$2,IF($D503="V02",$R$3,$R$4)))</f>
        <v/>
      </c>
      <c r="O503">
        <f>IF($A503="","",IF(OR($B503="7062",$B503="706",$B503="708"),$N503,IF($B503="6231",1+$G503,IF($B503="6236",1+$H503,IF(OR($B503="621",$B503="604",$B503="6063"),$N503*(1-$L503),IF(OR($B503="6411",$B503="6413",$B503="6414",$B503="645"),(1+$J503)*(1+$K503),IF(OR($B503="613",$B503="615",$B503="616",$B503="6226",$B503="625",$B503="626",$B503="6281"),(1+$I503)*(1-$L503)*(1+$M503),IF(OR($B503="6331",$B503="63511",$B503="6333"),(1+$I503)*(1-$L503),IF($B503="6811",1+$I503,1)))))))))</f>
        <v/>
      </c>
      <c r="P503">
        <f>IF($A503="","",IF($E503=1,$F503*$O503,PNL!G503))</f>
        <v/>
      </c>
      <c r="T503">
        <f>IF($A503="","",IF($E503=1,IF(OR($B503="7062",$B503="706",$B503="708"),$P503,IF(AND(LEFT($B503,1)="6",$B503&lt;&gt;"6811"),-$P503,0)),0))</f>
        <v/>
      </c>
    </row>
    <row r="504">
      <c r="A504">
        <f>IF(PNL!A504="","",PNL!A504)</f>
        <v/>
      </c>
      <c r="B504">
        <f>IF(PNL!B504="","",PNL!B504)</f>
        <v/>
      </c>
      <c r="C504">
        <f>IF(PNL!C504="","",PNL!C504)</f>
        <v/>
      </c>
      <c r="D504">
        <f>IF(PNL!D504="","",PNL!D504)</f>
        <v/>
      </c>
      <c r="E504">
        <f>IF($A504="","",IF(AND($C504="2027",OR($D504="V01",$D504="V02",$D504="V03")),1,0))</f>
        <v/>
      </c>
      <c r="F504">
        <f>IF($A504="","",IF($E504=1,SUMIFS(Comptabilité!$F$1:$F$675,Comptabilité!$A$1:$A$675,$A504,Comptabilité!$B$1:$B$675,$B504,Comptabilité!$C$1:$C$675,"2026"),0))</f>
        <v/>
      </c>
      <c r="G504">
        <f>IF($A504="","",IF($D504="V01",Cadrage!$C$22,IF($D504="V02",Cadrage!$D$22,Cadrage!$E$22)))</f>
        <v/>
      </c>
      <c r="H504">
        <f>IF($A504="","",IF($D504="V01",Cadrage!$C$23,IF($D504="V02",Cadrage!$D$23,Cadrage!$E$23)))</f>
        <v/>
      </c>
      <c r="I504">
        <f>IF($A504="","",IF($D504="V01",Cadrage!$C$31,IF($D504="V02",Cadrage!$D$31,Cadrage!$E$31)))</f>
        <v/>
      </c>
      <c r="J504">
        <f>IF($A504="","",IF($D504="V01",Cadrage!$C$32,IF($D504="V02",Cadrage!$D$32,Cadrage!$E$32)))</f>
        <v/>
      </c>
      <c r="K504">
        <f>IF($A504="","",IF($D504="V01",Cadrage!$C$33,IF($D504="V02",Cadrage!$D$33,Cadrage!$E$33)))</f>
        <v/>
      </c>
      <c r="L504">
        <f>IF($A504="","",IF($D504="V01",Cadrage!$C$34,IF($D504="V02",Cadrage!$D$34,Cadrage!$E$34)))</f>
        <v/>
      </c>
      <c r="M504">
        <f>IF($A504="","",IF($D504="V01",Cadrage!$C$35,IF($D504="V02",Cadrage!$D$35,Cadrage!$E$35)))</f>
        <v/>
      </c>
      <c r="N504">
        <f>IF($A504="","",IF($D504="V01",$R$2,IF($D504="V02",$R$3,$R$4)))</f>
        <v/>
      </c>
      <c r="O504">
        <f>IF($A504="","",IF(OR($B504="7062",$B504="706",$B504="708"),$N504,IF($B504="6231",1+$G504,IF($B504="6236",1+$H504,IF(OR($B504="621",$B504="604",$B504="6063"),$N504*(1-$L504),IF(OR($B504="6411",$B504="6413",$B504="6414",$B504="645"),(1+$J504)*(1+$K504),IF(OR($B504="613",$B504="615",$B504="616",$B504="6226",$B504="625",$B504="626",$B504="6281"),(1+$I504)*(1-$L504)*(1+$M504),IF(OR($B504="6331",$B504="63511",$B504="6333"),(1+$I504)*(1-$L504),IF($B504="6811",1+$I504,1)))))))))</f>
        <v/>
      </c>
      <c r="P504">
        <f>IF($A504="","",IF($E504=1,$F504*$O504,PNL!G504))</f>
        <v/>
      </c>
      <c r="T504">
        <f>IF($A504="","",IF($E504=1,IF(OR($B504="7062",$B504="706",$B504="708"),$P504,IF(AND(LEFT($B504,1)="6",$B504&lt;&gt;"6811"),-$P504,0)),0))</f>
        <v/>
      </c>
    </row>
    <row r="505">
      <c r="A505">
        <f>IF(PNL!A505="","",PNL!A505)</f>
        <v/>
      </c>
      <c r="B505">
        <f>IF(PNL!B505="","",PNL!B505)</f>
        <v/>
      </c>
      <c r="C505">
        <f>IF(PNL!C505="","",PNL!C505)</f>
        <v/>
      </c>
      <c r="D505">
        <f>IF(PNL!D505="","",PNL!D505)</f>
        <v/>
      </c>
      <c r="E505">
        <f>IF($A505="","",IF(AND($C505="2027",OR($D505="V01",$D505="V02",$D505="V03")),1,0))</f>
        <v/>
      </c>
      <c r="F505">
        <f>IF($A505="","",IF($E505=1,SUMIFS(Comptabilité!$F$1:$F$675,Comptabilité!$A$1:$A$675,$A505,Comptabilité!$B$1:$B$675,$B505,Comptabilité!$C$1:$C$675,"2026"),0))</f>
        <v/>
      </c>
      <c r="G505">
        <f>IF($A505="","",IF($D505="V01",Cadrage!$C$22,IF($D505="V02",Cadrage!$D$22,Cadrage!$E$22)))</f>
        <v/>
      </c>
      <c r="H505">
        <f>IF($A505="","",IF($D505="V01",Cadrage!$C$23,IF($D505="V02",Cadrage!$D$23,Cadrage!$E$23)))</f>
        <v/>
      </c>
      <c r="I505">
        <f>IF($A505="","",IF($D505="V01",Cadrage!$C$31,IF($D505="V02",Cadrage!$D$31,Cadrage!$E$31)))</f>
        <v/>
      </c>
      <c r="J505">
        <f>IF($A505="","",IF($D505="V01",Cadrage!$C$32,IF($D505="V02",Cadrage!$D$32,Cadrage!$E$32)))</f>
        <v/>
      </c>
      <c r="K505">
        <f>IF($A505="","",IF($D505="V01",Cadrage!$C$33,IF($D505="V02",Cadrage!$D$33,Cadrage!$E$33)))</f>
        <v/>
      </c>
      <c r="L505">
        <f>IF($A505="","",IF($D505="V01",Cadrage!$C$34,IF($D505="V02",Cadrage!$D$34,Cadrage!$E$34)))</f>
        <v/>
      </c>
      <c r="M505">
        <f>IF($A505="","",IF($D505="V01",Cadrage!$C$35,IF($D505="V02",Cadrage!$D$35,Cadrage!$E$35)))</f>
        <v/>
      </c>
      <c r="N505">
        <f>IF($A505="","",IF($D505="V01",$R$2,IF($D505="V02",$R$3,$R$4)))</f>
        <v/>
      </c>
      <c r="O505">
        <f>IF($A505="","",IF(OR($B505="7062",$B505="706",$B505="708"),$N505,IF($B505="6231",1+$G505,IF($B505="6236",1+$H505,IF(OR($B505="621",$B505="604",$B505="6063"),$N505*(1-$L505),IF(OR($B505="6411",$B505="6413",$B505="6414",$B505="645"),(1+$J505)*(1+$K505),IF(OR($B505="613",$B505="615",$B505="616",$B505="6226",$B505="625",$B505="626",$B505="6281"),(1+$I505)*(1-$L505)*(1+$M505),IF(OR($B505="6331",$B505="63511",$B505="6333"),(1+$I505)*(1-$L505),IF($B505="6811",1+$I505,1)))))))))</f>
        <v/>
      </c>
      <c r="P505">
        <f>IF($A505="","",IF($E505=1,$F505*$O505,PNL!G505))</f>
        <v/>
      </c>
      <c r="T505">
        <f>IF($A505="","",IF($E505=1,IF(OR($B505="7062",$B505="706",$B505="708"),$P505,IF(AND(LEFT($B505,1)="6",$B505&lt;&gt;"6811"),-$P505,0)),0))</f>
        <v/>
      </c>
    </row>
    <row r="506">
      <c r="A506">
        <f>IF(PNL!A506="","",PNL!A506)</f>
        <v/>
      </c>
      <c r="B506">
        <f>IF(PNL!B506="","",PNL!B506)</f>
        <v/>
      </c>
      <c r="C506">
        <f>IF(PNL!C506="","",PNL!C506)</f>
        <v/>
      </c>
      <c r="D506">
        <f>IF(PNL!D506="","",PNL!D506)</f>
        <v/>
      </c>
      <c r="E506">
        <f>IF($A506="","",IF(AND($C506="2027",OR($D506="V01",$D506="V02",$D506="V03")),1,0))</f>
        <v/>
      </c>
      <c r="F506">
        <f>IF($A506="","",IF($E506=1,SUMIFS(Comptabilité!$F$1:$F$675,Comptabilité!$A$1:$A$675,$A506,Comptabilité!$B$1:$B$675,$B506,Comptabilité!$C$1:$C$675,"2026"),0))</f>
        <v/>
      </c>
      <c r="G506">
        <f>IF($A506="","",IF($D506="V01",Cadrage!$C$22,IF($D506="V02",Cadrage!$D$22,Cadrage!$E$22)))</f>
        <v/>
      </c>
      <c r="H506">
        <f>IF($A506="","",IF($D506="V01",Cadrage!$C$23,IF($D506="V02",Cadrage!$D$23,Cadrage!$E$23)))</f>
        <v/>
      </c>
      <c r="I506">
        <f>IF($A506="","",IF($D506="V01",Cadrage!$C$31,IF($D506="V02",Cadrage!$D$31,Cadrage!$E$31)))</f>
        <v/>
      </c>
      <c r="J506">
        <f>IF($A506="","",IF($D506="V01",Cadrage!$C$32,IF($D506="V02",Cadrage!$D$32,Cadrage!$E$32)))</f>
        <v/>
      </c>
      <c r="K506">
        <f>IF($A506="","",IF($D506="V01",Cadrage!$C$33,IF($D506="V02",Cadrage!$D$33,Cadrage!$E$33)))</f>
        <v/>
      </c>
      <c r="L506">
        <f>IF($A506="","",IF($D506="V01",Cadrage!$C$34,IF($D506="V02",Cadrage!$D$34,Cadrage!$E$34)))</f>
        <v/>
      </c>
      <c r="M506">
        <f>IF($A506="","",IF($D506="V01",Cadrage!$C$35,IF($D506="V02",Cadrage!$D$35,Cadrage!$E$35)))</f>
        <v/>
      </c>
      <c r="N506">
        <f>IF($A506="","",IF($D506="V01",$R$2,IF($D506="V02",$R$3,$R$4)))</f>
        <v/>
      </c>
      <c r="O506">
        <f>IF($A506="","",IF(OR($B506="7062",$B506="706",$B506="708"),$N506,IF($B506="6231",1+$G506,IF($B506="6236",1+$H506,IF(OR($B506="621",$B506="604",$B506="6063"),$N506*(1-$L506),IF(OR($B506="6411",$B506="6413",$B506="6414",$B506="645"),(1+$J506)*(1+$K506),IF(OR($B506="613",$B506="615",$B506="616",$B506="6226",$B506="625",$B506="626",$B506="6281"),(1+$I506)*(1-$L506)*(1+$M506),IF(OR($B506="6331",$B506="63511",$B506="6333"),(1+$I506)*(1-$L506),IF($B506="6811",1+$I506,1)))))))))</f>
        <v/>
      </c>
      <c r="P506">
        <f>IF($A506="","",IF($E506=1,$F506*$O506,PNL!G506))</f>
        <v/>
      </c>
      <c r="T506">
        <f>IF($A506="","",IF($E506=1,IF(OR($B506="7062",$B506="706",$B506="708"),$P506,IF(AND(LEFT($B506,1)="6",$B506&lt;&gt;"6811"),-$P506,0)),0))</f>
        <v/>
      </c>
    </row>
    <row r="507">
      <c r="A507">
        <f>IF(PNL!A507="","",PNL!A507)</f>
        <v/>
      </c>
      <c r="B507">
        <f>IF(PNL!B507="","",PNL!B507)</f>
        <v/>
      </c>
      <c r="C507">
        <f>IF(PNL!C507="","",PNL!C507)</f>
        <v/>
      </c>
      <c r="D507">
        <f>IF(PNL!D507="","",PNL!D507)</f>
        <v/>
      </c>
      <c r="E507">
        <f>IF($A507="","",IF(AND($C507="2027",OR($D507="V01",$D507="V02",$D507="V03")),1,0))</f>
        <v/>
      </c>
      <c r="F507">
        <f>IF($A507="","",IF($E507=1,SUMIFS(Comptabilité!$F$1:$F$675,Comptabilité!$A$1:$A$675,$A507,Comptabilité!$B$1:$B$675,$B507,Comptabilité!$C$1:$C$675,"2026"),0))</f>
        <v/>
      </c>
      <c r="G507">
        <f>IF($A507="","",IF($D507="V01",Cadrage!$C$22,IF($D507="V02",Cadrage!$D$22,Cadrage!$E$22)))</f>
        <v/>
      </c>
      <c r="H507">
        <f>IF($A507="","",IF($D507="V01",Cadrage!$C$23,IF($D507="V02",Cadrage!$D$23,Cadrage!$E$23)))</f>
        <v/>
      </c>
      <c r="I507">
        <f>IF($A507="","",IF($D507="V01",Cadrage!$C$31,IF($D507="V02",Cadrage!$D$31,Cadrage!$E$31)))</f>
        <v/>
      </c>
      <c r="J507">
        <f>IF($A507="","",IF($D507="V01",Cadrage!$C$32,IF($D507="V02",Cadrage!$D$32,Cadrage!$E$32)))</f>
        <v/>
      </c>
      <c r="K507">
        <f>IF($A507="","",IF($D507="V01",Cadrage!$C$33,IF($D507="V02",Cadrage!$D$33,Cadrage!$E$33)))</f>
        <v/>
      </c>
      <c r="L507">
        <f>IF($A507="","",IF($D507="V01",Cadrage!$C$34,IF($D507="V02",Cadrage!$D$34,Cadrage!$E$34)))</f>
        <v/>
      </c>
      <c r="M507">
        <f>IF($A507="","",IF($D507="V01",Cadrage!$C$35,IF($D507="V02",Cadrage!$D$35,Cadrage!$E$35)))</f>
        <v/>
      </c>
      <c r="N507">
        <f>IF($A507="","",IF($D507="V01",$R$2,IF($D507="V02",$R$3,$R$4)))</f>
        <v/>
      </c>
      <c r="O507">
        <f>IF($A507="","",IF(OR($B507="7062",$B507="706",$B507="708"),$N507,IF($B507="6231",1+$G507,IF($B507="6236",1+$H507,IF(OR($B507="621",$B507="604",$B507="6063"),$N507*(1-$L507),IF(OR($B507="6411",$B507="6413",$B507="6414",$B507="645"),(1+$J507)*(1+$K507),IF(OR($B507="613",$B507="615",$B507="616",$B507="6226",$B507="625",$B507="626",$B507="6281"),(1+$I507)*(1-$L507)*(1+$M507),IF(OR($B507="6331",$B507="63511",$B507="6333"),(1+$I507)*(1-$L507),IF($B507="6811",1+$I507,1)))))))))</f>
        <v/>
      </c>
      <c r="P507">
        <f>IF($A507="","",IF($E507=1,$F507*$O507,PNL!G507))</f>
        <v/>
      </c>
      <c r="T507">
        <f>IF($A507="","",IF($E507=1,IF(OR($B507="7062",$B507="706",$B507="708"),$P507,IF(AND(LEFT($B507,1)="6",$B507&lt;&gt;"6811"),-$P507,0)),0))</f>
        <v/>
      </c>
    </row>
    <row r="508">
      <c r="A508">
        <f>IF(PNL!A508="","",PNL!A508)</f>
        <v/>
      </c>
      <c r="B508">
        <f>IF(PNL!B508="","",PNL!B508)</f>
        <v/>
      </c>
      <c r="C508">
        <f>IF(PNL!C508="","",PNL!C508)</f>
        <v/>
      </c>
      <c r="D508">
        <f>IF(PNL!D508="","",PNL!D508)</f>
        <v/>
      </c>
      <c r="E508">
        <f>IF($A508="","",IF(AND($C508="2027",OR($D508="V01",$D508="V02",$D508="V03")),1,0))</f>
        <v/>
      </c>
      <c r="F508">
        <f>IF($A508="","",IF($E508=1,SUMIFS(Comptabilité!$F$1:$F$675,Comptabilité!$A$1:$A$675,$A508,Comptabilité!$B$1:$B$675,$B508,Comptabilité!$C$1:$C$675,"2026"),0))</f>
        <v/>
      </c>
      <c r="G508">
        <f>IF($A508="","",IF($D508="V01",Cadrage!$C$22,IF($D508="V02",Cadrage!$D$22,Cadrage!$E$22)))</f>
        <v/>
      </c>
      <c r="H508">
        <f>IF($A508="","",IF($D508="V01",Cadrage!$C$23,IF($D508="V02",Cadrage!$D$23,Cadrage!$E$23)))</f>
        <v/>
      </c>
      <c r="I508">
        <f>IF($A508="","",IF($D508="V01",Cadrage!$C$31,IF($D508="V02",Cadrage!$D$31,Cadrage!$E$31)))</f>
        <v/>
      </c>
      <c r="J508">
        <f>IF($A508="","",IF($D508="V01",Cadrage!$C$32,IF($D508="V02",Cadrage!$D$32,Cadrage!$E$32)))</f>
        <v/>
      </c>
      <c r="K508">
        <f>IF($A508="","",IF($D508="V01",Cadrage!$C$33,IF($D508="V02",Cadrage!$D$33,Cadrage!$E$33)))</f>
        <v/>
      </c>
      <c r="L508">
        <f>IF($A508="","",IF($D508="V01",Cadrage!$C$34,IF($D508="V02",Cadrage!$D$34,Cadrage!$E$34)))</f>
        <v/>
      </c>
      <c r="M508">
        <f>IF($A508="","",IF($D508="V01",Cadrage!$C$35,IF($D508="V02",Cadrage!$D$35,Cadrage!$E$35)))</f>
        <v/>
      </c>
      <c r="N508">
        <f>IF($A508="","",IF($D508="V01",$R$2,IF($D508="V02",$R$3,$R$4)))</f>
        <v/>
      </c>
      <c r="O508">
        <f>IF($A508="","",IF(OR($B508="7062",$B508="706",$B508="708"),$N508,IF($B508="6231",1+$G508,IF($B508="6236",1+$H508,IF(OR($B508="621",$B508="604",$B508="6063"),$N508*(1-$L508),IF(OR($B508="6411",$B508="6413",$B508="6414",$B508="645"),(1+$J508)*(1+$K508),IF(OR($B508="613",$B508="615",$B508="616",$B508="6226",$B508="625",$B508="626",$B508="6281"),(1+$I508)*(1-$L508)*(1+$M508),IF(OR($B508="6331",$B508="63511",$B508="6333"),(1+$I508)*(1-$L508),IF($B508="6811",1+$I508,1)))))))))</f>
        <v/>
      </c>
      <c r="P508">
        <f>IF($A508="","",IF($E508=1,$F508*$O508,PNL!G508))</f>
        <v/>
      </c>
      <c r="T508">
        <f>IF($A508="","",IF($E508=1,IF(OR($B508="7062",$B508="706",$B508="708"),$P508,IF(AND(LEFT($B508,1)="6",$B508&lt;&gt;"6811"),-$P508,0)),0))</f>
        <v/>
      </c>
    </row>
    <row r="509">
      <c r="A509">
        <f>IF(PNL!A509="","",PNL!A509)</f>
        <v/>
      </c>
      <c r="B509">
        <f>IF(PNL!B509="","",PNL!B509)</f>
        <v/>
      </c>
      <c r="C509">
        <f>IF(PNL!C509="","",PNL!C509)</f>
        <v/>
      </c>
      <c r="D509">
        <f>IF(PNL!D509="","",PNL!D509)</f>
        <v/>
      </c>
      <c r="E509">
        <f>IF($A509="","",IF(AND($C509="2027",OR($D509="V01",$D509="V02",$D509="V03")),1,0))</f>
        <v/>
      </c>
      <c r="F509">
        <f>IF($A509="","",IF($E509=1,SUMIFS(Comptabilité!$F$1:$F$675,Comptabilité!$A$1:$A$675,$A509,Comptabilité!$B$1:$B$675,$B509,Comptabilité!$C$1:$C$675,"2026"),0))</f>
        <v/>
      </c>
      <c r="G509">
        <f>IF($A509="","",IF($D509="V01",Cadrage!$C$22,IF($D509="V02",Cadrage!$D$22,Cadrage!$E$22)))</f>
        <v/>
      </c>
      <c r="H509">
        <f>IF($A509="","",IF($D509="V01",Cadrage!$C$23,IF($D509="V02",Cadrage!$D$23,Cadrage!$E$23)))</f>
        <v/>
      </c>
      <c r="I509">
        <f>IF($A509="","",IF($D509="V01",Cadrage!$C$31,IF($D509="V02",Cadrage!$D$31,Cadrage!$E$31)))</f>
        <v/>
      </c>
      <c r="J509">
        <f>IF($A509="","",IF($D509="V01",Cadrage!$C$32,IF($D509="V02",Cadrage!$D$32,Cadrage!$E$32)))</f>
        <v/>
      </c>
      <c r="K509">
        <f>IF($A509="","",IF($D509="V01",Cadrage!$C$33,IF($D509="V02",Cadrage!$D$33,Cadrage!$E$33)))</f>
        <v/>
      </c>
      <c r="L509">
        <f>IF($A509="","",IF($D509="V01",Cadrage!$C$34,IF($D509="V02",Cadrage!$D$34,Cadrage!$E$34)))</f>
        <v/>
      </c>
      <c r="M509">
        <f>IF($A509="","",IF($D509="V01",Cadrage!$C$35,IF($D509="V02",Cadrage!$D$35,Cadrage!$E$35)))</f>
        <v/>
      </c>
      <c r="N509">
        <f>IF($A509="","",IF($D509="V01",$R$2,IF($D509="V02",$R$3,$R$4)))</f>
        <v/>
      </c>
      <c r="O509">
        <f>IF($A509="","",IF(OR($B509="7062",$B509="706",$B509="708"),$N509,IF($B509="6231",1+$G509,IF($B509="6236",1+$H509,IF(OR($B509="621",$B509="604",$B509="6063"),$N509*(1-$L509),IF(OR($B509="6411",$B509="6413",$B509="6414",$B509="645"),(1+$J509)*(1+$K509),IF(OR($B509="613",$B509="615",$B509="616",$B509="6226",$B509="625",$B509="626",$B509="6281"),(1+$I509)*(1-$L509)*(1+$M509),IF(OR($B509="6331",$B509="63511",$B509="6333"),(1+$I509)*(1-$L509),IF($B509="6811",1+$I509,1)))))))))</f>
        <v/>
      </c>
      <c r="P509">
        <f>IF($A509="","",IF($E509=1,$F509*$O509,PNL!G509))</f>
        <v/>
      </c>
      <c r="T509">
        <f>IF($A509="","",IF($E509=1,IF(OR($B509="7062",$B509="706",$B509="708"),$P509,IF(AND(LEFT($B509,1)="6",$B509&lt;&gt;"6811"),-$P509,0)),0))</f>
        <v/>
      </c>
    </row>
    <row r="510">
      <c r="A510">
        <f>IF(PNL!A510="","",PNL!A510)</f>
        <v/>
      </c>
      <c r="B510">
        <f>IF(PNL!B510="","",PNL!B510)</f>
        <v/>
      </c>
      <c r="C510">
        <f>IF(PNL!C510="","",PNL!C510)</f>
        <v/>
      </c>
      <c r="D510">
        <f>IF(PNL!D510="","",PNL!D510)</f>
        <v/>
      </c>
      <c r="E510">
        <f>IF($A510="","",IF(AND($C510="2027",OR($D510="V01",$D510="V02",$D510="V03")),1,0))</f>
        <v/>
      </c>
      <c r="F510">
        <f>IF($A510="","",IF($E510=1,SUMIFS(Comptabilité!$F$1:$F$675,Comptabilité!$A$1:$A$675,$A510,Comptabilité!$B$1:$B$675,$B510,Comptabilité!$C$1:$C$675,"2026"),0))</f>
        <v/>
      </c>
      <c r="G510">
        <f>IF($A510="","",IF($D510="V01",Cadrage!$C$22,IF($D510="V02",Cadrage!$D$22,Cadrage!$E$22)))</f>
        <v/>
      </c>
      <c r="H510">
        <f>IF($A510="","",IF($D510="V01",Cadrage!$C$23,IF($D510="V02",Cadrage!$D$23,Cadrage!$E$23)))</f>
        <v/>
      </c>
      <c r="I510">
        <f>IF($A510="","",IF($D510="V01",Cadrage!$C$31,IF($D510="V02",Cadrage!$D$31,Cadrage!$E$31)))</f>
        <v/>
      </c>
      <c r="J510">
        <f>IF($A510="","",IF($D510="V01",Cadrage!$C$32,IF($D510="V02",Cadrage!$D$32,Cadrage!$E$32)))</f>
        <v/>
      </c>
      <c r="K510">
        <f>IF($A510="","",IF($D510="V01",Cadrage!$C$33,IF($D510="V02",Cadrage!$D$33,Cadrage!$E$33)))</f>
        <v/>
      </c>
      <c r="L510">
        <f>IF($A510="","",IF($D510="V01",Cadrage!$C$34,IF($D510="V02",Cadrage!$D$34,Cadrage!$E$34)))</f>
        <v/>
      </c>
      <c r="M510">
        <f>IF($A510="","",IF($D510="V01",Cadrage!$C$35,IF($D510="V02",Cadrage!$D$35,Cadrage!$E$35)))</f>
        <v/>
      </c>
      <c r="N510">
        <f>IF($A510="","",IF($D510="V01",$R$2,IF($D510="V02",$R$3,$R$4)))</f>
        <v/>
      </c>
      <c r="O510">
        <f>IF($A510="","",IF(OR($B510="7062",$B510="706",$B510="708"),$N510,IF($B510="6231",1+$G510,IF($B510="6236",1+$H510,IF(OR($B510="621",$B510="604",$B510="6063"),$N510*(1-$L510),IF(OR($B510="6411",$B510="6413",$B510="6414",$B510="645"),(1+$J510)*(1+$K510),IF(OR($B510="613",$B510="615",$B510="616",$B510="6226",$B510="625",$B510="626",$B510="6281"),(1+$I510)*(1-$L510)*(1+$M510),IF(OR($B510="6331",$B510="63511",$B510="6333"),(1+$I510)*(1-$L510),IF($B510="6811",1+$I510,1)))))))))</f>
        <v/>
      </c>
      <c r="P510">
        <f>IF($A510="","",IF($E510=1,$F510*$O510,PNL!G510))</f>
        <v/>
      </c>
      <c r="T510">
        <f>IF($A510="","",IF($E510=1,IF(OR($B510="7062",$B510="706",$B510="708"),$P510,IF(AND(LEFT($B510,1)="6",$B510&lt;&gt;"6811"),-$P510,0)),0))</f>
        <v/>
      </c>
    </row>
    <row r="511">
      <c r="A511">
        <f>IF(PNL!A511="","",PNL!A511)</f>
        <v/>
      </c>
      <c r="B511">
        <f>IF(PNL!B511="","",PNL!B511)</f>
        <v/>
      </c>
      <c r="C511">
        <f>IF(PNL!C511="","",PNL!C511)</f>
        <v/>
      </c>
      <c r="D511">
        <f>IF(PNL!D511="","",PNL!D511)</f>
        <v/>
      </c>
      <c r="E511">
        <f>IF($A511="","",IF(AND($C511="2027",OR($D511="V01",$D511="V02",$D511="V03")),1,0))</f>
        <v/>
      </c>
      <c r="F511">
        <f>IF($A511="","",IF($E511=1,SUMIFS(Comptabilité!$F$1:$F$675,Comptabilité!$A$1:$A$675,$A511,Comptabilité!$B$1:$B$675,$B511,Comptabilité!$C$1:$C$675,"2026"),0))</f>
        <v/>
      </c>
      <c r="G511">
        <f>IF($A511="","",IF($D511="V01",Cadrage!$C$22,IF($D511="V02",Cadrage!$D$22,Cadrage!$E$22)))</f>
        <v/>
      </c>
      <c r="H511">
        <f>IF($A511="","",IF($D511="V01",Cadrage!$C$23,IF($D511="V02",Cadrage!$D$23,Cadrage!$E$23)))</f>
        <v/>
      </c>
      <c r="I511">
        <f>IF($A511="","",IF($D511="V01",Cadrage!$C$31,IF($D511="V02",Cadrage!$D$31,Cadrage!$E$31)))</f>
        <v/>
      </c>
      <c r="J511">
        <f>IF($A511="","",IF($D511="V01",Cadrage!$C$32,IF($D511="V02",Cadrage!$D$32,Cadrage!$E$32)))</f>
        <v/>
      </c>
      <c r="K511">
        <f>IF($A511="","",IF($D511="V01",Cadrage!$C$33,IF($D511="V02",Cadrage!$D$33,Cadrage!$E$33)))</f>
        <v/>
      </c>
      <c r="L511">
        <f>IF($A511="","",IF($D511="V01",Cadrage!$C$34,IF($D511="V02",Cadrage!$D$34,Cadrage!$E$34)))</f>
        <v/>
      </c>
      <c r="M511">
        <f>IF($A511="","",IF($D511="V01",Cadrage!$C$35,IF($D511="V02",Cadrage!$D$35,Cadrage!$E$35)))</f>
        <v/>
      </c>
      <c r="N511">
        <f>IF($A511="","",IF($D511="V01",$R$2,IF($D511="V02",$R$3,$R$4)))</f>
        <v/>
      </c>
      <c r="O511">
        <f>IF($A511="","",IF(OR($B511="7062",$B511="706",$B511="708"),$N511,IF($B511="6231",1+$G511,IF($B511="6236",1+$H511,IF(OR($B511="621",$B511="604",$B511="6063"),$N511*(1-$L511),IF(OR($B511="6411",$B511="6413",$B511="6414",$B511="645"),(1+$J511)*(1+$K511),IF(OR($B511="613",$B511="615",$B511="616",$B511="6226",$B511="625",$B511="626",$B511="6281"),(1+$I511)*(1-$L511)*(1+$M511),IF(OR($B511="6331",$B511="63511",$B511="6333"),(1+$I511)*(1-$L511),IF($B511="6811",1+$I511,1)))))))))</f>
        <v/>
      </c>
      <c r="P511">
        <f>IF($A511="","",IF($E511=1,$F511*$O511,PNL!G511))</f>
        <v/>
      </c>
      <c r="T511">
        <f>IF($A511="","",IF($E511=1,IF(OR($B511="7062",$B511="706",$B511="708"),$P511,IF(AND(LEFT($B511,1)="6",$B511&lt;&gt;"6811"),-$P511,0)),0))</f>
        <v/>
      </c>
    </row>
    <row r="512">
      <c r="A512">
        <f>IF(PNL!A512="","",PNL!A512)</f>
        <v/>
      </c>
      <c r="B512">
        <f>IF(PNL!B512="","",PNL!B512)</f>
        <v/>
      </c>
      <c r="C512">
        <f>IF(PNL!C512="","",PNL!C512)</f>
        <v/>
      </c>
      <c r="D512">
        <f>IF(PNL!D512="","",PNL!D512)</f>
        <v/>
      </c>
      <c r="E512">
        <f>IF($A512="","",IF(AND($C512="2027",OR($D512="V01",$D512="V02",$D512="V03")),1,0))</f>
        <v/>
      </c>
      <c r="F512">
        <f>IF($A512="","",IF($E512=1,SUMIFS(Comptabilité!$F$1:$F$675,Comptabilité!$A$1:$A$675,$A512,Comptabilité!$B$1:$B$675,$B512,Comptabilité!$C$1:$C$675,"2026"),0))</f>
        <v/>
      </c>
      <c r="G512">
        <f>IF($A512="","",IF($D512="V01",Cadrage!$C$22,IF($D512="V02",Cadrage!$D$22,Cadrage!$E$22)))</f>
        <v/>
      </c>
      <c r="H512">
        <f>IF($A512="","",IF($D512="V01",Cadrage!$C$23,IF($D512="V02",Cadrage!$D$23,Cadrage!$E$23)))</f>
        <v/>
      </c>
      <c r="I512">
        <f>IF($A512="","",IF($D512="V01",Cadrage!$C$31,IF($D512="V02",Cadrage!$D$31,Cadrage!$E$31)))</f>
        <v/>
      </c>
      <c r="J512">
        <f>IF($A512="","",IF($D512="V01",Cadrage!$C$32,IF($D512="V02",Cadrage!$D$32,Cadrage!$E$32)))</f>
        <v/>
      </c>
      <c r="K512">
        <f>IF($A512="","",IF($D512="V01",Cadrage!$C$33,IF($D512="V02",Cadrage!$D$33,Cadrage!$E$33)))</f>
        <v/>
      </c>
      <c r="L512">
        <f>IF($A512="","",IF($D512="V01",Cadrage!$C$34,IF($D512="V02",Cadrage!$D$34,Cadrage!$E$34)))</f>
        <v/>
      </c>
      <c r="M512">
        <f>IF($A512="","",IF($D512="V01",Cadrage!$C$35,IF($D512="V02",Cadrage!$D$35,Cadrage!$E$35)))</f>
        <v/>
      </c>
      <c r="N512">
        <f>IF($A512="","",IF($D512="V01",$R$2,IF($D512="V02",$R$3,$R$4)))</f>
        <v/>
      </c>
      <c r="O512">
        <f>IF($A512="","",IF(OR($B512="7062",$B512="706",$B512="708"),$N512,IF($B512="6231",1+$G512,IF($B512="6236",1+$H512,IF(OR($B512="621",$B512="604",$B512="6063"),$N512*(1-$L512),IF(OR($B512="6411",$B512="6413",$B512="6414",$B512="645"),(1+$J512)*(1+$K512),IF(OR($B512="613",$B512="615",$B512="616",$B512="6226",$B512="625",$B512="626",$B512="6281"),(1+$I512)*(1-$L512)*(1+$M512),IF(OR($B512="6331",$B512="63511",$B512="6333"),(1+$I512)*(1-$L512),IF($B512="6811",1+$I512,1)))))))))</f>
        <v/>
      </c>
      <c r="P512">
        <f>IF($A512="","",IF($E512=1,$F512*$O512,PNL!G512))</f>
        <v/>
      </c>
      <c r="T512">
        <f>IF($A512="","",IF($E512=1,IF(OR($B512="7062",$B512="706",$B512="708"),$P512,IF(AND(LEFT($B512,1)="6",$B512&lt;&gt;"6811"),-$P512,0)),0))</f>
        <v/>
      </c>
    </row>
    <row r="513">
      <c r="A513">
        <f>IF(PNL!A513="","",PNL!A513)</f>
        <v/>
      </c>
      <c r="B513">
        <f>IF(PNL!B513="","",PNL!B513)</f>
        <v/>
      </c>
      <c r="C513">
        <f>IF(PNL!C513="","",PNL!C513)</f>
        <v/>
      </c>
      <c r="D513">
        <f>IF(PNL!D513="","",PNL!D513)</f>
        <v/>
      </c>
      <c r="E513">
        <f>IF($A513="","",IF(AND($C513="2027",OR($D513="V01",$D513="V02",$D513="V03")),1,0))</f>
        <v/>
      </c>
      <c r="F513">
        <f>IF($A513="","",IF($E513=1,SUMIFS(Comptabilité!$F$1:$F$675,Comptabilité!$A$1:$A$675,$A513,Comptabilité!$B$1:$B$675,$B513,Comptabilité!$C$1:$C$675,"2026"),0))</f>
        <v/>
      </c>
      <c r="G513">
        <f>IF($A513="","",IF($D513="V01",Cadrage!$C$22,IF($D513="V02",Cadrage!$D$22,Cadrage!$E$22)))</f>
        <v/>
      </c>
      <c r="H513">
        <f>IF($A513="","",IF($D513="V01",Cadrage!$C$23,IF($D513="V02",Cadrage!$D$23,Cadrage!$E$23)))</f>
        <v/>
      </c>
      <c r="I513">
        <f>IF($A513="","",IF($D513="V01",Cadrage!$C$31,IF($D513="V02",Cadrage!$D$31,Cadrage!$E$31)))</f>
        <v/>
      </c>
      <c r="J513">
        <f>IF($A513="","",IF($D513="V01",Cadrage!$C$32,IF($D513="V02",Cadrage!$D$32,Cadrage!$E$32)))</f>
        <v/>
      </c>
      <c r="K513">
        <f>IF($A513="","",IF($D513="V01",Cadrage!$C$33,IF($D513="V02",Cadrage!$D$33,Cadrage!$E$33)))</f>
        <v/>
      </c>
      <c r="L513">
        <f>IF($A513="","",IF($D513="V01",Cadrage!$C$34,IF($D513="V02",Cadrage!$D$34,Cadrage!$E$34)))</f>
        <v/>
      </c>
      <c r="M513">
        <f>IF($A513="","",IF($D513="V01",Cadrage!$C$35,IF($D513="V02",Cadrage!$D$35,Cadrage!$E$35)))</f>
        <v/>
      </c>
      <c r="N513">
        <f>IF($A513="","",IF($D513="V01",$R$2,IF($D513="V02",$R$3,$R$4)))</f>
        <v/>
      </c>
      <c r="O513">
        <f>IF($A513="","",IF(OR($B513="7062",$B513="706",$B513="708"),$N513,IF($B513="6231",1+$G513,IF($B513="6236",1+$H513,IF(OR($B513="621",$B513="604",$B513="6063"),$N513*(1-$L513),IF(OR($B513="6411",$B513="6413",$B513="6414",$B513="645"),(1+$J513)*(1+$K513),IF(OR($B513="613",$B513="615",$B513="616",$B513="6226",$B513="625",$B513="626",$B513="6281"),(1+$I513)*(1-$L513)*(1+$M513),IF(OR($B513="6331",$B513="63511",$B513="6333"),(1+$I513)*(1-$L513),IF($B513="6811",1+$I513,1)))))))))</f>
        <v/>
      </c>
      <c r="P513">
        <f>IF($A513="","",IF($E513=1,$F513*$O513,PNL!G513))</f>
        <v/>
      </c>
      <c r="T513">
        <f>IF($A513="","",IF($E513=1,IF(OR($B513="7062",$B513="706",$B513="708"),$P513,IF(AND(LEFT($B513,1)="6",$B513&lt;&gt;"6811"),-$P513,0)),0))</f>
        <v/>
      </c>
    </row>
    <row r="514">
      <c r="A514">
        <f>IF(PNL!A514="","",PNL!A514)</f>
        <v/>
      </c>
      <c r="B514">
        <f>IF(PNL!B514="","",PNL!B514)</f>
        <v/>
      </c>
      <c r="C514">
        <f>IF(PNL!C514="","",PNL!C514)</f>
        <v/>
      </c>
      <c r="D514">
        <f>IF(PNL!D514="","",PNL!D514)</f>
        <v/>
      </c>
      <c r="E514">
        <f>IF($A514="","",IF(AND($C514="2027",OR($D514="V01",$D514="V02",$D514="V03")),1,0))</f>
        <v/>
      </c>
      <c r="F514">
        <f>IF($A514="","",IF($E514=1,SUMIFS(Comptabilité!$F$1:$F$675,Comptabilité!$A$1:$A$675,$A514,Comptabilité!$B$1:$B$675,$B514,Comptabilité!$C$1:$C$675,"2026"),0))</f>
        <v/>
      </c>
      <c r="G514">
        <f>IF($A514="","",IF($D514="V01",Cadrage!$C$22,IF($D514="V02",Cadrage!$D$22,Cadrage!$E$22)))</f>
        <v/>
      </c>
      <c r="H514">
        <f>IF($A514="","",IF($D514="V01",Cadrage!$C$23,IF($D514="V02",Cadrage!$D$23,Cadrage!$E$23)))</f>
        <v/>
      </c>
      <c r="I514">
        <f>IF($A514="","",IF($D514="V01",Cadrage!$C$31,IF($D514="V02",Cadrage!$D$31,Cadrage!$E$31)))</f>
        <v/>
      </c>
      <c r="J514">
        <f>IF($A514="","",IF($D514="V01",Cadrage!$C$32,IF($D514="V02",Cadrage!$D$32,Cadrage!$E$32)))</f>
        <v/>
      </c>
      <c r="K514">
        <f>IF($A514="","",IF($D514="V01",Cadrage!$C$33,IF($D514="V02",Cadrage!$D$33,Cadrage!$E$33)))</f>
        <v/>
      </c>
      <c r="L514">
        <f>IF($A514="","",IF($D514="V01",Cadrage!$C$34,IF($D514="V02",Cadrage!$D$34,Cadrage!$E$34)))</f>
        <v/>
      </c>
      <c r="M514">
        <f>IF($A514="","",IF($D514="V01",Cadrage!$C$35,IF($D514="V02",Cadrage!$D$35,Cadrage!$E$35)))</f>
        <v/>
      </c>
      <c r="N514">
        <f>IF($A514="","",IF($D514="V01",$R$2,IF($D514="V02",$R$3,$R$4)))</f>
        <v/>
      </c>
      <c r="O514">
        <f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>
        <f>IF($A514="","",IF($E514=1,$F514*$O514,PNL!G514))</f>
        <v/>
      </c>
      <c r="T514">
        <f>IF($A514="","",IF($E514=1,IF(OR($B514="7062",$B514="706",$B514="708"),$P514,IF(AND(LEFT($B514,1)="6",$B514&lt;&gt;"6811"),-$P514,0)),0))</f>
        <v/>
      </c>
    </row>
    <row r="515">
      <c r="A515">
        <f>IF(PNL!A515="","",PNL!A515)</f>
        <v/>
      </c>
      <c r="B515">
        <f>IF(PNL!B515="","",PNL!B515)</f>
        <v/>
      </c>
      <c r="C515">
        <f>IF(PNL!C515="","",PNL!C515)</f>
        <v/>
      </c>
      <c r="D515">
        <f>IF(PNL!D515="","",PNL!D515)</f>
        <v/>
      </c>
      <c r="E515">
        <f>IF($A515="","",IF(AND($C515="2027",OR($D515="V01",$D515="V02",$D515="V03")),1,0))</f>
        <v/>
      </c>
      <c r="F515">
        <f>IF($A515="","",IF($E515=1,SUMIFS(Comptabilité!$F$1:$F$675,Comptabilité!$A$1:$A$675,$A515,Comptabilité!$B$1:$B$675,$B515,Comptabilité!$C$1:$C$675,"2026"),0))</f>
        <v/>
      </c>
      <c r="G515">
        <f>IF($A515="","",IF($D515="V01",Cadrage!$C$22,IF($D515="V02",Cadrage!$D$22,Cadrage!$E$22)))</f>
        <v/>
      </c>
      <c r="H515">
        <f>IF($A515="","",IF($D515="V01",Cadrage!$C$23,IF($D515="V02",Cadrage!$D$23,Cadrage!$E$23)))</f>
        <v/>
      </c>
      <c r="I515">
        <f>IF($A515="","",IF($D515="V01",Cadrage!$C$31,IF($D515="V02",Cadrage!$D$31,Cadrage!$E$31)))</f>
        <v/>
      </c>
      <c r="J515">
        <f>IF($A515="","",IF($D515="V01",Cadrage!$C$32,IF($D515="V02",Cadrage!$D$32,Cadrage!$E$32)))</f>
        <v/>
      </c>
      <c r="K515">
        <f>IF($A515="","",IF($D515="V01",Cadrage!$C$33,IF($D515="V02",Cadrage!$D$33,Cadrage!$E$33)))</f>
        <v/>
      </c>
      <c r="L515">
        <f>IF($A515="","",IF($D515="V01",Cadrage!$C$34,IF($D515="V02",Cadrage!$D$34,Cadrage!$E$34)))</f>
        <v/>
      </c>
      <c r="M515">
        <f>IF($A515="","",IF($D515="V01",Cadrage!$C$35,IF($D515="V02",Cadrage!$D$35,Cadrage!$E$35)))</f>
        <v/>
      </c>
      <c r="N515">
        <f>IF($A515="","",IF($D515="V01",$R$2,IF($D515="V02",$R$3,$R$4)))</f>
        <v/>
      </c>
      <c r="O515">
        <f>IF($A515="","",IF(OR($B515="7062",$B515="706",$B515="708"),$N515,IF($B515="6231",1+$G515,IF($B515="6236",1+$H515,IF(OR($B515="621",$B515="604",$B515="6063"),$N515*(1-$L515),IF(OR($B515="6411",$B515="6413",$B515="6414",$B515="645"),(1+$J515)*(1+$K515),IF(OR($B515="613",$B515="615",$B515="616",$B515="6226",$B515="625",$B515="626",$B515="6281"),(1+$I515)*(1-$L515)*(1+$M515),IF(OR($B515="6331",$B515="63511",$B515="6333"),(1+$I515)*(1-$L515),IF($B515="6811",1+$I515,1)))))))))</f>
        <v/>
      </c>
      <c r="P515">
        <f>IF($A515="","",IF($E515=1,$F515*$O515,PNL!G515))</f>
        <v/>
      </c>
      <c r="T515">
        <f>IF($A515="","",IF($E515=1,IF(OR($B515="7062",$B515="706",$B515="708"),$P515,IF(AND(LEFT($B515,1)="6",$B515&lt;&gt;"6811"),-$P515,0)),0))</f>
        <v/>
      </c>
    </row>
    <row r="516">
      <c r="A516">
        <f>IF(PNL!A516="","",PNL!A516)</f>
        <v/>
      </c>
      <c r="B516">
        <f>IF(PNL!B516="","",PNL!B516)</f>
        <v/>
      </c>
      <c r="C516">
        <f>IF(PNL!C516="","",PNL!C516)</f>
        <v/>
      </c>
      <c r="D516">
        <f>IF(PNL!D516="","",PNL!D516)</f>
        <v/>
      </c>
      <c r="E516">
        <f>IF($A516="","",IF(AND($C516="2027",OR($D516="V01",$D516="V02",$D516="V03")),1,0))</f>
        <v/>
      </c>
      <c r="F516">
        <f>IF($A516="","",IF($E516=1,SUMIFS(Comptabilité!$F$1:$F$675,Comptabilité!$A$1:$A$675,$A516,Comptabilité!$B$1:$B$675,$B516,Comptabilité!$C$1:$C$675,"2026"),0))</f>
        <v/>
      </c>
      <c r="G516">
        <f>IF($A516="","",IF($D516="V01",Cadrage!$C$22,IF($D516="V02",Cadrage!$D$22,Cadrage!$E$22)))</f>
        <v/>
      </c>
      <c r="H516">
        <f>IF($A516="","",IF($D516="V01",Cadrage!$C$23,IF($D516="V02",Cadrage!$D$23,Cadrage!$E$23)))</f>
        <v/>
      </c>
      <c r="I516">
        <f>IF($A516="","",IF($D516="V01",Cadrage!$C$31,IF($D516="V02",Cadrage!$D$31,Cadrage!$E$31)))</f>
        <v/>
      </c>
      <c r="J516">
        <f>IF($A516="","",IF($D516="V01",Cadrage!$C$32,IF($D516="V02",Cadrage!$D$32,Cadrage!$E$32)))</f>
        <v/>
      </c>
      <c r="K516">
        <f>IF($A516="","",IF($D516="V01",Cadrage!$C$33,IF($D516="V02",Cadrage!$D$33,Cadrage!$E$33)))</f>
        <v/>
      </c>
      <c r="L516">
        <f>IF($A516="","",IF($D516="V01",Cadrage!$C$34,IF($D516="V02",Cadrage!$D$34,Cadrage!$E$34)))</f>
        <v/>
      </c>
      <c r="M516">
        <f>IF($A516="","",IF($D516="V01",Cadrage!$C$35,IF($D516="V02",Cadrage!$D$35,Cadrage!$E$35)))</f>
        <v/>
      </c>
      <c r="N516">
        <f>IF($A516="","",IF($D516="V01",$R$2,IF($D516="V02",$R$3,$R$4)))</f>
        <v/>
      </c>
      <c r="O516">
        <f>IF($A516="","",IF(OR($B516="7062",$B516="706",$B516="708"),$N516,IF($B516="6231",1+$G516,IF($B516="6236",1+$H516,IF(OR($B516="621",$B516="604",$B516="6063"),$N516*(1-$L516),IF(OR($B516="6411",$B516="6413",$B516="6414",$B516="645"),(1+$J516)*(1+$K516),IF(OR($B516="613",$B516="615",$B516="616",$B516="6226",$B516="625",$B516="626",$B516="6281"),(1+$I516)*(1-$L516)*(1+$M516),IF(OR($B516="6331",$B516="63511",$B516="6333"),(1+$I516)*(1-$L516),IF($B516="6811",1+$I516,1)))))))))</f>
        <v/>
      </c>
      <c r="P516">
        <f>IF($A516="","",IF($E516=1,$F516*$O516,PNL!G516))</f>
        <v/>
      </c>
      <c r="T516">
        <f>IF($A516="","",IF($E516=1,IF(OR($B516="7062",$B516="706",$B516="708"),$P516,IF(AND(LEFT($B516,1)="6",$B516&lt;&gt;"6811"),-$P516,0)),0))</f>
        <v/>
      </c>
    </row>
    <row r="517">
      <c r="A517">
        <f>IF(PNL!A517="","",PNL!A517)</f>
        <v/>
      </c>
      <c r="B517">
        <f>IF(PNL!B517="","",PNL!B517)</f>
        <v/>
      </c>
      <c r="C517">
        <f>IF(PNL!C517="","",PNL!C517)</f>
        <v/>
      </c>
      <c r="D517">
        <f>IF(PNL!D517="","",PNL!D517)</f>
        <v/>
      </c>
      <c r="E517">
        <f>IF($A517="","",IF(AND($C517="2027",OR($D517="V01",$D517="V02",$D517="V03")),1,0))</f>
        <v/>
      </c>
      <c r="F517">
        <f>IF($A517="","",IF($E517=1,SUMIFS(Comptabilité!$F$1:$F$675,Comptabilité!$A$1:$A$675,$A517,Comptabilité!$B$1:$B$675,$B517,Comptabilité!$C$1:$C$675,"2026"),0))</f>
        <v/>
      </c>
      <c r="G517">
        <f>IF($A517="","",IF($D517="V01",Cadrage!$C$22,IF($D517="V02",Cadrage!$D$22,Cadrage!$E$22)))</f>
        <v/>
      </c>
      <c r="H517">
        <f>IF($A517="","",IF($D517="V01",Cadrage!$C$23,IF($D517="V02",Cadrage!$D$23,Cadrage!$E$23)))</f>
        <v/>
      </c>
      <c r="I517">
        <f>IF($A517="","",IF($D517="V01",Cadrage!$C$31,IF($D517="V02",Cadrage!$D$31,Cadrage!$E$31)))</f>
        <v/>
      </c>
      <c r="J517">
        <f>IF($A517="","",IF($D517="V01",Cadrage!$C$32,IF($D517="V02",Cadrage!$D$32,Cadrage!$E$32)))</f>
        <v/>
      </c>
      <c r="K517">
        <f>IF($A517="","",IF($D517="V01",Cadrage!$C$33,IF($D517="V02",Cadrage!$D$33,Cadrage!$E$33)))</f>
        <v/>
      </c>
      <c r="L517">
        <f>IF($A517="","",IF($D517="V01",Cadrage!$C$34,IF($D517="V02",Cadrage!$D$34,Cadrage!$E$34)))</f>
        <v/>
      </c>
      <c r="M517">
        <f>IF($A517="","",IF($D517="V01",Cadrage!$C$35,IF($D517="V02",Cadrage!$D$35,Cadrage!$E$35)))</f>
        <v/>
      </c>
      <c r="N517">
        <f>IF($A517="","",IF($D517="V01",$R$2,IF($D517="V02",$R$3,$R$4)))</f>
        <v/>
      </c>
      <c r="O517">
        <f>IF($A517="","",IF(OR($B517="7062",$B517="706",$B517="708"),$N517,IF($B517="6231",1+$G517,IF($B517="6236",1+$H517,IF(OR($B517="621",$B517="604",$B517="6063"),$N517*(1-$L517),IF(OR($B517="6411",$B517="6413",$B517="6414",$B517="645"),(1+$J517)*(1+$K517),IF(OR($B517="613",$B517="615",$B517="616",$B517="6226",$B517="625",$B517="626",$B517="6281"),(1+$I517)*(1-$L517)*(1+$M517),IF(OR($B517="6331",$B517="63511",$B517="6333"),(1+$I517)*(1-$L517),IF($B517="6811",1+$I517,1)))))))))</f>
        <v/>
      </c>
      <c r="P517">
        <f>IF($A517="","",IF($E517=1,$F517*$O517,PNL!G517))</f>
        <v/>
      </c>
      <c r="T517">
        <f>IF($A517="","",IF($E517=1,IF(OR($B517="7062",$B517="706",$B517="708"),$P517,IF(AND(LEFT($B517,1)="6",$B517&lt;&gt;"6811"),-$P517,0)),0))</f>
        <v/>
      </c>
    </row>
    <row r="518">
      <c r="A518">
        <f>IF(PNL!A518="","",PNL!A518)</f>
        <v/>
      </c>
      <c r="B518">
        <f>IF(PNL!B518="","",PNL!B518)</f>
        <v/>
      </c>
      <c r="C518">
        <f>IF(PNL!C518="","",PNL!C518)</f>
        <v/>
      </c>
      <c r="D518">
        <f>IF(PNL!D518="","",PNL!D518)</f>
        <v/>
      </c>
      <c r="E518">
        <f>IF($A518="","",IF(AND($C518="2027",OR($D518="V01",$D518="V02",$D518="V03")),1,0))</f>
        <v/>
      </c>
      <c r="F518">
        <f>IF($A518="","",IF($E518=1,SUMIFS(Comptabilité!$F$1:$F$675,Comptabilité!$A$1:$A$675,$A518,Comptabilité!$B$1:$B$675,$B518,Comptabilité!$C$1:$C$675,"2026"),0))</f>
        <v/>
      </c>
      <c r="G518">
        <f>IF($A518="","",IF($D518="V01",Cadrage!$C$22,IF($D518="V02",Cadrage!$D$22,Cadrage!$E$22)))</f>
        <v/>
      </c>
      <c r="H518">
        <f>IF($A518="","",IF($D518="V01",Cadrage!$C$23,IF($D518="V02",Cadrage!$D$23,Cadrage!$E$23)))</f>
        <v/>
      </c>
      <c r="I518">
        <f>IF($A518="","",IF($D518="V01",Cadrage!$C$31,IF($D518="V02",Cadrage!$D$31,Cadrage!$E$31)))</f>
        <v/>
      </c>
      <c r="J518">
        <f>IF($A518="","",IF($D518="V01",Cadrage!$C$32,IF($D518="V02",Cadrage!$D$32,Cadrage!$E$32)))</f>
        <v/>
      </c>
      <c r="K518">
        <f>IF($A518="","",IF($D518="V01",Cadrage!$C$33,IF($D518="V02",Cadrage!$D$33,Cadrage!$E$33)))</f>
        <v/>
      </c>
      <c r="L518">
        <f>IF($A518="","",IF($D518="V01",Cadrage!$C$34,IF($D518="V02",Cadrage!$D$34,Cadrage!$E$34)))</f>
        <v/>
      </c>
      <c r="M518">
        <f>IF($A518="","",IF($D518="V01",Cadrage!$C$35,IF($D518="V02",Cadrage!$D$35,Cadrage!$E$35)))</f>
        <v/>
      </c>
      <c r="N518">
        <f>IF($A518="","",IF($D518="V01",$R$2,IF($D518="V02",$R$3,$R$4)))</f>
        <v/>
      </c>
      <c r="O518">
        <f>IF($A518="","",IF(OR($B518="7062",$B518="706",$B518="708"),$N518,IF($B518="6231",1+$G518,IF($B518="6236",1+$H518,IF(OR($B518="621",$B518="604",$B518="6063"),$N518*(1-$L518),IF(OR($B518="6411",$B518="6413",$B518="6414",$B518="645"),(1+$J518)*(1+$K518),IF(OR($B518="613",$B518="615",$B518="616",$B518="6226",$B518="625",$B518="626",$B518="6281"),(1+$I518)*(1-$L518)*(1+$M518),IF(OR($B518="6331",$B518="63511",$B518="6333"),(1+$I518)*(1-$L518),IF($B518="6811",1+$I518,1)))))))))</f>
        <v/>
      </c>
      <c r="P518">
        <f>IF($A518="","",IF($E518=1,$F518*$O518,PNL!G518))</f>
        <v/>
      </c>
      <c r="T518">
        <f>IF($A518="","",IF($E518=1,IF(OR($B518="7062",$B518="706",$B518="708"),$P518,IF(AND(LEFT($B518,1)="6",$B518&lt;&gt;"6811"),-$P518,0)),0))</f>
        <v/>
      </c>
    </row>
    <row r="519">
      <c r="A519">
        <f>IF(PNL!A519="","",PNL!A519)</f>
        <v/>
      </c>
      <c r="B519">
        <f>IF(PNL!B519="","",PNL!B519)</f>
        <v/>
      </c>
      <c r="C519">
        <f>IF(PNL!C519="","",PNL!C519)</f>
        <v/>
      </c>
      <c r="D519">
        <f>IF(PNL!D519="","",PNL!D519)</f>
        <v/>
      </c>
      <c r="E519">
        <f>IF($A519="","",IF(AND($C519="2027",OR($D519="V01",$D519="V02",$D519="V03")),1,0))</f>
        <v/>
      </c>
      <c r="F519">
        <f>IF($A519="","",IF($E519=1,SUMIFS(Comptabilité!$F$1:$F$675,Comptabilité!$A$1:$A$675,$A519,Comptabilité!$B$1:$B$675,$B519,Comptabilité!$C$1:$C$675,"2026"),0))</f>
        <v/>
      </c>
      <c r="G519">
        <f>IF($A519="","",IF($D519="V01",Cadrage!$C$22,IF($D519="V02",Cadrage!$D$22,Cadrage!$E$22)))</f>
        <v/>
      </c>
      <c r="H519">
        <f>IF($A519="","",IF($D519="V01",Cadrage!$C$23,IF($D519="V02",Cadrage!$D$23,Cadrage!$E$23)))</f>
        <v/>
      </c>
      <c r="I519">
        <f>IF($A519="","",IF($D519="V01",Cadrage!$C$31,IF($D519="V02",Cadrage!$D$31,Cadrage!$E$31)))</f>
        <v/>
      </c>
      <c r="J519">
        <f>IF($A519="","",IF($D519="V01",Cadrage!$C$32,IF($D519="V02",Cadrage!$D$32,Cadrage!$E$32)))</f>
        <v/>
      </c>
      <c r="K519">
        <f>IF($A519="","",IF($D519="V01",Cadrage!$C$33,IF($D519="V02",Cadrage!$D$33,Cadrage!$E$33)))</f>
        <v/>
      </c>
      <c r="L519">
        <f>IF($A519="","",IF($D519="V01",Cadrage!$C$34,IF($D519="V02",Cadrage!$D$34,Cadrage!$E$34)))</f>
        <v/>
      </c>
      <c r="M519">
        <f>IF($A519="","",IF($D519="V01",Cadrage!$C$35,IF($D519="V02",Cadrage!$D$35,Cadrage!$E$35)))</f>
        <v/>
      </c>
      <c r="N519">
        <f>IF($A519="","",IF($D519="V01",$R$2,IF($D519="V02",$R$3,$R$4)))</f>
        <v/>
      </c>
      <c r="O519">
        <f>IF($A519="","",IF(OR($B519="7062",$B519="706",$B519="708"),$N519,IF($B519="6231",1+$G519,IF($B519="6236",1+$H519,IF(OR($B519="621",$B519="604",$B519="6063"),$N519*(1-$L519),IF(OR($B519="6411",$B519="6413",$B519="6414",$B519="645"),(1+$J519)*(1+$K519),IF(OR($B519="613",$B519="615",$B519="616",$B519="6226",$B519="625",$B519="626",$B519="6281"),(1+$I519)*(1-$L519)*(1+$M519),IF(OR($B519="6331",$B519="63511",$B519="6333"),(1+$I519)*(1-$L519),IF($B519="6811",1+$I519,1)))))))))</f>
        <v/>
      </c>
      <c r="P519">
        <f>IF($A519="","",IF($E519=1,$F519*$O519,PNL!G519))</f>
        <v/>
      </c>
      <c r="T519">
        <f>IF($A519="","",IF($E519=1,IF(OR($B519="7062",$B519="706",$B519="708"),$P519,IF(AND(LEFT($B519,1)="6",$B519&lt;&gt;"6811"),-$P519,0)),0))</f>
        <v/>
      </c>
    </row>
    <row r="520">
      <c r="A520">
        <f>IF(PNL!A520="","",PNL!A520)</f>
        <v/>
      </c>
      <c r="B520">
        <f>IF(PNL!B520="","",PNL!B520)</f>
        <v/>
      </c>
      <c r="C520">
        <f>IF(PNL!C520="","",PNL!C520)</f>
        <v/>
      </c>
      <c r="D520">
        <f>IF(PNL!D520="","",PNL!D520)</f>
        <v/>
      </c>
      <c r="E520">
        <f>IF($A520="","",IF(AND($C520="2027",OR($D520="V01",$D520="V02",$D520="V03")),1,0))</f>
        <v/>
      </c>
      <c r="F520">
        <f>IF($A520="","",IF($E520=1,SUMIFS(Comptabilité!$F$1:$F$675,Comptabilité!$A$1:$A$675,$A520,Comptabilité!$B$1:$B$675,$B520,Comptabilité!$C$1:$C$675,"2026"),0))</f>
        <v/>
      </c>
      <c r="G520">
        <f>IF($A520="","",IF($D520="V01",Cadrage!$C$22,IF($D520="V02",Cadrage!$D$22,Cadrage!$E$22)))</f>
        <v/>
      </c>
      <c r="H520">
        <f>IF($A520="","",IF($D520="V01",Cadrage!$C$23,IF($D520="V02",Cadrage!$D$23,Cadrage!$E$23)))</f>
        <v/>
      </c>
      <c r="I520">
        <f>IF($A520="","",IF($D520="V01",Cadrage!$C$31,IF($D520="V02",Cadrage!$D$31,Cadrage!$E$31)))</f>
        <v/>
      </c>
      <c r="J520">
        <f>IF($A520="","",IF($D520="V01",Cadrage!$C$32,IF($D520="V02",Cadrage!$D$32,Cadrage!$E$32)))</f>
        <v/>
      </c>
      <c r="K520">
        <f>IF($A520="","",IF($D520="V01",Cadrage!$C$33,IF($D520="V02",Cadrage!$D$33,Cadrage!$E$33)))</f>
        <v/>
      </c>
      <c r="L520">
        <f>IF($A520="","",IF($D520="V01",Cadrage!$C$34,IF($D520="V02",Cadrage!$D$34,Cadrage!$E$34)))</f>
        <v/>
      </c>
      <c r="M520">
        <f>IF($A520="","",IF($D520="V01",Cadrage!$C$35,IF($D520="V02",Cadrage!$D$35,Cadrage!$E$35)))</f>
        <v/>
      </c>
      <c r="N520">
        <f>IF($A520="","",IF($D520="V01",$R$2,IF($D520="V02",$R$3,$R$4)))</f>
        <v/>
      </c>
      <c r="O520">
        <f>IF($A520="","",IF(OR($B520="7062",$B520="706",$B520="708"),$N520,IF($B520="6231",1+$G520,IF($B520="6236",1+$H520,IF(OR($B520="621",$B520="604",$B520="6063"),$N520*(1-$L520),IF(OR($B520="6411",$B520="6413",$B520="6414",$B520="645"),(1+$J520)*(1+$K520),IF(OR($B520="613",$B520="615",$B520="616",$B520="6226",$B520="625",$B520="626",$B520="6281"),(1+$I520)*(1-$L520)*(1+$M520),IF(OR($B520="6331",$B520="63511",$B520="6333"),(1+$I520)*(1-$L520),IF($B520="6811",1+$I520,1)))))))))</f>
        <v/>
      </c>
      <c r="P520">
        <f>IF($A520="","",IF($E520=1,$F520*$O520,PNL!G520))</f>
        <v/>
      </c>
      <c r="T520">
        <f>IF($A520="","",IF($E520=1,IF(OR($B520="7062",$B520="706",$B520="708"),$P520,IF(AND(LEFT($B520,1)="6",$B520&lt;&gt;"6811"),-$P520,0)),0))</f>
        <v/>
      </c>
    </row>
    <row r="521">
      <c r="A521">
        <f>IF(PNL!A521="","",PNL!A521)</f>
        <v/>
      </c>
      <c r="B521">
        <f>IF(PNL!B521="","",PNL!B521)</f>
        <v/>
      </c>
      <c r="C521">
        <f>IF(PNL!C521="","",PNL!C521)</f>
        <v/>
      </c>
      <c r="D521">
        <f>IF(PNL!D521="","",PNL!D521)</f>
        <v/>
      </c>
      <c r="E521">
        <f>IF($A521="","",IF(AND($C521="2027",OR($D521="V01",$D521="V02",$D521="V03")),1,0))</f>
        <v/>
      </c>
      <c r="F521">
        <f>IF($A521="","",IF($E521=1,SUMIFS(Comptabilité!$F$1:$F$675,Comptabilité!$A$1:$A$675,$A521,Comptabilité!$B$1:$B$675,$B521,Comptabilité!$C$1:$C$675,"2026"),0))</f>
        <v/>
      </c>
      <c r="G521">
        <f>IF($A521="","",IF($D521="V01",Cadrage!$C$22,IF($D521="V02",Cadrage!$D$22,Cadrage!$E$22)))</f>
        <v/>
      </c>
      <c r="H521">
        <f>IF($A521="","",IF($D521="V01",Cadrage!$C$23,IF($D521="V02",Cadrage!$D$23,Cadrage!$E$23)))</f>
        <v/>
      </c>
      <c r="I521">
        <f>IF($A521="","",IF($D521="V01",Cadrage!$C$31,IF($D521="V02",Cadrage!$D$31,Cadrage!$E$31)))</f>
        <v/>
      </c>
      <c r="J521">
        <f>IF($A521="","",IF($D521="V01",Cadrage!$C$32,IF($D521="V02",Cadrage!$D$32,Cadrage!$E$32)))</f>
        <v/>
      </c>
      <c r="K521">
        <f>IF($A521="","",IF($D521="V01",Cadrage!$C$33,IF($D521="V02",Cadrage!$D$33,Cadrage!$E$33)))</f>
        <v/>
      </c>
      <c r="L521">
        <f>IF($A521="","",IF($D521="V01",Cadrage!$C$34,IF($D521="V02",Cadrage!$D$34,Cadrage!$E$34)))</f>
        <v/>
      </c>
      <c r="M521">
        <f>IF($A521="","",IF($D521="V01",Cadrage!$C$35,IF($D521="V02",Cadrage!$D$35,Cadrage!$E$35)))</f>
        <v/>
      </c>
      <c r="N521">
        <f>IF($A521="","",IF($D521="V01",$R$2,IF($D521="V02",$R$3,$R$4)))</f>
        <v/>
      </c>
      <c r="O521">
        <f>IF($A521="","",IF(OR($B521="7062",$B521="706",$B521="708"),$N521,IF($B521="6231",1+$G521,IF($B521="6236",1+$H521,IF(OR($B521="621",$B521="604",$B521="6063"),$N521*(1-$L521),IF(OR($B521="6411",$B521="6413",$B521="6414",$B521="645"),(1+$J521)*(1+$K521),IF(OR($B521="613",$B521="615",$B521="616",$B521="6226",$B521="625",$B521="626",$B521="6281"),(1+$I521)*(1-$L521)*(1+$M521),IF(OR($B521="6331",$B521="63511",$B521="6333"),(1+$I521)*(1-$L521),IF($B521="6811",1+$I521,1)))))))))</f>
        <v/>
      </c>
      <c r="P521">
        <f>IF($A521="","",IF($E521=1,$F521*$O521,PNL!G521))</f>
        <v/>
      </c>
      <c r="T521">
        <f>IF($A521="","",IF($E521=1,IF(OR($B521="7062",$B521="706",$B521="708"),$P521,IF(AND(LEFT($B521,1)="6",$B521&lt;&gt;"6811"),-$P521,0)),0))</f>
        <v/>
      </c>
    </row>
    <row r="522">
      <c r="A522">
        <f>IF(PNL!A522="","",PNL!A522)</f>
        <v/>
      </c>
      <c r="B522">
        <f>IF(PNL!B522="","",PNL!B522)</f>
        <v/>
      </c>
      <c r="C522">
        <f>IF(PNL!C522="","",PNL!C522)</f>
        <v/>
      </c>
      <c r="D522">
        <f>IF(PNL!D522="","",PNL!D522)</f>
        <v/>
      </c>
      <c r="E522">
        <f>IF($A522="","",IF(AND($C522="2027",OR($D522="V01",$D522="V02",$D522="V03")),1,0))</f>
        <v/>
      </c>
      <c r="F522">
        <f>IF($A522="","",IF($E522=1,SUMIFS(Comptabilité!$F$1:$F$675,Comptabilité!$A$1:$A$675,$A522,Comptabilité!$B$1:$B$675,$B522,Comptabilité!$C$1:$C$675,"2026"),0))</f>
        <v/>
      </c>
      <c r="G522">
        <f>IF($A522="","",IF($D522="V01",Cadrage!$C$22,IF($D522="V02",Cadrage!$D$22,Cadrage!$E$22)))</f>
        <v/>
      </c>
      <c r="H522">
        <f>IF($A522="","",IF($D522="V01",Cadrage!$C$23,IF($D522="V02",Cadrage!$D$23,Cadrage!$E$23)))</f>
        <v/>
      </c>
      <c r="I522">
        <f>IF($A522="","",IF($D522="V01",Cadrage!$C$31,IF($D522="V02",Cadrage!$D$31,Cadrage!$E$31)))</f>
        <v/>
      </c>
      <c r="J522">
        <f>IF($A522="","",IF($D522="V01",Cadrage!$C$32,IF($D522="V02",Cadrage!$D$32,Cadrage!$E$32)))</f>
        <v/>
      </c>
      <c r="K522">
        <f>IF($A522="","",IF($D522="V01",Cadrage!$C$33,IF($D522="V02",Cadrage!$D$33,Cadrage!$E$33)))</f>
        <v/>
      </c>
      <c r="L522">
        <f>IF($A522="","",IF($D522="V01",Cadrage!$C$34,IF($D522="V02",Cadrage!$D$34,Cadrage!$E$34)))</f>
        <v/>
      </c>
      <c r="M522">
        <f>IF($A522="","",IF($D522="V01",Cadrage!$C$35,IF($D522="V02",Cadrage!$D$35,Cadrage!$E$35)))</f>
        <v/>
      </c>
      <c r="N522">
        <f>IF($A522="","",IF($D522="V01",$R$2,IF($D522="V02",$R$3,$R$4)))</f>
        <v/>
      </c>
      <c r="O522">
        <f>IF($A522="","",IF(OR($B522="7062",$B522="706",$B522="708"),$N522,IF($B522="6231",1+$G522,IF($B522="6236",1+$H522,IF(OR($B522="621",$B522="604",$B522="6063"),$N522*(1-$L522),IF(OR($B522="6411",$B522="6413",$B522="6414",$B522="645"),(1+$J522)*(1+$K522),IF(OR($B522="613",$B522="615",$B522="616",$B522="6226",$B522="625",$B522="626",$B522="6281"),(1+$I522)*(1-$L522)*(1+$M522),IF(OR($B522="6331",$B522="63511",$B522="6333"),(1+$I522)*(1-$L522),IF($B522="6811",1+$I522,1)))))))))</f>
        <v/>
      </c>
      <c r="P522">
        <f>IF($A522="","",IF($E522=1,$F522*$O522,PNL!G522))</f>
        <v/>
      </c>
      <c r="T522">
        <f>IF($A522="","",IF($E522=1,IF(OR($B522="7062",$B522="706",$B522="708"),$P522,IF(AND(LEFT($B522,1)="6",$B522&lt;&gt;"6811"),-$P522,0)),0))</f>
        <v/>
      </c>
    </row>
    <row r="523">
      <c r="A523">
        <f>IF(PNL!A523="","",PNL!A523)</f>
        <v/>
      </c>
      <c r="B523">
        <f>IF(PNL!B523="","",PNL!B523)</f>
        <v/>
      </c>
      <c r="C523">
        <f>IF(PNL!C523="","",PNL!C523)</f>
        <v/>
      </c>
      <c r="D523">
        <f>IF(PNL!D523="","",PNL!D523)</f>
        <v/>
      </c>
      <c r="E523">
        <f>IF($A523="","",IF(AND($C523="2027",OR($D523="V01",$D523="V02",$D523="V03")),1,0))</f>
        <v/>
      </c>
      <c r="F523">
        <f>IF($A523="","",IF($E523=1,SUMIFS(Comptabilité!$F$1:$F$675,Comptabilité!$A$1:$A$675,$A523,Comptabilité!$B$1:$B$675,$B523,Comptabilité!$C$1:$C$675,"2026"),0))</f>
        <v/>
      </c>
      <c r="G523">
        <f>IF($A523="","",IF($D523="V01",Cadrage!$C$22,IF($D523="V02",Cadrage!$D$22,Cadrage!$E$22)))</f>
        <v/>
      </c>
      <c r="H523">
        <f>IF($A523="","",IF($D523="V01",Cadrage!$C$23,IF($D523="V02",Cadrage!$D$23,Cadrage!$E$23)))</f>
        <v/>
      </c>
      <c r="I523">
        <f>IF($A523="","",IF($D523="V01",Cadrage!$C$31,IF($D523="V02",Cadrage!$D$31,Cadrage!$E$31)))</f>
        <v/>
      </c>
      <c r="J523">
        <f>IF($A523="","",IF($D523="V01",Cadrage!$C$32,IF($D523="V02",Cadrage!$D$32,Cadrage!$E$32)))</f>
        <v/>
      </c>
      <c r="K523">
        <f>IF($A523="","",IF($D523="V01",Cadrage!$C$33,IF($D523="V02",Cadrage!$D$33,Cadrage!$E$33)))</f>
        <v/>
      </c>
      <c r="L523">
        <f>IF($A523="","",IF($D523="V01",Cadrage!$C$34,IF($D523="V02",Cadrage!$D$34,Cadrage!$E$34)))</f>
        <v/>
      </c>
      <c r="M523">
        <f>IF($A523="","",IF($D523="V01",Cadrage!$C$35,IF($D523="V02",Cadrage!$D$35,Cadrage!$E$35)))</f>
        <v/>
      </c>
      <c r="N523">
        <f>IF($A523="","",IF($D523="V01",$R$2,IF($D523="V02",$R$3,$R$4)))</f>
        <v/>
      </c>
      <c r="O523">
        <f>IF($A523="","",IF(OR($B523="7062",$B523="706",$B523="708"),$N523,IF($B523="6231",1+$G523,IF($B523="6236",1+$H523,IF(OR($B523="621",$B523="604",$B523="6063"),$N523*(1-$L523),IF(OR($B523="6411",$B523="6413",$B523="6414",$B523="645"),(1+$J523)*(1+$K523),IF(OR($B523="613",$B523="615",$B523="616",$B523="6226",$B523="625",$B523="626",$B523="6281"),(1+$I523)*(1-$L523)*(1+$M523),IF(OR($B523="6331",$B523="63511",$B523="6333"),(1+$I523)*(1-$L523),IF($B523="6811",1+$I523,1)))))))))</f>
        <v/>
      </c>
      <c r="P523">
        <f>IF($A523="","",IF($E523=1,$F523*$O523,PNL!G523))</f>
        <v/>
      </c>
      <c r="T523">
        <f>IF($A523="","",IF($E523=1,IF(OR($B523="7062",$B523="706",$B523="708"),$P523,IF(AND(LEFT($B523,1)="6",$B523&lt;&gt;"6811"),-$P523,0)),0))</f>
        <v/>
      </c>
    </row>
    <row r="524">
      <c r="A524">
        <f>IF(PNL!A524="","",PNL!A524)</f>
        <v/>
      </c>
      <c r="B524">
        <f>IF(PNL!B524="","",PNL!B524)</f>
        <v/>
      </c>
      <c r="C524">
        <f>IF(PNL!C524="","",PNL!C524)</f>
        <v/>
      </c>
      <c r="D524">
        <f>IF(PNL!D524="","",PNL!D524)</f>
        <v/>
      </c>
      <c r="E524">
        <f>IF($A524="","",IF(AND($C524="2027",OR($D524="V01",$D524="V02",$D524="V03")),1,0))</f>
        <v/>
      </c>
      <c r="F524">
        <f>IF($A524="","",IF($E524=1,SUMIFS(Comptabilité!$F$1:$F$675,Comptabilité!$A$1:$A$675,$A524,Comptabilité!$B$1:$B$675,$B524,Comptabilité!$C$1:$C$675,"2026"),0))</f>
        <v/>
      </c>
      <c r="G524">
        <f>IF($A524="","",IF($D524="V01",Cadrage!$C$22,IF($D524="V02",Cadrage!$D$22,Cadrage!$E$22)))</f>
        <v/>
      </c>
      <c r="H524">
        <f>IF($A524="","",IF($D524="V01",Cadrage!$C$23,IF($D524="V02",Cadrage!$D$23,Cadrage!$E$23)))</f>
        <v/>
      </c>
      <c r="I524">
        <f>IF($A524="","",IF($D524="V01",Cadrage!$C$31,IF($D524="V02",Cadrage!$D$31,Cadrage!$E$31)))</f>
        <v/>
      </c>
      <c r="J524">
        <f>IF($A524="","",IF($D524="V01",Cadrage!$C$32,IF($D524="V02",Cadrage!$D$32,Cadrage!$E$32)))</f>
        <v/>
      </c>
      <c r="K524">
        <f>IF($A524="","",IF($D524="V01",Cadrage!$C$33,IF($D524="V02",Cadrage!$D$33,Cadrage!$E$33)))</f>
        <v/>
      </c>
      <c r="L524">
        <f>IF($A524="","",IF($D524="V01",Cadrage!$C$34,IF($D524="V02",Cadrage!$D$34,Cadrage!$E$34)))</f>
        <v/>
      </c>
      <c r="M524">
        <f>IF($A524="","",IF($D524="V01",Cadrage!$C$35,IF($D524="V02",Cadrage!$D$35,Cadrage!$E$35)))</f>
        <v/>
      </c>
      <c r="N524">
        <f>IF($A524="","",IF($D524="V01",$R$2,IF($D524="V02",$R$3,$R$4)))</f>
        <v/>
      </c>
      <c r="O524">
        <f>IF($A524="","",IF(OR($B524="7062",$B524="706",$B524="708"),$N524,IF($B524="6231",1+$G524,IF($B524="6236",1+$H524,IF(OR($B524="621",$B524="604",$B524="6063"),$N524*(1-$L524),IF(OR($B524="6411",$B524="6413",$B524="6414",$B524="645"),(1+$J524)*(1+$K524),IF(OR($B524="613",$B524="615",$B524="616",$B524="6226",$B524="625",$B524="626",$B524="6281"),(1+$I524)*(1-$L524)*(1+$M524),IF(OR($B524="6331",$B524="63511",$B524="6333"),(1+$I524)*(1-$L524),IF($B524="6811",1+$I524,1)))))))))</f>
        <v/>
      </c>
      <c r="P524">
        <f>IF($A524="","",IF($E524=1,$F524*$O524,PNL!G524))</f>
        <v/>
      </c>
      <c r="T524">
        <f>IF($A524="","",IF($E524=1,IF(OR($B524="7062",$B524="706",$B524="708"),$P524,IF(AND(LEFT($B524,1)="6",$B524&lt;&gt;"6811"),-$P524,0)),0))</f>
        <v/>
      </c>
    </row>
    <row r="525">
      <c r="A525">
        <f>IF(PNL!A525="","",PNL!A525)</f>
        <v/>
      </c>
      <c r="B525">
        <f>IF(PNL!B525="","",PNL!B525)</f>
        <v/>
      </c>
      <c r="C525">
        <f>IF(PNL!C525="","",PNL!C525)</f>
        <v/>
      </c>
      <c r="D525">
        <f>IF(PNL!D525="","",PNL!D525)</f>
        <v/>
      </c>
      <c r="E525">
        <f>IF($A525="","",IF(AND($C525="2027",OR($D525="V01",$D525="V02",$D525="V03")),1,0))</f>
        <v/>
      </c>
      <c r="F525">
        <f>IF($A525="","",IF($E525=1,SUMIFS(Comptabilité!$F$1:$F$675,Comptabilité!$A$1:$A$675,$A525,Comptabilité!$B$1:$B$675,$B525,Comptabilité!$C$1:$C$675,"2026"),0))</f>
        <v/>
      </c>
      <c r="G525">
        <f>IF($A525="","",IF($D525="V01",Cadrage!$C$22,IF($D525="V02",Cadrage!$D$22,Cadrage!$E$22)))</f>
        <v/>
      </c>
      <c r="H525">
        <f>IF($A525="","",IF($D525="V01",Cadrage!$C$23,IF($D525="V02",Cadrage!$D$23,Cadrage!$E$23)))</f>
        <v/>
      </c>
      <c r="I525">
        <f>IF($A525="","",IF($D525="V01",Cadrage!$C$31,IF($D525="V02",Cadrage!$D$31,Cadrage!$E$31)))</f>
        <v/>
      </c>
      <c r="J525">
        <f>IF($A525="","",IF($D525="V01",Cadrage!$C$32,IF($D525="V02",Cadrage!$D$32,Cadrage!$E$32)))</f>
        <v/>
      </c>
      <c r="K525">
        <f>IF($A525="","",IF($D525="V01",Cadrage!$C$33,IF($D525="V02",Cadrage!$D$33,Cadrage!$E$33)))</f>
        <v/>
      </c>
      <c r="L525">
        <f>IF($A525="","",IF($D525="V01",Cadrage!$C$34,IF($D525="V02",Cadrage!$D$34,Cadrage!$E$34)))</f>
        <v/>
      </c>
      <c r="M525">
        <f>IF($A525="","",IF($D525="V01",Cadrage!$C$35,IF($D525="V02",Cadrage!$D$35,Cadrage!$E$35)))</f>
        <v/>
      </c>
      <c r="N525">
        <f>IF($A525="","",IF($D525="V01",$R$2,IF($D525="V02",$R$3,$R$4)))</f>
        <v/>
      </c>
      <c r="O525">
        <f>IF($A525="","",IF(OR($B525="7062",$B525="706",$B525="708"),$N525,IF($B525="6231",1+$G525,IF($B525="6236",1+$H525,IF(OR($B525="621",$B525="604",$B525="6063"),$N525*(1-$L525),IF(OR($B525="6411",$B525="6413",$B525="6414",$B525="645"),(1+$J525)*(1+$K525),IF(OR($B525="613",$B525="615",$B525="616",$B525="6226",$B525="625",$B525="626",$B525="6281"),(1+$I525)*(1-$L525)*(1+$M525),IF(OR($B525="6331",$B525="63511",$B525="6333"),(1+$I525)*(1-$L525),IF($B525="6811",1+$I525,1)))))))))</f>
        <v/>
      </c>
      <c r="P525">
        <f>IF($A525="","",IF($E525=1,$F525*$O525,PNL!G525))</f>
        <v/>
      </c>
      <c r="T525">
        <f>IF($A525="","",IF($E525=1,IF(OR($B525="7062",$B525="706",$B525="708"),$P525,IF(AND(LEFT($B525,1)="6",$B525&lt;&gt;"6811"),-$P525,0)),0))</f>
        <v/>
      </c>
    </row>
    <row r="526">
      <c r="A526">
        <f>IF(PNL!A526="","",PNL!A526)</f>
        <v/>
      </c>
      <c r="B526">
        <f>IF(PNL!B526="","",PNL!B526)</f>
        <v/>
      </c>
      <c r="C526">
        <f>IF(PNL!C526="","",PNL!C526)</f>
        <v/>
      </c>
      <c r="D526">
        <f>IF(PNL!D526="","",PNL!D526)</f>
        <v/>
      </c>
      <c r="E526">
        <f>IF($A526="","",IF(AND($C526="2027",OR($D526="V01",$D526="V02",$D526="V03")),1,0))</f>
        <v/>
      </c>
      <c r="F526">
        <f>IF($A526="","",IF($E526=1,SUMIFS(Comptabilité!$F$1:$F$675,Comptabilité!$A$1:$A$675,$A526,Comptabilité!$B$1:$B$675,$B526,Comptabilité!$C$1:$C$675,"2026"),0))</f>
        <v/>
      </c>
      <c r="G526">
        <f>IF($A526="","",IF($D526="V01",Cadrage!$C$22,IF($D526="V02",Cadrage!$D$22,Cadrage!$E$22)))</f>
        <v/>
      </c>
      <c r="H526">
        <f>IF($A526="","",IF($D526="V01",Cadrage!$C$23,IF($D526="V02",Cadrage!$D$23,Cadrage!$E$23)))</f>
        <v/>
      </c>
      <c r="I526">
        <f>IF($A526="","",IF($D526="V01",Cadrage!$C$31,IF($D526="V02",Cadrage!$D$31,Cadrage!$E$31)))</f>
        <v/>
      </c>
      <c r="J526">
        <f>IF($A526="","",IF($D526="V01",Cadrage!$C$32,IF($D526="V02",Cadrage!$D$32,Cadrage!$E$32)))</f>
        <v/>
      </c>
      <c r="K526">
        <f>IF($A526="","",IF($D526="V01",Cadrage!$C$33,IF($D526="V02",Cadrage!$D$33,Cadrage!$E$33)))</f>
        <v/>
      </c>
      <c r="L526">
        <f>IF($A526="","",IF($D526="V01",Cadrage!$C$34,IF($D526="V02",Cadrage!$D$34,Cadrage!$E$34)))</f>
        <v/>
      </c>
      <c r="M526">
        <f>IF($A526="","",IF($D526="V01",Cadrage!$C$35,IF($D526="V02",Cadrage!$D$35,Cadrage!$E$35)))</f>
        <v/>
      </c>
      <c r="N526">
        <f>IF($A526="","",IF($D526="V01",$R$2,IF($D526="V02",$R$3,$R$4)))</f>
        <v/>
      </c>
      <c r="O526">
        <f>IF($A526="","",IF(OR($B526="7062",$B526="706",$B526="708"),$N526,IF($B526="6231",1+$G526,IF($B526="6236",1+$H526,IF(OR($B526="621",$B526="604",$B526="6063"),$N526*(1-$L526),IF(OR($B526="6411",$B526="6413",$B526="6414",$B526="645"),(1+$J526)*(1+$K526),IF(OR($B526="613",$B526="615",$B526="616",$B526="6226",$B526="625",$B526="626",$B526="6281"),(1+$I526)*(1-$L526)*(1+$M526),IF(OR($B526="6331",$B526="63511",$B526="6333"),(1+$I526)*(1-$L526),IF($B526="6811",1+$I526,1)))))))))</f>
        <v/>
      </c>
      <c r="P526">
        <f>IF($A526="","",IF($E526=1,$F526*$O526,PNL!G526))</f>
        <v/>
      </c>
      <c r="T526">
        <f>IF($A526="","",IF($E526=1,IF(OR($B526="7062",$B526="706",$B526="708"),$P526,IF(AND(LEFT($B526,1)="6",$B526&lt;&gt;"6811"),-$P526,0)),0))</f>
        <v/>
      </c>
    </row>
    <row r="527">
      <c r="A527">
        <f>IF(PNL!A527="","",PNL!A527)</f>
        <v/>
      </c>
      <c r="B527">
        <f>IF(PNL!B527="","",PNL!B527)</f>
        <v/>
      </c>
      <c r="C527">
        <f>IF(PNL!C527="","",PNL!C527)</f>
        <v/>
      </c>
      <c r="D527">
        <f>IF(PNL!D527="","",PNL!D527)</f>
        <v/>
      </c>
      <c r="E527">
        <f>IF($A527="","",IF(AND($C527="2027",OR($D527="V01",$D527="V02",$D527="V03")),1,0))</f>
        <v/>
      </c>
      <c r="F527">
        <f>IF($A527="","",IF($E527=1,SUMIFS(Comptabilité!$F$1:$F$675,Comptabilité!$A$1:$A$675,$A527,Comptabilité!$B$1:$B$675,$B527,Comptabilité!$C$1:$C$675,"2026"),0))</f>
        <v/>
      </c>
      <c r="G527">
        <f>IF($A527="","",IF($D527="V01",Cadrage!$C$22,IF($D527="V02",Cadrage!$D$22,Cadrage!$E$22)))</f>
        <v/>
      </c>
      <c r="H527">
        <f>IF($A527="","",IF($D527="V01",Cadrage!$C$23,IF($D527="V02",Cadrage!$D$23,Cadrage!$E$23)))</f>
        <v/>
      </c>
      <c r="I527">
        <f>IF($A527="","",IF($D527="V01",Cadrage!$C$31,IF($D527="V02",Cadrage!$D$31,Cadrage!$E$31)))</f>
        <v/>
      </c>
      <c r="J527">
        <f>IF($A527="","",IF($D527="V01",Cadrage!$C$32,IF($D527="V02",Cadrage!$D$32,Cadrage!$E$32)))</f>
        <v/>
      </c>
      <c r="K527">
        <f>IF($A527="","",IF($D527="V01",Cadrage!$C$33,IF($D527="V02",Cadrage!$D$33,Cadrage!$E$33)))</f>
        <v/>
      </c>
      <c r="L527">
        <f>IF($A527="","",IF($D527="V01",Cadrage!$C$34,IF($D527="V02",Cadrage!$D$34,Cadrage!$E$34)))</f>
        <v/>
      </c>
      <c r="M527">
        <f>IF($A527="","",IF($D527="V01",Cadrage!$C$35,IF($D527="V02",Cadrage!$D$35,Cadrage!$E$35)))</f>
        <v/>
      </c>
      <c r="N527">
        <f>IF($A527="","",IF($D527="V01",$R$2,IF($D527="V02",$R$3,$R$4)))</f>
        <v/>
      </c>
      <c r="O527">
        <f>IF($A527="","",IF(OR($B527="7062",$B527="706",$B527="708"),$N527,IF($B527="6231",1+$G527,IF($B527="6236",1+$H527,IF(OR($B527="621",$B527="604",$B527="6063"),$N527*(1-$L527),IF(OR($B527="6411",$B527="6413",$B527="6414",$B527="645"),(1+$J527)*(1+$K527),IF(OR($B527="613",$B527="615",$B527="616",$B527="6226",$B527="625",$B527="626",$B527="6281"),(1+$I527)*(1-$L527)*(1+$M527),IF(OR($B527="6331",$B527="63511",$B527="6333"),(1+$I527)*(1-$L527),IF($B527="6811",1+$I527,1)))))))))</f>
        <v/>
      </c>
      <c r="P527">
        <f>IF($A527="","",IF($E527=1,$F527*$O527,PNL!G527))</f>
        <v/>
      </c>
      <c r="T527">
        <f>IF($A527="","",IF($E527=1,IF(OR($B527="7062",$B527="706",$B527="708"),$P527,IF(AND(LEFT($B527,1)="6",$B527&lt;&gt;"6811"),-$P527,0)),0))</f>
        <v/>
      </c>
    </row>
    <row r="528">
      <c r="A528">
        <f>IF(PNL!A528="","",PNL!A528)</f>
        <v/>
      </c>
      <c r="B528">
        <f>IF(PNL!B528="","",PNL!B528)</f>
        <v/>
      </c>
      <c r="C528">
        <f>IF(PNL!C528="","",PNL!C528)</f>
        <v/>
      </c>
      <c r="D528">
        <f>IF(PNL!D528="","",PNL!D528)</f>
        <v/>
      </c>
      <c r="E528">
        <f>IF($A528="","",IF(AND($C528="2027",OR($D528="V01",$D528="V02",$D528="V03")),1,0))</f>
        <v/>
      </c>
      <c r="F528">
        <f>IF($A528="","",IF($E528=1,SUMIFS(Comptabilité!$F$1:$F$675,Comptabilité!$A$1:$A$675,$A528,Comptabilité!$B$1:$B$675,$B528,Comptabilité!$C$1:$C$675,"2026"),0))</f>
        <v/>
      </c>
      <c r="G528">
        <f>IF($A528="","",IF($D528="V01",Cadrage!$C$22,IF($D528="V02",Cadrage!$D$22,Cadrage!$E$22)))</f>
        <v/>
      </c>
      <c r="H528">
        <f>IF($A528="","",IF($D528="V01",Cadrage!$C$23,IF($D528="V02",Cadrage!$D$23,Cadrage!$E$23)))</f>
        <v/>
      </c>
      <c r="I528">
        <f>IF($A528="","",IF($D528="V01",Cadrage!$C$31,IF($D528="V02",Cadrage!$D$31,Cadrage!$E$31)))</f>
        <v/>
      </c>
      <c r="J528">
        <f>IF($A528="","",IF($D528="V01",Cadrage!$C$32,IF($D528="V02",Cadrage!$D$32,Cadrage!$E$32)))</f>
        <v/>
      </c>
      <c r="K528">
        <f>IF($A528="","",IF($D528="V01",Cadrage!$C$33,IF($D528="V02",Cadrage!$D$33,Cadrage!$E$33)))</f>
        <v/>
      </c>
      <c r="L528">
        <f>IF($A528="","",IF($D528="V01",Cadrage!$C$34,IF($D528="V02",Cadrage!$D$34,Cadrage!$E$34)))</f>
        <v/>
      </c>
      <c r="M528">
        <f>IF($A528="","",IF($D528="V01",Cadrage!$C$35,IF($D528="V02",Cadrage!$D$35,Cadrage!$E$35)))</f>
        <v/>
      </c>
      <c r="N528">
        <f>IF($A528="","",IF($D528="V01",$R$2,IF($D528="V02",$R$3,$R$4)))</f>
        <v/>
      </c>
      <c r="O528">
        <f>IF($A528="","",IF(OR($B528="7062",$B528="706",$B528="708"),$N528,IF($B528="6231",1+$G528,IF($B528="6236",1+$H528,IF(OR($B528="621",$B528="604",$B528="6063"),$N528*(1-$L528),IF(OR($B528="6411",$B528="6413",$B528="6414",$B528="645"),(1+$J528)*(1+$K528),IF(OR($B528="613",$B528="615",$B528="616",$B528="6226",$B528="625",$B528="626",$B528="6281"),(1+$I528)*(1-$L528)*(1+$M528),IF(OR($B528="6331",$B528="63511",$B528="6333"),(1+$I528)*(1-$L528),IF($B528="6811",1+$I528,1)))))))))</f>
        <v/>
      </c>
      <c r="P528">
        <f>IF($A528="","",IF($E528=1,$F528*$O528,PNL!G528))</f>
        <v/>
      </c>
      <c r="T528">
        <f>IF($A528="","",IF($E528=1,IF(OR($B528="7062",$B528="706",$B528="708"),$P528,IF(AND(LEFT($B528,1)="6",$B528&lt;&gt;"6811"),-$P528,0)),0))</f>
        <v/>
      </c>
    </row>
    <row r="529">
      <c r="A529">
        <f>IF(PNL!A529="","",PNL!A529)</f>
        <v/>
      </c>
      <c r="B529">
        <f>IF(PNL!B529="","",PNL!B529)</f>
        <v/>
      </c>
      <c r="C529">
        <f>IF(PNL!C529="","",PNL!C529)</f>
        <v/>
      </c>
      <c r="D529">
        <f>IF(PNL!D529="","",PNL!D529)</f>
        <v/>
      </c>
      <c r="E529">
        <f>IF($A529="","",IF(AND($C529="2027",OR($D529="V01",$D529="V02",$D529="V03")),1,0))</f>
        <v/>
      </c>
      <c r="F529">
        <f>IF($A529="","",IF($E529=1,SUMIFS(Comptabilité!$F$1:$F$675,Comptabilité!$A$1:$A$675,$A529,Comptabilité!$B$1:$B$675,$B529,Comptabilité!$C$1:$C$675,"2026"),0))</f>
        <v/>
      </c>
      <c r="G529">
        <f>IF($A529="","",IF($D529="V01",Cadrage!$C$22,IF($D529="V02",Cadrage!$D$22,Cadrage!$E$22)))</f>
        <v/>
      </c>
      <c r="H529">
        <f>IF($A529="","",IF($D529="V01",Cadrage!$C$23,IF($D529="V02",Cadrage!$D$23,Cadrage!$E$23)))</f>
        <v/>
      </c>
      <c r="I529">
        <f>IF($A529="","",IF($D529="V01",Cadrage!$C$31,IF($D529="V02",Cadrage!$D$31,Cadrage!$E$31)))</f>
        <v/>
      </c>
      <c r="J529">
        <f>IF($A529="","",IF($D529="V01",Cadrage!$C$32,IF($D529="V02",Cadrage!$D$32,Cadrage!$E$32)))</f>
        <v/>
      </c>
      <c r="K529">
        <f>IF($A529="","",IF($D529="V01",Cadrage!$C$33,IF($D529="V02",Cadrage!$D$33,Cadrage!$E$33)))</f>
        <v/>
      </c>
      <c r="L529">
        <f>IF($A529="","",IF($D529="V01",Cadrage!$C$34,IF($D529="V02",Cadrage!$D$34,Cadrage!$E$34)))</f>
        <v/>
      </c>
      <c r="M529">
        <f>IF($A529="","",IF($D529="V01",Cadrage!$C$35,IF($D529="V02",Cadrage!$D$35,Cadrage!$E$35)))</f>
        <v/>
      </c>
      <c r="N529">
        <f>IF($A529="","",IF($D529="V01",$R$2,IF($D529="V02",$R$3,$R$4)))</f>
        <v/>
      </c>
      <c r="O529">
        <f>IF($A529="","",IF(OR($B529="7062",$B529="706",$B529="708"),$N529,IF($B529="6231",1+$G529,IF($B529="6236",1+$H529,IF(OR($B529="621",$B529="604",$B529="6063"),$N529*(1-$L529),IF(OR($B529="6411",$B529="6413",$B529="6414",$B529="645"),(1+$J529)*(1+$K529),IF(OR($B529="613",$B529="615",$B529="616",$B529="6226",$B529="625",$B529="626",$B529="6281"),(1+$I529)*(1-$L529)*(1+$M529),IF(OR($B529="6331",$B529="63511",$B529="6333"),(1+$I529)*(1-$L529),IF($B529="6811",1+$I529,1)))))))))</f>
        <v/>
      </c>
      <c r="P529">
        <f>IF($A529="","",IF($E529=1,$F529*$O529,PNL!G529))</f>
        <v/>
      </c>
      <c r="T529">
        <f>IF($A529="","",IF($E529=1,IF(OR($B529="7062",$B529="706",$B529="708"),$P529,IF(AND(LEFT($B529,1)="6",$B529&lt;&gt;"6811"),-$P529,0)),0))</f>
        <v/>
      </c>
    </row>
    <row r="530">
      <c r="A530">
        <f>IF(PNL!A530="","",PNL!A530)</f>
        <v/>
      </c>
      <c r="B530">
        <f>IF(PNL!B530="","",PNL!B530)</f>
        <v/>
      </c>
      <c r="C530">
        <f>IF(PNL!C530="","",PNL!C530)</f>
        <v/>
      </c>
      <c r="D530">
        <f>IF(PNL!D530="","",PNL!D530)</f>
        <v/>
      </c>
      <c r="E530">
        <f>IF($A530="","",IF(AND($C530="2027",OR($D530="V01",$D530="V02",$D530="V03")),1,0))</f>
        <v/>
      </c>
      <c r="F530">
        <f>IF($A530="","",IF($E530=1,SUMIFS(Comptabilité!$F$1:$F$675,Comptabilité!$A$1:$A$675,$A530,Comptabilité!$B$1:$B$675,$B530,Comptabilité!$C$1:$C$675,"2026"),0))</f>
        <v/>
      </c>
      <c r="G530">
        <f>IF($A530="","",IF($D530="V01",Cadrage!$C$22,IF($D530="V02",Cadrage!$D$22,Cadrage!$E$22)))</f>
        <v/>
      </c>
      <c r="H530">
        <f>IF($A530="","",IF($D530="V01",Cadrage!$C$23,IF($D530="V02",Cadrage!$D$23,Cadrage!$E$23)))</f>
        <v/>
      </c>
      <c r="I530">
        <f>IF($A530="","",IF($D530="V01",Cadrage!$C$31,IF($D530="V02",Cadrage!$D$31,Cadrage!$E$31)))</f>
        <v/>
      </c>
      <c r="J530">
        <f>IF($A530="","",IF($D530="V01",Cadrage!$C$32,IF($D530="V02",Cadrage!$D$32,Cadrage!$E$32)))</f>
        <v/>
      </c>
      <c r="K530">
        <f>IF($A530="","",IF($D530="V01",Cadrage!$C$33,IF($D530="V02",Cadrage!$D$33,Cadrage!$E$33)))</f>
        <v/>
      </c>
      <c r="L530">
        <f>IF($A530="","",IF($D530="V01",Cadrage!$C$34,IF($D530="V02",Cadrage!$D$34,Cadrage!$E$34)))</f>
        <v/>
      </c>
      <c r="M530">
        <f>IF($A530="","",IF($D530="V01",Cadrage!$C$35,IF($D530="V02",Cadrage!$D$35,Cadrage!$E$35)))</f>
        <v/>
      </c>
      <c r="N530">
        <f>IF($A530="","",IF($D530="V01",$R$2,IF($D530="V02",$R$3,$R$4)))</f>
        <v/>
      </c>
      <c r="O530">
        <f>IF($A530="","",IF(OR($B530="7062",$B530="706",$B530="708"),$N530,IF($B530="6231",1+$G530,IF($B530="6236",1+$H530,IF(OR($B530="621",$B530="604",$B530="6063"),$N530*(1-$L530),IF(OR($B530="6411",$B530="6413",$B530="6414",$B530="645"),(1+$J530)*(1+$K530),IF(OR($B530="613",$B530="615",$B530="616",$B530="6226",$B530="625",$B530="626",$B530="6281"),(1+$I530)*(1-$L530)*(1+$M530),IF(OR($B530="6331",$B530="63511",$B530="6333"),(1+$I530)*(1-$L530),IF($B530="6811",1+$I530,1)))))))))</f>
        <v/>
      </c>
      <c r="P530">
        <f>IF($A530="","",IF($E530=1,$F530*$O530,PNL!G530))</f>
        <v/>
      </c>
      <c r="T530">
        <f>IF($A530="","",IF($E530=1,IF(OR($B530="7062",$B530="706",$B530="708"),$P530,IF(AND(LEFT($B530,1)="6",$B530&lt;&gt;"6811"),-$P530,0)),0))</f>
        <v/>
      </c>
    </row>
    <row r="531">
      <c r="A531">
        <f>IF(PNL!A531="","",PNL!A531)</f>
        <v/>
      </c>
      <c r="B531">
        <f>IF(PNL!B531="","",PNL!B531)</f>
        <v/>
      </c>
      <c r="C531">
        <f>IF(PNL!C531="","",PNL!C531)</f>
        <v/>
      </c>
      <c r="D531">
        <f>IF(PNL!D531="","",PNL!D531)</f>
        <v/>
      </c>
      <c r="E531">
        <f>IF($A531="","",IF(AND($C531="2027",OR($D531="V01",$D531="V02",$D531="V03")),1,0))</f>
        <v/>
      </c>
      <c r="F531">
        <f>IF($A531="","",IF($E531=1,SUMIFS(Comptabilité!$F$1:$F$675,Comptabilité!$A$1:$A$675,$A531,Comptabilité!$B$1:$B$675,$B531,Comptabilité!$C$1:$C$675,"2026"),0))</f>
        <v/>
      </c>
      <c r="G531">
        <f>IF($A531="","",IF($D531="V01",Cadrage!$C$22,IF($D531="V02",Cadrage!$D$22,Cadrage!$E$22)))</f>
        <v/>
      </c>
      <c r="H531">
        <f>IF($A531="","",IF($D531="V01",Cadrage!$C$23,IF($D531="V02",Cadrage!$D$23,Cadrage!$E$23)))</f>
        <v/>
      </c>
      <c r="I531">
        <f>IF($A531="","",IF($D531="V01",Cadrage!$C$31,IF($D531="V02",Cadrage!$D$31,Cadrage!$E$31)))</f>
        <v/>
      </c>
      <c r="J531">
        <f>IF($A531="","",IF($D531="V01",Cadrage!$C$32,IF($D531="V02",Cadrage!$D$32,Cadrage!$E$32)))</f>
        <v/>
      </c>
      <c r="K531">
        <f>IF($A531="","",IF($D531="V01",Cadrage!$C$33,IF($D531="V02",Cadrage!$D$33,Cadrage!$E$33)))</f>
        <v/>
      </c>
      <c r="L531">
        <f>IF($A531="","",IF($D531="V01",Cadrage!$C$34,IF($D531="V02",Cadrage!$D$34,Cadrage!$E$34)))</f>
        <v/>
      </c>
      <c r="M531">
        <f>IF($A531="","",IF($D531="V01",Cadrage!$C$35,IF($D531="V02",Cadrage!$D$35,Cadrage!$E$35)))</f>
        <v/>
      </c>
      <c r="N531">
        <f>IF($A531="","",IF($D531="V01",$R$2,IF($D531="V02",$R$3,$R$4)))</f>
        <v/>
      </c>
      <c r="O531">
        <f>IF($A531="","",IF(OR($B531="7062",$B531="706",$B531="708"),$N531,IF($B531="6231",1+$G531,IF($B531="6236",1+$H531,IF(OR($B531="621",$B531="604",$B531="6063"),$N531*(1-$L531),IF(OR($B531="6411",$B531="6413",$B531="6414",$B531="645"),(1+$J531)*(1+$K531),IF(OR($B531="613",$B531="615",$B531="616",$B531="6226",$B531="625",$B531="626",$B531="6281"),(1+$I531)*(1-$L531)*(1+$M531),IF(OR($B531="6331",$B531="63511",$B531="6333"),(1+$I531)*(1-$L531),IF($B531="6811",1+$I531,1)))))))))</f>
        <v/>
      </c>
      <c r="P531">
        <f>IF($A531="","",IF($E531=1,$F531*$O531,PNL!G531))</f>
        <v/>
      </c>
      <c r="T531">
        <f>IF($A531="","",IF($E531=1,IF(OR($B531="7062",$B531="706",$B531="708"),$P531,IF(AND(LEFT($B531,1)="6",$B531&lt;&gt;"6811"),-$P531,0)),0))</f>
        <v/>
      </c>
    </row>
    <row r="532">
      <c r="A532">
        <f>IF(PNL!A532="","",PNL!A532)</f>
        <v/>
      </c>
      <c r="B532">
        <f>IF(PNL!B532="","",PNL!B532)</f>
        <v/>
      </c>
      <c r="C532">
        <f>IF(PNL!C532="","",PNL!C532)</f>
        <v/>
      </c>
      <c r="D532">
        <f>IF(PNL!D532="","",PNL!D532)</f>
        <v/>
      </c>
      <c r="E532">
        <f>IF($A532="","",IF(AND($C532="2027",OR($D532="V01",$D532="V02",$D532="V03")),1,0))</f>
        <v/>
      </c>
      <c r="F532">
        <f>IF($A532="","",IF($E532=1,SUMIFS(Comptabilité!$F$1:$F$675,Comptabilité!$A$1:$A$675,$A532,Comptabilité!$B$1:$B$675,$B532,Comptabilité!$C$1:$C$675,"2026"),0))</f>
        <v/>
      </c>
      <c r="G532">
        <f>IF($A532="","",IF($D532="V01",Cadrage!$C$22,IF($D532="V02",Cadrage!$D$22,Cadrage!$E$22)))</f>
        <v/>
      </c>
      <c r="H532">
        <f>IF($A532="","",IF($D532="V01",Cadrage!$C$23,IF($D532="V02",Cadrage!$D$23,Cadrage!$E$23)))</f>
        <v/>
      </c>
      <c r="I532">
        <f>IF($A532="","",IF($D532="V01",Cadrage!$C$31,IF($D532="V02",Cadrage!$D$31,Cadrage!$E$31)))</f>
        <v/>
      </c>
      <c r="J532">
        <f>IF($A532="","",IF($D532="V01",Cadrage!$C$32,IF($D532="V02",Cadrage!$D$32,Cadrage!$E$32)))</f>
        <v/>
      </c>
      <c r="K532">
        <f>IF($A532="","",IF($D532="V01",Cadrage!$C$33,IF($D532="V02",Cadrage!$D$33,Cadrage!$E$33)))</f>
        <v/>
      </c>
      <c r="L532">
        <f>IF($A532="","",IF($D532="V01",Cadrage!$C$34,IF($D532="V02",Cadrage!$D$34,Cadrage!$E$34)))</f>
        <v/>
      </c>
      <c r="M532">
        <f>IF($A532="","",IF($D532="V01",Cadrage!$C$35,IF($D532="V02",Cadrage!$D$35,Cadrage!$E$35)))</f>
        <v/>
      </c>
      <c r="N532">
        <f>IF($A532="","",IF($D532="V01",$R$2,IF($D532="V02",$R$3,$R$4)))</f>
        <v/>
      </c>
      <c r="O532">
        <f>IF($A532="","",IF(OR($B532="7062",$B532="706",$B532="708"),$N532,IF($B532="6231",1+$G532,IF($B532="6236",1+$H532,IF(OR($B532="621",$B532="604",$B532="6063"),$N532*(1-$L532),IF(OR($B532="6411",$B532="6413",$B532="6414",$B532="645"),(1+$J532)*(1+$K532),IF(OR($B532="613",$B532="615",$B532="616",$B532="6226",$B532="625",$B532="626",$B532="6281"),(1+$I532)*(1-$L532)*(1+$M532),IF(OR($B532="6331",$B532="63511",$B532="6333"),(1+$I532)*(1-$L532),IF($B532="6811",1+$I532,1)))))))))</f>
        <v/>
      </c>
      <c r="P532">
        <f>IF($A532="","",IF($E532=1,$F532*$O532,PNL!G532))</f>
        <v/>
      </c>
      <c r="T532">
        <f>IF($A532="","",IF($E532=1,IF(OR($B532="7062",$B532="706",$B532="708"),$P532,IF(AND(LEFT($B532,1)="6",$B532&lt;&gt;"6811"),-$P532,0)),0))</f>
        <v/>
      </c>
    </row>
    <row r="533">
      <c r="A533">
        <f>IF(PNL!A533="","",PNL!A533)</f>
        <v/>
      </c>
      <c r="B533">
        <f>IF(PNL!B533="","",PNL!B533)</f>
        <v/>
      </c>
      <c r="C533">
        <f>IF(PNL!C533="","",PNL!C533)</f>
        <v/>
      </c>
      <c r="D533">
        <f>IF(PNL!D533="","",PNL!D533)</f>
        <v/>
      </c>
      <c r="E533">
        <f>IF($A533="","",IF(AND($C533="2027",OR($D533="V01",$D533="V02",$D533="V03")),1,0))</f>
        <v/>
      </c>
      <c r="F533">
        <f>IF($A533="","",IF($E533=1,SUMIFS(Comptabilité!$F$1:$F$675,Comptabilité!$A$1:$A$675,$A533,Comptabilité!$B$1:$B$675,$B533,Comptabilité!$C$1:$C$675,"2026"),0))</f>
        <v/>
      </c>
      <c r="G533">
        <f>IF($A533="","",IF($D533="V01",Cadrage!$C$22,IF($D533="V02",Cadrage!$D$22,Cadrage!$E$22)))</f>
        <v/>
      </c>
      <c r="H533">
        <f>IF($A533="","",IF($D533="V01",Cadrage!$C$23,IF($D533="V02",Cadrage!$D$23,Cadrage!$E$23)))</f>
        <v/>
      </c>
      <c r="I533">
        <f>IF($A533="","",IF($D533="V01",Cadrage!$C$31,IF($D533="V02",Cadrage!$D$31,Cadrage!$E$31)))</f>
        <v/>
      </c>
      <c r="J533">
        <f>IF($A533="","",IF($D533="V01",Cadrage!$C$32,IF($D533="V02",Cadrage!$D$32,Cadrage!$E$32)))</f>
        <v/>
      </c>
      <c r="K533">
        <f>IF($A533="","",IF($D533="V01",Cadrage!$C$33,IF($D533="V02",Cadrage!$D$33,Cadrage!$E$33)))</f>
        <v/>
      </c>
      <c r="L533">
        <f>IF($A533="","",IF($D533="V01",Cadrage!$C$34,IF($D533="V02",Cadrage!$D$34,Cadrage!$E$34)))</f>
        <v/>
      </c>
      <c r="M533">
        <f>IF($A533="","",IF($D533="V01",Cadrage!$C$35,IF($D533="V02",Cadrage!$D$35,Cadrage!$E$35)))</f>
        <v/>
      </c>
      <c r="N533">
        <f>IF($A533="","",IF($D533="V01",$R$2,IF($D533="V02",$R$3,$R$4)))</f>
        <v/>
      </c>
      <c r="O533">
        <f>IF($A533="","",IF(OR($B533="7062",$B533="706",$B533="708"),$N533,IF($B533="6231",1+$G533,IF($B533="6236",1+$H533,IF(OR($B533="621",$B533="604",$B533="6063"),$N533*(1-$L533),IF(OR($B533="6411",$B533="6413",$B533="6414",$B533="645"),(1+$J533)*(1+$K533),IF(OR($B533="613",$B533="615",$B533="616",$B533="6226",$B533="625",$B533="626",$B533="6281"),(1+$I533)*(1-$L533)*(1+$M533),IF(OR($B533="6331",$B533="63511",$B533="6333"),(1+$I533)*(1-$L533),IF($B533="6811",1+$I533,1)))))))))</f>
        <v/>
      </c>
      <c r="P533">
        <f>IF($A533="","",IF($E533=1,$F533*$O533,PNL!G533))</f>
        <v/>
      </c>
      <c r="T533">
        <f>IF($A533="","",IF($E533=1,IF(OR($B533="7062",$B533="706",$B533="708"),$P533,IF(AND(LEFT($B533,1)="6",$B533&lt;&gt;"6811"),-$P533,0)),0))</f>
        <v/>
      </c>
    </row>
    <row r="534">
      <c r="A534">
        <f>IF(PNL!A534="","",PNL!A534)</f>
        <v/>
      </c>
      <c r="B534">
        <f>IF(PNL!B534="","",PNL!B534)</f>
        <v/>
      </c>
      <c r="C534">
        <f>IF(PNL!C534="","",PNL!C534)</f>
        <v/>
      </c>
      <c r="D534">
        <f>IF(PNL!D534="","",PNL!D534)</f>
        <v/>
      </c>
      <c r="E534">
        <f>IF($A534="","",IF(AND($C534="2027",OR($D534="V01",$D534="V02",$D534="V03")),1,0))</f>
        <v/>
      </c>
      <c r="F534">
        <f>IF($A534="","",IF($E534=1,SUMIFS(Comptabilité!$F$1:$F$675,Comptabilité!$A$1:$A$675,$A534,Comptabilité!$B$1:$B$675,$B534,Comptabilité!$C$1:$C$675,"2026"),0))</f>
        <v/>
      </c>
      <c r="G534">
        <f>IF($A534="","",IF($D534="V01",Cadrage!$C$22,IF($D534="V02",Cadrage!$D$22,Cadrage!$E$22)))</f>
        <v/>
      </c>
      <c r="H534">
        <f>IF($A534="","",IF($D534="V01",Cadrage!$C$23,IF($D534="V02",Cadrage!$D$23,Cadrage!$E$23)))</f>
        <v/>
      </c>
      <c r="I534">
        <f>IF($A534="","",IF($D534="V01",Cadrage!$C$31,IF($D534="V02",Cadrage!$D$31,Cadrage!$E$31)))</f>
        <v/>
      </c>
      <c r="J534">
        <f>IF($A534="","",IF($D534="V01",Cadrage!$C$32,IF($D534="V02",Cadrage!$D$32,Cadrage!$E$32)))</f>
        <v/>
      </c>
      <c r="K534">
        <f>IF($A534="","",IF($D534="V01",Cadrage!$C$33,IF($D534="V02",Cadrage!$D$33,Cadrage!$E$33)))</f>
        <v/>
      </c>
      <c r="L534">
        <f>IF($A534="","",IF($D534="V01",Cadrage!$C$34,IF($D534="V02",Cadrage!$D$34,Cadrage!$E$34)))</f>
        <v/>
      </c>
      <c r="M534">
        <f>IF($A534="","",IF($D534="V01",Cadrage!$C$35,IF($D534="V02",Cadrage!$D$35,Cadrage!$E$35)))</f>
        <v/>
      </c>
      <c r="N534">
        <f>IF($A534="","",IF($D534="V01",$R$2,IF($D534="V02",$R$3,$R$4)))</f>
        <v/>
      </c>
      <c r="O534">
        <f>IF($A534="","",IF(OR($B534="7062",$B534="706",$B534="708"),$N534,IF($B534="6231",1+$G534,IF($B534="6236",1+$H534,IF(OR($B534="621",$B534="604",$B534="6063"),$N534*(1-$L534),IF(OR($B534="6411",$B534="6413",$B534="6414",$B534="645"),(1+$J534)*(1+$K534),IF(OR($B534="613",$B534="615",$B534="616",$B534="6226",$B534="625",$B534="626",$B534="6281"),(1+$I534)*(1-$L534)*(1+$M534),IF(OR($B534="6331",$B534="63511",$B534="6333"),(1+$I534)*(1-$L534),IF($B534="6811",1+$I534,1)))))))))</f>
        <v/>
      </c>
      <c r="P534">
        <f>IF($A534="","",IF($E534=1,$F534*$O534,PNL!G534))</f>
        <v/>
      </c>
      <c r="T534">
        <f>IF($A534="","",IF($E534=1,IF(OR($B534="7062",$B534="706",$B534="708"),$P534,IF(AND(LEFT($B534,1)="6",$B534&lt;&gt;"6811"),-$P534,0)),0))</f>
        <v/>
      </c>
    </row>
    <row r="535">
      <c r="A535">
        <f>IF(PNL!A535="","",PNL!A535)</f>
        <v/>
      </c>
      <c r="B535">
        <f>IF(PNL!B535="","",PNL!B535)</f>
        <v/>
      </c>
      <c r="C535">
        <f>IF(PNL!C535="","",PNL!C535)</f>
        <v/>
      </c>
      <c r="D535">
        <f>IF(PNL!D535="","",PNL!D535)</f>
        <v/>
      </c>
      <c r="E535">
        <f>IF($A535="","",IF(AND($C535="2027",OR($D535="V01",$D535="V02",$D535="V03")),1,0))</f>
        <v/>
      </c>
      <c r="F535">
        <f>IF($A535="","",IF($E535=1,SUMIFS(Comptabilité!$F$1:$F$675,Comptabilité!$A$1:$A$675,$A535,Comptabilité!$B$1:$B$675,$B535,Comptabilité!$C$1:$C$675,"2026"),0))</f>
        <v/>
      </c>
      <c r="G535">
        <f>IF($A535="","",IF($D535="V01",Cadrage!$C$22,IF($D535="V02",Cadrage!$D$22,Cadrage!$E$22)))</f>
        <v/>
      </c>
      <c r="H535">
        <f>IF($A535="","",IF($D535="V01",Cadrage!$C$23,IF($D535="V02",Cadrage!$D$23,Cadrage!$E$23)))</f>
        <v/>
      </c>
      <c r="I535">
        <f>IF($A535="","",IF($D535="V01",Cadrage!$C$31,IF($D535="V02",Cadrage!$D$31,Cadrage!$E$31)))</f>
        <v/>
      </c>
      <c r="J535">
        <f>IF($A535="","",IF($D535="V01",Cadrage!$C$32,IF($D535="V02",Cadrage!$D$32,Cadrage!$E$32)))</f>
        <v/>
      </c>
      <c r="K535">
        <f>IF($A535="","",IF($D535="V01",Cadrage!$C$33,IF($D535="V02",Cadrage!$D$33,Cadrage!$E$33)))</f>
        <v/>
      </c>
      <c r="L535">
        <f>IF($A535="","",IF($D535="V01",Cadrage!$C$34,IF($D535="V02",Cadrage!$D$34,Cadrage!$E$34)))</f>
        <v/>
      </c>
      <c r="M535">
        <f>IF($A535="","",IF($D535="V01",Cadrage!$C$35,IF($D535="V02",Cadrage!$D$35,Cadrage!$E$35)))</f>
        <v/>
      </c>
      <c r="N535">
        <f>IF($A535="","",IF($D535="V01",$R$2,IF($D535="V02",$R$3,$R$4)))</f>
        <v/>
      </c>
      <c r="O535">
        <f>IF($A535="","",IF(OR($B535="7062",$B535="706",$B535="708"),$N535,IF($B535="6231",1+$G535,IF($B535="6236",1+$H535,IF(OR($B535="621",$B535="604",$B535="6063"),$N535*(1-$L535),IF(OR($B535="6411",$B535="6413",$B535="6414",$B535="645"),(1+$J535)*(1+$K535),IF(OR($B535="613",$B535="615",$B535="616",$B535="6226",$B535="625",$B535="626",$B535="6281"),(1+$I535)*(1-$L535)*(1+$M535),IF(OR($B535="6331",$B535="63511",$B535="6333"),(1+$I535)*(1-$L535),IF($B535="6811",1+$I535,1)))))))))</f>
        <v/>
      </c>
      <c r="P535">
        <f>IF($A535="","",IF($E535=1,$F535*$O535,PNL!G535))</f>
        <v/>
      </c>
      <c r="T535">
        <f>IF($A535="","",IF($E535=1,IF(OR($B535="7062",$B535="706",$B535="708"),$P535,IF(AND(LEFT($B535,1)="6",$B535&lt;&gt;"6811"),-$P535,0)),0))</f>
        <v/>
      </c>
    </row>
    <row r="536">
      <c r="A536">
        <f>IF(PNL!A536="","",PNL!A536)</f>
        <v/>
      </c>
      <c r="B536">
        <f>IF(PNL!B536="","",PNL!B536)</f>
        <v/>
      </c>
      <c r="C536">
        <f>IF(PNL!C536="","",PNL!C536)</f>
        <v/>
      </c>
      <c r="D536">
        <f>IF(PNL!D536="","",PNL!D536)</f>
        <v/>
      </c>
      <c r="E536">
        <f>IF($A536="","",IF(AND($C536="2027",OR($D536="V01",$D536="V02",$D536="V03")),1,0))</f>
        <v/>
      </c>
      <c r="F536">
        <f>IF($A536="","",IF($E536=1,SUMIFS(Comptabilité!$F$1:$F$675,Comptabilité!$A$1:$A$675,$A536,Comptabilité!$B$1:$B$675,$B536,Comptabilité!$C$1:$C$675,"2026"),0))</f>
        <v/>
      </c>
      <c r="G536">
        <f>IF($A536="","",IF($D536="V01",Cadrage!$C$22,IF($D536="V02",Cadrage!$D$22,Cadrage!$E$22)))</f>
        <v/>
      </c>
      <c r="H536">
        <f>IF($A536="","",IF($D536="V01",Cadrage!$C$23,IF($D536="V02",Cadrage!$D$23,Cadrage!$E$23)))</f>
        <v/>
      </c>
      <c r="I536">
        <f>IF($A536="","",IF($D536="V01",Cadrage!$C$31,IF($D536="V02",Cadrage!$D$31,Cadrage!$E$31)))</f>
        <v/>
      </c>
      <c r="J536">
        <f>IF($A536="","",IF($D536="V01",Cadrage!$C$32,IF($D536="V02",Cadrage!$D$32,Cadrage!$E$32)))</f>
        <v/>
      </c>
      <c r="K536">
        <f>IF($A536="","",IF($D536="V01",Cadrage!$C$33,IF($D536="V02",Cadrage!$D$33,Cadrage!$E$33)))</f>
        <v/>
      </c>
      <c r="L536">
        <f>IF($A536="","",IF($D536="V01",Cadrage!$C$34,IF($D536="V02",Cadrage!$D$34,Cadrage!$E$34)))</f>
        <v/>
      </c>
      <c r="M536">
        <f>IF($A536="","",IF($D536="V01",Cadrage!$C$35,IF($D536="V02",Cadrage!$D$35,Cadrage!$E$35)))</f>
        <v/>
      </c>
      <c r="N536">
        <f>IF($A536="","",IF($D536="V01",$R$2,IF($D536="V02",$R$3,$R$4)))</f>
        <v/>
      </c>
      <c r="O536">
        <f>IF($A536="","",IF(OR($B536="7062",$B536="706",$B536="708"),$N536,IF($B536="6231",1+$G536,IF($B536="6236",1+$H536,IF(OR($B536="621",$B536="604",$B536="6063"),$N536*(1-$L536),IF(OR($B536="6411",$B536="6413",$B536="6414",$B536="645"),(1+$J536)*(1+$K536),IF(OR($B536="613",$B536="615",$B536="616",$B536="6226",$B536="625",$B536="626",$B536="6281"),(1+$I536)*(1-$L536)*(1+$M536),IF(OR($B536="6331",$B536="63511",$B536="6333"),(1+$I536)*(1-$L536),IF($B536="6811",1+$I536,1)))))))))</f>
        <v/>
      </c>
      <c r="P536">
        <f>IF($A536="","",IF($E536=1,$F536*$O536,PNL!G536))</f>
        <v/>
      </c>
      <c r="T536">
        <f>IF($A536="","",IF($E536=1,IF(OR($B536="7062",$B536="706",$B536="708"),$P536,IF(AND(LEFT($B536,1)="6",$B536&lt;&gt;"6811"),-$P536,0)),0))</f>
        <v/>
      </c>
    </row>
    <row r="537">
      <c r="A537">
        <f>IF(PNL!A537="","",PNL!A537)</f>
        <v/>
      </c>
      <c r="B537">
        <f>IF(PNL!B537="","",PNL!B537)</f>
        <v/>
      </c>
      <c r="C537">
        <f>IF(PNL!C537="","",PNL!C537)</f>
        <v/>
      </c>
      <c r="D537">
        <f>IF(PNL!D537="","",PNL!D537)</f>
        <v/>
      </c>
      <c r="E537">
        <f>IF($A537="","",IF(AND($C537="2027",OR($D537="V01",$D537="V02",$D537="V03")),1,0))</f>
        <v/>
      </c>
      <c r="F537">
        <f>IF($A537="","",IF($E537=1,SUMIFS(Comptabilité!$F$1:$F$675,Comptabilité!$A$1:$A$675,$A537,Comptabilité!$B$1:$B$675,$B537,Comptabilité!$C$1:$C$675,"2026"),0))</f>
        <v/>
      </c>
      <c r="G537">
        <f>IF($A537="","",IF($D537="V01",Cadrage!$C$22,IF($D537="V02",Cadrage!$D$22,Cadrage!$E$22)))</f>
        <v/>
      </c>
      <c r="H537">
        <f>IF($A537="","",IF($D537="V01",Cadrage!$C$23,IF($D537="V02",Cadrage!$D$23,Cadrage!$E$23)))</f>
        <v/>
      </c>
      <c r="I537">
        <f>IF($A537="","",IF($D537="V01",Cadrage!$C$31,IF($D537="V02",Cadrage!$D$31,Cadrage!$E$31)))</f>
        <v/>
      </c>
      <c r="J537">
        <f>IF($A537="","",IF($D537="V01",Cadrage!$C$32,IF($D537="V02",Cadrage!$D$32,Cadrage!$E$32)))</f>
        <v/>
      </c>
      <c r="K537">
        <f>IF($A537="","",IF($D537="V01",Cadrage!$C$33,IF($D537="V02",Cadrage!$D$33,Cadrage!$E$33)))</f>
        <v/>
      </c>
      <c r="L537">
        <f>IF($A537="","",IF($D537="V01",Cadrage!$C$34,IF($D537="V02",Cadrage!$D$34,Cadrage!$E$34)))</f>
        <v/>
      </c>
      <c r="M537">
        <f>IF($A537="","",IF($D537="V01",Cadrage!$C$35,IF($D537="V02",Cadrage!$D$35,Cadrage!$E$35)))</f>
        <v/>
      </c>
      <c r="N537">
        <f>IF($A537="","",IF($D537="V01",$R$2,IF($D537="V02",$R$3,$R$4)))</f>
        <v/>
      </c>
      <c r="O537">
        <f>IF($A537="","",IF(OR($B537="7062",$B537="706",$B537="708"),$N537,IF($B537="6231",1+$G537,IF($B537="6236",1+$H537,IF(OR($B537="621",$B537="604",$B537="6063"),$N537*(1-$L537),IF(OR($B537="6411",$B537="6413",$B537="6414",$B537="645"),(1+$J537)*(1+$K537),IF(OR($B537="613",$B537="615",$B537="616",$B537="6226",$B537="625",$B537="626",$B537="6281"),(1+$I537)*(1-$L537)*(1+$M537),IF(OR($B537="6331",$B537="63511",$B537="6333"),(1+$I537)*(1-$L537),IF($B537="6811",1+$I537,1)))))))))</f>
        <v/>
      </c>
      <c r="P537">
        <f>IF($A537="","",IF($E537=1,$F537*$O537,PNL!G537))</f>
        <v/>
      </c>
      <c r="T537">
        <f>IF($A537="","",IF($E537=1,IF(OR($B537="7062",$B537="706",$B537="708"),$P537,IF(AND(LEFT($B537,1)="6",$B537&lt;&gt;"6811"),-$P537,0)),0))</f>
        <v/>
      </c>
    </row>
    <row r="538">
      <c r="A538">
        <f>IF(PNL!A538="","",PNL!A538)</f>
        <v/>
      </c>
      <c r="B538">
        <f>IF(PNL!B538="","",PNL!B538)</f>
        <v/>
      </c>
      <c r="C538">
        <f>IF(PNL!C538="","",PNL!C538)</f>
        <v/>
      </c>
      <c r="D538">
        <f>IF(PNL!D538="","",PNL!D538)</f>
        <v/>
      </c>
      <c r="E538">
        <f>IF($A538="","",IF(AND($C538="2027",OR($D538="V01",$D538="V02",$D538="V03")),1,0))</f>
        <v/>
      </c>
      <c r="F538">
        <f>IF($A538="","",IF($E538=1,SUMIFS(Comptabilité!$F$1:$F$675,Comptabilité!$A$1:$A$675,$A538,Comptabilité!$B$1:$B$675,$B538,Comptabilité!$C$1:$C$675,"2026"),0))</f>
        <v/>
      </c>
      <c r="G538">
        <f>IF($A538="","",IF($D538="V01",Cadrage!$C$22,IF($D538="V02",Cadrage!$D$22,Cadrage!$E$22)))</f>
        <v/>
      </c>
      <c r="H538">
        <f>IF($A538="","",IF($D538="V01",Cadrage!$C$23,IF($D538="V02",Cadrage!$D$23,Cadrage!$E$23)))</f>
        <v/>
      </c>
      <c r="I538">
        <f>IF($A538="","",IF($D538="V01",Cadrage!$C$31,IF($D538="V02",Cadrage!$D$31,Cadrage!$E$31)))</f>
        <v/>
      </c>
      <c r="J538">
        <f>IF($A538="","",IF($D538="V01",Cadrage!$C$32,IF($D538="V02",Cadrage!$D$32,Cadrage!$E$32)))</f>
        <v/>
      </c>
      <c r="K538">
        <f>IF($A538="","",IF($D538="V01",Cadrage!$C$33,IF($D538="V02",Cadrage!$D$33,Cadrage!$E$33)))</f>
        <v/>
      </c>
      <c r="L538">
        <f>IF($A538="","",IF($D538="V01",Cadrage!$C$34,IF($D538="V02",Cadrage!$D$34,Cadrage!$E$34)))</f>
        <v/>
      </c>
      <c r="M538">
        <f>IF($A538="","",IF($D538="V01",Cadrage!$C$35,IF($D538="V02",Cadrage!$D$35,Cadrage!$E$35)))</f>
        <v/>
      </c>
      <c r="N538">
        <f>IF($A538="","",IF($D538="V01",$R$2,IF($D538="V02",$R$3,$R$4)))</f>
        <v/>
      </c>
      <c r="O538">
        <f>IF($A538="","",IF(OR($B538="7062",$B538="706",$B538="708"),$N538,IF($B538="6231",1+$G538,IF($B538="6236",1+$H538,IF(OR($B538="621",$B538="604",$B538="6063"),$N538*(1-$L538),IF(OR($B538="6411",$B538="6413",$B538="6414",$B538="645"),(1+$J538)*(1+$K538),IF(OR($B538="613",$B538="615",$B538="616",$B538="6226",$B538="625",$B538="626",$B538="6281"),(1+$I538)*(1-$L538)*(1+$M538),IF(OR($B538="6331",$B538="63511",$B538="6333"),(1+$I538)*(1-$L538),IF($B538="6811",1+$I538,1)))))))))</f>
        <v/>
      </c>
      <c r="P538">
        <f>IF($A538="","",IF($E538=1,$F538*$O538,PNL!G538))</f>
        <v/>
      </c>
      <c r="T538">
        <f>IF($A538="","",IF($E538=1,IF(OR($B538="7062",$B538="706",$B538="708"),$P538,IF(AND(LEFT($B538,1)="6",$B538&lt;&gt;"6811"),-$P538,0)),0))</f>
        <v/>
      </c>
    </row>
    <row r="539">
      <c r="A539">
        <f>IF(PNL!A539="","",PNL!A539)</f>
        <v/>
      </c>
      <c r="B539">
        <f>IF(PNL!B539="","",PNL!B539)</f>
        <v/>
      </c>
      <c r="C539">
        <f>IF(PNL!C539="","",PNL!C539)</f>
        <v/>
      </c>
      <c r="D539">
        <f>IF(PNL!D539="","",PNL!D539)</f>
        <v/>
      </c>
      <c r="E539">
        <f>IF($A539="","",IF(AND($C539="2027",OR($D539="V01",$D539="V02",$D539="V03")),1,0))</f>
        <v/>
      </c>
      <c r="F539">
        <f>IF($A539="","",IF($E539=1,SUMIFS(Comptabilité!$F$1:$F$675,Comptabilité!$A$1:$A$675,$A539,Comptabilité!$B$1:$B$675,$B539,Comptabilité!$C$1:$C$675,"2026"),0))</f>
        <v/>
      </c>
      <c r="G539">
        <f>IF($A539="","",IF($D539="V01",Cadrage!$C$22,IF($D539="V02",Cadrage!$D$22,Cadrage!$E$22)))</f>
        <v/>
      </c>
      <c r="H539">
        <f>IF($A539="","",IF($D539="V01",Cadrage!$C$23,IF($D539="V02",Cadrage!$D$23,Cadrage!$E$23)))</f>
        <v/>
      </c>
      <c r="I539">
        <f>IF($A539="","",IF($D539="V01",Cadrage!$C$31,IF($D539="V02",Cadrage!$D$31,Cadrage!$E$31)))</f>
        <v/>
      </c>
      <c r="J539">
        <f>IF($A539="","",IF($D539="V01",Cadrage!$C$32,IF($D539="V02",Cadrage!$D$32,Cadrage!$E$32)))</f>
        <v/>
      </c>
      <c r="K539">
        <f>IF($A539="","",IF($D539="V01",Cadrage!$C$33,IF($D539="V02",Cadrage!$D$33,Cadrage!$E$33)))</f>
        <v/>
      </c>
      <c r="L539">
        <f>IF($A539="","",IF($D539="V01",Cadrage!$C$34,IF($D539="V02",Cadrage!$D$34,Cadrage!$E$34)))</f>
        <v/>
      </c>
      <c r="M539">
        <f>IF($A539="","",IF($D539="V01",Cadrage!$C$35,IF($D539="V02",Cadrage!$D$35,Cadrage!$E$35)))</f>
        <v/>
      </c>
      <c r="N539">
        <f>IF($A539="","",IF($D539="V01",$R$2,IF($D539="V02",$R$3,$R$4)))</f>
        <v/>
      </c>
      <c r="O539">
        <f>IF($A539="","",IF(OR($B539="7062",$B539="706",$B539="708"),$N539,IF($B539="6231",1+$G539,IF($B539="6236",1+$H539,IF(OR($B539="621",$B539="604",$B539="6063"),$N539*(1-$L539),IF(OR($B539="6411",$B539="6413",$B539="6414",$B539="645"),(1+$J539)*(1+$K539),IF(OR($B539="613",$B539="615",$B539="616",$B539="6226",$B539="625",$B539="626",$B539="6281"),(1+$I539)*(1-$L539)*(1+$M539),IF(OR($B539="6331",$B539="63511",$B539="6333"),(1+$I539)*(1-$L539),IF($B539="6811",1+$I539,1)))))))))</f>
        <v/>
      </c>
      <c r="P539">
        <f>IF($A539="","",IF($E539=1,$F539*$O539,PNL!G539))</f>
        <v/>
      </c>
      <c r="T539">
        <f>IF($A539="","",IF($E539=1,IF(OR($B539="7062",$B539="706",$B539="708"),$P539,IF(AND(LEFT($B539,1)="6",$B539&lt;&gt;"6811"),-$P539,0)),0))</f>
        <v/>
      </c>
    </row>
    <row r="540">
      <c r="A540">
        <f>IF(PNL!A540="","",PNL!A540)</f>
        <v/>
      </c>
      <c r="B540">
        <f>IF(PNL!B540="","",PNL!B540)</f>
        <v/>
      </c>
      <c r="C540">
        <f>IF(PNL!C540="","",PNL!C540)</f>
        <v/>
      </c>
      <c r="D540">
        <f>IF(PNL!D540="","",PNL!D540)</f>
        <v/>
      </c>
      <c r="E540">
        <f>IF($A540="","",IF(AND($C540="2027",OR($D540="V01",$D540="V02",$D540="V03")),1,0))</f>
        <v/>
      </c>
      <c r="F540">
        <f>IF($A540="","",IF($E540=1,SUMIFS(Comptabilité!$F$1:$F$675,Comptabilité!$A$1:$A$675,$A540,Comptabilité!$B$1:$B$675,$B540,Comptabilité!$C$1:$C$675,"2026"),0))</f>
        <v/>
      </c>
      <c r="G540">
        <f>IF($A540="","",IF($D540="V01",Cadrage!$C$22,IF($D540="V02",Cadrage!$D$22,Cadrage!$E$22)))</f>
        <v/>
      </c>
      <c r="H540">
        <f>IF($A540="","",IF($D540="V01",Cadrage!$C$23,IF($D540="V02",Cadrage!$D$23,Cadrage!$E$23)))</f>
        <v/>
      </c>
      <c r="I540">
        <f>IF($A540="","",IF($D540="V01",Cadrage!$C$31,IF($D540="V02",Cadrage!$D$31,Cadrage!$E$31)))</f>
        <v/>
      </c>
      <c r="J540">
        <f>IF($A540="","",IF($D540="V01",Cadrage!$C$32,IF($D540="V02",Cadrage!$D$32,Cadrage!$E$32)))</f>
        <v/>
      </c>
      <c r="K540">
        <f>IF($A540="","",IF($D540="V01",Cadrage!$C$33,IF($D540="V02",Cadrage!$D$33,Cadrage!$E$33)))</f>
        <v/>
      </c>
      <c r="L540">
        <f>IF($A540="","",IF($D540="V01",Cadrage!$C$34,IF($D540="V02",Cadrage!$D$34,Cadrage!$E$34)))</f>
        <v/>
      </c>
      <c r="M540">
        <f>IF($A540="","",IF($D540="V01",Cadrage!$C$35,IF($D540="V02",Cadrage!$D$35,Cadrage!$E$35)))</f>
        <v/>
      </c>
      <c r="N540">
        <f>IF($A540="","",IF($D540="V01",$R$2,IF($D540="V02",$R$3,$R$4)))</f>
        <v/>
      </c>
      <c r="O540">
        <f>IF($A540="","",IF(OR($B540="7062",$B540="706",$B540="708"),$N540,IF($B540="6231",1+$G540,IF($B540="6236",1+$H540,IF(OR($B540="621",$B540="604",$B540="6063"),$N540*(1-$L540),IF(OR($B540="6411",$B540="6413",$B540="6414",$B540="645"),(1+$J540)*(1+$K540),IF(OR($B540="613",$B540="615",$B540="616",$B540="6226",$B540="625",$B540="626",$B540="6281"),(1+$I540)*(1-$L540)*(1+$M540),IF(OR($B540="6331",$B540="63511",$B540="6333"),(1+$I540)*(1-$L540),IF($B540="6811",1+$I540,1)))))))))</f>
        <v/>
      </c>
      <c r="P540">
        <f>IF($A540="","",IF($E540=1,$F540*$O540,PNL!G540))</f>
        <v/>
      </c>
      <c r="T540">
        <f>IF($A540="","",IF($E540=1,IF(OR($B540="7062",$B540="706",$B540="708"),$P540,IF(AND(LEFT($B540,1)="6",$B540&lt;&gt;"6811"),-$P540,0)),0))</f>
        <v/>
      </c>
    </row>
    <row r="541">
      <c r="A541">
        <f>IF(PNL!A541="","",PNL!A541)</f>
        <v/>
      </c>
      <c r="B541">
        <f>IF(PNL!B541="","",PNL!B541)</f>
        <v/>
      </c>
      <c r="C541">
        <f>IF(PNL!C541="","",PNL!C541)</f>
        <v/>
      </c>
      <c r="D541">
        <f>IF(PNL!D541="","",PNL!D541)</f>
        <v/>
      </c>
      <c r="E541">
        <f>IF($A541="","",IF(AND($C541="2027",OR($D541="V01",$D541="V02",$D541="V03")),1,0))</f>
        <v/>
      </c>
      <c r="F541">
        <f>IF($A541="","",IF($E541=1,SUMIFS(Comptabilité!$F$1:$F$675,Comptabilité!$A$1:$A$675,$A541,Comptabilité!$B$1:$B$675,$B541,Comptabilité!$C$1:$C$675,"2026"),0))</f>
        <v/>
      </c>
      <c r="G541">
        <f>IF($A541="","",IF($D541="V01",Cadrage!$C$22,IF($D541="V02",Cadrage!$D$22,Cadrage!$E$22)))</f>
        <v/>
      </c>
      <c r="H541">
        <f>IF($A541="","",IF($D541="V01",Cadrage!$C$23,IF($D541="V02",Cadrage!$D$23,Cadrage!$E$23)))</f>
        <v/>
      </c>
      <c r="I541">
        <f>IF($A541="","",IF($D541="V01",Cadrage!$C$31,IF($D541="V02",Cadrage!$D$31,Cadrage!$E$31)))</f>
        <v/>
      </c>
      <c r="J541">
        <f>IF($A541="","",IF($D541="V01",Cadrage!$C$32,IF($D541="V02",Cadrage!$D$32,Cadrage!$E$32)))</f>
        <v/>
      </c>
      <c r="K541">
        <f>IF($A541="","",IF($D541="V01",Cadrage!$C$33,IF($D541="V02",Cadrage!$D$33,Cadrage!$E$33)))</f>
        <v/>
      </c>
      <c r="L541">
        <f>IF($A541="","",IF($D541="V01",Cadrage!$C$34,IF($D541="V02",Cadrage!$D$34,Cadrage!$E$34)))</f>
        <v/>
      </c>
      <c r="M541">
        <f>IF($A541="","",IF($D541="V01",Cadrage!$C$35,IF($D541="V02",Cadrage!$D$35,Cadrage!$E$35)))</f>
        <v/>
      </c>
      <c r="N541">
        <f>IF($A541="","",IF($D541="V01",$R$2,IF($D541="V02",$R$3,$R$4)))</f>
        <v/>
      </c>
      <c r="O541">
        <f>IF($A541="","",IF(OR($B541="7062",$B541="706",$B541="708"),$N541,IF($B541="6231",1+$G541,IF($B541="6236",1+$H541,IF(OR($B541="621",$B541="604",$B541="6063"),$N541*(1-$L541),IF(OR($B541="6411",$B541="6413",$B541="6414",$B541="645"),(1+$J541)*(1+$K541),IF(OR($B541="613",$B541="615",$B541="616",$B541="6226",$B541="625",$B541="626",$B541="6281"),(1+$I541)*(1-$L541)*(1+$M541),IF(OR($B541="6331",$B541="63511",$B541="6333"),(1+$I541)*(1-$L541),IF($B541="6811",1+$I541,1)))))))))</f>
        <v/>
      </c>
      <c r="P541">
        <f>IF($A541="","",IF($E541=1,$F541*$O541,PNL!G541))</f>
        <v/>
      </c>
      <c r="T541">
        <f>IF($A541="","",IF($E541=1,IF(OR($B541="7062",$B541="706",$B541="708"),$P541,IF(AND(LEFT($B541,1)="6",$B541&lt;&gt;"6811"),-$P541,0)),0))</f>
        <v/>
      </c>
    </row>
    <row r="542">
      <c r="A542">
        <f>IF(PNL!A542="","",PNL!A542)</f>
        <v/>
      </c>
      <c r="B542">
        <f>IF(PNL!B542="","",PNL!B542)</f>
        <v/>
      </c>
      <c r="C542">
        <f>IF(PNL!C542="","",PNL!C542)</f>
        <v/>
      </c>
      <c r="D542">
        <f>IF(PNL!D542="","",PNL!D542)</f>
        <v/>
      </c>
      <c r="E542">
        <f>IF($A542="","",IF(AND($C542="2027",OR($D542="V01",$D542="V02",$D542="V03")),1,0))</f>
        <v/>
      </c>
      <c r="F542">
        <f>IF($A542="","",IF($E542=1,SUMIFS(Comptabilité!$F$1:$F$675,Comptabilité!$A$1:$A$675,$A542,Comptabilité!$B$1:$B$675,$B542,Comptabilité!$C$1:$C$675,"2026"),0))</f>
        <v/>
      </c>
      <c r="G542">
        <f>IF($A542="","",IF($D542="V01",Cadrage!$C$22,IF($D542="V02",Cadrage!$D$22,Cadrage!$E$22)))</f>
        <v/>
      </c>
      <c r="H542">
        <f>IF($A542="","",IF($D542="V01",Cadrage!$C$23,IF($D542="V02",Cadrage!$D$23,Cadrage!$E$23)))</f>
        <v/>
      </c>
      <c r="I542">
        <f>IF($A542="","",IF($D542="V01",Cadrage!$C$31,IF($D542="V02",Cadrage!$D$31,Cadrage!$E$31)))</f>
        <v/>
      </c>
      <c r="J542">
        <f>IF($A542="","",IF($D542="V01",Cadrage!$C$32,IF($D542="V02",Cadrage!$D$32,Cadrage!$E$32)))</f>
        <v/>
      </c>
      <c r="K542">
        <f>IF($A542="","",IF($D542="V01",Cadrage!$C$33,IF($D542="V02",Cadrage!$D$33,Cadrage!$E$33)))</f>
        <v/>
      </c>
      <c r="L542">
        <f>IF($A542="","",IF($D542="V01",Cadrage!$C$34,IF($D542="V02",Cadrage!$D$34,Cadrage!$E$34)))</f>
        <v/>
      </c>
      <c r="M542">
        <f>IF($A542="","",IF($D542="V01",Cadrage!$C$35,IF($D542="V02",Cadrage!$D$35,Cadrage!$E$35)))</f>
        <v/>
      </c>
      <c r="N542">
        <f>IF($A542="","",IF($D542="V01",$R$2,IF($D542="V02",$R$3,$R$4)))</f>
        <v/>
      </c>
      <c r="O542">
        <f>IF($A542="","",IF(OR($B542="7062",$B542="706",$B542="708"),$N542,IF($B542="6231",1+$G542,IF($B542="6236",1+$H542,IF(OR($B542="621",$B542="604",$B542="6063"),$N542*(1-$L542),IF(OR($B542="6411",$B542="6413",$B542="6414",$B542="645"),(1+$J542)*(1+$K542),IF(OR($B542="613",$B542="615",$B542="616",$B542="6226",$B542="625",$B542="626",$B542="6281"),(1+$I542)*(1-$L542)*(1+$M542),IF(OR($B542="6331",$B542="63511",$B542="6333"),(1+$I542)*(1-$L542),IF($B542="6811",1+$I542,1)))))))))</f>
        <v/>
      </c>
      <c r="P542">
        <f>IF($A542="","",IF($E542=1,$F542*$O542,PNL!G542))</f>
        <v/>
      </c>
      <c r="T542">
        <f>IF($A542="","",IF($E542=1,IF(OR($B542="7062",$B542="706",$B542="708"),$P542,IF(AND(LEFT($B542,1)="6",$B542&lt;&gt;"6811"),-$P542,0)),0))</f>
        <v/>
      </c>
    </row>
    <row r="543">
      <c r="A543">
        <f>IF(PNL!A543="","",PNL!A543)</f>
        <v/>
      </c>
      <c r="B543">
        <f>IF(PNL!B543="","",PNL!B543)</f>
        <v/>
      </c>
      <c r="C543">
        <f>IF(PNL!C543="","",PNL!C543)</f>
        <v/>
      </c>
      <c r="D543">
        <f>IF(PNL!D543="","",PNL!D543)</f>
        <v/>
      </c>
      <c r="E543">
        <f>IF($A543="","",IF(AND($C543="2027",OR($D543="V01",$D543="V02",$D543="V03")),1,0))</f>
        <v/>
      </c>
      <c r="F543">
        <f>IF($A543="","",IF($E543=1,SUMIFS(Comptabilité!$F$1:$F$675,Comptabilité!$A$1:$A$675,$A543,Comptabilité!$B$1:$B$675,$B543,Comptabilité!$C$1:$C$675,"2026"),0))</f>
        <v/>
      </c>
      <c r="G543">
        <f>IF($A543="","",IF($D543="V01",Cadrage!$C$22,IF($D543="V02",Cadrage!$D$22,Cadrage!$E$22)))</f>
        <v/>
      </c>
      <c r="H543">
        <f>IF($A543="","",IF($D543="V01",Cadrage!$C$23,IF($D543="V02",Cadrage!$D$23,Cadrage!$E$23)))</f>
        <v/>
      </c>
      <c r="I543">
        <f>IF($A543="","",IF($D543="V01",Cadrage!$C$31,IF($D543="V02",Cadrage!$D$31,Cadrage!$E$31)))</f>
        <v/>
      </c>
      <c r="J543">
        <f>IF($A543="","",IF($D543="V01",Cadrage!$C$32,IF($D543="V02",Cadrage!$D$32,Cadrage!$E$32)))</f>
        <v/>
      </c>
      <c r="K543">
        <f>IF($A543="","",IF($D543="V01",Cadrage!$C$33,IF($D543="V02",Cadrage!$D$33,Cadrage!$E$33)))</f>
        <v/>
      </c>
      <c r="L543">
        <f>IF($A543="","",IF($D543="V01",Cadrage!$C$34,IF($D543="V02",Cadrage!$D$34,Cadrage!$E$34)))</f>
        <v/>
      </c>
      <c r="M543">
        <f>IF($A543="","",IF($D543="V01",Cadrage!$C$35,IF($D543="V02",Cadrage!$D$35,Cadrage!$E$35)))</f>
        <v/>
      </c>
      <c r="N543">
        <f>IF($A543="","",IF($D543="V01",$R$2,IF($D543="V02",$R$3,$R$4)))</f>
        <v/>
      </c>
      <c r="O543">
        <f>IF($A543="","",IF(OR($B543="7062",$B543="706",$B543="708"),$N543,IF($B543="6231",1+$G543,IF($B543="6236",1+$H543,IF(OR($B543="621",$B543="604",$B543="6063"),$N543*(1-$L543),IF(OR($B543="6411",$B543="6413",$B543="6414",$B543="645"),(1+$J543)*(1+$K543),IF(OR($B543="613",$B543="615",$B543="616",$B543="6226",$B543="625",$B543="626",$B543="6281"),(1+$I543)*(1-$L543)*(1+$M543),IF(OR($B543="6331",$B543="63511",$B543="6333"),(1+$I543)*(1-$L543),IF($B543="6811",1+$I543,1)))))))))</f>
        <v/>
      </c>
      <c r="P543">
        <f>IF($A543="","",IF($E543=1,$F543*$O543,PNL!G543))</f>
        <v/>
      </c>
      <c r="T543">
        <f>IF($A543="","",IF($E543=1,IF(OR($B543="7062",$B543="706",$B543="708"),$P543,IF(AND(LEFT($B543,1)="6",$B543&lt;&gt;"6811"),-$P543,0)),0))</f>
        <v/>
      </c>
    </row>
    <row r="544">
      <c r="A544">
        <f>IF(PNL!A544="","",PNL!A544)</f>
        <v/>
      </c>
      <c r="B544">
        <f>IF(PNL!B544="","",PNL!B544)</f>
        <v/>
      </c>
      <c r="C544">
        <f>IF(PNL!C544="","",PNL!C544)</f>
        <v/>
      </c>
      <c r="D544">
        <f>IF(PNL!D544="","",PNL!D544)</f>
        <v/>
      </c>
      <c r="E544">
        <f>IF($A544="","",IF(AND($C544="2027",OR($D544="V01",$D544="V02",$D544="V03")),1,0))</f>
        <v/>
      </c>
      <c r="F544">
        <f>IF($A544="","",IF($E544=1,SUMIFS(Comptabilité!$F$1:$F$675,Comptabilité!$A$1:$A$675,$A544,Comptabilité!$B$1:$B$675,$B544,Comptabilité!$C$1:$C$675,"2026"),0))</f>
        <v/>
      </c>
      <c r="G544">
        <f>IF($A544="","",IF($D544="V01",Cadrage!$C$22,IF($D544="V02",Cadrage!$D$22,Cadrage!$E$22)))</f>
        <v/>
      </c>
      <c r="H544">
        <f>IF($A544="","",IF($D544="V01",Cadrage!$C$23,IF($D544="V02",Cadrage!$D$23,Cadrage!$E$23)))</f>
        <v/>
      </c>
      <c r="I544">
        <f>IF($A544="","",IF($D544="V01",Cadrage!$C$31,IF($D544="V02",Cadrage!$D$31,Cadrage!$E$31)))</f>
        <v/>
      </c>
      <c r="J544">
        <f>IF($A544="","",IF($D544="V01",Cadrage!$C$32,IF($D544="V02",Cadrage!$D$32,Cadrage!$E$32)))</f>
        <v/>
      </c>
      <c r="K544">
        <f>IF($A544="","",IF($D544="V01",Cadrage!$C$33,IF($D544="V02",Cadrage!$D$33,Cadrage!$E$33)))</f>
        <v/>
      </c>
      <c r="L544">
        <f>IF($A544="","",IF($D544="V01",Cadrage!$C$34,IF($D544="V02",Cadrage!$D$34,Cadrage!$E$34)))</f>
        <v/>
      </c>
      <c r="M544">
        <f>IF($A544="","",IF($D544="V01",Cadrage!$C$35,IF($D544="V02",Cadrage!$D$35,Cadrage!$E$35)))</f>
        <v/>
      </c>
      <c r="N544">
        <f>IF($A544="","",IF($D544="V01",$R$2,IF($D544="V02",$R$3,$R$4)))</f>
        <v/>
      </c>
      <c r="O544">
        <f>IF($A544="","",IF(OR($B544="7062",$B544="706",$B544="708"),$N544,IF($B544="6231",1+$G544,IF($B544="6236",1+$H544,IF(OR($B544="621",$B544="604",$B544="6063"),$N544*(1-$L544),IF(OR($B544="6411",$B544="6413",$B544="6414",$B544="645"),(1+$J544)*(1+$K544),IF(OR($B544="613",$B544="615",$B544="616",$B544="6226",$B544="625",$B544="626",$B544="6281"),(1+$I544)*(1-$L544)*(1+$M544),IF(OR($B544="6331",$B544="63511",$B544="6333"),(1+$I544)*(1-$L544),IF($B544="6811",1+$I544,1)))))))))</f>
        <v/>
      </c>
      <c r="P544">
        <f>IF($A544="","",IF($E544=1,$F544*$O544,PNL!G544))</f>
        <v/>
      </c>
      <c r="T544">
        <f>IF($A544="","",IF($E544=1,IF(OR($B544="7062",$B544="706",$B544="708"),$P544,IF(AND(LEFT($B544,1)="6",$B544&lt;&gt;"6811"),-$P544,0)),0))</f>
        <v/>
      </c>
    </row>
    <row r="545">
      <c r="A545">
        <f>IF(PNL!A545="","",PNL!A545)</f>
        <v/>
      </c>
      <c r="B545">
        <f>IF(PNL!B545="","",PNL!B545)</f>
        <v/>
      </c>
      <c r="C545">
        <f>IF(PNL!C545="","",PNL!C545)</f>
        <v/>
      </c>
      <c r="D545">
        <f>IF(PNL!D545="","",PNL!D545)</f>
        <v/>
      </c>
      <c r="E545">
        <f>IF($A545="","",IF(AND($C545="2027",OR($D545="V01",$D545="V02",$D545="V03")),1,0))</f>
        <v/>
      </c>
      <c r="F545">
        <f>IF($A545="","",IF($E545=1,SUMIFS(Comptabilité!$F$1:$F$675,Comptabilité!$A$1:$A$675,$A545,Comptabilité!$B$1:$B$675,$B545,Comptabilité!$C$1:$C$675,"2026"),0))</f>
        <v/>
      </c>
      <c r="G545">
        <f>IF($A545="","",IF($D545="V01",Cadrage!$C$22,IF($D545="V02",Cadrage!$D$22,Cadrage!$E$22)))</f>
        <v/>
      </c>
      <c r="H545">
        <f>IF($A545="","",IF($D545="V01",Cadrage!$C$23,IF($D545="V02",Cadrage!$D$23,Cadrage!$E$23)))</f>
        <v/>
      </c>
      <c r="I545">
        <f>IF($A545="","",IF($D545="V01",Cadrage!$C$31,IF($D545="V02",Cadrage!$D$31,Cadrage!$E$31)))</f>
        <v/>
      </c>
      <c r="J545">
        <f>IF($A545="","",IF($D545="V01",Cadrage!$C$32,IF($D545="V02",Cadrage!$D$32,Cadrage!$E$32)))</f>
        <v/>
      </c>
      <c r="K545">
        <f>IF($A545="","",IF($D545="V01",Cadrage!$C$33,IF($D545="V02",Cadrage!$D$33,Cadrage!$E$33)))</f>
        <v/>
      </c>
      <c r="L545">
        <f>IF($A545="","",IF($D545="V01",Cadrage!$C$34,IF($D545="V02",Cadrage!$D$34,Cadrage!$E$34)))</f>
        <v/>
      </c>
      <c r="M545">
        <f>IF($A545="","",IF($D545="V01",Cadrage!$C$35,IF($D545="V02",Cadrage!$D$35,Cadrage!$E$35)))</f>
        <v/>
      </c>
      <c r="N545">
        <f>IF($A545="","",IF($D545="V01",$R$2,IF($D545="V02",$R$3,$R$4)))</f>
        <v/>
      </c>
      <c r="O545">
        <f>IF($A545="","",IF(OR($B545="7062",$B545="706",$B545="708"),$N545,IF($B545="6231",1+$G545,IF($B545="6236",1+$H545,IF(OR($B545="621",$B545="604",$B545="6063"),$N545*(1-$L545),IF(OR($B545="6411",$B545="6413",$B545="6414",$B545="645"),(1+$J545)*(1+$K545),IF(OR($B545="613",$B545="615",$B545="616",$B545="6226",$B545="625",$B545="626",$B545="6281"),(1+$I545)*(1-$L545)*(1+$M545),IF(OR($B545="6331",$B545="63511",$B545="6333"),(1+$I545)*(1-$L545),IF($B545="6811",1+$I545,1)))))))))</f>
        <v/>
      </c>
      <c r="P545">
        <f>IF($A545="","",IF($E545=1,$F545*$O545,PNL!G545))</f>
        <v/>
      </c>
      <c r="T545">
        <f>IF($A545="","",IF($E545=1,IF(OR($B545="7062",$B545="706",$B545="708"),$P545,IF(AND(LEFT($B545,1)="6",$B545&lt;&gt;"6811"),-$P545,0)),0))</f>
        <v/>
      </c>
    </row>
    <row r="546">
      <c r="A546">
        <f>IF(PNL!A546="","",PNL!A546)</f>
        <v/>
      </c>
      <c r="B546">
        <f>IF(PNL!B546="","",PNL!B546)</f>
        <v/>
      </c>
      <c r="C546">
        <f>IF(PNL!C546="","",PNL!C546)</f>
        <v/>
      </c>
      <c r="D546">
        <f>IF(PNL!D546="","",PNL!D546)</f>
        <v/>
      </c>
      <c r="E546">
        <f>IF($A546="","",IF(AND($C546="2027",OR($D546="V01",$D546="V02",$D546="V03")),1,0))</f>
        <v/>
      </c>
      <c r="F546">
        <f>IF($A546="","",IF($E546=1,SUMIFS(Comptabilité!$F$1:$F$675,Comptabilité!$A$1:$A$675,$A546,Comptabilité!$B$1:$B$675,$B546,Comptabilité!$C$1:$C$675,"2026"),0))</f>
        <v/>
      </c>
      <c r="G546">
        <f>IF($A546="","",IF($D546="V01",Cadrage!$C$22,IF($D546="V02",Cadrage!$D$22,Cadrage!$E$22)))</f>
        <v/>
      </c>
      <c r="H546">
        <f>IF($A546="","",IF($D546="V01",Cadrage!$C$23,IF($D546="V02",Cadrage!$D$23,Cadrage!$E$23)))</f>
        <v/>
      </c>
      <c r="I546">
        <f>IF($A546="","",IF($D546="V01",Cadrage!$C$31,IF($D546="V02",Cadrage!$D$31,Cadrage!$E$31)))</f>
        <v/>
      </c>
      <c r="J546">
        <f>IF($A546="","",IF($D546="V01",Cadrage!$C$32,IF($D546="V02",Cadrage!$D$32,Cadrage!$E$32)))</f>
        <v/>
      </c>
      <c r="K546">
        <f>IF($A546="","",IF($D546="V01",Cadrage!$C$33,IF($D546="V02",Cadrage!$D$33,Cadrage!$E$33)))</f>
        <v/>
      </c>
      <c r="L546">
        <f>IF($A546="","",IF($D546="V01",Cadrage!$C$34,IF($D546="V02",Cadrage!$D$34,Cadrage!$E$34)))</f>
        <v/>
      </c>
      <c r="M546">
        <f>IF($A546="","",IF($D546="V01",Cadrage!$C$35,IF($D546="V02",Cadrage!$D$35,Cadrage!$E$35)))</f>
        <v/>
      </c>
      <c r="N546">
        <f>IF($A546="","",IF($D546="V01",$R$2,IF($D546="V02",$R$3,$R$4)))</f>
        <v/>
      </c>
      <c r="O546">
        <f>IF($A546="","",IF(OR($B546="7062",$B546="706",$B546="708"),$N546,IF($B546="6231",1+$G546,IF($B546="6236",1+$H546,IF(OR($B546="621",$B546="604",$B546="6063"),$N546*(1-$L546),IF(OR($B546="6411",$B546="6413",$B546="6414",$B546="645"),(1+$J546)*(1+$K546),IF(OR($B546="613",$B546="615",$B546="616",$B546="6226",$B546="625",$B546="626",$B546="6281"),(1+$I546)*(1-$L546)*(1+$M546),IF(OR($B546="6331",$B546="63511",$B546="6333"),(1+$I546)*(1-$L546),IF($B546="6811",1+$I546,1)))))))))</f>
        <v/>
      </c>
      <c r="P546">
        <f>IF($A546="","",IF($E546=1,$F546*$O546,PNL!G546))</f>
        <v/>
      </c>
      <c r="T546">
        <f>IF($A546="","",IF($E546=1,IF(OR($B546="7062",$B546="706",$B546="708"),$P546,IF(AND(LEFT($B546,1)="6",$B546&lt;&gt;"6811"),-$P546,0)),0))</f>
        <v/>
      </c>
    </row>
    <row r="547">
      <c r="A547">
        <f>IF(PNL!A547="","",PNL!A547)</f>
        <v/>
      </c>
      <c r="B547">
        <f>IF(PNL!B547="","",PNL!B547)</f>
        <v/>
      </c>
      <c r="C547">
        <f>IF(PNL!C547="","",PNL!C547)</f>
        <v/>
      </c>
      <c r="D547">
        <f>IF(PNL!D547="","",PNL!D547)</f>
        <v/>
      </c>
      <c r="E547">
        <f>IF($A547="","",IF(AND($C547="2027",OR($D547="V01",$D547="V02",$D547="V03")),1,0))</f>
        <v/>
      </c>
      <c r="F547">
        <f>IF($A547="","",IF($E547=1,SUMIFS(Comptabilité!$F$1:$F$675,Comptabilité!$A$1:$A$675,$A547,Comptabilité!$B$1:$B$675,$B547,Comptabilité!$C$1:$C$675,"2026"),0))</f>
        <v/>
      </c>
      <c r="G547">
        <f>IF($A547="","",IF($D547="V01",Cadrage!$C$22,IF($D547="V02",Cadrage!$D$22,Cadrage!$E$22)))</f>
        <v/>
      </c>
      <c r="H547">
        <f>IF($A547="","",IF($D547="V01",Cadrage!$C$23,IF($D547="V02",Cadrage!$D$23,Cadrage!$E$23)))</f>
        <v/>
      </c>
      <c r="I547">
        <f>IF($A547="","",IF($D547="V01",Cadrage!$C$31,IF($D547="V02",Cadrage!$D$31,Cadrage!$E$31)))</f>
        <v/>
      </c>
      <c r="J547">
        <f>IF($A547="","",IF($D547="V01",Cadrage!$C$32,IF($D547="V02",Cadrage!$D$32,Cadrage!$E$32)))</f>
        <v/>
      </c>
      <c r="K547">
        <f>IF($A547="","",IF($D547="V01",Cadrage!$C$33,IF($D547="V02",Cadrage!$D$33,Cadrage!$E$33)))</f>
        <v/>
      </c>
      <c r="L547">
        <f>IF($A547="","",IF($D547="V01",Cadrage!$C$34,IF($D547="V02",Cadrage!$D$34,Cadrage!$E$34)))</f>
        <v/>
      </c>
      <c r="M547">
        <f>IF($A547="","",IF($D547="V01",Cadrage!$C$35,IF($D547="V02",Cadrage!$D$35,Cadrage!$E$35)))</f>
        <v/>
      </c>
      <c r="N547">
        <f>IF($A547="","",IF($D547="V01",$R$2,IF($D547="V02",$R$3,$R$4)))</f>
        <v/>
      </c>
      <c r="O547">
        <f>IF($A547="","",IF(OR($B547="7062",$B547="706",$B547="708"),$N547,IF($B547="6231",1+$G547,IF($B547="6236",1+$H547,IF(OR($B547="621",$B547="604",$B547="6063"),$N547*(1-$L547),IF(OR($B547="6411",$B547="6413",$B547="6414",$B547="645"),(1+$J547)*(1+$K547),IF(OR($B547="613",$B547="615",$B547="616",$B547="6226",$B547="625",$B547="626",$B547="6281"),(1+$I547)*(1-$L547)*(1+$M547),IF(OR($B547="6331",$B547="63511",$B547="6333"),(1+$I547)*(1-$L547),IF($B547="6811",1+$I547,1)))))))))</f>
        <v/>
      </c>
      <c r="P547">
        <f>IF($A547="","",IF($E547=1,$F547*$O547,PNL!G547))</f>
        <v/>
      </c>
      <c r="T547">
        <f>IF($A547="","",IF($E547=1,IF(OR($B547="7062",$B547="706",$B547="708"),$P547,IF(AND(LEFT($B547,1)="6",$B547&lt;&gt;"6811"),-$P547,0)),0))</f>
        <v/>
      </c>
    </row>
    <row r="548">
      <c r="A548">
        <f>IF(PNL!A548="","",PNL!A548)</f>
        <v/>
      </c>
      <c r="B548">
        <f>IF(PNL!B548="","",PNL!B548)</f>
        <v/>
      </c>
      <c r="C548">
        <f>IF(PNL!C548="","",PNL!C548)</f>
        <v/>
      </c>
      <c r="D548">
        <f>IF(PNL!D548="","",PNL!D548)</f>
        <v/>
      </c>
      <c r="E548">
        <f>IF($A548="","",IF(AND($C548="2027",OR($D548="V01",$D548="V02",$D548="V03")),1,0))</f>
        <v/>
      </c>
      <c r="F548">
        <f>IF($A548="","",IF($E548=1,SUMIFS(Comptabilité!$F$1:$F$675,Comptabilité!$A$1:$A$675,$A548,Comptabilité!$B$1:$B$675,$B548,Comptabilité!$C$1:$C$675,"2026"),0))</f>
        <v/>
      </c>
      <c r="G548">
        <f>IF($A548="","",IF($D548="V01",Cadrage!$C$22,IF($D548="V02",Cadrage!$D$22,Cadrage!$E$22)))</f>
        <v/>
      </c>
      <c r="H548">
        <f>IF($A548="","",IF($D548="V01",Cadrage!$C$23,IF($D548="V02",Cadrage!$D$23,Cadrage!$E$23)))</f>
        <v/>
      </c>
      <c r="I548">
        <f>IF($A548="","",IF($D548="V01",Cadrage!$C$31,IF($D548="V02",Cadrage!$D$31,Cadrage!$E$31)))</f>
        <v/>
      </c>
      <c r="J548">
        <f>IF($A548="","",IF($D548="V01",Cadrage!$C$32,IF($D548="V02",Cadrage!$D$32,Cadrage!$E$32)))</f>
        <v/>
      </c>
      <c r="K548">
        <f>IF($A548="","",IF($D548="V01",Cadrage!$C$33,IF($D548="V02",Cadrage!$D$33,Cadrage!$E$33)))</f>
        <v/>
      </c>
      <c r="L548">
        <f>IF($A548="","",IF($D548="V01",Cadrage!$C$34,IF($D548="V02",Cadrage!$D$34,Cadrage!$E$34)))</f>
        <v/>
      </c>
      <c r="M548">
        <f>IF($A548="","",IF($D548="V01",Cadrage!$C$35,IF($D548="V02",Cadrage!$D$35,Cadrage!$E$35)))</f>
        <v/>
      </c>
      <c r="N548">
        <f>IF($A548="","",IF($D548="V01",$R$2,IF($D548="V02",$R$3,$R$4)))</f>
        <v/>
      </c>
      <c r="O548">
        <f>IF($A548="","",IF(OR($B548="7062",$B548="706",$B548="708"),$N548,IF($B548="6231",1+$G548,IF($B548="6236",1+$H548,IF(OR($B548="621",$B548="604",$B548="6063"),$N548*(1-$L548),IF(OR($B548="6411",$B548="6413",$B548="6414",$B548="645"),(1+$J548)*(1+$K548),IF(OR($B548="613",$B548="615",$B548="616",$B548="6226",$B548="625",$B548="626",$B548="6281"),(1+$I548)*(1-$L548)*(1+$M548),IF(OR($B548="6331",$B548="63511",$B548="6333"),(1+$I548)*(1-$L548),IF($B548="6811",1+$I548,1)))))))))</f>
        <v/>
      </c>
      <c r="P548">
        <f>IF($A548="","",IF($E548=1,$F548*$O548,PNL!G548))</f>
        <v/>
      </c>
      <c r="T548">
        <f>IF($A548="","",IF($E548=1,IF(OR($B548="7062",$B548="706",$B548="708"),$P548,IF(AND(LEFT($B548,1)="6",$B548&lt;&gt;"6811"),-$P548,0)),0))</f>
        <v/>
      </c>
    </row>
    <row r="549">
      <c r="A549">
        <f>IF(PNL!A549="","",PNL!A549)</f>
        <v/>
      </c>
      <c r="B549">
        <f>IF(PNL!B549="","",PNL!B549)</f>
        <v/>
      </c>
      <c r="C549">
        <f>IF(PNL!C549="","",PNL!C549)</f>
        <v/>
      </c>
      <c r="D549">
        <f>IF(PNL!D549="","",PNL!D549)</f>
        <v/>
      </c>
      <c r="E549">
        <f>IF($A549="","",IF(AND($C549="2027",OR($D549="V01",$D549="V02",$D549="V03")),1,0))</f>
        <v/>
      </c>
      <c r="F549">
        <f>IF($A549="","",IF($E549=1,SUMIFS(Comptabilité!$F$1:$F$675,Comptabilité!$A$1:$A$675,$A549,Comptabilité!$B$1:$B$675,$B549,Comptabilité!$C$1:$C$675,"2026"),0))</f>
        <v/>
      </c>
      <c r="G549">
        <f>IF($A549="","",IF($D549="V01",Cadrage!$C$22,IF($D549="V02",Cadrage!$D$22,Cadrage!$E$22)))</f>
        <v/>
      </c>
      <c r="H549">
        <f>IF($A549="","",IF($D549="V01",Cadrage!$C$23,IF($D549="V02",Cadrage!$D$23,Cadrage!$E$23)))</f>
        <v/>
      </c>
      <c r="I549">
        <f>IF($A549="","",IF($D549="V01",Cadrage!$C$31,IF($D549="V02",Cadrage!$D$31,Cadrage!$E$31)))</f>
        <v/>
      </c>
      <c r="J549">
        <f>IF($A549="","",IF($D549="V01",Cadrage!$C$32,IF($D549="V02",Cadrage!$D$32,Cadrage!$E$32)))</f>
        <v/>
      </c>
      <c r="K549">
        <f>IF($A549="","",IF($D549="V01",Cadrage!$C$33,IF($D549="V02",Cadrage!$D$33,Cadrage!$E$33)))</f>
        <v/>
      </c>
      <c r="L549">
        <f>IF($A549="","",IF($D549="V01",Cadrage!$C$34,IF($D549="V02",Cadrage!$D$34,Cadrage!$E$34)))</f>
        <v/>
      </c>
      <c r="M549">
        <f>IF($A549="","",IF($D549="V01",Cadrage!$C$35,IF($D549="V02",Cadrage!$D$35,Cadrage!$E$35)))</f>
        <v/>
      </c>
      <c r="N549">
        <f>IF($A549="","",IF($D549="V01",$R$2,IF($D549="V02",$R$3,$R$4)))</f>
        <v/>
      </c>
      <c r="O549">
        <f>IF($A549="","",IF(OR($B549="7062",$B549="706",$B549="708"),$N549,IF($B549="6231",1+$G549,IF($B549="6236",1+$H549,IF(OR($B549="621",$B549="604",$B549="6063"),$N549*(1-$L549),IF(OR($B549="6411",$B549="6413",$B549="6414",$B549="645"),(1+$J549)*(1+$K549),IF(OR($B549="613",$B549="615",$B549="616",$B549="6226",$B549="625",$B549="626",$B549="6281"),(1+$I549)*(1-$L549)*(1+$M549),IF(OR($B549="6331",$B549="63511",$B549="6333"),(1+$I549)*(1-$L549),IF($B549="6811",1+$I549,1)))))))))</f>
        <v/>
      </c>
      <c r="P549">
        <f>IF($A549="","",IF($E549=1,$F549*$O549,PNL!G549))</f>
        <v/>
      </c>
      <c r="T549">
        <f>IF($A549="","",IF($E549=1,IF(OR($B549="7062",$B549="706",$B549="708"),$P549,IF(AND(LEFT($B549,1)="6",$B549&lt;&gt;"6811"),-$P549,0)),0))</f>
        <v/>
      </c>
    </row>
    <row r="550">
      <c r="A550">
        <f>IF(PNL!A550="","",PNL!A550)</f>
        <v/>
      </c>
      <c r="B550">
        <f>IF(PNL!B550="","",PNL!B550)</f>
        <v/>
      </c>
      <c r="C550">
        <f>IF(PNL!C550="","",PNL!C550)</f>
        <v/>
      </c>
      <c r="D550">
        <f>IF(PNL!D550="","",PNL!D550)</f>
        <v/>
      </c>
      <c r="E550">
        <f>IF($A550="","",IF(AND($C550="2027",OR($D550="V01",$D550="V02",$D550="V03")),1,0))</f>
        <v/>
      </c>
      <c r="F550">
        <f>IF($A550="","",IF($E550=1,SUMIFS(Comptabilité!$F$1:$F$675,Comptabilité!$A$1:$A$675,$A550,Comptabilité!$B$1:$B$675,$B550,Comptabilité!$C$1:$C$675,"2026"),0))</f>
        <v/>
      </c>
      <c r="G550">
        <f>IF($A550="","",IF($D550="V01",Cadrage!$C$22,IF($D550="V02",Cadrage!$D$22,Cadrage!$E$22)))</f>
        <v/>
      </c>
      <c r="H550">
        <f>IF($A550="","",IF($D550="V01",Cadrage!$C$23,IF($D550="V02",Cadrage!$D$23,Cadrage!$E$23)))</f>
        <v/>
      </c>
      <c r="I550">
        <f>IF($A550="","",IF($D550="V01",Cadrage!$C$31,IF($D550="V02",Cadrage!$D$31,Cadrage!$E$31)))</f>
        <v/>
      </c>
      <c r="J550">
        <f>IF($A550="","",IF($D550="V01",Cadrage!$C$32,IF($D550="V02",Cadrage!$D$32,Cadrage!$E$32)))</f>
        <v/>
      </c>
      <c r="K550">
        <f>IF($A550="","",IF($D550="V01",Cadrage!$C$33,IF($D550="V02",Cadrage!$D$33,Cadrage!$E$33)))</f>
        <v/>
      </c>
      <c r="L550">
        <f>IF($A550="","",IF($D550="V01",Cadrage!$C$34,IF($D550="V02",Cadrage!$D$34,Cadrage!$E$34)))</f>
        <v/>
      </c>
      <c r="M550">
        <f>IF($A550="","",IF($D550="V01",Cadrage!$C$35,IF($D550="V02",Cadrage!$D$35,Cadrage!$E$35)))</f>
        <v/>
      </c>
      <c r="N550">
        <f>IF($A550="","",IF($D550="V01",$R$2,IF($D550="V02",$R$3,$R$4)))</f>
        <v/>
      </c>
      <c r="O550">
        <f>IF($A550="","",IF(OR($B550="7062",$B550="706",$B550="708"),$N550,IF($B550="6231",1+$G550,IF($B550="6236",1+$H550,IF(OR($B550="621",$B550="604",$B550="6063"),$N550*(1-$L550),IF(OR($B550="6411",$B550="6413",$B550="6414",$B550="645"),(1+$J550)*(1+$K550),IF(OR($B550="613",$B550="615",$B550="616",$B550="6226",$B550="625",$B550="626",$B550="6281"),(1+$I550)*(1-$L550)*(1+$M550),IF(OR($B550="6331",$B550="63511",$B550="6333"),(1+$I550)*(1-$L550),IF($B550="6811",1+$I550,1)))))))))</f>
        <v/>
      </c>
      <c r="P550">
        <f>IF($A550="","",IF($E550=1,$F550*$O550,PNL!G550))</f>
        <v/>
      </c>
      <c r="T550">
        <f>IF($A550="","",IF($E550=1,IF(OR($B550="7062",$B550="706",$B550="708"),$P550,IF(AND(LEFT($B550,1)="6",$B550&lt;&gt;"6811"),-$P550,0)),0))</f>
        <v/>
      </c>
    </row>
    <row r="551">
      <c r="A551">
        <f>IF(PNL!A551="","",PNL!A551)</f>
        <v/>
      </c>
      <c r="B551">
        <f>IF(PNL!B551="","",PNL!B551)</f>
        <v/>
      </c>
      <c r="C551">
        <f>IF(PNL!C551="","",PNL!C551)</f>
        <v/>
      </c>
      <c r="D551">
        <f>IF(PNL!D551="","",PNL!D551)</f>
        <v/>
      </c>
      <c r="E551">
        <f>IF($A551="","",IF(AND($C551="2027",OR($D551="V01",$D551="V02",$D551="V03")),1,0))</f>
        <v/>
      </c>
      <c r="F551">
        <f>IF($A551="","",IF($E551=1,SUMIFS(Comptabilité!$F$1:$F$675,Comptabilité!$A$1:$A$675,$A551,Comptabilité!$B$1:$B$675,$B551,Comptabilité!$C$1:$C$675,"2026"),0))</f>
        <v/>
      </c>
      <c r="G551">
        <f>IF($A551="","",IF($D551="V01",Cadrage!$C$22,IF($D551="V02",Cadrage!$D$22,Cadrage!$E$22)))</f>
        <v/>
      </c>
      <c r="H551">
        <f>IF($A551="","",IF($D551="V01",Cadrage!$C$23,IF($D551="V02",Cadrage!$D$23,Cadrage!$E$23)))</f>
        <v/>
      </c>
      <c r="I551">
        <f>IF($A551="","",IF($D551="V01",Cadrage!$C$31,IF($D551="V02",Cadrage!$D$31,Cadrage!$E$31)))</f>
        <v/>
      </c>
      <c r="J551">
        <f>IF($A551="","",IF($D551="V01",Cadrage!$C$32,IF($D551="V02",Cadrage!$D$32,Cadrage!$E$32)))</f>
        <v/>
      </c>
      <c r="K551">
        <f>IF($A551="","",IF($D551="V01",Cadrage!$C$33,IF($D551="V02",Cadrage!$D$33,Cadrage!$E$33)))</f>
        <v/>
      </c>
      <c r="L551">
        <f>IF($A551="","",IF($D551="V01",Cadrage!$C$34,IF($D551="V02",Cadrage!$D$34,Cadrage!$E$34)))</f>
        <v/>
      </c>
      <c r="M551">
        <f>IF($A551="","",IF($D551="V01",Cadrage!$C$35,IF($D551="V02",Cadrage!$D$35,Cadrage!$E$35)))</f>
        <v/>
      </c>
      <c r="N551">
        <f>IF($A551="","",IF($D551="V01",$R$2,IF($D551="V02",$R$3,$R$4)))</f>
        <v/>
      </c>
      <c r="O551">
        <f>IF($A551="","",IF(OR($B551="7062",$B551="706",$B551="708"),$N551,IF($B551="6231",1+$G551,IF($B551="6236",1+$H551,IF(OR($B551="621",$B551="604",$B551="6063"),$N551*(1-$L551),IF(OR($B551="6411",$B551="6413",$B551="6414",$B551="645"),(1+$J551)*(1+$K551),IF(OR($B551="613",$B551="615",$B551="616",$B551="6226",$B551="625",$B551="626",$B551="6281"),(1+$I551)*(1-$L551)*(1+$M551),IF(OR($B551="6331",$B551="63511",$B551="6333"),(1+$I551)*(1-$L551),IF($B551="6811",1+$I551,1)))))))))</f>
        <v/>
      </c>
      <c r="P551">
        <f>IF($A551="","",IF($E551=1,$F551*$O551,PNL!G551))</f>
        <v/>
      </c>
      <c r="T551">
        <f>IF($A551="","",IF($E551=1,IF(OR($B551="7062",$B551="706",$B551="708"),$P551,IF(AND(LEFT($B551,1)="6",$B551&lt;&gt;"6811"),-$P551,0)),0))</f>
        <v/>
      </c>
    </row>
    <row r="552">
      <c r="A552">
        <f>IF(PNL!A552="","",PNL!A552)</f>
        <v/>
      </c>
      <c r="B552">
        <f>IF(PNL!B552="","",PNL!B552)</f>
        <v/>
      </c>
      <c r="C552">
        <f>IF(PNL!C552="","",PNL!C552)</f>
        <v/>
      </c>
      <c r="D552">
        <f>IF(PNL!D552="","",PNL!D552)</f>
        <v/>
      </c>
      <c r="E552">
        <f>IF($A552="","",IF(AND($C552="2027",OR($D552="V01",$D552="V02",$D552="V03")),1,0))</f>
        <v/>
      </c>
      <c r="F552">
        <f>IF($A552="","",IF($E552=1,SUMIFS(Comptabilité!$F$1:$F$675,Comptabilité!$A$1:$A$675,$A552,Comptabilité!$B$1:$B$675,$B552,Comptabilité!$C$1:$C$675,"2026"),0))</f>
        <v/>
      </c>
      <c r="G552">
        <f>IF($A552="","",IF($D552="V01",Cadrage!$C$22,IF($D552="V02",Cadrage!$D$22,Cadrage!$E$22)))</f>
        <v/>
      </c>
      <c r="H552">
        <f>IF($A552="","",IF($D552="V01",Cadrage!$C$23,IF($D552="V02",Cadrage!$D$23,Cadrage!$E$23)))</f>
        <v/>
      </c>
      <c r="I552">
        <f>IF($A552="","",IF($D552="V01",Cadrage!$C$31,IF($D552="V02",Cadrage!$D$31,Cadrage!$E$31)))</f>
        <v/>
      </c>
      <c r="J552">
        <f>IF($A552="","",IF($D552="V01",Cadrage!$C$32,IF($D552="V02",Cadrage!$D$32,Cadrage!$E$32)))</f>
        <v/>
      </c>
      <c r="K552">
        <f>IF($A552="","",IF($D552="V01",Cadrage!$C$33,IF($D552="V02",Cadrage!$D$33,Cadrage!$E$33)))</f>
        <v/>
      </c>
      <c r="L552">
        <f>IF($A552="","",IF($D552="V01",Cadrage!$C$34,IF($D552="V02",Cadrage!$D$34,Cadrage!$E$34)))</f>
        <v/>
      </c>
      <c r="M552">
        <f>IF($A552="","",IF($D552="V01",Cadrage!$C$35,IF($D552="V02",Cadrage!$D$35,Cadrage!$E$35)))</f>
        <v/>
      </c>
      <c r="N552">
        <f>IF($A552="","",IF($D552="V01",$R$2,IF($D552="V02",$R$3,$R$4)))</f>
        <v/>
      </c>
      <c r="O552">
        <f>IF($A552="","",IF(OR($B552="7062",$B552="706",$B552="708"),$N552,IF($B552="6231",1+$G552,IF($B552="6236",1+$H552,IF(OR($B552="621",$B552="604",$B552="6063"),$N552*(1-$L552),IF(OR($B552="6411",$B552="6413",$B552="6414",$B552="645"),(1+$J552)*(1+$K552),IF(OR($B552="613",$B552="615",$B552="616",$B552="6226",$B552="625",$B552="626",$B552="6281"),(1+$I552)*(1-$L552)*(1+$M552),IF(OR($B552="6331",$B552="63511",$B552="6333"),(1+$I552)*(1-$L552),IF($B552="6811",1+$I552,1)))))))))</f>
        <v/>
      </c>
      <c r="P552">
        <f>IF($A552="","",IF($E552=1,$F552*$O552,PNL!G552))</f>
        <v/>
      </c>
      <c r="T552">
        <f>IF($A552="","",IF($E552=1,IF(OR($B552="7062",$B552="706",$B552="708"),$P552,IF(AND(LEFT($B552,1)="6",$B552&lt;&gt;"6811"),-$P552,0)),0))</f>
        <v/>
      </c>
    </row>
    <row r="553">
      <c r="A553">
        <f>IF(PNL!A553="","",PNL!A553)</f>
        <v/>
      </c>
      <c r="B553">
        <f>IF(PNL!B553="","",PNL!B553)</f>
        <v/>
      </c>
      <c r="C553">
        <f>IF(PNL!C553="","",PNL!C553)</f>
        <v/>
      </c>
      <c r="D553">
        <f>IF(PNL!D553="","",PNL!D553)</f>
        <v/>
      </c>
      <c r="E553">
        <f>IF($A553="","",IF(AND($C553="2027",OR($D553="V01",$D553="V02",$D553="V03")),1,0))</f>
        <v/>
      </c>
      <c r="F553">
        <f>IF($A553="","",IF($E553=1,SUMIFS(Comptabilité!$F$1:$F$675,Comptabilité!$A$1:$A$675,$A553,Comptabilité!$B$1:$B$675,$B553,Comptabilité!$C$1:$C$675,"2026"),0))</f>
        <v/>
      </c>
      <c r="G553">
        <f>IF($A553="","",IF($D553="V01",Cadrage!$C$22,IF($D553="V02",Cadrage!$D$22,Cadrage!$E$22)))</f>
        <v/>
      </c>
      <c r="H553">
        <f>IF($A553="","",IF($D553="V01",Cadrage!$C$23,IF($D553="V02",Cadrage!$D$23,Cadrage!$E$23)))</f>
        <v/>
      </c>
      <c r="I553">
        <f>IF($A553="","",IF($D553="V01",Cadrage!$C$31,IF($D553="V02",Cadrage!$D$31,Cadrage!$E$31)))</f>
        <v/>
      </c>
      <c r="J553">
        <f>IF($A553="","",IF($D553="V01",Cadrage!$C$32,IF($D553="V02",Cadrage!$D$32,Cadrage!$E$32)))</f>
        <v/>
      </c>
      <c r="K553">
        <f>IF($A553="","",IF($D553="V01",Cadrage!$C$33,IF($D553="V02",Cadrage!$D$33,Cadrage!$E$33)))</f>
        <v/>
      </c>
      <c r="L553">
        <f>IF($A553="","",IF($D553="V01",Cadrage!$C$34,IF($D553="V02",Cadrage!$D$34,Cadrage!$E$34)))</f>
        <v/>
      </c>
      <c r="M553">
        <f>IF($A553="","",IF($D553="V01",Cadrage!$C$35,IF($D553="V02",Cadrage!$D$35,Cadrage!$E$35)))</f>
        <v/>
      </c>
      <c r="N553">
        <f>IF($A553="","",IF($D553="V01",$R$2,IF($D553="V02",$R$3,$R$4)))</f>
        <v/>
      </c>
      <c r="O553">
        <f>IF($A553="","",IF(OR($B553="7062",$B553="706",$B553="708"),$N553,IF($B553="6231",1+$G553,IF($B553="6236",1+$H553,IF(OR($B553="621",$B553="604",$B553="6063"),$N553*(1-$L553),IF(OR($B553="6411",$B553="6413",$B553="6414",$B553="645"),(1+$J553)*(1+$K553),IF(OR($B553="613",$B553="615",$B553="616",$B553="6226",$B553="625",$B553="626",$B553="6281"),(1+$I553)*(1-$L553)*(1+$M553),IF(OR($B553="6331",$B553="63511",$B553="6333"),(1+$I553)*(1-$L553),IF($B553="6811",1+$I553,1)))))))))</f>
        <v/>
      </c>
      <c r="P553">
        <f>IF($A553="","",IF($E553=1,$F553*$O553,PNL!G553))</f>
        <v/>
      </c>
      <c r="T553">
        <f>IF($A553="","",IF($E553=1,IF(OR($B553="7062",$B553="706",$B553="708"),$P553,IF(AND(LEFT($B553,1)="6",$B553&lt;&gt;"6811"),-$P553,0)),0))</f>
        <v/>
      </c>
    </row>
    <row r="554">
      <c r="A554">
        <f>IF(PNL!A554="","",PNL!A554)</f>
        <v/>
      </c>
      <c r="B554">
        <f>IF(PNL!B554="","",PNL!B554)</f>
        <v/>
      </c>
      <c r="C554">
        <f>IF(PNL!C554="","",PNL!C554)</f>
        <v/>
      </c>
      <c r="D554">
        <f>IF(PNL!D554="","",PNL!D554)</f>
        <v/>
      </c>
      <c r="E554">
        <f>IF($A554="","",IF(AND($C554="2027",OR($D554="V01",$D554="V02",$D554="V03")),1,0))</f>
        <v/>
      </c>
      <c r="F554">
        <f>IF($A554="","",IF($E554=1,SUMIFS(Comptabilité!$F$1:$F$675,Comptabilité!$A$1:$A$675,$A554,Comptabilité!$B$1:$B$675,$B554,Comptabilité!$C$1:$C$675,"2026"),0))</f>
        <v/>
      </c>
      <c r="G554">
        <f>IF($A554="","",IF($D554="V01",Cadrage!$C$22,IF($D554="V02",Cadrage!$D$22,Cadrage!$E$22)))</f>
        <v/>
      </c>
      <c r="H554">
        <f>IF($A554="","",IF($D554="V01",Cadrage!$C$23,IF($D554="V02",Cadrage!$D$23,Cadrage!$E$23)))</f>
        <v/>
      </c>
      <c r="I554">
        <f>IF($A554="","",IF($D554="V01",Cadrage!$C$31,IF($D554="V02",Cadrage!$D$31,Cadrage!$E$31)))</f>
        <v/>
      </c>
      <c r="J554">
        <f>IF($A554="","",IF($D554="V01",Cadrage!$C$32,IF($D554="V02",Cadrage!$D$32,Cadrage!$E$32)))</f>
        <v/>
      </c>
      <c r="K554">
        <f>IF($A554="","",IF($D554="V01",Cadrage!$C$33,IF($D554="V02",Cadrage!$D$33,Cadrage!$E$33)))</f>
        <v/>
      </c>
      <c r="L554">
        <f>IF($A554="","",IF($D554="V01",Cadrage!$C$34,IF($D554="V02",Cadrage!$D$34,Cadrage!$E$34)))</f>
        <v/>
      </c>
      <c r="M554">
        <f>IF($A554="","",IF($D554="V01",Cadrage!$C$35,IF($D554="V02",Cadrage!$D$35,Cadrage!$E$35)))</f>
        <v/>
      </c>
      <c r="N554">
        <f>IF($A554="","",IF($D554="V01",$R$2,IF($D554="V02",$R$3,$R$4)))</f>
        <v/>
      </c>
      <c r="O554">
        <f>IF($A554="","",IF(OR($B554="7062",$B554="706",$B554="708"),$N554,IF($B554="6231",1+$G554,IF($B554="6236",1+$H554,IF(OR($B554="621",$B554="604",$B554="6063"),$N554*(1-$L554),IF(OR($B554="6411",$B554="6413",$B554="6414",$B554="645"),(1+$J554)*(1+$K554),IF(OR($B554="613",$B554="615",$B554="616",$B554="6226",$B554="625",$B554="626",$B554="6281"),(1+$I554)*(1-$L554)*(1+$M554),IF(OR($B554="6331",$B554="63511",$B554="6333"),(1+$I554)*(1-$L554),IF($B554="6811",1+$I554,1)))))))))</f>
        <v/>
      </c>
      <c r="P554">
        <f>IF($A554="","",IF($E554=1,$F554*$O554,PNL!G554))</f>
        <v/>
      </c>
      <c r="T554">
        <f>IF($A554="","",IF($E554=1,IF(OR($B554="7062",$B554="706",$B554="708"),$P554,IF(AND(LEFT($B554,1)="6",$B554&lt;&gt;"6811"),-$P554,0)),0))</f>
        <v/>
      </c>
    </row>
    <row r="555">
      <c r="A555">
        <f>IF(PNL!A555="","",PNL!A555)</f>
        <v/>
      </c>
      <c r="B555">
        <f>IF(PNL!B555="","",PNL!B555)</f>
        <v/>
      </c>
      <c r="C555">
        <f>IF(PNL!C555="","",PNL!C555)</f>
        <v/>
      </c>
      <c r="D555">
        <f>IF(PNL!D555="","",PNL!D555)</f>
        <v/>
      </c>
      <c r="E555">
        <f>IF($A555="","",IF(AND($C555="2027",OR($D555="V01",$D555="V02",$D555="V03")),1,0))</f>
        <v/>
      </c>
      <c r="F555">
        <f>IF($A555="","",IF($E555=1,SUMIFS(Comptabilité!$F$1:$F$675,Comptabilité!$A$1:$A$675,$A555,Comptabilité!$B$1:$B$675,$B555,Comptabilité!$C$1:$C$675,"2026"),0))</f>
        <v/>
      </c>
      <c r="G555">
        <f>IF($A555="","",IF($D555="V01",Cadrage!$C$22,IF($D555="V02",Cadrage!$D$22,Cadrage!$E$22)))</f>
        <v/>
      </c>
      <c r="H555">
        <f>IF($A555="","",IF($D555="V01",Cadrage!$C$23,IF($D555="V02",Cadrage!$D$23,Cadrage!$E$23)))</f>
        <v/>
      </c>
      <c r="I555">
        <f>IF($A555="","",IF($D555="V01",Cadrage!$C$31,IF($D555="V02",Cadrage!$D$31,Cadrage!$E$31)))</f>
        <v/>
      </c>
      <c r="J555">
        <f>IF($A555="","",IF($D555="V01",Cadrage!$C$32,IF($D555="V02",Cadrage!$D$32,Cadrage!$E$32)))</f>
        <v/>
      </c>
      <c r="K555">
        <f>IF($A555="","",IF($D555="V01",Cadrage!$C$33,IF($D555="V02",Cadrage!$D$33,Cadrage!$E$33)))</f>
        <v/>
      </c>
      <c r="L555">
        <f>IF($A555="","",IF($D555="V01",Cadrage!$C$34,IF($D555="V02",Cadrage!$D$34,Cadrage!$E$34)))</f>
        <v/>
      </c>
      <c r="M555">
        <f>IF($A555="","",IF($D555="V01",Cadrage!$C$35,IF($D555="V02",Cadrage!$D$35,Cadrage!$E$35)))</f>
        <v/>
      </c>
      <c r="N555">
        <f>IF($A555="","",IF($D555="V01",$R$2,IF($D555="V02",$R$3,$R$4)))</f>
        <v/>
      </c>
      <c r="O555">
        <f>IF($A555="","",IF(OR($B555="7062",$B555="706",$B555="708"),$N555,IF($B555="6231",1+$G555,IF($B555="6236",1+$H555,IF(OR($B555="621",$B555="604",$B555="6063"),$N555*(1-$L555),IF(OR($B555="6411",$B555="6413",$B555="6414",$B555="645"),(1+$J555)*(1+$K555),IF(OR($B555="613",$B555="615",$B555="616",$B555="6226",$B555="625",$B555="626",$B555="6281"),(1+$I555)*(1-$L555)*(1+$M555),IF(OR($B555="6331",$B555="63511",$B555="6333"),(1+$I555)*(1-$L555),IF($B555="6811",1+$I555,1)))))))))</f>
        <v/>
      </c>
      <c r="P555">
        <f>IF($A555="","",IF($E555=1,$F555*$O555,PNL!G555))</f>
        <v/>
      </c>
      <c r="T555">
        <f>IF($A555="","",IF($E555=1,IF(OR($B555="7062",$B555="706",$B555="708"),$P555,IF(AND(LEFT($B555,1)="6",$B555&lt;&gt;"6811"),-$P555,0)),0))</f>
        <v/>
      </c>
    </row>
    <row r="556">
      <c r="A556">
        <f>IF(PNL!A556="","",PNL!A556)</f>
        <v/>
      </c>
      <c r="B556">
        <f>IF(PNL!B556="","",PNL!B556)</f>
        <v/>
      </c>
      <c r="C556">
        <f>IF(PNL!C556="","",PNL!C556)</f>
        <v/>
      </c>
      <c r="D556">
        <f>IF(PNL!D556="","",PNL!D556)</f>
        <v/>
      </c>
      <c r="E556">
        <f>IF($A556="","",IF(AND($C556="2027",OR($D556="V01",$D556="V02",$D556="V03")),1,0))</f>
        <v/>
      </c>
      <c r="F556">
        <f>IF($A556="","",IF($E556=1,SUMIFS(Comptabilité!$F$1:$F$675,Comptabilité!$A$1:$A$675,$A556,Comptabilité!$B$1:$B$675,$B556,Comptabilité!$C$1:$C$675,"2026"),0))</f>
        <v/>
      </c>
      <c r="G556">
        <f>IF($A556="","",IF($D556="V01",Cadrage!$C$22,IF($D556="V02",Cadrage!$D$22,Cadrage!$E$22)))</f>
        <v/>
      </c>
      <c r="H556">
        <f>IF($A556="","",IF($D556="V01",Cadrage!$C$23,IF($D556="V02",Cadrage!$D$23,Cadrage!$E$23)))</f>
        <v/>
      </c>
      <c r="I556">
        <f>IF($A556="","",IF($D556="V01",Cadrage!$C$31,IF($D556="V02",Cadrage!$D$31,Cadrage!$E$31)))</f>
        <v/>
      </c>
      <c r="J556">
        <f>IF($A556="","",IF($D556="V01",Cadrage!$C$32,IF($D556="V02",Cadrage!$D$32,Cadrage!$E$32)))</f>
        <v/>
      </c>
      <c r="K556">
        <f>IF($A556="","",IF($D556="V01",Cadrage!$C$33,IF($D556="V02",Cadrage!$D$33,Cadrage!$E$33)))</f>
        <v/>
      </c>
      <c r="L556">
        <f>IF($A556="","",IF($D556="V01",Cadrage!$C$34,IF($D556="V02",Cadrage!$D$34,Cadrage!$E$34)))</f>
        <v/>
      </c>
      <c r="M556">
        <f>IF($A556="","",IF($D556="V01",Cadrage!$C$35,IF($D556="V02",Cadrage!$D$35,Cadrage!$E$35)))</f>
        <v/>
      </c>
      <c r="N556">
        <f>IF($A556="","",IF($D556="V01",$R$2,IF($D556="V02",$R$3,$R$4)))</f>
        <v/>
      </c>
      <c r="O556">
        <f>IF($A556="","",IF(OR($B556="7062",$B556="706",$B556="708"),$N556,IF($B556="6231",1+$G556,IF($B556="6236",1+$H556,IF(OR($B556="621",$B556="604",$B556="6063"),$N556*(1-$L556),IF(OR($B556="6411",$B556="6413",$B556="6414",$B556="645"),(1+$J556)*(1+$K556),IF(OR($B556="613",$B556="615",$B556="616",$B556="6226",$B556="625",$B556="626",$B556="6281"),(1+$I556)*(1-$L556)*(1+$M556),IF(OR($B556="6331",$B556="63511",$B556="6333"),(1+$I556)*(1-$L556),IF($B556="6811",1+$I556,1)))))))))</f>
        <v/>
      </c>
      <c r="P556">
        <f>IF($A556="","",IF($E556=1,$F556*$O556,PNL!G556))</f>
        <v/>
      </c>
      <c r="T556">
        <f>IF($A556="","",IF($E556=1,IF(OR($B556="7062",$B556="706",$B556="708"),$P556,IF(AND(LEFT($B556,1)="6",$B556&lt;&gt;"6811"),-$P556,0)),0))</f>
        <v/>
      </c>
    </row>
    <row r="557">
      <c r="A557">
        <f>IF(PNL!A557="","",PNL!A557)</f>
        <v/>
      </c>
      <c r="B557">
        <f>IF(PNL!B557="","",PNL!B557)</f>
        <v/>
      </c>
      <c r="C557">
        <f>IF(PNL!C557="","",PNL!C557)</f>
        <v/>
      </c>
      <c r="D557">
        <f>IF(PNL!D557="","",PNL!D557)</f>
        <v/>
      </c>
      <c r="E557">
        <f>IF($A557="","",IF(AND($C557="2027",OR($D557="V01",$D557="V02",$D557="V03")),1,0))</f>
        <v/>
      </c>
      <c r="F557">
        <f>IF($A557="","",IF($E557=1,SUMIFS(Comptabilité!$F$1:$F$675,Comptabilité!$A$1:$A$675,$A557,Comptabilité!$B$1:$B$675,$B557,Comptabilité!$C$1:$C$675,"2026"),0))</f>
        <v/>
      </c>
      <c r="G557">
        <f>IF($A557="","",IF($D557="V01",Cadrage!$C$22,IF($D557="V02",Cadrage!$D$22,Cadrage!$E$22)))</f>
        <v/>
      </c>
      <c r="H557">
        <f>IF($A557="","",IF($D557="V01",Cadrage!$C$23,IF($D557="V02",Cadrage!$D$23,Cadrage!$E$23)))</f>
        <v/>
      </c>
      <c r="I557">
        <f>IF($A557="","",IF($D557="V01",Cadrage!$C$31,IF($D557="V02",Cadrage!$D$31,Cadrage!$E$31)))</f>
        <v/>
      </c>
      <c r="J557">
        <f>IF($A557="","",IF($D557="V01",Cadrage!$C$32,IF($D557="V02",Cadrage!$D$32,Cadrage!$E$32)))</f>
        <v/>
      </c>
      <c r="K557">
        <f>IF($A557="","",IF($D557="V01",Cadrage!$C$33,IF($D557="V02",Cadrage!$D$33,Cadrage!$E$33)))</f>
        <v/>
      </c>
      <c r="L557">
        <f>IF($A557="","",IF($D557="V01",Cadrage!$C$34,IF($D557="V02",Cadrage!$D$34,Cadrage!$E$34)))</f>
        <v/>
      </c>
      <c r="M557">
        <f>IF($A557="","",IF($D557="V01",Cadrage!$C$35,IF($D557="V02",Cadrage!$D$35,Cadrage!$E$35)))</f>
        <v/>
      </c>
      <c r="N557">
        <f>IF($A557="","",IF($D557="V01",$R$2,IF($D557="V02",$R$3,$R$4)))</f>
        <v/>
      </c>
      <c r="O557">
        <f>IF($A557="","",IF(OR($B557="7062",$B557="706",$B557="708"),$N557,IF($B557="6231",1+$G557,IF($B557="6236",1+$H557,IF(OR($B557="621",$B557="604",$B557="6063"),$N557*(1-$L557),IF(OR($B557="6411",$B557="6413",$B557="6414",$B557="645"),(1+$J557)*(1+$K557),IF(OR($B557="613",$B557="615",$B557="616",$B557="6226",$B557="625",$B557="626",$B557="6281"),(1+$I557)*(1-$L557)*(1+$M557),IF(OR($B557="6331",$B557="63511",$B557="6333"),(1+$I557)*(1-$L557),IF($B557="6811",1+$I557,1)))))))))</f>
        <v/>
      </c>
      <c r="P557">
        <f>IF($A557="","",IF($E557=1,$F557*$O557,PNL!G557))</f>
        <v/>
      </c>
      <c r="T557">
        <f>IF($A557="","",IF($E557=1,IF(OR($B557="7062",$B557="706",$B557="708"),$P557,IF(AND(LEFT($B557,1)="6",$B557&lt;&gt;"6811"),-$P557,0)),0))</f>
        <v/>
      </c>
    </row>
    <row r="558">
      <c r="A558">
        <f>IF(PNL!A558="","",PNL!A558)</f>
        <v/>
      </c>
      <c r="B558">
        <f>IF(PNL!B558="","",PNL!B558)</f>
        <v/>
      </c>
      <c r="C558">
        <f>IF(PNL!C558="","",PNL!C558)</f>
        <v/>
      </c>
      <c r="D558">
        <f>IF(PNL!D558="","",PNL!D558)</f>
        <v/>
      </c>
      <c r="E558">
        <f>IF($A558="","",IF(AND($C558="2027",OR($D558="V01",$D558="V02",$D558="V03")),1,0))</f>
        <v/>
      </c>
      <c r="F558">
        <f>IF($A558="","",IF($E558=1,SUMIFS(Comptabilité!$F$1:$F$675,Comptabilité!$A$1:$A$675,$A558,Comptabilité!$B$1:$B$675,$B558,Comptabilité!$C$1:$C$675,"2026"),0))</f>
        <v/>
      </c>
      <c r="G558">
        <f>IF($A558="","",IF($D558="V01",Cadrage!$C$22,IF($D558="V02",Cadrage!$D$22,Cadrage!$E$22)))</f>
        <v/>
      </c>
      <c r="H558">
        <f>IF($A558="","",IF($D558="V01",Cadrage!$C$23,IF($D558="V02",Cadrage!$D$23,Cadrage!$E$23)))</f>
        <v/>
      </c>
      <c r="I558">
        <f>IF($A558="","",IF($D558="V01",Cadrage!$C$31,IF($D558="V02",Cadrage!$D$31,Cadrage!$E$31)))</f>
        <v/>
      </c>
      <c r="J558">
        <f>IF($A558="","",IF($D558="V01",Cadrage!$C$32,IF($D558="V02",Cadrage!$D$32,Cadrage!$E$32)))</f>
        <v/>
      </c>
      <c r="K558">
        <f>IF($A558="","",IF($D558="V01",Cadrage!$C$33,IF($D558="V02",Cadrage!$D$33,Cadrage!$E$33)))</f>
        <v/>
      </c>
      <c r="L558">
        <f>IF($A558="","",IF($D558="V01",Cadrage!$C$34,IF($D558="V02",Cadrage!$D$34,Cadrage!$E$34)))</f>
        <v/>
      </c>
      <c r="M558">
        <f>IF($A558="","",IF($D558="V01",Cadrage!$C$35,IF($D558="V02",Cadrage!$D$35,Cadrage!$E$35)))</f>
        <v/>
      </c>
      <c r="N558">
        <f>IF($A558="","",IF($D558="V01",$R$2,IF($D558="V02",$R$3,$R$4)))</f>
        <v/>
      </c>
      <c r="O558">
        <f>IF($A558="","",IF(OR($B558="7062",$B558="706",$B558="708"),$N558,IF($B558="6231",1+$G558,IF($B558="6236",1+$H558,IF(OR($B558="621",$B558="604",$B558="6063"),$N558*(1-$L558),IF(OR($B558="6411",$B558="6413",$B558="6414",$B558="645"),(1+$J558)*(1+$K558),IF(OR($B558="613",$B558="615",$B558="616",$B558="6226",$B558="625",$B558="626",$B558="6281"),(1+$I558)*(1-$L558)*(1+$M558),IF(OR($B558="6331",$B558="63511",$B558="6333"),(1+$I558)*(1-$L558),IF($B558="6811",1+$I558,1)))))))))</f>
        <v/>
      </c>
      <c r="P558">
        <f>IF($A558="","",IF($E558=1,$F558*$O558,PNL!G558))</f>
        <v/>
      </c>
      <c r="T558">
        <f>IF($A558="","",IF($E558=1,IF(OR($B558="7062",$B558="706",$B558="708"),$P558,IF(AND(LEFT($B558,1)="6",$B558&lt;&gt;"6811"),-$P558,0)),0))</f>
        <v/>
      </c>
    </row>
    <row r="559">
      <c r="A559">
        <f>IF(PNL!A559="","",PNL!A559)</f>
        <v/>
      </c>
      <c r="B559">
        <f>IF(PNL!B559="","",PNL!B559)</f>
        <v/>
      </c>
      <c r="C559">
        <f>IF(PNL!C559="","",PNL!C559)</f>
        <v/>
      </c>
      <c r="D559">
        <f>IF(PNL!D559="","",PNL!D559)</f>
        <v/>
      </c>
      <c r="E559">
        <f>IF($A559="","",IF(AND($C559="2027",OR($D559="V01",$D559="V02",$D559="V03")),1,0))</f>
        <v/>
      </c>
      <c r="F559">
        <f>IF($A559="","",IF($E559=1,SUMIFS(Comptabilité!$F$1:$F$675,Comptabilité!$A$1:$A$675,$A559,Comptabilité!$B$1:$B$675,$B559,Comptabilité!$C$1:$C$675,"2026"),0))</f>
        <v/>
      </c>
      <c r="G559">
        <f>IF($A559="","",IF($D559="V01",Cadrage!$C$22,IF($D559="V02",Cadrage!$D$22,Cadrage!$E$22)))</f>
        <v/>
      </c>
      <c r="H559">
        <f>IF($A559="","",IF($D559="V01",Cadrage!$C$23,IF($D559="V02",Cadrage!$D$23,Cadrage!$E$23)))</f>
        <v/>
      </c>
      <c r="I559">
        <f>IF($A559="","",IF($D559="V01",Cadrage!$C$31,IF($D559="V02",Cadrage!$D$31,Cadrage!$E$31)))</f>
        <v/>
      </c>
      <c r="J559">
        <f>IF($A559="","",IF($D559="V01",Cadrage!$C$32,IF($D559="V02",Cadrage!$D$32,Cadrage!$E$32)))</f>
        <v/>
      </c>
      <c r="K559">
        <f>IF($A559="","",IF($D559="V01",Cadrage!$C$33,IF($D559="V02",Cadrage!$D$33,Cadrage!$E$33)))</f>
        <v/>
      </c>
      <c r="L559">
        <f>IF($A559="","",IF($D559="V01",Cadrage!$C$34,IF($D559="V02",Cadrage!$D$34,Cadrage!$E$34)))</f>
        <v/>
      </c>
      <c r="M559">
        <f>IF($A559="","",IF($D559="V01",Cadrage!$C$35,IF($D559="V02",Cadrage!$D$35,Cadrage!$E$35)))</f>
        <v/>
      </c>
      <c r="N559">
        <f>IF($A559="","",IF($D559="V01",$R$2,IF($D559="V02",$R$3,$R$4)))</f>
        <v/>
      </c>
      <c r="O559">
        <f>IF($A559="","",IF(OR($B559="7062",$B559="706",$B559="708"),$N559,IF($B559="6231",1+$G559,IF($B559="6236",1+$H559,IF(OR($B559="621",$B559="604",$B559="6063"),$N559*(1-$L559),IF(OR($B559="6411",$B559="6413",$B559="6414",$B559="645"),(1+$J559)*(1+$K559),IF(OR($B559="613",$B559="615",$B559="616",$B559="6226",$B559="625",$B559="626",$B559="6281"),(1+$I559)*(1-$L559)*(1+$M559),IF(OR($B559="6331",$B559="63511",$B559="6333"),(1+$I559)*(1-$L559),IF($B559="6811",1+$I559,1)))))))))</f>
        <v/>
      </c>
      <c r="P559">
        <f>IF($A559="","",IF($E559=1,$F559*$O559,PNL!G559))</f>
        <v/>
      </c>
      <c r="T559">
        <f>IF($A559="","",IF($E559=1,IF(OR($B559="7062",$B559="706",$B559="708"),$P559,IF(AND(LEFT($B559,1)="6",$B559&lt;&gt;"6811"),-$P559,0)),0))</f>
        <v/>
      </c>
    </row>
    <row r="560">
      <c r="A560">
        <f>IF(PNL!A560="","",PNL!A560)</f>
        <v/>
      </c>
      <c r="B560">
        <f>IF(PNL!B560="","",PNL!B560)</f>
        <v/>
      </c>
      <c r="C560">
        <f>IF(PNL!C560="","",PNL!C560)</f>
        <v/>
      </c>
      <c r="D560">
        <f>IF(PNL!D560="","",PNL!D560)</f>
        <v/>
      </c>
      <c r="E560">
        <f>IF($A560="","",IF(AND($C560="2027",OR($D560="V01",$D560="V02",$D560="V03")),1,0))</f>
        <v/>
      </c>
      <c r="F560">
        <f>IF($A560="","",IF($E560=1,SUMIFS(Comptabilité!$F$1:$F$675,Comptabilité!$A$1:$A$675,$A560,Comptabilité!$B$1:$B$675,$B560,Comptabilité!$C$1:$C$675,"2026"),0))</f>
        <v/>
      </c>
      <c r="G560">
        <f>IF($A560="","",IF($D560="V01",Cadrage!$C$22,IF($D560="V02",Cadrage!$D$22,Cadrage!$E$22)))</f>
        <v/>
      </c>
      <c r="H560">
        <f>IF($A560="","",IF($D560="V01",Cadrage!$C$23,IF($D560="V02",Cadrage!$D$23,Cadrage!$E$23)))</f>
        <v/>
      </c>
      <c r="I560">
        <f>IF($A560="","",IF($D560="V01",Cadrage!$C$31,IF($D560="V02",Cadrage!$D$31,Cadrage!$E$31)))</f>
        <v/>
      </c>
      <c r="J560">
        <f>IF($A560="","",IF($D560="V01",Cadrage!$C$32,IF($D560="V02",Cadrage!$D$32,Cadrage!$E$32)))</f>
        <v/>
      </c>
      <c r="K560">
        <f>IF($A560="","",IF($D560="V01",Cadrage!$C$33,IF($D560="V02",Cadrage!$D$33,Cadrage!$E$33)))</f>
        <v/>
      </c>
      <c r="L560">
        <f>IF($A560="","",IF($D560="V01",Cadrage!$C$34,IF($D560="V02",Cadrage!$D$34,Cadrage!$E$34)))</f>
        <v/>
      </c>
      <c r="M560">
        <f>IF($A560="","",IF($D560="V01",Cadrage!$C$35,IF($D560="V02",Cadrage!$D$35,Cadrage!$E$35)))</f>
        <v/>
      </c>
      <c r="N560">
        <f>IF($A560="","",IF($D560="V01",$R$2,IF($D560="V02",$R$3,$R$4)))</f>
        <v/>
      </c>
      <c r="O560">
        <f>IF($A560="","",IF(OR($B560="7062",$B560="706",$B560="708"),$N560,IF($B560="6231",1+$G560,IF($B560="6236",1+$H560,IF(OR($B560="621",$B560="604",$B560="6063"),$N560*(1-$L560),IF(OR($B560="6411",$B560="6413",$B560="6414",$B560="645"),(1+$J560)*(1+$K560),IF(OR($B560="613",$B560="615",$B560="616",$B560="6226",$B560="625",$B560="626",$B560="6281"),(1+$I560)*(1-$L560)*(1+$M560),IF(OR($B560="6331",$B560="63511",$B560="6333"),(1+$I560)*(1-$L560),IF($B560="6811",1+$I560,1)))))))))</f>
        <v/>
      </c>
      <c r="P560">
        <f>IF($A560="","",IF($E560=1,$F560*$O560,PNL!G560))</f>
        <v/>
      </c>
      <c r="T560">
        <f>IF($A560="","",IF($E560=1,IF(OR($B560="7062",$B560="706",$B560="708"),$P560,IF(AND(LEFT($B560,1)="6",$B560&lt;&gt;"6811"),-$P560,0)),0))</f>
        <v/>
      </c>
    </row>
    <row r="561">
      <c r="A561">
        <f>IF(PNL!A561="","",PNL!A561)</f>
        <v/>
      </c>
      <c r="B561">
        <f>IF(PNL!B561="","",PNL!B561)</f>
        <v/>
      </c>
      <c r="C561">
        <f>IF(PNL!C561="","",PNL!C561)</f>
        <v/>
      </c>
      <c r="D561">
        <f>IF(PNL!D561="","",PNL!D561)</f>
        <v/>
      </c>
      <c r="E561">
        <f>IF($A561="","",IF(AND($C561="2027",OR($D561="V01",$D561="V02",$D561="V03")),1,0))</f>
        <v/>
      </c>
      <c r="F561">
        <f>IF($A561="","",IF($E561=1,SUMIFS(Comptabilité!$F$1:$F$675,Comptabilité!$A$1:$A$675,$A561,Comptabilité!$B$1:$B$675,$B561,Comptabilité!$C$1:$C$675,"2026"),0))</f>
        <v/>
      </c>
      <c r="G561">
        <f>IF($A561="","",IF($D561="V01",Cadrage!$C$22,IF($D561="V02",Cadrage!$D$22,Cadrage!$E$22)))</f>
        <v/>
      </c>
      <c r="H561">
        <f>IF($A561="","",IF($D561="V01",Cadrage!$C$23,IF($D561="V02",Cadrage!$D$23,Cadrage!$E$23)))</f>
        <v/>
      </c>
      <c r="I561">
        <f>IF($A561="","",IF($D561="V01",Cadrage!$C$31,IF($D561="V02",Cadrage!$D$31,Cadrage!$E$31)))</f>
        <v/>
      </c>
      <c r="J561">
        <f>IF($A561="","",IF($D561="V01",Cadrage!$C$32,IF($D561="V02",Cadrage!$D$32,Cadrage!$E$32)))</f>
        <v/>
      </c>
      <c r="K561">
        <f>IF($A561="","",IF($D561="V01",Cadrage!$C$33,IF($D561="V02",Cadrage!$D$33,Cadrage!$E$33)))</f>
        <v/>
      </c>
      <c r="L561">
        <f>IF($A561="","",IF($D561="V01",Cadrage!$C$34,IF($D561="V02",Cadrage!$D$34,Cadrage!$E$34)))</f>
        <v/>
      </c>
      <c r="M561">
        <f>IF($A561="","",IF($D561="V01",Cadrage!$C$35,IF($D561="V02",Cadrage!$D$35,Cadrage!$E$35)))</f>
        <v/>
      </c>
      <c r="N561">
        <f>IF($A561="","",IF($D561="V01",$R$2,IF($D561="V02",$R$3,$R$4)))</f>
        <v/>
      </c>
      <c r="O561">
        <f>IF($A561="","",IF(OR($B561="7062",$B561="706",$B561="708"),$N561,IF($B561="6231",1+$G561,IF($B561="6236",1+$H561,IF(OR($B561="621",$B561="604",$B561="6063"),$N561*(1-$L561),IF(OR($B561="6411",$B561="6413",$B561="6414",$B561="645"),(1+$J561)*(1+$K561),IF(OR($B561="613",$B561="615",$B561="616",$B561="6226",$B561="625",$B561="626",$B561="6281"),(1+$I561)*(1-$L561)*(1+$M561),IF(OR($B561="6331",$B561="63511",$B561="6333"),(1+$I561)*(1-$L561),IF($B561="6811",1+$I561,1)))))))))</f>
        <v/>
      </c>
      <c r="P561">
        <f>IF($A561="","",IF($E561=1,$F561*$O561,PNL!G561))</f>
        <v/>
      </c>
      <c r="T561">
        <f>IF($A561="","",IF($E561=1,IF(OR($B561="7062",$B561="706",$B561="708"),$P561,IF(AND(LEFT($B561,1)="6",$B561&lt;&gt;"6811"),-$P561,0)),0))</f>
        <v/>
      </c>
    </row>
    <row r="562">
      <c r="A562">
        <f>IF(PNL!A562="","",PNL!A562)</f>
        <v/>
      </c>
      <c r="B562">
        <f>IF(PNL!B562="","",PNL!B562)</f>
        <v/>
      </c>
      <c r="C562">
        <f>IF(PNL!C562="","",PNL!C562)</f>
        <v/>
      </c>
      <c r="D562">
        <f>IF(PNL!D562="","",PNL!D562)</f>
        <v/>
      </c>
      <c r="E562">
        <f>IF($A562="","",IF(AND($C562="2027",OR($D562="V01",$D562="V02",$D562="V03")),1,0))</f>
        <v/>
      </c>
      <c r="F562">
        <f>IF($A562="","",IF($E562=1,SUMIFS(Comptabilité!$F$1:$F$675,Comptabilité!$A$1:$A$675,$A562,Comptabilité!$B$1:$B$675,$B562,Comptabilité!$C$1:$C$675,"2026"),0))</f>
        <v/>
      </c>
      <c r="G562">
        <f>IF($A562="","",IF($D562="V01",Cadrage!$C$22,IF($D562="V02",Cadrage!$D$22,Cadrage!$E$22)))</f>
        <v/>
      </c>
      <c r="H562">
        <f>IF($A562="","",IF($D562="V01",Cadrage!$C$23,IF($D562="V02",Cadrage!$D$23,Cadrage!$E$23)))</f>
        <v/>
      </c>
      <c r="I562">
        <f>IF($A562="","",IF($D562="V01",Cadrage!$C$31,IF($D562="V02",Cadrage!$D$31,Cadrage!$E$31)))</f>
        <v/>
      </c>
      <c r="J562">
        <f>IF($A562="","",IF($D562="V01",Cadrage!$C$32,IF($D562="V02",Cadrage!$D$32,Cadrage!$E$32)))</f>
        <v/>
      </c>
      <c r="K562">
        <f>IF($A562="","",IF($D562="V01",Cadrage!$C$33,IF($D562="V02",Cadrage!$D$33,Cadrage!$E$33)))</f>
        <v/>
      </c>
      <c r="L562">
        <f>IF($A562="","",IF($D562="V01",Cadrage!$C$34,IF($D562="V02",Cadrage!$D$34,Cadrage!$E$34)))</f>
        <v/>
      </c>
      <c r="M562">
        <f>IF($A562="","",IF($D562="V01",Cadrage!$C$35,IF($D562="V02",Cadrage!$D$35,Cadrage!$E$35)))</f>
        <v/>
      </c>
      <c r="N562">
        <f>IF($A562="","",IF($D562="V01",$R$2,IF($D562="V02",$R$3,$R$4)))</f>
        <v/>
      </c>
      <c r="O562">
        <f>IF($A562="","",IF(OR($B562="7062",$B562="706",$B562="708"),$N562,IF($B562="6231",1+$G562,IF($B562="6236",1+$H562,IF(OR($B562="621",$B562="604",$B562="6063"),$N562*(1-$L562),IF(OR($B562="6411",$B562="6413",$B562="6414",$B562="645"),(1+$J562)*(1+$K562),IF(OR($B562="613",$B562="615",$B562="616",$B562="6226",$B562="625",$B562="626",$B562="6281"),(1+$I562)*(1-$L562)*(1+$M562),IF(OR($B562="6331",$B562="63511",$B562="6333"),(1+$I562)*(1-$L562),IF($B562="6811",1+$I562,1)))))))))</f>
        <v/>
      </c>
      <c r="P562">
        <f>IF($A562="","",IF($E562=1,$F562*$O562,PNL!G562))</f>
        <v/>
      </c>
      <c r="T562">
        <f>IF($A562="","",IF($E562=1,IF(OR($B562="7062",$B562="706",$B562="708"),$P562,IF(AND(LEFT($B562,1)="6",$B562&lt;&gt;"6811"),-$P562,0)),0))</f>
        <v/>
      </c>
    </row>
    <row r="563">
      <c r="A563">
        <f>IF(PNL!A563="","",PNL!A563)</f>
        <v/>
      </c>
      <c r="B563">
        <f>IF(PNL!B563="","",PNL!B563)</f>
        <v/>
      </c>
      <c r="C563">
        <f>IF(PNL!C563="","",PNL!C563)</f>
        <v/>
      </c>
      <c r="D563">
        <f>IF(PNL!D563="","",PNL!D563)</f>
        <v/>
      </c>
      <c r="E563">
        <f>IF($A563="","",IF(AND($C563="2027",OR($D563="V01",$D563="V02",$D563="V03")),1,0))</f>
        <v/>
      </c>
      <c r="F563">
        <f>IF($A563="","",IF($E563=1,SUMIFS(Comptabilité!$F$1:$F$675,Comptabilité!$A$1:$A$675,$A563,Comptabilité!$B$1:$B$675,$B563,Comptabilité!$C$1:$C$675,"2026"),0))</f>
        <v/>
      </c>
      <c r="G563">
        <f>IF($A563="","",IF($D563="V01",Cadrage!$C$22,IF($D563="V02",Cadrage!$D$22,Cadrage!$E$22)))</f>
        <v/>
      </c>
      <c r="H563">
        <f>IF($A563="","",IF($D563="V01",Cadrage!$C$23,IF($D563="V02",Cadrage!$D$23,Cadrage!$E$23)))</f>
        <v/>
      </c>
      <c r="I563">
        <f>IF($A563="","",IF($D563="V01",Cadrage!$C$31,IF($D563="V02",Cadrage!$D$31,Cadrage!$E$31)))</f>
        <v/>
      </c>
      <c r="J563">
        <f>IF($A563="","",IF($D563="V01",Cadrage!$C$32,IF($D563="V02",Cadrage!$D$32,Cadrage!$E$32)))</f>
        <v/>
      </c>
      <c r="K563">
        <f>IF($A563="","",IF($D563="V01",Cadrage!$C$33,IF($D563="V02",Cadrage!$D$33,Cadrage!$E$33)))</f>
        <v/>
      </c>
      <c r="L563">
        <f>IF($A563="","",IF($D563="V01",Cadrage!$C$34,IF($D563="V02",Cadrage!$D$34,Cadrage!$E$34)))</f>
        <v/>
      </c>
      <c r="M563">
        <f>IF($A563="","",IF($D563="V01",Cadrage!$C$35,IF($D563="V02",Cadrage!$D$35,Cadrage!$E$35)))</f>
        <v/>
      </c>
      <c r="N563">
        <f>IF($A563="","",IF($D563="V01",$R$2,IF($D563="V02",$R$3,$R$4)))</f>
        <v/>
      </c>
      <c r="O563">
        <f>IF($A563="","",IF(OR($B563="7062",$B563="706",$B563="708"),$N563,IF($B563="6231",1+$G563,IF($B563="6236",1+$H563,IF(OR($B563="621",$B563="604",$B563="6063"),$N563*(1-$L563),IF(OR($B563="6411",$B563="6413",$B563="6414",$B563="645"),(1+$J563)*(1+$K563),IF(OR($B563="613",$B563="615",$B563="616",$B563="6226",$B563="625",$B563="626",$B563="6281"),(1+$I563)*(1-$L563)*(1+$M563),IF(OR($B563="6331",$B563="63511",$B563="6333"),(1+$I563)*(1-$L563),IF($B563="6811",1+$I563,1)))))))))</f>
        <v/>
      </c>
      <c r="P563">
        <f>IF($A563="","",IF($E563=1,$F563*$O563,PNL!G563))</f>
        <v/>
      </c>
      <c r="T563">
        <f>IF($A563="","",IF($E563=1,IF(OR($B563="7062",$B563="706",$B563="708"),$P563,IF(AND(LEFT($B563,1)="6",$B563&lt;&gt;"6811"),-$P563,0)),0))</f>
        <v/>
      </c>
    </row>
    <row r="564">
      <c r="A564">
        <f>IF(PNL!A564="","",PNL!A564)</f>
        <v/>
      </c>
      <c r="B564">
        <f>IF(PNL!B564="","",PNL!B564)</f>
        <v/>
      </c>
      <c r="C564">
        <f>IF(PNL!C564="","",PNL!C564)</f>
        <v/>
      </c>
      <c r="D564">
        <f>IF(PNL!D564="","",PNL!D564)</f>
        <v/>
      </c>
      <c r="E564">
        <f>IF($A564="","",IF(AND($C564="2027",OR($D564="V01",$D564="V02",$D564="V03")),1,0))</f>
        <v/>
      </c>
      <c r="F564">
        <f>IF($A564="","",IF($E564=1,SUMIFS(Comptabilité!$F$1:$F$675,Comptabilité!$A$1:$A$675,$A564,Comptabilité!$B$1:$B$675,$B564,Comptabilité!$C$1:$C$675,"2026"),0))</f>
        <v/>
      </c>
      <c r="G564">
        <f>IF($A564="","",IF($D564="V01",Cadrage!$C$22,IF($D564="V02",Cadrage!$D$22,Cadrage!$E$22)))</f>
        <v/>
      </c>
      <c r="H564">
        <f>IF($A564="","",IF($D564="V01",Cadrage!$C$23,IF($D564="V02",Cadrage!$D$23,Cadrage!$E$23)))</f>
        <v/>
      </c>
      <c r="I564">
        <f>IF($A564="","",IF($D564="V01",Cadrage!$C$31,IF($D564="V02",Cadrage!$D$31,Cadrage!$E$31)))</f>
        <v/>
      </c>
      <c r="J564">
        <f>IF($A564="","",IF($D564="V01",Cadrage!$C$32,IF($D564="V02",Cadrage!$D$32,Cadrage!$E$32)))</f>
        <v/>
      </c>
      <c r="K564">
        <f>IF($A564="","",IF($D564="V01",Cadrage!$C$33,IF($D564="V02",Cadrage!$D$33,Cadrage!$E$33)))</f>
        <v/>
      </c>
      <c r="L564">
        <f>IF($A564="","",IF($D564="V01",Cadrage!$C$34,IF($D564="V02",Cadrage!$D$34,Cadrage!$E$34)))</f>
        <v/>
      </c>
      <c r="M564">
        <f>IF($A564="","",IF($D564="V01",Cadrage!$C$35,IF($D564="V02",Cadrage!$D$35,Cadrage!$E$35)))</f>
        <v/>
      </c>
      <c r="N564">
        <f>IF($A564="","",IF($D564="V01",$R$2,IF($D564="V02",$R$3,$R$4)))</f>
        <v/>
      </c>
      <c r="O564">
        <f>IF($A564="","",IF(OR($B564="7062",$B564="706",$B564="708"),$N564,IF($B564="6231",1+$G564,IF($B564="6236",1+$H564,IF(OR($B564="621",$B564="604",$B564="6063"),$N564*(1-$L564),IF(OR($B564="6411",$B564="6413",$B564="6414",$B564="645"),(1+$J564)*(1+$K564),IF(OR($B564="613",$B564="615",$B564="616",$B564="6226",$B564="625",$B564="626",$B564="6281"),(1+$I564)*(1-$L564)*(1+$M564),IF(OR($B564="6331",$B564="63511",$B564="6333"),(1+$I564)*(1-$L564),IF($B564="6811",1+$I564,1)))))))))</f>
        <v/>
      </c>
      <c r="P564">
        <f>IF($A564="","",IF($E564=1,$F564*$O564,PNL!G564))</f>
        <v/>
      </c>
      <c r="T564">
        <f>IF($A564="","",IF($E564=1,IF(OR($B564="7062",$B564="706",$B564="708"),$P564,IF(AND(LEFT($B564,1)="6",$B564&lt;&gt;"6811"),-$P564,0)),0))</f>
        <v/>
      </c>
    </row>
    <row r="565">
      <c r="A565">
        <f>IF(PNL!A565="","",PNL!A565)</f>
        <v/>
      </c>
      <c r="B565">
        <f>IF(PNL!B565="","",PNL!B565)</f>
        <v/>
      </c>
      <c r="C565">
        <f>IF(PNL!C565="","",PNL!C565)</f>
        <v/>
      </c>
      <c r="D565">
        <f>IF(PNL!D565="","",PNL!D565)</f>
        <v/>
      </c>
      <c r="E565">
        <f>IF($A565="","",IF(AND($C565="2027",OR($D565="V01",$D565="V02",$D565="V03")),1,0))</f>
        <v/>
      </c>
      <c r="F565">
        <f>IF($A565="","",IF($E565=1,SUMIFS(Comptabilité!$F$1:$F$675,Comptabilité!$A$1:$A$675,$A565,Comptabilité!$B$1:$B$675,$B565,Comptabilité!$C$1:$C$675,"2026"),0))</f>
        <v/>
      </c>
      <c r="G565">
        <f>IF($A565="","",IF($D565="V01",Cadrage!$C$22,IF($D565="V02",Cadrage!$D$22,Cadrage!$E$22)))</f>
        <v/>
      </c>
      <c r="H565">
        <f>IF($A565="","",IF($D565="V01",Cadrage!$C$23,IF($D565="V02",Cadrage!$D$23,Cadrage!$E$23)))</f>
        <v/>
      </c>
      <c r="I565">
        <f>IF($A565="","",IF($D565="V01",Cadrage!$C$31,IF($D565="V02",Cadrage!$D$31,Cadrage!$E$31)))</f>
        <v/>
      </c>
      <c r="J565">
        <f>IF($A565="","",IF($D565="V01",Cadrage!$C$32,IF($D565="V02",Cadrage!$D$32,Cadrage!$E$32)))</f>
        <v/>
      </c>
      <c r="K565">
        <f>IF($A565="","",IF($D565="V01",Cadrage!$C$33,IF($D565="V02",Cadrage!$D$33,Cadrage!$E$33)))</f>
        <v/>
      </c>
      <c r="L565">
        <f>IF($A565="","",IF($D565="V01",Cadrage!$C$34,IF($D565="V02",Cadrage!$D$34,Cadrage!$E$34)))</f>
        <v/>
      </c>
      <c r="M565">
        <f>IF($A565="","",IF($D565="V01",Cadrage!$C$35,IF($D565="V02",Cadrage!$D$35,Cadrage!$E$35)))</f>
        <v/>
      </c>
      <c r="N565">
        <f>IF($A565="","",IF($D565="V01",$R$2,IF($D565="V02",$R$3,$R$4)))</f>
        <v/>
      </c>
      <c r="O565">
        <f>IF($A565="","",IF(OR($B565="7062",$B565="706",$B565="708"),$N565,IF($B565="6231",1+$G565,IF($B565="6236",1+$H565,IF(OR($B565="621",$B565="604",$B565="6063"),$N565*(1-$L565),IF(OR($B565="6411",$B565="6413",$B565="6414",$B565="645"),(1+$J565)*(1+$K565),IF(OR($B565="613",$B565="615",$B565="616",$B565="6226",$B565="625",$B565="626",$B565="6281"),(1+$I565)*(1-$L565)*(1+$M565),IF(OR($B565="6331",$B565="63511",$B565="6333"),(1+$I565)*(1-$L565),IF($B565="6811",1+$I565,1)))))))))</f>
        <v/>
      </c>
      <c r="P565">
        <f>IF($A565="","",IF($E565=1,$F565*$O565,PNL!G565))</f>
        <v/>
      </c>
      <c r="T565">
        <f>IF($A565="","",IF($E565=1,IF(OR($B565="7062",$B565="706",$B565="708"),$P565,IF(AND(LEFT($B565,1)="6",$B565&lt;&gt;"6811"),-$P565,0)),0))</f>
        <v/>
      </c>
    </row>
    <row r="566">
      <c r="A566">
        <f>IF(PNL!A566="","",PNL!A566)</f>
        <v/>
      </c>
      <c r="B566">
        <f>IF(PNL!B566="","",PNL!B566)</f>
        <v/>
      </c>
      <c r="C566">
        <f>IF(PNL!C566="","",PNL!C566)</f>
        <v/>
      </c>
      <c r="D566">
        <f>IF(PNL!D566="","",PNL!D566)</f>
        <v/>
      </c>
      <c r="E566">
        <f>IF($A566="","",IF(AND($C566="2027",OR($D566="V01",$D566="V02",$D566="V03")),1,0))</f>
        <v/>
      </c>
      <c r="F566">
        <f>IF($A566="","",IF($E566=1,SUMIFS(Comptabilité!$F$1:$F$675,Comptabilité!$A$1:$A$675,$A566,Comptabilité!$B$1:$B$675,$B566,Comptabilité!$C$1:$C$675,"2026"),0))</f>
        <v/>
      </c>
      <c r="G566">
        <f>IF($A566="","",IF($D566="V01",Cadrage!$C$22,IF($D566="V02",Cadrage!$D$22,Cadrage!$E$22)))</f>
        <v/>
      </c>
      <c r="H566">
        <f>IF($A566="","",IF($D566="V01",Cadrage!$C$23,IF($D566="V02",Cadrage!$D$23,Cadrage!$E$23)))</f>
        <v/>
      </c>
      <c r="I566">
        <f>IF($A566="","",IF($D566="V01",Cadrage!$C$31,IF($D566="V02",Cadrage!$D$31,Cadrage!$E$31)))</f>
        <v/>
      </c>
      <c r="J566">
        <f>IF($A566="","",IF($D566="V01",Cadrage!$C$32,IF($D566="V02",Cadrage!$D$32,Cadrage!$E$32)))</f>
        <v/>
      </c>
      <c r="K566">
        <f>IF($A566="","",IF($D566="V01",Cadrage!$C$33,IF($D566="V02",Cadrage!$D$33,Cadrage!$E$33)))</f>
        <v/>
      </c>
      <c r="L566">
        <f>IF($A566="","",IF($D566="V01",Cadrage!$C$34,IF($D566="V02",Cadrage!$D$34,Cadrage!$E$34)))</f>
        <v/>
      </c>
      <c r="M566">
        <f>IF($A566="","",IF($D566="V01",Cadrage!$C$35,IF($D566="V02",Cadrage!$D$35,Cadrage!$E$35)))</f>
        <v/>
      </c>
      <c r="N566">
        <f>IF($A566="","",IF($D566="V01",$R$2,IF($D566="V02",$R$3,$R$4)))</f>
        <v/>
      </c>
      <c r="O566">
        <f>IF($A566="","",IF(OR($B566="7062",$B566="706",$B566="708"),$N566,IF($B566="6231",1+$G566,IF($B566="6236",1+$H566,IF(OR($B566="621",$B566="604",$B566="6063"),$N566*(1-$L566),IF(OR($B566="6411",$B566="6413",$B566="6414",$B566="645"),(1+$J566)*(1+$K566),IF(OR($B566="613",$B566="615",$B566="616",$B566="6226",$B566="625",$B566="626",$B566="6281"),(1+$I566)*(1-$L566)*(1+$M566),IF(OR($B566="6331",$B566="63511",$B566="6333"),(1+$I566)*(1-$L566),IF($B566="6811",1+$I566,1)))))))))</f>
        <v/>
      </c>
      <c r="P566">
        <f>IF($A566="","",IF($E566=1,$F566*$O566,PNL!G566))</f>
        <v/>
      </c>
      <c r="T566">
        <f>IF($A566="","",IF($E566=1,IF(OR($B566="7062",$B566="706",$B566="708"),$P566,IF(AND(LEFT($B566,1)="6",$B566&lt;&gt;"6811"),-$P566,0)),0))</f>
        <v/>
      </c>
    </row>
    <row r="567">
      <c r="A567">
        <f>IF(PNL!A567="","",PNL!A567)</f>
        <v/>
      </c>
      <c r="B567">
        <f>IF(PNL!B567="","",PNL!B567)</f>
        <v/>
      </c>
      <c r="C567">
        <f>IF(PNL!C567="","",PNL!C567)</f>
        <v/>
      </c>
      <c r="D567">
        <f>IF(PNL!D567="","",PNL!D567)</f>
        <v/>
      </c>
      <c r="E567">
        <f>IF($A567="","",IF(AND($C567="2027",OR($D567="V01",$D567="V02",$D567="V03")),1,0))</f>
        <v/>
      </c>
      <c r="F567">
        <f>IF($A567="","",IF($E567=1,SUMIFS(Comptabilité!$F$1:$F$675,Comptabilité!$A$1:$A$675,$A567,Comptabilité!$B$1:$B$675,$B567,Comptabilité!$C$1:$C$675,"2026"),0))</f>
        <v/>
      </c>
      <c r="G567">
        <f>IF($A567="","",IF($D567="V01",Cadrage!$C$22,IF($D567="V02",Cadrage!$D$22,Cadrage!$E$22)))</f>
        <v/>
      </c>
      <c r="H567">
        <f>IF($A567="","",IF($D567="V01",Cadrage!$C$23,IF($D567="V02",Cadrage!$D$23,Cadrage!$E$23)))</f>
        <v/>
      </c>
      <c r="I567">
        <f>IF($A567="","",IF($D567="V01",Cadrage!$C$31,IF($D567="V02",Cadrage!$D$31,Cadrage!$E$31)))</f>
        <v/>
      </c>
      <c r="J567">
        <f>IF($A567="","",IF($D567="V01",Cadrage!$C$32,IF($D567="V02",Cadrage!$D$32,Cadrage!$E$32)))</f>
        <v/>
      </c>
      <c r="K567">
        <f>IF($A567="","",IF($D567="V01",Cadrage!$C$33,IF($D567="V02",Cadrage!$D$33,Cadrage!$E$33)))</f>
        <v/>
      </c>
      <c r="L567">
        <f>IF($A567="","",IF($D567="V01",Cadrage!$C$34,IF($D567="V02",Cadrage!$D$34,Cadrage!$E$34)))</f>
        <v/>
      </c>
      <c r="M567">
        <f>IF($A567="","",IF($D567="V01",Cadrage!$C$35,IF($D567="V02",Cadrage!$D$35,Cadrage!$E$35)))</f>
        <v/>
      </c>
      <c r="N567">
        <f>IF($A567="","",IF($D567="V01",$R$2,IF($D567="V02",$R$3,$R$4)))</f>
        <v/>
      </c>
      <c r="O567">
        <f>IF($A567="","",IF(OR($B567="7062",$B567="706",$B567="708"),$N567,IF($B567="6231",1+$G567,IF($B567="6236",1+$H567,IF(OR($B567="621",$B567="604",$B567="6063"),$N567*(1-$L567),IF(OR($B567="6411",$B567="6413",$B567="6414",$B567="645"),(1+$J567)*(1+$K567),IF(OR($B567="613",$B567="615",$B567="616",$B567="6226",$B567="625",$B567="626",$B567="6281"),(1+$I567)*(1-$L567)*(1+$M567),IF(OR($B567="6331",$B567="63511",$B567="6333"),(1+$I567)*(1-$L567),IF($B567="6811",1+$I567,1)))))))))</f>
        <v/>
      </c>
      <c r="P567">
        <f>IF($A567="","",IF($E567=1,$F567*$O567,PNL!G567))</f>
        <v/>
      </c>
      <c r="T567">
        <f>IF($A567="","",IF($E567=1,IF(OR($B567="7062",$B567="706",$B567="708"),$P567,IF(AND(LEFT($B567,1)="6",$B567&lt;&gt;"6811"),-$P567,0)),0))</f>
        <v/>
      </c>
    </row>
    <row r="568">
      <c r="A568">
        <f>IF(PNL!A568="","",PNL!A568)</f>
        <v/>
      </c>
      <c r="B568">
        <f>IF(PNL!B568="","",PNL!B568)</f>
        <v/>
      </c>
      <c r="C568">
        <f>IF(PNL!C568="","",PNL!C568)</f>
        <v/>
      </c>
      <c r="D568">
        <f>IF(PNL!D568="","",PNL!D568)</f>
        <v/>
      </c>
      <c r="E568">
        <f>IF($A568="","",IF(AND($C568="2027",OR($D568="V01",$D568="V02",$D568="V03")),1,0))</f>
        <v/>
      </c>
      <c r="F568">
        <f>IF($A568="","",IF($E568=1,SUMIFS(Comptabilité!$F$1:$F$675,Comptabilité!$A$1:$A$675,$A568,Comptabilité!$B$1:$B$675,$B568,Comptabilité!$C$1:$C$675,"2026"),0))</f>
        <v/>
      </c>
      <c r="G568">
        <f>IF($A568="","",IF($D568="V01",Cadrage!$C$22,IF($D568="V02",Cadrage!$D$22,Cadrage!$E$22)))</f>
        <v/>
      </c>
      <c r="H568">
        <f>IF($A568="","",IF($D568="V01",Cadrage!$C$23,IF($D568="V02",Cadrage!$D$23,Cadrage!$E$23)))</f>
        <v/>
      </c>
      <c r="I568">
        <f>IF($A568="","",IF($D568="V01",Cadrage!$C$31,IF($D568="V02",Cadrage!$D$31,Cadrage!$E$31)))</f>
        <v/>
      </c>
      <c r="J568">
        <f>IF($A568="","",IF($D568="V01",Cadrage!$C$32,IF($D568="V02",Cadrage!$D$32,Cadrage!$E$32)))</f>
        <v/>
      </c>
      <c r="K568">
        <f>IF($A568="","",IF($D568="V01",Cadrage!$C$33,IF($D568="V02",Cadrage!$D$33,Cadrage!$E$33)))</f>
        <v/>
      </c>
      <c r="L568">
        <f>IF($A568="","",IF($D568="V01",Cadrage!$C$34,IF($D568="V02",Cadrage!$D$34,Cadrage!$E$34)))</f>
        <v/>
      </c>
      <c r="M568">
        <f>IF($A568="","",IF($D568="V01",Cadrage!$C$35,IF($D568="V02",Cadrage!$D$35,Cadrage!$E$35)))</f>
        <v/>
      </c>
      <c r="N568">
        <f>IF($A568="","",IF($D568="V01",$R$2,IF($D568="V02",$R$3,$R$4)))</f>
        <v/>
      </c>
      <c r="O568">
        <f>IF($A568="","",IF(OR($B568="7062",$B568="706",$B568="708"),$N568,IF($B568="6231",1+$G568,IF($B568="6236",1+$H568,IF(OR($B568="621",$B568="604",$B568="6063"),$N568*(1-$L568),IF(OR($B568="6411",$B568="6413",$B568="6414",$B568="645"),(1+$J568)*(1+$K568),IF(OR($B568="613",$B568="615",$B568="616",$B568="6226",$B568="625",$B568="626",$B568="6281"),(1+$I568)*(1-$L568)*(1+$M568),IF(OR($B568="6331",$B568="63511",$B568="6333"),(1+$I568)*(1-$L568),IF($B568="6811",1+$I568,1)))))))))</f>
        <v/>
      </c>
      <c r="P568">
        <f>IF($A568="","",IF($E568=1,$F568*$O568,PNL!G568))</f>
        <v/>
      </c>
      <c r="T568">
        <f>IF($A568="","",IF($E568=1,IF(OR($B568="7062",$B568="706",$B568="708"),$P568,IF(AND(LEFT($B568,1)="6",$B568&lt;&gt;"6811"),-$P568,0)),0))</f>
        <v/>
      </c>
    </row>
    <row r="569">
      <c r="A569">
        <f>IF(PNL!A569="","",PNL!A569)</f>
        <v/>
      </c>
      <c r="B569">
        <f>IF(PNL!B569="","",PNL!B569)</f>
        <v/>
      </c>
      <c r="C569">
        <f>IF(PNL!C569="","",PNL!C569)</f>
        <v/>
      </c>
      <c r="D569">
        <f>IF(PNL!D569="","",PNL!D569)</f>
        <v/>
      </c>
      <c r="E569">
        <f>IF($A569="","",IF(AND($C569="2027",OR($D569="V01",$D569="V02",$D569="V03")),1,0))</f>
        <v/>
      </c>
      <c r="F569">
        <f>IF($A569="","",IF($E569=1,SUMIFS(Comptabilité!$F$1:$F$675,Comptabilité!$A$1:$A$675,$A569,Comptabilité!$B$1:$B$675,$B569,Comptabilité!$C$1:$C$675,"2026"),0))</f>
        <v/>
      </c>
      <c r="G569">
        <f>IF($A569="","",IF($D569="V01",Cadrage!$C$22,IF($D569="V02",Cadrage!$D$22,Cadrage!$E$22)))</f>
        <v/>
      </c>
      <c r="H569">
        <f>IF($A569="","",IF($D569="V01",Cadrage!$C$23,IF($D569="V02",Cadrage!$D$23,Cadrage!$E$23)))</f>
        <v/>
      </c>
      <c r="I569">
        <f>IF($A569="","",IF($D569="V01",Cadrage!$C$31,IF($D569="V02",Cadrage!$D$31,Cadrage!$E$31)))</f>
        <v/>
      </c>
      <c r="J569">
        <f>IF($A569="","",IF($D569="V01",Cadrage!$C$32,IF($D569="V02",Cadrage!$D$32,Cadrage!$E$32)))</f>
        <v/>
      </c>
      <c r="K569">
        <f>IF($A569="","",IF($D569="V01",Cadrage!$C$33,IF($D569="V02",Cadrage!$D$33,Cadrage!$E$33)))</f>
        <v/>
      </c>
      <c r="L569">
        <f>IF($A569="","",IF($D569="V01",Cadrage!$C$34,IF($D569="V02",Cadrage!$D$34,Cadrage!$E$34)))</f>
        <v/>
      </c>
      <c r="M569">
        <f>IF($A569="","",IF($D569="V01",Cadrage!$C$35,IF($D569="V02",Cadrage!$D$35,Cadrage!$E$35)))</f>
        <v/>
      </c>
      <c r="N569">
        <f>IF($A569="","",IF($D569="V01",$R$2,IF($D569="V02",$R$3,$R$4)))</f>
        <v/>
      </c>
      <c r="O569">
        <f>IF($A569="","",IF(OR($B569="7062",$B569="706",$B569="708"),$N569,IF($B569="6231",1+$G569,IF($B569="6236",1+$H569,IF(OR($B569="621",$B569="604",$B569="6063"),$N569*(1-$L569),IF(OR($B569="6411",$B569="6413",$B569="6414",$B569="645"),(1+$J569)*(1+$K569),IF(OR($B569="613",$B569="615",$B569="616",$B569="6226",$B569="625",$B569="626",$B569="6281"),(1+$I569)*(1-$L569)*(1+$M569),IF(OR($B569="6331",$B569="63511",$B569="6333"),(1+$I569)*(1-$L569),IF($B569="6811",1+$I569,1)))))))))</f>
        <v/>
      </c>
      <c r="P569">
        <f>IF($A569="","",IF($E569=1,$F569*$O569,PNL!G569))</f>
        <v/>
      </c>
      <c r="T569">
        <f>IF($A569="","",IF($E569=1,IF(OR($B569="7062",$B569="706",$B569="708"),$P569,IF(AND(LEFT($B569,1)="6",$B569&lt;&gt;"6811"),-$P569,0)),0))</f>
        <v/>
      </c>
    </row>
    <row r="570">
      <c r="A570">
        <f>IF(PNL!A570="","",PNL!A570)</f>
        <v/>
      </c>
      <c r="B570">
        <f>IF(PNL!B570="","",PNL!B570)</f>
        <v/>
      </c>
      <c r="C570">
        <f>IF(PNL!C570="","",PNL!C570)</f>
        <v/>
      </c>
      <c r="D570">
        <f>IF(PNL!D570="","",PNL!D570)</f>
        <v/>
      </c>
      <c r="E570">
        <f>IF($A570="","",IF(AND($C570="2027",OR($D570="V01",$D570="V02",$D570="V03")),1,0))</f>
        <v/>
      </c>
      <c r="F570">
        <f>IF($A570="","",IF($E570=1,SUMIFS(Comptabilité!$F$1:$F$675,Comptabilité!$A$1:$A$675,$A570,Comptabilité!$B$1:$B$675,$B570,Comptabilité!$C$1:$C$675,"2026"),0))</f>
        <v/>
      </c>
      <c r="G570">
        <f>IF($A570="","",IF($D570="V01",Cadrage!$C$22,IF($D570="V02",Cadrage!$D$22,Cadrage!$E$22)))</f>
        <v/>
      </c>
      <c r="H570">
        <f>IF($A570="","",IF($D570="V01",Cadrage!$C$23,IF($D570="V02",Cadrage!$D$23,Cadrage!$E$23)))</f>
        <v/>
      </c>
      <c r="I570">
        <f>IF($A570="","",IF($D570="V01",Cadrage!$C$31,IF($D570="V02",Cadrage!$D$31,Cadrage!$E$31)))</f>
        <v/>
      </c>
      <c r="J570">
        <f>IF($A570="","",IF($D570="V01",Cadrage!$C$32,IF($D570="V02",Cadrage!$D$32,Cadrage!$E$32)))</f>
        <v/>
      </c>
      <c r="K570">
        <f>IF($A570="","",IF($D570="V01",Cadrage!$C$33,IF($D570="V02",Cadrage!$D$33,Cadrage!$E$33)))</f>
        <v/>
      </c>
      <c r="L570">
        <f>IF($A570="","",IF($D570="V01",Cadrage!$C$34,IF($D570="V02",Cadrage!$D$34,Cadrage!$E$34)))</f>
        <v/>
      </c>
      <c r="M570">
        <f>IF($A570="","",IF($D570="V01",Cadrage!$C$35,IF($D570="V02",Cadrage!$D$35,Cadrage!$E$35)))</f>
        <v/>
      </c>
      <c r="N570">
        <f>IF($A570="","",IF($D570="V01",$R$2,IF($D570="V02",$R$3,$R$4)))</f>
        <v/>
      </c>
      <c r="O570">
        <f>IF($A570="","",IF(OR($B570="7062",$B570="706",$B570="708"),$N570,IF($B570="6231",1+$G570,IF($B570="6236",1+$H570,IF(OR($B570="621",$B570="604",$B570="6063"),$N570*(1-$L570),IF(OR($B570="6411",$B570="6413",$B570="6414",$B570="645"),(1+$J570)*(1+$K570),IF(OR($B570="613",$B570="615",$B570="616",$B570="6226",$B570="625",$B570="626",$B570="6281"),(1+$I570)*(1-$L570)*(1+$M570),IF(OR($B570="6331",$B570="63511",$B570="6333"),(1+$I570)*(1-$L570),IF($B570="6811",1+$I570,1)))))))))</f>
        <v/>
      </c>
      <c r="P570">
        <f>IF($A570="","",IF($E570=1,$F570*$O570,PNL!G570))</f>
        <v/>
      </c>
      <c r="T570">
        <f>IF($A570="","",IF($E570=1,IF(OR($B570="7062",$B570="706",$B570="708"),$P570,IF(AND(LEFT($B570,1)="6",$B570&lt;&gt;"6811"),-$P570,0)),0))</f>
        <v/>
      </c>
    </row>
    <row r="571">
      <c r="A571">
        <f>IF(PNL!A571="","",PNL!A571)</f>
        <v/>
      </c>
      <c r="B571">
        <f>IF(PNL!B571="","",PNL!B571)</f>
        <v/>
      </c>
      <c r="C571">
        <f>IF(PNL!C571="","",PNL!C571)</f>
        <v/>
      </c>
      <c r="D571">
        <f>IF(PNL!D571="","",PNL!D571)</f>
        <v/>
      </c>
      <c r="E571">
        <f>IF($A571="","",IF(AND($C571="2027",OR($D571="V01",$D571="V02",$D571="V03")),1,0))</f>
        <v/>
      </c>
      <c r="F571">
        <f>IF($A571="","",IF($E571=1,SUMIFS(Comptabilité!$F$1:$F$675,Comptabilité!$A$1:$A$675,$A571,Comptabilité!$B$1:$B$675,$B571,Comptabilité!$C$1:$C$675,"2026"),0))</f>
        <v/>
      </c>
      <c r="G571">
        <f>IF($A571="","",IF($D571="V01",Cadrage!$C$22,IF($D571="V02",Cadrage!$D$22,Cadrage!$E$22)))</f>
        <v/>
      </c>
      <c r="H571">
        <f>IF($A571="","",IF($D571="V01",Cadrage!$C$23,IF($D571="V02",Cadrage!$D$23,Cadrage!$E$23)))</f>
        <v/>
      </c>
      <c r="I571">
        <f>IF($A571="","",IF($D571="V01",Cadrage!$C$31,IF($D571="V02",Cadrage!$D$31,Cadrage!$E$31)))</f>
        <v/>
      </c>
      <c r="J571">
        <f>IF($A571="","",IF($D571="V01",Cadrage!$C$32,IF($D571="V02",Cadrage!$D$32,Cadrage!$E$32)))</f>
        <v/>
      </c>
      <c r="K571">
        <f>IF($A571="","",IF($D571="V01",Cadrage!$C$33,IF($D571="V02",Cadrage!$D$33,Cadrage!$E$33)))</f>
        <v/>
      </c>
      <c r="L571">
        <f>IF($A571="","",IF($D571="V01",Cadrage!$C$34,IF($D571="V02",Cadrage!$D$34,Cadrage!$E$34)))</f>
        <v/>
      </c>
      <c r="M571">
        <f>IF($A571="","",IF($D571="V01",Cadrage!$C$35,IF($D571="V02",Cadrage!$D$35,Cadrage!$E$35)))</f>
        <v/>
      </c>
      <c r="N571">
        <f>IF($A571="","",IF($D571="V01",$R$2,IF($D571="V02",$R$3,$R$4)))</f>
        <v/>
      </c>
      <c r="O571">
        <f>IF($A571="","",IF(OR($B571="7062",$B571="706",$B571="708"),$N571,IF($B571="6231",1+$G571,IF($B571="6236",1+$H571,IF(OR($B571="621",$B571="604",$B571="6063"),$N571*(1-$L571),IF(OR($B571="6411",$B571="6413",$B571="6414",$B571="645"),(1+$J571)*(1+$K571),IF(OR($B571="613",$B571="615",$B571="616",$B571="6226",$B571="625",$B571="626",$B571="6281"),(1+$I571)*(1-$L571)*(1+$M571),IF(OR($B571="6331",$B571="63511",$B571="6333"),(1+$I571)*(1-$L571),IF($B571="6811",1+$I571,1)))))))))</f>
        <v/>
      </c>
      <c r="P571">
        <f>IF($A571="","",IF($E571=1,$F571*$O571,PNL!G571))</f>
        <v/>
      </c>
      <c r="T571">
        <f>IF($A571="","",IF($E571=1,IF(OR($B571="7062",$B571="706",$B571="708"),$P571,IF(AND(LEFT($B571,1)="6",$B571&lt;&gt;"6811"),-$P571,0)),0))</f>
        <v/>
      </c>
    </row>
    <row r="572">
      <c r="A572">
        <f>IF(PNL!A572="","",PNL!A572)</f>
        <v/>
      </c>
      <c r="B572">
        <f>IF(PNL!B572="","",PNL!B572)</f>
        <v/>
      </c>
      <c r="C572">
        <f>IF(PNL!C572="","",PNL!C572)</f>
        <v/>
      </c>
      <c r="D572">
        <f>IF(PNL!D572="","",PNL!D572)</f>
        <v/>
      </c>
      <c r="E572">
        <f>IF($A572="","",IF(AND($C572="2027",OR($D572="V01",$D572="V02",$D572="V03")),1,0))</f>
        <v/>
      </c>
      <c r="F572">
        <f>IF($A572="","",IF($E572=1,SUMIFS(Comptabilité!$F$1:$F$675,Comptabilité!$A$1:$A$675,$A572,Comptabilité!$B$1:$B$675,$B572,Comptabilité!$C$1:$C$675,"2026"),0))</f>
        <v/>
      </c>
      <c r="G572">
        <f>IF($A572="","",IF($D572="V01",Cadrage!$C$22,IF($D572="V02",Cadrage!$D$22,Cadrage!$E$22)))</f>
        <v/>
      </c>
      <c r="H572">
        <f>IF($A572="","",IF($D572="V01",Cadrage!$C$23,IF($D572="V02",Cadrage!$D$23,Cadrage!$E$23)))</f>
        <v/>
      </c>
      <c r="I572">
        <f>IF($A572="","",IF($D572="V01",Cadrage!$C$31,IF($D572="V02",Cadrage!$D$31,Cadrage!$E$31)))</f>
        <v/>
      </c>
      <c r="J572">
        <f>IF($A572="","",IF($D572="V01",Cadrage!$C$32,IF($D572="V02",Cadrage!$D$32,Cadrage!$E$32)))</f>
        <v/>
      </c>
      <c r="K572">
        <f>IF($A572="","",IF($D572="V01",Cadrage!$C$33,IF($D572="V02",Cadrage!$D$33,Cadrage!$E$33)))</f>
        <v/>
      </c>
      <c r="L572">
        <f>IF($A572="","",IF($D572="V01",Cadrage!$C$34,IF($D572="V02",Cadrage!$D$34,Cadrage!$E$34)))</f>
        <v/>
      </c>
      <c r="M572">
        <f>IF($A572="","",IF($D572="V01",Cadrage!$C$35,IF($D572="V02",Cadrage!$D$35,Cadrage!$E$35)))</f>
        <v/>
      </c>
      <c r="N572">
        <f>IF($A572="","",IF($D572="V01",$R$2,IF($D572="V02",$R$3,$R$4)))</f>
        <v/>
      </c>
      <c r="O572">
        <f>IF($A572="","",IF(OR($B572="7062",$B572="706",$B572="708"),$N572,IF($B572="6231",1+$G572,IF($B572="6236",1+$H572,IF(OR($B572="621",$B572="604",$B572="6063"),$N572*(1-$L572),IF(OR($B572="6411",$B572="6413",$B572="6414",$B572="645"),(1+$J572)*(1+$K572),IF(OR($B572="613",$B572="615",$B572="616",$B572="6226",$B572="625",$B572="626",$B572="6281"),(1+$I572)*(1-$L572)*(1+$M572),IF(OR($B572="6331",$B572="63511",$B572="6333"),(1+$I572)*(1-$L572),IF($B572="6811",1+$I572,1)))))))))</f>
        <v/>
      </c>
      <c r="P572">
        <f>IF($A572="","",IF($E572=1,$F572*$O572,PNL!G572))</f>
        <v/>
      </c>
      <c r="T572">
        <f>IF($A572="","",IF($E572=1,IF(OR($B572="7062",$B572="706",$B572="708"),$P572,IF(AND(LEFT($B572,1)="6",$B572&lt;&gt;"6811"),-$P572,0)),0))</f>
        <v/>
      </c>
    </row>
    <row r="573">
      <c r="A573">
        <f>IF(PNL!A573="","",PNL!A573)</f>
        <v/>
      </c>
      <c r="B573">
        <f>IF(PNL!B573="","",PNL!B573)</f>
        <v/>
      </c>
      <c r="C573">
        <f>IF(PNL!C573="","",PNL!C573)</f>
        <v/>
      </c>
      <c r="D573">
        <f>IF(PNL!D573="","",PNL!D573)</f>
        <v/>
      </c>
      <c r="E573">
        <f>IF($A573="","",IF(AND($C573="2027",OR($D573="V01",$D573="V02",$D573="V03")),1,0))</f>
        <v/>
      </c>
      <c r="F573">
        <f>IF($A573="","",IF($E573=1,SUMIFS(Comptabilité!$F$1:$F$675,Comptabilité!$A$1:$A$675,$A573,Comptabilité!$B$1:$B$675,$B573,Comptabilité!$C$1:$C$675,"2026"),0))</f>
        <v/>
      </c>
      <c r="G573">
        <f>IF($A573="","",IF($D573="V01",Cadrage!$C$22,IF($D573="V02",Cadrage!$D$22,Cadrage!$E$22)))</f>
        <v/>
      </c>
      <c r="H573">
        <f>IF($A573="","",IF($D573="V01",Cadrage!$C$23,IF($D573="V02",Cadrage!$D$23,Cadrage!$E$23)))</f>
        <v/>
      </c>
      <c r="I573">
        <f>IF($A573="","",IF($D573="V01",Cadrage!$C$31,IF($D573="V02",Cadrage!$D$31,Cadrage!$E$31)))</f>
        <v/>
      </c>
      <c r="J573">
        <f>IF($A573="","",IF($D573="V01",Cadrage!$C$32,IF($D573="V02",Cadrage!$D$32,Cadrage!$E$32)))</f>
        <v/>
      </c>
      <c r="K573">
        <f>IF($A573="","",IF($D573="V01",Cadrage!$C$33,IF($D573="V02",Cadrage!$D$33,Cadrage!$E$33)))</f>
        <v/>
      </c>
      <c r="L573">
        <f>IF($A573="","",IF($D573="V01",Cadrage!$C$34,IF($D573="V02",Cadrage!$D$34,Cadrage!$E$34)))</f>
        <v/>
      </c>
      <c r="M573">
        <f>IF($A573="","",IF($D573="V01",Cadrage!$C$35,IF($D573="V02",Cadrage!$D$35,Cadrage!$E$35)))</f>
        <v/>
      </c>
      <c r="N573">
        <f>IF($A573="","",IF($D573="V01",$R$2,IF($D573="V02",$R$3,$R$4)))</f>
        <v/>
      </c>
      <c r="O573">
        <f>IF($A573="","",IF(OR($B573="7062",$B573="706",$B573="708"),$N573,IF($B573="6231",1+$G573,IF($B573="6236",1+$H573,IF(OR($B573="621",$B573="604",$B573="6063"),$N573*(1-$L573),IF(OR($B573="6411",$B573="6413",$B573="6414",$B573="645"),(1+$J573)*(1+$K573),IF(OR($B573="613",$B573="615",$B573="616",$B573="6226",$B573="625",$B573="626",$B573="6281"),(1+$I573)*(1-$L573)*(1+$M573),IF(OR($B573="6331",$B573="63511",$B573="6333"),(1+$I573)*(1-$L573),IF($B573="6811",1+$I573,1)))))))))</f>
        <v/>
      </c>
      <c r="P573">
        <f>IF($A573="","",IF($E573=1,$F573*$O573,PNL!G573))</f>
        <v/>
      </c>
      <c r="T573">
        <f>IF($A573="","",IF($E573=1,IF(OR($B573="7062",$B573="706",$B573="708"),$P573,IF(AND(LEFT($B573,1)="6",$B573&lt;&gt;"6811"),-$P573,0)),0))</f>
        <v/>
      </c>
    </row>
    <row r="574">
      <c r="A574">
        <f>IF(PNL!A574="","",PNL!A574)</f>
        <v/>
      </c>
      <c r="B574">
        <f>IF(PNL!B574="","",PNL!B574)</f>
        <v/>
      </c>
      <c r="C574">
        <f>IF(PNL!C574="","",PNL!C574)</f>
        <v/>
      </c>
      <c r="D574">
        <f>IF(PNL!D574="","",PNL!D574)</f>
        <v/>
      </c>
      <c r="E574">
        <f>IF($A574="","",IF(AND($C574="2027",OR($D574="V01",$D574="V02",$D574="V03")),1,0))</f>
        <v/>
      </c>
      <c r="F574">
        <f>IF($A574="","",IF($E574=1,SUMIFS(Comptabilité!$F$1:$F$675,Comptabilité!$A$1:$A$675,$A574,Comptabilité!$B$1:$B$675,$B574,Comptabilité!$C$1:$C$675,"2026"),0))</f>
        <v/>
      </c>
      <c r="G574">
        <f>IF($A574="","",IF($D574="V01",Cadrage!$C$22,IF($D574="V02",Cadrage!$D$22,Cadrage!$E$22)))</f>
        <v/>
      </c>
      <c r="H574">
        <f>IF($A574="","",IF($D574="V01",Cadrage!$C$23,IF($D574="V02",Cadrage!$D$23,Cadrage!$E$23)))</f>
        <v/>
      </c>
      <c r="I574">
        <f>IF($A574="","",IF($D574="V01",Cadrage!$C$31,IF($D574="V02",Cadrage!$D$31,Cadrage!$E$31)))</f>
        <v/>
      </c>
      <c r="J574">
        <f>IF($A574="","",IF($D574="V01",Cadrage!$C$32,IF($D574="V02",Cadrage!$D$32,Cadrage!$E$32)))</f>
        <v/>
      </c>
      <c r="K574">
        <f>IF($A574="","",IF($D574="V01",Cadrage!$C$33,IF($D574="V02",Cadrage!$D$33,Cadrage!$E$33)))</f>
        <v/>
      </c>
      <c r="L574">
        <f>IF($A574="","",IF($D574="V01",Cadrage!$C$34,IF($D574="V02",Cadrage!$D$34,Cadrage!$E$34)))</f>
        <v/>
      </c>
      <c r="M574">
        <f>IF($A574="","",IF($D574="V01",Cadrage!$C$35,IF($D574="V02",Cadrage!$D$35,Cadrage!$E$35)))</f>
        <v/>
      </c>
      <c r="N574">
        <f>IF($A574="","",IF($D574="V01",$R$2,IF($D574="V02",$R$3,$R$4)))</f>
        <v/>
      </c>
      <c r="O574">
        <f>IF($A574="","",IF(OR($B574="7062",$B574="706",$B574="708"),$N574,IF($B574="6231",1+$G574,IF($B574="6236",1+$H574,IF(OR($B574="621",$B574="604",$B574="6063"),$N574*(1-$L574),IF(OR($B574="6411",$B574="6413",$B574="6414",$B574="645"),(1+$J574)*(1+$K574),IF(OR($B574="613",$B574="615",$B574="616",$B574="6226",$B574="625",$B574="626",$B574="6281"),(1+$I574)*(1-$L574)*(1+$M574),IF(OR($B574="6331",$B574="63511",$B574="6333"),(1+$I574)*(1-$L574),IF($B574="6811",1+$I574,1)))))))))</f>
        <v/>
      </c>
      <c r="P574">
        <f>IF($A574="","",IF($E574=1,$F574*$O574,PNL!G574))</f>
        <v/>
      </c>
      <c r="T574">
        <f>IF($A574="","",IF($E574=1,IF(OR($B574="7062",$B574="706",$B574="708"),$P574,IF(AND(LEFT($B574,1)="6",$B574&lt;&gt;"6811"),-$P574,0)),0))</f>
        <v/>
      </c>
    </row>
    <row r="575">
      <c r="A575">
        <f>IF(PNL!A575="","",PNL!A575)</f>
        <v/>
      </c>
      <c r="B575">
        <f>IF(PNL!B575="","",PNL!B575)</f>
        <v/>
      </c>
      <c r="C575">
        <f>IF(PNL!C575="","",PNL!C575)</f>
        <v/>
      </c>
      <c r="D575">
        <f>IF(PNL!D575="","",PNL!D575)</f>
        <v/>
      </c>
      <c r="E575">
        <f>IF($A575="","",IF(AND($C575="2027",OR($D575="V01",$D575="V02",$D575="V03")),1,0))</f>
        <v/>
      </c>
      <c r="F575">
        <f>IF($A575="","",IF($E575=1,SUMIFS(Comptabilité!$F$1:$F$675,Comptabilité!$A$1:$A$675,$A575,Comptabilité!$B$1:$B$675,$B575,Comptabilité!$C$1:$C$675,"2026"),0))</f>
        <v/>
      </c>
      <c r="G575">
        <f>IF($A575="","",IF($D575="V01",Cadrage!$C$22,IF($D575="V02",Cadrage!$D$22,Cadrage!$E$22)))</f>
        <v/>
      </c>
      <c r="H575">
        <f>IF($A575="","",IF($D575="V01",Cadrage!$C$23,IF($D575="V02",Cadrage!$D$23,Cadrage!$E$23)))</f>
        <v/>
      </c>
      <c r="I575">
        <f>IF($A575="","",IF($D575="V01",Cadrage!$C$31,IF($D575="V02",Cadrage!$D$31,Cadrage!$E$31)))</f>
        <v/>
      </c>
      <c r="J575">
        <f>IF($A575="","",IF($D575="V01",Cadrage!$C$32,IF($D575="V02",Cadrage!$D$32,Cadrage!$E$32)))</f>
        <v/>
      </c>
      <c r="K575">
        <f>IF($A575="","",IF($D575="V01",Cadrage!$C$33,IF($D575="V02",Cadrage!$D$33,Cadrage!$E$33)))</f>
        <v/>
      </c>
      <c r="L575">
        <f>IF($A575="","",IF($D575="V01",Cadrage!$C$34,IF($D575="V02",Cadrage!$D$34,Cadrage!$E$34)))</f>
        <v/>
      </c>
      <c r="M575">
        <f>IF($A575="","",IF($D575="V01",Cadrage!$C$35,IF($D575="V02",Cadrage!$D$35,Cadrage!$E$35)))</f>
        <v/>
      </c>
      <c r="N575">
        <f>IF($A575="","",IF($D575="V01",$R$2,IF($D575="V02",$R$3,$R$4)))</f>
        <v/>
      </c>
      <c r="O575">
        <f>IF($A575="","",IF(OR($B575="7062",$B575="706",$B575="708"),$N575,IF($B575="6231",1+$G575,IF($B575="6236",1+$H575,IF(OR($B575="621",$B575="604",$B575="6063"),$N575*(1-$L575),IF(OR($B575="6411",$B575="6413",$B575="6414",$B575="645"),(1+$J575)*(1+$K575),IF(OR($B575="613",$B575="615",$B575="616",$B575="6226",$B575="625",$B575="626",$B575="6281"),(1+$I575)*(1-$L575)*(1+$M575),IF(OR($B575="6331",$B575="63511",$B575="6333"),(1+$I575)*(1-$L575),IF($B575="6811",1+$I575,1)))))))))</f>
        <v/>
      </c>
      <c r="P575">
        <f>IF($A575="","",IF($E575=1,$F575*$O575,PNL!G575))</f>
        <v/>
      </c>
      <c r="T575">
        <f>IF($A575="","",IF($E575=1,IF(OR($B575="7062",$B575="706",$B575="708"),$P575,IF(AND(LEFT($B575,1)="6",$B575&lt;&gt;"6811"),-$P575,0)),0))</f>
        <v/>
      </c>
    </row>
    <row r="576">
      <c r="A576">
        <f>IF(PNL!A576="","",PNL!A576)</f>
        <v/>
      </c>
      <c r="B576">
        <f>IF(PNL!B576="","",PNL!B576)</f>
        <v/>
      </c>
      <c r="C576">
        <f>IF(PNL!C576="","",PNL!C576)</f>
        <v/>
      </c>
      <c r="D576">
        <f>IF(PNL!D576="","",PNL!D576)</f>
        <v/>
      </c>
      <c r="E576">
        <f>IF($A576="","",IF(AND($C576="2027",OR($D576="V01",$D576="V02",$D576="V03")),1,0))</f>
        <v/>
      </c>
      <c r="F576">
        <f>IF($A576="","",IF($E576=1,SUMIFS(Comptabilité!$F$1:$F$675,Comptabilité!$A$1:$A$675,$A576,Comptabilité!$B$1:$B$675,$B576,Comptabilité!$C$1:$C$675,"2026"),0))</f>
        <v/>
      </c>
      <c r="G576">
        <f>IF($A576="","",IF($D576="V01",Cadrage!$C$22,IF($D576="V02",Cadrage!$D$22,Cadrage!$E$22)))</f>
        <v/>
      </c>
      <c r="H576">
        <f>IF($A576="","",IF($D576="V01",Cadrage!$C$23,IF($D576="V02",Cadrage!$D$23,Cadrage!$E$23)))</f>
        <v/>
      </c>
      <c r="I576">
        <f>IF($A576="","",IF($D576="V01",Cadrage!$C$31,IF($D576="V02",Cadrage!$D$31,Cadrage!$E$31)))</f>
        <v/>
      </c>
      <c r="J576">
        <f>IF($A576="","",IF($D576="V01",Cadrage!$C$32,IF($D576="V02",Cadrage!$D$32,Cadrage!$E$32)))</f>
        <v/>
      </c>
      <c r="K576">
        <f>IF($A576="","",IF($D576="V01",Cadrage!$C$33,IF($D576="V02",Cadrage!$D$33,Cadrage!$E$33)))</f>
        <v/>
      </c>
      <c r="L576">
        <f>IF($A576="","",IF($D576="V01",Cadrage!$C$34,IF($D576="V02",Cadrage!$D$34,Cadrage!$E$34)))</f>
        <v/>
      </c>
      <c r="M576">
        <f>IF($A576="","",IF($D576="V01",Cadrage!$C$35,IF($D576="V02",Cadrage!$D$35,Cadrage!$E$35)))</f>
        <v/>
      </c>
      <c r="N576">
        <f>IF($A576="","",IF($D576="V01",$R$2,IF($D576="V02",$R$3,$R$4)))</f>
        <v/>
      </c>
      <c r="O576">
        <f>IF($A576="","",IF(OR($B576="7062",$B576="706",$B576="708"),$N576,IF($B576="6231",1+$G576,IF($B576="6236",1+$H576,IF(OR($B576="621",$B576="604",$B576="6063"),$N576*(1-$L576),IF(OR($B576="6411",$B576="6413",$B576="6414",$B576="645"),(1+$J576)*(1+$K576),IF(OR($B576="613",$B576="615",$B576="616",$B576="6226",$B576="625",$B576="626",$B576="6281"),(1+$I576)*(1-$L576)*(1+$M576),IF(OR($B576="6331",$B576="63511",$B576="6333"),(1+$I576)*(1-$L576),IF($B576="6811",1+$I576,1)))))))))</f>
        <v/>
      </c>
      <c r="P576">
        <f>IF($A576="","",IF($E576=1,$F576*$O576,PNL!G576))</f>
        <v/>
      </c>
      <c r="T576">
        <f>IF($A576="","",IF($E576=1,IF(OR($B576="7062",$B576="706",$B576="708"),$P576,IF(AND(LEFT($B576,1)="6",$B576&lt;&gt;"6811"),-$P576,0)),0))</f>
        <v/>
      </c>
    </row>
    <row r="577">
      <c r="A577">
        <f>IF(PNL!A577="","",PNL!A577)</f>
        <v/>
      </c>
      <c r="B577">
        <f>IF(PNL!B577="","",PNL!B577)</f>
        <v/>
      </c>
      <c r="C577">
        <f>IF(PNL!C577="","",PNL!C577)</f>
        <v/>
      </c>
      <c r="D577">
        <f>IF(PNL!D577="","",PNL!D577)</f>
        <v/>
      </c>
      <c r="E577">
        <f>IF($A577="","",IF(AND($C577="2027",OR($D577="V01",$D577="V02",$D577="V03")),1,0))</f>
        <v/>
      </c>
      <c r="F577">
        <f>IF($A577="","",IF($E577=1,SUMIFS(Comptabilité!$F$1:$F$675,Comptabilité!$A$1:$A$675,$A577,Comptabilité!$B$1:$B$675,$B577,Comptabilité!$C$1:$C$675,"2026"),0))</f>
        <v/>
      </c>
      <c r="G577">
        <f>IF($A577="","",IF($D577="V01",Cadrage!$C$22,IF($D577="V02",Cadrage!$D$22,Cadrage!$E$22)))</f>
        <v/>
      </c>
      <c r="H577">
        <f>IF($A577="","",IF($D577="V01",Cadrage!$C$23,IF($D577="V02",Cadrage!$D$23,Cadrage!$E$23)))</f>
        <v/>
      </c>
      <c r="I577">
        <f>IF($A577="","",IF($D577="V01",Cadrage!$C$31,IF($D577="V02",Cadrage!$D$31,Cadrage!$E$31)))</f>
        <v/>
      </c>
      <c r="J577">
        <f>IF($A577="","",IF($D577="V01",Cadrage!$C$32,IF($D577="V02",Cadrage!$D$32,Cadrage!$E$32)))</f>
        <v/>
      </c>
      <c r="K577">
        <f>IF($A577="","",IF($D577="V01",Cadrage!$C$33,IF($D577="V02",Cadrage!$D$33,Cadrage!$E$33)))</f>
        <v/>
      </c>
      <c r="L577">
        <f>IF($A577="","",IF($D577="V01",Cadrage!$C$34,IF($D577="V02",Cadrage!$D$34,Cadrage!$E$34)))</f>
        <v/>
      </c>
      <c r="M577">
        <f>IF($A577="","",IF($D577="V01",Cadrage!$C$35,IF($D577="V02",Cadrage!$D$35,Cadrage!$E$35)))</f>
        <v/>
      </c>
      <c r="N577">
        <f>IF($A577="","",IF($D577="V01",$R$2,IF($D577="V02",$R$3,$R$4)))</f>
        <v/>
      </c>
      <c r="O577">
        <f>IF($A577="","",IF(OR($B577="7062",$B577="706",$B577="708"),$N577,IF($B577="6231",1+$G577,IF($B577="6236",1+$H577,IF(OR($B577="621",$B577="604",$B577="6063"),$N577*(1-$L577),IF(OR($B577="6411",$B577="6413",$B577="6414",$B577="645"),(1+$J577)*(1+$K577),IF(OR($B577="613",$B577="615",$B577="616",$B577="6226",$B577="625",$B577="626",$B577="6281"),(1+$I577)*(1-$L577)*(1+$M577),IF(OR($B577="6331",$B577="63511",$B577="6333"),(1+$I577)*(1-$L577),IF($B577="6811",1+$I577,1)))))))))</f>
        <v/>
      </c>
      <c r="P577">
        <f>IF($A577="","",IF($E577=1,$F577*$O577,PNL!G577))</f>
        <v/>
      </c>
      <c r="T577">
        <f>IF($A577="","",IF($E577=1,IF(OR($B577="7062",$B577="706",$B577="708"),$P577,IF(AND(LEFT($B577,1)="6",$B577&lt;&gt;"6811"),-$P577,0)),0))</f>
        <v/>
      </c>
    </row>
    <row r="578">
      <c r="A578">
        <f>IF(PNL!A578="","",PNL!A578)</f>
        <v/>
      </c>
      <c r="B578">
        <f>IF(PNL!B578="","",PNL!B578)</f>
        <v/>
      </c>
      <c r="C578">
        <f>IF(PNL!C578="","",PNL!C578)</f>
        <v/>
      </c>
      <c r="D578">
        <f>IF(PNL!D578="","",PNL!D578)</f>
        <v/>
      </c>
      <c r="E578">
        <f>IF($A578="","",IF(AND($C578="2027",OR($D578="V01",$D578="V02",$D578="V03")),1,0))</f>
        <v/>
      </c>
      <c r="F578">
        <f>IF($A578="","",IF($E578=1,SUMIFS(Comptabilité!$F$1:$F$675,Comptabilité!$A$1:$A$675,$A578,Comptabilité!$B$1:$B$675,$B578,Comptabilité!$C$1:$C$675,"2026"),0))</f>
        <v/>
      </c>
      <c r="G578">
        <f>IF($A578="","",IF($D578="V01",Cadrage!$C$22,IF($D578="V02",Cadrage!$D$22,Cadrage!$E$22)))</f>
        <v/>
      </c>
      <c r="H578">
        <f>IF($A578="","",IF($D578="V01",Cadrage!$C$23,IF($D578="V02",Cadrage!$D$23,Cadrage!$E$23)))</f>
        <v/>
      </c>
      <c r="I578">
        <f>IF($A578="","",IF($D578="V01",Cadrage!$C$31,IF($D578="V02",Cadrage!$D$31,Cadrage!$E$31)))</f>
        <v/>
      </c>
      <c r="J578">
        <f>IF($A578="","",IF($D578="V01",Cadrage!$C$32,IF($D578="V02",Cadrage!$D$32,Cadrage!$E$32)))</f>
        <v/>
      </c>
      <c r="K578">
        <f>IF($A578="","",IF($D578="V01",Cadrage!$C$33,IF($D578="V02",Cadrage!$D$33,Cadrage!$E$33)))</f>
        <v/>
      </c>
      <c r="L578">
        <f>IF($A578="","",IF($D578="V01",Cadrage!$C$34,IF($D578="V02",Cadrage!$D$34,Cadrage!$E$34)))</f>
        <v/>
      </c>
      <c r="M578">
        <f>IF($A578="","",IF($D578="V01",Cadrage!$C$35,IF($D578="V02",Cadrage!$D$35,Cadrage!$E$35)))</f>
        <v/>
      </c>
      <c r="N578">
        <f>IF($A578="","",IF($D578="V01",$R$2,IF($D578="V02",$R$3,$R$4)))</f>
        <v/>
      </c>
      <c r="O578">
        <f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>
        <f>IF($A578="","",IF($E578=1,$F578*$O578,PNL!G578))</f>
        <v/>
      </c>
      <c r="T578">
        <f>IF($A578="","",IF($E578=1,IF(OR($B578="7062",$B578="706",$B578="708"),$P578,IF(AND(LEFT($B578,1)="6",$B578&lt;&gt;"6811"),-$P578,0)),0))</f>
        <v/>
      </c>
    </row>
    <row r="579">
      <c r="A579">
        <f>IF(PNL!A579="","",PNL!A579)</f>
        <v/>
      </c>
      <c r="B579">
        <f>IF(PNL!B579="","",PNL!B579)</f>
        <v/>
      </c>
      <c r="C579">
        <f>IF(PNL!C579="","",PNL!C579)</f>
        <v/>
      </c>
      <c r="D579">
        <f>IF(PNL!D579="","",PNL!D579)</f>
        <v/>
      </c>
      <c r="E579">
        <f>IF($A579="","",IF(AND($C579="2027",OR($D579="V01",$D579="V02",$D579="V03")),1,0))</f>
        <v/>
      </c>
      <c r="F579">
        <f>IF($A579="","",IF($E579=1,SUMIFS(Comptabilité!$F$1:$F$675,Comptabilité!$A$1:$A$675,$A579,Comptabilité!$B$1:$B$675,$B579,Comptabilité!$C$1:$C$675,"2026"),0))</f>
        <v/>
      </c>
      <c r="G579">
        <f>IF($A579="","",IF($D579="V01",Cadrage!$C$22,IF($D579="V02",Cadrage!$D$22,Cadrage!$E$22)))</f>
        <v/>
      </c>
      <c r="H579">
        <f>IF($A579="","",IF($D579="V01",Cadrage!$C$23,IF($D579="V02",Cadrage!$D$23,Cadrage!$E$23)))</f>
        <v/>
      </c>
      <c r="I579">
        <f>IF($A579="","",IF($D579="V01",Cadrage!$C$31,IF($D579="V02",Cadrage!$D$31,Cadrage!$E$31)))</f>
        <v/>
      </c>
      <c r="J579">
        <f>IF($A579="","",IF($D579="V01",Cadrage!$C$32,IF($D579="V02",Cadrage!$D$32,Cadrage!$E$32)))</f>
        <v/>
      </c>
      <c r="K579">
        <f>IF($A579="","",IF($D579="V01",Cadrage!$C$33,IF($D579="V02",Cadrage!$D$33,Cadrage!$E$33)))</f>
        <v/>
      </c>
      <c r="L579">
        <f>IF($A579="","",IF($D579="V01",Cadrage!$C$34,IF($D579="V02",Cadrage!$D$34,Cadrage!$E$34)))</f>
        <v/>
      </c>
      <c r="M579">
        <f>IF($A579="","",IF($D579="V01",Cadrage!$C$35,IF($D579="V02",Cadrage!$D$35,Cadrage!$E$35)))</f>
        <v/>
      </c>
      <c r="N579">
        <f>IF($A579="","",IF($D579="V01",$R$2,IF($D579="V02",$R$3,$R$4)))</f>
        <v/>
      </c>
      <c r="O579">
        <f>IF($A579="","",IF(OR($B579="7062",$B579="706",$B579="708"),$N579,IF($B579="6231",1+$G579,IF($B579="6236",1+$H579,IF(OR($B579="621",$B579="604",$B579="6063"),$N579*(1-$L579),IF(OR($B579="6411",$B579="6413",$B579="6414",$B579="645"),(1+$J579)*(1+$K579),IF(OR($B579="613",$B579="615",$B579="616",$B579="6226",$B579="625",$B579="626",$B579="6281"),(1+$I579)*(1-$L579)*(1+$M579),IF(OR($B579="6331",$B579="63511",$B579="6333"),(1+$I579)*(1-$L579),IF($B579="6811",1+$I579,1)))))))))</f>
        <v/>
      </c>
      <c r="P579">
        <f>IF($A579="","",IF($E579=1,$F579*$O579,PNL!G579))</f>
        <v/>
      </c>
      <c r="T579">
        <f>IF($A579="","",IF($E579=1,IF(OR($B579="7062",$B579="706",$B579="708"),$P579,IF(AND(LEFT($B579,1)="6",$B579&lt;&gt;"6811"),-$P579,0)),0))</f>
        <v/>
      </c>
    </row>
    <row r="580">
      <c r="A580">
        <f>IF(PNL!A580="","",PNL!A580)</f>
        <v/>
      </c>
      <c r="B580">
        <f>IF(PNL!B580="","",PNL!B580)</f>
        <v/>
      </c>
      <c r="C580">
        <f>IF(PNL!C580="","",PNL!C580)</f>
        <v/>
      </c>
      <c r="D580">
        <f>IF(PNL!D580="","",PNL!D580)</f>
        <v/>
      </c>
      <c r="E580">
        <f>IF($A580="","",IF(AND($C580="2027",OR($D580="V01",$D580="V02",$D580="V03")),1,0))</f>
        <v/>
      </c>
      <c r="F580">
        <f>IF($A580="","",IF($E580=1,SUMIFS(Comptabilité!$F$1:$F$675,Comptabilité!$A$1:$A$675,$A580,Comptabilité!$B$1:$B$675,$B580,Comptabilité!$C$1:$C$675,"2026"),0))</f>
        <v/>
      </c>
      <c r="G580">
        <f>IF($A580="","",IF($D580="V01",Cadrage!$C$22,IF($D580="V02",Cadrage!$D$22,Cadrage!$E$22)))</f>
        <v/>
      </c>
      <c r="H580">
        <f>IF($A580="","",IF($D580="V01",Cadrage!$C$23,IF($D580="V02",Cadrage!$D$23,Cadrage!$E$23)))</f>
        <v/>
      </c>
      <c r="I580">
        <f>IF($A580="","",IF($D580="V01",Cadrage!$C$31,IF($D580="V02",Cadrage!$D$31,Cadrage!$E$31)))</f>
        <v/>
      </c>
      <c r="J580">
        <f>IF($A580="","",IF($D580="V01",Cadrage!$C$32,IF($D580="V02",Cadrage!$D$32,Cadrage!$E$32)))</f>
        <v/>
      </c>
      <c r="K580">
        <f>IF($A580="","",IF($D580="V01",Cadrage!$C$33,IF($D580="V02",Cadrage!$D$33,Cadrage!$E$33)))</f>
        <v/>
      </c>
      <c r="L580">
        <f>IF($A580="","",IF($D580="V01",Cadrage!$C$34,IF($D580="V02",Cadrage!$D$34,Cadrage!$E$34)))</f>
        <v/>
      </c>
      <c r="M580">
        <f>IF($A580="","",IF($D580="V01",Cadrage!$C$35,IF($D580="V02",Cadrage!$D$35,Cadrage!$E$35)))</f>
        <v/>
      </c>
      <c r="N580">
        <f>IF($A580="","",IF($D580="V01",$R$2,IF($D580="V02",$R$3,$R$4)))</f>
        <v/>
      </c>
      <c r="O580">
        <f>IF($A580="","",IF(OR($B580="7062",$B580="706",$B580="708"),$N580,IF($B580="6231",1+$G580,IF($B580="6236",1+$H580,IF(OR($B580="621",$B580="604",$B580="6063"),$N580*(1-$L580),IF(OR($B580="6411",$B580="6413",$B580="6414",$B580="645"),(1+$J580)*(1+$K580),IF(OR($B580="613",$B580="615",$B580="616",$B580="6226",$B580="625",$B580="626",$B580="6281"),(1+$I580)*(1-$L580)*(1+$M580),IF(OR($B580="6331",$B580="63511",$B580="6333"),(1+$I580)*(1-$L580),IF($B580="6811",1+$I580,1)))))))))</f>
        <v/>
      </c>
      <c r="P580">
        <f>IF($A580="","",IF($E580=1,$F580*$O580,PNL!G580))</f>
        <v/>
      </c>
      <c r="T580">
        <f>IF($A580="","",IF($E580=1,IF(OR($B580="7062",$B580="706",$B580="708"),$P580,IF(AND(LEFT($B580,1)="6",$B580&lt;&gt;"6811"),-$P580,0)),0))</f>
        <v/>
      </c>
    </row>
    <row r="581">
      <c r="A581">
        <f>IF(PNL!A581="","",PNL!A581)</f>
        <v/>
      </c>
      <c r="B581">
        <f>IF(PNL!B581="","",PNL!B581)</f>
        <v/>
      </c>
      <c r="C581">
        <f>IF(PNL!C581="","",PNL!C581)</f>
        <v/>
      </c>
      <c r="D581">
        <f>IF(PNL!D581="","",PNL!D581)</f>
        <v/>
      </c>
      <c r="E581">
        <f>IF($A581="","",IF(AND($C581="2027",OR($D581="V01",$D581="V02",$D581="V03")),1,0))</f>
        <v/>
      </c>
      <c r="F581">
        <f>IF($A581="","",IF($E581=1,SUMIFS(Comptabilité!$F$1:$F$675,Comptabilité!$A$1:$A$675,$A581,Comptabilité!$B$1:$B$675,$B581,Comptabilité!$C$1:$C$675,"2026"),0))</f>
        <v/>
      </c>
      <c r="G581">
        <f>IF($A581="","",IF($D581="V01",Cadrage!$C$22,IF($D581="V02",Cadrage!$D$22,Cadrage!$E$22)))</f>
        <v/>
      </c>
      <c r="H581">
        <f>IF($A581="","",IF($D581="V01",Cadrage!$C$23,IF($D581="V02",Cadrage!$D$23,Cadrage!$E$23)))</f>
        <v/>
      </c>
      <c r="I581">
        <f>IF($A581="","",IF($D581="V01",Cadrage!$C$31,IF($D581="V02",Cadrage!$D$31,Cadrage!$E$31)))</f>
        <v/>
      </c>
      <c r="J581">
        <f>IF($A581="","",IF($D581="V01",Cadrage!$C$32,IF($D581="V02",Cadrage!$D$32,Cadrage!$E$32)))</f>
        <v/>
      </c>
      <c r="K581">
        <f>IF($A581="","",IF($D581="V01",Cadrage!$C$33,IF($D581="V02",Cadrage!$D$33,Cadrage!$E$33)))</f>
        <v/>
      </c>
      <c r="L581">
        <f>IF($A581="","",IF($D581="V01",Cadrage!$C$34,IF($D581="V02",Cadrage!$D$34,Cadrage!$E$34)))</f>
        <v/>
      </c>
      <c r="M581">
        <f>IF($A581="","",IF($D581="V01",Cadrage!$C$35,IF($D581="V02",Cadrage!$D$35,Cadrage!$E$35)))</f>
        <v/>
      </c>
      <c r="N581">
        <f>IF($A581="","",IF($D581="V01",$R$2,IF($D581="V02",$R$3,$R$4)))</f>
        <v/>
      </c>
      <c r="O581">
        <f>IF($A581="","",IF(OR($B581="7062",$B581="706",$B581="708"),$N581,IF($B581="6231",1+$G581,IF($B581="6236",1+$H581,IF(OR($B581="621",$B581="604",$B581="6063"),$N581*(1-$L581),IF(OR($B581="6411",$B581="6413",$B581="6414",$B581="645"),(1+$J581)*(1+$K581),IF(OR($B581="613",$B581="615",$B581="616",$B581="6226",$B581="625",$B581="626",$B581="6281"),(1+$I581)*(1-$L581)*(1+$M581),IF(OR($B581="6331",$B581="63511",$B581="6333"),(1+$I581)*(1-$L581),IF($B581="6811",1+$I581,1)))))))))</f>
        <v/>
      </c>
      <c r="P581">
        <f>IF($A581="","",IF($E581=1,$F581*$O581,PNL!G581))</f>
        <v/>
      </c>
      <c r="T581">
        <f>IF($A581="","",IF($E581=1,IF(OR($B581="7062",$B581="706",$B581="708"),$P581,IF(AND(LEFT($B581,1)="6",$B581&lt;&gt;"6811"),-$P581,0)),0))</f>
        <v/>
      </c>
    </row>
    <row r="582">
      <c r="A582">
        <f>IF(PNL!A582="","",PNL!A582)</f>
        <v/>
      </c>
      <c r="B582">
        <f>IF(PNL!B582="","",PNL!B582)</f>
        <v/>
      </c>
      <c r="C582">
        <f>IF(PNL!C582="","",PNL!C582)</f>
        <v/>
      </c>
      <c r="D582">
        <f>IF(PNL!D582="","",PNL!D582)</f>
        <v/>
      </c>
      <c r="E582">
        <f>IF($A582="","",IF(AND($C582="2027",OR($D582="V01",$D582="V02",$D582="V03")),1,0))</f>
        <v/>
      </c>
      <c r="F582">
        <f>IF($A582="","",IF($E582=1,SUMIFS(Comptabilité!$F$1:$F$675,Comptabilité!$A$1:$A$675,$A582,Comptabilité!$B$1:$B$675,$B582,Comptabilité!$C$1:$C$675,"2026"),0))</f>
        <v/>
      </c>
      <c r="G582">
        <f>IF($A582="","",IF($D582="V01",Cadrage!$C$22,IF($D582="V02",Cadrage!$D$22,Cadrage!$E$22)))</f>
        <v/>
      </c>
      <c r="H582">
        <f>IF($A582="","",IF($D582="V01",Cadrage!$C$23,IF($D582="V02",Cadrage!$D$23,Cadrage!$E$23)))</f>
        <v/>
      </c>
      <c r="I582">
        <f>IF($A582="","",IF($D582="V01",Cadrage!$C$31,IF($D582="V02",Cadrage!$D$31,Cadrage!$E$31)))</f>
        <v/>
      </c>
      <c r="J582">
        <f>IF($A582="","",IF($D582="V01",Cadrage!$C$32,IF($D582="V02",Cadrage!$D$32,Cadrage!$E$32)))</f>
        <v/>
      </c>
      <c r="K582">
        <f>IF($A582="","",IF($D582="V01",Cadrage!$C$33,IF($D582="V02",Cadrage!$D$33,Cadrage!$E$33)))</f>
        <v/>
      </c>
      <c r="L582">
        <f>IF($A582="","",IF($D582="V01",Cadrage!$C$34,IF($D582="V02",Cadrage!$D$34,Cadrage!$E$34)))</f>
        <v/>
      </c>
      <c r="M582">
        <f>IF($A582="","",IF($D582="V01",Cadrage!$C$35,IF($D582="V02",Cadrage!$D$35,Cadrage!$E$35)))</f>
        <v/>
      </c>
      <c r="N582">
        <f>IF($A582="","",IF($D582="V01",$R$2,IF($D582="V02",$R$3,$R$4)))</f>
        <v/>
      </c>
      <c r="O582">
        <f>IF($A582="","",IF(OR($B582="7062",$B582="706",$B582="708"),$N582,IF($B582="6231",1+$G582,IF($B582="6236",1+$H582,IF(OR($B582="621",$B582="604",$B582="6063"),$N582*(1-$L582),IF(OR($B582="6411",$B582="6413",$B582="6414",$B582="645"),(1+$J582)*(1+$K582),IF(OR($B582="613",$B582="615",$B582="616",$B582="6226",$B582="625",$B582="626",$B582="6281"),(1+$I582)*(1-$L582)*(1+$M582),IF(OR($B582="6331",$B582="63511",$B582="6333"),(1+$I582)*(1-$L582),IF($B582="6811",1+$I582,1)))))))))</f>
        <v/>
      </c>
      <c r="P582">
        <f>IF($A582="","",IF($E582=1,$F582*$O582,PNL!G582))</f>
        <v/>
      </c>
      <c r="T582">
        <f>IF($A582="","",IF($E582=1,IF(OR($B582="7062",$B582="706",$B582="708"),$P582,IF(AND(LEFT($B582,1)="6",$B582&lt;&gt;"6811"),-$P582,0)),0))</f>
        <v/>
      </c>
    </row>
    <row r="583">
      <c r="A583">
        <f>IF(PNL!A583="","",PNL!A583)</f>
        <v/>
      </c>
      <c r="B583">
        <f>IF(PNL!B583="","",PNL!B583)</f>
        <v/>
      </c>
      <c r="C583">
        <f>IF(PNL!C583="","",PNL!C583)</f>
        <v/>
      </c>
      <c r="D583">
        <f>IF(PNL!D583="","",PNL!D583)</f>
        <v/>
      </c>
      <c r="E583">
        <f>IF($A583="","",IF(AND($C583="2027",OR($D583="V01",$D583="V02",$D583="V03")),1,0))</f>
        <v/>
      </c>
      <c r="F583">
        <f>IF($A583="","",IF($E583=1,SUMIFS(Comptabilité!$F$1:$F$675,Comptabilité!$A$1:$A$675,$A583,Comptabilité!$B$1:$B$675,$B583,Comptabilité!$C$1:$C$675,"2026"),0))</f>
        <v/>
      </c>
      <c r="G583">
        <f>IF($A583="","",IF($D583="V01",Cadrage!$C$22,IF($D583="V02",Cadrage!$D$22,Cadrage!$E$22)))</f>
        <v/>
      </c>
      <c r="H583">
        <f>IF($A583="","",IF($D583="V01",Cadrage!$C$23,IF($D583="V02",Cadrage!$D$23,Cadrage!$E$23)))</f>
        <v/>
      </c>
      <c r="I583">
        <f>IF($A583="","",IF($D583="V01",Cadrage!$C$31,IF($D583="V02",Cadrage!$D$31,Cadrage!$E$31)))</f>
        <v/>
      </c>
      <c r="J583">
        <f>IF($A583="","",IF($D583="V01",Cadrage!$C$32,IF($D583="V02",Cadrage!$D$32,Cadrage!$E$32)))</f>
        <v/>
      </c>
      <c r="K583">
        <f>IF($A583="","",IF($D583="V01",Cadrage!$C$33,IF($D583="V02",Cadrage!$D$33,Cadrage!$E$33)))</f>
        <v/>
      </c>
      <c r="L583">
        <f>IF($A583="","",IF($D583="V01",Cadrage!$C$34,IF($D583="V02",Cadrage!$D$34,Cadrage!$E$34)))</f>
        <v/>
      </c>
      <c r="M583">
        <f>IF($A583="","",IF($D583="V01",Cadrage!$C$35,IF($D583="V02",Cadrage!$D$35,Cadrage!$E$35)))</f>
        <v/>
      </c>
      <c r="N583">
        <f>IF($A583="","",IF($D583="V01",$R$2,IF($D583="V02",$R$3,$R$4)))</f>
        <v/>
      </c>
      <c r="O583">
        <f>IF($A583="","",IF(OR($B583="7062",$B583="706",$B583="708"),$N583,IF($B583="6231",1+$G583,IF($B583="6236",1+$H583,IF(OR($B583="621",$B583="604",$B583="6063"),$N583*(1-$L583),IF(OR($B583="6411",$B583="6413",$B583="6414",$B583="645"),(1+$J583)*(1+$K583),IF(OR($B583="613",$B583="615",$B583="616",$B583="6226",$B583="625",$B583="626",$B583="6281"),(1+$I583)*(1-$L583)*(1+$M583),IF(OR($B583="6331",$B583="63511",$B583="6333"),(1+$I583)*(1-$L583),IF($B583="6811",1+$I583,1)))))))))</f>
        <v/>
      </c>
      <c r="P583">
        <f>IF($A583="","",IF($E583=1,$F583*$O583,PNL!G583))</f>
        <v/>
      </c>
      <c r="T583">
        <f>IF($A583="","",IF($E583=1,IF(OR($B583="7062",$B583="706",$B583="708"),$P583,IF(AND(LEFT($B583,1)="6",$B583&lt;&gt;"6811"),-$P583,0)),0))</f>
        <v/>
      </c>
    </row>
    <row r="584">
      <c r="A584">
        <f>IF(PNL!A584="","",PNL!A584)</f>
        <v/>
      </c>
      <c r="B584">
        <f>IF(PNL!B584="","",PNL!B584)</f>
        <v/>
      </c>
      <c r="C584">
        <f>IF(PNL!C584="","",PNL!C584)</f>
        <v/>
      </c>
      <c r="D584">
        <f>IF(PNL!D584="","",PNL!D584)</f>
        <v/>
      </c>
      <c r="E584">
        <f>IF($A584="","",IF(AND($C584="2027",OR($D584="V01",$D584="V02",$D584="V03")),1,0))</f>
        <v/>
      </c>
      <c r="F584">
        <f>IF($A584="","",IF($E584=1,SUMIFS(Comptabilité!$F$1:$F$675,Comptabilité!$A$1:$A$675,$A584,Comptabilité!$B$1:$B$675,$B584,Comptabilité!$C$1:$C$675,"2026"),0))</f>
        <v/>
      </c>
      <c r="G584">
        <f>IF($A584="","",IF($D584="V01",Cadrage!$C$22,IF($D584="V02",Cadrage!$D$22,Cadrage!$E$22)))</f>
        <v/>
      </c>
      <c r="H584">
        <f>IF($A584="","",IF($D584="V01",Cadrage!$C$23,IF($D584="V02",Cadrage!$D$23,Cadrage!$E$23)))</f>
        <v/>
      </c>
      <c r="I584">
        <f>IF($A584="","",IF($D584="V01",Cadrage!$C$31,IF($D584="V02",Cadrage!$D$31,Cadrage!$E$31)))</f>
        <v/>
      </c>
      <c r="J584">
        <f>IF($A584="","",IF($D584="V01",Cadrage!$C$32,IF($D584="V02",Cadrage!$D$32,Cadrage!$E$32)))</f>
        <v/>
      </c>
      <c r="K584">
        <f>IF($A584="","",IF($D584="V01",Cadrage!$C$33,IF($D584="V02",Cadrage!$D$33,Cadrage!$E$33)))</f>
        <v/>
      </c>
      <c r="L584">
        <f>IF($A584="","",IF($D584="V01",Cadrage!$C$34,IF($D584="V02",Cadrage!$D$34,Cadrage!$E$34)))</f>
        <v/>
      </c>
      <c r="M584">
        <f>IF($A584="","",IF($D584="V01",Cadrage!$C$35,IF($D584="V02",Cadrage!$D$35,Cadrage!$E$35)))</f>
        <v/>
      </c>
      <c r="N584">
        <f>IF($A584="","",IF($D584="V01",$R$2,IF($D584="V02",$R$3,$R$4)))</f>
        <v/>
      </c>
      <c r="O584">
        <f>IF($A584="","",IF(OR($B584="7062",$B584="706",$B584="708"),$N584,IF($B584="6231",1+$G584,IF($B584="6236",1+$H584,IF(OR($B584="621",$B584="604",$B584="6063"),$N584*(1-$L584),IF(OR($B584="6411",$B584="6413",$B584="6414",$B584="645"),(1+$J584)*(1+$K584),IF(OR($B584="613",$B584="615",$B584="616",$B584="6226",$B584="625",$B584="626",$B584="6281"),(1+$I584)*(1-$L584)*(1+$M584),IF(OR($B584="6331",$B584="63511",$B584="6333"),(1+$I584)*(1-$L584),IF($B584="6811",1+$I584,1)))))))))</f>
        <v/>
      </c>
      <c r="P584">
        <f>IF($A584="","",IF($E584=1,$F584*$O584,PNL!G584))</f>
        <v/>
      </c>
      <c r="T584">
        <f>IF($A584="","",IF($E584=1,IF(OR($B584="7062",$B584="706",$B584="708"),$P584,IF(AND(LEFT($B584,1)="6",$B584&lt;&gt;"6811"),-$P584,0)),0))</f>
        <v/>
      </c>
    </row>
    <row r="585">
      <c r="A585">
        <f>IF(PNL!A585="","",PNL!A585)</f>
        <v/>
      </c>
      <c r="B585">
        <f>IF(PNL!B585="","",PNL!B585)</f>
        <v/>
      </c>
      <c r="C585">
        <f>IF(PNL!C585="","",PNL!C585)</f>
        <v/>
      </c>
      <c r="D585">
        <f>IF(PNL!D585="","",PNL!D585)</f>
        <v/>
      </c>
      <c r="E585">
        <f>IF($A585="","",IF(AND($C585="2027",OR($D585="V01",$D585="V02",$D585="V03")),1,0))</f>
        <v/>
      </c>
      <c r="F585">
        <f>IF($A585="","",IF($E585=1,SUMIFS(Comptabilité!$F$1:$F$675,Comptabilité!$A$1:$A$675,$A585,Comptabilité!$B$1:$B$675,$B585,Comptabilité!$C$1:$C$675,"2026"),0))</f>
        <v/>
      </c>
      <c r="G585">
        <f>IF($A585="","",IF($D585="V01",Cadrage!$C$22,IF($D585="V02",Cadrage!$D$22,Cadrage!$E$22)))</f>
        <v/>
      </c>
      <c r="H585">
        <f>IF($A585="","",IF($D585="V01",Cadrage!$C$23,IF($D585="V02",Cadrage!$D$23,Cadrage!$E$23)))</f>
        <v/>
      </c>
      <c r="I585">
        <f>IF($A585="","",IF($D585="V01",Cadrage!$C$31,IF($D585="V02",Cadrage!$D$31,Cadrage!$E$31)))</f>
        <v/>
      </c>
      <c r="J585">
        <f>IF($A585="","",IF($D585="V01",Cadrage!$C$32,IF($D585="V02",Cadrage!$D$32,Cadrage!$E$32)))</f>
        <v/>
      </c>
      <c r="K585">
        <f>IF($A585="","",IF($D585="V01",Cadrage!$C$33,IF($D585="V02",Cadrage!$D$33,Cadrage!$E$33)))</f>
        <v/>
      </c>
      <c r="L585">
        <f>IF($A585="","",IF($D585="V01",Cadrage!$C$34,IF($D585="V02",Cadrage!$D$34,Cadrage!$E$34)))</f>
        <v/>
      </c>
      <c r="M585">
        <f>IF($A585="","",IF($D585="V01",Cadrage!$C$35,IF($D585="V02",Cadrage!$D$35,Cadrage!$E$35)))</f>
        <v/>
      </c>
      <c r="N585">
        <f>IF($A585="","",IF($D585="V01",$R$2,IF($D585="V02",$R$3,$R$4)))</f>
        <v/>
      </c>
      <c r="O585">
        <f>IF($A585="","",IF(OR($B585="7062",$B585="706",$B585="708"),$N585,IF($B585="6231",1+$G585,IF($B585="6236",1+$H585,IF(OR($B585="621",$B585="604",$B585="6063"),$N585*(1-$L585),IF(OR($B585="6411",$B585="6413",$B585="6414",$B585="645"),(1+$J585)*(1+$K585),IF(OR($B585="613",$B585="615",$B585="616",$B585="6226",$B585="625",$B585="626",$B585="6281"),(1+$I585)*(1-$L585)*(1+$M585),IF(OR($B585="6331",$B585="63511",$B585="6333"),(1+$I585)*(1-$L585),IF($B585="6811",1+$I585,1)))))))))</f>
        <v/>
      </c>
      <c r="P585">
        <f>IF($A585="","",IF($E585=1,$F585*$O585,PNL!G585))</f>
        <v/>
      </c>
      <c r="T585">
        <f>IF($A585="","",IF($E585=1,IF(OR($B585="7062",$B585="706",$B585="708"),$P585,IF(AND(LEFT($B585,1)="6",$B585&lt;&gt;"6811"),-$P585,0)),0))</f>
        <v/>
      </c>
    </row>
    <row r="586">
      <c r="A586">
        <f>IF(PNL!A586="","",PNL!A586)</f>
        <v/>
      </c>
      <c r="B586">
        <f>IF(PNL!B586="","",PNL!B586)</f>
        <v/>
      </c>
      <c r="C586">
        <f>IF(PNL!C586="","",PNL!C586)</f>
        <v/>
      </c>
      <c r="D586">
        <f>IF(PNL!D586="","",PNL!D586)</f>
        <v/>
      </c>
      <c r="E586">
        <f>IF($A586="","",IF(AND($C586="2027",OR($D586="V01",$D586="V02",$D586="V03")),1,0))</f>
        <v/>
      </c>
      <c r="F586">
        <f>IF($A586="","",IF($E586=1,SUMIFS(Comptabilité!$F$1:$F$675,Comptabilité!$A$1:$A$675,$A586,Comptabilité!$B$1:$B$675,$B586,Comptabilité!$C$1:$C$675,"2026"),0))</f>
        <v/>
      </c>
      <c r="G586">
        <f>IF($A586="","",IF($D586="V01",Cadrage!$C$22,IF($D586="V02",Cadrage!$D$22,Cadrage!$E$22)))</f>
        <v/>
      </c>
      <c r="H586">
        <f>IF($A586="","",IF($D586="V01",Cadrage!$C$23,IF($D586="V02",Cadrage!$D$23,Cadrage!$E$23)))</f>
        <v/>
      </c>
      <c r="I586">
        <f>IF($A586="","",IF($D586="V01",Cadrage!$C$31,IF($D586="V02",Cadrage!$D$31,Cadrage!$E$31)))</f>
        <v/>
      </c>
      <c r="J586">
        <f>IF($A586="","",IF($D586="V01",Cadrage!$C$32,IF($D586="V02",Cadrage!$D$32,Cadrage!$E$32)))</f>
        <v/>
      </c>
      <c r="K586">
        <f>IF($A586="","",IF($D586="V01",Cadrage!$C$33,IF($D586="V02",Cadrage!$D$33,Cadrage!$E$33)))</f>
        <v/>
      </c>
      <c r="L586">
        <f>IF($A586="","",IF($D586="V01",Cadrage!$C$34,IF($D586="V02",Cadrage!$D$34,Cadrage!$E$34)))</f>
        <v/>
      </c>
      <c r="M586">
        <f>IF($A586="","",IF($D586="V01",Cadrage!$C$35,IF($D586="V02",Cadrage!$D$35,Cadrage!$E$35)))</f>
        <v/>
      </c>
      <c r="N586">
        <f>IF($A586="","",IF($D586="V01",$R$2,IF($D586="V02",$R$3,$R$4)))</f>
        <v/>
      </c>
      <c r="O586">
        <f>IF($A586="","",IF(OR($B586="7062",$B586="706",$B586="708"),$N586,IF($B586="6231",1+$G586,IF($B586="6236",1+$H586,IF(OR($B586="621",$B586="604",$B586="6063"),$N586*(1-$L586),IF(OR($B586="6411",$B586="6413",$B586="6414",$B586="645"),(1+$J586)*(1+$K586),IF(OR($B586="613",$B586="615",$B586="616",$B586="6226",$B586="625",$B586="626",$B586="6281"),(1+$I586)*(1-$L586)*(1+$M586),IF(OR($B586="6331",$B586="63511",$B586="6333"),(1+$I586)*(1-$L586),IF($B586="6811",1+$I586,1)))))))))</f>
        <v/>
      </c>
      <c r="P586">
        <f>IF($A586="","",IF($E586=1,$F586*$O586,PNL!G586))</f>
        <v/>
      </c>
      <c r="T586">
        <f>IF($A586="","",IF($E586=1,IF(OR($B586="7062",$B586="706",$B586="708"),$P586,IF(AND(LEFT($B586,1)="6",$B586&lt;&gt;"6811"),-$P586,0)),0))</f>
        <v/>
      </c>
    </row>
    <row r="587">
      <c r="A587">
        <f>IF(PNL!A587="","",PNL!A587)</f>
        <v/>
      </c>
      <c r="B587">
        <f>IF(PNL!B587="","",PNL!B587)</f>
        <v/>
      </c>
      <c r="C587">
        <f>IF(PNL!C587="","",PNL!C587)</f>
        <v/>
      </c>
      <c r="D587">
        <f>IF(PNL!D587="","",PNL!D587)</f>
        <v/>
      </c>
      <c r="E587">
        <f>IF($A587="","",IF(AND($C587="2027",OR($D587="V01",$D587="V02",$D587="V03")),1,0))</f>
        <v/>
      </c>
      <c r="F587">
        <f>IF($A587="","",IF($E587=1,SUMIFS(Comptabilité!$F$1:$F$675,Comptabilité!$A$1:$A$675,$A587,Comptabilité!$B$1:$B$675,$B587,Comptabilité!$C$1:$C$675,"2026"),0))</f>
        <v/>
      </c>
      <c r="G587">
        <f>IF($A587="","",IF($D587="V01",Cadrage!$C$22,IF($D587="V02",Cadrage!$D$22,Cadrage!$E$22)))</f>
        <v/>
      </c>
      <c r="H587">
        <f>IF($A587="","",IF($D587="V01",Cadrage!$C$23,IF($D587="V02",Cadrage!$D$23,Cadrage!$E$23)))</f>
        <v/>
      </c>
      <c r="I587">
        <f>IF($A587="","",IF($D587="V01",Cadrage!$C$31,IF($D587="V02",Cadrage!$D$31,Cadrage!$E$31)))</f>
        <v/>
      </c>
      <c r="J587">
        <f>IF($A587="","",IF($D587="V01",Cadrage!$C$32,IF($D587="V02",Cadrage!$D$32,Cadrage!$E$32)))</f>
        <v/>
      </c>
      <c r="K587">
        <f>IF($A587="","",IF($D587="V01",Cadrage!$C$33,IF($D587="V02",Cadrage!$D$33,Cadrage!$E$33)))</f>
        <v/>
      </c>
      <c r="L587">
        <f>IF($A587="","",IF($D587="V01",Cadrage!$C$34,IF($D587="V02",Cadrage!$D$34,Cadrage!$E$34)))</f>
        <v/>
      </c>
      <c r="M587">
        <f>IF($A587="","",IF($D587="V01",Cadrage!$C$35,IF($D587="V02",Cadrage!$D$35,Cadrage!$E$35)))</f>
        <v/>
      </c>
      <c r="N587">
        <f>IF($A587="","",IF($D587="V01",$R$2,IF($D587="V02",$R$3,$R$4)))</f>
        <v/>
      </c>
      <c r="O587">
        <f>IF($A587="","",IF(OR($B587="7062",$B587="706",$B587="708"),$N587,IF($B587="6231",1+$G587,IF($B587="6236",1+$H587,IF(OR($B587="621",$B587="604",$B587="6063"),$N587*(1-$L587),IF(OR($B587="6411",$B587="6413",$B587="6414",$B587="645"),(1+$J587)*(1+$K587),IF(OR($B587="613",$B587="615",$B587="616",$B587="6226",$B587="625",$B587="626",$B587="6281"),(1+$I587)*(1-$L587)*(1+$M587),IF(OR($B587="6331",$B587="63511",$B587="6333"),(1+$I587)*(1-$L587),IF($B587="6811",1+$I587,1)))))))))</f>
        <v/>
      </c>
      <c r="P587">
        <f>IF($A587="","",IF($E587=1,$F587*$O587,PNL!G587))</f>
        <v/>
      </c>
      <c r="T587">
        <f>IF($A587="","",IF($E587=1,IF(OR($B587="7062",$B587="706",$B587="708"),$P587,IF(AND(LEFT($B587,1)="6",$B587&lt;&gt;"6811"),-$P587,0)),0))</f>
        <v/>
      </c>
    </row>
    <row r="588">
      <c r="A588">
        <f>IF(PNL!A588="","",PNL!A588)</f>
        <v/>
      </c>
      <c r="B588">
        <f>IF(PNL!B588="","",PNL!B588)</f>
        <v/>
      </c>
      <c r="C588">
        <f>IF(PNL!C588="","",PNL!C588)</f>
        <v/>
      </c>
      <c r="D588">
        <f>IF(PNL!D588="","",PNL!D588)</f>
        <v/>
      </c>
      <c r="E588">
        <f>IF($A588="","",IF(AND($C588="2027",OR($D588="V01",$D588="V02",$D588="V03")),1,0))</f>
        <v/>
      </c>
      <c r="F588">
        <f>IF($A588="","",IF($E588=1,SUMIFS(Comptabilité!$F$1:$F$675,Comptabilité!$A$1:$A$675,$A588,Comptabilité!$B$1:$B$675,$B588,Comptabilité!$C$1:$C$675,"2026"),0))</f>
        <v/>
      </c>
      <c r="G588">
        <f>IF($A588="","",IF($D588="V01",Cadrage!$C$22,IF($D588="V02",Cadrage!$D$22,Cadrage!$E$22)))</f>
        <v/>
      </c>
      <c r="H588">
        <f>IF($A588="","",IF($D588="V01",Cadrage!$C$23,IF($D588="V02",Cadrage!$D$23,Cadrage!$E$23)))</f>
        <v/>
      </c>
      <c r="I588">
        <f>IF($A588="","",IF($D588="V01",Cadrage!$C$31,IF($D588="V02",Cadrage!$D$31,Cadrage!$E$31)))</f>
        <v/>
      </c>
      <c r="J588">
        <f>IF($A588="","",IF($D588="V01",Cadrage!$C$32,IF($D588="V02",Cadrage!$D$32,Cadrage!$E$32)))</f>
        <v/>
      </c>
      <c r="K588">
        <f>IF($A588="","",IF($D588="V01",Cadrage!$C$33,IF($D588="V02",Cadrage!$D$33,Cadrage!$E$33)))</f>
        <v/>
      </c>
      <c r="L588">
        <f>IF($A588="","",IF($D588="V01",Cadrage!$C$34,IF($D588="V02",Cadrage!$D$34,Cadrage!$E$34)))</f>
        <v/>
      </c>
      <c r="M588">
        <f>IF($A588="","",IF($D588="V01",Cadrage!$C$35,IF($D588="V02",Cadrage!$D$35,Cadrage!$E$35)))</f>
        <v/>
      </c>
      <c r="N588">
        <f>IF($A588="","",IF($D588="V01",$R$2,IF($D588="V02",$R$3,$R$4)))</f>
        <v/>
      </c>
      <c r="O588">
        <f>IF($A588="","",IF(OR($B588="7062",$B588="706",$B588="708"),$N588,IF($B588="6231",1+$G588,IF($B588="6236",1+$H588,IF(OR($B588="621",$B588="604",$B588="6063"),$N588*(1-$L588),IF(OR($B588="6411",$B588="6413",$B588="6414",$B588="645"),(1+$J588)*(1+$K588),IF(OR($B588="613",$B588="615",$B588="616",$B588="6226",$B588="625",$B588="626",$B588="6281"),(1+$I588)*(1-$L588)*(1+$M588),IF(OR($B588="6331",$B588="63511",$B588="6333"),(1+$I588)*(1-$L588),IF($B588="6811",1+$I588,1)))))))))</f>
        <v/>
      </c>
      <c r="P588">
        <f>IF($A588="","",IF($E588=1,$F588*$O588,PNL!G588))</f>
        <v/>
      </c>
      <c r="T588">
        <f>IF($A588="","",IF($E588=1,IF(OR($B588="7062",$B588="706",$B588="708"),$P588,IF(AND(LEFT($B588,1)="6",$B588&lt;&gt;"6811"),-$P588,0)),0))</f>
        <v/>
      </c>
    </row>
    <row r="589">
      <c r="A589">
        <f>IF(PNL!A589="","",PNL!A589)</f>
        <v/>
      </c>
      <c r="B589">
        <f>IF(PNL!B589="","",PNL!B589)</f>
        <v/>
      </c>
      <c r="C589">
        <f>IF(PNL!C589="","",PNL!C589)</f>
        <v/>
      </c>
      <c r="D589">
        <f>IF(PNL!D589="","",PNL!D589)</f>
        <v/>
      </c>
      <c r="E589">
        <f>IF($A589="","",IF(AND($C589="2027",OR($D589="V01",$D589="V02",$D589="V03")),1,0))</f>
        <v/>
      </c>
      <c r="F589">
        <f>IF($A589="","",IF($E589=1,SUMIFS(Comptabilité!$F$1:$F$675,Comptabilité!$A$1:$A$675,$A589,Comptabilité!$B$1:$B$675,$B589,Comptabilité!$C$1:$C$675,"2026"),0))</f>
        <v/>
      </c>
      <c r="G589">
        <f>IF($A589="","",IF($D589="V01",Cadrage!$C$22,IF($D589="V02",Cadrage!$D$22,Cadrage!$E$22)))</f>
        <v/>
      </c>
      <c r="H589">
        <f>IF($A589="","",IF($D589="V01",Cadrage!$C$23,IF($D589="V02",Cadrage!$D$23,Cadrage!$E$23)))</f>
        <v/>
      </c>
      <c r="I589">
        <f>IF($A589="","",IF($D589="V01",Cadrage!$C$31,IF($D589="V02",Cadrage!$D$31,Cadrage!$E$31)))</f>
        <v/>
      </c>
      <c r="J589">
        <f>IF($A589="","",IF($D589="V01",Cadrage!$C$32,IF($D589="V02",Cadrage!$D$32,Cadrage!$E$32)))</f>
        <v/>
      </c>
      <c r="K589">
        <f>IF($A589="","",IF($D589="V01",Cadrage!$C$33,IF($D589="V02",Cadrage!$D$33,Cadrage!$E$33)))</f>
        <v/>
      </c>
      <c r="L589">
        <f>IF($A589="","",IF($D589="V01",Cadrage!$C$34,IF($D589="V02",Cadrage!$D$34,Cadrage!$E$34)))</f>
        <v/>
      </c>
      <c r="M589">
        <f>IF($A589="","",IF($D589="V01",Cadrage!$C$35,IF($D589="V02",Cadrage!$D$35,Cadrage!$E$35)))</f>
        <v/>
      </c>
      <c r="N589">
        <f>IF($A589="","",IF($D589="V01",$R$2,IF($D589="V02",$R$3,$R$4)))</f>
        <v/>
      </c>
      <c r="O589">
        <f>IF($A589="","",IF(OR($B589="7062",$B589="706",$B589="708"),$N589,IF($B589="6231",1+$G589,IF($B589="6236",1+$H589,IF(OR($B589="621",$B589="604",$B589="6063"),$N589*(1-$L589),IF(OR($B589="6411",$B589="6413",$B589="6414",$B589="645"),(1+$J589)*(1+$K589),IF(OR($B589="613",$B589="615",$B589="616",$B589="6226",$B589="625",$B589="626",$B589="6281"),(1+$I589)*(1-$L589)*(1+$M589),IF(OR($B589="6331",$B589="63511",$B589="6333"),(1+$I589)*(1-$L589),IF($B589="6811",1+$I589,1)))))))))</f>
        <v/>
      </c>
      <c r="P589">
        <f>IF($A589="","",IF($E589=1,$F589*$O589,PNL!G589))</f>
        <v/>
      </c>
      <c r="T589">
        <f>IF($A589="","",IF($E589=1,IF(OR($B589="7062",$B589="706",$B589="708"),$P589,IF(AND(LEFT($B589,1)="6",$B589&lt;&gt;"6811"),-$P589,0)),0))</f>
        <v/>
      </c>
    </row>
    <row r="590">
      <c r="A590">
        <f>IF(PNL!A590="","",PNL!A590)</f>
        <v/>
      </c>
      <c r="B590">
        <f>IF(PNL!B590="","",PNL!B590)</f>
        <v/>
      </c>
      <c r="C590">
        <f>IF(PNL!C590="","",PNL!C590)</f>
        <v/>
      </c>
      <c r="D590">
        <f>IF(PNL!D590="","",PNL!D590)</f>
        <v/>
      </c>
      <c r="E590">
        <f>IF($A590="","",IF(AND($C590="2027",OR($D590="V01",$D590="V02",$D590="V03")),1,0))</f>
        <v/>
      </c>
      <c r="F590">
        <f>IF($A590="","",IF($E590=1,SUMIFS(Comptabilité!$F$1:$F$675,Comptabilité!$A$1:$A$675,$A590,Comptabilité!$B$1:$B$675,$B590,Comptabilité!$C$1:$C$675,"2026"),0))</f>
        <v/>
      </c>
      <c r="G590">
        <f>IF($A590="","",IF($D590="V01",Cadrage!$C$22,IF($D590="V02",Cadrage!$D$22,Cadrage!$E$22)))</f>
        <v/>
      </c>
      <c r="H590">
        <f>IF($A590="","",IF($D590="V01",Cadrage!$C$23,IF($D590="V02",Cadrage!$D$23,Cadrage!$E$23)))</f>
        <v/>
      </c>
      <c r="I590">
        <f>IF($A590="","",IF($D590="V01",Cadrage!$C$31,IF($D590="V02",Cadrage!$D$31,Cadrage!$E$31)))</f>
        <v/>
      </c>
      <c r="J590">
        <f>IF($A590="","",IF($D590="V01",Cadrage!$C$32,IF($D590="V02",Cadrage!$D$32,Cadrage!$E$32)))</f>
        <v/>
      </c>
      <c r="K590">
        <f>IF($A590="","",IF($D590="V01",Cadrage!$C$33,IF($D590="V02",Cadrage!$D$33,Cadrage!$E$33)))</f>
        <v/>
      </c>
      <c r="L590">
        <f>IF($A590="","",IF($D590="V01",Cadrage!$C$34,IF($D590="V02",Cadrage!$D$34,Cadrage!$E$34)))</f>
        <v/>
      </c>
      <c r="M590">
        <f>IF($A590="","",IF($D590="V01",Cadrage!$C$35,IF($D590="V02",Cadrage!$D$35,Cadrage!$E$35)))</f>
        <v/>
      </c>
      <c r="N590">
        <f>IF($A590="","",IF($D590="V01",$R$2,IF($D590="V02",$R$3,$R$4)))</f>
        <v/>
      </c>
      <c r="O590">
        <f>IF($A590="","",IF(OR($B590="7062",$B590="706",$B590="708"),$N590,IF($B590="6231",1+$G590,IF($B590="6236",1+$H590,IF(OR($B590="621",$B590="604",$B590="6063"),$N590*(1-$L590),IF(OR($B590="6411",$B590="6413",$B590="6414",$B590="645"),(1+$J590)*(1+$K590),IF(OR($B590="613",$B590="615",$B590="616",$B590="6226",$B590="625",$B590="626",$B590="6281"),(1+$I590)*(1-$L590)*(1+$M590),IF(OR($B590="6331",$B590="63511",$B590="6333"),(1+$I590)*(1-$L590),IF($B590="6811",1+$I590,1)))))))))</f>
        <v/>
      </c>
      <c r="P590">
        <f>IF($A590="","",IF($E590=1,$F590*$O590,PNL!G590))</f>
        <v/>
      </c>
      <c r="T590">
        <f>IF($A590="","",IF($E590=1,IF(OR($B590="7062",$B590="706",$B590="708"),$P590,IF(AND(LEFT($B590,1)="6",$B590&lt;&gt;"6811"),-$P590,0)),0))</f>
        <v/>
      </c>
    </row>
    <row r="591">
      <c r="A591">
        <f>IF(PNL!A591="","",PNL!A591)</f>
        <v/>
      </c>
      <c r="B591">
        <f>IF(PNL!B591="","",PNL!B591)</f>
        <v/>
      </c>
      <c r="C591">
        <f>IF(PNL!C591="","",PNL!C591)</f>
        <v/>
      </c>
      <c r="D591">
        <f>IF(PNL!D591="","",PNL!D591)</f>
        <v/>
      </c>
      <c r="E591">
        <f>IF($A591="","",IF(AND($C591="2027",OR($D591="V01",$D591="V02",$D591="V03")),1,0))</f>
        <v/>
      </c>
      <c r="F591">
        <f>IF($A591="","",IF($E591=1,SUMIFS(Comptabilité!$F$1:$F$675,Comptabilité!$A$1:$A$675,$A591,Comptabilité!$B$1:$B$675,$B591,Comptabilité!$C$1:$C$675,"2026"),0))</f>
        <v/>
      </c>
      <c r="G591">
        <f>IF($A591="","",IF($D591="V01",Cadrage!$C$22,IF($D591="V02",Cadrage!$D$22,Cadrage!$E$22)))</f>
        <v/>
      </c>
      <c r="H591">
        <f>IF($A591="","",IF($D591="V01",Cadrage!$C$23,IF($D591="V02",Cadrage!$D$23,Cadrage!$E$23)))</f>
        <v/>
      </c>
      <c r="I591">
        <f>IF($A591="","",IF($D591="V01",Cadrage!$C$31,IF($D591="V02",Cadrage!$D$31,Cadrage!$E$31)))</f>
        <v/>
      </c>
      <c r="J591">
        <f>IF($A591="","",IF($D591="V01",Cadrage!$C$32,IF($D591="V02",Cadrage!$D$32,Cadrage!$E$32)))</f>
        <v/>
      </c>
      <c r="K591">
        <f>IF($A591="","",IF($D591="V01",Cadrage!$C$33,IF($D591="V02",Cadrage!$D$33,Cadrage!$E$33)))</f>
        <v/>
      </c>
      <c r="L591">
        <f>IF($A591="","",IF($D591="V01",Cadrage!$C$34,IF($D591="V02",Cadrage!$D$34,Cadrage!$E$34)))</f>
        <v/>
      </c>
      <c r="M591">
        <f>IF($A591="","",IF($D591="V01",Cadrage!$C$35,IF($D591="V02",Cadrage!$D$35,Cadrage!$E$35)))</f>
        <v/>
      </c>
      <c r="N591">
        <f>IF($A591="","",IF($D591="V01",$R$2,IF($D591="V02",$R$3,$R$4)))</f>
        <v/>
      </c>
      <c r="O591">
        <f>IF($A591="","",IF(OR($B591="7062",$B591="706",$B591="708"),$N591,IF($B591="6231",1+$G591,IF($B591="6236",1+$H591,IF(OR($B591="621",$B591="604",$B591="6063"),$N591*(1-$L591),IF(OR($B591="6411",$B591="6413",$B591="6414",$B591="645"),(1+$J591)*(1+$K591),IF(OR($B591="613",$B591="615",$B591="616",$B591="6226",$B591="625",$B591="626",$B591="6281"),(1+$I591)*(1-$L591)*(1+$M591),IF(OR($B591="6331",$B591="63511",$B591="6333"),(1+$I591)*(1-$L591),IF($B591="6811",1+$I591,1)))))))))</f>
        <v/>
      </c>
      <c r="P591">
        <f>IF($A591="","",IF($E591=1,$F591*$O591,PNL!G591))</f>
        <v/>
      </c>
      <c r="T591">
        <f>IF($A591="","",IF($E591=1,IF(OR($B591="7062",$B591="706",$B591="708"),$P591,IF(AND(LEFT($B591,1)="6",$B591&lt;&gt;"6811"),-$P591,0)),0))</f>
        <v/>
      </c>
    </row>
    <row r="592">
      <c r="A592">
        <f>IF(PNL!A592="","",PNL!A592)</f>
        <v/>
      </c>
      <c r="B592">
        <f>IF(PNL!B592="","",PNL!B592)</f>
        <v/>
      </c>
      <c r="C592">
        <f>IF(PNL!C592="","",PNL!C592)</f>
        <v/>
      </c>
      <c r="D592">
        <f>IF(PNL!D592="","",PNL!D592)</f>
        <v/>
      </c>
      <c r="E592">
        <f>IF($A592="","",IF(AND($C592="2027",OR($D592="V01",$D592="V02",$D592="V03")),1,0))</f>
        <v/>
      </c>
      <c r="F592">
        <f>IF($A592="","",IF($E592=1,SUMIFS(Comptabilité!$F$1:$F$675,Comptabilité!$A$1:$A$675,$A592,Comptabilité!$B$1:$B$675,$B592,Comptabilité!$C$1:$C$675,"2026"),0))</f>
        <v/>
      </c>
      <c r="G592">
        <f>IF($A592="","",IF($D592="V01",Cadrage!$C$22,IF($D592="V02",Cadrage!$D$22,Cadrage!$E$22)))</f>
        <v/>
      </c>
      <c r="H592">
        <f>IF($A592="","",IF($D592="V01",Cadrage!$C$23,IF($D592="V02",Cadrage!$D$23,Cadrage!$E$23)))</f>
        <v/>
      </c>
      <c r="I592">
        <f>IF($A592="","",IF($D592="V01",Cadrage!$C$31,IF($D592="V02",Cadrage!$D$31,Cadrage!$E$31)))</f>
        <v/>
      </c>
      <c r="J592">
        <f>IF($A592="","",IF($D592="V01",Cadrage!$C$32,IF($D592="V02",Cadrage!$D$32,Cadrage!$E$32)))</f>
        <v/>
      </c>
      <c r="K592">
        <f>IF($A592="","",IF($D592="V01",Cadrage!$C$33,IF($D592="V02",Cadrage!$D$33,Cadrage!$E$33)))</f>
        <v/>
      </c>
      <c r="L592">
        <f>IF($A592="","",IF($D592="V01",Cadrage!$C$34,IF($D592="V02",Cadrage!$D$34,Cadrage!$E$34)))</f>
        <v/>
      </c>
      <c r="M592">
        <f>IF($A592="","",IF($D592="V01",Cadrage!$C$35,IF($D592="V02",Cadrage!$D$35,Cadrage!$E$35)))</f>
        <v/>
      </c>
      <c r="N592">
        <f>IF($A592="","",IF($D592="V01",$R$2,IF($D592="V02",$R$3,$R$4)))</f>
        <v/>
      </c>
      <c r="O592">
        <f>IF($A592="","",IF(OR($B592="7062",$B592="706",$B592="708"),$N592,IF($B592="6231",1+$G592,IF($B592="6236",1+$H592,IF(OR($B592="621",$B592="604",$B592="6063"),$N592*(1-$L592),IF(OR($B592="6411",$B592="6413",$B592="6414",$B592="645"),(1+$J592)*(1+$K592),IF(OR($B592="613",$B592="615",$B592="616",$B592="6226",$B592="625",$B592="626",$B592="6281"),(1+$I592)*(1-$L592)*(1+$M592),IF(OR($B592="6331",$B592="63511",$B592="6333"),(1+$I592)*(1-$L592),IF($B592="6811",1+$I592,1)))))))))</f>
        <v/>
      </c>
      <c r="P592">
        <f>IF($A592="","",IF($E592=1,$F592*$O592,PNL!G592))</f>
        <v/>
      </c>
      <c r="T592">
        <f>IF($A592="","",IF($E592=1,IF(OR($B592="7062",$B592="706",$B592="708"),$P592,IF(AND(LEFT($B592,1)="6",$B592&lt;&gt;"6811"),-$P592,0)),0))</f>
        <v/>
      </c>
    </row>
    <row r="593">
      <c r="A593">
        <f>IF(PNL!A593="","",PNL!A593)</f>
        <v/>
      </c>
      <c r="B593">
        <f>IF(PNL!B593="","",PNL!B593)</f>
        <v/>
      </c>
      <c r="C593">
        <f>IF(PNL!C593="","",PNL!C593)</f>
        <v/>
      </c>
      <c r="D593">
        <f>IF(PNL!D593="","",PNL!D593)</f>
        <v/>
      </c>
      <c r="E593">
        <f>IF($A593="","",IF(AND($C593="2027",OR($D593="V01",$D593="V02",$D593="V03")),1,0))</f>
        <v/>
      </c>
      <c r="F593">
        <f>IF($A593="","",IF($E593=1,SUMIFS(Comptabilité!$F$1:$F$675,Comptabilité!$A$1:$A$675,$A593,Comptabilité!$B$1:$B$675,$B593,Comptabilité!$C$1:$C$675,"2026"),0))</f>
        <v/>
      </c>
      <c r="G593">
        <f>IF($A593="","",IF($D593="V01",Cadrage!$C$22,IF($D593="V02",Cadrage!$D$22,Cadrage!$E$22)))</f>
        <v/>
      </c>
      <c r="H593">
        <f>IF($A593="","",IF($D593="V01",Cadrage!$C$23,IF($D593="V02",Cadrage!$D$23,Cadrage!$E$23)))</f>
        <v/>
      </c>
      <c r="I593">
        <f>IF($A593="","",IF($D593="V01",Cadrage!$C$31,IF($D593="V02",Cadrage!$D$31,Cadrage!$E$31)))</f>
        <v/>
      </c>
      <c r="J593">
        <f>IF($A593="","",IF($D593="V01",Cadrage!$C$32,IF($D593="V02",Cadrage!$D$32,Cadrage!$E$32)))</f>
        <v/>
      </c>
      <c r="K593">
        <f>IF($A593="","",IF($D593="V01",Cadrage!$C$33,IF($D593="V02",Cadrage!$D$33,Cadrage!$E$33)))</f>
        <v/>
      </c>
      <c r="L593">
        <f>IF($A593="","",IF($D593="V01",Cadrage!$C$34,IF($D593="V02",Cadrage!$D$34,Cadrage!$E$34)))</f>
        <v/>
      </c>
      <c r="M593">
        <f>IF($A593="","",IF($D593="V01",Cadrage!$C$35,IF($D593="V02",Cadrage!$D$35,Cadrage!$E$35)))</f>
        <v/>
      </c>
      <c r="N593">
        <f>IF($A593="","",IF($D593="V01",$R$2,IF($D593="V02",$R$3,$R$4)))</f>
        <v/>
      </c>
      <c r="O593">
        <f>IF($A593="","",IF(OR($B593="7062",$B593="706",$B593="708"),$N593,IF($B593="6231",1+$G593,IF($B593="6236",1+$H593,IF(OR($B593="621",$B593="604",$B593="6063"),$N593*(1-$L593),IF(OR($B593="6411",$B593="6413",$B593="6414",$B593="645"),(1+$J593)*(1+$K593),IF(OR($B593="613",$B593="615",$B593="616",$B593="6226",$B593="625",$B593="626",$B593="6281"),(1+$I593)*(1-$L593)*(1+$M593),IF(OR($B593="6331",$B593="63511",$B593="6333"),(1+$I593)*(1-$L593),IF($B593="6811",1+$I593,1)))))))))</f>
        <v/>
      </c>
      <c r="P593">
        <f>IF($A593="","",IF($E593=1,$F593*$O593,PNL!G593))</f>
        <v/>
      </c>
      <c r="T593">
        <f>IF($A593="","",IF($E593=1,IF(OR($B593="7062",$B593="706",$B593="708"),$P593,IF(AND(LEFT($B593,1)="6",$B593&lt;&gt;"6811"),-$P593,0)),0))</f>
        <v/>
      </c>
    </row>
    <row r="594">
      <c r="A594">
        <f>IF(PNL!A594="","",PNL!A594)</f>
        <v/>
      </c>
      <c r="B594">
        <f>IF(PNL!B594="","",PNL!B594)</f>
        <v/>
      </c>
      <c r="C594">
        <f>IF(PNL!C594="","",PNL!C594)</f>
        <v/>
      </c>
      <c r="D594">
        <f>IF(PNL!D594="","",PNL!D594)</f>
        <v/>
      </c>
      <c r="E594">
        <f>IF($A594="","",IF(AND($C594="2027",OR($D594="V01",$D594="V02",$D594="V03")),1,0))</f>
        <v/>
      </c>
      <c r="F594">
        <f>IF($A594="","",IF($E594=1,SUMIFS(Comptabilité!$F$1:$F$675,Comptabilité!$A$1:$A$675,$A594,Comptabilité!$B$1:$B$675,$B594,Comptabilité!$C$1:$C$675,"2026"),0))</f>
        <v/>
      </c>
      <c r="G594">
        <f>IF($A594="","",IF($D594="V01",Cadrage!$C$22,IF($D594="V02",Cadrage!$D$22,Cadrage!$E$22)))</f>
        <v/>
      </c>
      <c r="H594">
        <f>IF($A594="","",IF($D594="V01",Cadrage!$C$23,IF($D594="V02",Cadrage!$D$23,Cadrage!$E$23)))</f>
        <v/>
      </c>
      <c r="I594">
        <f>IF($A594="","",IF($D594="V01",Cadrage!$C$31,IF($D594="V02",Cadrage!$D$31,Cadrage!$E$31)))</f>
        <v/>
      </c>
      <c r="J594">
        <f>IF($A594="","",IF($D594="V01",Cadrage!$C$32,IF($D594="V02",Cadrage!$D$32,Cadrage!$E$32)))</f>
        <v/>
      </c>
      <c r="K594">
        <f>IF($A594="","",IF($D594="V01",Cadrage!$C$33,IF($D594="V02",Cadrage!$D$33,Cadrage!$E$33)))</f>
        <v/>
      </c>
      <c r="L594">
        <f>IF($A594="","",IF($D594="V01",Cadrage!$C$34,IF($D594="V02",Cadrage!$D$34,Cadrage!$E$34)))</f>
        <v/>
      </c>
      <c r="M594">
        <f>IF($A594="","",IF($D594="V01",Cadrage!$C$35,IF($D594="V02",Cadrage!$D$35,Cadrage!$E$35)))</f>
        <v/>
      </c>
      <c r="N594">
        <f>IF($A594="","",IF($D594="V01",$R$2,IF($D594="V02",$R$3,$R$4)))</f>
        <v/>
      </c>
      <c r="O594">
        <f>IF($A594="","",IF(OR($B594="7062",$B594="706",$B594="708"),$N594,IF($B594="6231",1+$G594,IF($B594="6236",1+$H594,IF(OR($B594="621",$B594="604",$B594="6063"),$N594*(1-$L594),IF(OR($B594="6411",$B594="6413",$B594="6414",$B594="645"),(1+$J594)*(1+$K594),IF(OR($B594="613",$B594="615",$B594="616",$B594="6226",$B594="625",$B594="626",$B594="6281"),(1+$I594)*(1-$L594)*(1+$M594),IF(OR($B594="6331",$B594="63511",$B594="6333"),(1+$I594)*(1-$L594),IF($B594="6811",1+$I594,1)))))))))</f>
        <v/>
      </c>
      <c r="P594">
        <f>IF($A594="","",IF($E594=1,$F594*$O594,PNL!G594))</f>
        <v/>
      </c>
      <c r="T594">
        <f>IF($A594="","",IF($E594=1,IF(OR($B594="7062",$B594="706",$B594="708"),$P594,IF(AND(LEFT($B594,1)="6",$B594&lt;&gt;"6811"),-$P594,0)),0))</f>
        <v/>
      </c>
    </row>
    <row r="595">
      <c r="A595">
        <f>IF(PNL!A595="","",PNL!A595)</f>
        <v/>
      </c>
      <c r="B595">
        <f>IF(PNL!B595="","",PNL!B595)</f>
        <v/>
      </c>
      <c r="C595">
        <f>IF(PNL!C595="","",PNL!C595)</f>
        <v/>
      </c>
      <c r="D595">
        <f>IF(PNL!D595="","",PNL!D595)</f>
        <v/>
      </c>
      <c r="E595">
        <f>IF($A595="","",IF(AND($C595="2027",OR($D595="V01",$D595="V02",$D595="V03")),1,0))</f>
        <v/>
      </c>
      <c r="F595">
        <f>IF($A595="","",IF($E595=1,SUMIFS(Comptabilité!$F$1:$F$675,Comptabilité!$A$1:$A$675,$A595,Comptabilité!$B$1:$B$675,$B595,Comptabilité!$C$1:$C$675,"2026"),0))</f>
        <v/>
      </c>
      <c r="G595">
        <f>IF($A595="","",IF($D595="V01",Cadrage!$C$22,IF($D595="V02",Cadrage!$D$22,Cadrage!$E$22)))</f>
        <v/>
      </c>
      <c r="H595">
        <f>IF($A595="","",IF($D595="V01",Cadrage!$C$23,IF($D595="V02",Cadrage!$D$23,Cadrage!$E$23)))</f>
        <v/>
      </c>
      <c r="I595">
        <f>IF($A595="","",IF($D595="V01",Cadrage!$C$31,IF($D595="V02",Cadrage!$D$31,Cadrage!$E$31)))</f>
        <v/>
      </c>
      <c r="J595">
        <f>IF($A595="","",IF($D595="V01",Cadrage!$C$32,IF($D595="V02",Cadrage!$D$32,Cadrage!$E$32)))</f>
        <v/>
      </c>
      <c r="K595">
        <f>IF($A595="","",IF($D595="V01",Cadrage!$C$33,IF($D595="V02",Cadrage!$D$33,Cadrage!$E$33)))</f>
        <v/>
      </c>
      <c r="L595">
        <f>IF($A595="","",IF($D595="V01",Cadrage!$C$34,IF($D595="V02",Cadrage!$D$34,Cadrage!$E$34)))</f>
        <v/>
      </c>
      <c r="M595">
        <f>IF($A595="","",IF($D595="V01",Cadrage!$C$35,IF($D595="V02",Cadrage!$D$35,Cadrage!$E$35)))</f>
        <v/>
      </c>
      <c r="N595">
        <f>IF($A595="","",IF($D595="V01",$R$2,IF($D595="V02",$R$3,$R$4)))</f>
        <v/>
      </c>
      <c r="O595">
        <f>IF($A595="","",IF(OR($B595="7062",$B595="706",$B595="708"),$N595,IF($B595="6231",1+$G595,IF($B595="6236",1+$H595,IF(OR($B595="621",$B595="604",$B595="6063"),$N595*(1-$L595),IF(OR($B595="6411",$B595="6413",$B595="6414",$B595="645"),(1+$J595)*(1+$K595),IF(OR($B595="613",$B595="615",$B595="616",$B595="6226",$B595="625",$B595="626",$B595="6281"),(1+$I595)*(1-$L595)*(1+$M595),IF(OR($B595="6331",$B595="63511",$B595="6333"),(1+$I595)*(1-$L595),IF($B595="6811",1+$I595,1)))))))))</f>
        <v/>
      </c>
      <c r="P595">
        <f>IF($A595="","",IF($E595=1,$F595*$O595,PNL!G595))</f>
        <v/>
      </c>
      <c r="T595">
        <f>IF($A595="","",IF($E595=1,IF(OR($B595="7062",$B595="706",$B595="708"),$P595,IF(AND(LEFT($B595,1)="6",$B595&lt;&gt;"6811"),-$P595,0)),0))</f>
        <v/>
      </c>
    </row>
    <row r="596">
      <c r="A596">
        <f>IF(PNL!A596="","",PNL!A596)</f>
        <v/>
      </c>
      <c r="B596">
        <f>IF(PNL!B596="","",PNL!B596)</f>
        <v/>
      </c>
      <c r="C596">
        <f>IF(PNL!C596="","",PNL!C596)</f>
        <v/>
      </c>
      <c r="D596">
        <f>IF(PNL!D596="","",PNL!D596)</f>
        <v/>
      </c>
      <c r="E596">
        <f>IF($A596="","",IF(AND($C596="2027",OR($D596="V01",$D596="V02",$D596="V03")),1,0))</f>
        <v/>
      </c>
      <c r="F596">
        <f>IF($A596="","",IF($E596=1,SUMIFS(Comptabilité!$F$1:$F$675,Comptabilité!$A$1:$A$675,$A596,Comptabilité!$B$1:$B$675,$B596,Comptabilité!$C$1:$C$675,"2026"),0))</f>
        <v/>
      </c>
      <c r="G596">
        <f>IF($A596="","",IF($D596="V01",Cadrage!$C$22,IF($D596="V02",Cadrage!$D$22,Cadrage!$E$22)))</f>
        <v/>
      </c>
      <c r="H596">
        <f>IF($A596="","",IF($D596="V01",Cadrage!$C$23,IF($D596="V02",Cadrage!$D$23,Cadrage!$E$23)))</f>
        <v/>
      </c>
      <c r="I596">
        <f>IF($A596="","",IF($D596="V01",Cadrage!$C$31,IF($D596="V02",Cadrage!$D$31,Cadrage!$E$31)))</f>
        <v/>
      </c>
      <c r="J596">
        <f>IF($A596="","",IF($D596="V01",Cadrage!$C$32,IF($D596="V02",Cadrage!$D$32,Cadrage!$E$32)))</f>
        <v/>
      </c>
      <c r="K596">
        <f>IF($A596="","",IF($D596="V01",Cadrage!$C$33,IF($D596="V02",Cadrage!$D$33,Cadrage!$E$33)))</f>
        <v/>
      </c>
      <c r="L596">
        <f>IF($A596="","",IF($D596="V01",Cadrage!$C$34,IF($D596="V02",Cadrage!$D$34,Cadrage!$E$34)))</f>
        <v/>
      </c>
      <c r="M596">
        <f>IF($A596="","",IF($D596="V01",Cadrage!$C$35,IF($D596="V02",Cadrage!$D$35,Cadrage!$E$35)))</f>
        <v/>
      </c>
      <c r="N596">
        <f>IF($A596="","",IF($D596="V01",$R$2,IF($D596="V02",$R$3,$R$4)))</f>
        <v/>
      </c>
      <c r="O596">
        <f>IF($A596="","",IF(OR($B596="7062",$B596="706",$B596="708"),$N596,IF($B596="6231",1+$G596,IF($B596="6236",1+$H596,IF(OR($B596="621",$B596="604",$B596="6063"),$N596*(1-$L596),IF(OR($B596="6411",$B596="6413",$B596="6414",$B596="645"),(1+$J596)*(1+$K596),IF(OR($B596="613",$B596="615",$B596="616",$B596="6226",$B596="625",$B596="626",$B596="6281"),(1+$I596)*(1-$L596)*(1+$M596),IF(OR($B596="6331",$B596="63511",$B596="6333"),(1+$I596)*(1-$L596),IF($B596="6811",1+$I596,1)))))))))</f>
        <v/>
      </c>
      <c r="P596">
        <f>IF($A596="","",IF($E596=1,$F596*$O596,PNL!G596))</f>
        <v/>
      </c>
      <c r="T596">
        <f>IF($A596="","",IF($E596=1,IF(OR($B596="7062",$B596="706",$B596="708"),$P596,IF(AND(LEFT($B596,1)="6",$B596&lt;&gt;"6811"),-$P596,0)),0))</f>
        <v/>
      </c>
    </row>
    <row r="597">
      <c r="A597">
        <f>IF(PNL!A597="","",PNL!A597)</f>
        <v/>
      </c>
      <c r="B597">
        <f>IF(PNL!B597="","",PNL!B597)</f>
        <v/>
      </c>
      <c r="C597">
        <f>IF(PNL!C597="","",PNL!C597)</f>
        <v/>
      </c>
      <c r="D597">
        <f>IF(PNL!D597="","",PNL!D597)</f>
        <v/>
      </c>
      <c r="E597">
        <f>IF($A597="","",IF(AND($C597="2027",OR($D597="V01",$D597="V02",$D597="V03")),1,0))</f>
        <v/>
      </c>
      <c r="F597">
        <f>IF($A597="","",IF($E597=1,SUMIFS(Comptabilité!$F$1:$F$675,Comptabilité!$A$1:$A$675,$A597,Comptabilité!$B$1:$B$675,$B597,Comptabilité!$C$1:$C$675,"2026"),0))</f>
        <v/>
      </c>
      <c r="G597">
        <f>IF($A597="","",IF($D597="V01",Cadrage!$C$22,IF($D597="V02",Cadrage!$D$22,Cadrage!$E$22)))</f>
        <v/>
      </c>
      <c r="H597">
        <f>IF($A597="","",IF($D597="V01",Cadrage!$C$23,IF($D597="V02",Cadrage!$D$23,Cadrage!$E$23)))</f>
        <v/>
      </c>
      <c r="I597">
        <f>IF($A597="","",IF($D597="V01",Cadrage!$C$31,IF($D597="V02",Cadrage!$D$31,Cadrage!$E$31)))</f>
        <v/>
      </c>
      <c r="J597">
        <f>IF($A597="","",IF($D597="V01",Cadrage!$C$32,IF($D597="V02",Cadrage!$D$32,Cadrage!$E$32)))</f>
        <v/>
      </c>
      <c r="K597">
        <f>IF($A597="","",IF($D597="V01",Cadrage!$C$33,IF($D597="V02",Cadrage!$D$33,Cadrage!$E$33)))</f>
        <v/>
      </c>
      <c r="L597">
        <f>IF($A597="","",IF($D597="V01",Cadrage!$C$34,IF($D597="V02",Cadrage!$D$34,Cadrage!$E$34)))</f>
        <v/>
      </c>
      <c r="M597">
        <f>IF($A597="","",IF($D597="V01",Cadrage!$C$35,IF($D597="V02",Cadrage!$D$35,Cadrage!$E$35)))</f>
        <v/>
      </c>
      <c r="N597">
        <f>IF($A597="","",IF($D597="V01",$R$2,IF($D597="V02",$R$3,$R$4)))</f>
        <v/>
      </c>
      <c r="O597">
        <f>IF($A597="","",IF(OR($B597="7062",$B597="706",$B597="708"),$N597,IF($B597="6231",1+$G597,IF($B597="6236",1+$H597,IF(OR($B597="621",$B597="604",$B597="6063"),$N597*(1-$L597),IF(OR($B597="6411",$B597="6413",$B597="6414",$B597="645"),(1+$J597)*(1+$K597),IF(OR($B597="613",$B597="615",$B597="616",$B597="6226",$B597="625",$B597="626",$B597="6281"),(1+$I597)*(1-$L597)*(1+$M597),IF(OR($B597="6331",$B597="63511",$B597="6333"),(1+$I597)*(1-$L597),IF($B597="6811",1+$I597,1)))))))))</f>
        <v/>
      </c>
      <c r="P597">
        <f>IF($A597="","",IF($E597=1,$F597*$O597,PNL!G597))</f>
        <v/>
      </c>
      <c r="T597">
        <f>IF($A597="","",IF($E597=1,IF(OR($B597="7062",$B597="706",$B597="708"),$P597,IF(AND(LEFT($B597,1)="6",$B597&lt;&gt;"6811"),-$P597,0)),0))</f>
        <v/>
      </c>
    </row>
    <row r="598">
      <c r="A598">
        <f>IF(PNL!A598="","",PNL!A598)</f>
        <v/>
      </c>
      <c r="B598">
        <f>IF(PNL!B598="","",PNL!B598)</f>
        <v/>
      </c>
      <c r="C598">
        <f>IF(PNL!C598="","",PNL!C598)</f>
        <v/>
      </c>
      <c r="D598">
        <f>IF(PNL!D598="","",PNL!D598)</f>
        <v/>
      </c>
      <c r="E598">
        <f>IF($A598="","",IF(AND($C598="2027",OR($D598="V01",$D598="V02",$D598="V03")),1,0))</f>
        <v/>
      </c>
      <c r="F598">
        <f>IF($A598="","",IF($E598=1,SUMIFS(Comptabilité!$F$1:$F$675,Comptabilité!$A$1:$A$675,$A598,Comptabilité!$B$1:$B$675,$B598,Comptabilité!$C$1:$C$675,"2026"),0))</f>
        <v/>
      </c>
      <c r="G598">
        <f>IF($A598="","",IF($D598="V01",Cadrage!$C$22,IF($D598="V02",Cadrage!$D$22,Cadrage!$E$22)))</f>
        <v/>
      </c>
      <c r="H598">
        <f>IF($A598="","",IF($D598="V01",Cadrage!$C$23,IF($D598="V02",Cadrage!$D$23,Cadrage!$E$23)))</f>
        <v/>
      </c>
      <c r="I598">
        <f>IF($A598="","",IF($D598="V01",Cadrage!$C$31,IF($D598="V02",Cadrage!$D$31,Cadrage!$E$31)))</f>
        <v/>
      </c>
      <c r="J598">
        <f>IF($A598="","",IF($D598="V01",Cadrage!$C$32,IF($D598="V02",Cadrage!$D$32,Cadrage!$E$32)))</f>
        <v/>
      </c>
      <c r="K598">
        <f>IF($A598="","",IF($D598="V01",Cadrage!$C$33,IF($D598="V02",Cadrage!$D$33,Cadrage!$E$33)))</f>
        <v/>
      </c>
      <c r="L598">
        <f>IF($A598="","",IF($D598="V01",Cadrage!$C$34,IF($D598="V02",Cadrage!$D$34,Cadrage!$E$34)))</f>
        <v/>
      </c>
      <c r="M598">
        <f>IF($A598="","",IF($D598="V01",Cadrage!$C$35,IF($D598="V02",Cadrage!$D$35,Cadrage!$E$35)))</f>
        <v/>
      </c>
      <c r="N598">
        <f>IF($A598="","",IF($D598="V01",$R$2,IF($D598="V02",$R$3,$R$4)))</f>
        <v/>
      </c>
      <c r="O598">
        <f>IF($A598="","",IF(OR($B598="7062",$B598="706",$B598="708"),$N598,IF($B598="6231",1+$G598,IF($B598="6236",1+$H598,IF(OR($B598="621",$B598="604",$B598="6063"),$N598*(1-$L598),IF(OR($B598="6411",$B598="6413",$B598="6414",$B598="645"),(1+$J598)*(1+$K598),IF(OR($B598="613",$B598="615",$B598="616",$B598="6226",$B598="625",$B598="626",$B598="6281"),(1+$I598)*(1-$L598)*(1+$M598),IF(OR($B598="6331",$B598="63511",$B598="6333"),(1+$I598)*(1-$L598),IF($B598="6811",1+$I598,1)))))))))</f>
        <v/>
      </c>
      <c r="P598">
        <f>IF($A598="","",IF($E598=1,$F598*$O598,PNL!G598))</f>
        <v/>
      </c>
      <c r="T598">
        <f>IF($A598="","",IF($E598=1,IF(OR($B598="7062",$B598="706",$B598="708"),$P598,IF(AND(LEFT($B598,1)="6",$B598&lt;&gt;"6811"),-$P598,0)),0))</f>
        <v/>
      </c>
    </row>
    <row r="599">
      <c r="A599">
        <f>IF(PNL!A599="","",PNL!A599)</f>
        <v/>
      </c>
      <c r="B599">
        <f>IF(PNL!B599="","",PNL!B599)</f>
        <v/>
      </c>
      <c r="C599">
        <f>IF(PNL!C599="","",PNL!C599)</f>
        <v/>
      </c>
      <c r="D599">
        <f>IF(PNL!D599="","",PNL!D599)</f>
        <v/>
      </c>
      <c r="E599">
        <f>IF($A599="","",IF(AND($C599="2027",OR($D599="V01",$D599="V02",$D599="V03")),1,0))</f>
        <v/>
      </c>
      <c r="F599">
        <f>IF($A599="","",IF($E599=1,SUMIFS(Comptabilité!$F$1:$F$675,Comptabilité!$A$1:$A$675,$A599,Comptabilité!$B$1:$B$675,$B599,Comptabilité!$C$1:$C$675,"2026"),0))</f>
        <v/>
      </c>
      <c r="G599">
        <f>IF($A599="","",IF($D599="V01",Cadrage!$C$22,IF($D599="V02",Cadrage!$D$22,Cadrage!$E$22)))</f>
        <v/>
      </c>
      <c r="H599">
        <f>IF($A599="","",IF($D599="V01",Cadrage!$C$23,IF($D599="V02",Cadrage!$D$23,Cadrage!$E$23)))</f>
        <v/>
      </c>
      <c r="I599">
        <f>IF($A599="","",IF($D599="V01",Cadrage!$C$31,IF($D599="V02",Cadrage!$D$31,Cadrage!$E$31)))</f>
        <v/>
      </c>
      <c r="J599">
        <f>IF($A599="","",IF($D599="V01",Cadrage!$C$32,IF($D599="V02",Cadrage!$D$32,Cadrage!$E$32)))</f>
        <v/>
      </c>
      <c r="K599">
        <f>IF($A599="","",IF($D599="V01",Cadrage!$C$33,IF($D599="V02",Cadrage!$D$33,Cadrage!$E$33)))</f>
        <v/>
      </c>
      <c r="L599">
        <f>IF($A599="","",IF($D599="V01",Cadrage!$C$34,IF($D599="V02",Cadrage!$D$34,Cadrage!$E$34)))</f>
        <v/>
      </c>
      <c r="M599">
        <f>IF($A599="","",IF($D599="V01",Cadrage!$C$35,IF($D599="V02",Cadrage!$D$35,Cadrage!$E$35)))</f>
        <v/>
      </c>
      <c r="N599">
        <f>IF($A599="","",IF($D599="V01",$R$2,IF($D599="V02",$R$3,$R$4)))</f>
        <v/>
      </c>
      <c r="O599">
        <f>IF($A599="","",IF(OR($B599="7062",$B599="706",$B599="708"),$N599,IF($B599="6231",1+$G599,IF($B599="6236",1+$H599,IF(OR($B599="621",$B599="604",$B599="6063"),$N599*(1-$L599),IF(OR($B599="6411",$B599="6413",$B599="6414",$B599="645"),(1+$J599)*(1+$K599),IF(OR($B599="613",$B599="615",$B599="616",$B599="6226",$B599="625",$B599="626",$B599="6281"),(1+$I599)*(1-$L599)*(1+$M599),IF(OR($B599="6331",$B599="63511",$B599="6333"),(1+$I599)*(1-$L599),IF($B599="6811",1+$I599,1)))))))))</f>
        <v/>
      </c>
      <c r="P599">
        <f>IF($A599="","",IF($E599=1,$F599*$O599,PNL!G599))</f>
        <v/>
      </c>
      <c r="T599">
        <f>IF($A599="","",IF($E599=1,IF(OR($B599="7062",$B599="706",$B599="708"),$P599,IF(AND(LEFT($B599,1)="6",$B599&lt;&gt;"6811"),-$P599,0)),0))</f>
        <v/>
      </c>
    </row>
    <row r="600">
      <c r="A600">
        <f>IF(PNL!A600="","",PNL!A600)</f>
        <v/>
      </c>
      <c r="B600">
        <f>IF(PNL!B600="","",PNL!B600)</f>
        <v/>
      </c>
      <c r="C600">
        <f>IF(PNL!C600="","",PNL!C600)</f>
        <v/>
      </c>
      <c r="D600">
        <f>IF(PNL!D600="","",PNL!D600)</f>
        <v/>
      </c>
      <c r="E600">
        <f>IF($A600="","",IF(AND($C600="2027",OR($D600="V01",$D600="V02",$D600="V03")),1,0))</f>
        <v/>
      </c>
      <c r="F600">
        <f>IF($A600="","",IF($E600=1,SUMIFS(Comptabilité!$F$1:$F$675,Comptabilité!$A$1:$A$675,$A600,Comptabilité!$B$1:$B$675,$B600,Comptabilité!$C$1:$C$675,"2026"),0))</f>
        <v/>
      </c>
      <c r="G600">
        <f>IF($A600="","",IF($D600="V01",Cadrage!$C$22,IF($D600="V02",Cadrage!$D$22,Cadrage!$E$22)))</f>
        <v/>
      </c>
      <c r="H600">
        <f>IF($A600="","",IF($D600="V01",Cadrage!$C$23,IF($D600="V02",Cadrage!$D$23,Cadrage!$E$23)))</f>
        <v/>
      </c>
      <c r="I600">
        <f>IF($A600="","",IF($D600="V01",Cadrage!$C$31,IF($D600="V02",Cadrage!$D$31,Cadrage!$E$31)))</f>
        <v/>
      </c>
      <c r="J600">
        <f>IF($A600="","",IF($D600="V01",Cadrage!$C$32,IF($D600="V02",Cadrage!$D$32,Cadrage!$E$32)))</f>
        <v/>
      </c>
      <c r="K600">
        <f>IF($A600="","",IF($D600="V01",Cadrage!$C$33,IF($D600="V02",Cadrage!$D$33,Cadrage!$E$33)))</f>
        <v/>
      </c>
      <c r="L600">
        <f>IF($A600="","",IF($D600="V01",Cadrage!$C$34,IF($D600="V02",Cadrage!$D$34,Cadrage!$E$34)))</f>
        <v/>
      </c>
      <c r="M600">
        <f>IF($A600="","",IF($D600="V01",Cadrage!$C$35,IF($D600="V02",Cadrage!$D$35,Cadrage!$E$35)))</f>
        <v/>
      </c>
      <c r="N600">
        <f>IF($A600="","",IF($D600="V01",$R$2,IF($D600="V02",$R$3,$R$4)))</f>
        <v/>
      </c>
      <c r="O600">
        <f>IF($A600="","",IF(OR($B600="7062",$B600="706",$B600="708"),$N600,IF($B600="6231",1+$G600,IF($B600="6236",1+$H600,IF(OR($B600="621",$B600="604",$B600="6063"),$N600*(1-$L600),IF(OR($B600="6411",$B600="6413",$B600="6414",$B600="645"),(1+$J600)*(1+$K600),IF(OR($B600="613",$B600="615",$B600="616",$B600="6226",$B600="625",$B600="626",$B600="6281"),(1+$I600)*(1-$L600)*(1+$M600),IF(OR($B600="6331",$B600="63511",$B600="6333"),(1+$I600)*(1-$L600),IF($B600="6811",1+$I600,1)))))))))</f>
        <v/>
      </c>
      <c r="P600">
        <f>IF($A600="","",IF($E600=1,$F600*$O600,PNL!G600))</f>
        <v/>
      </c>
      <c r="T600">
        <f>IF($A600="","",IF($E600=1,IF(OR($B600="7062",$B600="706",$B600="708"),$P600,IF(AND(LEFT($B600,1)="6",$B600&lt;&gt;"6811"),-$P600,0)),0))</f>
        <v/>
      </c>
    </row>
    <row r="601">
      <c r="A601">
        <f>IF(PNL!A601="","",PNL!A601)</f>
        <v/>
      </c>
      <c r="B601">
        <f>IF(PNL!B601="","",PNL!B601)</f>
        <v/>
      </c>
      <c r="C601">
        <f>IF(PNL!C601="","",PNL!C601)</f>
        <v/>
      </c>
      <c r="D601">
        <f>IF(PNL!D601="","",PNL!D601)</f>
        <v/>
      </c>
      <c r="E601">
        <f>IF($A601="","",IF(AND($C601="2027",OR($D601="V01",$D601="V02",$D601="V03")),1,0))</f>
        <v/>
      </c>
      <c r="F601">
        <f>IF($A601="","",IF($E601=1,SUMIFS(Comptabilité!$F$1:$F$675,Comptabilité!$A$1:$A$675,$A601,Comptabilité!$B$1:$B$675,$B601,Comptabilité!$C$1:$C$675,"2026"),0))</f>
        <v/>
      </c>
      <c r="G601">
        <f>IF($A601="","",IF($D601="V01",Cadrage!$C$22,IF($D601="V02",Cadrage!$D$22,Cadrage!$E$22)))</f>
        <v/>
      </c>
      <c r="H601">
        <f>IF($A601="","",IF($D601="V01",Cadrage!$C$23,IF($D601="V02",Cadrage!$D$23,Cadrage!$E$23)))</f>
        <v/>
      </c>
      <c r="I601">
        <f>IF($A601="","",IF($D601="V01",Cadrage!$C$31,IF($D601="V02",Cadrage!$D$31,Cadrage!$E$31)))</f>
        <v/>
      </c>
      <c r="J601">
        <f>IF($A601="","",IF($D601="V01",Cadrage!$C$32,IF($D601="V02",Cadrage!$D$32,Cadrage!$E$32)))</f>
        <v/>
      </c>
      <c r="K601">
        <f>IF($A601="","",IF($D601="V01",Cadrage!$C$33,IF($D601="V02",Cadrage!$D$33,Cadrage!$E$33)))</f>
        <v/>
      </c>
      <c r="L601">
        <f>IF($A601="","",IF($D601="V01",Cadrage!$C$34,IF($D601="V02",Cadrage!$D$34,Cadrage!$E$34)))</f>
        <v/>
      </c>
      <c r="M601">
        <f>IF($A601="","",IF($D601="V01",Cadrage!$C$35,IF($D601="V02",Cadrage!$D$35,Cadrage!$E$35)))</f>
        <v/>
      </c>
      <c r="N601">
        <f>IF($A601="","",IF($D601="V01",$R$2,IF($D601="V02",$R$3,$R$4)))</f>
        <v/>
      </c>
      <c r="O601">
        <f>IF($A601="","",IF(OR($B601="7062",$B601="706",$B601="708"),$N601,IF($B601="6231",1+$G601,IF($B601="6236",1+$H601,IF(OR($B601="621",$B601="604",$B601="6063"),$N601*(1-$L601),IF(OR($B601="6411",$B601="6413",$B601="6414",$B601="645"),(1+$J601)*(1+$K601),IF(OR($B601="613",$B601="615",$B601="616",$B601="6226",$B601="625",$B601="626",$B601="6281"),(1+$I601)*(1-$L601)*(1+$M601),IF(OR($B601="6331",$B601="63511",$B601="6333"),(1+$I601)*(1-$L601),IF($B601="6811",1+$I601,1)))))))))</f>
        <v/>
      </c>
      <c r="P601">
        <f>IF($A601="","",IF($E601=1,$F601*$O601,PNL!G601))</f>
        <v/>
      </c>
      <c r="T601">
        <f>IF($A601="","",IF($E601=1,IF(OR($B601="7062",$B601="706",$B601="708"),$P601,IF(AND(LEFT($B601,1)="6",$B601&lt;&gt;"6811"),-$P601,0)),0))</f>
        <v/>
      </c>
    </row>
    <row r="602">
      <c r="A602">
        <f>IF(PNL!A602="","",PNL!A602)</f>
        <v/>
      </c>
      <c r="B602">
        <f>IF(PNL!B602="","",PNL!B602)</f>
        <v/>
      </c>
      <c r="C602">
        <f>IF(PNL!C602="","",PNL!C602)</f>
        <v/>
      </c>
      <c r="D602">
        <f>IF(PNL!D602="","",PNL!D602)</f>
        <v/>
      </c>
      <c r="E602">
        <f>IF($A602="","",IF(AND($C602="2027",OR($D602="V01",$D602="V02",$D602="V03")),1,0))</f>
        <v/>
      </c>
      <c r="F602">
        <f>IF($A602="","",IF($E602=1,SUMIFS(Comptabilité!$F$1:$F$675,Comptabilité!$A$1:$A$675,$A602,Comptabilité!$B$1:$B$675,$B602,Comptabilité!$C$1:$C$675,"2026"),0))</f>
        <v/>
      </c>
      <c r="G602">
        <f>IF($A602="","",IF($D602="V01",Cadrage!$C$22,IF($D602="V02",Cadrage!$D$22,Cadrage!$E$22)))</f>
        <v/>
      </c>
      <c r="H602">
        <f>IF($A602="","",IF($D602="V01",Cadrage!$C$23,IF($D602="V02",Cadrage!$D$23,Cadrage!$E$23)))</f>
        <v/>
      </c>
      <c r="I602">
        <f>IF($A602="","",IF($D602="V01",Cadrage!$C$31,IF($D602="V02",Cadrage!$D$31,Cadrage!$E$31)))</f>
        <v/>
      </c>
      <c r="J602">
        <f>IF($A602="","",IF($D602="V01",Cadrage!$C$32,IF($D602="V02",Cadrage!$D$32,Cadrage!$E$32)))</f>
        <v/>
      </c>
      <c r="K602">
        <f>IF($A602="","",IF($D602="V01",Cadrage!$C$33,IF($D602="V02",Cadrage!$D$33,Cadrage!$E$33)))</f>
        <v/>
      </c>
      <c r="L602">
        <f>IF($A602="","",IF($D602="V01",Cadrage!$C$34,IF($D602="V02",Cadrage!$D$34,Cadrage!$E$34)))</f>
        <v/>
      </c>
      <c r="M602">
        <f>IF($A602="","",IF($D602="V01",Cadrage!$C$35,IF($D602="V02",Cadrage!$D$35,Cadrage!$E$35)))</f>
        <v/>
      </c>
      <c r="N602">
        <f>IF($A602="","",IF($D602="V01",$R$2,IF($D602="V02",$R$3,$R$4)))</f>
        <v/>
      </c>
      <c r="O602">
        <f>IF($A602="","",IF(OR($B602="7062",$B602="706",$B602="708"),$N602,IF($B602="6231",1+$G602,IF($B602="6236",1+$H602,IF(OR($B602="621",$B602="604",$B602="6063"),$N602*(1-$L602),IF(OR($B602="6411",$B602="6413",$B602="6414",$B602="645"),(1+$J602)*(1+$K602),IF(OR($B602="613",$B602="615",$B602="616",$B602="6226",$B602="625",$B602="626",$B602="6281"),(1+$I602)*(1-$L602)*(1+$M602),IF(OR($B602="6331",$B602="63511",$B602="6333"),(1+$I602)*(1-$L602),IF($B602="6811",1+$I602,1)))))))))</f>
        <v/>
      </c>
      <c r="P602">
        <f>IF($A602="","",IF($E602=1,$F602*$O602,PNL!G602))</f>
        <v/>
      </c>
      <c r="T602">
        <f>IF($A602="","",IF($E602=1,IF(OR($B602="7062",$B602="706",$B602="708"),$P602,IF(AND(LEFT($B602,1)="6",$B602&lt;&gt;"6811"),-$P602,0)),0))</f>
        <v/>
      </c>
    </row>
    <row r="603">
      <c r="A603">
        <f>IF(PNL!A603="","",PNL!A603)</f>
        <v/>
      </c>
      <c r="B603">
        <f>IF(PNL!B603="","",PNL!B603)</f>
        <v/>
      </c>
      <c r="C603">
        <f>IF(PNL!C603="","",PNL!C603)</f>
        <v/>
      </c>
      <c r="D603">
        <f>IF(PNL!D603="","",PNL!D603)</f>
        <v/>
      </c>
      <c r="E603">
        <f>IF($A603="","",IF(AND($C603="2027",OR($D603="V01",$D603="V02",$D603="V03")),1,0))</f>
        <v/>
      </c>
      <c r="F603">
        <f>IF($A603="","",IF($E603=1,SUMIFS(Comptabilité!$F$1:$F$675,Comptabilité!$A$1:$A$675,$A603,Comptabilité!$B$1:$B$675,$B603,Comptabilité!$C$1:$C$675,"2026"),0))</f>
        <v/>
      </c>
      <c r="G603">
        <f>IF($A603="","",IF($D603="V01",Cadrage!$C$22,IF($D603="V02",Cadrage!$D$22,Cadrage!$E$22)))</f>
        <v/>
      </c>
      <c r="H603">
        <f>IF($A603="","",IF($D603="V01",Cadrage!$C$23,IF($D603="V02",Cadrage!$D$23,Cadrage!$E$23)))</f>
        <v/>
      </c>
      <c r="I603">
        <f>IF($A603="","",IF($D603="V01",Cadrage!$C$31,IF($D603="V02",Cadrage!$D$31,Cadrage!$E$31)))</f>
        <v/>
      </c>
      <c r="J603">
        <f>IF($A603="","",IF($D603="V01",Cadrage!$C$32,IF($D603="V02",Cadrage!$D$32,Cadrage!$E$32)))</f>
        <v/>
      </c>
      <c r="K603">
        <f>IF($A603="","",IF($D603="V01",Cadrage!$C$33,IF($D603="V02",Cadrage!$D$33,Cadrage!$E$33)))</f>
        <v/>
      </c>
      <c r="L603">
        <f>IF($A603="","",IF($D603="V01",Cadrage!$C$34,IF($D603="V02",Cadrage!$D$34,Cadrage!$E$34)))</f>
        <v/>
      </c>
      <c r="M603">
        <f>IF($A603="","",IF($D603="V01",Cadrage!$C$35,IF($D603="V02",Cadrage!$D$35,Cadrage!$E$35)))</f>
        <v/>
      </c>
      <c r="N603">
        <f>IF($A603="","",IF($D603="V01",$R$2,IF($D603="V02",$R$3,$R$4)))</f>
        <v/>
      </c>
      <c r="O603">
        <f>IF($A603="","",IF(OR($B603="7062",$B603="706",$B603="708"),$N603,IF($B603="6231",1+$G603,IF($B603="6236",1+$H603,IF(OR($B603="621",$B603="604",$B603="6063"),$N603*(1-$L603),IF(OR($B603="6411",$B603="6413",$B603="6414",$B603="645"),(1+$J603)*(1+$K603),IF(OR($B603="613",$B603="615",$B603="616",$B603="6226",$B603="625",$B603="626",$B603="6281"),(1+$I603)*(1-$L603)*(1+$M603),IF(OR($B603="6331",$B603="63511",$B603="6333"),(1+$I603)*(1-$L603),IF($B603="6811",1+$I603,1)))))))))</f>
        <v/>
      </c>
      <c r="P603">
        <f>IF($A603="","",IF($E603=1,$F603*$O603,PNL!G603))</f>
        <v/>
      </c>
      <c r="T603">
        <f>IF($A603="","",IF($E603=1,IF(OR($B603="7062",$B603="706",$B603="708"),$P603,IF(AND(LEFT($B603,1)="6",$B603&lt;&gt;"6811"),-$P603,0)),0))</f>
        <v/>
      </c>
    </row>
    <row r="604">
      <c r="A604">
        <f>IF(PNL!A604="","",PNL!A604)</f>
        <v/>
      </c>
      <c r="B604">
        <f>IF(PNL!B604="","",PNL!B604)</f>
        <v/>
      </c>
      <c r="C604">
        <f>IF(PNL!C604="","",PNL!C604)</f>
        <v/>
      </c>
      <c r="D604">
        <f>IF(PNL!D604="","",PNL!D604)</f>
        <v/>
      </c>
      <c r="E604">
        <f>IF($A604="","",IF(AND($C604="2027",OR($D604="V01",$D604="V02",$D604="V03")),1,0))</f>
        <v/>
      </c>
      <c r="F604">
        <f>IF($A604="","",IF($E604=1,SUMIFS(Comptabilité!$F$1:$F$675,Comptabilité!$A$1:$A$675,$A604,Comptabilité!$B$1:$B$675,$B604,Comptabilité!$C$1:$C$675,"2026"),0))</f>
        <v/>
      </c>
      <c r="G604">
        <f>IF($A604="","",IF($D604="V01",Cadrage!$C$22,IF($D604="V02",Cadrage!$D$22,Cadrage!$E$22)))</f>
        <v/>
      </c>
      <c r="H604">
        <f>IF($A604="","",IF($D604="V01",Cadrage!$C$23,IF($D604="V02",Cadrage!$D$23,Cadrage!$E$23)))</f>
        <v/>
      </c>
      <c r="I604">
        <f>IF($A604="","",IF($D604="V01",Cadrage!$C$31,IF($D604="V02",Cadrage!$D$31,Cadrage!$E$31)))</f>
        <v/>
      </c>
      <c r="J604">
        <f>IF($A604="","",IF($D604="V01",Cadrage!$C$32,IF($D604="V02",Cadrage!$D$32,Cadrage!$E$32)))</f>
        <v/>
      </c>
      <c r="K604">
        <f>IF($A604="","",IF($D604="V01",Cadrage!$C$33,IF($D604="V02",Cadrage!$D$33,Cadrage!$E$33)))</f>
        <v/>
      </c>
      <c r="L604">
        <f>IF($A604="","",IF($D604="V01",Cadrage!$C$34,IF($D604="V02",Cadrage!$D$34,Cadrage!$E$34)))</f>
        <v/>
      </c>
      <c r="M604">
        <f>IF($A604="","",IF($D604="V01",Cadrage!$C$35,IF($D604="V02",Cadrage!$D$35,Cadrage!$E$35)))</f>
        <v/>
      </c>
      <c r="N604">
        <f>IF($A604="","",IF($D604="V01",$R$2,IF($D604="V02",$R$3,$R$4)))</f>
        <v/>
      </c>
      <c r="O604">
        <f>IF($A604="","",IF(OR($B604="7062",$B604="706",$B604="708"),$N604,IF($B604="6231",1+$G604,IF($B604="6236",1+$H604,IF(OR($B604="621",$B604="604",$B604="6063"),$N604*(1-$L604),IF(OR($B604="6411",$B604="6413",$B604="6414",$B604="645"),(1+$J604)*(1+$K604),IF(OR($B604="613",$B604="615",$B604="616",$B604="6226",$B604="625",$B604="626",$B604="6281"),(1+$I604)*(1-$L604)*(1+$M604),IF(OR($B604="6331",$B604="63511",$B604="6333"),(1+$I604)*(1-$L604),IF($B604="6811",1+$I604,1)))))))))</f>
        <v/>
      </c>
      <c r="P604">
        <f>IF($A604="","",IF($E604=1,$F604*$O604,PNL!G604))</f>
        <v/>
      </c>
      <c r="T604">
        <f>IF($A604="","",IF($E604=1,IF(OR($B604="7062",$B604="706",$B604="708"),$P604,IF(AND(LEFT($B604,1)="6",$B604&lt;&gt;"6811"),-$P604,0)),0))</f>
        <v/>
      </c>
    </row>
    <row r="605">
      <c r="A605">
        <f>IF(PNL!A605="","",PNL!A605)</f>
        <v/>
      </c>
      <c r="B605">
        <f>IF(PNL!B605="","",PNL!B605)</f>
        <v/>
      </c>
      <c r="C605">
        <f>IF(PNL!C605="","",PNL!C605)</f>
        <v/>
      </c>
      <c r="D605">
        <f>IF(PNL!D605="","",PNL!D605)</f>
        <v/>
      </c>
      <c r="E605">
        <f>IF($A605="","",IF(AND($C605="2027",OR($D605="V01",$D605="V02",$D605="V03")),1,0))</f>
        <v/>
      </c>
      <c r="F605">
        <f>IF($A605="","",IF($E605=1,SUMIFS(Comptabilité!$F$1:$F$675,Comptabilité!$A$1:$A$675,$A605,Comptabilité!$B$1:$B$675,$B605,Comptabilité!$C$1:$C$675,"2026"),0))</f>
        <v/>
      </c>
      <c r="G605">
        <f>IF($A605="","",IF($D605="V01",Cadrage!$C$22,IF($D605="V02",Cadrage!$D$22,Cadrage!$E$22)))</f>
        <v/>
      </c>
      <c r="H605">
        <f>IF($A605="","",IF($D605="V01",Cadrage!$C$23,IF($D605="V02",Cadrage!$D$23,Cadrage!$E$23)))</f>
        <v/>
      </c>
      <c r="I605">
        <f>IF($A605="","",IF($D605="V01",Cadrage!$C$31,IF($D605="V02",Cadrage!$D$31,Cadrage!$E$31)))</f>
        <v/>
      </c>
      <c r="J605">
        <f>IF($A605="","",IF($D605="V01",Cadrage!$C$32,IF($D605="V02",Cadrage!$D$32,Cadrage!$E$32)))</f>
        <v/>
      </c>
      <c r="K605">
        <f>IF($A605="","",IF($D605="V01",Cadrage!$C$33,IF($D605="V02",Cadrage!$D$33,Cadrage!$E$33)))</f>
        <v/>
      </c>
      <c r="L605">
        <f>IF($A605="","",IF($D605="V01",Cadrage!$C$34,IF($D605="V02",Cadrage!$D$34,Cadrage!$E$34)))</f>
        <v/>
      </c>
      <c r="M605">
        <f>IF($A605="","",IF($D605="V01",Cadrage!$C$35,IF($D605="V02",Cadrage!$D$35,Cadrage!$E$35)))</f>
        <v/>
      </c>
      <c r="N605">
        <f>IF($A605="","",IF($D605="V01",$R$2,IF($D605="V02",$R$3,$R$4)))</f>
        <v/>
      </c>
      <c r="O605">
        <f>IF($A605="","",IF(OR($B605="7062",$B605="706",$B605="708"),$N605,IF($B605="6231",1+$G605,IF($B605="6236",1+$H605,IF(OR($B605="621",$B605="604",$B605="6063"),$N605*(1-$L605),IF(OR($B605="6411",$B605="6413",$B605="6414",$B605="645"),(1+$J605)*(1+$K605),IF(OR($B605="613",$B605="615",$B605="616",$B605="6226",$B605="625",$B605="626",$B605="6281"),(1+$I605)*(1-$L605)*(1+$M605),IF(OR($B605="6331",$B605="63511",$B605="6333"),(1+$I605)*(1-$L605),IF($B605="6811",1+$I605,1)))))))))</f>
        <v/>
      </c>
      <c r="P605">
        <f>IF($A605="","",IF($E605=1,$F605*$O605,PNL!G605))</f>
        <v/>
      </c>
      <c r="T605">
        <f>IF($A605="","",IF($E605=1,IF(OR($B605="7062",$B605="706",$B605="708"),$P605,IF(AND(LEFT($B605,1)="6",$B605&lt;&gt;"6811"),-$P605,0)),0))</f>
        <v/>
      </c>
    </row>
    <row r="606">
      <c r="A606">
        <f>IF(PNL!A606="","",PNL!A606)</f>
        <v/>
      </c>
      <c r="B606">
        <f>IF(PNL!B606="","",PNL!B606)</f>
        <v/>
      </c>
      <c r="C606">
        <f>IF(PNL!C606="","",PNL!C606)</f>
        <v/>
      </c>
      <c r="D606">
        <f>IF(PNL!D606="","",PNL!D606)</f>
        <v/>
      </c>
      <c r="E606">
        <f>IF($A606="","",IF(AND($C606="2027",OR($D606="V01",$D606="V02",$D606="V03")),1,0))</f>
        <v/>
      </c>
      <c r="F606">
        <f>IF($A606="","",IF($E606=1,SUMIFS(Comptabilité!$F$1:$F$675,Comptabilité!$A$1:$A$675,$A606,Comptabilité!$B$1:$B$675,$B606,Comptabilité!$C$1:$C$675,"2026"),0))</f>
        <v/>
      </c>
      <c r="G606">
        <f>IF($A606="","",IF($D606="V01",Cadrage!$C$22,IF($D606="V02",Cadrage!$D$22,Cadrage!$E$22)))</f>
        <v/>
      </c>
      <c r="H606">
        <f>IF($A606="","",IF($D606="V01",Cadrage!$C$23,IF($D606="V02",Cadrage!$D$23,Cadrage!$E$23)))</f>
        <v/>
      </c>
      <c r="I606">
        <f>IF($A606="","",IF($D606="V01",Cadrage!$C$31,IF($D606="V02",Cadrage!$D$31,Cadrage!$E$31)))</f>
        <v/>
      </c>
      <c r="J606">
        <f>IF($A606="","",IF($D606="V01",Cadrage!$C$32,IF($D606="V02",Cadrage!$D$32,Cadrage!$E$32)))</f>
        <v/>
      </c>
      <c r="K606">
        <f>IF($A606="","",IF($D606="V01",Cadrage!$C$33,IF($D606="V02",Cadrage!$D$33,Cadrage!$E$33)))</f>
        <v/>
      </c>
      <c r="L606">
        <f>IF($A606="","",IF($D606="V01",Cadrage!$C$34,IF($D606="V02",Cadrage!$D$34,Cadrage!$E$34)))</f>
        <v/>
      </c>
      <c r="M606">
        <f>IF($A606="","",IF($D606="V01",Cadrage!$C$35,IF($D606="V02",Cadrage!$D$35,Cadrage!$E$35)))</f>
        <v/>
      </c>
      <c r="N606">
        <f>IF($A606="","",IF($D606="V01",$R$2,IF($D606="V02",$R$3,$R$4)))</f>
        <v/>
      </c>
      <c r="O606">
        <f>IF($A606="","",IF(OR($B606="7062",$B606="706",$B606="708"),$N606,IF($B606="6231",1+$G606,IF($B606="6236",1+$H606,IF(OR($B606="621",$B606="604",$B606="6063"),$N606*(1-$L606),IF(OR($B606="6411",$B606="6413",$B606="6414",$B606="645"),(1+$J606)*(1+$K606),IF(OR($B606="613",$B606="615",$B606="616",$B606="6226",$B606="625",$B606="626",$B606="6281"),(1+$I606)*(1-$L606)*(1+$M606),IF(OR($B606="6331",$B606="63511",$B606="6333"),(1+$I606)*(1-$L606),IF($B606="6811",1+$I606,1)))))))))</f>
        <v/>
      </c>
      <c r="P606">
        <f>IF($A606="","",IF($E606=1,$F606*$O606,PNL!G606))</f>
        <v/>
      </c>
      <c r="T606">
        <f>IF($A606="","",IF($E606=1,IF(OR($B606="7062",$B606="706",$B606="708"),$P606,IF(AND(LEFT($B606,1)="6",$B606&lt;&gt;"6811"),-$P606,0)),0))</f>
        <v/>
      </c>
    </row>
    <row r="607">
      <c r="A607">
        <f>IF(PNL!A607="","",PNL!A607)</f>
        <v/>
      </c>
      <c r="B607">
        <f>IF(PNL!B607="","",PNL!B607)</f>
        <v/>
      </c>
      <c r="C607">
        <f>IF(PNL!C607="","",PNL!C607)</f>
        <v/>
      </c>
      <c r="D607">
        <f>IF(PNL!D607="","",PNL!D607)</f>
        <v/>
      </c>
      <c r="E607">
        <f>IF($A607="","",IF(AND($C607="2027",OR($D607="V01",$D607="V02",$D607="V03")),1,0))</f>
        <v/>
      </c>
      <c r="F607">
        <f>IF($A607="","",IF($E607=1,SUMIFS(Comptabilité!$F$1:$F$675,Comptabilité!$A$1:$A$675,$A607,Comptabilité!$B$1:$B$675,$B607,Comptabilité!$C$1:$C$675,"2026"),0))</f>
        <v/>
      </c>
      <c r="G607">
        <f>IF($A607="","",IF($D607="V01",Cadrage!$C$22,IF($D607="V02",Cadrage!$D$22,Cadrage!$E$22)))</f>
        <v/>
      </c>
      <c r="H607">
        <f>IF($A607="","",IF($D607="V01",Cadrage!$C$23,IF($D607="V02",Cadrage!$D$23,Cadrage!$E$23)))</f>
        <v/>
      </c>
      <c r="I607">
        <f>IF($A607="","",IF($D607="V01",Cadrage!$C$31,IF($D607="V02",Cadrage!$D$31,Cadrage!$E$31)))</f>
        <v/>
      </c>
      <c r="J607">
        <f>IF($A607="","",IF($D607="V01",Cadrage!$C$32,IF($D607="V02",Cadrage!$D$32,Cadrage!$E$32)))</f>
        <v/>
      </c>
      <c r="K607">
        <f>IF($A607="","",IF($D607="V01",Cadrage!$C$33,IF($D607="V02",Cadrage!$D$33,Cadrage!$E$33)))</f>
        <v/>
      </c>
      <c r="L607">
        <f>IF($A607="","",IF($D607="V01",Cadrage!$C$34,IF($D607="V02",Cadrage!$D$34,Cadrage!$E$34)))</f>
        <v/>
      </c>
      <c r="M607">
        <f>IF($A607="","",IF($D607="V01",Cadrage!$C$35,IF($D607="V02",Cadrage!$D$35,Cadrage!$E$35)))</f>
        <v/>
      </c>
      <c r="N607">
        <f>IF($A607="","",IF($D607="V01",$R$2,IF($D607="V02",$R$3,$R$4)))</f>
        <v/>
      </c>
      <c r="O607">
        <f>IF($A607="","",IF(OR($B607="7062",$B607="706",$B607="708"),$N607,IF($B607="6231",1+$G607,IF($B607="6236",1+$H607,IF(OR($B607="621",$B607="604",$B607="6063"),$N607*(1-$L607),IF(OR($B607="6411",$B607="6413",$B607="6414",$B607="645"),(1+$J607)*(1+$K607),IF(OR($B607="613",$B607="615",$B607="616",$B607="6226",$B607="625",$B607="626",$B607="6281"),(1+$I607)*(1-$L607)*(1+$M607),IF(OR($B607="6331",$B607="63511",$B607="6333"),(1+$I607)*(1-$L607),IF($B607="6811",1+$I607,1)))))))))</f>
        <v/>
      </c>
      <c r="P607">
        <f>IF($A607="","",IF($E607=1,$F607*$O607,PNL!G607))</f>
        <v/>
      </c>
      <c r="T607">
        <f>IF($A607="","",IF($E607=1,IF(OR($B607="7062",$B607="706",$B607="708"),$P607,IF(AND(LEFT($B607,1)="6",$B607&lt;&gt;"6811"),-$P607,0)),0))</f>
        <v/>
      </c>
    </row>
    <row r="608">
      <c r="A608">
        <f>IF(PNL!A608="","",PNL!A608)</f>
        <v/>
      </c>
      <c r="B608">
        <f>IF(PNL!B608="","",PNL!B608)</f>
        <v/>
      </c>
      <c r="C608">
        <f>IF(PNL!C608="","",PNL!C608)</f>
        <v/>
      </c>
      <c r="D608">
        <f>IF(PNL!D608="","",PNL!D608)</f>
        <v/>
      </c>
      <c r="E608">
        <f>IF($A608="","",IF(AND($C608="2027",OR($D608="V01",$D608="V02",$D608="V03")),1,0))</f>
        <v/>
      </c>
      <c r="F608">
        <f>IF($A608="","",IF($E608=1,SUMIFS(Comptabilité!$F$1:$F$675,Comptabilité!$A$1:$A$675,$A608,Comptabilité!$B$1:$B$675,$B608,Comptabilité!$C$1:$C$675,"2026"),0))</f>
        <v/>
      </c>
      <c r="G608">
        <f>IF($A608="","",IF($D608="V01",Cadrage!$C$22,IF($D608="V02",Cadrage!$D$22,Cadrage!$E$22)))</f>
        <v/>
      </c>
      <c r="H608">
        <f>IF($A608="","",IF($D608="V01",Cadrage!$C$23,IF($D608="V02",Cadrage!$D$23,Cadrage!$E$23)))</f>
        <v/>
      </c>
      <c r="I608">
        <f>IF($A608="","",IF($D608="V01",Cadrage!$C$31,IF($D608="V02",Cadrage!$D$31,Cadrage!$E$31)))</f>
        <v/>
      </c>
      <c r="J608">
        <f>IF($A608="","",IF($D608="V01",Cadrage!$C$32,IF($D608="V02",Cadrage!$D$32,Cadrage!$E$32)))</f>
        <v/>
      </c>
      <c r="K608">
        <f>IF($A608="","",IF($D608="V01",Cadrage!$C$33,IF($D608="V02",Cadrage!$D$33,Cadrage!$E$33)))</f>
        <v/>
      </c>
      <c r="L608">
        <f>IF($A608="","",IF($D608="V01",Cadrage!$C$34,IF($D608="V02",Cadrage!$D$34,Cadrage!$E$34)))</f>
        <v/>
      </c>
      <c r="M608">
        <f>IF($A608="","",IF($D608="V01",Cadrage!$C$35,IF($D608="V02",Cadrage!$D$35,Cadrage!$E$35)))</f>
        <v/>
      </c>
      <c r="N608">
        <f>IF($A608="","",IF($D608="V01",$R$2,IF($D608="V02",$R$3,$R$4)))</f>
        <v/>
      </c>
      <c r="O608">
        <f>IF($A608="","",IF(OR($B608="7062",$B608="706",$B608="708"),$N608,IF($B608="6231",1+$G608,IF($B608="6236",1+$H608,IF(OR($B608="621",$B608="604",$B608="6063"),$N608*(1-$L608),IF(OR($B608="6411",$B608="6413",$B608="6414",$B608="645"),(1+$J608)*(1+$K608),IF(OR($B608="613",$B608="615",$B608="616",$B608="6226",$B608="625",$B608="626",$B608="6281"),(1+$I608)*(1-$L608)*(1+$M608),IF(OR($B608="6331",$B608="63511",$B608="6333"),(1+$I608)*(1-$L608),IF($B608="6811",1+$I608,1)))))))))</f>
        <v/>
      </c>
      <c r="P608">
        <f>IF($A608="","",IF($E608=1,$F608*$O608,PNL!G608))</f>
        <v/>
      </c>
      <c r="T608">
        <f>IF($A608="","",IF($E608=1,IF(OR($B608="7062",$B608="706",$B608="708"),$P608,IF(AND(LEFT($B608,1)="6",$B608&lt;&gt;"6811"),-$P608,0)),0))</f>
        <v/>
      </c>
    </row>
    <row r="609">
      <c r="A609">
        <f>IF(PNL!A609="","",PNL!A609)</f>
        <v/>
      </c>
      <c r="B609">
        <f>IF(PNL!B609="","",PNL!B609)</f>
        <v/>
      </c>
      <c r="C609">
        <f>IF(PNL!C609="","",PNL!C609)</f>
        <v/>
      </c>
      <c r="D609">
        <f>IF(PNL!D609="","",PNL!D609)</f>
        <v/>
      </c>
      <c r="E609">
        <f>IF($A609="","",IF(AND($C609="2027",OR($D609="V01",$D609="V02",$D609="V03")),1,0))</f>
        <v/>
      </c>
      <c r="F609">
        <f>IF($A609="","",IF($E609=1,SUMIFS(Comptabilité!$F$1:$F$675,Comptabilité!$A$1:$A$675,$A609,Comptabilité!$B$1:$B$675,$B609,Comptabilité!$C$1:$C$675,"2026"),0))</f>
        <v/>
      </c>
      <c r="G609">
        <f>IF($A609="","",IF($D609="V01",Cadrage!$C$22,IF($D609="V02",Cadrage!$D$22,Cadrage!$E$22)))</f>
        <v/>
      </c>
      <c r="H609">
        <f>IF($A609="","",IF($D609="V01",Cadrage!$C$23,IF($D609="V02",Cadrage!$D$23,Cadrage!$E$23)))</f>
        <v/>
      </c>
      <c r="I609">
        <f>IF($A609="","",IF($D609="V01",Cadrage!$C$31,IF($D609="V02",Cadrage!$D$31,Cadrage!$E$31)))</f>
        <v/>
      </c>
      <c r="J609">
        <f>IF($A609="","",IF($D609="V01",Cadrage!$C$32,IF($D609="V02",Cadrage!$D$32,Cadrage!$E$32)))</f>
        <v/>
      </c>
      <c r="K609">
        <f>IF($A609="","",IF($D609="V01",Cadrage!$C$33,IF($D609="V02",Cadrage!$D$33,Cadrage!$E$33)))</f>
        <v/>
      </c>
      <c r="L609">
        <f>IF($A609="","",IF($D609="V01",Cadrage!$C$34,IF($D609="V02",Cadrage!$D$34,Cadrage!$E$34)))</f>
        <v/>
      </c>
      <c r="M609">
        <f>IF($A609="","",IF($D609="V01",Cadrage!$C$35,IF($D609="V02",Cadrage!$D$35,Cadrage!$E$35)))</f>
        <v/>
      </c>
      <c r="N609">
        <f>IF($A609="","",IF($D609="V01",$R$2,IF($D609="V02",$R$3,$R$4)))</f>
        <v/>
      </c>
      <c r="O609">
        <f>IF($A609="","",IF(OR($B609="7062",$B609="706",$B609="708"),$N609,IF($B609="6231",1+$G609,IF($B609="6236",1+$H609,IF(OR($B609="621",$B609="604",$B609="6063"),$N609*(1-$L609),IF(OR($B609="6411",$B609="6413",$B609="6414",$B609="645"),(1+$J609)*(1+$K609),IF(OR($B609="613",$B609="615",$B609="616",$B609="6226",$B609="625",$B609="626",$B609="6281"),(1+$I609)*(1-$L609)*(1+$M609),IF(OR($B609="6331",$B609="63511",$B609="6333"),(1+$I609)*(1-$L609),IF($B609="6811",1+$I609,1)))))))))</f>
        <v/>
      </c>
      <c r="P609">
        <f>IF($A609="","",IF($E609=1,$F609*$O609,PNL!G609))</f>
        <v/>
      </c>
      <c r="T609">
        <f>IF($A609="","",IF($E609=1,IF(OR($B609="7062",$B609="706",$B609="708"),$P609,IF(AND(LEFT($B609,1)="6",$B609&lt;&gt;"6811"),-$P609,0)),0))</f>
        <v/>
      </c>
    </row>
    <row r="610">
      <c r="A610">
        <f>IF(PNL!A610="","",PNL!A610)</f>
        <v/>
      </c>
      <c r="B610">
        <f>IF(PNL!B610="","",PNL!B610)</f>
        <v/>
      </c>
      <c r="C610">
        <f>IF(PNL!C610="","",PNL!C610)</f>
        <v/>
      </c>
      <c r="D610">
        <f>IF(PNL!D610="","",PNL!D610)</f>
        <v/>
      </c>
      <c r="E610">
        <f>IF($A610="","",IF(AND($C610="2027",OR($D610="V01",$D610="V02",$D610="V03")),1,0))</f>
        <v/>
      </c>
      <c r="F610">
        <f>IF($A610="","",IF($E610=1,SUMIFS(Comptabilité!$F$1:$F$675,Comptabilité!$A$1:$A$675,$A610,Comptabilité!$B$1:$B$675,$B610,Comptabilité!$C$1:$C$675,"2026"),0))</f>
        <v/>
      </c>
      <c r="G610">
        <f>IF($A610="","",IF($D610="V01",Cadrage!$C$22,IF($D610="V02",Cadrage!$D$22,Cadrage!$E$22)))</f>
        <v/>
      </c>
      <c r="H610">
        <f>IF($A610="","",IF($D610="V01",Cadrage!$C$23,IF($D610="V02",Cadrage!$D$23,Cadrage!$E$23)))</f>
        <v/>
      </c>
      <c r="I610">
        <f>IF($A610="","",IF($D610="V01",Cadrage!$C$31,IF($D610="V02",Cadrage!$D$31,Cadrage!$E$31)))</f>
        <v/>
      </c>
      <c r="J610">
        <f>IF($A610="","",IF($D610="V01",Cadrage!$C$32,IF($D610="V02",Cadrage!$D$32,Cadrage!$E$32)))</f>
        <v/>
      </c>
      <c r="K610">
        <f>IF($A610="","",IF($D610="V01",Cadrage!$C$33,IF($D610="V02",Cadrage!$D$33,Cadrage!$E$33)))</f>
        <v/>
      </c>
      <c r="L610">
        <f>IF($A610="","",IF($D610="V01",Cadrage!$C$34,IF($D610="V02",Cadrage!$D$34,Cadrage!$E$34)))</f>
        <v/>
      </c>
      <c r="M610">
        <f>IF($A610="","",IF($D610="V01",Cadrage!$C$35,IF($D610="V02",Cadrage!$D$35,Cadrage!$E$35)))</f>
        <v/>
      </c>
      <c r="N610">
        <f>IF($A610="","",IF($D610="V01",$R$2,IF($D610="V02",$R$3,$R$4)))</f>
        <v/>
      </c>
      <c r="O610">
        <f>IF($A610="","",IF(OR($B610="7062",$B610="706",$B610="708"),$N610,IF($B610="6231",1+$G610,IF($B610="6236",1+$H610,IF(OR($B610="621",$B610="604",$B610="6063"),$N610*(1-$L610),IF(OR($B610="6411",$B610="6413",$B610="6414",$B610="645"),(1+$J610)*(1+$K610),IF(OR($B610="613",$B610="615",$B610="616",$B610="6226",$B610="625",$B610="626",$B610="6281"),(1+$I610)*(1-$L610)*(1+$M610),IF(OR($B610="6331",$B610="63511",$B610="6333"),(1+$I610)*(1-$L610),IF($B610="6811",1+$I610,1)))))))))</f>
        <v/>
      </c>
      <c r="P610">
        <f>IF($A610="","",IF($E610=1,$F610*$O610,PNL!G610))</f>
        <v/>
      </c>
      <c r="T610">
        <f>IF($A610="","",IF($E610=1,IF(OR($B610="7062",$B610="706",$B610="708"),$P610,IF(AND(LEFT($B610,1)="6",$B610&lt;&gt;"6811"),-$P610,0)),0))</f>
        <v/>
      </c>
    </row>
    <row r="611">
      <c r="A611">
        <f>IF(PNL!A611="","",PNL!A611)</f>
        <v/>
      </c>
      <c r="B611">
        <f>IF(PNL!B611="","",PNL!B611)</f>
        <v/>
      </c>
      <c r="C611">
        <f>IF(PNL!C611="","",PNL!C611)</f>
        <v/>
      </c>
      <c r="D611">
        <f>IF(PNL!D611="","",PNL!D611)</f>
        <v/>
      </c>
      <c r="E611">
        <f>IF($A611="","",IF(AND($C611="2027",OR($D611="V01",$D611="V02",$D611="V03")),1,0))</f>
        <v/>
      </c>
      <c r="F611">
        <f>IF($A611="","",IF($E611=1,SUMIFS(Comptabilité!$F$1:$F$675,Comptabilité!$A$1:$A$675,$A611,Comptabilité!$B$1:$B$675,$B611,Comptabilité!$C$1:$C$675,"2026"),0))</f>
        <v/>
      </c>
      <c r="G611">
        <f>IF($A611="","",IF($D611="V01",Cadrage!$C$22,IF($D611="V02",Cadrage!$D$22,Cadrage!$E$22)))</f>
        <v/>
      </c>
      <c r="H611">
        <f>IF($A611="","",IF($D611="V01",Cadrage!$C$23,IF($D611="V02",Cadrage!$D$23,Cadrage!$E$23)))</f>
        <v/>
      </c>
      <c r="I611">
        <f>IF($A611="","",IF($D611="V01",Cadrage!$C$31,IF($D611="V02",Cadrage!$D$31,Cadrage!$E$31)))</f>
        <v/>
      </c>
      <c r="J611">
        <f>IF($A611="","",IF($D611="V01",Cadrage!$C$32,IF($D611="V02",Cadrage!$D$32,Cadrage!$E$32)))</f>
        <v/>
      </c>
      <c r="K611">
        <f>IF($A611="","",IF($D611="V01",Cadrage!$C$33,IF($D611="V02",Cadrage!$D$33,Cadrage!$E$33)))</f>
        <v/>
      </c>
      <c r="L611">
        <f>IF($A611="","",IF($D611="V01",Cadrage!$C$34,IF($D611="V02",Cadrage!$D$34,Cadrage!$E$34)))</f>
        <v/>
      </c>
      <c r="M611">
        <f>IF($A611="","",IF($D611="V01",Cadrage!$C$35,IF($D611="V02",Cadrage!$D$35,Cadrage!$E$35)))</f>
        <v/>
      </c>
      <c r="N611">
        <f>IF($A611="","",IF($D611="V01",$R$2,IF($D611="V02",$R$3,$R$4)))</f>
        <v/>
      </c>
      <c r="O611">
        <f>IF($A611="","",IF(OR($B611="7062",$B611="706",$B611="708"),$N611,IF($B611="6231",1+$G611,IF($B611="6236",1+$H611,IF(OR($B611="621",$B611="604",$B611="6063"),$N611*(1-$L611),IF(OR($B611="6411",$B611="6413",$B611="6414",$B611="645"),(1+$J611)*(1+$K611),IF(OR($B611="613",$B611="615",$B611="616",$B611="6226",$B611="625",$B611="626",$B611="6281"),(1+$I611)*(1-$L611)*(1+$M611),IF(OR($B611="6331",$B611="63511",$B611="6333"),(1+$I611)*(1-$L611),IF($B611="6811",1+$I611,1)))))))))</f>
        <v/>
      </c>
      <c r="P611">
        <f>IF($A611="","",IF($E611=1,$F611*$O611,PNL!G611))</f>
        <v/>
      </c>
      <c r="T611">
        <f>IF($A611="","",IF($E611=1,IF(OR($B611="7062",$B611="706",$B611="708"),$P611,IF(AND(LEFT($B611,1)="6",$B611&lt;&gt;"6811"),-$P611,0)),0))</f>
        <v/>
      </c>
    </row>
    <row r="612">
      <c r="A612">
        <f>IF(PNL!A612="","",PNL!A612)</f>
        <v/>
      </c>
      <c r="B612">
        <f>IF(PNL!B612="","",PNL!B612)</f>
        <v/>
      </c>
      <c r="C612">
        <f>IF(PNL!C612="","",PNL!C612)</f>
        <v/>
      </c>
      <c r="D612">
        <f>IF(PNL!D612="","",PNL!D612)</f>
        <v/>
      </c>
      <c r="E612">
        <f>IF($A612="","",IF(AND($C612="2027",OR($D612="V01",$D612="V02",$D612="V03")),1,0))</f>
        <v/>
      </c>
      <c r="F612">
        <f>IF($A612="","",IF($E612=1,SUMIFS(Comptabilité!$F$1:$F$675,Comptabilité!$A$1:$A$675,$A612,Comptabilité!$B$1:$B$675,$B612,Comptabilité!$C$1:$C$675,"2026"),0))</f>
        <v/>
      </c>
      <c r="G612">
        <f>IF($A612="","",IF($D612="V01",Cadrage!$C$22,IF($D612="V02",Cadrage!$D$22,Cadrage!$E$22)))</f>
        <v/>
      </c>
      <c r="H612">
        <f>IF($A612="","",IF($D612="V01",Cadrage!$C$23,IF($D612="V02",Cadrage!$D$23,Cadrage!$E$23)))</f>
        <v/>
      </c>
      <c r="I612">
        <f>IF($A612="","",IF($D612="V01",Cadrage!$C$31,IF($D612="V02",Cadrage!$D$31,Cadrage!$E$31)))</f>
        <v/>
      </c>
      <c r="J612">
        <f>IF($A612="","",IF($D612="V01",Cadrage!$C$32,IF($D612="V02",Cadrage!$D$32,Cadrage!$E$32)))</f>
        <v/>
      </c>
      <c r="K612">
        <f>IF($A612="","",IF($D612="V01",Cadrage!$C$33,IF($D612="V02",Cadrage!$D$33,Cadrage!$E$33)))</f>
        <v/>
      </c>
      <c r="L612">
        <f>IF($A612="","",IF($D612="V01",Cadrage!$C$34,IF($D612="V02",Cadrage!$D$34,Cadrage!$E$34)))</f>
        <v/>
      </c>
      <c r="M612">
        <f>IF($A612="","",IF($D612="V01",Cadrage!$C$35,IF($D612="V02",Cadrage!$D$35,Cadrage!$E$35)))</f>
        <v/>
      </c>
      <c r="N612">
        <f>IF($A612="","",IF($D612="V01",$R$2,IF($D612="V02",$R$3,$R$4)))</f>
        <v/>
      </c>
      <c r="O612">
        <f>IF($A612="","",IF(OR($B612="7062",$B612="706",$B612="708"),$N612,IF($B612="6231",1+$G612,IF($B612="6236",1+$H612,IF(OR($B612="621",$B612="604",$B612="6063"),$N612*(1-$L612),IF(OR($B612="6411",$B612="6413",$B612="6414",$B612="645"),(1+$J612)*(1+$K612),IF(OR($B612="613",$B612="615",$B612="616",$B612="6226",$B612="625",$B612="626",$B612="6281"),(1+$I612)*(1-$L612)*(1+$M612),IF(OR($B612="6331",$B612="63511",$B612="6333"),(1+$I612)*(1-$L612),IF($B612="6811",1+$I612,1)))))))))</f>
        <v/>
      </c>
      <c r="P612">
        <f>IF($A612="","",IF($E612=1,$F612*$O612,PNL!G612))</f>
        <v/>
      </c>
      <c r="T612">
        <f>IF($A612="","",IF($E612=1,IF(OR($B612="7062",$B612="706",$B612="708"),$P612,IF(AND(LEFT($B612,1)="6",$B612&lt;&gt;"6811"),-$P612,0)),0))</f>
        <v/>
      </c>
    </row>
    <row r="613">
      <c r="A613">
        <f>IF(PNL!A613="","",PNL!A613)</f>
        <v/>
      </c>
      <c r="B613">
        <f>IF(PNL!B613="","",PNL!B613)</f>
        <v/>
      </c>
      <c r="C613">
        <f>IF(PNL!C613="","",PNL!C613)</f>
        <v/>
      </c>
      <c r="D613">
        <f>IF(PNL!D613="","",PNL!D613)</f>
        <v/>
      </c>
      <c r="E613">
        <f>IF($A613="","",IF(AND($C613="2027",OR($D613="V01",$D613="V02",$D613="V03")),1,0))</f>
        <v/>
      </c>
      <c r="F613">
        <f>IF($A613="","",IF($E613=1,SUMIFS(Comptabilité!$F$1:$F$675,Comptabilité!$A$1:$A$675,$A613,Comptabilité!$B$1:$B$675,$B613,Comptabilité!$C$1:$C$675,"2026"),0))</f>
        <v/>
      </c>
      <c r="G613">
        <f>IF($A613="","",IF($D613="V01",Cadrage!$C$22,IF($D613="V02",Cadrage!$D$22,Cadrage!$E$22)))</f>
        <v/>
      </c>
      <c r="H613">
        <f>IF($A613="","",IF($D613="V01",Cadrage!$C$23,IF($D613="V02",Cadrage!$D$23,Cadrage!$E$23)))</f>
        <v/>
      </c>
      <c r="I613">
        <f>IF($A613="","",IF($D613="V01",Cadrage!$C$31,IF($D613="V02",Cadrage!$D$31,Cadrage!$E$31)))</f>
        <v/>
      </c>
      <c r="J613">
        <f>IF($A613="","",IF($D613="V01",Cadrage!$C$32,IF($D613="V02",Cadrage!$D$32,Cadrage!$E$32)))</f>
        <v/>
      </c>
      <c r="K613">
        <f>IF($A613="","",IF($D613="V01",Cadrage!$C$33,IF($D613="V02",Cadrage!$D$33,Cadrage!$E$33)))</f>
        <v/>
      </c>
      <c r="L613">
        <f>IF($A613="","",IF($D613="V01",Cadrage!$C$34,IF($D613="V02",Cadrage!$D$34,Cadrage!$E$34)))</f>
        <v/>
      </c>
      <c r="M613">
        <f>IF($A613="","",IF($D613="V01",Cadrage!$C$35,IF($D613="V02",Cadrage!$D$35,Cadrage!$E$35)))</f>
        <v/>
      </c>
      <c r="N613">
        <f>IF($A613="","",IF($D613="V01",$R$2,IF($D613="V02",$R$3,$R$4)))</f>
        <v/>
      </c>
      <c r="O613">
        <f>IF($A613="","",IF(OR($B613="7062",$B613="706",$B613="708"),$N613,IF($B613="6231",1+$G613,IF($B613="6236",1+$H613,IF(OR($B613="621",$B613="604",$B613="6063"),$N613*(1-$L613),IF(OR($B613="6411",$B613="6413",$B613="6414",$B613="645"),(1+$J613)*(1+$K613),IF(OR($B613="613",$B613="615",$B613="616",$B613="6226",$B613="625",$B613="626",$B613="6281"),(1+$I613)*(1-$L613)*(1+$M613),IF(OR($B613="6331",$B613="63511",$B613="6333"),(1+$I613)*(1-$L613),IF($B613="6811",1+$I613,1)))))))))</f>
        <v/>
      </c>
      <c r="P613">
        <f>IF($A613="","",IF($E613=1,$F613*$O613,PNL!G613))</f>
        <v/>
      </c>
      <c r="T613">
        <f>IF($A613="","",IF($E613=1,IF(OR($B613="7062",$B613="706",$B613="708"),$P613,IF(AND(LEFT($B613,1)="6",$B613&lt;&gt;"6811"),-$P613,0)),0))</f>
        <v/>
      </c>
    </row>
    <row r="614">
      <c r="A614">
        <f>IF(PNL!A614="","",PNL!A614)</f>
        <v/>
      </c>
      <c r="B614">
        <f>IF(PNL!B614="","",PNL!B614)</f>
        <v/>
      </c>
      <c r="C614">
        <f>IF(PNL!C614="","",PNL!C614)</f>
        <v/>
      </c>
      <c r="D614">
        <f>IF(PNL!D614="","",PNL!D614)</f>
        <v/>
      </c>
      <c r="E614">
        <f>IF($A614="","",IF(AND($C614="2027",OR($D614="V01",$D614="V02",$D614="V03")),1,0))</f>
        <v/>
      </c>
      <c r="F614">
        <f>IF($A614="","",IF($E614=1,SUMIFS(Comptabilité!$F$1:$F$675,Comptabilité!$A$1:$A$675,$A614,Comptabilité!$B$1:$B$675,$B614,Comptabilité!$C$1:$C$675,"2026"),0))</f>
        <v/>
      </c>
      <c r="G614">
        <f>IF($A614="","",IF($D614="V01",Cadrage!$C$22,IF($D614="V02",Cadrage!$D$22,Cadrage!$E$22)))</f>
        <v/>
      </c>
      <c r="H614">
        <f>IF($A614="","",IF($D614="V01",Cadrage!$C$23,IF($D614="V02",Cadrage!$D$23,Cadrage!$E$23)))</f>
        <v/>
      </c>
      <c r="I614">
        <f>IF($A614="","",IF($D614="V01",Cadrage!$C$31,IF($D614="V02",Cadrage!$D$31,Cadrage!$E$31)))</f>
        <v/>
      </c>
      <c r="J614">
        <f>IF($A614="","",IF($D614="V01",Cadrage!$C$32,IF($D614="V02",Cadrage!$D$32,Cadrage!$E$32)))</f>
        <v/>
      </c>
      <c r="K614">
        <f>IF($A614="","",IF($D614="V01",Cadrage!$C$33,IF($D614="V02",Cadrage!$D$33,Cadrage!$E$33)))</f>
        <v/>
      </c>
      <c r="L614">
        <f>IF($A614="","",IF($D614="V01",Cadrage!$C$34,IF($D614="V02",Cadrage!$D$34,Cadrage!$E$34)))</f>
        <v/>
      </c>
      <c r="M614">
        <f>IF($A614="","",IF($D614="V01",Cadrage!$C$35,IF($D614="V02",Cadrage!$D$35,Cadrage!$E$35)))</f>
        <v/>
      </c>
      <c r="N614">
        <f>IF($A614="","",IF($D614="V01",$R$2,IF($D614="V02",$R$3,$R$4)))</f>
        <v/>
      </c>
      <c r="O614">
        <f>IF($A614="","",IF(OR($B614="7062",$B614="706",$B614="708"),$N614,IF($B614="6231",1+$G614,IF($B614="6236",1+$H614,IF(OR($B614="621",$B614="604",$B614="6063"),$N614*(1-$L614),IF(OR($B614="6411",$B614="6413",$B614="6414",$B614="645"),(1+$J614)*(1+$K614),IF(OR($B614="613",$B614="615",$B614="616",$B614="6226",$B614="625",$B614="626",$B614="6281"),(1+$I614)*(1-$L614)*(1+$M614),IF(OR($B614="6331",$B614="63511",$B614="6333"),(1+$I614)*(1-$L614),IF($B614="6811",1+$I614,1)))))))))</f>
        <v/>
      </c>
      <c r="P614">
        <f>IF($A614="","",IF($E614=1,$F614*$O614,PNL!G614))</f>
        <v/>
      </c>
      <c r="T614">
        <f>IF($A614="","",IF($E614=1,IF(OR($B614="7062",$B614="706",$B614="708"),$P614,IF(AND(LEFT($B614,1)="6",$B614&lt;&gt;"6811"),-$P614,0)),0))</f>
        <v/>
      </c>
    </row>
    <row r="615">
      <c r="A615">
        <f>IF(PNL!A615="","",PNL!A615)</f>
        <v/>
      </c>
      <c r="B615">
        <f>IF(PNL!B615="","",PNL!B615)</f>
        <v/>
      </c>
      <c r="C615">
        <f>IF(PNL!C615="","",PNL!C615)</f>
        <v/>
      </c>
      <c r="D615">
        <f>IF(PNL!D615="","",PNL!D615)</f>
        <v/>
      </c>
      <c r="E615">
        <f>IF($A615="","",IF(AND($C615="2027",OR($D615="V01",$D615="V02",$D615="V03")),1,0))</f>
        <v/>
      </c>
      <c r="F615">
        <f>IF($A615="","",IF($E615=1,SUMIFS(Comptabilité!$F$1:$F$675,Comptabilité!$A$1:$A$675,$A615,Comptabilité!$B$1:$B$675,$B615,Comptabilité!$C$1:$C$675,"2026"),0))</f>
        <v/>
      </c>
      <c r="G615">
        <f>IF($A615="","",IF($D615="V01",Cadrage!$C$22,IF($D615="V02",Cadrage!$D$22,Cadrage!$E$22)))</f>
        <v/>
      </c>
      <c r="H615">
        <f>IF($A615="","",IF($D615="V01",Cadrage!$C$23,IF($D615="V02",Cadrage!$D$23,Cadrage!$E$23)))</f>
        <v/>
      </c>
      <c r="I615">
        <f>IF($A615="","",IF($D615="V01",Cadrage!$C$31,IF($D615="V02",Cadrage!$D$31,Cadrage!$E$31)))</f>
        <v/>
      </c>
      <c r="J615">
        <f>IF($A615="","",IF($D615="V01",Cadrage!$C$32,IF($D615="V02",Cadrage!$D$32,Cadrage!$E$32)))</f>
        <v/>
      </c>
      <c r="K615">
        <f>IF($A615="","",IF($D615="V01",Cadrage!$C$33,IF($D615="V02",Cadrage!$D$33,Cadrage!$E$33)))</f>
        <v/>
      </c>
      <c r="L615">
        <f>IF($A615="","",IF($D615="V01",Cadrage!$C$34,IF($D615="V02",Cadrage!$D$34,Cadrage!$E$34)))</f>
        <v/>
      </c>
      <c r="M615">
        <f>IF($A615="","",IF($D615="V01",Cadrage!$C$35,IF($D615="V02",Cadrage!$D$35,Cadrage!$E$35)))</f>
        <v/>
      </c>
      <c r="N615">
        <f>IF($A615="","",IF($D615="V01",$R$2,IF($D615="V02",$R$3,$R$4)))</f>
        <v/>
      </c>
      <c r="O615">
        <f>IF($A615="","",IF(OR($B615="7062",$B615="706",$B615="708"),$N615,IF($B615="6231",1+$G615,IF($B615="6236",1+$H615,IF(OR($B615="621",$B615="604",$B615="6063"),$N615*(1-$L615),IF(OR($B615="6411",$B615="6413",$B615="6414",$B615="645"),(1+$J615)*(1+$K615),IF(OR($B615="613",$B615="615",$B615="616",$B615="6226",$B615="625",$B615="626",$B615="6281"),(1+$I615)*(1-$L615)*(1+$M615),IF(OR($B615="6331",$B615="63511",$B615="6333"),(1+$I615)*(1-$L615),IF($B615="6811",1+$I615,1)))))))))</f>
        <v/>
      </c>
      <c r="P615">
        <f>IF($A615="","",IF($E615=1,$F615*$O615,PNL!G615))</f>
        <v/>
      </c>
      <c r="T615">
        <f>IF($A615="","",IF($E615=1,IF(OR($B615="7062",$B615="706",$B615="708"),$P615,IF(AND(LEFT($B615,1)="6",$B615&lt;&gt;"6811"),-$P615,0)),0))</f>
        <v/>
      </c>
    </row>
    <row r="616">
      <c r="A616">
        <f>IF(PNL!A616="","",PNL!A616)</f>
        <v/>
      </c>
      <c r="B616">
        <f>IF(PNL!B616="","",PNL!B616)</f>
        <v/>
      </c>
      <c r="C616">
        <f>IF(PNL!C616="","",PNL!C616)</f>
        <v/>
      </c>
      <c r="D616">
        <f>IF(PNL!D616="","",PNL!D616)</f>
        <v/>
      </c>
      <c r="E616">
        <f>IF($A616="","",IF(AND($C616="2027",OR($D616="V01",$D616="V02",$D616="V03")),1,0))</f>
        <v/>
      </c>
      <c r="F616">
        <f>IF($A616="","",IF($E616=1,SUMIFS(Comptabilité!$F$1:$F$675,Comptabilité!$A$1:$A$675,$A616,Comptabilité!$B$1:$B$675,$B616,Comptabilité!$C$1:$C$675,"2026"),0))</f>
        <v/>
      </c>
      <c r="G616">
        <f>IF($A616="","",IF($D616="V01",Cadrage!$C$22,IF($D616="V02",Cadrage!$D$22,Cadrage!$E$22)))</f>
        <v/>
      </c>
      <c r="H616">
        <f>IF($A616="","",IF($D616="V01",Cadrage!$C$23,IF($D616="V02",Cadrage!$D$23,Cadrage!$E$23)))</f>
        <v/>
      </c>
      <c r="I616">
        <f>IF($A616="","",IF($D616="V01",Cadrage!$C$31,IF($D616="V02",Cadrage!$D$31,Cadrage!$E$31)))</f>
        <v/>
      </c>
      <c r="J616">
        <f>IF($A616="","",IF($D616="V01",Cadrage!$C$32,IF($D616="V02",Cadrage!$D$32,Cadrage!$E$32)))</f>
        <v/>
      </c>
      <c r="K616">
        <f>IF($A616="","",IF($D616="V01",Cadrage!$C$33,IF($D616="V02",Cadrage!$D$33,Cadrage!$E$33)))</f>
        <v/>
      </c>
      <c r="L616">
        <f>IF($A616="","",IF($D616="V01",Cadrage!$C$34,IF($D616="V02",Cadrage!$D$34,Cadrage!$E$34)))</f>
        <v/>
      </c>
      <c r="M616">
        <f>IF($A616="","",IF($D616="V01",Cadrage!$C$35,IF($D616="V02",Cadrage!$D$35,Cadrage!$E$35)))</f>
        <v/>
      </c>
      <c r="N616">
        <f>IF($A616="","",IF($D616="V01",$R$2,IF($D616="V02",$R$3,$R$4)))</f>
        <v/>
      </c>
      <c r="O616">
        <f>IF($A616="","",IF(OR($B616="7062",$B616="706",$B616="708"),$N616,IF($B616="6231",1+$G616,IF($B616="6236",1+$H616,IF(OR($B616="621",$B616="604",$B616="6063"),$N616*(1-$L616),IF(OR($B616="6411",$B616="6413",$B616="6414",$B616="645"),(1+$J616)*(1+$K616),IF(OR($B616="613",$B616="615",$B616="616",$B616="6226",$B616="625",$B616="626",$B616="6281"),(1+$I616)*(1-$L616)*(1+$M616),IF(OR($B616="6331",$B616="63511",$B616="6333"),(1+$I616)*(1-$L616),IF($B616="6811",1+$I616,1)))))))))</f>
        <v/>
      </c>
      <c r="P616">
        <f>IF($A616="","",IF($E616=1,$F616*$O616,PNL!G616))</f>
        <v/>
      </c>
      <c r="T616">
        <f>IF($A616="","",IF($E616=1,IF(OR($B616="7062",$B616="706",$B616="708"),$P616,IF(AND(LEFT($B616,1)="6",$B616&lt;&gt;"6811"),-$P616,0)),0))</f>
        <v/>
      </c>
    </row>
    <row r="617">
      <c r="A617">
        <f>IF(PNL!A617="","",PNL!A617)</f>
        <v/>
      </c>
      <c r="B617">
        <f>IF(PNL!B617="","",PNL!B617)</f>
        <v/>
      </c>
      <c r="C617">
        <f>IF(PNL!C617="","",PNL!C617)</f>
        <v/>
      </c>
      <c r="D617">
        <f>IF(PNL!D617="","",PNL!D617)</f>
        <v/>
      </c>
      <c r="E617">
        <f>IF($A617="","",IF(AND($C617="2027",OR($D617="V01",$D617="V02",$D617="V03")),1,0))</f>
        <v/>
      </c>
      <c r="F617">
        <f>IF($A617="","",IF($E617=1,SUMIFS(Comptabilité!$F$1:$F$675,Comptabilité!$A$1:$A$675,$A617,Comptabilité!$B$1:$B$675,$B617,Comptabilité!$C$1:$C$675,"2026"),0))</f>
        <v/>
      </c>
      <c r="G617">
        <f>IF($A617="","",IF($D617="V01",Cadrage!$C$22,IF($D617="V02",Cadrage!$D$22,Cadrage!$E$22)))</f>
        <v/>
      </c>
      <c r="H617">
        <f>IF($A617="","",IF($D617="V01",Cadrage!$C$23,IF($D617="V02",Cadrage!$D$23,Cadrage!$E$23)))</f>
        <v/>
      </c>
      <c r="I617">
        <f>IF($A617="","",IF($D617="V01",Cadrage!$C$31,IF($D617="V02",Cadrage!$D$31,Cadrage!$E$31)))</f>
        <v/>
      </c>
      <c r="J617">
        <f>IF($A617="","",IF($D617="V01",Cadrage!$C$32,IF($D617="V02",Cadrage!$D$32,Cadrage!$E$32)))</f>
        <v/>
      </c>
      <c r="K617">
        <f>IF($A617="","",IF($D617="V01",Cadrage!$C$33,IF($D617="V02",Cadrage!$D$33,Cadrage!$E$33)))</f>
        <v/>
      </c>
      <c r="L617">
        <f>IF($A617="","",IF($D617="V01",Cadrage!$C$34,IF($D617="V02",Cadrage!$D$34,Cadrage!$E$34)))</f>
        <v/>
      </c>
      <c r="M617">
        <f>IF($A617="","",IF($D617="V01",Cadrage!$C$35,IF($D617="V02",Cadrage!$D$35,Cadrage!$E$35)))</f>
        <v/>
      </c>
      <c r="N617">
        <f>IF($A617="","",IF($D617="V01",$R$2,IF($D617="V02",$R$3,$R$4)))</f>
        <v/>
      </c>
      <c r="O617">
        <f>IF($A617="","",IF(OR($B617="7062",$B617="706",$B617="708"),$N617,IF($B617="6231",1+$G617,IF($B617="6236",1+$H617,IF(OR($B617="621",$B617="604",$B617="6063"),$N617*(1-$L617),IF(OR($B617="6411",$B617="6413",$B617="6414",$B617="645"),(1+$J617)*(1+$K617),IF(OR($B617="613",$B617="615",$B617="616",$B617="6226",$B617="625",$B617="626",$B617="6281"),(1+$I617)*(1-$L617)*(1+$M617),IF(OR($B617="6331",$B617="63511",$B617="6333"),(1+$I617)*(1-$L617),IF($B617="6811",1+$I617,1)))))))))</f>
        <v/>
      </c>
      <c r="P617">
        <f>IF($A617="","",IF($E617=1,$F617*$O617,PNL!G617))</f>
        <v/>
      </c>
      <c r="T617">
        <f>IF($A617="","",IF($E617=1,IF(OR($B617="7062",$B617="706",$B617="708"),$P617,IF(AND(LEFT($B617,1)="6",$B617&lt;&gt;"6811"),-$P617,0)),0))</f>
        <v/>
      </c>
    </row>
    <row r="618">
      <c r="A618">
        <f>IF(PNL!A618="","",PNL!A618)</f>
        <v/>
      </c>
      <c r="B618">
        <f>IF(PNL!B618="","",PNL!B618)</f>
        <v/>
      </c>
      <c r="C618">
        <f>IF(PNL!C618="","",PNL!C618)</f>
        <v/>
      </c>
      <c r="D618">
        <f>IF(PNL!D618="","",PNL!D618)</f>
        <v/>
      </c>
      <c r="E618">
        <f>IF($A618="","",IF(AND($C618="2027",OR($D618="V01",$D618="V02",$D618="V03")),1,0))</f>
        <v/>
      </c>
      <c r="F618">
        <f>IF($A618="","",IF($E618=1,SUMIFS(Comptabilité!$F$1:$F$675,Comptabilité!$A$1:$A$675,$A618,Comptabilité!$B$1:$B$675,$B618,Comptabilité!$C$1:$C$675,"2026"),0))</f>
        <v/>
      </c>
      <c r="G618">
        <f>IF($A618="","",IF($D618="V01",Cadrage!$C$22,IF($D618="V02",Cadrage!$D$22,Cadrage!$E$22)))</f>
        <v/>
      </c>
      <c r="H618">
        <f>IF($A618="","",IF($D618="V01",Cadrage!$C$23,IF($D618="V02",Cadrage!$D$23,Cadrage!$E$23)))</f>
        <v/>
      </c>
      <c r="I618">
        <f>IF($A618="","",IF($D618="V01",Cadrage!$C$31,IF($D618="V02",Cadrage!$D$31,Cadrage!$E$31)))</f>
        <v/>
      </c>
      <c r="J618">
        <f>IF($A618="","",IF($D618="V01",Cadrage!$C$32,IF($D618="V02",Cadrage!$D$32,Cadrage!$E$32)))</f>
        <v/>
      </c>
      <c r="K618">
        <f>IF($A618="","",IF($D618="V01",Cadrage!$C$33,IF($D618="V02",Cadrage!$D$33,Cadrage!$E$33)))</f>
        <v/>
      </c>
      <c r="L618">
        <f>IF($A618="","",IF($D618="V01",Cadrage!$C$34,IF($D618="V02",Cadrage!$D$34,Cadrage!$E$34)))</f>
        <v/>
      </c>
      <c r="M618">
        <f>IF($A618="","",IF($D618="V01",Cadrage!$C$35,IF($D618="V02",Cadrage!$D$35,Cadrage!$E$35)))</f>
        <v/>
      </c>
      <c r="N618">
        <f>IF($A618="","",IF($D618="V01",$R$2,IF($D618="V02",$R$3,$R$4)))</f>
        <v/>
      </c>
      <c r="O618">
        <f>IF($A618="","",IF(OR($B618="7062",$B618="706",$B618="708"),$N618,IF($B618="6231",1+$G618,IF($B618="6236",1+$H618,IF(OR($B618="621",$B618="604",$B618="6063"),$N618*(1-$L618),IF(OR($B618="6411",$B618="6413",$B618="6414",$B618="645"),(1+$J618)*(1+$K618),IF(OR($B618="613",$B618="615",$B618="616",$B618="6226",$B618="625",$B618="626",$B618="6281"),(1+$I618)*(1-$L618)*(1+$M618),IF(OR($B618="6331",$B618="63511",$B618="6333"),(1+$I618)*(1-$L618),IF($B618="6811",1+$I618,1)))))))))</f>
        <v/>
      </c>
      <c r="P618">
        <f>IF($A618="","",IF($E618=1,$F618*$O618,PNL!G618))</f>
        <v/>
      </c>
      <c r="T618">
        <f>IF($A618="","",IF($E618=1,IF(OR($B618="7062",$B618="706",$B618="708"),$P618,IF(AND(LEFT($B618,1)="6",$B618&lt;&gt;"6811"),-$P618,0)),0))</f>
        <v/>
      </c>
    </row>
    <row r="619">
      <c r="A619">
        <f>IF(PNL!A619="","",PNL!A619)</f>
        <v/>
      </c>
      <c r="B619">
        <f>IF(PNL!B619="","",PNL!B619)</f>
        <v/>
      </c>
      <c r="C619">
        <f>IF(PNL!C619="","",PNL!C619)</f>
        <v/>
      </c>
      <c r="D619">
        <f>IF(PNL!D619="","",PNL!D619)</f>
        <v/>
      </c>
      <c r="E619">
        <f>IF($A619="","",IF(AND($C619="2027",OR($D619="V01",$D619="V02",$D619="V03")),1,0))</f>
        <v/>
      </c>
      <c r="F619">
        <f>IF($A619="","",IF($E619=1,SUMIFS(Comptabilité!$F$1:$F$675,Comptabilité!$A$1:$A$675,$A619,Comptabilité!$B$1:$B$675,$B619,Comptabilité!$C$1:$C$675,"2026"),0))</f>
        <v/>
      </c>
      <c r="G619">
        <f>IF($A619="","",IF($D619="V01",Cadrage!$C$22,IF($D619="V02",Cadrage!$D$22,Cadrage!$E$22)))</f>
        <v/>
      </c>
      <c r="H619">
        <f>IF($A619="","",IF($D619="V01",Cadrage!$C$23,IF($D619="V02",Cadrage!$D$23,Cadrage!$E$23)))</f>
        <v/>
      </c>
      <c r="I619">
        <f>IF($A619="","",IF($D619="V01",Cadrage!$C$31,IF($D619="V02",Cadrage!$D$31,Cadrage!$E$31)))</f>
        <v/>
      </c>
      <c r="J619">
        <f>IF($A619="","",IF($D619="V01",Cadrage!$C$32,IF($D619="V02",Cadrage!$D$32,Cadrage!$E$32)))</f>
        <v/>
      </c>
      <c r="K619">
        <f>IF($A619="","",IF($D619="V01",Cadrage!$C$33,IF($D619="V02",Cadrage!$D$33,Cadrage!$E$33)))</f>
        <v/>
      </c>
      <c r="L619">
        <f>IF($A619="","",IF($D619="V01",Cadrage!$C$34,IF($D619="V02",Cadrage!$D$34,Cadrage!$E$34)))</f>
        <v/>
      </c>
      <c r="M619">
        <f>IF($A619="","",IF($D619="V01",Cadrage!$C$35,IF($D619="V02",Cadrage!$D$35,Cadrage!$E$35)))</f>
        <v/>
      </c>
      <c r="N619">
        <f>IF($A619="","",IF($D619="V01",$R$2,IF($D619="V02",$R$3,$R$4)))</f>
        <v/>
      </c>
      <c r="O619">
        <f>IF($A619="","",IF(OR($B619="7062",$B619="706",$B619="708"),$N619,IF($B619="6231",1+$G619,IF($B619="6236",1+$H619,IF(OR($B619="621",$B619="604",$B619="6063"),$N619*(1-$L619),IF(OR($B619="6411",$B619="6413",$B619="6414",$B619="645"),(1+$J619)*(1+$K619),IF(OR($B619="613",$B619="615",$B619="616",$B619="6226",$B619="625",$B619="626",$B619="6281"),(1+$I619)*(1-$L619)*(1+$M619),IF(OR($B619="6331",$B619="63511",$B619="6333"),(1+$I619)*(1-$L619),IF($B619="6811",1+$I619,1)))))))))</f>
        <v/>
      </c>
      <c r="P619">
        <f>IF($A619="","",IF($E619=1,$F619*$O619,PNL!G619))</f>
        <v/>
      </c>
      <c r="T619">
        <f>IF($A619="","",IF($E619=1,IF(OR($B619="7062",$B619="706",$B619="708"),$P619,IF(AND(LEFT($B619,1)="6",$B619&lt;&gt;"6811"),-$P619,0)),0))</f>
        <v/>
      </c>
    </row>
    <row r="620">
      <c r="A620">
        <f>IF(PNL!A620="","",PNL!A620)</f>
        <v/>
      </c>
      <c r="B620">
        <f>IF(PNL!B620="","",PNL!B620)</f>
        <v/>
      </c>
      <c r="C620">
        <f>IF(PNL!C620="","",PNL!C620)</f>
        <v/>
      </c>
      <c r="D620">
        <f>IF(PNL!D620="","",PNL!D620)</f>
        <v/>
      </c>
      <c r="E620">
        <f>IF($A620="","",IF(AND($C620="2027",OR($D620="V01",$D620="V02",$D620="V03")),1,0))</f>
        <v/>
      </c>
      <c r="F620">
        <f>IF($A620="","",IF($E620=1,SUMIFS(Comptabilité!$F$1:$F$675,Comptabilité!$A$1:$A$675,$A620,Comptabilité!$B$1:$B$675,$B620,Comptabilité!$C$1:$C$675,"2026"),0))</f>
        <v/>
      </c>
      <c r="G620">
        <f>IF($A620="","",IF($D620="V01",Cadrage!$C$22,IF($D620="V02",Cadrage!$D$22,Cadrage!$E$22)))</f>
        <v/>
      </c>
      <c r="H620">
        <f>IF($A620="","",IF($D620="V01",Cadrage!$C$23,IF($D620="V02",Cadrage!$D$23,Cadrage!$E$23)))</f>
        <v/>
      </c>
      <c r="I620">
        <f>IF($A620="","",IF($D620="V01",Cadrage!$C$31,IF($D620="V02",Cadrage!$D$31,Cadrage!$E$31)))</f>
        <v/>
      </c>
      <c r="J620">
        <f>IF($A620="","",IF($D620="V01",Cadrage!$C$32,IF($D620="V02",Cadrage!$D$32,Cadrage!$E$32)))</f>
        <v/>
      </c>
      <c r="K620">
        <f>IF($A620="","",IF($D620="V01",Cadrage!$C$33,IF($D620="V02",Cadrage!$D$33,Cadrage!$E$33)))</f>
        <v/>
      </c>
      <c r="L620">
        <f>IF($A620="","",IF($D620="V01",Cadrage!$C$34,IF($D620="V02",Cadrage!$D$34,Cadrage!$E$34)))</f>
        <v/>
      </c>
      <c r="M620">
        <f>IF($A620="","",IF($D620="V01",Cadrage!$C$35,IF($D620="V02",Cadrage!$D$35,Cadrage!$E$35)))</f>
        <v/>
      </c>
      <c r="N620">
        <f>IF($A620="","",IF($D620="V01",$R$2,IF($D620="V02",$R$3,$R$4)))</f>
        <v/>
      </c>
      <c r="O620">
        <f>IF($A620="","",IF(OR($B620="7062",$B620="706",$B620="708"),$N620,IF($B620="6231",1+$G620,IF($B620="6236",1+$H620,IF(OR($B620="621",$B620="604",$B620="6063"),$N620*(1-$L620),IF(OR($B620="6411",$B620="6413",$B620="6414",$B620="645"),(1+$J620)*(1+$K620),IF(OR($B620="613",$B620="615",$B620="616",$B620="6226",$B620="625",$B620="626",$B620="6281"),(1+$I620)*(1-$L620)*(1+$M620),IF(OR($B620="6331",$B620="63511",$B620="6333"),(1+$I620)*(1-$L620),IF($B620="6811",1+$I620,1)))))))))</f>
        <v/>
      </c>
      <c r="P620">
        <f>IF($A620="","",IF($E620=1,$F620*$O620,PNL!G620))</f>
        <v/>
      </c>
      <c r="T620">
        <f>IF($A620="","",IF($E620=1,IF(OR($B620="7062",$B620="706",$B620="708"),$P620,IF(AND(LEFT($B620,1)="6",$B620&lt;&gt;"6811"),-$P620,0)),0))</f>
        <v/>
      </c>
    </row>
    <row r="621">
      <c r="A621">
        <f>IF(PNL!A621="","",PNL!A621)</f>
        <v/>
      </c>
      <c r="B621">
        <f>IF(PNL!B621="","",PNL!B621)</f>
        <v/>
      </c>
      <c r="C621">
        <f>IF(PNL!C621="","",PNL!C621)</f>
        <v/>
      </c>
      <c r="D621">
        <f>IF(PNL!D621="","",PNL!D621)</f>
        <v/>
      </c>
      <c r="E621">
        <f>IF($A621="","",IF(AND($C621="2027",OR($D621="V01",$D621="V02",$D621="V03")),1,0))</f>
        <v/>
      </c>
      <c r="F621">
        <f>IF($A621="","",IF($E621=1,SUMIFS(Comptabilité!$F$1:$F$675,Comptabilité!$A$1:$A$675,$A621,Comptabilité!$B$1:$B$675,$B621,Comptabilité!$C$1:$C$675,"2026"),0))</f>
        <v/>
      </c>
      <c r="G621">
        <f>IF($A621="","",IF($D621="V01",Cadrage!$C$22,IF($D621="V02",Cadrage!$D$22,Cadrage!$E$22)))</f>
        <v/>
      </c>
      <c r="H621">
        <f>IF($A621="","",IF($D621="V01",Cadrage!$C$23,IF($D621="V02",Cadrage!$D$23,Cadrage!$E$23)))</f>
        <v/>
      </c>
      <c r="I621">
        <f>IF($A621="","",IF($D621="V01",Cadrage!$C$31,IF($D621="V02",Cadrage!$D$31,Cadrage!$E$31)))</f>
        <v/>
      </c>
      <c r="J621">
        <f>IF($A621="","",IF($D621="V01",Cadrage!$C$32,IF($D621="V02",Cadrage!$D$32,Cadrage!$E$32)))</f>
        <v/>
      </c>
      <c r="K621">
        <f>IF($A621="","",IF($D621="V01",Cadrage!$C$33,IF($D621="V02",Cadrage!$D$33,Cadrage!$E$33)))</f>
        <v/>
      </c>
      <c r="L621">
        <f>IF($A621="","",IF($D621="V01",Cadrage!$C$34,IF($D621="V02",Cadrage!$D$34,Cadrage!$E$34)))</f>
        <v/>
      </c>
      <c r="M621">
        <f>IF($A621="","",IF($D621="V01",Cadrage!$C$35,IF($D621="V02",Cadrage!$D$35,Cadrage!$E$35)))</f>
        <v/>
      </c>
      <c r="N621">
        <f>IF($A621="","",IF($D621="V01",$R$2,IF($D621="V02",$R$3,$R$4)))</f>
        <v/>
      </c>
      <c r="O621">
        <f>IF($A621="","",IF(OR($B621="7062",$B621="706",$B621="708"),$N621,IF($B621="6231",1+$G621,IF($B621="6236",1+$H621,IF(OR($B621="621",$B621="604",$B621="6063"),$N621*(1-$L621),IF(OR($B621="6411",$B621="6413",$B621="6414",$B621="645"),(1+$J621)*(1+$K621),IF(OR($B621="613",$B621="615",$B621="616",$B621="6226",$B621="625",$B621="626",$B621="6281"),(1+$I621)*(1-$L621)*(1+$M621),IF(OR($B621="6331",$B621="63511",$B621="6333"),(1+$I621)*(1-$L621),IF($B621="6811",1+$I621,1)))))))))</f>
        <v/>
      </c>
      <c r="P621">
        <f>IF($A621="","",IF($E621=1,$F621*$O621,PNL!G621))</f>
        <v/>
      </c>
      <c r="T621">
        <f>IF($A621="","",IF($E621=1,IF(OR($B621="7062",$B621="706",$B621="708"),$P621,IF(AND(LEFT($B621,1)="6",$B621&lt;&gt;"6811"),-$P621,0)),0))</f>
        <v/>
      </c>
    </row>
    <row r="622">
      <c r="A622">
        <f>IF(PNL!A622="","",PNL!A622)</f>
        <v/>
      </c>
      <c r="B622">
        <f>IF(PNL!B622="","",PNL!B622)</f>
        <v/>
      </c>
      <c r="C622">
        <f>IF(PNL!C622="","",PNL!C622)</f>
        <v/>
      </c>
      <c r="D622">
        <f>IF(PNL!D622="","",PNL!D622)</f>
        <v/>
      </c>
      <c r="E622">
        <f>IF($A622="","",IF(AND($C622="2027",OR($D622="V01",$D622="V02",$D622="V03")),1,0))</f>
        <v/>
      </c>
      <c r="F622">
        <f>IF($A622="","",IF($E622=1,SUMIFS(Comptabilité!$F$1:$F$675,Comptabilité!$A$1:$A$675,$A622,Comptabilité!$B$1:$B$675,$B622,Comptabilité!$C$1:$C$675,"2026"),0))</f>
        <v/>
      </c>
      <c r="G622">
        <f>IF($A622="","",IF($D622="V01",Cadrage!$C$22,IF($D622="V02",Cadrage!$D$22,Cadrage!$E$22)))</f>
        <v/>
      </c>
      <c r="H622">
        <f>IF($A622="","",IF($D622="V01",Cadrage!$C$23,IF($D622="V02",Cadrage!$D$23,Cadrage!$E$23)))</f>
        <v/>
      </c>
      <c r="I622">
        <f>IF($A622="","",IF($D622="V01",Cadrage!$C$31,IF($D622="V02",Cadrage!$D$31,Cadrage!$E$31)))</f>
        <v/>
      </c>
      <c r="J622">
        <f>IF($A622="","",IF($D622="V01",Cadrage!$C$32,IF($D622="V02",Cadrage!$D$32,Cadrage!$E$32)))</f>
        <v/>
      </c>
      <c r="K622">
        <f>IF($A622="","",IF($D622="V01",Cadrage!$C$33,IF($D622="V02",Cadrage!$D$33,Cadrage!$E$33)))</f>
        <v/>
      </c>
      <c r="L622">
        <f>IF($A622="","",IF($D622="V01",Cadrage!$C$34,IF($D622="V02",Cadrage!$D$34,Cadrage!$E$34)))</f>
        <v/>
      </c>
      <c r="M622">
        <f>IF($A622="","",IF($D622="V01",Cadrage!$C$35,IF($D622="V02",Cadrage!$D$35,Cadrage!$E$35)))</f>
        <v/>
      </c>
      <c r="N622">
        <f>IF($A622="","",IF($D622="V01",$R$2,IF($D622="V02",$R$3,$R$4)))</f>
        <v/>
      </c>
      <c r="O622">
        <f>IF($A622="","",IF(OR($B622="7062",$B622="706",$B622="708"),$N622,IF($B622="6231",1+$G622,IF($B622="6236",1+$H622,IF(OR($B622="621",$B622="604",$B622="6063"),$N622*(1-$L622),IF(OR($B622="6411",$B622="6413",$B622="6414",$B622="645"),(1+$J622)*(1+$K622),IF(OR($B622="613",$B622="615",$B622="616",$B622="6226",$B622="625",$B622="626",$B622="6281"),(1+$I622)*(1-$L622)*(1+$M622),IF(OR($B622="6331",$B622="63511",$B622="6333"),(1+$I622)*(1-$L622),IF($B622="6811",1+$I622,1)))))))))</f>
        <v/>
      </c>
      <c r="P622">
        <f>IF($A622="","",IF($E622=1,$F622*$O622,PNL!G622))</f>
        <v/>
      </c>
      <c r="T622">
        <f>IF($A622="","",IF($E622=1,IF(OR($B622="7062",$B622="706",$B622="708"),$P622,IF(AND(LEFT($B622,1)="6",$B622&lt;&gt;"6811"),-$P622,0)),0))</f>
        <v/>
      </c>
    </row>
    <row r="623">
      <c r="A623">
        <f>IF(PNL!A623="","",PNL!A623)</f>
        <v/>
      </c>
      <c r="B623">
        <f>IF(PNL!B623="","",PNL!B623)</f>
        <v/>
      </c>
      <c r="C623">
        <f>IF(PNL!C623="","",PNL!C623)</f>
        <v/>
      </c>
      <c r="D623">
        <f>IF(PNL!D623="","",PNL!D623)</f>
        <v/>
      </c>
      <c r="E623">
        <f>IF($A623="","",IF(AND($C623="2027",OR($D623="V01",$D623="V02",$D623="V03")),1,0))</f>
        <v/>
      </c>
      <c r="F623">
        <f>IF($A623="","",IF($E623=1,SUMIFS(Comptabilité!$F$1:$F$675,Comptabilité!$A$1:$A$675,$A623,Comptabilité!$B$1:$B$675,$B623,Comptabilité!$C$1:$C$675,"2026"),0))</f>
        <v/>
      </c>
      <c r="G623">
        <f>IF($A623="","",IF($D623="V01",Cadrage!$C$22,IF($D623="V02",Cadrage!$D$22,Cadrage!$E$22)))</f>
        <v/>
      </c>
      <c r="H623">
        <f>IF($A623="","",IF($D623="V01",Cadrage!$C$23,IF($D623="V02",Cadrage!$D$23,Cadrage!$E$23)))</f>
        <v/>
      </c>
      <c r="I623">
        <f>IF($A623="","",IF($D623="V01",Cadrage!$C$31,IF($D623="V02",Cadrage!$D$31,Cadrage!$E$31)))</f>
        <v/>
      </c>
      <c r="J623">
        <f>IF($A623="","",IF($D623="V01",Cadrage!$C$32,IF($D623="V02",Cadrage!$D$32,Cadrage!$E$32)))</f>
        <v/>
      </c>
      <c r="K623">
        <f>IF($A623="","",IF($D623="V01",Cadrage!$C$33,IF($D623="V02",Cadrage!$D$33,Cadrage!$E$33)))</f>
        <v/>
      </c>
      <c r="L623">
        <f>IF($A623="","",IF($D623="V01",Cadrage!$C$34,IF($D623="V02",Cadrage!$D$34,Cadrage!$E$34)))</f>
        <v/>
      </c>
      <c r="M623">
        <f>IF($A623="","",IF($D623="V01",Cadrage!$C$35,IF($D623="V02",Cadrage!$D$35,Cadrage!$E$35)))</f>
        <v/>
      </c>
      <c r="N623">
        <f>IF($A623="","",IF($D623="V01",$R$2,IF($D623="V02",$R$3,$R$4)))</f>
        <v/>
      </c>
      <c r="O623">
        <f>IF($A623="","",IF(OR($B623="7062",$B623="706",$B623="708"),$N623,IF($B623="6231",1+$G623,IF($B623="6236",1+$H623,IF(OR($B623="621",$B623="604",$B623="6063"),$N623*(1-$L623),IF(OR($B623="6411",$B623="6413",$B623="6414",$B623="645"),(1+$J623)*(1+$K623),IF(OR($B623="613",$B623="615",$B623="616",$B623="6226",$B623="625",$B623="626",$B623="6281"),(1+$I623)*(1-$L623)*(1+$M623),IF(OR($B623="6331",$B623="63511",$B623="6333"),(1+$I623)*(1-$L623),IF($B623="6811",1+$I623,1)))))))))</f>
        <v/>
      </c>
      <c r="P623">
        <f>IF($A623="","",IF($E623=1,$F623*$O623,PNL!G623))</f>
        <v/>
      </c>
      <c r="T623">
        <f>IF($A623="","",IF($E623=1,IF(OR($B623="7062",$B623="706",$B623="708"),$P623,IF(AND(LEFT($B623,1)="6",$B623&lt;&gt;"6811"),-$P623,0)),0))</f>
        <v/>
      </c>
    </row>
    <row r="624">
      <c r="A624">
        <f>IF(PNL!A624="","",PNL!A624)</f>
        <v/>
      </c>
      <c r="B624">
        <f>IF(PNL!B624="","",PNL!B624)</f>
        <v/>
      </c>
      <c r="C624">
        <f>IF(PNL!C624="","",PNL!C624)</f>
        <v/>
      </c>
      <c r="D624">
        <f>IF(PNL!D624="","",PNL!D624)</f>
        <v/>
      </c>
      <c r="E624">
        <f>IF($A624="","",IF(AND($C624="2027",OR($D624="V01",$D624="V02",$D624="V03")),1,0))</f>
        <v/>
      </c>
      <c r="F624">
        <f>IF($A624="","",IF($E624=1,SUMIFS(Comptabilité!$F$1:$F$675,Comptabilité!$A$1:$A$675,$A624,Comptabilité!$B$1:$B$675,$B624,Comptabilité!$C$1:$C$675,"2026"),0))</f>
        <v/>
      </c>
      <c r="G624">
        <f>IF($A624="","",IF($D624="V01",Cadrage!$C$22,IF($D624="V02",Cadrage!$D$22,Cadrage!$E$22)))</f>
        <v/>
      </c>
      <c r="H624">
        <f>IF($A624="","",IF($D624="V01",Cadrage!$C$23,IF($D624="V02",Cadrage!$D$23,Cadrage!$E$23)))</f>
        <v/>
      </c>
      <c r="I624">
        <f>IF($A624="","",IF($D624="V01",Cadrage!$C$31,IF($D624="V02",Cadrage!$D$31,Cadrage!$E$31)))</f>
        <v/>
      </c>
      <c r="J624">
        <f>IF($A624="","",IF($D624="V01",Cadrage!$C$32,IF($D624="V02",Cadrage!$D$32,Cadrage!$E$32)))</f>
        <v/>
      </c>
      <c r="K624">
        <f>IF($A624="","",IF($D624="V01",Cadrage!$C$33,IF($D624="V02",Cadrage!$D$33,Cadrage!$E$33)))</f>
        <v/>
      </c>
      <c r="L624">
        <f>IF($A624="","",IF($D624="V01",Cadrage!$C$34,IF($D624="V02",Cadrage!$D$34,Cadrage!$E$34)))</f>
        <v/>
      </c>
      <c r="M624">
        <f>IF($A624="","",IF($D624="V01",Cadrage!$C$35,IF($D624="V02",Cadrage!$D$35,Cadrage!$E$35)))</f>
        <v/>
      </c>
      <c r="N624">
        <f>IF($A624="","",IF($D624="V01",$R$2,IF($D624="V02",$R$3,$R$4)))</f>
        <v/>
      </c>
      <c r="O624">
        <f>IF($A624="","",IF(OR($B624="7062",$B624="706",$B624="708"),$N624,IF($B624="6231",1+$G624,IF($B624="6236",1+$H624,IF(OR($B624="621",$B624="604",$B624="6063"),$N624*(1-$L624),IF(OR($B624="6411",$B624="6413",$B624="6414",$B624="645"),(1+$J624)*(1+$K624),IF(OR($B624="613",$B624="615",$B624="616",$B624="6226",$B624="625",$B624="626",$B624="6281"),(1+$I624)*(1-$L624)*(1+$M624),IF(OR($B624="6331",$B624="63511",$B624="6333"),(1+$I624)*(1-$L624),IF($B624="6811",1+$I624,1)))))))))</f>
        <v/>
      </c>
      <c r="P624">
        <f>IF($A624="","",IF($E624=1,$F624*$O624,PNL!G624))</f>
        <v/>
      </c>
      <c r="T624">
        <f>IF($A624="","",IF($E624=1,IF(OR($B624="7062",$B624="706",$B624="708"),$P624,IF(AND(LEFT($B624,1)="6",$B624&lt;&gt;"6811"),-$P624,0)),0))</f>
        <v/>
      </c>
    </row>
    <row r="625">
      <c r="A625">
        <f>IF(PNL!A625="","",PNL!A625)</f>
        <v/>
      </c>
      <c r="B625">
        <f>IF(PNL!B625="","",PNL!B625)</f>
        <v/>
      </c>
      <c r="C625">
        <f>IF(PNL!C625="","",PNL!C625)</f>
        <v/>
      </c>
      <c r="D625">
        <f>IF(PNL!D625="","",PNL!D625)</f>
        <v/>
      </c>
      <c r="E625">
        <f>IF($A625="","",IF(AND($C625="2027",OR($D625="V01",$D625="V02",$D625="V03")),1,0))</f>
        <v/>
      </c>
      <c r="F625">
        <f>IF($A625="","",IF($E625=1,SUMIFS(Comptabilité!$F$1:$F$675,Comptabilité!$A$1:$A$675,$A625,Comptabilité!$B$1:$B$675,$B625,Comptabilité!$C$1:$C$675,"2026"),0))</f>
        <v/>
      </c>
      <c r="G625">
        <f>IF($A625="","",IF($D625="V01",Cadrage!$C$22,IF($D625="V02",Cadrage!$D$22,Cadrage!$E$22)))</f>
        <v/>
      </c>
      <c r="H625">
        <f>IF($A625="","",IF($D625="V01",Cadrage!$C$23,IF($D625="V02",Cadrage!$D$23,Cadrage!$E$23)))</f>
        <v/>
      </c>
      <c r="I625">
        <f>IF($A625="","",IF($D625="V01",Cadrage!$C$31,IF($D625="V02",Cadrage!$D$31,Cadrage!$E$31)))</f>
        <v/>
      </c>
      <c r="J625">
        <f>IF($A625="","",IF($D625="V01",Cadrage!$C$32,IF($D625="V02",Cadrage!$D$32,Cadrage!$E$32)))</f>
        <v/>
      </c>
      <c r="K625">
        <f>IF($A625="","",IF($D625="V01",Cadrage!$C$33,IF($D625="V02",Cadrage!$D$33,Cadrage!$E$33)))</f>
        <v/>
      </c>
      <c r="L625">
        <f>IF($A625="","",IF($D625="V01",Cadrage!$C$34,IF($D625="V02",Cadrage!$D$34,Cadrage!$E$34)))</f>
        <v/>
      </c>
      <c r="M625">
        <f>IF($A625="","",IF($D625="V01",Cadrage!$C$35,IF($D625="V02",Cadrage!$D$35,Cadrage!$E$35)))</f>
        <v/>
      </c>
      <c r="N625">
        <f>IF($A625="","",IF($D625="V01",$R$2,IF($D625="V02",$R$3,$R$4)))</f>
        <v/>
      </c>
      <c r="O625">
        <f>IF($A625="","",IF(OR($B625="7062",$B625="706",$B625="708"),$N625,IF($B625="6231",1+$G625,IF($B625="6236",1+$H625,IF(OR($B625="621",$B625="604",$B625="6063"),$N625*(1-$L625),IF(OR($B625="6411",$B625="6413",$B625="6414",$B625="645"),(1+$J625)*(1+$K625),IF(OR($B625="613",$B625="615",$B625="616",$B625="6226",$B625="625",$B625="626",$B625="6281"),(1+$I625)*(1-$L625)*(1+$M625),IF(OR($B625="6331",$B625="63511",$B625="6333"),(1+$I625)*(1-$L625),IF($B625="6811",1+$I625,1)))))))))</f>
        <v/>
      </c>
      <c r="P625">
        <f>IF($A625="","",IF($E625=1,$F625*$O625,PNL!G625))</f>
        <v/>
      </c>
      <c r="T625">
        <f>IF($A625="","",IF($E625=1,IF(OR($B625="7062",$B625="706",$B625="708"),$P625,IF(AND(LEFT($B625,1)="6",$B625&lt;&gt;"6811"),-$P625,0)),0))</f>
        <v/>
      </c>
    </row>
    <row r="626">
      <c r="A626">
        <f>IF(PNL!A626="","",PNL!A626)</f>
        <v/>
      </c>
      <c r="B626">
        <f>IF(PNL!B626="","",PNL!B626)</f>
        <v/>
      </c>
      <c r="C626">
        <f>IF(PNL!C626="","",PNL!C626)</f>
        <v/>
      </c>
      <c r="D626">
        <f>IF(PNL!D626="","",PNL!D626)</f>
        <v/>
      </c>
      <c r="E626">
        <f>IF($A626="","",IF(AND($C626="2027",OR($D626="V01",$D626="V02",$D626="V03")),1,0))</f>
        <v/>
      </c>
      <c r="F626">
        <f>IF($A626="","",IF($E626=1,SUMIFS(Comptabilité!$F$1:$F$675,Comptabilité!$A$1:$A$675,$A626,Comptabilité!$B$1:$B$675,$B626,Comptabilité!$C$1:$C$675,"2026"),0))</f>
        <v/>
      </c>
      <c r="G626">
        <f>IF($A626="","",IF($D626="V01",Cadrage!$C$22,IF($D626="V02",Cadrage!$D$22,Cadrage!$E$22)))</f>
        <v/>
      </c>
      <c r="H626">
        <f>IF($A626="","",IF($D626="V01",Cadrage!$C$23,IF($D626="V02",Cadrage!$D$23,Cadrage!$E$23)))</f>
        <v/>
      </c>
      <c r="I626">
        <f>IF($A626="","",IF($D626="V01",Cadrage!$C$31,IF($D626="V02",Cadrage!$D$31,Cadrage!$E$31)))</f>
        <v/>
      </c>
      <c r="J626">
        <f>IF($A626="","",IF($D626="V01",Cadrage!$C$32,IF($D626="V02",Cadrage!$D$32,Cadrage!$E$32)))</f>
        <v/>
      </c>
      <c r="K626">
        <f>IF($A626="","",IF($D626="V01",Cadrage!$C$33,IF($D626="V02",Cadrage!$D$33,Cadrage!$E$33)))</f>
        <v/>
      </c>
      <c r="L626">
        <f>IF($A626="","",IF($D626="V01",Cadrage!$C$34,IF($D626="V02",Cadrage!$D$34,Cadrage!$E$34)))</f>
        <v/>
      </c>
      <c r="M626">
        <f>IF($A626="","",IF($D626="V01",Cadrage!$C$35,IF($D626="V02",Cadrage!$D$35,Cadrage!$E$35)))</f>
        <v/>
      </c>
      <c r="N626">
        <f>IF($A626="","",IF($D626="V01",$R$2,IF($D626="V02",$R$3,$R$4)))</f>
        <v/>
      </c>
      <c r="O626">
        <f>IF($A626="","",IF(OR($B626="7062",$B626="706",$B626="708"),$N626,IF($B626="6231",1+$G626,IF($B626="6236",1+$H626,IF(OR($B626="621",$B626="604",$B626="6063"),$N626*(1-$L626),IF(OR($B626="6411",$B626="6413",$B626="6414",$B626="645"),(1+$J626)*(1+$K626),IF(OR($B626="613",$B626="615",$B626="616",$B626="6226",$B626="625",$B626="626",$B626="6281"),(1+$I626)*(1-$L626)*(1+$M626),IF(OR($B626="6331",$B626="63511",$B626="6333"),(1+$I626)*(1-$L626),IF($B626="6811",1+$I626,1)))))))))</f>
        <v/>
      </c>
      <c r="P626">
        <f>IF($A626="","",IF($E626=1,$F626*$O626,PNL!G626))</f>
        <v/>
      </c>
      <c r="T626">
        <f>IF($A626="","",IF($E626=1,IF(OR($B626="7062",$B626="706",$B626="708"),$P626,IF(AND(LEFT($B626,1)="6",$B626&lt;&gt;"6811"),-$P626,0)),0))</f>
        <v/>
      </c>
    </row>
    <row r="627">
      <c r="A627">
        <f>IF(PNL!A627="","",PNL!A627)</f>
        <v/>
      </c>
      <c r="B627">
        <f>IF(PNL!B627="","",PNL!B627)</f>
        <v/>
      </c>
      <c r="C627">
        <f>IF(PNL!C627="","",PNL!C627)</f>
        <v/>
      </c>
      <c r="D627">
        <f>IF(PNL!D627="","",PNL!D627)</f>
        <v/>
      </c>
      <c r="E627">
        <f>IF($A627="","",IF(AND($C627="2027",OR($D627="V01",$D627="V02",$D627="V03")),1,0))</f>
        <v/>
      </c>
      <c r="F627">
        <f>IF($A627="","",IF($E627=1,SUMIFS(Comptabilité!$F$1:$F$675,Comptabilité!$A$1:$A$675,$A627,Comptabilité!$B$1:$B$675,$B627,Comptabilité!$C$1:$C$675,"2026"),0))</f>
        <v/>
      </c>
      <c r="G627">
        <f>IF($A627="","",IF($D627="V01",Cadrage!$C$22,IF($D627="V02",Cadrage!$D$22,Cadrage!$E$22)))</f>
        <v/>
      </c>
      <c r="H627">
        <f>IF($A627="","",IF($D627="V01",Cadrage!$C$23,IF($D627="V02",Cadrage!$D$23,Cadrage!$E$23)))</f>
        <v/>
      </c>
      <c r="I627">
        <f>IF($A627="","",IF($D627="V01",Cadrage!$C$31,IF($D627="V02",Cadrage!$D$31,Cadrage!$E$31)))</f>
        <v/>
      </c>
      <c r="J627">
        <f>IF($A627="","",IF($D627="V01",Cadrage!$C$32,IF($D627="V02",Cadrage!$D$32,Cadrage!$E$32)))</f>
        <v/>
      </c>
      <c r="K627">
        <f>IF($A627="","",IF($D627="V01",Cadrage!$C$33,IF($D627="V02",Cadrage!$D$33,Cadrage!$E$33)))</f>
        <v/>
      </c>
      <c r="L627">
        <f>IF($A627="","",IF($D627="V01",Cadrage!$C$34,IF($D627="V02",Cadrage!$D$34,Cadrage!$E$34)))</f>
        <v/>
      </c>
      <c r="M627">
        <f>IF($A627="","",IF($D627="V01",Cadrage!$C$35,IF($D627="V02",Cadrage!$D$35,Cadrage!$E$35)))</f>
        <v/>
      </c>
      <c r="N627">
        <f>IF($A627="","",IF($D627="V01",$R$2,IF($D627="V02",$R$3,$R$4)))</f>
        <v/>
      </c>
      <c r="O627">
        <f>IF($A627="","",IF(OR($B627="7062",$B627="706",$B627="708"),$N627,IF($B627="6231",1+$G627,IF($B627="6236",1+$H627,IF(OR($B627="621",$B627="604",$B627="6063"),$N627*(1-$L627),IF(OR($B627="6411",$B627="6413",$B627="6414",$B627="645"),(1+$J627)*(1+$K627),IF(OR($B627="613",$B627="615",$B627="616",$B627="6226",$B627="625",$B627="626",$B627="6281"),(1+$I627)*(1-$L627)*(1+$M627),IF(OR($B627="6331",$B627="63511",$B627="6333"),(1+$I627)*(1-$L627),IF($B627="6811",1+$I627,1)))))))))</f>
        <v/>
      </c>
      <c r="P627">
        <f>IF($A627="","",IF($E627=1,$F627*$O627,PNL!G627))</f>
        <v/>
      </c>
      <c r="T627">
        <f>IF($A627="","",IF($E627=1,IF(OR($B627="7062",$B627="706",$B627="708"),$P627,IF(AND(LEFT($B627,1)="6",$B627&lt;&gt;"6811"),-$P627,0)),0))</f>
        <v/>
      </c>
    </row>
    <row r="628">
      <c r="A628">
        <f>IF(PNL!A628="","",PNL!A628)</f>
        <v/>
      </c>
      <c r="B628">
        <f>IF(PNL!B628="","",PNL!B628)</f>
        <v/>
      </c>
      <c r="C628">
        <f>IF(PNL!C628="","",PNL!C628)</f>
        <v/>
      </c>
      <c r="D628">
        <f>IF(PNL!D628="","",PNL!D628)</f>
        <v/>
      </c>
      <c r="E628">
        <f>IF($A628="","",IF(AND($C628="2027",OR($D628="V01",$D628="V02",$D628="V03")),1,0))</f>
        <v/>
      </c>
      <c r="F628">
        <f>IF($A628="","",IF($E628=1,SUMIFS(Comptabilité!$F$1:$F$675,Comptabilité!$A$1:$A$675,$A628,Comptabilité!$B$1:$B$675,$B628,Comptabilité!$C$1:$C$675,"2026"),0))</f>
        <v/>
      </c>
      <c r="G628">
        <f>IF($A628="","",IF($D628="V01",Cadrage!$C$22,IF($D628="V02",Cadrage!$D$22,Cadrage!$E$22)))</f>
        <v/>
      </c>
      <c r="H628">
        <f>IF($A628="","",IF($D628="V01",Cadrage!$C$23,IF($D628="V02",Cadrage!$D$23,Cadrage!$E$23)))</f>
        <v/>
      </c>
      <c r="I628">
        <f>IF($A628="","",IF($D628="V01",Cadrage!$C$31,IF($D628="V02",Cadrage!$D$31,Cadrage!$E$31)))</f>
        <v/>
      </c>
      <c r="J628">
        <f>IF($A628="","",IF($D628="V01",Cadrage!$C$32,IF($D628="V02",Cadrage!$D$32,Cadrage!$E$32)))</f>
        <v/>
      </c>
      <c r="K628">
        <f>IF($A628="","",IF($D628="V01",Cadrage!$C$33,IF($D628="V02",Cadrage!$D$33,Cadrage!$E$33)))</f>
        <v/>
      </c>
      <c r="L628">
        <f>IF($A628="","",IF($D628="V01",Cadrage!$C$34,IF($D628="V02",Cadrage!$D$34,Cadrage!$E$34)))</f>
        <v/>
      </c>
      <c r="M628">
        <f>IF($A628="","",IF($D628="V01",Cadrage!$C$35,IF($D628="V02",Cadrage!$D$35,Cadrage!$E$35)))</f>
        <v/>
      </c>
      <c r="N628">
        <f>IF($A628="","",IF($D628="V01",$R$2,IF($D628="V02",$R$3,$R$4)))</f>
        <v/>
      </c>
      <c r="O628">
        <f>IF($A628="","",IF(OR($B628="7062",$B628="706",$B628="708"),$N628,IF($B628="6231",1+$G628,IF($B628="6236",1+$H628,IF(OR($B628="621",$B628="604",$B628="6063"),$N628*(1-$L628),IF(OR($B628="6411",$B628="6413",$B628="6414",$B628="645"),(1+$J628)*(1+$K628),IF(OR($B628="613",$B628="615",$B628="616",$B628="6226",$B628="625",$B628="626",$B628="6281"),(1+$I628)*(1-$L628)*(1+$M628),IF(OR($B628="6331",$B628="63511",$B628="6333"),(1+$I628)*(1-$L628),IF($B628="6811",1+$I628,1)))))))))</f>
        <v/>
      </c>
      <c r="P628">
        <f>IF($A628="","",IF($E628=1,$F628*$O628,PNL!G628))</f>
        <v/>
      </c>
      <c r="T628">
        <f>IF($A628="","",IF($E628=1,IF(OR($B628="7062",$B628="706",$B628="708"),$P628,IF(AND(LEFT($B628,1)="6",$B628&lt;&gt;"6811"),-$P628,0)),0))</f>
        <v/>
      </c>
    </row>
    <row r="629">
      <c r="A629">
        <f>IF(PNL!A629="","",PNL!A629)</f>
        <v/>
      </c>
      <c r="B629">
        <f>IF(PNL!B629="","",PNL!B629)</f>
        <v/>
      </c>
      <c r="C629">
        <f>IF(PNL!C629="","",PNL!C629)</f>
        <v/>
      </c>
      <c r="D629">
        <f>IF(PNL!D629="","",PNL!D629)</f>
        <v/>
      </c>
      <c r="E629">
        <f>IF($A629="","",IF(AND($C629="2027",OR($D629="V01",$D629="V02",$D629="V03")),1,0))</f>
        <v/>
      </c>
      <c r="F629">
        <f>IF($A629="","",IF($E629=1,SUMIFS(Comptabilité!$F$1:$F$675,Comptabilité!$A$1:$A$675,$A629,Comptabilité!$B$1:$B$675,$B629,Comptabilité!$C$1:$C$675,"2026"),0))</f>
        <v/>
      </c>
      <c r="G629">
        <f>IF($A629="","",IF($D629="V01",Cadrage!$C$22,IF($D629="V02",Cadrage!$D$22,Cadrage!$E$22)))</f>
        <v/>
      </c>
      <c r="H629">
        <f>IF($A629="","",IF($D629="V01",Cadrage!$C$23,IF($D629="V02",Cadrage!$D$23,Cadrage!$E$23)))</f>
        <v/>
      </c>
      <c r="I629">
        <f>IF($A629="","",IF($D629="V01",Cadrage!$C$31,IF($D629="V02",Cadrage!$D$31,Cadrage!$E$31)))</f>
        <v/>
      </c>
      <c r="J629">
        <f>IF($A629="","",IF($D629="V01",Cadrage!$C$32,IF($D629="V02",Cadrage!$D$32,Cadrage!$E$32)))</f>
        <v/>
      </c>
      <c r="K629">
        <f>IF($A629="","",IF($D629="V01",Cadrage!$C$33,IF($D629="V02",Cadrage!$D$33,Cadrage!$E$33)))</f>
        <v/>
      </c>
      <c r="L629">
        <f>IF($A629="","",IF($D629="V01",Cadrage!$C$34,IF($D629="V02",Cadrage!$D$34,Cadrage!$E$34)))</f>
        <v/>
      </c>
      <c r="M629">
        <f>IF($A629="","",IF($D629="V01",Cadrage!$C$35,IF($D629="V02",Cadrage!$D$35,Cadrage!$E$35)))</f>
        <v/>
      </c>
      <c r="N629">
        <f>IF($A629="","",IF($D629="V01",$R$2,IF($D629="V02",$R$3,$R$4)))</f>
        <v/>
      </c>
      <c r="O629">
        <f>IF($A629="","",IF(OR($B629="7062",$B629="706",$B629="708"),$N629,IF($B629="6231",1+$G629,IF($B629="6236",1+$H629,IF(OR($B629="621",$B629="604",$B629="6063"),$N629*(1-$L629),IF(OR($B629="6411",$B629="6413",$B629="6414",$B629="645"),(1+$J629)*(1+$K629),IF(OR($B629="613",$B629="615",$B629="616",$B629="6226",$B629="625",$B629="626",$B629="6281"),(1+$I629)*(1-$L629)*(1+$M629),IF(OR($B629="6331",$B629="63511",$B629="6333"),(1+$I629)*(1-$L629),IF($B629="6811",1+$I629,1)))))))))</f>
        <v/>
      </c>
      <c r="P629">
        <f>IF($A629="","",IF($E629=1,$F629*$O629,PNL!G629))</f>
        <v/>
      </c>
      <c r="T629">
        <f>IF($A629="","",IF($E629=1,IF(OR($B629="7062",$B629="706",$B629="708"),$P629,IF(AND(LEFT($B629,1)="6",$B629&lt;&gt;"6811"),-$P629,0)),0))</f>
        <v/>
      </c>
    </row>
    <row r="630">
      <c r="A630">
        <f>IF(PNL!A630="","",PNL!A630)</f>
        <v/>
      </c>
      <c r="B630">
        <f>IF(PNL!B630="","",PNL!B630)</f>
        <v/>
      </c>
      <c r="C630">
        <f>IF(PNL!C630="","",PNL!C630)</f>
        <v/>
      </c>
      <c r="D630">
        <f>IF(PNL!D630="","",PNL!D630)</f>
        <v/>
      </c>
      <c r="E630">
        <f>IF($A630="","",IF(AND($C630="2027",OR($D630="V01",$D630="V02",$D630="V03")),1,0))</f>
        <v/>
      </c>
      <c r="F630">
        <f>IF($A630="","",IF($E630=1,SUMIFS(Comptabilité!$F$1:$F$675,Comptabilité!$A$1:$A$675,$A630,Comptabilité!$B$1:$B$675,$B630,Comptabilité!$C$1:$C$675,"2026"),0))</f>
        <v/>
      </c>
      <c r="G630">
        <f>IF($A630="","",IF($D630="V01",Cadrage!$C$22,IF($D630="V02",Cadrage!$D$22,Cadrage!$E$22)))</f>
        <v/>
      </c>
      <c r="H630">
        <f>IF($A630="","",IF($D630="V01",Cadrage!$C$23,IF($D630="V02",Cadrage!$D$23,Cadrage!$E$23)))</f>
        <v/>
      </c>
      <c r="I630">
        <f>IF($A630="","",IF($D630="V01",Cadrage!$C$31,IF($D630="V02",Cadrage!$D$31,Cadrage!$E$31)))</f>
        <v/>
      </c>
      <c r="J630">
        <f>IF($A630="","",IF($D630="V01",Cadrage!$C$32,IF($D630="V02",Cadrage!$D$32,Cadrage!$E$32)))</f>
        <v/>
      </c>
      <c r="K630">
        <f>IF($A630="","",IF($D630="V01",Cadrage!$C$33,IF($D630="V02",Cadrage!$D$33,Cadrage!$E$33)))</f>
        <v/>
      </c>
      <c r="L630">
        <f>IF($A630="","",IF($D630="V01",Cadrage!$C$34,IF($D630="V02",Cadrage!$D$34,Cadrage!$E$34)))</f>
        <v/>
      </c>
      <c r="M630">
        <f>IF($A630="","",IF($D630="V01",Cadrage!$C$35,IF($D630="V02",Cadrage!$D$35,Cadrage!$E$35)))</f>
        <v/>
      </c>
      <c r="N630">
        <f>IF($A630="","",IF($D630="V01",$R$2,IF($D630="V02",$R$3,$R$4)))</f>
        <v/>
      </c>
      <c r="O630">
        <f>IF($A630="","",IF(OR($B630="7062",$B630="706",$B630="708"),$N630,IF($B630="6231",1+$G630,IF($B630="6236",1+$H630,IF(OR($B630="621",$B630="604",$B630="6063"),$N630*(1-$L630),IF(OR($B630="6411",$B630="6413",$B630="6414",$B630="645"),(1+$J630)*(1+$K630),IF(OR($B630="613",$B630="615",$B630="616",$B630="6226",$B630="625",$B630="626",$B630="6281"),(1+$I630)*(1-$L630)*(1+$M630),IF(OR($B630="6331",$B630="63511",$B630="6333"),(1+$I630)*(1-$L630),IF($B630="6811",1+$I630,1)))))))))</f>
        <v/>
      </c>
      <c r="P630">
        <f>IF($A630="","",IF($E630=1,$F630*$O630,PNL!G630))</f>
        <v/>
      </c>
      <c r="T630">
        <f>IF($A630="","",IF($E630=1,IF(OR($B630="7062",$B630="706",$B630="708"),$P630,IF(AND(LEFT($B630,1)="6",$B630&lt;&gt;"6811"),-$P630,0)),0))</f>
        <v/>
      </c>
    </row>
    <row r="631">
      <c r="A631">
        <f>IF(PNL!A631="","",PNL!A631)</f>
        <v/>
      </c>
      <c r="B631">
        <f>IF(PNL!B631="","",PNL!B631)</f>
        <v/>
      </c>
      <c r="C631">
        <f>IF(PNL!C631="","",PNL!C631)</f>
        <v/>
      </c>
      <c r="D631">
        <f>IF(PNL!D631="","",PNL!D631)</f>
        <v/>
      </c>
      <c r="E631">
        <f>IF($A631="","",IF(AND($C631="2027",OR($D631="V01",$D631="V02",$D631="V03")),1,0))</f>
        <v/>
      </c>
      <c r="F631">
        <f>IF($A631="","",IF($E631=1,SUMIFS(Comptabilité!$F$1:$F$675,Comptabilité!$A$1:$A$675,$A631,Comptabilité!$B$1:$B$675,$B631,Comptabilité!$C$1:$C$675,"2026"),0))</f>
        <v/>
      </c>
      <c r="G631">
        <f>IF($A631="","",IF($D631="V01",Cadrage!$C$22,IF($D631="V02",Cadrage!$D$22,Cadrage!$E$22)))</f>
        <v/>
      </c>
      <c r="H631">
        <f>IF($A631="","",IF($D631="V01",Cadrage!$C$23,IF($D631="V02",Cadrage!$D$23,Cadrage!$E$23)))</f>
        <v/>
      </c>
      <c r="I631">
        <f>IF($A631="","",IF($D631="V01",Cadrage!$C$31,IF($D631="V02",Cadrage!$D$31,Cadrage!$E$31)))</f>
        <v/>
      </c>
      <c r="J631">
        <f>IF($A631="","",IF($D631="V01",Cadrage!$C$32,IF($D631="V02",Cadrage!$D$32,Cadrage!$E$32)))</f>
        <v/>
      </c>
      <c r="K631">
        <f>IF($A631="","",IF($D631="V01",Cadrage!$C$33,IF($D631="V02",Cadrage!$D$33,Cadrage!$E$33)))</f>
        <v/>
      </c>
      <c r="L631">
        <f>IF($A631="","",IF($D631="V01",Cadrage!$C$34,IF($D631="V02",Cadrage!$D$34,Cadrage!$E$34)))</f>
        <v/>
      </c>
      <c r="M631">
        <f>IF($A631="","",IF($D631="V01",Cadrage!$C$35,IF($D631="V02",Cadrage!$D$35,Cadrage!$E$35)))</f>
        <v/>
      </c>
      <c r="N631">
        <f>IF($A631="","",IF($D631="V01",$R$2,IF($D631="V02",$R$3,$R$4)))</f>
        <v/>
      </c>
      <c r="O631">
        <f>IF($A631="","",IF(OR($B631="7062",$B631="706",$B631="708"),$N631,IF($B631="6231",1+$G631,IF($B631="6236",1+$H631,IF(OR($B631="621",$B631="604",$B631="6063"),$N631*(1-$L631),IF(OR($B631="6411",$B631="6413",$B631="6414",$B631="645"),(1+$J631)*(1+$K631),IF(OR($B631="613",$B631="615",$B631="616",$B631="6226",$B631="625",$B631="626",$B631="6281"),(1+$I631)*(1-$L631)*(1+$M631),IF(OR($B631="6331",$B631="63511",$B631="6333"),(1+$I631)*(1-$L631),IF($B631="6811",1+$I631,1)))))))))</f>
        <v/>
      </c>
      <c r="P631">
        <f>IF($A631="","",IF($E631=1,$F631*$O631,PNL!G631))</f>
        <v/>
      </c>
      <c r="T631">
        <f>IF($A631="","",IF($E631=1,IF(OR($B631="7062",$B631="706",$B631="708"),$P631,IF(AND(LEFT($B631,1)="6",$B631&lt;&gt;"6811"),-$P631,0)),0))</f>
        <v/>
      </c>
    </row>
    <row r="632">
      <c r="A632">
        <f>IF(PNL!A632="","",PNL!A632)</f>
        <v/>
      </c>
      <c r="B632">
        <f>IF(PNL!B632="","",PNL!B632)</f>
        <v/>
      </c>
      <c r="C632">
        <f>IF(PNL!C632="","",PNL!C632)</f>
        <v/>
      </c>
      <c r="D632">
        <f>IF(PNL!D632="","",PNL!D632)</f>
        <v/>
      </c>
      <c r="E632">
        <f>IF($A632="","",IF(AND($C632="2027",OR($D632="V01",$D632="V02",$D632="V03")),1,0))</f>
        <v/>
      </c>
      <c r="F632">
        <f>IF($A632="","",IF($E632=1,SUMIFS(Comptabilité!$F$1:$F$675,Comptabilité!$A$1:$A$675,$A632,Comptabilité!$B$1:$B$675,$B632,Comptabilité!$C$1:$C$675,"2026"),0))</f>
        <v/>
      </c>
      <c r="G632">
        <f>IF($A632="","",IF($D632="V01",Cadrage!$C$22,IF($D632="V02",Cadrage!$D$22,Cadrage!$E$22)))</f>
        <v/>
      </c>
      <c r="H632">
        <f>IF($A632="","",IF($D632="V01",Cadrage!$C$23,IF($D632="V02",Cadrage!$D$23,Cadrage!$E$23)))</f>
        <v/>
      </c>
      <c r="I632">
        <f>IF($A632="","",IF($D632="V01",Cadrage!$C$31,IF($D632="V02",Cadrage!$D$31,Cadrage!$E$31)))</f>
        <v/>
      </c>
      <c r="J632">
        <f>IF($A632="","",IF($D632="V01",Cadrage!$C$32,IF($D632="V02",Cadrage!$D$32,Cadrage!$E$32)))</f>
        <v/>
      </c>
      <c r="K632">
        <f>IF($A632="","",IF($D632="V01",Cadrage!$C$33,IF($D632="V02",Cadrage!$D$33,Cadrage!$E$33)))</f>
        <v/>
      </c>
      <c r="L632">
        <f>IF($A632="","",IF($D632="V01",Cadrage!$C$34,IF($D632="V02",Cadrage!$D$34,Cadrage!$E$34)))</f>
        <v/>
      </c>
      <c r="M632">
        <f>IF($A632="","",IF($D632="V01",Cadrage!$C$35,IF($D632="V02",Cadrage!$D$35,Cadrage!$E$35)))</f>
        <v/>
      </c>
      <c r="N632">
        <f>IF($A632="","",IF($D632="V01",$R$2,IF($D632="V02",$R$3,$R$4)))</f>
        <v/>
      </c>
      <c r="O632">
        <f>IF($A632="","",IF(OR($B632="7062",$B632="706",$B632="708"),$N632,IF($B632="6231",1+$G632,IF($B632="6236",1+$H632,IF(OR($B632="621",$B632="604",$B632="6063"),$N632*(1-$L632),IF(OR($B632="6411",$B632="6413",$B632="6414",$B632="645"),(1+$J632)*(1+$K632),IF(OR($B632="613",$B632="615",$B632="616",$B632="6226",$B632="625",$B632="626",$B632="6281"),(1+$I632)*(1-$L632)*(1+$M632),IF(OR($B632="6331",$B632="63511",$B632="6333"),(1+$I632)*(1-$L632),IF($B632="6811",1+$I632,1)))))))))</f>
        <v/>
      </c>
      <c r="P632">
        <f>IF($A632="","",IF($E632=1,$F632*$O632,PNL!G632))</f>
        <v/>
      </c>
      <c r="T632">
        <f>IF($A632="","",IF($E632=1,IF(OR($B632="7062",$B632="706",$B632="708"),$P632,IF(AND(LEFT($B632,1)="6",$B632&lt;&gt;"6811"),-$P632,0)),0))</f>
        <v/>
      </c>
    </row>
    <row r="633">
      <c r="A633">
        <f>IF(PNL!A633="","",PNL!A633)</f>
        <v/>
      </c>
      <c r="B633">
        <f>IF(PNL!B633="","",PNL!B633)</f>
        <v/>
      </c>
      <c r="C633">
        <f>IF(PNL!C633="","",PNL!C633)</f>
        <v/>
      </c>
      <c r="D633">
        <f>IF(PNL!D633="","",PNL!D633)</f>
        <v/>
      </c>
      <c r="E633">
        <f>IF($A633="","",IF(AND($C633="2027",OR($D633="V01",$D633="V02",$D633="V03")),1,0))</f>
        <v/>
      </c>
      <c r="F633">
        <f>IF($A633="","",IF($E633=1,SUMIFS(Comptabilité!$F$1:$F$675,Comptabilité!$A$1:$A$675,$A633,Comptabilité!$B$1:$B$675,$B633,Comptabilité!$C$1:$C$675,"2026"),0))</f>
        <v/>
      </c>
      <c r="G633">
        <f>IF($A633="","",IF($D633="V01",Cadrage!$C$22,IF($D633="V02",Cadrage!$D$22,Cadrage!$E$22)))</f>
        <v/>
      </c>
      <c r="H633">
        <f>IF($A633="","",IF($D633="V01",Cadrage!$C$23,IF($D633="V02",Cadrage!$D$23,Cadrage!$E$23)))</f>
        <v/>
      </c>
      <c r="I633">
        <f>IF($A633="","",IF($D633="V01",Cadrage!$C$31,IF($D633="V02",Cadrage!$D$31,Cadrage!$E$31)))</f>
        <v/>
      </c>
      <c r="J633">
        <f>IF($A633="","",IF($D633="V01",Cadrage!$C$32,IF($D633="V02",Cadrage!$D$32,Cadrage!$E$32)))</f>
        <v/>
      </c>
      <c r="K633">
        <f>IF($A633="","",IF($D633="V01",Cadrage!$C$33,IF($D633="V02",Cadrage!$D$33,Cadrage!$E$33)))</f>
        <v/>
      </c>
      <c r="L633">
        <f>IF($A633="","",IF($D633="V01",Cadrage!$C$34,IF($D633="V02",Cadrage!$D$34,Cadrage!$E$34)))</f>
        <v/>
      </c>
      <c r="M633">
        <f>IF($A633="","",IF($D633="V01",Cadrage!$C$35,IF($D633="V02",Cadrage!$D$35,Cadrage!$E$35)))</f>
        <v/>
      </c>
      <c r="N633">
        <f>IF($A633="","",IF($D633="V01",$R$2,IF($D633="V02",$R$3,$R$4)))</f>
        <v/>
      </c>
      <c r="O633">
        <f>IF($A633="","",IF(OR($B633="7062",$B633="706",$B633="708"),$N633,IF($B633="6231",1+$G633,IF($B633="6236",1+$H633,IF(OR($B633="621",$B633="604",$B633="6063"),$N633*(1-$L633),IF(OR($B633="6411",$B633="6413",$B633="6414",$B633="645"),(1+$J633)*(1+$K633),IF(OR($B633="613",$B633="615",$B633="616",$B633="6226",$B633="625",$B633="626",$B633="6281"),(1+$I633)*(1-$L633)*(1+$M633),IF(OR($B633="6331",$B633="63511",$B633="6333"),(1+$I633)*(1-$L633),IF($B633="6811",1+$I633,1)))))))))</f>
        <v/>
      </c>
      <c r="P633">
        <f>IF($A633="","",IF($E633=1,$F633*$O633,PNL!G633))</f>
        <v/>
      </c>
      <c r="T633">
        <f>IF($A633="","",IF($E633=1,IF(OR($B633="7062",$B633="706",$B633="708"),$P633,IF(AND(LEFT($B633,1)="6",$B633&lt;&gt;"6811"),-$P633,0)),0))</f>
        <v/>
      </c>
    </row>
    <row r="634">
      <c r="A634">
        <f>IF(PNL!A634="","",PNL!A634)</f>
        <v/>
      </c>
      <c r="B634">
        <f>IF(PNL!B634="","",PNL!B634)</f>
        <v/>
      </c>
      <c r="C634">
        <f>IF(PNL!C634="","",PNL!C634)</f>
        <v/>
      </c>
      <c r="D634">
        <f>IF(PNL!D634="","",PNL!D634)</f>
        <v/>
      </c>
      <c r="E634">
        <f>IF($A634="","",IF(AND($C634="2027",OR($D634="V01",$D634="V02",$D634="V03")),1,0))</f>
        <v/>
      </c>
      <c r="F634">
        <f>IF($A634="","",IF($E634=1,SUMIFS(Comptabilité!$F$1:$F$675,Comptabilité!$A$1:$A$675,$A634,Comptabilité!$B$1:$B$675,$B634,Comptabilité!$C$1:$C$675,"2026"),0))</f>
        <v/>
      </c>
      <c r="G634">
        <f>IF($A634="","",IF($D634="V01",Cadrage!$C$22,IF($D634="V02",Cadrage!$D$22,Cadrage!$E$22)))</f>
        <v/>
      </c>
      <c r="H634">
        <f>IF($A634="","",IF($D634="V01",Cadrage!$C$23,IF($D634="V02",Cadrage!$D$23,Cadrage!$E$23)))</f>
        <v/>
      </c>
      <c r="I634">
        <f>IF($A634="","",IF($D634="V01",Cadrage!$C$31,IF($D634="V02",Cadrage!$D$31,Cadrage!$E$31)))</f>
        <v/>
      </c>
      <c r="J634">
        <f>IF($A634="","",IF($D634="V01",Cadrage!$C$32,IF($D634="V02",Cadrage!$D$32,Cadrage!$E$32)))</f>
        <v/>
      </c>
      <c r="K634">
        <f>IF($A634="","",IF($D634="V01",Cadrage!$C$33,IF($D634="V02",Cadrage!$D$33,Cadrage!$E$33)))</f>
        <v/>
      </c>
      <c r="L634">
        <f>IF($A634="","",IF($D634="V01",Cadrage!$C$34,IF($D634="V02",Cadrage!$D$34,Cadrage!$E$34)))</f>
        <v/>
      </c>
      <c r="M634">
        <f>IF($A634="","",IF($D634="V01",Cadrage!$C$35,IF($D634="V02",Cadrage!$D$35,Cadrage!$E$35)))</f>
        <v/>
      </c>
      <c r="N634">
        <f>IF($A634="","",IF($D634="V01",$R$2,IF($D634="V02",$R$3,$R$4)))</f>
        <v/>
      </c>
      <c r="O634">
        <f>IF($A634="","",IF(OR($B634="7062",$B634="706",$B634="708"),$N634,IF($B634="6231",1+$G634,IF($B634="6236",1+$H634,IF(OR($B634="621",$B634="604",$B634="6063"),$N634*(1-$L634),IF(OR($B634="6411",$B634="6413",$B634="6414",$B634="645"),(1+$J634)*(1+$K634),IF(OR($B634="613",$B634="615",$B634="616",$B634="6226",$B634="625",$B634="626",$B634="6281"),(1+$I634)*(1-$L634)*(1+$M634),IF(OR($B634="6331",$B634="63511",$B634="6333"),(1+$I634)*(1-$L634),IF($B634="6811",1+$I634,1)))))))))</f>
        <v/>
      </c>
      <c r="P634">
        <f>IF($A634="","",IF($E634=1,$F634*$O634,PNL!G634))</f>
        <v/>
      </c>
      <c r="T634">
        <f>IF($A634="","",IF($E634=1,IF(OR($B634="7062",$B634="706",$B634="708"),$P634,IF(AND(LEFT($B634,1)="6",$B634&lt;&gt;"6811"),-$P634,0)),0))</f>
        <v/>
      </c>
    </row>
    <row r="635">
      <c r="A635">
        <f>IF(PNL!A635="","",PNL!A635)</f>
        <v/>
      </c>
      <c r="B635">
        <f>IF(PNL!B635="","",PNL!B635)</f>
        <v/>
      </c>
      <c r="C635">
        <f>IF(PNL!C635="","",PNL!C635)</f>
        <v/>
      </c>
      <c r="D635">
        <f>IF(PNL!D635="","",PNL!D635)</f>
        <v/>
      </c>
      <c r="E635">
        <f>IF($A635="","",IF(AND($C635="2027",OR($D635="V01",$D635="V02",$D635="V03")),1,0))</f>
        <v/>
      </c>
      <c r="F635">
        <f>IF($A635="","",IF($E635=1,SUMIFS(Comptabilité!$F$1:$F$675,Comptabilité!$A$1:$A$675,$A635,Comptabilité!$B$1:$B$675,$B635,Comptabilité!$C$1:$C$675,"2026"),0))</f>
        <v/>
      </c>
      <c r="G635">
        <f>IF($A635="","",IF($D635="V01",Cadrage!$C$22,IF($D635="V02",Cadrage!$D$22,Cadrage!$E$22)))</f>
        <v/>
      </c>
      <c r="H635">
        <f>IF($A635="","",IF($D635="V01",Cadrage!$C$23,IF($D635="V02",Cadrage!$D$23,Cadrage!$E$23)))</f>
        <v/>
      </c>
      <c r="I635">
        <f>IF($A635="","",IF($D635="V01",Cadrage!$C$31,IF($D635="V02",Cadrage!$D$31,Cadrage!$E$31)))</f>
        <v/>
      </c>
      <c r="J635">
        <f>IF($A635="","",IF($D635="V01",Cadrage!$C$32,IF($D635="V02",Cadrage!$D$32,Cadrage!$E$32)))</f>
        <v/>
      </c>
      <c r="K635">
        <f>IF($A635="","",IF($D635="V01",Cadrage!$C$33,IF($D635="V02",Cadrage!$D$33,Cadrage!$E$33)))</f>
        <v/>
      </c>
      <c r="L635">
        <f>IF($A635="","",IF($D635="V01",Cadrage!$C$34,IF($D635="V02",Cadrage!$D$34,Cadrage!$E$34)))</f>
        <v/>
      </c>
      <c r="M635">
        <f>IF($A635="","",IF($D635="V01",Cadrage!$C$35,IF($D635="V02",Cadrage!$D$35,Cadrage!$E$35)))</f>
        <v/>
      </c>
      <c r="N635">
        <f>IF($A635="","",IF($D635="V01",$R$2,IF($D635="V02",$R$3,$R$4)))</f>
        <v/>
      </c>
      <c r="O635">
        <f>IF($A635="","",IF(OR($B635="7062",$B635="706",$B635="708"),$N635,IF($B635="6231",1+$G635,IF($B635="6236",1+$H635,IF(OR($B635="621",$B635="604",$B635="6063"),$N635*(1-$L635),IF(OR($B635="6411",$B635="6413",$B635="6414",$B635="645"),(1+$J635)*(1+$K635),IF(OR($B635="613",$B635="615",$B635="616",$B635="6226",$B635="625",$B635="626",$B635="6281"),(1+$I635)*(1-$L635)*(1+$M635),IF(OR($B635="6331",$B635="63511",$B635="6333"),(1+$I635)*(1-$L635),IF($B635="6811",1+$I635,1)))))))))</f>
        <v/>
      </c>
      <c r="P635">
        <f>IF($A635="","",IF($E635=1,$F635*$O635,PNL!G635))</f>
        <v/>
      </c>
      <c r="T635">
        <f>IF($A635="","",IF($E635=1,IF(OR($B635="7062",$B635="706",$B635="708"),$P635,IF(AND(LEFT($B635,1)="6",$B635&lt;&gt;"6811"),-$P635,0)),0))</f>
        <v/>
      </c>
    </row>
    <row r="636">
      <c r="A636">
        <f>IF(PNL!A636="","",PNL!A636)</f>
        <v/>
      </c>
      <c r="B636">
        <f>IF(PNL!B636="","",PNL!B636)</f>
        <v/>
      </c>
      <c r="C636">
        <f>IF(PNL!C636="","",PNL!C636)</f>
        <v/>
      </c>
      <c r="D636">
        <f>IF(PNL!D636="","",PNL!D636)</f>
        <v/>
      </c>
      <c r="E636">
        <f>IF($A636="","",IF(AND($C636="2027",OR($D636="V01",$D636="V02",$D636="V03")),1,0))</f>
        <v/>
      </c>
      <c r="F636">
        <f>IF($A636="","",IF($E636=1,SUMIFS(Comptabilité!$F$1:$F$675,Comptabilité!$A$1:$A$675,$A636,Comptabilité!$B$1:$B$675,$B636,Comptabilité!$C$1:$C$675,"2026"),0))</f>
        <v/>
      </c>
      <c r="G636">
        <f>IF($A636="","",IF($D636="V01",Cadrage!$C$22,IF($D636="V02",Cadrage!$D$22,Cadrage!$E$22)))</f>
        <v/>
      </c>
      <c r="H636">
        <f>IF($A636="","",IF($D636="V01",Cadrage!$C$23,IF($D636="V02",Cadrage!$D$23,Cadrage!$E$23)))</f>
        <v/>
      </c>
      <c r="I636">
        <f>IF($A636="","",IF($D636="V01",Cadrage!$C$31,IF($D636="V02",Cadrage!$D$31,Cadrage!$E$31)))</f>
        <v/>
      </c>
      <c r="J636">
        <f>IF($A636="","",IF($D636="V01",Cadrage!$C$32,IF($D636="V02",Cadrage!$D$32,Cadrage!$E$32)))</f>
        <v/>
      </c>
      <c r="K636">
        <f>IF($A636="","",IF($D636="V01",Cadrage!$C$33,IF($D636="V02",Cadrage!$D$33,Cadrage!$E$33)))</f>
        <v/>
      </c>
      <c r="L636">
        <f>IF($A636="","",IF($D636="V01",Cadrage!$C$34,IF($D636="V02",Cadrage!$D$34,Cadrage!$E$34)))</f>
        <v/>
      </c>
      <c r="M636">
        <f>IF($A636="","",IF($D636="V01",Cadrage!$C$35,IF($D636="V02",Cadrage!$D$35,Cadrage!$E$35)))</f>
        <v/>
      </c>
      <c r="N636">
        <f>IF($A636="","",IF($D636="V01",$R$2,IF($D636="V02",$R$3,$R$4)))</f>
        <v/>
      </c>
      <c r="O636">
        <f>IF($A636="","",IF(OR($B636="7062",$B636="706",$B636="708"),$N636,IF($B636="6231",1+$G636,IF($B636="6236",1+$H636,IF(OR($B636="621",$B636="604",$B636="6063"),$N636*(1-$L636),IF(OR($B636="6411",$B636="6413",$B636="6414",$B636="645"),(1+$J636)*(1+$K636),IF(OR($B636="613",$B636="615",$B636="616",$B636="6226",$B636="625",$B636="626",$B636="6281"),(1+$I636)*(1-$L636)*(1+$M636),IF(OR($B636="6331",$B636="63511",$B636="6333"),(1+$I636)*(1-$L636),IF($B636="6811",1+$I636,1)))))))))</f>
        <v/>
      </c>
      <c r="P636">
        <f>IF($A636="","",IF($E636=1,$F636*$O636,PNL!G636))</f>
        <v/>
      </c>
      <c r="T636">
        <f>IF($A636="","",IF($E636=1,IF(OR($B636="7062",$B636="706",$B636="708"),$P636,IF(AND(LEFT($B636,1)="6",$B636&lt;&gt;"6811"),-$P636,0)),0))</f>
        <v/>
      </c>
    </row>
    <row r="637">
      <c r="A637">
        <f>IF(PNL!A637="","",PNL!A637)</f>
        <v/>
      </c>
      <c r="B637">
        <f>IF(PNL!B637="","",PNL!B637)</f>
        <v/>
      </c>
      <c r="C637">
        <f>IF(PNL!C637="","",PNL!C637)</f>
        <v/>
      </c>
      <c r="D637">
        <f>IF(PNL!D637="","",PNL!D637)</f>
        <v/>
      </c>
      <c r="E637">
        <f>IF($A637="","",IF(AND($C637="2027",OR($D637="V01",$D637="V02",$D637="V03")),1,0))</f>
        <v/>
      </c>
      <c r="F637">
        <f>IF($A637="","",IF($E637=1,SUMIFS(Comptabilité!$F$1:$F$675,Comptabilité!$A$1:$A$675,$A637,Comptabilité!$B$1:$B$675,$B637,Comptabilité!$C$1:$C$675,"2026"),0))</f>
        <v/>
      </c>
      <c r="G637">
        <f>IF($A637="","",IF($D637="V01",Cadrage!$C$22,IF($D637="V02",Cadrage!$D$22,Cadrage!$E$22)))</f>
        <v/>
      </c>
      <c r="H637">
        <f>IF($A637="","",IF($D637="V01",Cadrage!$C$23,IF($D637="V02",Cadrage!$D$23,Cadrage!$E$23)))</f>
        <v/>
      </c>
      <c r="I637">
        <f>IF($A637="","",IF($D637="V01",Cadrage!$C$31,IF($D637="V02",Cadrage!$D$31,Cadrage!$E$31)))</f>
        <v/>
      </c>
      <c r="J637">
        <f>IF($A637="","",IF($D637="V01",Cadrage!$C$32,IF($D637="V02",Cadrage!$D$32,Cadrage!$E$32)))</f>
        <v/>
      </c>
      <c r="K637">
        <f>IF($A637="","",IF($D637="V01",Cadrage!$C$33,IF($D637="V02",Cadrage!$D$33,Cadrage!$E$33)))</f>
        <v/>
      </c>
      <c r="L637">
        <f>IF($A637="","",IF($D637="V01",Cadrage!$C$34,IF($D637="V02",Cadrage!$D$34,Cadrage!$E$34)))</f>
        <v/>
      </c>
      <c r="M637">
        <f>IF($A637="","",IF($D637="V01",Cadrage!$C$35,IF($D637="V02",Cadrage!$D$35,Cadrage!$E$35)))</f>
        <v/>
      </c>
      <c r="N637">
        <f>IF($A637="","",IF($D637="V01",$R$2,IF($D637="V02",$R$3,$R$4)))</f>
        <v/>
      </c>
      <c r="O637">
        <f>IF($A637="","",IF(OR($B637="7062",$B637="706",$B637="708"),$N637,IF($B637="6231",1+$G637,IF($B637="6236",1+$H637,IF(OR($B637="621",$B637="604",$B637="6063"),$N637*(1-$L637),IF(OR($B637="6411",$B637="6413",$B637="6414",$B637="645"),(1+$J637)*(1+$K637),IF(OR($B637="613",$B637="615",$B637="616",$B637="6226",$B637="625",$B637="626",$B637="6281"),(1+$I637)*(1-$L637)*(1+$M637),IF(OR($B637="6331",$B637="63511",$B637="6333"),(1+$I637)*(1-$L637),IF($B637="6811",1+$I637,1)))))))))</f>
        <v/>
      </c>
      <c r="P637">
        <f>IF($A637="","",IF($E637=1,$F637*$O637,PNL!G637))</f>
        <v/>
      </c>
      <c r="T637">
        <f>IF($A637="","",IF($E637=1,IF(OR($B637="7062",$B637="706",$B637="708"),$P637,IF(AND(LEFT($B637,1)="6",$B637&lt;&gt;"6811"),-$P637,0)),0))</f>
        <v/>
      </c>
    </row>
    <row r="638">
      <c r="A638">
        <f>IF(PNL!A638="","",PNL!A638)</f>
        <v/>
      </c>
      <c r="B638">
        <f>IF(PNL!B638="","",PNL!B638)</f>
        <v/>
      </c>
      <c r="C638">
        <f>IF(PNL!C638="","",PNL!C638)</f>
        <v/>
      </c>
      <c r="D638">
        <f>IF(PNL!D638="","",PNL!D638)</f>
        <v/>
      </c>
      <c r="E638">
        <f>IF($A638="","",IF(AND($C638="2027",OR($D638="V01",$D638="V02",$D638="V03")),1,0))</f>
        <v/>
      </c>
      <c r="F638">
        <f>IF($A638="","",IF($E638=1,SUMIFS(Comptabilité!$F$1:$F$675,Comptabilité!$A$1:$A$675,$A638,Comptabilité!$B$1:$B$675,$B638,Comptabilité!$C$1:$C$675,"2026"),0))</f>
        <v/>
      </c>
      <c r="G638">
        <f>IF($A638="","",IF($D638="V01",Cadrage!$C$22,IF($D638="V02",Cadrage!$D$22,Cadrage!$E$22)))</f>
        <v/>
      </c>
      <c r="H638">
        <f>IF($A638="","",IF($D638="V01",Cadrage!$C$23,IF($D638="V02",Cadrage!$D$23,Cadrage!$E$23)))</f>
        <v/>
      </c>
      <c r="I638">
        <f>IF($A638="","",IF($D638="V01",Cadrage!$C$31,IF($D638="V02",Cadrage!$D$31,Cadrage!$E$31)))</f>
        <v/>
      </c>
      <c r="J638">
        <f>IF($A638="","",IF($D638="V01",Cadrage!$C$32,IF($D638="V02",Cadrage!$D$32,Cadrage!$E$32)))</f>
        <v/>
      </c>
      <c r="K638">
        <f>IF($A638="","",IF($D638="V01",Cadrage!$C$33,IF($D638="V02",Cadrage!$D$33,Cadrage!$E$33)))</f>
        <v/>
      </c>
      <c r="L638">
        <f>IF($A638="","",IF($D638="V01",Cadrage!$C$34,IF($D638="V02",Cadrage!$D$34,Cadrage!$E$34)))</f>
        <v/>
      </c>
      <c r="M638">
        <f>IF($A638="","",IF($D638="V01",Cadrage!$C$35,IF($D638="V02",Cadrage!$D$35,Cadrage!$E$35)))</f>
        <v/>
      </c>
      <c r="N638">
        <f>IF($A638="","",IF($D638="V01",$R$2,IF($D638="V02",$R$3,$R$4)))</f>
        <v/>
      </c>
      <c r="O638">
        <f>IF($A638="","",IF(OR($B638="7062",$B638="706",$B638="708"),$N638,IF($B638="6231",1+$G638,IF($B638="6236",1+$H638,IF(OR($B638="621",$B638="604",$B638="6063"),$N638*(1-$L638),IF(OR($B638="6411",$B638="6413",$B638="6414",$B638="645"),(1+$J638)*(1+$K638),IF(OR($B638="613",$B638="615",$B638="616",$B638="6226",$B638="625",$B638="626",$B638="6281"),(1+$I638)*(1-$L638)*(1+$M638),IF(OR($B638="6331",$B638="63511",$B638="6333"),(1+$I638)*(1-$L638),IF($B638="6811",1+$I638,1)))))))))</f>
        <v/>
      </c>
      <c r="P638">
        <f>IF($A638="","",IF($E638=1,$F638*$O638,PNL!G638))</f>
        <v/>
      </c>
      <c r="T638">
        <f>IF($A638="","",IF($E638=1,IF(OR($B638="7062",$B638="706",$B638="708"),$P638,IF(AND(LEFT($B638,1)="6",$B638&lt;&gt;"6811"),-$P638,0)),0))</f>
        <v/>
      </c>
    </row>
    <row r="639">
      <c r="A639">
        <f>IF(PNL!A639="","",PNL!A639)</f>
        <v/>
      </c>
      <c r="B639">
        <f>IF(PNL!B639="","",PNL!B639)</f>
        <v/>
      </c>
      <c r="C639">
        <f>IF(PNL!C639="","",PNL!C639)</f>
        <v/>
      </c>
      <c r="D639">
        <f>IF(PNL!D639="","",PNL!D639)</f>
        <v/>
      </c>
      <c r="E639">
        <f>IF($A639="","",IF(AND($C639="2027",OR($D639="V01",$D639="V02",$D639="V03")),1,0))</f>
        <v/>
      </c>
      <c r="F639">
        <f>IF($A639="","",IF($E639=1,SUMIFS(Comptabilité!$F$1:$F$675,Comptabilité!$A$1:$A$675,$A639,Comptabilité!$B$1:$B$675,$B639,Comptabilité!$C$1:$C$675,"2026"),0))</f>
        <v/>
      </c>
      <c r="G639">
        <f>IF($A639="","",IF($D639="V01",Cadrage!$C$22,IF($D639="V02",Cadrage!$D$22,Cadrage!$E$22)))</f>
        <v/>
      </c>
      <c r="H639">
        <f>IF($A639="","",IF($D639="V01",Cadrage!$C$23,IF($D639="V02",Cadrage!$D$23,Cadrage!$E$23)))</f>
        <v/>
      </c>
      <c r="I639">
        <f>IF($A639="","",IF($D639="V01",Cadrage!$C$31,IF($D639="V02",Cadrage!$D$31,Cadrage!$E$31)))</f>
        <v/>
      </c>
      <c r="J639">
        <f>IF($A639="","",IF($D639="V01",Cadrage!$C$32,IF($D639="V02",Cadrage!$D$32,Cadrage!$E$32)))</f>
        <v/>
      </c>
      <c r="K639">
        <f>IF($A639="","",IF($D639="V01",Cadrage!$C$33,IF($D639="V02",Cadrage!$D$33,Cadrage!$E$33)))</f>
        <v/>
      </c>
      <c r="L639">
        <f>IF($A639="","",IF($D639="V01",Cadrage!$C$34,IF($D639="V02",Cadrage!$D$34,Cadrage!$E$34)))</f>
        <v/>
      </c>
      <c r="M639">
        <f>IF($A639="","",IF($D639="V01",Cadrage!$C$35,IF($D639="V02",Cadrage!$D$35,Cadrage!$E$35)))</f>
        <v/>
      </c>
      <c r="N639">
        <f>IF($A639="","",IF($D639="V01",$R$2,IF($D639="V02",$R$3,$R$4)))</f>
        <v/>
      </c>
      <c r="O639">
        <f>IF($A639="","",IF(OR($B639="7062",$B639="706",$B639="708"),$N639,IF($B639="6231",1+$G639,IF($B639="6236",1+$H639,IF(OR($B639="621",$B639="604",$B639="6063"),$N639*(1-$L639),IF(OR($B639="6411",$B639="6413",$B639="6414",$B639="645"),(1+$J639)*(1+$K639),IF(OR($B639="613",$B639="615",$B639="616",$B639="6226",$B639="625",$B639="626",$B639="6281"),(1+$I639)*(1-$L639)*(1+$M639),IF(OR($B639="6331",$B639="63511",$B639="6333"),(1+$I639)*(1-$L639),IF($B639="6811",1+$I639,1)))))))))</f>
        <v/>
      </c>
      <c r="P639">
        <f>IF($A639="","",IF($E639=1,$F639*$O639,PNL!G639))</f>
        <v/>
      </c>
      <c r="T639">
        <f>IF($A639="","",IF($E639=1,IF(OR($B639="7062",$B639="706",$B639="708"),$P639,IF(AND(LEFT($B639,1)="6",$B639&lt;&gt;"6811"),-$P639,0)),0))</f>
        <v/>
      </c>
    </row>
    <row r="640">
      <c r="A640">
        <f>IF(PNL!A640="","",PNL!A640)</f>
        <v/>
      </c>
      <c r="B640">
        <f>IF(PNL!B640="","",PNL!B640)</f>
        <v/>
      </c>
      <c r="C640">
        <f>IF(PNL!C640="","",PNL!C640)</f>
        <v/>
      </c>
      <c r="D640">
        <f>IF(PNL!D640="","",PNL!D640)</f>
        <v/>
      </c>
      <c r="E640">
        <f>IF($A640="","",IF(AND($C640="2027",OR($D640="V01",$D640="V02",$D640="V03")),1,0))</f>
        <v/>
      </c>
      <c r="F640">
        <f>IF($A640="","",IF($E640=1,SUMIFS(Comptabilité!$F$1:$F$675,Comptabilité!$A$1:$A$675,$A640,Comptabilité!$B$1:$B$675,$B640,Comptabilité!$C$1:$C$675,"2026"),0))</f>
        <v/>
      </c>
      <c r="G640">
        <f>IF($A640="","",IF($D640="V01",Cadrage!$C$22,IF($D640="V02",Cadrage!$D$22,Cadrage!$E$22)))</f>
        <v/>
      </c>
      <c r="H640">
        <f>IF($A640="","",IF($D640="V01",Cadrage!$C$23,IF($D640="V02",Cadrage!$D$23,Cadrage!$E$23)))</f>
        <v/>
      </c>
      <c r="I640">
        <f>IF($A640="","",IF($D640="V01",Cadrage!$C$31,IF($D640="V02",Cadrage!$D$31,Cadrage!$E$31)))</f>
        <v/>
      </c>
      <c r="J640">
        <f>IF($A640="","",IF($D640="V01",Cadrage!$C$32,IF($D640="V02",Cadrage!$D$32,Cadrage!$E$32)))</f>
        <v/>
      </c>
      <c r="K640">
        <f>IF($A640="","",IF($D640="V01",Cadrage!$C$33,IF($D640="V02",Cadrage!$D$33,Cadrage!$E$33)))</f>
        <v/>
      </c>
      <c r="L640">
        <f>IF($A640="","",IF($D640="V01",Cadrage!$C$34,IF($D640="V02",Cadrage!$D$34,Cadrage!$E$34)))</f>
        <v/>
      </c>
      <c r="M640">
        <f>IF($A640="","",IF($D640="V01",Cadrage!$C$35,IF($D640="V02",Cadrage!$D$35,Cadrage!$E$35)))</f>
        <v/>
      </c>
      <c r="N640">
        <f>IF($A640="","",IF($D640="V01",$R$2,IF($D640="V02",$R$3,$R$4)))</f>
        <v/>
      </c>
      <c r="O640">
        <f>IF($A640="","",IF(OR($B640="7062",$B640="706",$B640="708"),$N640,IF($B640="6231",1+$G640,IF($B640="6236",1+$H640,IF(OR($B640="621",$B640="604",$B640="6063"),$N640*(1-$L640),IF(OR($B640="6411",$B640="6413",$B640="6414",$B640="645"),(1+$J640)*(1+$K640),IF(OR($B640="613",$B640="615",$B640="616",$B640="6226",$B640="625",$B640="626",$B640="6281"),(1+$I640)*(1-$L640)*(1+$M640),IF(OR($B640="6331",$B640="63511",$B640="6333"),(1+$I640)*(1-$L640),IF($B640="6811",1+$I640,1)))))))))</f>
        <v/>
      </c>
      <c r="P640">
        <f>IF($A640="","",IF($E640=1,$F640*$O640,PNL!G640))</f>
        <v/>
      </c>
      <c r="T640">
        <f>IF($A640="","",IF($E640=1,IF(OR($B640="7062",$B640="706",$B640="708"),$P640,IF(AND(LEFT($B640,1)="6",$B640&lt;&gt;"6811"),-$P640,0)),0))</f>
        <v/>
      </c>
    </row>
    <row r="641">
      <c r="A641">
        <f>IF(PNL!A641="","",PNL!A641)</f>
        <v/>
      </c>
      <c r="B641">
        <f>IF(PNL!B641="","",PNL!B641)</f>
        <v/>
      </c>
      <c r="C641">
        <f>IF(PNL!C641="","",PNL!C641)</f>
        <v/>
      </c>
      <c r="D641">
        <f>IF(PNL!D641="","",PNL!D641)</f>
        <v/>
      </c>
      <c r="E641">
        <f>IF($A641="","",IF(AND($C641="2027",OR($D641="V01",$D641="V02",$D641="V03")),1,0))</f>
        <v/>
      </c>
      <c r="F641">
        <f>IF($A641="","",IF($E641=1,SUMIFS(Comptabilité!$F$1:$F$675,Comptabilité!$A$1:$A$675,$A641,Comptabilité!$B$1:$B$675,$B641,Comptabilité!$C$1:$C$675,"2026"),0))</f>
        <v/>
      </c>
      <c r="G641">
        <f>IF($A641="","",IF($D641="V01",Cadrage!$C$22,IF($D641="V02",Cadrage!$D$22,Cadrage!$E$22)))</f>
        <v/>
      </c>
      <c r="H641">
        <f>IF($A641="","",IF($D641="V01",Cadrage!$C$23,IF($D641="V02",Cadrage!$D$23,Cadrage!$E$23)))</f>
        <v/>
      </c>
      <c r="I641">
        <f>IF($A641="","",IF($D641="V01",Cadrage!$C$31,IF($D641="V02",Cadrage!$D$31,Cadrage!$E$31)))</f>
        <v/>
      </c>
      <c r="J641">
        <f>IF($A641="","",IF($D641="V01",Cadrage!$C$32,IF($D641="V02",Cadrage!$D$32,Cadrage!$E$32)))</f>
        <v/>
      </c>
      <c r="K641">
        <f>IF($A641="","",IF($D641="V01",Cadrage!$C$33,IF($D641="V02",Cadrage!$D$33,Cadrage!$E$33)))</f>
        <v/>
      </c>
      <c r="L641">
        <f>IF($A641="","",IF($D641="V01",Cadrage!$C$34,IF($D641="V02",Cadrage!$D$34,Cadrage!$E$34)))</f>
        <v/>
      </c>
      <c r="M641">
        <f>IF($A641="","",IF($D641="V01",Cadrage!$C$35,IF($D641="V02",Cadrage!$D$35,Cadrage!$E$35)))</f>
        <v/>
      </c>
      <c r="N641">
        <f>IF($A641="","",IF($D641="V01",$R$2,IF($D641="V02",$R$3,$R$4)))</f>
        <v/>
      </c>
      <c r="O641">
        <f>IF($A641="","",IF(OR($B641="7062",$B641="706",$B641="708"),$N641,IF($B641="6231",1+$G641,IF($B641="6236",1+$H641,IF(OR($B641="621",$B641="604",$B641="6063"),$N641*(1-$L641),IF(OR($B641="6411",$B641="6413",$B641="6414",$B641="645"),(1+$J641)*(1+$K641),IF(OR($B641="613",$B641="615",$B641="616",$B641="6226",$B641="625",$B641="626",$B641="6281"),(1+$I641)*(1-$L641)*(1+$M641),IF(OR($B641="6331",$B641="63511",$B641="6333"),(1+$I641)*(1-$L641),IF($B641="6811",1+$I641,1)))))))))</f>
        <v/>
      </c>
      <c r="P641">
        <f>IF($A641="","",IF($E641=1,$F641*$O641,PNL!G641))</f>
        <v/>
      </c>
      <c r="T641">
        <f>IF($A641="","",IF($E641=1,IF(OR($B641="7062",$B641="706",$B641="708"),$P641,IF(AND(LEFT($B641,1)="6",$B641&lt;&gt;"6811"),-$P641,0)),0))</f>
        <v/>
      </c>
    </row>
    <row r="642">
      <c r="A642">
        <f>IF(PNL!A642="","",PNL!A642)</f>
        <v/>
      </c>
      <c r="B642">
        <f>IF(PNL!B642="","",PNL!B642)</f>
        <v/>
      </c>
      <c r="C642">
        <f>IF(PNL!C642="","",PNL!C642)</f>
        <v/>
      </c>
      <c r="D642">
        <f>IF(PNL!D642="","",PNL!D642)</f>
        <v/>
      </c>
      <c r="E642">
        <f>IF($A642="","",IF(AND($C642="2027",OR($D642="V01",$D642="V02",$D642="V03")),1,0))</f>
        <v/>
      </c>
      <c r="F642">
        <f>IF($A642="","",IF($E642=1,SUMIFS(Comptabilité!$F$1:$F$675,Comptabilité!$A$1:$A$675,$A642,Comptabilité!$B$1:$B$675,$B642,Comptabilité!$C$1:$C$675,"2026"),0))</f>
        <v/>
      </c>
      <c r="G642">
        <f>IF($A642="","",IF($D642="V01",Cadrage!$C$22,IF($D642="V02",Cadrage!$D$22,Cadrage!$E$22)))</f>
        <v/>
      </c>
      <c r="H642">
        <f>IF($A642="","",IF($D642="V01",Cadrage!$C$23,IF($D642="V02",Cadrage!$D$23,Cadrage!$E$23)))</f>
        <v/>
      </c>
      <c r="I642">
        <f>IF($A642="","",IF($D642="V01",Cadrage!$C$31,IF($D642="V02",Cadrage!$D$31,Cadrage!$E$31)))</f>
        <v/>
      </c>
      <c r="J642">
        <f>IF($A642="","",IF($D642="V01",Cadrage!$C$32,IF($D642="V02",Cadrage!$D$32,Cadrage!$E$32)))</f>
        <v/>
      </c>
      <c r="K642">
        <f>IF($A642="","",IF($D642="V01",Cadrage!$C$33,IF($D642="V02",Cadrage!$D$33,Cadrage!$E$33)))</f>
        <v/>
      </c>
      <c r="L642">
        <f>IF($A642="","",IF($D642="V01",Cadrage!$C$34,IF($D642="V02",Cadrage!$D$34,Cadrage!$E$34)))</f>
        <v/>
      </c>
      <c r="M642">
        <f>IF($A642="","",IF($D642="V01",Cadrage!$C$35,IF($D642="V02",Cadrage!$D$35,Cadrage!$E$35)))</f>
        <v/>
      </c>
      <c r="N642">
        <f>IF($A642="","",IF($D642="V01",$R$2,IF($D642="V02",$R$3,$R$4)))</f>
        <v/>
      </c>
      <c r="O642">
        <f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>
        <f>IF($A642="","",IF($E642=1,$F642*$O642,PNL!G642))</f>
        <v/>
      </c>
      <c r="T642">
        <f>IF($A642="","",IF($E642=1,IF(OR($B642="7062",$B642="706",$B642="708"),$P642,IF(AND(LEFT($B642,1)="6",$B642&lt;&gt;"6811"),-$P642,0)),0))</f>
        <v/>
      </c>
    </row>
    <row r="643">
      <c r="A643">
        <f>IF(PNL!A643="","",PNL!A643)</f>
        <v/>
      </c>
      <c r="B643">
        <f>IF(PNL!B643="","",PNL!B643)</f>
        <v/>
      </c>
      <c r="C643">
        <f>IF(PNL!C643="","",PNL!C643)</f>
        <v/>
      </c>
      <c r="D643">
        <f>IF(PNL!D643="","",PNL!D643)</f>
        <v/>
      </c>
      <c r="E643">
        <f>IF($A643="","",IF(AND($C643="2027",OR($D643="V01",$D643="V02",$D643="V03")),1,0))</f>
        <v/>
      </c>
      <c r="F643">
        <f>IF($A643="","",IF($E643=1,SUMIFS(Comptabilité!$F$1:$F$675,Comptabilité!$A$1:$A$675,$A643,Comptabilité!$B$1:$B$675,$B643,Comptabilité!$C$1:$C$675,"2026"),0))</f>
        <v/>
      </c>
      <c r="G643">
        <f>IF($A643="","",IF($D643="V01",Cadrage!$C$22,IF($D643="V02",Cadrage!$D$22,Cadrage!$E$22)))</f>
        <v/>
      </c>
      <c r="H643">
        <f>IF($A643="","",IF($D643="V01",Cadrage!$C$23,IF($D643="V02",Cadrage!$D$23,Cadrage!$E$23)))</f>
        <v/>
      </c>
      <c r="I643">
        <f>IF($A643="","",IF($D643="V01",Cadrage!$C$31,IF($D643="V02",Cadrage!$D$31,Cadrage!$E$31)))</f>
        <v/>
      </c>
      <c r="J643">
        <f>IF($A643="","",IF($D643="V01",Cadrage!$C$32,IF($D643="V02",Cadrage!$D$32,Cadrage!$E$32)))</f>
        <v/>
      </c>
      <c r="K643">
        <f>IF($A643="","",IF($D643="V01",Cadrage!$C$33,IF($D643="V02",Cadrage!$D$33,Cadrage!$E$33)))</f>
        <v/>
      </c>
      <c r="L643">
        <f>IF($A643="","",IF($D643="V01",Cadrage!$C$34,IF($D643="V02",Cadrage!$D$34,Cadrage!$E$34)))</f>
        <v/>
      </c>
      <c r="M643">
        <f>IF($A643="","",IF($D643="V01",Cadrage!$C$35,IF($D643="V02",Cadrage!$D$35,Cadrage!$E$35)))</f>
        <v/>
      </c>
      <c r="N643">
        <f>IF($A643="","",IF($D643="V01",$R$2,IF($D643="V02",$R$3,$R$4)))</f>
        <v/>
      </c>
      <c r="O643">
        <f>IF($A643="","",IF(OR($B643="7062",$B643="706",$B643="708"),$N643,IF($B643="6231",1+$G643,IF($B643="6236",1+$H643,IF(OR($B643="621",$B643="604",$B643="6063"),$N643*(1-$L643),IF(OR($B643="6411",$B643="6413",$B643="6414",$B643="645"),(1+$J643)*(1+$K643),IF(OR($B643="613",$B643="615",$B643="616",$B643="6226",$B643="625",$B643="626",$B643="6281"),(1+$I643)*(1-$L643)*(1+$M643),IF(OR($B643="6331",$B643="63511",$B643="6333"),(1+$I643)*(1-$L643),IF($B643="6811",1+$I643,1)))))))))</f>
        <v/>
      </c>
      <c r="P643">
        <f>IF($A643="","",IF($E643=1,$F643*$O643,PNL!G643))</f>
        <v/>
      </c>
      <c r="T643">
        <f>IF($A643="","",IF($E643=1,IF(OR($B643="7062",$B643="706",$B643="708"),$P643,IF(AND(LEFT($B643,1)="6",$B643&lt;&gt;"6811"),-$P643,0)),0))</f>
        <v/>
      </c>
    </row>
    <row r="644">
      <c r="A644">
        <f>IF(PNL!A644="","",PNL!A644)</f>
        <v/>
      </c>
      <c r="B644">
        <f>IF(PNL!B644="","",PNL!B644)</f>
        <v/>
      </c>
      <c r="C644">
        <f>IF(PNL!C644="","",PNL!C644)</f>
        <v/>
      </c>
      <c r="D644">
        <f>IF(PNL!D644="","",PNL!D644)</f>
        <v/>
      </c>
      <c r="E644">
        <f>IF($A644="","",IF(AND($C644="2027",OR($D644="V01",$D644="V02",$D644="V03")),1,0))</f>
        <v/>
      </c>
      <c r="F644">
        <f>IF($A644="","",IF($E644=1,SUMIFS(Comptabilité!$F$1:$F$675,Comptabilité!$A$1:$A$675,$A644,Comptabilité!$B$1:$B$675,$B644,Comptabilité!$C$1:$C$675,"2026"),0))</f>
        <v/>
      </c>
      <c r="G644">
        <f>IF($A644="","",IF($D644="V01",Cadrage!$C$22,IF($D644="V02",Cadrage!$D$22,Cadrage!$E$22)))</f>
        <v/>
      </c>
      <c r="H644">
        <f>IF($A644="","",IF($D644="V01",Cadrage!$C$23,IF($D644="V02",Cadrage!$D$23,Cadrage!$E$23)))</f>
        <v/>
      </c>
      <c r="I644">
        <f>IF($A644="","",IF($D644="V01",Cadrage!$C$31,IF($D644="V02",Cadrage!$D$31,Cadrage!$E$31)))</f>
        <v/>
      </c>
      <c r="J644">
        <f>IF($A644="","",IF($D644="V01",Cadrage!$C$32,IF($D644="V02",Cadrage!$D$32,Cadrage!$E$32)))</f>
        <v/>
      </c>
      <c r="K644">
        <f>IF($A644="","",IF($D644="V01",Cadrage!$C$33,IF($D644="V02",Cadrage!$D$33,Cadrage!$E$33)))</f>
        <v/>
      </c>
      <c r="L644">
        <f>IF($A644="","",IF($D644="V01",Cadrage!$C$34,IF($D644="V02",Cadrage!$D$34,Cadrage!$E$34)))</f>
        <v/>
      </c>
      <c r="M644">
        <f>IF($A644="","",IF($D644="V01",Cadrage!$C$35,IF($D644="V02",Cadrage!$D$35,Cadrage!$E$35)))</f>
        <v/>
      </c>
      <c r="N644">
        <f>IF($A644="","",IF($D644="V01",$R$2,IF($D644="V02",$R$3,$R$4)))</f>
        <v/>
      </c>
      <c r="O644">
        <f>IF($A644="","",IF(OR($B644="7062",$B644="706",$B644="708"),$N644,IF($B644="6231",1+$G644,IF($B644="6236",1+$H644,IF(OR($B644="621",$B644="604",$B644="6063"),$N644*(1-$L644),IF(OR($B644="6411",$B644="6413",$B644="6414",$B644="645"),(1+$J644)*(1+$K644),IF(OR($B644="613",$B644="615",$B644="616",$B644="6226",$B644="625",$B644="626",$B644="6281"),(1+$I644)*(1-$L644)*(1+$M644),IF(OR($B644="6331",$B644="63511",$B644="6333"),(1+$I644)*(1-$L644),IF($B644="6811",1+$I644,1)))))))))</f>
        <v/>
      </c>
      <c r="P644">
        <f>IF($A644="","",IF($E644=1,$F644*$O644,PNL!G644))</f>
        <v/>
      </c>
      <c r="T644">
        <f>IF($A644="","",IF($E644=1,IF(OR($B644="7062",$B644="706",$B644="708"),$P644,IF(AND(LEFT($B644,1)="6",$B644&lt;&gt;"6811"),-$P644,0)),0))</f>
        <v/>
      </c>
    </row>
    <row r="645">
      <c r="A645">
        <f>IF(PNL!A645="","",PNL!A645)</f>
        <v/>
      </c>
      <c r="B645">
        <f>IF(PNL!B645="","",PNL!B645)</f>
        <v/>
      </c>
      <c r="C645">
        <f>IF(PNL!C645="","",PNL!C645)</f>
        <v/>
      </c>
      <c r="D645">
        <f>IF(PNL!D645="","",PNL!D645)</f>
        <v/>
      </c>
      <c r="E645">
        <f>IF($A645="","",IF(AND($C645="2027",OR($D645="V01",$D645="V02",$D645="V03")),1,0))</f>
        <v/>
      </c>
      <c r="F645">
        <f>IF($A645="","",IF($E645=1,SUMIFS(Comptabilité!$F$1:$F$675,Comptabilité!$A$1:$A$675,$A645,Comptabilité!$B$1:$B$675,$B645,Comptabilité!$C$1:$C$675,"2026"),0))</f>
        <v/>
      </c>
      <c r="G645">
        <f>IF($A645="","",IF($D645="V01",Cadrage!$C$22,IF($D645="V02",Cadrage!$D$22,Cadrage!$E$22)))</f>
        <v/>
      </c>
      <c r="H645">
        <f>IF($A645="","",IF($D645="V01",Cadrage!$C$23,IF($D645="V02",Cadrage!$D$23,Cadrage!$E$23)))</f>
        <v/>
      </c>
      <c r="I645">
        <f>IF($A645="","",IF($D645="V01",Cadrage!$C$31,IF($D645="V02",Cadrage!$D$31,Cadrage!$E$31)))</f>
        <v/>
      </c>
      <c r="J645">
        <f>IF($A645="","",IF($D645="V01",Cadrage!$C$32,IF($D645="V02",Cadrage!$D$32,Cadrage!$E$32)))</f>
        <v/>
      </c>
      <c r="K645">
        <f>IF($A645="","",IF($D645="V01",Cadrage!$C$33,IF($D645="V02",Cadrage!$D$33,Cadrage!$E$33)))</f>
        <v/>
      </c>
      <c r="L645">
        <f>IF($A645="","",IF($D645="V01",Cadrage!$C$34,IF($D645="V02",Cadrage!$D$34,Cadrage!$E$34)))</f>
        <v/>
      </c>
      <c r="M645">
        <f>IF($A645="","",IF($D645="V01",Cadrage!$C$35,IF($D645="V02",Cadrage!$D$35,Cadrage!$E$35)))</f>
        <v/>
      </c>
      <c r="N645">
        <f>IF($A645="","",IF($D645="V01",$R$2,IF($D645="V02",$R$3,$R$4)))</f>
        <v/>
      </c>
      <c r="O645">
        <f>IF($A645="","",IF(OR($B645="7062",$B645="706",$B645="708"),$N645,IF($B645="6231",1+$G645,IF($B645="6236",1+$H645,IF(OR($B645="621",$B645="604",$B645="6063"),$N645*(1-$L645),IF(OR($B645="6411",$B645="6413",$B645="6414",$B645="645"),(1+$J645)*(1+$K645),IF(OR($B645="613",$B645="615",$B645="616",$B645="6226",$B645="625",$B645="626",$B645="6281"),(1+$I645)*(1-$L645)*(1+$M645),IF(OR($B645="6331",$B645="63511",$B645="6333"),(1+$I645)*(1-$L645),IF($B645="6811",1+$I645,1)))))))))</f>
        <v/>
      </c>
      <c r="P645">
        <f>IF($A645="","",IF($E645=1,$F645*$O645,PNL!G645))</f>
        <v/>
      </c>
      <c r="T645">
        <f>IF($A645="","",IF($E645=1,IF(OR($B645="7062",$B645="706",$B645="708"),$P645,IF(AND(LEFT($B645,1)="6",$B645&lt;&gt;"6811"),-$P645,0)),0))</f>
        <v/>
      </c>
    </row>
    <row r="646">
      <c r="A646">
        <f>IF(PNL!A646="","",PNL!A646)</f>
        <v/>
      </c>
      <c r="B646">
        <f>IF(PNL!B646="","",PNL!B646)</f>
        <v/>
      </c>
      <c r="C646">
        <f>IF(PNL!C646="","",PNL!C646)</f>
        <v/>
      </c>
      <c r="D646">
        <f>IF(PNL!D646="","",PNL!D646)</f>
        <v/>
      </c>
      <c r="E646">
        <f>IF($A646="","",IF(AND($C646="2027",OR($D646="V01",$D646="V02",$D646="V03")),1,0))</f>
        <v/>
      </c>
      <c r="F646">
        <f>IF($A646="","",IF($E646=1,SUMIFS(Comptabilité!$F$1:$F$675,Comptabilité!$A$1:$A$675,$A646,Comptabilité!$B$1:$B$675,$B646,Comptabilité!$C$1:$C$675,"2026"),0))</f>
        <v/>
      </c>
      <c r="G646">
        <f>IF($A646="","",IF($D646="V01",Cadrage!$C$22,IF($D646="V02",Cadrage!$D$22,Cadrage!$E$22)))</f>
        <v/>
      </c>
      <c r="H646">
        <f>IF($A646="","",IF($D646="V01",Cadrage!$C$23,IF($D646="V02",Cadrage!$D$23,Cadrage!$E$23)))</f>
        <v/>
      </c>
      <c r="I646">
        <f>IF($A646="","",IF($D646="V01",Cadrage!$C$31,IF($D646="V02",Cadrage!$D$31,Cadrage!$E$31)))</f>
        <v/>
      </c>
      <c r="J646">
        <f>IF($A646="","",IF($D646="V01",Cadrage!$C$32,IF($D646="V02",Cadrage!$D$32,Cadrage!$E$32)))</f>
        <v/>
      </c>
      <c r="K646">
        <f>IF($A646="","",IF($D646="V01",Cadrage!$C$33,IF($D646="V02",Cadrage!$D$33,Cadrage!$E$33)))</f>
        <v/>
      </c>
      <c r="L646">
        <f>IF($A646="","",IF($D646="V01",Cadrage!$C$34,IF($D646="V02",Cadrage!$D$34,Cadrage!$E$34)))</f>
        <v/>
      </c>
      <c r="M646">
        <f>IF($A646="","",IF($D646="V01",Cadrage!$C$35,IF($D646="V02",Cadrage!$D$35,Cadrage!$E$35)))</f>
        <v/>
      </c>
      <c r="N646">
        <f>IF($A646="","",IF($D646="V01",$R$2,IF($D646="V02",$R$3,$R$4)))</f>
        <v/>
      </c>
      <c r="O646">
        <f>IF($A646="","",IF(OR($B646="7062",$B646="706",$B646="708"),$N646,IF($B646="6231",1+$G646,IF($B646="6236",1+$H646,IF(OR($B646="621",$B646="604",$B646="6063"),$N646*(1-$L646),IF(OR($B646="6411",$B646="6413",$B646="6414",$B646="645"),(1+$J646)*(1+$K646),IF(OR($B646="613",$B646="615",$B646="616",$B646="6226",$B646="625",$B646="626",$B646="6281"),(1+$I646)*(1-$L646)*(1+$M646),IF(OR($B646="6331",$B646="63511",$B646="6333"),(1+$I646)*(1-$L646),IF($B646="6811",1+$I646,1)))))))))</f>
        <v/>
      </c>
      <c r="P646">
        <f>IF($A646="","",IF($E646=1,$F646*$O646,PNL!G646))</f>
        <v/>
      </c>
      <c r="T646">
        <f>IF($A646="","",IF($E646=1,IF(OR($B646="7062",$B646="706",$B646="708"),$P646,IF(AND(LEFT($B646,1)="6",$B646&lt;&gt;"6811"),-$P646,0)),0))</f>
        <v/>
      </c>
    </row>
    <row r="647">
      <c r="A647">
        <f>IF(PNL!A647="","",PNL!A647)</f>
        <v/>
      </c>
      <c r="B647">
        <f>IF(PNL!B647="","",PNL!B647)</f>
        <v/>
      </c>
      <c r="C647">
        <f>IF(PNL!C647="","",PNL!C647)</f>
        <v/>
      </c>
      <c r="D647">
        <f>IF(PNL!D647="","",PNL!D647)</f>
        <v/>
      </c>
      <c r="E647">
        <f>IF($A647="","",IF(AND($C647="2027",OR($D647="V01",$D647="V02",$D647="V03")),1,0))</f>
        <v/>
      </c>
      <c r="F647">
        <f>IF($A647="","",IF($E647=1,SUMIFS(Comptabilité!$F$1:$F$675,Comptabilité!$A$1:$A$675,$A647,Comptabilité!$B$1:$B$675,$B647,Comptabilité!$C$1:$C$675,"2026"),0))</f>
        <v/>
      </c>
      <c r="G647">
        <f>IF($A647="","",IF($D647="V01",Cadrage!$C$22,IF($D647="V02",Cadrage!$D$22,Cadrage!$E$22)))</f>
        <v/>
      </c>
      <c r="H647">
        <f>IF($A647="","",IF($D647="V01",Cadrage!$C$23,IF($D647="V02",Cadrage!$D$23,Cadrage!$E$23)))</f>
        <v/>
      </c>
      <c r="I647">
        <f>IF($A647="","",IF($D647="V01",Cadrage!$C$31,IF($D647="V02",Cadrage!$D$31,Cadrage!$E$31)))</f>
        <v/>
      </c>
      <c r="J647">
        <f>IF($A647="","",IF($D647="V01",Cadrage!$C$32,IF($D647="V02",Cadrage!$D$32,Cadrage!$E$32)))</f>
        <v/>
      </c>
      <c r="K647">
        <f>IF($A647="","",IF($D647="V01",Cadrage!$C$33,IF($D647="V02",Cadrage!$D$33,Cadrage!$E$33)))</f>
        <v/>
      </c>
      <c r="L647">
        <f>IF($A647="","",IF($D647="V01",Cadrage!$C$34,IF($D647="V02",Cadrage!$D$34,Cadrage!$E$34)))</f>
        <v/>
      </c>
      <c r="M647">
        <f>IF($A647="","",IF($D647="V01",Cadrage!$C$35,IF($D647="V02",Cadrage!$D$35,Cadrage!$E$35)))</f>
        <v/>
      </c>
      <c r="N647">
        <f>IF($A647="","",IF($D647="V01",$R$2,IF($D647="V02",$R$3,$R$4)))</f>
        <v/>
      </c>
      <c r="O647">
        <f>IF($A647="","",IF(OR($B647="7062",$B647="706",$B647="708"),$N647,IF($B647="6231",1+$G647,IF($B647="6236",1+$H647,IF(OR($B647="621",$B647="604",$B647="6063"),$N647*(1-$L647),IF(OR($B647="6411",$B647="6413",$B647="6414",$B647="645"),(1+$J647)*(1+$K647),IF(OR($B647="613",$B647="615",$B647="616",$B647="6226",$B647="625",$B647="626",$B647="6281"),(1+$I647)*(1-$L647)*(1+$M647),IF(OR($B647="6331",$B647="63511",$B647="6333"),(1+$I647)*(1-$L647),IF($B647="6811",1+$I647,1)))))))))</f>
        <v/>
      </c>
      <c r="P647">
        <f>IF($A647="","",IF($E647=1,$F647*$O647,PNL!G647))</f>
        <v/>
      </c>
      <c r="T647">
        <f>IF($A647="","",IF($E647=1,IF(OR($B647="7062",$B647="706",$B647="708"),$P647,IF(AND(LEFT($B647,1)="6",$B647&lt;&gt;"6811"),-$P647,0)),0))</f>
        <v/>
      </c>
    </row>
    <row r="648">
      <c r="A648">
        <f>IF(PNL!A648="","",PNL!A648)</f>
        <v/>
      </c>
      <c r="B648">
        <f>IF(PNL!B648="","",PNL!B648)</f>
        <v/>
      </c>
      <c r="C648">
        <f>IF(PNL!C648="","",PNL!C648)</f>
        <v/>
      </c>
      <c r="D648">
        <f>IF(PNL!D648="","",PNL!D648)</f>
        <v/>
      </c>
      <c r="E648">
        <f>IF($A648="","",IF(AND($C648="2027",OR($D648="V01",$D648="V02",$D648="V03")),1,0))</f>
        <v/>
      </c>
      <c r="F648">
        <f>IF($A648="","",IF($E648=1,SUMIFS(Comptabilité!$F$1:$F$675,Comptabilité!$A$1:$A$675,$A648,Comptabilité!$B$1:$B$675,$B648,Comptabilité!$C$1:$C$675,"2026"),0))</f>
        <v/>
      </c>
      <c r="G648">
        <f>IF($A648="","",IF($D648="V01",Cadrage!$C$22,IF($D648="V02",Cadrage!$D$22,Cadrage!$E$22)))</f>
        <v/>
      </c>
      <c r="H648">
        <f>IF($A648="","",IF($D648="V01",Cadrage!$C$23,IF($D648="V02",Cadrage!$D$23,Cadrage!$E$23)))</f>
        <v/>
      </c>
      <c r="I648">
        <f>IF($A648="","",IF($D648="V01",Cadrage!$C$31,IF($D648="V02",Cadrage!$D$31,Cadrage!$E$31)))</f>
        <v/>
      </c>
      <c r="J648">
        <f>IF($A648="","",IF($D648="V01",Cadrage!$C$32,IF($D648="V02",Cadrage!$D$32,Cadrage!$E$32)))</f>
        <v/>
      </c>
      <c r="K648">
        <f>IF($A648="","",IF($D648="V01",Cadrage!$C$33,IF($D648="V02",Cadrage!$D$33,Cadrage!$E$33)))</f>
        <v/>
      </c>
      <c r="L648">
        <f>IF($A648="","",IF($D648="V01",Cadrage!$C$34,IF($D648="V02",Cadrage!$D$34,Cadrage!$E$34)))</f>
        <v/>
      </c>
      <c r="M648">
        <f>IF($A648="","",IF($D648="V01",Cadrage!$C$35,IF($D648="V02",Cadrage!$D$35,Cadrage!$E$35)))</f>
        <v/>
      </c>
      <c r="N648">
        <f>IF($A648="","",IF($D648="V01",$R$2,IF($D648="V02",$R$3,$R$4)))</f>
        <v/>
      </c>
      <c r="O648">
        <f>IF($A648="","",IF(OR($B648="7062",$B648="706",$B648="708"),$N648,IF($B648="6231",1+$G648,IF($B648="6236",1+$H648,IF(OR($B648="621",$B648="604",$B648="6063"),$N648*(1-$L648),IF(OR($B648="6411",$B648="6413",$B648="6414",$B648="645"),(1+$J648)*(1+$K648),IF(OR($B648="613",$B648="615",$B648="616",$B648="6226",$B648="625",$B648="626",$B648="6281"),(1+$I648)*(1-$L648)*(1+$M648),IF(OR($B648="6331",$B648="63511",$B648="6333"),(1+$I648)*(1-$L648),IF($B648="6811",1+$I648,1)))))))))</f>
        <v/>
      </c>
      <c r="P648">
        <f>IF($A648="","",IF($E648=1,$F648*$O648,PNL!G648))</f>
        <v/>
      </c>
      <c r="T648">
        <f>IF($A648="","",IF($E648=1,IF(OR($B648="7062",$B648="706",$B648="708"),$P648,IF(AND(LEFT($B648,1)="6",$B648&lt;&gt;"6811"),-$P648,0)),0))</f>
        <v/>
      </c>
    </row>
    <row r="649">
      <c r="A649">
        <f>IF(PNL!A649="","",PNL!A649)</f>
        <v/>
      </c>
      <c r="B649">
        <f>IF(PNL!B649="","",PNL!B649)</f>
        <v/>
      </c>
      <c r="C649">
        <f>IF(PNL!C649="","",PNL!C649)</f>
        <v/>
      </c>
      <c r="D649">
        <f>IF(PNL!D649="","",PNL!D649)</f>
        <v/>
      </c>
      <c r="E649">
        <f>IF($A649="","",IF(AND($C649="2027",OR($D649="V01",$D649="V02",$D649="V03")),1,0))</f>
        <v/>
      </c>
      <c r="F649">
        <f>IF($A649="","",IF($E649=1,SUMIFS(Comptabilité!$F$1:$F$675,Comptabilité!$A$1:$A$675,$A649,Comptabilité!$B$1:$B$675,$B649,Comptabilité!$C$1:$C$675,"2026"),0))</f>
        <v/>
      </c>
      <c r="G649">
        <f>IF($A649="","",IF($D649="V01",Cadrage!$C$22,IF($D649="V02",Cadrage!$D$22,Cadrage!$E$22)))</f>
        <v/>
      </c>
      <c r="H649">
        <f>IF($A649="","",IF($D649="V01",Cadrage!$C$23,IF($D649="V02",Cadrage!$D$23,Cadrage!$E$23)))</f>
        <v/>
      </c>
      <c r="I649">
        <f>IF($A649="","",IF($D649="V01",Cadrage!$C$31,IF($D649="V02",Cadrage!$D$31,Cadrage!$E$31)))</f>
        <v/>
      </c>
      <c r="J649">
        <f>IF($A649="","",IF($D649="V01",Cadrage!$C$32,IF($D649="V02",Cadrage!$D$32,Cadrage!$E$32)))</f>
        <v/>
      </c>
      <c r="K649">
        <f>IF($A649="","",IF($D649="V01",Cadrage!$C$33,IF($D649="V02",Cadrage!$D$33,Cadrage!$E$33)))</f>
        <v/>
      </c>
      <c r="L649">
        <f>IF($A649="","",IF($D649="V01",Cadrage!$C$34,IF($D649="V02",Cadrage!$D$34,Cadrage!$E$34)))</f>
        <v/>
      </c>
      <c r="M649">
        <f>IF($A649="","",IF($D649="V01",Cadrage!$C$35,IF($D649="V02",Cadrage!$D$35,Cadrage!$E$35)))</f>
        <v/>
      </c>
      <c r="N649">
        <f>IF($A649="","",IF($D649="V01",$R$2,IF($D649="V02",$R$3,$R$4)))</f>
        <v/>
      </c>
      <c r="O649">
        <f>IF($A649="","",IF(OR($B649="7062",$B649="706",$B649="708"),$N649,IF($B649="6231",1+$G649,IF($B649="6236",1+$H649,IF(OR($B649="621",$B649="604",$B649="6063"),$N649*(1-$L649),IF(OR($B649="6411",$B649="6413",$B649="6414",$B649="645"),(1+$J649)*(1+$K649),IF(OR($B649="613",$B649="615",$B649="616",$B649="6226",$B649="625",$B649="626",$B649="6281"),(1+$I649)*(1-$L649)*(1+$M649),IF(OR($B649="6331",$B649="63511",$B649="6333"),(1+$I649)*(1-$L649),IF($B649="6811",1+$I649,1)))))))))</f>
        <v/>
      </c>
      <c r="P649">
        <f>IF($A649="","",IF($E649=1,$F649*$O649,PNL!G649))</f>
        <v/>
      </c>
      <c r="T649">
        <f>IF($A649="","",IF($E649=1,IF(OR($B649="7062",$B649="706",$B649="708"),$P649,IF(AND(LEFT($B649,1)="6",$B649&lt;&gt;"6811"),-$P649,0)),0))</f>
        <v/>
      </c>
    </row>
    <row r="650">
      <c r="A650">
        <f>IF(PNL!A650="","",PNL!A650)</f>
        <v/>
      </c>
      <c r="B650">
        <f>IF(PNL!B650="","",PNL!B650)</f>
        <v/>
      </c>
      <c r="C650">
        <f>IF(PNL!C650="","",PNL!C650)</f>
        <v/>
      </c>
      <c r="D650">
        <f>IF(PNL!D650="","",PNL!D650)</f>
        <v/>
      </c>
      <c r="E650">
        <f>IF($A650="","",IF(AND($C650="2027",OR($D650="V01",$D650="V02",$D650="V03")),1,0))</f>
        <v/>
      </c>
      <c r="F650">
        <f>IF($A650="","",IF($E650=1,SUMIFS(Comptabilité!$F$1:$F$675,Comptabilité!$A$1:$A$675,$A650,Comptabilité!$B$1:$B$675,$B650,Comptabilité!$C$1:$C$675,"2026"),0))</f>
        <v/>
      </c>
      <c r="G650">
        <f>IF($A650="","",IF($D650="V01",Cadrage!$C$22,IF($D650="V02",Cadrage!$D$22,Cadrage!$E$22)))</f>
        <v/>
      </c>
      <c r="H650">
        <f>IF($A650="","",IF($D650="V01",Cadrage!$C$23,IF($D650="V02",Cadrage!$D$23,Cadrage!$E$23)))</f>
        <v/>
      </c>
      <c r="I650">
        <f>IF($A650="","",IF($D650="V01",Cadrage!$C$31,IF($D650="V02",Cadrage!$D$31,Cadrage!$E$31)))</f>
        <v/>
      </c>
      <c r="J650">
        <f>IF($A650="","",IF($D650="V01",Cadrage!$C$32,IF($D650="V02",Cadrage!$D$32,Cadrage!$E$32)))</f>
        <v/>
      </c>
      <c r="K650">
        <f>IF($A650="","",IF($D650="V01",Cadrage!$C$33,IF($D650="V02",Cadrage!$D$33,Cadrage!$E$33)))</f>
        <v/>
      </c>
      <c r="L650">
        <f>IF($A650="","",IF($D650="V01",Cadrage!$C$34,IF($D650="V02",Cadrage!$D$34,Cadrage!$E$34)))</f>
        <v/>
      </c>
      <c r="M650">
        <f>IF($A650="","",IF($D650="V01",Cadrage!$C$35,IF($D650="V02",Cadrage!$D$35,Cadrage!$E$35)))</f>
        <v/>
      </c>
      <c r="N650">
        <f>IF($A650="","",IF($D650="V01",$R$2,IF($D650="V02",$R$3,$R$4)))</f>
        <v/>
      </c>
      <c r="O650">
        <f>IF($A650="","",IF(OR($B650="7062",$B650="706",$B650="708"),$N650,IF($B650="6231",1+$G650,IF($B650="6236",1+$H650,IF(OR($B650="621",$B650="604",$B650="6063"),$N650*(1-$L650),IF(OR($B650="6411",$B650="6413",$B650="6414",$B650="645"),(1+$J650)*(1+$K650),IF(OR($B650="613",$B650="615",$B650="616",$B650="6226",$B650="625",$B650="626",$B650="6281"),(1+$I650)*(1-$L650)*(1+$M650),IF(OR($B650="6331",$B650="63511",$B650="6333"),(1+$I650)*(1-$L650),IF($B650="6811",1+$I650,1)))))))))</f>
        <v/>
      </c>
      <c r="P650">
        <f>IF($A650="","",IF($E650=1,$F650*$O650,PNL!G650))</f>
        <v/>
      </c>
      <c r="T650">
        <f>IF($A650="","",IF($E650=1,IF(OR($B650="7062",$B650="706",$B650="708"),$P650,IF(AND(LEFT($B650,1)="6",$B650&lt;&gt;"6811"),-$P650,0)),0))</f>
        <v/>
      </c>
    </row>
    <row r="651">
      <c r="A651">
        <f>IF(PNL!A651="","",PNL!A651)</f>
        <v/>
      </c>
      <c r="B651">
        <f>IF(PNL!B651="","",PNL!B651)</f>
        <v/>
      </c>
      <c r="C651">
        <f>IF(PNL!C651="","",PNL!C651)</f>
        <v/>
      </c>
      <c r="D651">
        <f>IF(PNL!D651="","",PNL!D651)</f>
        <v/>
      </c>
      <c r="E651">
        <f>IF($A651="","",IF(AND($C651="2027",OR($D651="V01",$D651="V02",$D651="V03")),1,0))</f>
        <v/>
      </c>
      <c r="F651">
        <f>IF($A651="","",IF($E651=1,SUMIFS(Comptabilité!$F$1:$F$675,Comptabilité!$A$1:$A$675,$A651,Comptabilité!$B$1:$B$675,$B651,Comptabilité!$C$1:$C$675,"2026"),0))</f>
        <v/>
      </c>
      <c r="G651">
        <f>IF($A651="","",IF($D651="V01",Cadrage!$C$22,IF($D651="V02",Cadrage!$D$22,Cadrage!$E$22)))</f>
        <v/>
      </c>
      <c r="H651">
        <f>IF($A651="","",IF($D651="V01",Cadrage!$C$23,IF($D651="V02",Cadrage!$D$23,Cadrage!$E$23)))</f>
        <v/>
      </c>
      <c r="I651">
        <f>IF($A651="","",IF($D651="V01",Cadrage!$C$31,IF($D651="V02",Cadrage!$D$31,Cadrage!$E$31)))</f>
        <v/>
      </c>
      <c r="J651">
        <f>IF($A651="","",IF($D651="V01",Cadrage!$C$32,IF($D651="V02",Cadrage!$D$32,Cadrage!$E$32)))</f>
        <v/>
      </c>
      <c r="K651">
        <f>IF($A651="","",IF($D651="V01",Cadrage!$C$33,IF($D651="V02",Cadrage!$D$33,Cadrage!$E$33)))</f>
        <v/>
      </c>
      <c r="L651">
        <f>IF($A651="","",IF($D651="V01",Cadrage!$C$34,IF($D651="V02",Cadrage!$D$34,Cadrage!$E$34)))</f>
        <v/>
      </c>
      <c r="M651">
        <f>IF($A651="","",IF($D651="V01",Cadrage!$C$35,IF($D651="V02",Cadrage!$D$35,Cadrage!$E$35)))</f>
        <v/>
      </c>
      <c r="N651">
        <f>IF($A651="","",IF($D651="V01",$R$2,IF($D651="V02",$R$3,$R$4)))</f>
        <v/>
      </c>
      <c r="O651">
        <f>IF($A651="","",IF(OR($B651="7062",$B651="706",$B651="708"),$N651,IF($B651="6231",1+$G651,IF($B651="6236",1+$H651,IF(OR($B651="621",$B651="604",$B651="6063"),$N651*(1-$L651),IF(OR($B651="6411",$B651="6413",$B651="6414",$B651="645"),(1+$J651)*(1+$K651),IF(OR($B651="613",$B651="615",$B651="616",$B651="6226",$B651="625",$B651="626",$B651="6281"),(1+$I651)*(1-$L651)*(1+$M651),IF(OR($B651="6331",$B651="63511",$B651="6333"),(1+$I651)*(1-$L651),IF($B651="6811",1+$I651,1)))))))))</f>
        <v/>
      </c>
      <c r="P651">
        <f>IF($A651="","",IF($E651=1,$F651*$O651,PNL!G651))</f>
        <v/>
      </c>
      <c r="T651">
        <f>IF($A651="","",IF($E651=1,IF(OR($B651="7062",$B651="706",$B651="708"),$P651,IF(AND(LEFT($B651,1)="6",$B651&lt;&gt;"6811"),-$P651,0)),0))</f>
        <v/>
      </c>
    </row>
    <row r="652">
      <c r="A652">
        <f>IF(PNL!A652="","",PNL!A652)</f>
        <v/>
      </c>
      <c r="B652">
        <f>IF(PNL!B652="","",PNL!B652)</f>
        <v/>
      </c>
      <c r="C652">
        <f>IF(PNL!C652="","",PNL!C652)</f>
        <v/>
      </c>
      <c r="D652">
        <f>IF(PNL!D652="","",PNL!D652)</f>
        <v/>
      </c>
      <c r="E652">
        <f>IF($A652="","",IF(AND($C652="2027",OR($D652="V01",$D652="V02",$D652="V03")),1,0))</f>
        <v/>
      </c>
      <c r="F652">
        <f>IF($A652="","",IF($E652=1,SUMIFS(Comptabilité!$F$1:$F$675,Comptabilité!$A$1:$A$675,$A652,Comptabilité!$B$1:$B$675,$B652,Comptabilité!$C$1:$C$675,"2026"),0))</f>
        <v/>
      </c>
      <c r="G652">
        <f>IF($A652="","",IF($D652="V01",Cadrage!$C$22,IF($D652="V02",Cadrage!$D$22,Cadrage!$E$22)))</f>
        <v/>
      </c>
      <c r="H652">
        <f>IF($A652="","",IF($D652="V01",Cadrage!$C$23,IF($D652="V02",Cadrage!$D$23,Cadrage!$E$23)))</f>
        <v/>
      </c>
      <c r="I652">
        <f>IF($A652="","",IF($D652="V01",Cadrage!$C$31,IF($D652="V02",Cadrage!$D$31,Cadrage!$E$31)))</f>
        <v/>
      </c>
      <c r="J652">
        <f>IF($A652="","",IF($D652="V01",Cadrage!$C$32,IF($D652="V02",Cadrage!$D$32,Cadrage!$E$32)))</f>
        <v/>
      </c>
      <c r="K652">
        <f>IF($A652="","",IF($D652="V01",Cadrage!$C$33,IF($D652="V02",Cadrage!$D$33,Cadrage!$E$33)))</f>
        <v/>
      </c>
      <c r="L652">
        <f>IF($A652="","",IF($D652="V01",Cadrage!$C$34,IF($D652="V02",Cadrage!$D$34,Cadrage!$E$34)))</f>
        <v/>
      </c>
      <c r="M652">
        <f>IF($A652="","",IF($D652="V01",Cadrage!$C$35,IF($D652="V02",Cadrage!$D$35,Cadrage!$E$35)))</f>
        <v/>
      </c>
      <c r="N652">
        <f>IF($A652="","",IF($D652="V01",$R$2,IF($D652="V02",$R$3,$R$4)))</f>
        <v/>
      </c>
      <c r="O652">
        <f>IF($A652="","",IF(OR($B652="7062",$B652="706",$B652="708"),$N652,IF($B652="6231",1+$G652,IF($B652="6236",1+$H652,IF(OR($B652="621",$B652="604",$B652="6063"),$N652*(1-$L652),IF(OR($B652="6411",$B652="6413",$B652="6414",$B652="645"),(1+$J652)*(1+$K652),IF(OR($B652="613",$B652="615",$B652="616",$B652="6226",$B652="625",$B652="626",$B652="6281"),(1+$I652)*(1-$L652)*(1+$M652),IF(OR($B652="6331",$B652="63511",$B652="6333"),(1+$I652)*(1-$L652),IF($B652="6811",1+$I652,1)))))))))</f>
        <v/>
      </c>
      <c r="P652">
        <f>IF($A652="","",IF($E652=1,$F652*$O652,PNL!G652))</f>
        <v/>
      </c>
      <c r="T652">
        <f>IF($A652="","",IF($E652=1,IF(OR($B652="7062",$B652="706",$B652="708"),$P652,IF(AND(LEFT($B652,1)="6",$B652&lt;&gt;"6811"),-$P652,0)),0))</f>
        <v/>
      </c>
    </row>
    <row r="653">
      <c r="A653">
        <f>IF(PNL!A653="","",PNL!A653)</f>
        <v/>
      </c>
      <c r="B653">
        <f>IF(PNL!B653="","",PNL!B653)</f>
        <v/>
      </c>
      <c r="C653">
        <f>IF(PNL!C653="","",PNL!C653)</f>
        <v/>
      </c>
      <c r="D653">
        <f>IF(PNL!D653="","",PNL!D653)</f>
        <v/>
      </c>
      <c r="E653">
        <f>IF($A653="","",IF(AND($C653="2027",OR($D653="V01",$D653="V02",$D653="V03")),1,0))</f>
        <v/>
      </c>
      <c r="F653">
        <f>IF($A653="","",IF($E653=1,SUMIFS(Comptabilité!$F$1:$F$675,Comptabilité!$A$1:$A$675,$A653,Comptabilité!$B$1:$B$675,$B653,Comptabilité!$C$1:$C$675,"2026"),0))</f>
        <v/>
      </c>
      <c r="G653">
        <f>IF($A653="","",IF($D653="V01",Cadrage!$C$22,IF($D653="V02",Cadrage!$D$22,Cadrage!$E$22)))</f>
        <v/>
      </c>
      <c r="H653">
        <f>IF($A653="","",IF($D653="V01",Cadrage!$C$23,IF($D653="V02",Cadrage!$D$23,Cadrage!$E$23)))</f>
        <v/>
      </c>
      <c r="I653">
        <f>IF($A653="","",IF($D653="V01",Cadrage!$C$31,IF($D653="V02",Cadrage!$D$31,Cadrage!$E$31)))</f>
        <v/>
      </c>
      <c r="J653">
        <f>IF($A653="","",IF($D653="V01",Cadrage!$C$32,IF($D653="V02",Cadrage!$D$32,Cadrage!$E$32)))</f>
        <v/>
      </c>
      <c r="K653">
        <f>IF($A653="","",IF($D653="V01",Cadrage!$C$33,IF($D653="V02",Cadrage!$D$33,Cadrage!$E$33)))</f>
        <v/>
      </c>
      <c r="L653">
        <f>IF($A653="","",IF($D653="V01",Cadrage!$C$34,IF($D653="V02",Cadrage!$D$34,Cadrage!$E$34)))</f>
        <v/>
      </c>
      <c r="M653">
        <f>IF($A653="","",IF($D653="V01",Cadrage!$C$35,IF($D653="V02",Cadrage!$D$35,Cadrage!$E$35)))</f>
        <v/>
      </c>
      <c r="N653">
        <f>IF($A653="","",IF($D653="V01",$R$2,IF($D653="V02",$R$3,$R$4)))</f>
        <v/>
      </c>
      <c r="O653">
        <f>IF($A653="","",IF(OR($B653="7062",$B653="706",$B653="708"),$N653,IF($B653="6231",1+$G653,IF($B653="6236",1+$H653,IF(OR($B653="621",$B653="604",$B653="6063"),$N653*(1-$L653),IF(OR($B653="6411",$B653="6413",$B653="6414",$B653="645"),(1+$J653)*(1+$K653),IF(OR($B653="613",$B653="615",$B653="616",$B653="6226",$B653="625",$B653="626",$B653="6281"),(1+$I653)*(1-$L653)*(1+$M653),IF(OR($B653="6331",$B653="63511",$B653="6333"),(1+$I653)*(1-$L653),IF($B653="6811",1+$I653,1)))))))))</f>
        <v/>
      </c>
      <c r="P653">
        <f>IF($A653="","",IF($E653=1,$F653*$O653,PNL!G653))</f>
        <v/>
      </c>
      <c r="T653">
        <f>IF($A653="","",IF($E653=1,IF(OR($B653="7062",$B653="706",$B653="708"),$P653,IF(AND(LEFT($B653,1)="6",$B653&lt;&gt;"6811"),-$P653,0)),0))</f>
        <v/>
      </c>
    </row>
    <row r="654">
      <c r="A654">
        <f>IF(PNL!A654="","",PNL!A654)</f>
        <v/>
      </c>
      <c r="B654">
        <f>IF(PNL!B654="","",PNL!B654)</f>
        <v/>
      </c>
      <c r="C654">
        <f>IF(PNL!C654="","",PNL!C654)</f>
        <v/>
      </c>
      <c r="D654">
        <f>IF(PNL!D654="","",PNL!D654)</f>
        <v/>
      </c>
      <c r="E654">
        <f>IF($A654="","",IF(AND($C654="2027",OR($D654="V01",$D654="V02",$D654="V03")),1,0))</f>
        <v/>
      </c>
      <c r="F654">
        <f>IF($A654="","",IF($E654=1,SUMIFS(Comptabilité!$F$1:$F$675,Comptabilité!$A$1:$A$675,$A654,Comptabilité!$B$1:$B$675,$B654,Comptabilité!$C$1:$C$675,"2026"),0))</f>
        <v/>
      </c>
      <c r="G654">
        <f>IF($A654="","",IF($D654="V01",Cadrage!$C$22,IF($D654="V02",Cadrage!$D$22,Cadrage!$E$22)))</f>
        <v/>
      </c>
      <c r="H654">
        <f>IF($A654="","",IF($D654="V01",Cadrage!$C$23,IF($D654="V02",Cadrage!$D$23,Cadrage!$E$23)))</f>
        <v/>
      </c>
      <c r="I654">
        <f>IF($A654="","",IF($D654="V01",Cadrage!$C$31,IF($D654="V02",Cadrage!$D$31,Cadrage!$E$31)))</f>
        <v/>
      </c>
      <c r="J654">
        <f>IF($A654="","",IF($D654="V01",Cadrage!$C$32,IF($D654="V02",Cadrage!$D$32,Cadrage!$E$32)))</f>
        <v/>
      </c>
      <c r="K654">
        <f>IF($A654="","",IF($D654="V01",Cadrage!$C$33,IF($D654="V02",Cadrage!$D$33,Cadrage!$E$33)))</f>
        <v/>
      </c>
      <c r="L654">
        <f>IF($A654="","",IF($D654="V01",Cadrage!$C$34,IF($D654="V02",Cadrage!$D$34,Cadrage!$E$34)))</f>
        <v/>
      </c>
      <c r="M654">
        <f>IF($A654="","",IF($D654="V01",Cadrage!$C$35,IF($D654="V02",Cadrage!$D$35,Cadrage!$E$35)))</f>
        <v/>
      </c>
      <c r="N654">
        <f>IF($A654="","",IF($D654="V01",$R$2,IF($D654="V02",$R$3,$R$4)))</f>
        <v/>
      </c>
      <c r="O654">
        <f>IF($A654="","",IF(OR($B654="7062",$B654="706",$B654="708"),$N654,IF($B654="6231",1+$G654,IF($B654="6236",1+$H654,IF(OR($B654="621",$B654="604",$B654="6063"),$N654*(1-$L654),IF(OR($B654="6411",$B654="6413",$B654="6414",$B654="645"),(1+$J654)*(1+$K654),IF(OR($B654="613",$B654="615",$B654="616",$B654="6226",$B654="625",$B654="626",$B654="6281"),(1+$I654)*(1-$L654)*(1+$M654),IF(OR($B654="6331",$B654="63511",$B654="6333"),(1+$I654)*(1-$L654),IF($B654="6811",1+$I654,1)))))))))</f>
        <v/>
      </c>
      <c r="P654">
        <f>IF($A654="","",IF($E654=1,$F654*$O654,PNL!G654))</f>
        <v/>
      </c>
      <c r="T654">
        <f>IF($A654="","",IF($E654=1,IF(OR($B654="7062",$B654="706",$B654="708"),$P654,IF(AND(LEFT($B654,1)="6",$B654&lt;&gt;"6811"),-$P654,0)),0))</f>
        <v/>
      </c>
    </row>
    <row r="655">
      <c r="A655">
        <f>IF(PNL!A655="","",PNL!A655)</f>
        <v/>
      </c>
      <c r="B655">
        <f>IF(PNL!B655="","",PNL!B655)</f>
        <v/>
      </c>
      <c r="C655">
        <f>IF(PNL!C655="","",PNL!C655)</f>
        <v/>
      </c>
      <c r="D655">
        <f>IF(PNL!D655="","",PNL!D655)</f>
        <v/>
      </c>
      <c r="E655">
        <f>IF($A655="","",IF(AND($C655="2027",OR($D655="V01",$D655="V02",$D655="V03")),1,0))</f>
        <v/>
      </c>
      <c r="F655">
        <f>IF($A655="","",IF($E655=1,SUMIFS(Comptabilité!$F$1:$F$675,Comptabilité!$A$1:$A$675,$A655,Comptabilité!$B$1:$B$675,$B655,Comptabilité!$C$1:$C$675,"2026"),0))</f>
        <v/>
      </c>
      <c r="G655">
        <f>IF($A655="","",IF($D655="V01",Cadrage!$C$22,IF($D655="V02",Cadrage!$D$22,Cadrage!$E$22)))</f>
        <v/>
      </c>
      <c r="H655">
        <f>IF($A655="","",IF($D655="V01",Cadrage!$C$23,IF($D655="V02",Cadrage!$D$23,Cadrage!$E$23)))</f>
        <v/>
      </c>
      <c r="I655">
        <f>IF($A655="","",IF($D655="V01",Cadrage!$C$31,IF($D655="V02",Cadrage!$D$31,Cadrage!$E$31)))</f>
        <v/>
      </c>
      <c r="J655">
        <f>IF($A655="","",IF($D655="V01",Cadrage!$C$32,IF($D655="V02",Cadrage!$D$32,Cadrage!$E$32)))</f>
        <v/>
      </c>
      <c r="K655">
        <f>IF($A655="","",IF($D655="V01",Cadrage!$C$33,IF($D655="V02",Cadrage!$D$33,Cadrage!$E$33)))</f>
        <v/>
      </c>
      <c r="L655">
        <f>IF($A655="","",IF($D655="V01",Cadrage!$C$34,IF($D655="V02",Cadrage!$D$34,Cadrage!$E$34)))</f>
        <v/>
      </c>
      <c r="M655">
        <f>IF($A655="","",IF($D655="V01",Cadrage!$C$35,IF($D655="V02",Cadrage!$D$35,Cadrage!$E$35)))</f>
        <v/>
      </c>
      <c r="N655">
        <f>IF($A655="","",IF($D655="V01",$R$2,IF($D655="V02",$R$3,$R$4)))</f>
        <v/>
      </c>
      <c r="O655">
        <f>IF($A655="","",IF(OR($B655="7062",$B655="706",$B655="708"),$N655,IF($B655="6231",1+$G655,IF($B655="6236",1+$H655,IF(OR($B655="621",$B655="604",$B655="6063"),$N655*(1-$L655),IF(OR($B655="6411",$B655="6413",$B655="6414",$B655="645"),(1+$J655)*(1+$K655),IF(OR($B655="613",$B655="615",$B655="616",$B655="6226",$B655="625",$B655="626",$B655="6281"),(1+$I655)*(1-$L655)*(1+$M655),IF(OR($B655="6331",$B655="63511",$B655="6333"),(1+$I655)*(1-$L655),IF($B655="6811",1+$I655,1)))))))))</f>
        <v/>
      </c>
      <c r="P655">
        <f>IF($A655="","",IF($E655=1,$F655*$O655,PNL!G655))</f>
        <v/>
      </c>
      <c r="T655">
        <f>IF($A655="","",IF($E655=1,IF(OR($B655="7062",$B655="706",$B655="708"),$P655,IF(AND(LEFT($B655,1)="6",$B655&lt;&gt;"6811"),-$P655,0)),0))</f>
        <v/>
      </c>
    </row>
    <row r="656">
      <c r="A656">
        <f>IF(PNL!A656="","",PNL!A656)</f>
        <v/>
      </c>
      <c r="B656">
        <f>IF(PNL!B656="","",PNL!B656)</f>
        <v/>
      </c>
      <c r="C656">
        <f>IF(PNL!C656="","",PNL!C656)</f>
        <v/>
      </c>
      <c r="D656">
        <f>IF(PNL!D656="","",PNL!D656)</f>
        <v/>
      </c>
      <c r="E656">
        <f>IF($A656="","",IF(AND($C656="2027",OR($D656="V01",$D656="V02",$D656="V03")),1,0))</f>
        <v/>
      </c>
      <c r="F656">
        <f>IF($A656="","",IF($E656=1,SUMIFS(Comptabilité!$F$1:$F$675,Comptabilité!$A$1:$A$675,$A656,Comptabilité!$B$1:$B$675,$B656,Comptabilité!$C$1:$C$675,"2026"),0))</f>
        <v/>
      </c>
      <c r="G656">
        <f>IF($A656="","",IF($D656="V01",Cadrage!$C$22,IF($D656="V02",Cadrage!$D$22,Cadrage!$E$22)))</f>
        <v/>
      </c>
      <c r="H656">
        <f>IF($A656="","",IF($D656="V01",Cadrage!$C$23,IF($D656="V02",Cadrage!$D$23,Cadrage!$E$23)))</f>
        <v/>
      </c>
      <c r="I656">
        <f>IF($A656="","",IF($D656="V01",Cadrage!$C$31,IF($D656="V02",Cadrage!$D$31,Cadrage!$E$31)))</f>
        <v/>
      </c>
      <c r="J656">
        <f>IF($A656="","",IF($D656="V01",Cadrage!$C$32,IF($D656="V02",Cadrage!$D$32,Cadrage!$E$32)))</f>
        <v/>
      </c>
      <c r="K656">
        <f>IF($A656="","",IF($D656="V01",Cadrage!$C$33,IF($D656="V02",Cadrage!$D$33,Cadrage!$E$33)))</f>
        <v/>
      </c>
      <c r="L656">
        <f>IF($A656="","",IF($D656="V01",Cadrage!$C$34,IF($D656="V02",Cadrage!$D$34,Cadrage!$E$34)))</f>
        <v/>
      </c>
      <c r="M656">
        <f>IF($A656="","",IF($D656="V01",Cadrage!$C$35,IF($D656="V02",Cadrage!$D$35,Cadrage!$E$35)))</f>
        <v/>
      </c>
      <c r="N656">
        <f>IF($A656="","",IF($D656="V01",$R$2,IF($D656="V02",$R$3,$R$4)))</f>
        <v/>
      </c>
      <c r="O656">
        <f>IF($A656="","",IF(OR($B656="7062",$B656="706",$B656="708"),$N656,IF($B656="6231",1+$G656,IF($B656="6236",1+$H656,IF(OR($B656="621",$B656="604",$B656="6063"),$N656*(1-$L656),IF(OR($B656="6411",$B656="6413",$B656="6414",$B656="645"),(1+$J656)*(1+$K656),IF(OR($B656="613",$B656="615",$B656="616",$B656="6226",$B656="625",$B656="626",$B656="6281"),(1+$I656)*(1-$L656)*(1+$M656),IF(OR($B656="6331",$B656="63511",$B656="6333"),(1+$I656)*(1-$L656),IF($B656="6811",1+$I656,1)))))))))</f>
        <v/>
      </c>
      <c r="P656">
        <f>IF($A656="","",IF($E656=1,$F656*$O656,PNL!G656))</f>
        <v/>
      </c>
      <c r="T656">
        <f>IF($A656="","",IF($E656=1,IF(OR($B656="7062",$B656="706",$B656="708"),$P656,IF(AND(LEFT($B656,1)="6",$B656&lt;&gt;"6811"),-$P656,0)),0))</f>
        <v/>
      </c>
    </row>
    <row r="657">
      <c r="A657">
        <f>IF(PNL!A657="","",PNL!A657)</f>
        <v/>
      </c>
      <c r="B657">
        <f>IF(PNL!B657="","",PNL!B657)</f>
        <v/>
      </c>
      <c r="C657">
        <f>IF(PNL!C657="","",PNL!C657)</f>
        <v/>
      </c>
      <c r="D657">
        <f>IF(PNL!D657="","",PNL!D657)</f>
        <v/>
      </c>
      <c r="E657">
        <f>IF($A657="","",IF(AND($C657="2027",OR($D657="V01",$D657="V02",$D657="V03")),1,0))</f>
        <v/>
      </c>
      <c r="F657">
        <f>IF($A657="","",IF($E657=1,SUMIFS(Comptabilité!$F$1:$F$675,Comptabilité!$A$1:$A$675,$A657,Comptabilité!$B$1:$B$675,$B657,Comptabilité!$C$1:$C$675,"2026"),0))</f>
        <v/>
      </c>
      <c r="G657">
        <f>IF($A657="","",IF($D657="V01",Cadrage!$C$22,IF($D657="V02",Cadrage!$D$22,Cadrage!$E$22)))</f>
        <v/>
      </c>
      <c r="H657">
        <f>IF($A657="","",IF($D657="V01",Cadrage!$C$23,IF($D657="V02",Cadrage!$D$23,Cadrage!$E$23)))</f>
        <v/>
      </c>
      <c r="I657">
        <f>IF($A657="","",IF($D657="V01",Cadrage!$C$31,IF($D657="V02",Cadrage!$D$31,Cadrage!$E$31)))</f>
        <v/>
      </c>
      <c r="J657">
        <f>IF($A657="","",IF($D657="V01",Cadrage!$C$32,IF($D657="V02",Cadrage!$D$32,Cadrage!$E$32)))</f>
        <v/>
      </c>
      <c r="K657">
        <f>IF($A657="","",IF($D657="V01",Cadrage!$C$33,IF($D657="V02",Cadrage!$D$33,Cadrage!$E$33)))</f>
        <v/>
      </c>
      <c r="L657">
        <f>IF($A657="","",IF($D657="V01",Cadrage!$C$34,IF($D657="V02",Cadrage!$D$34,Cadrage!$E$34)))</f>
        <v/>
      </c>
      <c r="M657">
        <f>IF($A657="","",IF($D657="V01",Cadrage!$C$35,IF($D657="V02",Cadrage!$D$35,Cadrage!$E$35)))</f>
        <v/>
      </c>
      <c r="N657">
        <f>IF($A657="","",IF($D657="V01",$R$2,IF($D657="V02",$R$3,$R$4)))</f>
        <v/>
      </c>
      <c r="O657">
        <f>IF($A657="","",IF(OR($B657="7062",$B657="706",$B657="708"),$N657,IF($B657="6231",1+$G657,IF($B657="6236",1+$H657,IF(OR($B657="621",$B657="604",$B657="6063"),$N657*(1-$L657),IF(OR($B657="6411",$B657="6413",$B657="6414",$B657="645"),(1+$J657)*(1+$K657),IF(OR($B657="613",$B657="615",$B657="616",$B657="6226",$B657="625",$B657="626",$B657="6281"),(1+$I657)*(1-$L657)*(1+$M657),IF(OR($B657="6331",$B657="63511",$B657="6333"),(1+$I657)*(1-$L657),IF($B657="6811",1+$I657,1)))))))))</f>
        <v/>
      </c>
      <c r="P657">
        <f>IF($A657="","",IF($E657=1,$F657*$O657,PNL!G657))</f>
        <v/>
      </c>
      <c r="T657">
        <f>IF($A657="","",IF($E657=1,IF(OR($B657="7062",$B657="706",$B657="708"),$P657,IF(AND(LEFT($B657,1)="6",$B657&lt;&gt;"6811"),-$P657,0)),0))</f>
        <v/>
      </c>
    </row>
    <row r="658">
      <c r="A658">
        <f>IF(PNL!A658="","",PNL!A658)</f>
        <v/>
      </c>
      <c r="B658">
        <f>IF(PNL!B658="","",PNL!B658)</f>
        <v/>
      </c>
      <c r="C658">
        <f>IF(PNL!C658="","",PNL!C658)</f>
        <v/>
      </c>
      <c r="D658">
        <f>IF(PNL!D658="","",PNL!D658)</f>
        <v/>
      </c>
      <c r="E658">
        <f>IF($A658="","",IF(AND($C658="2027",OR($D658="V01",$D658="V02",$D658="V03")),1,0))</f>
        <v/>
      </c>
      <c r="F658">
        <f>IF($A658="","",IF($E658=1,SUMIFS(Comptabilité!$F$1:$F$675,Comptabilité!$A$1:$A$675,$A658,Comptabilité!$B$1:$B$675,$B658,Comptabilité!$C$1:$C$675,"2026"),0))</f>
        <v/>
      </c>
      <c r="G658">
        <f>IF($A658="","",IF($D658="V01",Cadrage!$C$22,IF($D658="V02",Cadrage!$D$22,Cadrage!$E$22)))</f>
        <v/>
      </c>
      <c r="H658">
        <f>IF($A658="","",IF($D658="V01",Cadrage!$C$23,IF($D658="V02",Cadrage!$D$23,Cadrage!$E$23)))</f>
        <v/>
      </c>
      <c r="I658">
        <f>IF($A658="","",IF($D658="V01",Cadrage!$C$31,IF($D658="V02",Cadrage!$D$31,Cadrage!$E$31)))</f>
        <v/>
      </c>
      <c r="J658">
        <f>IF($A658="","",IF($D658="V01",Cadrage!$C$32,IF($D658="V02",Cadrage!$D$32,Cadrage!$E$32)))</f>
        <v/>
      </c>
      <c r="K658">
        <f>IF($A658="","",IF($D658="V01",Cadrage!$C$33,IF($D658="V02",Cadrage!$D$33,Cadrage!$E$33)))</f>
        <v/>
      </c>
      <c r="L658">
        <f>IF($A658="","",IF($D658="V01",Cadrage!$C$34,IF($D658="V02",Cadrage!$D$34,Cadrage!$E$34)))</f>
        <v/>
      </c>
      <c r="M658">
        <f>IF($A658="","",IF($D658="V01",Cadrage!$C$35,IF($D658="V02",Cadrage!$D$35,Cadrage!$E$35)))</f>
        <v/>
      </c>
      <c r="N658">
        <f>IF($A658="","",IF($D658="V01",$R$2,IF($D658="V02",$R$3,$R$4)))</f>
        <v/>
      </c>
      <c r="O658">
        <f>IF($A658="","",IF(OR($B658="7062",$B658="706",$B658="708"),$N658,IF($B658="6231",1+$G658,IF($B658="6236",1+$H658,IF(OR($B658="621",$B658="604",$B658="6063"),$N658*(1-$L658),IF(OR($B658="6411",$B658="6413",$B658="6414",$B658="645"),(1+$J658)*(1+$K658),IF(OR($B658="613",$B658="615",$B658="616",$B658="6226",$B658="625",$B658="626",$B658="6281"),(1+$I658)*(1-$L658)*(1+$M658),IF(OR($B658="6331",$B658="63511",$B658="6333"),(1+$I658)*(1-$L658),IF($B658="6811",1+$I658,1)))))))))</f>
        <v/>
      </c>
      <c r="P658">
        <f>IF($A658="","",IF($E658=1,$F658*$O658,PNL!G658))</f>
        <v/>
      </c>
      <c r="T658">
        <f>IF($A658="","",IF($E658=1,IF(OR($B658="7062",$B658="706",$B658="708"),$P658,IF(AND(LEFT($B658,1)="6",$B658&lt;&gt;"6811"),-$P658,0)),0))</f>
        <v/>
      </c>
    </row>
    <row r="659">
      <c r="A659">
        <f>IF(PNL!A659="","",PNL!A659)</f>
        <v/>
      </c>
      <c r="B659">
        <f>IF(PNL!B659="","",PNL!B659)</f>
        <v/>
      </c>
      <c r="C659">
        <f>IF(PNL!C659="","",PNL!C659)</f>
        <v/>
      </c>
      <c r="D659">
        <f>IF(PNL!D659="","",PNL!D659)</f>
        <v/>
      </c>
      <c r="E659">
        <f>IF($A659="","",IF(AND($C659="2027",OR($D659="V01",$D659="V02",$D659="V03")),1,0))</f>
        <v/>
      </c>
      <c r="F659">
        <f>IF($A659="","",IF($E659=1,SUMIFS(Comptabilité!$F$1:$F$675,Comptabilité!$A$1:$A$675,$A659,Comptabilité!$B$1:$B$675,$B659,Comptabilité!$C$1:$C$675,"2026"),0))</f>
        <v/>
      </c>
      <c r="G659">
        <f>IF($A659="","",IF($D659="V01",Cadrage!$C$22,IF($D659="V02",Cadrage!$D$22,Cadrage!$E$22)))</f>
        <v/>
      </c>
      <c r="H659">
        <f>IF($A659="","",IF($D659="V01",Cadrage!$C$23,IF($D659="V02",Cadrage!$D$23,Cadrage!$E$23)))</f>
        <v/>
      </c>
      <c r="I659">
        <f>IF($A659="","",IF($D659="V01",Cadrage!$C$31,IF($D659="V02",Cadrage!$D$31,Cadrage!$E$31)))</f>
        <v/>
      </c>
      <c r="J659">
        <f>IF($A659="","",IF($D659="V01",Cadrage!$C$32,IF($D659="V02",Cadrage!$D$32,Cadrage!$E$32)))</f>
        <v/>
      </c>
      <c r="K659">
        <f>IF($A659="","",IF($D659="V01",Cadrage!$C$33,IF($D659="V02",Cadrage!$D$33,Cadrage!$E$33)))</f>
        <v/>
      </c>
      <c r="L659">
        <f>IF($A659="","",IF($D659="V01",Cadrage!$C$34,IF($D659="V02",Cadrage!$D$34,Cadrage!$E$34)))</f>
        <v/>
      </c>
      <c r="M659">
        <f>IF($A659="","",IF($D659="V01",Cadrage!$C$35,IF($D659="V02",Cadrage!$D$35,Cadrage!$E$35)))</f>
        <v/>
      </c>
      <c r="N659">
        <f>IF($A659="","",IF($D659="V01",$R$2,IF($D659="V02",$R$3,$R$4)))</f>
        <v/>
      </c>
      <c r="O659">
        <f>IF($A659="","",IF(OR($B659="7062",$B659="706",$B659="708"),$N659,IF($B659="6231",1+$G659,IF($B659="6236",1+$H659,IF(OR($B659="621",$B659="604",$B659="6063"),$N659*(1-$L659),IF(OR($B659="6411",$B659="6413",$B659="6414",$B659="645"),(1+$J659)*(1+$K659),IF(OR($B659="613",$B659="615",$B659="616",$B659="6226",$B659="625",$B659="626",$B659="6281"),(1+$I659)*(1-$L659)*(1+$M659),IF(OR($B659="6331",$B659="63511",$B659="6333"),(1+$I659)*(1-$L659),IF($B659="6811",1+$I659,1)))))))))</f>
        <v/>
      </c>
      <c r="P659">
        <f>IF($A659="","",IF($E659=1,$F659*$O659,PNL!G659))</f>
        <v/>
      </c>
      <c r="T659">
        <f>IF($A659="","",IF($E659=1,IF(OR($B659="7062",$B659="706",$B659="708"),$P659,IF(AND(LEFT($B659,1)="6",$B659&lt;&gt;"6811"),-$P659,0)),0))</f>
        <v/>
      </c>
    </row>
    <row r="660">
      <c r="A660">
        <f>IF(PNL!A660="","",PNL!A660)</f>
        <v/>
      </c>
      <c r="B660">
        <f>IF(PNL!B660="","",PNL!B660)</f>
        <v/>
      </c>
      <c r="C660">
        <f>IF(PNL!C660="","",PNL!C660)</f>
        <v/>
      </c>
      <c r="D660">
        <f>IF(PNL!D660="","",PNL!D660)</f>
        <v/>
      </c>
      <c r="E660">
        <f>IF($A660="","",IF(AND($C660="2027",OR($D660="V01",$D660="V02",$D660="V03")),1,0))</f>
        <v/>
      </c>
      <c r="F660">
        <f>IF($A660="","",IF($E660=1,SUMIFS(Comptabilité!$F$1:$F$675,Comptabilité!$A$1:$A$675,$A660,Comptabilité!$B$1:$B$675,$B660,Comptabilité!$C$1:$C$675,"2026"),0))</f>
        <v/>
      </c>
      <c r="G660">
        <f>IF($A660="","",IF($D660="V01",Cadrage!$C$22,IF($D660="V02",Cadrage!$D$22,Cadrage!$E$22)))</f>
        <v/>
      </c>
      <c r="H660">
        <f>IF($A660="","",IF($D660="V01",Cadrage!$C$23,IF($D660="V02",Cadrage!$D$23,Cadrage!$E$23)))</f>
        <v/>
      </c>
      <c r="I660">
        <f>IF($A660="","",IF($D660="V01",Cadrage!$C$31,IF($D660="V02",Cadrage!$D$31,Cadrage!$E$31)))</f>
        <v/>
      </c>
      <c r="J660">
        <f>IF($A660="","",IF($D660="V01",Cadrage!$C$32,IF($D660="V02",Cadrage!$D$32,Cadrage!$E$32)))</f>
        <v/>
      </c>
      <c r="K660">
        <f>IF($A660="","",IF($D660="V01",Cadrage!$C$33,IF($D660="V02",Cadrage!$D$33,Cadrage!$E$33)))</f>
        <v/>
      </c>
      <c r="L660">
        <f>IF($A660="","",IF($D660="V01",Cadrage!$C$34,IF($D660="V02",Cadrage!$D$34,Cadrage!$E$34)))</f>
        <v/>
      </c>
      <c r="M660">
        <f>IF($A660="","",IF($D660="V01",Cadrage!$C$35,IF($D660="V02",Cadrage!$D$35,Cadrage!$E$35)))</f>
        <v/>
      </c>
      <c r="N660">
        <f>IF($A660="","",IF($D660="V01",$R$2,IF($D660="V02",$R$3,$R$4)))</f>
        <v/>
      </c>
      <c r="O660">
        <f>IF($A660="","",IF(OR($B660="7062",$B660="706",$B660="708"),$N660,IF($B660="6231",1+$G660,IF($B660="6236",1+$H660,IF(OR($B660="621",$B660="604",$B660="6063"),$N660*(1-$L660),IF(OR($B660="6411",$B660="6413",$B660="6414",$B660="645"),(1+$J660)*(1+$K660),IF(OR($B660="613",$B660="615",$B660="616",$B660="6226",$B660="625",$B660="626",$B660="6281"),(1+$I660)*(1-$L660)*(1+$M660),IF(OR($B660="6331",$B660="63511",$B660="6333"),(1+$I660)*(1-$L660),IF($B660="6811",1+$I660,1)))))))))</f>
        <v/>
      </c>
      <c r="P660">
        <f>IF($A660="","",IF($E660=1,$F660*$O660,PNL!G660))</f>
        <v/>
      </c>
      <c r="T660">
        <f>IF($A660="","",IF($E660=1,IF(OR($B660="7062",$B660="706",$B660="708"),$P660,IF(AND(LEFT($B660,1)="6",$B660&lt;&gt;"6811"),-$P660,0)),0))</f>
        <v/>
      </c>
    </row>
    <row r="661">
      <c r="A661">
        <f>IF(PNL!A661="","",PNL!A661)</f>
        <v/>
      </c>
      <c r="B661">
        <f>IF(PNL!B661="","",PNL!B661)</f>
        <v/>
      </c>
      <c r="C661">
        <f>IF(PNL!C661="","",PNL!C661)</f>
        <v/>
      </c>
      <c r="D661">
        <f>IF(PNL!D661="","",PNL!D661)</f>
        <v/>
      </c>
      <c r="E661">
        <f>IF($A661="","",IF(AND($C661="2027",OR($D661="V01",$D661="V02",$D661="V03")),1,0))</f>
        <v/>
      </c>
      <c r="F661">
        <f>IF($A661="","",IF($E661=1,SUMIFS(Comptabilité!$F$1:$F$675,Comptabilité!$A$1:$A$675,$A661,Comptabilité!$B$1:$B$675,$B661,Comptabilité!$C$1:$C$675,"2026"),0))</f>
        <v/>
      </c>
      <c r="G661">
        <f>IF($A661="","",IF($D661="V01",Cadrage!$C$22,IF($D661="V02",Cadrage!$D$22,Cadrage!$E$22)))</f>
        <v/>
      </c>
      <c r="H661">
        <f>IF($A661="","",IF($D661="V01",Cadrage!$C$23,IF($D661="V02",Cadrage!$D$23,Cadrage!$E$23)))</f>
        <v/>
      </c>
      <c r="I661">
        <f>IF($A661="","",IF($D661="V01",Cadrage!$C$31,IF($D661="V02",Cadrage!$D$31,Cadrage!$E$31)))</f>
        <v/>
      </c>
      <c r="J661">
        <f>IF($A661="","",IF($D661="V01",Cadrage!$C$32,IF($D661="V02",Cadrage!$D$32,Cadrage!$E$32)))</f>
        <v/>
      </c>
      <c r="K661">
        <f>IF($A661="","",IF($D661="V01",Cadrage!$C$33,IF($D661="V02",Cadrage!$D$33,Cadrage!$E$33)))</f>
        <v/>
      </c>
      <c r="L661">
        <f>IF($A661="","",IF($D661="V01",Cadrage!$C$34,IF($D661="V02",Cadrage!$D$34,Cadrage!$E$34)))</f>
        <v/>
      </c>
      <c r="M661">
        <f>IF($A661="","",IF($D661="V01",Cadrage!$C$35,IF($D661="V02",Cadrage!$D$35,Cadrage!$E$35)))</f>
        <v/>
      </c>
      <c r="N661">
        <f>IF($A661="","",IF($D661="V01",$R$2,IF($D661="V02",$R$3,$R$4)))</f>
        <v/>
      </c>
      <c r="O661">
        <f>IF($A661="","",IF(OR($B661="7062",$B661="706",$B661="708"),$N661,IF($B661="6231",1+$G661,IF($B661="6236",1+$H661,IF(OR($B661="621",$B661="604",$B661="6063"),$N661*(1-$L661),IF(OR($B661="6411",$B661="6413",$B661="6414",$B661="645"),(1+$J661)*(1+$K661),IF(OR($B661="613",$B661="615",$B661="616",$B661="6226",$B661="625",$B661="626",$B661="6281"),(1+$I661)*(1-$L661)*(1+$M661),IF(OR($B661="6331",$B661="63511",$B661="6333"),(1+$I661)*(1-$L661),IF($B661="6811",1+$I661,1)))))))))</f>
        <v/>
      </c>
      <c r="P661">
        <f>IF($A661="","",IF($E661=1,$F661*$O661,PNL!G661))</f>
        <v/>
      </c>
      <c r="T661">
        <f>IF($A661="","",IF($E661=1,IF(OR($B661="7062",$B661="706",$B661="708"),$P661,IF(AND(LEFT($B661,1)="6",$B661&lt;&gt;"6811"),-$P661,0)),0))</f>
        <v/>
      </c>
    </row>
    <row r="662">
      <c r="A662">
        <f>IF(PNL!A662="","",PNL!A662)</f>
        <v/>
      </c>
      <c r="B662">
        <f>IF(PNL!B662="","",PNL!B662)</f>
        <v/>
      </c>
      <c r="C662">
        <f>IF(PNL!C662="","",PNL!C662)</f>
        <v/>
      </c>
      <c r="D662">
        <f>IF(PNL!D662="","",PNL!D662)</f>
        <v/>
      </c>
      <c r="E662">
        <f>IF($A662="","",IF(AND($C662="2027",OR($D662="V01",$D662="V02",$D662="V03")),1,0))</f>
        <v/>
      </c>
      <c r="F662">
        <f>IF($A662="","",IF($E662=1,SUMIFS(Comptabilité!$F$1:$F$675,Comptabilité!$A$1:$A$675,$A662,Comptabilité!$B$1:$B$675,$B662,Comptabilité!$C$1:$C$675,"2026"),0))</f>
        <v/>
      </c>
      <c r="G662">
        <f>IF($A662="","",IF($D662="V01",Cadrage!$C$22,IF($D662="V02",Cadrage!$D$22,Cadrage!$E$22)))</f>
        <v/>
      </c>
      <c r="H662">
        <f>IF($A662="","",IF($D662="V01",Cadrage!$C$23,IF($D662="V02",Cadrage!$D$23,Cadrage!$E$23)))</f>
        <v/>
      </c>
      <c r="I662">
        <f>IF($A662="","",IF($D662="V01",Cadrage!$C$31,IF($D662="V02",Cadrage!$D$31,Cadrage!$E$31)))</f>
        <v/>
      </c>
      <c r="J662">
        <f>IF($A662="","",IF($D662="V01",Cadrage!$C$32,IF($D662="V02",Cadrage!$D$32,Cadrage!$E$32)))</f>
        <v/>
      </c>
      <c r="K662">
        <f>IF($A662="","",IF($D662="V01",Cadrage!$C$33,IF($D662="V02",Cadrage!$D$33,Cadrage!$E$33)))</f>
        <v/>
      </c>
      <c r="L662">
        <f>IF($A662="","",IF($D662="V01",Cadrage!$C$34,IF($D662="V02",Cadrage!$D$34,Cadrage!$E$34)))</f>
        <v/>
      </c>
      <c r="M662">
        <f>IF($A662="","",IF($D662="V01",Cadrage!$C$35,IF($D662="V02",Cadrage!$D$35,Cadrage!$E$35)))</f>
        <v/>
      </c>
      <c r="N662">
        <f>IF($A662="","",IF($D662="V01",$R$2,IF($D662="V02",$R$3,$R$4)))</f>
        <v/>
      </c>
      <c r="O662">
        <f>IF($A662="","",IF(OR($B662="7062",$B662="706",$B662="708"),$N662,IF($B662="6231",1+$G662,IF($B662="6236",1+$H662,IF(OR($B662="621",$B662="604",$B662="6063"),$N662*(1-$L662),IF(OR($B662="6411",$B662="6413",$B662="6414",$B662="645"),(1+$J662)*(1+$K662),IF(OR($B662="613",$B662="615",$B662="616",$B662="6226",$B662="625",$B662="626",$B662="6281"),(1+$I662)*(1-$L662)*(1+$M662),IF(OR($B662="6331",$B662="63511",$B662="6333"),(1+$I662)*(1-$L662),IF($B662="6811",1+$I662,1)))))))))</f>
        <v/>
      </c>
      <c r="P662">
        <f>IF($A662="","",IF($E662=1,$F662*$O662,PNL!G662))</f>
        <v/>
      </c>
      <c r="T662">
        <f>IF($A662="","",IF($E662=1,IF(OR($B662="7062",$B662="706",$B662="708"),$P662,IF(AND(LEFT($B662,1)="6",$B662&lt;&gt;"6811"),-$P662,0)),0))</f>
        <v/>
      </c>
    </row>
    <row r="663">
      <c r="A663">
        <f>IF(PNL!A663="","",PNL!A663)</f>
        <v/>
      </c>
      <c r="B663">
        <f>IF(PNL!B663="","",PNL!B663)</f>
        <v/>
      </c>
      <c r="C663">
        <f>IF(PNL!C663="","",PNL!C663)</f>
        <v/>
      </c>
      <c r="D663">
        <f>IF(PNL!D663="","",PNL!D663)</f>
        <v/>
      </c>
      <c r="E663">
        <f>IF($A663="","",IF(AND($C663="2027",OR($D663="V01",$D663="V02",$D663="V03")),1,0))</f>
        <v/>
      </c>
      <c r="F663">
        <f>IF($A663="","",IF($E663=1,SUMIFS(Comptabilité!$F$1:$F$675,Comptabilité!$A$1:$A$675,$A663,Comptabilité!$B$1:$B$675,$B663,Comptabilité!$C$1:$C$675,"2026"),0))</f>
        <v/>
      </c>
      <c r="G663">
        <f>IF($A663="","",IF($D663="V01",Cadrage!$C$22,IF($D663="V02",Cadrage!$D$22,Cadrage!$E$22)))</f>
        <v/>
      </c>
      <c r="H663">
        <f>IF($A663="","",IF($D663="V01",Cadrage!$C$23,IF($D663="V02",Cadrage!$D$23,Cadrage!$E$23)))</f>
        <v/>
      </c>
      <c r="I663">
        <f>IF($A663="","",IF($D663="V01",Cadrage!$C$31,IF($D663="V02",Cadrage!$D$31,Cadrage!$E$31)))</f>
        <v/>
      </c>
      <c r="J663">
        <f>IF($A663="","",IF($D663="V01",Cadrage!$C$32,IF($D663="V02",Cadrage!$D$32,Cadrage!$E$32)))</f>
        <v/>
      </c>
      <c r="K663">
        <f>IF($A663="","",IF($D663="V01",Cadrage!$C$33,IF($D663="V02",Cadrage!$D$33,Cadrage!$E$33)))</f>
        <v/>
      </c>
      <c r="L663">
        <f>IF($A663="","",IF($D663="V01",Cadrage!$C$34,IF($D663="V02",Cadrage!$D$34,Cadrage!$E$34)))</f>
        <v/>
      </c>
      <c r="M663">
        <f>IF($A663="","",IF($D663="V01",Cadrage!$C$35,IF($D663="V02",Cadrage!$D$35,Cadrage!$E$35)))</f>
        <v/>
      </c>
      <c r="N663">
        <f>IF($A663="","",IF($D663="V01",$R$2,IF($D663="V02",$R$3,$R$4)))</f>
        <v/>
      </c>
      <c r="O663">
        <f>IF($A663="","",IF(OR($B663="7062",$B663="706",$B663="708"),$N663,IF($B663="6231",1+$G663,IF($B663="6236",1+$H663,IF(OR($B663="621",$B663="604",$B663="6063"),$N663*(1-$L663),IF(OR($B663="6411",$B663="6413",$B663="6414",$B663="645"),(1+$J663)*(1+$K663),IF(OR($B663="613",$B663="615",$B663="616",$B663="6226",$B663="625",$B663="626",$B663="6281"),(1+$I663)*(1-$L663)*(1+$M663),IF(OR($B663="6331",$B663="63511",$B663="6333"),(1+$I663)*(1-$L663),IF($B663="6811",1+$I663,1)))))))))</f>
        <v/>
      </c>
      <c r="P663">
        <f>IF($A663="","",IF($E663=1,$F663*$O663,PNL!G663))</f>
        <v/>
      </c>
      <c r="T663">
        <f>IF($A663="","",IF($E663=1,IF(OR($B663="7062",$B663="706",$B663="708"),$P663,IF(AND(LEFT($B663,1)="6",$B663&lt;&gt;"6811"),-$P663,0)),0))</f>
        <v/>
      </c>
    </row>
    <row r="664">
      <c r="A664">
        <f>IF(PNL!A664="","",PNL!A664)</f>
        <v/>
      </c>
      <c r="B664">
        <f>IF(PNL!B664="","",PNL!B664)</f>
        <v/>
      </c>
      <c r="C664">
        <f>IF(PNL!C664="","",PNL!C664)</f>
        <v/>
      </c>
      <c r="D664">
        <f>IF(PNL!D664="","",PNL!D664)</f>
        <v/>
      </c>
      <c r="E664">
        <f>IF($A664="","",IF(AND($C664="2027",OR($D664="V01",$D664="V02",$D664="V03")),1,0))</f>
        <v/>
      </c>
      <c r="F664">
        <f>IF($A664="","",IF($E664=1,SUMIFS(Comptabilité!$F$1:$F$675,Comptabilité!$A$1:$A$675,$A664,Comptabilité!$B$1:$B$675,$B664,Comptabilité!$C$1:$C$675,"2026"),0))</f>
        <v/>
      </c>
      <c r="G664">
        <f>IF($A664="","",IF($D664="V01",Cadrage!$C$22,IF($D664="V02",Cadrage!$D$22,Cadrage!$E$22)))</f>
        <v/>
      </c>
      <c r="H664">
        <f>IF($A664="","",IF($D664="V01",Cadrage!$C$23,IF($D664="V02",Cadrage!$D$23,Cadrage!$E$23)))</f>
        <v/>
      </c>
      <c r="I664">
        <f>IF($A664="","",IF($D664="V01",Cadrage!$C$31,IF($D664="V02",Cadrage!$D$31,Cadrage!$E$31)))</f>
        <v/>
      </c>
      <c r="J664">
        <f>IF($A664="","",IF($D664="V01",Cadrage!$C$32,IF($D664="V02",Cadrage!$D$32,Cadrage!$E$32)))</f>
        <v/>
      </c>
      <c r="K664">
        <f>IF($A664="","",IF($D664="V01",Cadrage!$C$33,IF($D664="V02",Cadrage!$D$33,Cadrage!$E$33)))</f>
        <v/>
      </c>
      <c r="L664">
        <f>IF($A664="","",IF($D664="V01",Cadrage!$C$34,IF($D664="V02",Cadrage!$D$34,Cadrage!$E$34)))</f>
        <v/>
      </c>
      <c r="M664">
        <f>IF($A664="","",IF($D664="V01",Cadrage!$C$35,IF($D664="V02",Cadrage!$D$35,Cadrage!$E$35)))</f>
        <v/>
      </c>
      <c r="N664">
        <f>IF($A664="","",IF($D664="V01",$R$2,IF($D664="V02",$R$3,$R$4)))</f>
        <v/>
      </c>
      <c r="O664">
        <f>IF($A664="","",IF(OR($B664="7062",$B664="706",$B664="708"),$N664,IF($B664="6231",1+$G664,IF($B664="6236",1+$H664,IF(OR($B664="621",$B664="604",$B664="6063"),$N664*(1-$L664),IF(OR($B664="6411",$B664="6413",$B664="6414",$B664="645"),(1+$J664)*(1+$K664),IF(OR($B664="613",$B664="615",$B664="616",$B664="6226",$B664="625",$B664="626",$B664="6281"),(1+$I664)*(1-$L664)*(1+$M664),IF(OR($B664="6331",$B664="63511",$B664="6333"),(1+$I664)*(1-$L664),IF($B664="6811",1+$I664,1)))))))))</f>
        <v/>
      </c>
      <c r="P664">
        <f>IF($A664="","",IF($E664=1,$F664*$O664,PNL!G664))</f>
        <v/>
      </c>
      <c r="T664">
        <f>IF($A664="","",IF($E664=1,IF(OR($B664="7062",$B664="706",$B664="708"),$P664,IF(AND(LEFT($B664,1)="6",$B664&lt;&gt;"6811"),-$P664,0)),0))</f>
        <v/>
      </c>
    </row>
    <row r="665">
      <c r="A665">
        <f>IF(PNL!A665="","",PNL!A665)</f>
        <v/>
      </c>
      <c r="B665">
        <f>IF(PNL!B665="","",PNL!B665)</f>
        <v/>
      </c>
      <c r="C665">
        <f>IF(PNL!C665="","",PNL!C665)</f>
        <v/>
      </c>
      <c r="D665">
        <f>IF(PNL!D665="","",PNL!D665)</f>
        <v/>
      </c>
      <c r="E665">
        <f>IF($A665="","",IF(AND($C665="2027",OR($D665="V01",$D665="V02",$D665="V03")),1,0))</f>
        <v/>
      </c>
      <c r="F665">
        <f>IF($A665="","",IF($E665=1,SUMIFS(Comptabilité!$F$1:$F$675,Comptabilité!$A$1:$A$675,$A665,Comptabilité!$B$1:$B$675,$B665,Comptabilité!$C$1:$C$675,"2026"),0))</f>
        <v/>
      </c>
      <c r="G665">
        <f>IF($A665="","",IF($D665="V01",Cadrage!$C$22,IF($D665="V02",Cadrage!$D$22,Cadrage!$E$22)))</f>
        <v/>
      </c>
      <c r="H665">
        <f>IF($A665="","",IF($D665="V01",Cadrage!$C$23,IF($D665="V02",Cadrage!$D$23,Cadrage!$E$23)))</f>
        <v/>
      </c>
      <c r="I665">
        <f>IF($A665="","",IF($D665="V01",Cadrage!$C$31,IF($D665="V02",Cadrage!$D$31,Cadrage!$E$31)))</f>
        <v/>
      </c>
      <c r="J665">
        <f>IF($A665="","",IF($D665="V01",Cadrage!$C$32,IF($D665="V02",Cadrage!$D$32,Cadrage!$E$32)))</f>
        <v/>
      </c>
      <c r="K665">
        <f>IF($A665="","",IF($D665="V01",Cadrage!$C$33,IF($D665="V02",Cadrage!$D$33,Cadrage!$E$33)))</f>
        <v/>
      </c>
      <c r="L665">
        <f>IF($A665="","",IF($D665="V01",Cadrage!$C$34,IF($D665="V02",Cadrage!$D$34,Cadrage!$E$34)))</f>
        <v/>
      </c>
      <c r="M665">
        <f>IF($A665="","",IF($D665="V01",Cadrage!$C$35,IF($D665="V02",Cadrage!$D$35,Cadrage!$E$35)))</f>
        <v/>
      </c>
      <c r="N665">
        <f>IF($A665="","",IF($D665="V01",$R$2,IF($D665="V02",$R$3,$R$4)))</f>
        <v/>
      </c>
      <c r="O665">
        <f>IF($A665="","",IF(OR($B665="7062",$B665="706",$B665="708"),$N665,IF($B665="6231",1+$G665,IF($B665="6236",1+$H665,IF(OR($B665="621",$B665="604",$B665="6063"),$N665*(1-$L665),IF(OR($B665="6411",$B665="6413",$B665="6414",$B665="645"),(1+$J665)*(1+$K665),IF(OR($B665="613",$B665="615",$B665="616",$B665="6226",$B665="625",$B665="626",$B665="6281"),(1+$I665)*(1-$L665)*(1+$M665),IF(OR($B665="6331",$B665="63511",$B665="6333"),(1+$I665)*(1-$L665),IF($B665="6811",1+$I665,1)))))))))</f>
        <v/>
      </c>
      <c r="P665">
        <f>IF($A665="","",IF($E665=1,$F665*$O665,PNL!G665))</f>
        <v/>
      </c>
      <c r="T665">
        <f>IF($A665="","",IF($E665=1,IF(OR($B665="7062",$B665="706",$B665="708"),$P665,IF(AND(LEFT($B665,1)="6",$B665&lt;&gt;"6811"),-$P665,0)),0))</f>
        <v/>
      </c>
    </row>
    <row r="666">
      <c r="A666">
        <f>IF(PNL!A666="","",PNL!A666)</f>
        <v/>
      </c>
      <c r="B666">
        <f>IF(PNL!B666="","",PNL!B666)</f>
        <v/>
      </c>
      <c r="C666">
        <f>IF(PNL!C666="","",PNL!C666)</f>
        <v/>
      </c>
      <c r="D666">
        <f>IF(PNL!D666="","",PNL!D666)</f>
        <v/>
      </c>
      <c r="E666">
        <f>IF($A666="","",IF(AND($C666="2027",OR($D666="V01",$D666="V02",$D666="V03")),1,0))</f>
        <v/>
      </c>
      <c r="F666">
        <f>IF($A666="","",IF($E666=1,SUMIFS(Comptabilité!$F$1:$F$675,Comptabilité!$A$1:$A$675,$A666,Comptabilité!$B$1:$B$675,$B666,Comptabilité!$C$1:$C$675,"2026"),0))</f>
        <v/>
      </c>
      <c r="G666">
        <f>IF($A666="","",IF($D666="V01",Cadrage!$C$22,IF($D666="V02",Cadrage!$D$22,Cadrage!$E$22)))</f>
        <v/>
      </c>
      <c r="H666">
        <f>IF($A666="","",IF($D666="V01",Cadrage!$C$23,IF($D666="V02",Cadrage!$D$23,Cadrage!$E$23)))</f>
        <v/>
      </c>
      <c r="I666">
        <f>IF($A666="","",IF($D666="V01",Cadrage!$C$31,IF($D666="V02",Cadrage!$D$31,Cadrage!$E$31)))</f>
        <v/>
      </c>
      <c r="J666">
        <f>IF($A666="","",IF($D666="V01",Cadrage!$C$32,IF($D666="V02",Cadrage!$D$32,Cadrage!$E$32)))</f>
        <v/>
      </c>
      <c r="K666">
        <f>IF($A666="","",IF($D666="V01",Cadrage!$C$33,IF($D666="V02",Cadrage!$D$33,Cadrage!$E$33)))</f>
        <v/>
      </c>
      <c r="L666">
        <f>IF($A666="","",IF($D666="V01",Cadrage!$C$34,IF($D666="V02",Cadrage!$D$34,Cadrage!$E$34)))</f>
        <v/>
      </c>
      <c r="M666">
        <f>IF($A666="","",IF($D666="V01",Cadrage!$C$35,IF($D666="V02",Cadrage!$D$35,Cadrage!$E$35)))</f>
        <v/>
      </c>
      <c r="N666">
        <f>IF($A666="","",IF($D666="V01",$R$2,IF($D666="V02",$R$3,$R$4)))</f>
        <v/>
      </c>
      <c r="O666">
        <f>IF($A666="","",IF(OR($B666="7062",$B666="706",$B666="708"),$N666,IF($B666="6231",1+$G666,IF($B666="6236",1+$H666,IF(OR($B666="621",$B666="604",$B666="6063"),$N666*(1-$L666),IF(OR($B666="6411",$B666="6413",$B666="6414",$B666="645"),(1+$J666)*(1+$K666),IF(OR($B666="613",$B666="615",$B666="616",$B666="6226",$B666="625",$B666="626",$B666="6281"),(1+$I666)*(1-$L666)*(1+$M666),IF(OR($B666="6331",$B666="63511",$B666="6333"),(1+$I666)*(1-$L666),IF($B666="6811",1+$I666,1)))))))))</f>
        <v/>
      </c>
      <c r="P666">
        <f>IF($A666="","",IF($E666=1,$F666*$O666,PNL!G666))</f>
        <v/>
      </c>
      <c r="T666">
        <f>IF($A666="","",IF($E666=1,IF(OR($B666="7062",$B666="706",$B666="708"),$P666,IF(AND(LEFT($B666,1)="6",$B666&lt;&gt;"6811"),-$P666,0)),0))</f>
        <v/>
      </c>
    </row>
    <row r="667">
      <c r="A667">
        <f>IF(PNL!A667="","",PNL!A667)</f>
        <v/>
      </c>
      <c r="B667">
        <f>IF(PNL!B667="","",PNL!B667)</f>
        <v/>
      </c>
      <c r="C667">
        <f>IF(PNL!C667="","",PNL!C667)</f>
        <v/>
      </c>
      <c r="D667">
        <f>IF(PNL!D667="","",PNL!D667)</f>
        <v/>
      </c>
      <c r="E667">
        <f>IF($A667="","",IF(AND($C667="2027",OR($D667="V01",$D667="V02",$D667="V03")),1,0))</f>
        <v/>
      </c>
      <c r="F667">
        <f>IF($A667="","",IF($E667=1,SUMIFS(Comptabilité!$F$1:$F$675,Comptabilité!$A$1:$A$675,$A667,Comptabilité!$B$1:$B$675,$B667,Comptabilité!$C$1:$C$675,"2026"),0))</f>
        <v/>
      </c>
      <c r="G667">
        <f>IF($A667="","",IF($D667="V01",Cadrage!$C$22,IF($D667="V02",Cadrage!$D$22,Cadrage!$E$22)))</f>
        <v/>
      </c>
      <c r="H667">
        <f>IF($A667="","",IF($D667="V01",Cadrage!$C$23,IF($D667="V02",Cadrage!$D$23,Cadrage!$E$23)))</f>
        <v/>
      </c>
      <c r="I667">
        <f>IF($A667="","",IF($D667="V01",Cadrage!$C$31,IF($D667="V02",Cadrage!$D$31,Cadrage!$E$31)))</f>
        <v/>
      </c>
      <c r="J667">
        <f>IF($A667="","",IF($D667="V01",Cadrage!$C$32,IF($D667="V02",Cadrage!$D$32,Cadrage!$E$32)))</f>
        <v/>
      </c>
      <c r="K667">
        <f>IF($A667="","",IF($D667="V01",Cadrage!$C$33,IF($D667="V02",Cadrage!$D$33,Cadrage!$E$33)))</f>
        <v/>
      </c>
      <c r="L667">
        <f>IF($A667="","",IF($D667="V01",Cadrage!$C$34,IF($D667="V02",Cadrage!$D$34,Cadrage!$E$34)))</f>
        <v/>
      </c>
      <c r="M667">
        <f>IF($A667="","",IF($D667="V01",Cadrage!$C$35,IF($D667="V02",Cadrage!$D$35,Cadrage!$E$35)))</f>
        <v/>
      </c>
      <c r="N667">
        <f>IF($A667="","",IF($D667="V01",$R$2,IF($D667="V02",$R$3,$R$4)))</f>
        <v/>
      </c>
      <c r="O667">
        <f>IF($A667="","",IF(OR($B667="7062",$B667="706",$B667="708"),$N667,IF($B667="6231",1+$G667,IF($B667="6236",1+$H667,IF(OR($B667="621",$B667="604",$B667="6063"),$N667*(1-$L667),IF(OR($B667="6411",$B667="6413",$B667="6414",$B667="645"),(1+$J667)*(1+$K667),IF(OR($B667="613",$B667="615",$B667="616",$B667="6226",$B667="625",$B667="626",$B667="6281"),(1+$I667)*(1-$L667)*(1+$M667),IF(OR($B667="6331",$B667="63511",$B667="6333"),(1+$I667)*(1-$L667),IF($B667="6811",1+$I667,1)))))))))</f>
        <v/>
      </c>
      <c r="P667">
        <f>IF($A667="","",IF($E667=1,$F667*$O667,PNL!G667))</f>
        <v/>
      </c>
      <c r="T667">
        <f>IF($A667="","",IF($E667=1,IF(OR($B667="7062",$B667="706",$B667="708"),$P667,IF(AND(LEFT($B667,1)="6",$B667&lt;&gt;"6811"),-$P667,0)),0))</f>
        <v/>
      </c>
    </row>
    <row r="668">
      <c r="A668">
        <f>IF(PNL!A668="","",PNL!A668)</f>
        <v/>
      </c>
      <c r="B668">
        <f>IF(PNL!B668="","",PNL!B668)</f>
        <v/>
      </c>
      <c r="C668">
        <f>IF(PNL!C668="","",PNL!C668)</f>
        <v/>
      </c>
      <c r="D668">
        <f>IF(PNL!D668="","",PNL!D668)</f>
        <v/>
      </c>
      <c r="E668">
        <f>IF($A668="","",IF(AND($C668="2027",OR($D668="V01",$D668="V02",$D668="V03")),1,0))</f>
        <v/>
      </c>
      <c r="F668">
        <f>IF($A668="","",IF($E668=1,SUMIFS(Comptabilité!$F$1:$F$675,Comptabilité!$A$1:$A$675,$A668,Comptabilité!$B$1:$B$675,$B668,Comptabilité!$C$1:$C$675,"2026"),0))</f>
        <v/>
      </c>
      <c r="G668">
        <f>IF($A668="","",IF($D668="V01",Cadrage!$C$22,IF($D668="V02",Cadrage!$D$22,Cadrage!$E$22)))</f>
        <v/>
      </c>
      <c r="H668">
        <f>IF($A668="","",IF($D668="V01",Cadrage!$C$23,IF($D668="V02",Cadrage!$D$23,Cadrage!$E$23)))</f>
        <v/>
      </c>
      <c r="I668">
        <f>IF($A668="","",IF($D668="V01",Cadrage!$C$31,IF($D668="V02",Cadrage!$D$31,Cadrage!$E$31)))</f>
        <v/>
      </c>
      <c r="J668">
        <f>IF($A668="","",IF($D668="V01",Cadrage!$C$32,IF($D668="V02",Cadrage!$D$32,Cadrage!$E$32)))</f>
        <v/>
      </c>
      <c r="K668">
        <f>IF($A668="","",IF($D668="V01",Cadrage!$C$33,IF($D668="V02",Cadrage!$D$33,Cadrage!$E$33)))</f>
        <v/>
      </c>
      <c r="L668">
        <f>IF($A668="","",IF($D668="V01",Cadrage!$C$34,IF($D668="V02",Cadrage!$D$34,Cadrage!$E$34)))</f>
        <v/>
      </c>
      <c r="M668">
        <f>IF($A668="","",IF($D668="V01",Cadrage!$C$35,IF($D668="V02",Cadrage!$D$35,Cadrage!$E$35)))</f>
        <v/>
      </c>
      <c r="N668">
        <f>IF($A668="","",IF($D668="V01",$R$2,IF($D668="V02",$R$3,$R$4)))</f>
        <v/>
      </c>
      <c r="O668">
        <f>IF($A668="","",IF(OR($B668="7062",$B668="706",$B668="708"),$N668,IF($B668="6231",1+$G668,IF($B668="6236",1+$H668,IF(OR($B668="621",$B668="604",$B668="6063"),$N668*(1-$L668),IF(OR($B668="6411",$B668="6413",$B668="6414",$B668="645"),(1+$J668)*(1+$K668),IF(OR($B668="613",$B668="615",$B668="616",$B668="6226",$B668="625",$B668="626",$B668="6281"),(1+$I668)*(1-$L668)*(1+$M668),IF(OR($B668="6331",$B668="63511",$B668="6333"),(1+$I668)*(1-$L668),IF($B668="6811",1+$I668,1)))))))))</f>
        <v/>
      </c>
      <c r="P668">
        <f>IF($A668="","",IF($E668=1,$F668*$O668,PNL!G668))</f>
        <v/>
      </c>
      <c r="T668">
        <f>IF($A668="","",IF($E668=1,IF(OR($B668="7062",$B668="706",$B668="708"),$P668,IF(AND(LEFT($B668,1)="6",$B668&lt;&gt;"6811"),-$P668,0)),0))</f>
        <v/>
      </c>
    </row>
    <row r="669">
      <c r="A669">
        <f>IF(PNL!A669="","",PNL!A669)</f>
        <v/>
      </c>
      <c r="B669">
        <f>IF(PNL!B669="","",PNL!B669)</f>
        <v/>
      </c>
      <c r="C669">
        <f>IF(PNL!C669="","",PNL!C669)</f>
        <v/>
      </c>
      <c r="D669">
        <f>IF(PNL!D669="","",PNL!D669)</f>
        <v/>
      </c>
      <c r="E669">
        <f>IF($A669="","",IF(AND($C669="2027",OR($D669="V01",$D669="V02",$D669="V03")),1,0))</f>
        <v/>
      </c>
      <c r="F669">
        <f>IF($A669="","",IF($E669=1,SUMIFS(Comptabilité!$F$1:$F$675,Comptabilité!$A$1:$A$675,$A669,Comptabilité!$B$1:$B$675,$B669,Comptabilité!$C$1:$C$675,"2026"),0))</f>
        <v/>
      </c>
      <c r="G669">
        <f>IF($A669="","",IF($D669="V01",Cadrage!$C$22,IF($D669="V02",Cadrage!$D$22,Cadrage!$E$22)))</f>
        <v/>
      </c>
      <c r="H669">
        <f>IF($A669="","",IF($D669="V01",Cadrage!$C$23,IF($D669="V02",Cadrage!$D$23,Cadrage!$E$23)))</f>
        <v/>
      </c>
      <c r="I669">
        <f>IF($A669="","",IF($D669="V01",Cadrage!$C$31,IF($D669="V02",Cadrage!$D$31,Cadrage!$E$31)))</f>
        <v/>
      </c>
      <c r="J669">
        <f>IF($A669="","",IF($D669="V01",Cadrage!$C$32,IF($D669="V02",Cadrage!$D$32,Cadrage!$E$32)))</f>
        <v/>
      </c>
      <c r="K669">
        <f>IF($A669="","",IF($D669="V01",Cadrage!$C$33,IF($D669="V02",Cadrage!$D$33,Cadrage!$E$33)))</f>
        <v/>
      </c>
      <c r="L669">
        <f>IF($A669="","",IF($D669="V01",Cadrage!$C$34,IF($D669="V02",Cadrage!$D$34,Cadrage!$E$34)))</f>
        <v/>
      </c>
      <c r="M669">
        <f>IF($A669="","",IF($D669="V01",Cadrage!$C$35,IF($D669="V02",Cadrage!$D$35,Cadrage!$E$35)))</f>
        <v/>
      </c>
      <c r="N669">
        <f>IF($A669="","",IF($D669="V01",$R$2,IF($D669="V02",$R$3,$R$4)))</f>
        <v/>
      </c>
      <c r="O669">
        <f>IF($A669="","",IF(OR($B669="7062",$B669="706",$B669="708"),$N669,IF($B669="6231",1+$G669,IF($B669="6236",1+$H669,IF(OR($B669="621",$B669="604",$B669="6063"),$N669*(1-$L669),IF(OR($B669="6411",$B669="6413",$B669="6414",$B669="645"),(1+$J669)*(1+$K669),IF(OR($B669="613",$B669="615",$B669="616",$B669="6226",$B669="625",$B669="626",$B669="6281"),(1+$I669)*(1-$L669)*(1+$M669),IF(OR($B669="6331",$B669="63511",$B669="6333"),(1+$I669)*(1-$L669),IF($B669="6811",1+$I669,1)))))))))</f>
        <v/>
      </c>
      <c r="P669">
        <f>IF($A669="","",IF($E669=1,$F669*$O669,PNL!G669))</f>
        <v/>
      </c>
      <c r="T669">
        <f>IF($A669="","",IF($E669=1,IF(OR($B669="7062",$B669="706",$B669="708"),$P669,IF(AND(LEFT($B669,1)="6",$B669&lt;&gt;"6811"),-$P669,0)),0))</f>
        <v/>
      </c>
    </row>
    <row r="670">
      <c r="A670">
        <f>IF(PNL!A670="","",PNL!A670)</f>
        <v/>
      </c>
      <c r="B670">
        <f>IF(PNL!B670="","",PNL!B670)</f>
        <v/>
      </c>
      <c r="C670">
        <f>IF(PNL!C670="","",PNL!C670)</f>
        <v/>
      </c>
      <c r="D670">
        <f>IF(PNL!D670="","",PNL!D670)</f>
        <v/>
      </c>
      <c r="E670">
        <f>IF($A670="","",IF(AND($C670="2027",OR($D670="V01",$D670="V02",$D670="V03")),1,0))</f>
        <v/>
      </c>
      <c r="F670">
        <f>IF($A670="","",IF($E670=1,SUMIFS(Comptabilité!$F$1:$F$675,Comptabilité!$A$1:$A$675,$A670,Comptabilité!$B$1:$B$675,$B670,Comptabilité!$C$1:$C$675,"2026"),0))</f>
        <v/>
      </c>
      <c r="G670">
        <f>IF($A670="","",IF($D670="V01",Cadrage!$C$22,IF($D670="V02",Cadrage!$D$22,Cadrage!$E$22)))</f>
        <v/>
      </c>
      <c r="H670">
        <f>IF($A670="","",IF($D670="V01",Cadrage!$C$23,IF($D670="V02",Cadrage!$D$23,Cadrage!$E$23)))</f>
        <v/>
      </c>
      <c r="I670">
        <f>IF($A670="","",IF($D670="V01",Cadrage!$C$31,IF($D670="V02",Cadrage!$D$31,Cadrage!$E$31)))</f>
        <v/>
      </c>
      <c r="J670">
        <f>IF($A670="","",IF($D670="V01",Cadrage!$C$32,IF($D670="V02",Cadrage!$D$32,Cadrage!$E$32)))</f>
        <v/>
      </c>
      <c r="K670">
        <f>IF($A670="","",IF($D670="V01",Cadrage!$C$33,IF($D670="V02",Cadrage!$D$33,Cadrage!$E$33)))</f>
        <v/>
      </c>
      <c r="L670">
        <f>IF($A670="","",IF($D670="V01",Cadrage!$C$34,IF($D670="V02",Cadrage!$D$34,Cadrage!$E$34)))</f>
        <v/>
      </c>
      <c r="M670">
        <f>IF($A670="","",IF($D670="V01",Cadrage!$C$35,IF($D670="V02",Cadrage!$D$35,Cadrage!$E$35)))</f>
        <v/>
      </c>
      <c r="N670">
        <f>IF($A670="","",IF($D670="V01",$R$2,IF($D670="V02",$R$3,$R$4)))</f>
        <v/>
      </c>
      <c r="O670">
        <f>IF($A670="","",IF(OR($B670="7062",$B670="706",$B670="708"),$N670,IF($B670="6231",1+$G670,IF($B670="6236",1+$H670,IF(OR($B670="621",$B670="604",$B670="6063"),$N670*(1-$L670),IF(OR($B670="6411",$B670="6413",$B670="6414",$B670="645"),(1+$J670)*(1+$K670),IF(OR($B670="613",$B670="615",$B670="616",$B670="6226",$B670="625",$B670="626",$B670="6281"),(1+$I670)*(1-$L670)*(1+$M670),IF(OR($B670="6331",$B670="63511",$B670="6333"),(1+$I670)*(1-$L670),IF($B670="6811",1+$I670,1)))))))))</f>
        <v/>
      </c>
      <c r="P670">
        <f>IF($A670="","",IF($E670=1,$F670*$O670,PNL!G670))</f>
        <v/>
      </c>
      <c r="T670">
        <f>IF($A670="","",IF($E670=1,IF(OR($B670="7062",$B670="706",$B670="708"),$P670,IF(AND(LEFT($B670,1)="6",$B670&lt;&gt;"6811"),-$P670,0)),0))</f>
        <v/>
      </c>
    </row>
    <row r="671">
      <c r="A671">
        <f>IF(PNL!A671="","",PNL!A671)</f>
        <v/>
      </c>
      <c r="B671">
        <f>IF(PNL!B671="","",PNL!B671)</f>
        <v/>
      </c>
      <c r="C671">
        <f>IF(PNL!C671="","",PNL!C671)</f>
        <v/>
      </c>
      <c r="D671">
        <f>IF(PNL!D671="","",PNL!D671)</f>
        <v/>
      </c>
      <c r="E671">
        <f>IF($A671="","",IF(AND($C671="2027",OR($D671="V01",$D671="V02",$D671="V03")),1,0))</f>
        <v/>
      </c>
      <c r="F671">
        <f>IF($A671="","",IF($E671=1,SUMIFS(Comptabilité!$F$1:$F$675,Comptabilité!$A$1:$A$675,$A671,Comptabilité!$B$1:$B$675,$B671,Comptabilité!$C$1:$C$675,"2026"),0))</f>
        <v/>
      </c>
      <c r="G671">
        <f>IF($A671="","",IF($D671="V01",Cadrage!$C$22,IF($D671="V02",Cadrage!$D$22,Cadrage!$E$22)))</f>
        <v/>
      </c>
      <c r="H671">
        <f>IF($A671="","",IF($D671="V01",Cadrage!$C$23,IF($D671="V02",Cadrage!$D$23,Cadrage!$E$23)))</f>
        <v/>
      </c>
      <c r="I671">
        <f>IF($A671="","",IF($D671="V01",Cadrage!$C$31,IF($D671="V02",Cadrage!$D$31,Cadrage!$E$31)))</f>
        <v/>
      </c>
      <c r="J671">
        <f>IF($A671="","",IF($D671="V01",Cadrage!$C$32,IF($D671="V02",Cadrage!$D$32,Cadrage!$E$32)))</f>
        <v/>
      </c>
      <c r="K671">
        <f>IF($A671="","",IF($D671="V01",Cadrage!$C$33,IF($D671="V02",Cadrage!$D$33,Cadrage!$E$33)))</f>
        <v/>
      </c>
      <c r="L671">
        <f>IF($A671="","",IF($D671="V01",Cadrage!$C$34,IF($D671="V02",Cadrage!$D$34,Cadrage!$E$34)))</f>
        <v/>
      </c>
      <c r="M671">
        <f>IF($A671="","",IF($D671="V01",Cadrage!$C$35,IF($D671="V02",Cadrage!$D$35,Cadrage!$E$35)))</f>
        <v/>
      </c>
      <c r="N671">
        <f>IF($A671="","",IF($D671="V01",$R$2,IF($D671="V02",$R$3,$R$4)))</f>
        <v/>
      </c>
      <c r="O671">
        <f>IF($A671="","",IF(OR($B671="7062",$B671="706",$B671="708"),$N671,IF($B671="6231",1+$G671,IF($B671="6236",1+$H671,IF(OR($B671="621",$B671="604",$B671="6063"),$N671*(1-$L671),IF(OR($B671="6411",$B671="6413",$B671="6414",$B671="645"),(1+$J671)*(1+$K671),IF(OR($B671="613",$B671="615",$B671="616",$B671="6226",$B671="625",$B671="626",$B671="6281"),(1+$I671)*(1-$L671)*(1+$M671),IF(OR($B671="6331",$B671="63511",$B671="6333"),(1+$I671)*(1-$L671),IF($B671="6811",1+$I671,1)))))))))</f>
        <v/>
      </c>
      <c r="P671">
        <f>IF($A671="","",IF($E671=1,$F671*$O671,PNL!G671))</f>
        <v/>
      </c>
      <c r="T671">
        <f>IF($A671="","",IF($E671=1,IF(OR($B671="7062",$B671="706",$B671="708"),$P671,IF(AND(LEFT($B671,1)="6",$B671&lt;&gt;"6811"),-$P671,0)),0))</f>
        <v/>
      </c>
    </row>
    <row r="672">
      <c r="A672">
        <f>IF(PNL!A672="","",PNL!A672)</f>
        <v/>
      </c>
      <c r="B672">
        <f>IF(PNL!B672="","",PNL!B672)</f>
        <v/>
      </c>
      <c r="C672">
        <f>IF(PNL!C672="","",PNL!C672)</f>
        <v/>
      </c>
      <c r="D672">
        <f>IF(PNL!D672="","",PNL!D672)</f>
        <v/>
      </c>
      <c r="E672">
        <f>IF($A672="","",IF(AND($C672="2027",OR($D672="V01",$D672="V02",$D672="V03")),1,0))</f>
        <v/>
      </c>
      <c r="F672">
        <f>IF($A672="","",IF($E672=1,SUMIFS(Comptabilité!$F$1:$F$675,Comptabilité!$A$1:$A$675,$A672,Comptabilité!$B$1:$B$675,$B672,Comptabilité!$C$1:$C$675,"2026"),0))</f>
        <v/>
      </c>
      <c r="G672">
        <f>IF($A672="","",IF($D672="V01",Cadrage!$C$22,IF($D672="V02",Cadrage!$D$22,Cadrage!$E$22)))</f>
        <v/>
      </c>
      <c r="H672">
        <f>IF($A672="","",IF($D672="V01",Cadrage!$C$23,IF($D672="V02",Cadrage!$D$23,Cadrage!$E$23)))</f>
        <v/>
      </c>
      <c r="I672">
        <f>IF($A672="","",IF($D672="V01",Cadrage!$C$31,IF($D672="V02",Cadrage!$D$31,Cadrage!$E$31)))</f>
        <v/>
      </c>
      <c r="J672">
        <f>IF($A672="","",IF($D672="V01",Cadrage!$C$32,IF($D672="V02",Cadrage!$D$32,Cadrage!$E$32)))</f>
        <v/>
      </c>
      <c r="K672">
        <f>IF($A672="","",IF($D672="V01",Cadrage!$C$33,IF($D672="V02",Cadrage!$D$33,Cadrage!$E$33)))</f>
        <v/>
      </c>
      <c r="L672">
        <f>IF($A672="","",IF($D672="V01",Cadrage!$C$34,IF($D672="V02",Cadrage!$D$34,Cadrage!$E$34)))</f>
        <v/>
      </c>
      <c r="M672">
        <f>IF($A672="","",IF($D672="V01",Cadrage!$C$35,IF($D672="V02",Cadrage!$D$35,Cadrage!$E$35)))</f>
        <v/>
      </c>
      <c r="N672">
        <f>IF($A672="","",IF($D672="V01",$R$2,IF($D672="V02",$R$3,$R$4)))</f>
        <v/>
      </c>
      <c r="O672">
        <f>IF($A672="","",IF(OR($B672="7062",$B672="706",$B672="708"),$N672,IF($B672="6231",1+$G672,IF($B672="6236",1+$H672,IF(OR($B672="621",$B672="604",$B672="6063"),$N672*(1-$L672),IF(OR($B672="6411",$B672="6413",$B672="6414",$B672="645"),(1+$J672)*(1+$K672),IF(OR($B672="613",$B672="615",$B672="616",$B672="6226",$B672="625",$B672="626",$B672="6281"),(1+$I672)*(1-$L672)*(1+$M672),IF(OR($B672="6331",$B672="63511",$B672="6333"),(1+$I672)*(1-$L672),IF($B672="6811",1+$I672,1)))))))))</f>
        <v/>
      </c>
      <c r="P672">
        <f>IF($A672="","",IF($E672=1,$F672*$O672,PNL!G672))</f>
        <v/>
      </c>
      <c r="T672">
        <f>IF($A672="","",IF($E672=1,IF(OR($B672="7062",$B672="706",$B672="708"),$P672,IF(AND(LEFT($B672,1)="6",$B672&lt;&gt;"6811"),-$P672,0)),0))</f>
        <v/>
      </c>
    </row>
    <row r="673">
      <c r="A673">
        <f>IF(PNL!A673="","",PNL!A673)</f>
        <v/>
      </c>
      <c r="B673">
        <f>IF(PNL!B673="","",PNL!B673)</f>
        <v/>
      </c>
      <c r="C673">
        <f>IF(PNL!C673="","",PNL!C673)</f>
        <v/>
      </c>
      <c r="D673">
        <f>IF(PNL!D673="","",PNL!D673)</f>
        <v/>
      </c>
      <c r="E673">
        <f>IF($A673="","",IF(AND($C673="2027",OR($D673="V01",$D673="V02",$D673="V03")),1,0))</f>
        <v/>
      </c>
      <c r="F673">
        <f>IF($A673="","",IF($E673=1,SUMIFS(Comptabilité!$F$1:$F$675,Comptabilité!$A$1:$A$675,$A673,Comptabilité!$B$1:$B$675,$B673,Comptabilité!$C$1:$C$675,"2026"),0))</f>
        <v/>
      </c>
      <c r="G673">
        <f>IF($A673="","",IF($D673="V01",Cadrage!$C$22,IF($D673="V02",Cadrage!$D$22,Cadrage!$E$22)))</f>
        <v/>
      </c>
      <c r="H673">
        <f>IF($A673="","",IF($D673="V01",Cadrage!$C$23,IF($D673="V02",Cadrage!$D$23,Cadrage!$E$23)))</f>
        <v/>
      </c>
      <c r="I673">
        <f>IF($A673="","",IF($D673="V01",Cadrage!$C$31,IF($D673="V02",Cadrage!$D$31,Cadrage!$E$31)))</f>
        <v/>
      </c>
      <c r="J673">
        <f>IF($A673="","",IF($D673="V01",Cadrage!$C$32,IF($D673="V02",Cadrage!$D$32,Cadrage!$E$32)))</f>
        <v/>
      </c>
      <c r="K673">
        <f>IF($A673="","",IF($D673="V01",Cadrage!$C$33,IF($D673="V02",Cadrage!$D$33,Cadrage!$E$33)))</f>
        <v/>
      </c>
      <c r="L673">
        <f>IF($A673="","",IF($D673="V01",Cadrage!$C$34,IF($D673="V02",Cadrage!$D$34,Cadrage!$E$34)))</f>
        <v/>
      </c>
      <c r="M673">
        <f>IF($A673="","",IF($D673="V01",Cadrage!$C$35,IF($D673="V02",Cadrage!$D$35,Cadrage!$E$35)))</f>
        <v/>
      </c>
      <c r="N673">
        <f>IF($A673="","",IF($D673="V01",$R$2,IF($D673="V02",$R$3,$R$4)))</f>
        <v/>
      </c>
      <c r="O673">
        <f>IF($A673="","",IF(OR($B673="7062",$B673="706",$B673="708"),$N673,IF($B673="6231",1+$G673,IF($B673="6236",1+$H673,IF(OR($B673="621",$B673="604",$B673="6063"),$N673*(1-$L673),IF(OR($B673="6411",$B673="6413",$B673="6414",$B673="645"),(1+$J673)*(1+$K673),IF(OR($B673="613",$B673="615",$B673="616",$B673="6226",$B673="625",$B673="626",$B673="6281"),(1+$I673)*(1-$L673)*(1+$M673),IF(OR($B673="6331",$B673="63511",$B673="6333"),(1+$I673)*(1-$L673),IF($B673="6811",1+$I673,1)))))))))</f>
        <v/>
      </c>
      <c r="P673">
        <f>IF($A673="","",IF($E673=1,$F673*$O673,PNL!G673))</f>
        <v/>
      </c>
      <c r="T673">
        <f>IF($A673="","",IF($E673=1,IF(OR($B673="7062",$B673="706",$B673="708"),$P673,IF(AND(LEFT($B673,1)="6",$B673&lt;&gt;"6811"),-$P673,0)),0))</f>
        <v/>
      </c>
    </row>
    <row r="674">
      <c r="A674">
        <f>IF(PNL!A674="","",PNL!A674)</f>
        <v/>
      </c>
      <c r="B674">
        <f>IF(PNL!B674="","",PNL!B674)</f>
        <v/>
      </c>
      <c r="C674">
        <f>IF(PNL!C674="","",PNL!C674)</f>
        <v/>
      </c>
      <c r="D674">
        <f>IF(PNL!D674="","",PNL!D674)</f>
        <v/>
      </c>
      <c r="E674">
        <f>IF($A674="","",IF(AND($C674="2027",OR($D674="V01",$D674="V02",$D674="V03")),1,0))</f>
        <v/>
      </c>
      <c r="F674">
        <f>IF($A674="","",IF($E674=1,SUMIFS(Comptabilité!$F$1:$F$675,Comptabilité!$A$1:$A$675,$A674,Comptabilité!$B$1:$B$675,$B674,Comptabilité!$C$1:$C$675,"2026"),0))</f>
        <v/>
      </c>
      <c r="G674">
        <f>IF($A674="","",IF($D674="V01",Cadrage!$C$22,IF($D674="V02",Cadrage!$D$22,Cadrage!$E$22)))</f>
        <v/>
      </c>
      <c r="H674">
        <f>IF($A674="","",IF($D674="V01",Cadrage!$C$23,IF($D674="V02",Cadrage!$D$23,Cadrage!$E$23)))</f>
        <v/>
      </c>
      <c r="I674">
        <f>IF($A674="","",IF($D674="V01",Cadrage!$C$31,IF($D674="V02",Cadrage!$D$31,Cadrage!$E$31)))</f>
        <v/>
      </c>
      <c r="J674">
        <f>IF($A674="","",IF($D674="V01",Cadrage!$C$32,IF($D674="V02",Cadrage!$D$32,Cadrage!$E$32)))</f>
        <v/>
      </c>
      <c r="K674">
        <f>IF($A674="","",IF($D674="V01",Cadrage!$C$33,IF($D674="V02",Cadrage!$D$33,Cadrage!$E$33)))</f>
        <v/>
      </c>
      <c r="L674">
        <f>IF($A674="","",IF($D674="V01",Cadrage!$C$34,IF($D674="V02",Cadrage!$D$34,Cadrage!$E$34)))</f>
        <v/>
      </c>
      <c r="M674">
        <f>IF($A674="","",IF($D674="V01",Cadrage!$C$35,IF($D674="V02",Cadrage!$D$35,Cadrage!$E$35)))</f>
        <v/>
      </c>
      <c r="N674">
        <f>IF($A674="","",IF($D674="V01",$R$2,IF($D674="V02",$R$3,$R$4)))</f>
        <v/>
      </c>
      <c r="O674">
        <f>IF($A674="","",IF(OR($B674="7062",$B674="706",$B674="708"),$N674,IF($B674="6231",1+$G674,IF($B674="6236",1+$H674,IF(OR($B674="621",$B674="604",$B674="6063"),$N674*(1-$L674),IF(OR($B674="6411",$B674="6413",$B674="6414",$B674="645"),(1+$J674)*(1+$K674),IF(OR($B674="613",$B674="615",$B674="616",$B674="6226",$B674="625",$B674="626",$B674="6281"),(1+$I674)*(1-$L674)*(1+$M674),IF(OR($B674="6331",$B674="63511",$B674="6333"),(1+$I674)*(1-$L674),IF($B674="6811",1+$I674,1)))))))))</f>
        <v/>
      </c>
      <c r="P674">
        <f>IF($A674="","",IF($E674=1,$F674*$O674,PNL!G674))</f>
        <v/>
      </c>
      <c r="T674">
        <f>IF($A674="","",IF($E674=1,IF(OR($B674="7062",$B674="706",$B674="708"),$P674,IF(AND(LEFT($B674,1)="6",$B674&lt;&gt;"6811"),-$P674,0)),0))</f>
        <v/>
      </c>
    </row>
    <row r="675">
      <c r="A675">
        <f>IF(PNL!A675="","",PNL!A675)</f>
        <v/>
      </c>
      <c r="B675">
        <f>IF(PNL!B675="","",PNL!B675)</f>
        <v/>
      </c>
      <c r="C675">
        <f>IF(PNL!C675="","",PNL!C675)</f>
        <v/>
      </c>
      <c r="D675">
        <f>IF(PNL!D675="","",PNL!D675)</f>
        <v/>
      </c>
      <c r="E675">
        <f>IF($A675="","",IF(AND($C675="2027",OR($D675="V01",$D675="V02",$D675="V03")),1,0))</f>
        <v/>
      </c>
      <c r="F675">
        <f>IF($A675="","",IF($E675=1,SUMIFS(Comptabilité!$F$1:$F$675,Comptabilité!$A$1:$A$675,$A675,Comptabilité!$B$1:$B$675,$B675,Comptabilité!$C$1:$C$675,"2026"),0))</f>
        <v/>
      </c>
      <c r="G675">
        <f>IF($A675="","",IF($D675="V01",Cadrage!$C$22,IF($D675="V02",Cadrage!$D$22,Cadrage!$E$22)))</f>
        <v/>
      </c>
      <c r="H675">
        <f>IF($A675="","",IF($D675="V01",Cadrage!$C$23,IF($D675="V02",Cadrage!$D$23,Cadrage!$E$23)))</f>
        <v/>
      </c>
      <c r="I675">
        <f>IF($A675="","",IF($D675="V01",Cadrage!$C$31,IF($D675="V02",Cadrage!$D$31,Cadrage!$E$31)))</f>
        <v/>
      </c>
      <c r="J675">
        <f>IF($A675="","",IF($D675="V01",Cadrage!$C$32,IF($D675="V02",Cadrage!$D$32,Cadrage!$E$32)))</f>
        <v/>
      </c>
      <c r="K675">
        <f>IF($A675="","",IF($D675="V01",Cadrage!$C$33,IF($D675="V02",Cadrage!$D$33,Cadrage!$E$33)))</f>
        <v/>
      </c>
      <c r="L675">
        <f>IF($A675="","",IF($D675="V01",Cadrage!$C$34,IF($D675="V02",Cadrage!$D$34,Cadrage!$E$34)))</f>
        <v/>
      </c>
      <c r="M675">
        <f>IF($A675="","",IF($D675="V01",Cadrage!$C$35,IF($D675="V02",Cadrage!$D$35,Cadrage!$E$35)))</f>
        <v/>
      </c>
      <c r="N675">
        <f>IF($A675="","",IF($D675="V01",$R$2,IF($D675="V02",$R$3,$R$4)))</f>
        <v/>
      </c>
      <c r="O675">
        <f>IF($A675="","",IF(OR($B675="7062",$B675="706",$B675="708"),$N675,IF($B675="6231",1+$G675,IF($B675="6236",1+$H675,IF(OR($B675="621",$B675="604",$B675="6063"),$N675*(1-$L675),IF(OR($B675="6411",$B675="6413",$B675="6414",$B675="645"),(1+$J675)*(1+$K675),IF(OR($B675="613",$B675="615",$B675="616",$B675="6226",$B675="625",$B675="626",$B675="6281"),(1+$I675)*(1-$L675)*(1+$M675),IF(OR($B675="6331",$B675="63511",$B675="6333"),(1+$I675)*(1-$L675),IF($B675="6811",1+$I675,1)))))))))</f>
        <v/>
      </c>
      <c r="P675">
        <f>IF($A675="","",IF($E675=1,$F675*$O675,PNL!G675))</f>
        <v/>
      </c>
      <c r="T675">
        <f>IF($A675="","",IF($E675=1,IF(OR($B675="7062",$B675="706",$B675="708"),$P675,IF(AND(LEFT($B675,1)="6",$B675&lt;&gt;"6811"),-$P675,0)),0))</f>
        <v/>
      </c>
    </row>
    <row r="676">
      <c r="A676">
        <f>IF(PNL!A676="","",PNL!A676)</f>
        <v/>
      </c>
      <c r="B676">
        <f>IF(PNL!B676="","",PNL!B676)</f>
        <v/>
      </c>
      <c r="C676">
        <f>IF(PNL!C676="","",PNL!C676)</f>
        <v/>
      </c>
      <c r="D676">
        <f>IF(PNL!D676="","",PNL!D676)</f>
        <v/>
      </c>
      <c r="E676">
        <f>IF($A676="","",IF(AND($C676="2027",OR($D676="V01",$D676="V02",$D676="V03")),1,0))</f>
        <v/>
      </c>
      <c r="F676">
        <f>IF($A676="","",IF($E676=1,SUMIFS(Comptabilité!$F$1:$F$675,Comptabilité!$A$1:$A$675,$A676,Comptabilité!$B$1:$B$675,$B676,Comptabilité!$C$1:$C$675,"2026"),0))</f>
        <v/>
      </c>
      <c r="G676">
        <f>IF($A676="","",IF($D676="V01",Cadrage!$C$22,IF($D676="V02",Cadrage!$D$22,Cadrage!$E$22)))</f>
        <v/>
      </c>
      <c r="H676">
        <f>IF($A676="","",IF($D676="V01",Cadrage!$C$23,IF($D676="V02",Cadrage!$D$23,Cadrage!$E$23)))</f>
        <v/>
      </c>
      <c r="I676">
        <f>IF($A676="","",IF($D676="V01",Cadrage!$C$31,IF($D676="V02",Cadrage!$D$31,Cadrage!$E$31)))</f>
        <v/>
      </c>
      <c r="J676">
        <f>IF($A676="","",IF($D676="V01",Cadrage!$C$32,IF($D676="V02",Cadrage!$D$32,Cadrage!$E$32)))</f>
        <v/>
      </c>
      <c r="K676">
        <f>IF($A676="","",IF($D676="V01",Cadrage!$C$33,IF($D676="V02",Cadrage!$D$33,Cadrage!$E$33)))</f>
        <v/>
      </c>
      <c r="L676">
        <f>IF($A676="","",IF($D676="V01",Cadrage!$C$34,IF($D676="V02",Cadrage!$D$34,Cadrage!$E$34)))</f>
        <v/>
      </c>
      <c r="M676">
        <f>IF($A676="","",IF($D676="V01",Cadrage!$C$35,IF($D676="V02",Cadrage!$D$35,Cadrage!$E$35)))</f>
        <v/>
      </c>
      <c r="N676">
        <f>IF($A676="","",IF($D676="V01",$R$2,IF($D676="V02",$R$3,$R$4)))</f>
        <v/>
      </c>
      <c r="O676">
        <f>IF($A676="","",IF(OR($B676="7062",$B676="706",$B676="708"),$N676,IF($B676="6231",1+$G676,IF($B676="6236",1+$H676,IF(OR($B676="621",$B676="604",$B676="6063"),$N676*(1-$L676),IF(OR($B676="6411",$B676="6413",$B676="6414",$B676="645"),(1+$J676)*(1+$K676),IF(OR($B676="613",$B676="615",$B676="616",$B676="6226",$B676="625",$B676="626",$B676="6281"),(1+$I676)*(1-$L676)*(1+$M676),IF(OR($B676="6331",$B676="63511",$B676="6333"),(1+$I676)*(1-$L676),IF($B676="6811",1+$I676,1)))))))))</f>
        <v/>
      </c>
      <c r="P676">
        <f>IF($A676="","",IF($E676=1,$F676*$O676,PNL!G676))</f>
        <v/>
      </c>
      <c r="T676">
        <f>IF($A676="","",IF($E676=1,IF(OR($B676="7062",$B676="706",$B676="708"),$P676,IF(AND(LEFT($B676,1)="6",$B676&lt;&gt;"6811"),-$P676,0)),0))</f>
        <v/>
      </c>
    </row>
    <row r="677">
      <c r="A677">
        <f>IF(PNL!A677="","",PNL!A677)</f>
        <v/>
      </c>
      <c r="B677">
        <f>IF(PNL!B677="","",PNL!B677)</f>
        <v/>
      </c>
      <c r="C677">
        <f>IF(PNL!C677="","",PNL!C677)</f>
        <v/>
      </c>
      <c r="D677">
        <f>IF(PNL!D677="","",PNL!D677)</f>
        <v/>
      </c>
      <c r="E677">
        <f>IF($A677="","",IF(AND($C677="2027",OR($D677="V01",$D677="V02",$D677="V03")),1,0))</f>
        <v/>
      </c>
      <c r="F677">
        <f>IF($A677="","",IF($E677=1,SUMIFS(Comptabilité!$F$1:$F$675,Comptabilité!$A$1:$A$675,$A677,Comptabilité!$B$1:$B$675,$B677,Comptabilité!$C$1:$C$675,"2026"),0))</f>
        <v/>
      </c>
      <c r="G677">
        <f>IF($A677="","",IF($D677="V01",Cadrage!$C$22,IF($D677="V02",Cadrage!$D$22,Cadrage!$E$22)))</f>
        <v/>
      </c>
      <c r="H677">
        <f>IF($A677="","",IF($D677="V01",Cadrage!$C$23,IF($D677="V02",Cadrage!$D$23,Cadrage!$E$23)))</f>
        <v/>
      </c>
      <c r="I677">
        <f>IF($A677="","",IF($D677="V01",Cadrage!$C$31,IF($D677="V02",Cadrage!$D$31,Cadrage!$E$31)))</f>
        <v/>
      </c>
      <c r="J677">
        <f>IF($A677="","",IF($D677="V01",Cadrage!$C$32,IF($D677="V02",Cadrage!$D$32,Cadrage!$E$32)))</f>
        <v/>
      </c>
      <c r="K677">
        <f>IF($A677="","",IF($D677="V01",Cadrage!$C$33,IF($D677="V02",Cadrage!$D$33,Cadrage!$E$33)))</f>
        <v/>
      </c>
      <c r="L677">
        <f>IF($A677="","",IF($D677="V01",Cadrage!$C$34,IF($D677="V02",Cadrage!$D$34,Cadrage!$E$34)))</f>
        <v/>
      </c>
      <c r="M677">
        <f>IF($A677="","",IF($D677="V01",Cadrage!$C$35,IF($D677="V02",Cadrage!$D$35,Cadrage!$E$35)))</f>
        <v/>
      </c>
      <c r="N677">
        <f>IF($A677="","",IF($D677="V01",$R$2,IF($D677="V02",$R$3,$R$4)))</f>
        <v/>
      </c>
      <c r="O677">
        <f>IF($A677="","",IF(OR($B677="7062",$B677="706",$B677="708"),$N677,IF($B677="6231",1+$G677,IF($B677="6236",1+$H677,IF(OR($B677="621",$B677="604",$B677="6063"),$N677*(1-$L677),IF(OR($B677="6411",$B677="6413",$B677="6414",$B677="645"),(1+$J677)*(1+$K677),IF(OR($B677="613",$B677="615",$B677="616",$B677="6226",$B677="625",$B677="626",$B677="6281"),(1+$I677)*(1-$L677)*(1+$M677),IF(OR($B677="6331",$B677="63511",$B677="6333"),(1+$I677)*(1-$L677),IF($B677="6811",1+$I677,1)))))))))</f>
        <v/>
      </c>
      <c r="P677">
        <f>IF($A677="","",IF($E677=1,$F677*$O677,PNL!G677))</f>
        <v/>
      </c>
      <c r="T677">
        <f>IF($A677="","",IF($E677=1,IF(OR($B677="7062",$B677="706",$B677="708"),$P677,IF(AND(LEFT($B677,1)="6",$B677&lt;&gt;"6811"),-$P677,0)),0))</f>
        <v/>
      </c>
    </row>
    <row r="678">
      <c r="A678">
        <f>IF(PNL!A678="","",PNL!A678)</f>
        <v/>
      </c>
      <c r="B678">
        <f>IF(PNL!B678="","",PNL!B678)</f>
        <v/>
      </c>
      <c r="C678">
        <f>IF(PNL!C678="","",PNL!C678)</f>
        <v/>
      </c>
      <c r="D678">
        <f>IF(PNL!D678="","",PNL!D678)</f>
        <v/>
      </c>
      <c r="E678">
        <f>IF($A678="","",IF(AND($C678="2027",OR($D678="V01",$D678="V02",$D678="V03")),1,0))</f>
        <v/>
      </c>
      <c r="F678">
        <f>IF($A678="","",IF($E678=1,SUMIFS(Comptabilité!$F$1:$F$675,Comptabilité!$A$1:$A$675,$A678,Comptabilité!$B$1:$B$675,$B678,Comptabilité!$C$1:$C$675,"2026"),0))</f>
        <v/>
      </c>
      <c r="G678">
        <f>IF($A678="","",IF($D678="V01",Cadrage!$C$22,IF($D678="V02",Cadrage!$D$22,Cadrage!$E$22)))</f>
        <v/>
      </c>
      <c r="H678">
        <f>IF($A678="","",IF($D678="V01",Cadrage!$C$23,IF($D678="V02",Cadrage!$D$23,Cadrage!$E$23)))</f>
        <v/>
      </c>
      <c r="I678">
        <f>IF($A678="","",IF($D678="V01",Cadrage!$C$31,IF($D678="V02",Cadrage!$D$31,Cadrage!$E$31)))</f>
        <v/>
      </c>
      <c r="J678">
        <f>IF($A678="","",IF($D678="V01",Cadrage!$C$32,IF($D678="V02",Cadrage!$D$32,Cadrage!$E$32)))</f>
        <v/>
      </c>
      <c r="K678">
        <f>IF($A678="","",IF($D678="V01",Cadrage!$C$33,IF($D678="V02",Cadrage!$D$33,Cadrage!$E$33)))</f>
        <v/>
      </c>
      <c r="L678">
        <f>IF($A678="","",IF($D678="V01",Cadrage!$C$34,IF($D678="V02",Cadrage!$D$34,Cadrage!$E$34)))</f>
        <v/>
      </c>
      <c r="M678">
        <f>IF($A678="","",IF($D678="V01",Cadrage!$C$35,IF($D678="V02",Cadrage!$D$35,Cadrage!$E$35)))</f>
        <v/>
      </c>
      <c r="N678">
        <f>IF($A678="","",IF($D678="V01",$R$2,IF($D678="V02",$R$3,$R$4)))</f>
        <v/>
      </c>
      <c r="O678">
        <f>IF($A678="","",IF(OR($B678="7062",$B678="706",$B678="708"),$N678,IF($B678="6231",1+$G678,IF($B678="6236",1+$H678,IF(OR($B678="621",$B678="604",$B678="6063"),$N678*(1-$L678),IF(OR($B678="6411",$B678="6413",$B678="6414",$B678="645"),(1+$J678)*(1+$K678),IF(OR($B678="613",$B678="615",$B678="616",$B678="6226",$B678="625",$B678="626",$B678="6281"),(1+$I678)*(1-$L678)*(1+$M678),IF(OR($B678="6331",$B678="63511",$B678="6333"),(1+$I678)*(1-$L678),IF($B678="6811",1+$I678,1)))))))))</f>
        <v/>
      </c>
      <c r="P678">
        <f>IF($A678="","",IF($E678=1,$F678*$O678,PNL!G678))</f>
        <v/>
      </c>
      <c r="T678">
        <f>IF($A678="","",IF($E678=1,IF(OR($B678="7062",$B678="706",$B678="708"),$P678,IF(AND(LEFT($B678,1)="6",$B678&lt;&gt;"6811"),-$P678,0)),0))</f>
        <v/>
      </c>
    </row>
    <row r="679">
      <c r="A679">
        <f>IF(PNL!A679="","",PNL!A679)</f>
        <v/>
      </c>
      <c r="B679">
        <f>IF(PNL!B679="","",PNL!B679)</f>
        <v/>
      </c>
      <c r="C679">
        <f>IF(PNL!C679="","",PNL!C679)</f>
        <v/>
      </c>
      <c r="D679">
        <f>IF(PNL!D679="","",PNL!D679)</f>
        <v/>
      </c>
      <c r="E679">
        <f>IF($A679="","",IF(AND($C679="2027",OR($D679="V01",$D679="V02",$D679="V03")),1,0))</f>
        <v/>
      </c>
      <c r="F679">
        <f>IF($A679="","",IF($E679=1,SUMIFS(Comptabilité!$F$1:$F$675,Comptabilité!$A$1:$A$675,$A679,Comptabilité!$B$1:$B$675,$B679,Comptabilité!$C$1:$C$675,"2026"),0))</f>
        <v/>
      </c>
      <c r="G679">
        <f>IF($A679="","",IF($D679="V01",Cadrage!$C$22,IF($D679="V02",Cadrage!$D$22,Cadrage!$E$22)))</f>
        <v/>
      </c>
      <c r="H679">
        <f>IF($A679="","",IF($D679="V01",Cadrage!$C$23,IF($D679="V02",Cadrage!$D$23,Cadrage!$E$23)))</f>
        <v/>
      </c>
      <c r="I679">
        <f>IF($A679="","",IF($D679="V01",Cadrage!$C$31,IF($D679="V02",Cadrage!$D$31,Cadrage!$E$31)))</f>
        <v/>
      </c>
      <c r="J679">
        <f>IF($A679="","",IF($D679="V01",Cadrage!$C$32,IF($D679="V02",Cadrage!$D$32,Cadrage!$E$32)))</f>
        <v/>
      </c>
      <c r="K679">
        <f>IF($A679="","",IF($D679="V01",Cadrage!$C$33,IF($D679="V02",Cadrage!$D$33,Cadrage!$E$33)))</f>
        <v/>
      </c>
      <c r="L679">
        <f>IF($A679="","",IF($D679="V01",Cadrage!$C$34,IF($D679="V02",Cadrage!$D$34,Cadrage!$E$34)))</f>
        <v/>
      </c>
      <c r="M679">
        <f>IF($A679="","",IF($D679="V01",Cadrage!$C$35,IF($D679="V02",Cadrage!$D$35,Cadrage!$E$35)))</f>
        <v/>
      </c>
      <c r="N679">
        <f>IF($A679="","",IF($D679="V01",$R$2,IF($D679="V02",$R$3,$R$4)))</f>
        <v/>
      </c>
      <c r="O679">
        <f>IF($A679="","",IF(OR($B679="7062",$B679="706",$B679="708"),$N679,IF($B679="6231",1+$G679,IF($B679="6236",1+$H679,IF(OR($B679="621",$B679="604",$B679="6063"),$N679*(1-$L679),IF(OR($B679="6411",$B679="6413",$B679="6414",$B679="645"),(1+$J679)*(1+$K679),IF(OR($B679="613",$B679="615",$B679="616",$B679="6226",$B679="625",$B679="626",$B679="6281"),(1+$I679)*(1-$L679)*(1+$M679),IF(OR($B679="6331",$B679="63511",$B679="6333"),(1+$I679)*(1-$L679),IF($B679="6811",1+$I679,1)))))))))</f>
        <v/>
      </c>
      <c r="P679">
        <f>IF($A679="","",IF($E679=1,$F679*$O679,PNL!G679))</f>
        <v/>
      </c>
      <c r="T679">
        <f>IF($A679="","",IF($E679=1,IF(OR($B679="7062",$B679="706",$B679="708"),$P679,IF(AND(LEFT($B679,1)="6",$B679&lt;&gt;"6811"),-$P679,0)),0))</f>
        <v/>
      </c>
    </row>
    <row r="680">
      <c r="A680">
        <f>IF(PNL!A680="","",PNL!A680)</f>
        <v/>
      </c>
      <c r="B680">
        <f>IF(PNL!B680="","",PNL!B680)</f>
        <v/>
      </c>
      <c r="C680">
        <f>IF(PNL!C680="","",PNL!C680)</f>
        <v/>
      </c>
      <c r="D680">
        <f>IF(PNL!D680="","",PNL!D680)</f>
        <v/>
      </c>
      <c r="E680">
        <f>IF($A680="","",IF(AND($C680="2027",OR($D680="V01",$D680="V02",$D680="V03")),1,0))</f>
        <v/>
      </c>
      <c r="F680">
        <f>IF($A680="","",IF($E680=1,SUMIFS(Comptabilité!$F$1:$F$675,Comptabilité!$A$1:$A$675,$A680,Comptabilité!$B$1:$B$675,$B680,Comptabilité!$C$1:$C$675,"2026"),0))</f>
        <v/>
      </c>
      <c r="G680">
        <f>IF($A680="","",IF($D680="V01",Cadrage!$C$22,IF($D680="V02",Cadrage!$D$22,Cadrage!$E$22)))</f>
        <v/>
      </c>
      <c r="H680">
        <f>IF($A680="","",IF($D680="V01",Cadrage!$C$23,IF($D680="V02",Cadrage!$D$23,Cadrage!$E$23)))</f>
        <v/>
      </c>
      <c r="I680">
        <f>IF($A680="","",IF($D680="V01",Cadrage!$C$31,IF($D680="V02",Cadrage!$D$31,Cadrage!$E$31)))</f>
        <v/>
      </c>
      <c r="J680">
        <f>IF($A680="","",IF($D680="V01",Cadrage!$C$32,IF($D680="V02",Cadrage!$D$32,Cadrage!$E$32)))</f>
        <v/>
      </c>
      <c r="K680">
        <f>IF($A680="","",IF($D680="V01",Cadrage!$C$33,IF($D680="V02",Cadrage!$D$33,Cadrage!$E$33)))</f>
        <v/>
      </c>
      <c r="L680">
        <f>IF($A680="","",IF($D680="V01",Cadrage!$C$34,IF($D680="V02",Cadrage!$D$34,Cadrage!$E$34)))</f>
        <v/>
      </c>
      <c r="M680">
        <f>IF($A680="","",IF($D680="V01",Cadrage!$C$35,IF($D680="V02",Cadrage!$D$35,Cadrage!$E$35)))</f>
        <v/>
      </c>
      <c r="N680">
        <f>IF($A680="","",IF($D680="V01",$R$2,IF($D680="V02",$R$3,$R$4)))</f>
        <v/>
      </c>
      <c r="O680">
        <f>IF($A680="","",IF(OR($B680="7062",$B680="706",$B680="708"),$N680,IF($B680="6231",1+$G680,IF($B680="6236",1+$H680,IF(OR($B680="621",$B680="604",$B680="6063"),$N680*(1-$L680),IF(OR($B680="6411",$B680="6413",$B680="6414",$B680="645"),(1+$J680)*(1+$K680),IF(OR($B680="613",$B680="615",$B680="616",$B680="6226",$B680="625",$B680="626",$B680="6281"),(1+$I680)*(1-$L680)*(1+$M680),IF(OR($B680="6331",$B680="63511",$B680="6333"),(1+$I680)*(1-$L680),IF($B680="6811",1+$I680,1)))))))))</f>
        <v/>
      </c>
      <c r="P680">
        <f>IF($A680="","",IF($E680=1,$F680*$O680,PNL!G680))</f>
        <v/>
      </c>
      <c r="T680">
        <f>IF($A680="","",IF($E680=1,IF(OR($B680="7062",$B680="706",$B680="708"),$P680,IF(AND(LEFT($B680,1)="6",$B680&lt;&gt;"6811"),-$P680,0)),0))</f>
        <v/>
      </c>
    </row>
    <row r="681">
      <c r="A681">
        <f>IF(PNL!A681="","",PNL!A681)</f>
        <v/>
      </c>
      <c r="B681">
        <f>IF(PNL!B681="","",PNL!B681)</f>
        <v/>
      </c>
      <c r="C681">
        <f>IF(PNL!C681="","",PNL!C681)</f>
        <v/>
      </c>
      <c r="D681">
        <f>IF(PNL!D681="","",PNL!D681)</f>
        <v/>
      </c>
      <c r="E681">
        <f>IF($A681="","",IF(AND($C681="2027",OR($D681="V01",$D681="V02",$D681="V03")),1,0))</f>
        <v/>
      </c>
      <c r="F681">
        <f>IF($A681="","",IF($E681=1,SUMIFS(Comptabilité!$F$1:$F$675,Comptabilité!$A$1:$A$675,$A681,Comptabilité!$B$1:$B$675,$B681,Comptabilité!$C$1:$C$675,"2026"),0))</f>
        <v/>
      </c>
      <c r="G681">
        <f>IF($A681="","",IF($D681="V01",Cadrage!$C$22,IF($D681="V02",Cadrage!$D$22,Cadrage!$E$22)))</f>
        <v/>
      </c>
      <c r="H681">
        <f>IF($A681="","",IF($D681="V01",Cadrage!$C$23,IF($D681="V02",Cadrage!$D$23,Cadrage!$E$23)))</f>
        <v/>
      </c>
      <c r="I681">
        <f>IF($A681="","",IF($D681="V01",Cadrage!$C$31,IF($D681="V02",Cadrage!$D$31,Cadrage!$E$31)))</f>
        <v/>
      </c>
      <c r="J681">
        <f>IF($A681="","",IF($D681="V01",Cadrage!$C$32,IF($D681="V02",Cadrage!$D$32,Cadrage!$E$32)))</f>
        <v/>
      </c>
      <c r="K681">
        <f>IF($A681="","",IF($D681="V01",Cadrage!$C$33,IF($D681="V02",Cadrage!$D$33,Cadrage!$E$33)))</f>
        <v/>
      </c>
      <c r="L681">
        <f>IF($A681="","",IF($D681="V01",Cadrage!$C$34,IF($D681="V02",Cadrage!$D$34,Cadrage!$E$34)))</f>
        <v/>
      </c>
      <c r="M681">
        <f>IF($A681="","",IF($D681="V01",Cadrage!$C$35,IF($D681="V02",Cadrage!$D$35,Cadrage!$E$35)))</f>
        <v/>
      </c>
      <c r="N681">
        <f>IF($A681="","",IF($D681="V01",$R$2,IF($D681="V02",$R$3,$R$4)))</f>
        <v/>
      </c>
      <c r="O681">
        <f>IF($A681="","",IF(OR($B681="7062",$B681="706",$B681="708"),$N681,IF($B681="6231",1+$G681,IF($B681="6236",1+$H681,IF(OR($B681="621",$B681="604",$B681="6063"),$N681*(1-$L681),IF(OR($B681="6411",$B681="6413",$B681="6414",$B681="645"),(1+$J681)*(1+$K681),IF(OR($B681="613",$B681="615",$B681="616",$B681="6226",$B681="625",$B681="626",$B681="6281"),(1+$I681)*(1-$L681)*(1+$M681),IF(OR($B681="6331",$B681="63511",$B681="6333"),(1+$I681)*(1-$L681),IF($B681="6811",1+$I681,1)))))))))</f>
        <v/>
      </c>
      <c r="P681">
        <f>IF($A681="","",IF($E681=1,$F681*$O681,PNL!G681))</f>
        <v/>
      </c>
      <c r="T681">
        <f>IF($A681="","",IF($E681=1,IF(OR($B681="7062",$B681="706",$B681="708"),$P681,IF(AND(LEFT($B681,1)="6",$B681&lt;&gt;"6811"),-$P681,0)),0))</f>
        <v/>
      </c>
    </row>
    <row r="682">
      <c r="A682">
        <f>IF(PNL!A682="","",PNL!A682)</f>
        <v/>
      </c>
      <c r="B682">
        <f>IF(PNL!B682="","",PNL!B682)</f>
        <v/>
      </c>
      <c r="C682">
        <f>IF(PNL!C682="","",PNL!C682)</f>
        <v/>
      </c>
      <c r="D682">
        <f>IF(PNL!D682="","",PNL!D682)</f>
        <v/>
      </c>
      <c r="E682">
        <f>IF($A682="","",IF(AND($C682="2027",OR($D682="V01",$D682="V02",$D682="V03")),1,0))</f>
        <v/>
      </c>
      <c r="F682">
        <f>IF($A682="","",IF($E682=1,SUMIFS(Comptabilité!$F$1:$F$675,Comptabilité!$A$1:$A$675,$A682,Comptabilité!$B$1:$B$675,$B682,Comptabilité!$C$1:$C$675,"2026"),0))</f>
        <v/>
      </c>
      <c r="G682">
        <f>IF($A682="","",IF($D682="V01",Cadrage!$C$22,IF($D682="V02",Cadrage!$D$22,Cadrage!$E$22)))</f>
        <v/>
      </c>
      <c r="H682">
        <f>IF($A682="","",IF($D682="V01",Cadrage!$C$23,IF($D682="V02",Cadrage!$D$23,Cadrage!$E$23)))</f>
        <v/>
      </c>
      <c r="I682">
        <f>IF($A682="","",IF($D682="V01",Cadrage!$C$31,IF($D682="V02",Cadrage!$D$31,Cadrage!$E$31)))</f>
        <v/>
      </c>
      <c r="J682">
        <f>IF($A682="","",IF($D682="V01",Cadrage!$C$32,IF($D682="V02",Cadrage!$D$32,Cadrage!$E$32)))</f>
        <v/>
      </c>
      <c r="K682">
        <f>IF($A682="","",IF($D682="V01",Cadrage!$C$33,IF($D682="V02",Cadrage!$D$33,Cadrage!$E$33)))</f>
        <v/>
      </c>
      <c r="L682">
        <f>IF($A682="","",IF($D682="V01",Cadrage!$C$34,IF($D682="V02",Cadrage!$D$34,Cadrage!$E$34)))</f>
        <v/>
      </c>
      <c r="M682">
        <f>IF($A682="","",IF($D682="V01",Cadrage!$C$35,IF($D682="V02",Cadrage!$D$35,Cadrage!$E$35)))</f>
        <v/>
      </c>
      <c r="N682">
        <f>IF($A682="","",IF($D682="V01",$R$2,IF($D682="V02",$R$3,$R$4)))</f>
        <v/>
      </c>
      <c r="O682">
        <f>IF($A682="","",IF(OR($B682="7062",$B682="706",$B682="708"),$N682,IF($B682="6231",1+$G682,IF($B682="6236",1+$H682,IF(OR($B682="621",$B682="604",$B682="6063"),$N682*(1-$L682),IF(OR($B682="6411",$B682="6413",$B682="6414",$B682="645"),(1+$J682)*(1+$K682),IF(OR($B682="613",$B682="615",$B682="616",$B682="6226",$B682="625",$B682="626",$B682="6281"),(1+$I682)*(1-$L682)*(1+$M682),IF(OR($B682="6331",$B682="63511",$B682="6333"),(1+$I682)*(1-$L682),IF($B682="6811",1+$I682,1)))))))))</f>
        <v/>
      </c>
      <c r="P682">
        <f>IF($A682="","",IF($E682=1,$F682*$O682,PNL!G682))</f>
        <v/>
      </c>
      <c r="T682">
        <f>IF($A682="","",IF($E682=1,IF(OR($B682="7062",$B682="706",$B682="708"),$P682,IF(AND(LEFT($B682,1)="6",$B682&lt;&gt;"6811"),-$P682,0)),0))</f>
        <v/>
      </c>
    </row>
    <row r="683">
      <c r="A683">
        <f>IF(PNL!A683="","",PNL!A683)</f>
        <v/>
      </c>
      <c r="B683">
        <f>IF(PNL!B683="","",PNL!B683)</f>
        <v/>
      </c>
      <c r="C683">
        <f>IF(PNL!C683="","",PNL!C683)</f>
        <v/>
      </c>
      <c r="D683">
        <f>IF(PNL!D683="","",PNL!D683)</f>
        <v/>
      </c>
      <c r="E683">
        <f>IF($A683="","",IF(AND($C683="2027",OR($D683="V01",$D683="V02",$D683="V03")),1,0))</f>
        <v/>
      </c>
      <c r="F683">
        <f>IF($A683="","",IF($E683=1,SUMIFS(Comptabilité!$F$1:$F$675,Comptabilité!$A$1:$A$675,$A683,Comptabilité!$B$1:$B$675,$B683,Comptabilité!$C$1:$C$675,"2026"),0))</f>
        <v/>
      </c>
      <c r="G683">
        <f>IF($A683="","",IF($D683="V01",Cadrage!$C$22,IF($D683="V02",Cadrage!$D$22,Cadrage!$E$22)))</f>
        <v/>
      </c>
      <c r="H683">
        <f>IF($A683="","",IF($D683="V01",Cadrage!$C$23,IF($D683="V02",Cadrage!$D$23,Cadrage!$E$23)))</f>
        <v/>
      </c>
      <c r="I683">
        <f>IF($A683="","",IF($D683="V01",Cadrage!$C$31,IF($D683="V02",Cadrage!$D$31,Cadrage!$E$31)))</f>
        <v/>
      </c>
      <c r="J683">
        <f>IF($A683="","",IF($D683="V01",Cadrage!$C$32,IF($D683="V02",Cadrage!$D$32,Cadrage!$E$32)))</f>
        <v/>
      </c>
      <c r="K683">
        <f>IF($A683="","",IF($D683="V01",Cadrage!$C$33,IF($D683="V02",Cadrage!$D$33,Cadrage!$E$33)))</f>
        <v/>
      </c>
      <c r="L683">
        <f>IF($A683="","",IF($D683="V01",Cadrage!$C$34,IF($D683="V02",Cadrage!$D$34,Cadrage!$E$34)))</f>
        <v/>
      </c>
      <c r="M683">
        <f>IF($A683="","",IF($D683="V01",Cadrage!$C$35,IF($D683="V02",Cadrage!$D$35,Cadrage!$E$35)))</f>
        <v/>
      </c>
      <c r="N683">
        <f>IF($A683="","",IF($D683="V01",$R$2,IF($D683="V02",$R$3,$R$4)))</f>
        <v/>
      </c>
      <c r="O683">
        <f>IF($A683="","",IF(OR($B683="7062",$B683="706",$B683="708"),$N683,IF($B683="6231",1+$G683,IF($B683="6236",1+$H683,IF(OR($B683="621",$B683="604",$B683="6063"),$N683*(1-$L683),IF(OR($B683="6411",$B683="6413",$B683="6414",$B683="645"),(1+$J683)*(1+$K683),IF(OR($B683="613",$B683="615",$B683="616",$B683="6226",$B683="625",$B683="626",$B683="6281"),(1+$I683)*(1-$L683)*(1+$M683),IF(OR($B683="6331",$B683="63511",$B683="6333"),(1+$I683)*(1-$L683),IF($B683="6811",1+$I683,1)))))))))</f>
        <v/>
      </c>
      <c r="P683">
        <f>IF($A683="","",IF($E683=1,$F683*$O683,PNL!G683))</f>
        <v/>
      </c>
      <c r="T683">
        <f>IF($A683="","",IF($E683=1,IF(OR($B683="7062",$B683="706",$B683="708"),$P683,IF(AND(LEFT($B683,1)="6",$B683&lt;&gt;"6811"),-$P683,0)),0))</f>
        <v/>
      </c>
    </row>
    <row r="684">
      <c r="A684">
        <f>IF(PNL!A684="","",PNL!A684)</f>
        <v/>
      </c>
      <c r="B684">
        <f>IF(PNL!B684="","",PNL!B684)</f>
        <v/>
      </c>
      <c r="C684">
        <f>IF(PNL!C684="","",PNL!C684)</f>
        <v/>
      </c>
      <c r="D684">
        <f>IF(PNL!D684="","",PNL!D684)</f>
        <v/>
      </c>
      <c r="E684">
        <f>IF($A684="","",IF(AND($C684="2027",OR($D684="V01",$D684="V02",$D684="V03")),1,0))</f>
        <v/>
      </c>
      <c r="F684">
        <f>IF($A684="","",IF($E684=1,SUMIFS(Comptabilité!$F$1:$F$675,Comptabilité!$A$1:$A$675,$A684,Comptabilité!$B$1:$B$675,$B684,Comptabilité!$C$1:$C$675,"2026"),0))</f>
        <v/>
      </c>
      <c r="G684">
        <f>IF($A684="","",IF($D684="V01",Cadrage!$C$22,IF($D684="V02",Cadrage!$D$22,Cadrage!$E$22)))</f>
        <v/>
      </c>
      <c r="H684">
        <f>IF($A684="","",IF($D684="V01",Cadrage!$C$23,IF($D684="V02",Cadrage!$D$23,Cadrage!$E$23)))</f>
        <v/>
      </c>
      <c r="I684">
        <f>IF($A684="","",IF($D684="V01",Cadrage!$C$31,IF($D684="V02",Cadrage!$D$31,Cadrage!$E$31)))</f>
        <v/>
      </c>
      <c r="J684">
        <f>IF($A684="","",IF($D684="V01",Cadrage!$C$32,IF($D684="V02",Cadrage!$D$32,Cadrage!$E$32)))</f>
        <v/>
      </c>
      <c r="K684">
        <f>IF($A684="","",IF($D684="V01",Cadrage!$C$33,IF($D684="V02",Cadrage!$D$33,Cadrage!$E$33)))</f>
        <v/>
      </c>
      <c r="L684">
        <f>IF($A684="","",IF($D684="V01",Cadrage!$C$34,IF($D684="V02",Cadrage!$D$34,Cadrage!$E$34)))</f>
        <v/>
      </c>
      <c r="M684">
        <f>IF($A684="","",IF($D684="V01",Cadrage!$C$35,IF($D684="V02",Cadrage!$D$35,Cadrage!$E$35)))</f>
        <v/>
      </c>
      <c r="N684">
        <f>IF($A684="","",IF($D684="V01",$R$2,IF($D684="V02",$R$3,$R$4)))</f>
        <v/>
      </c>
      <c r="O684">
        <f>IF($A684="","",IF(OR($B684="7062",$B684="706",$B684="708"),$N684,IF($B684="6231",1+$G684,IF($B684="6236",1+$H684,IF(OR($B684="621",$B684="604",$B684="6063"),$N684*(1-$L684),IF(OR($B684="6411",$B684="6413",$B684="6414",$B684="645"),(1+$J684)*(1+$K684),IF(OR($B684="613",$B684="615",$B684="616",$B684="6226",$B684="625",$B684="626",$B684="6281"),(1+$I684)*(1-$L684)*(1+$M684),IF(OR($B684="6331",$B684="63511",$B684="6333"),(1+$I684)*(1-$L684),IF($B684="6811",1+$I684,1)))))))))</f>
        <v/>
      </c>
      <c r="P684">
        <f>IF($A684="","",IF($E684=1,$F684*$O684,PNL!G684))</f>
        <v/>
      </c>
      <c r="T684">
        <f>IF($A684="","",IF($E684=1,IF(OR($B684="7062",$B684="706",$B684="708"),$P684,IF(AND(LEFT($B684,1)="6",$B684&lt;&gt;"6811"),-$P684,0)),0))</f>
        <v/>
      </c>
    </row>
    <row r="685">
      <c r="A685">
        <f>IF(PNL!A685="","",PNL!A685)</f>
        <v/>
      </c>
      <c r="B685">
        <f>IF(PNL!B685="","",PNL!B685)</f>
        <v/>
      </c>
      <c r="C685">
        <f>IF(PNL!C685="","",PNL!C685)</f>
        <v/>
      </c>
      <c r="D685">
        <f>IF(PNL!D685="","",PNL!D685)</f>
        <v/>
      </c>
      <c r="E685">
        <f>IF($A685="","",IF(AND($C685="2027",OR($D685="V01",$D685="V02",$D685="V03")),1,0))</f>
        <v/>
      </c>
      <c r="F685">
        <f>IF($A685="","",IF($E685=1,SUMIFS(Comptabilité!$F$1:$F$675,Comptabilité!$A$1:$A$675,$A685,Comptabilité!$B$1:$B$675,$B685,Comptabilité!$C$1:$C$675,"2026"),0))</f>
        <v/>
      </c>
      <c r="G685">
        <f>IF($A685="","",IF($D685="V01",Cadrage!$C$22,IF($D685="V02",Cadrage!$D$22,Cadrage!$E$22)))</f>
        <v/>
      </c>
      <c r="H685">
        <f>IF($A685="","",IF($D685="V01",Cadrage!$C$23,IF($D685="V02",Cadrage!$D$23,Cadrage!$E$23)))</f>
        <v/>
      </c>
      <c r="I685">
        <f>IF($A685="","",IF($D685="V01",Cadrage!$C$31,IF($D685="V02",Cadrage!$D$31,Cadrage!$E$31)))</f>
        <v/>
      </c>
      <c r="J685">
        <f>IF($A685="","",IF($D685="V01",Cadrage!$C$32,IF($D685="V02",Cadrage!$D$32,Cadrage!$E$32)))</f>
        <v/>
      </c>
      <c r="K685">
        <f>IF($A685="","",IF($D685="V01",Cadrage!$C$33,IF($D685="V02",Cadrage!$D$33,Cadrage!$E$33)))</f>
        <v/>
      </c>
      <c r="L685">
        <f>IF($A685="","",IF($D685="V01",Cadrage!$C$34,IF($D685="V02",Cadrage!$D$34,Cadrage!$E$34)))</f>
        <v/>
      </c>
      <c r="M685">
        <f>IF($A685="","",IF($D685="V01",Cadrage!$C$35,IF($D685="V02",Cadrage!$D$35,Cadrage!$E$35)))</f>
        <v/>
      </c>
      <c r="N685">
        <f>IF($A685="","",IF($D685="V01",$R$2,IF($D685="V02",$R$3,$R$4)))</f>
        <v/>
      </c>
      <c r="O685">
        <f>IF($A685="","",IF(OR($B685="7062",$B685="706",$B685="708"),$N685,IF($B685="6231",1+$G685,IF($B685="6236",1+$H685,IF(OR($B685="621",$B685="604",$B685="6063"),$N685*(1-$L685),IF(OR($B685="6411",$B685="6413",$B685="6414",$B685="645"),(1+$J685)*(1+$K685),IF(OR($B685="613",$B685="615",$B685="616",$B685="6226",$B685="625",$B685="626",$B685="6281"),(1+$I685)*(1-$L685)*(1+$M685),IF(OR($B685="6331",$B685="63511",$B685="6333"),(1+$I685)*(1-$L685),IF($B685="6811",1+$I685,1)))))))))</f>
        <v/>
      </c>
      <c r="P685">
        <f>IF($A685="","",IF($E685=1,$F685*$O685,PNL!G685))</f>
        <v/>
      </c>
      <c r="T685">
        <f>IF($A685="","",IF($E685=1,IF(OR($B685="7062",$B685="706",$B685="708"),$P685,IF(AND(LEFT($B685,1)="6",$B685&lt;&gt;"6811"),-$P685,0)),0))</f>
        <v/>
      </c>
    </row>
    <row r="686">
      <c r="A686">
        <f>IF(PNL!A686="","",PNL!A686)</f>
        <v/>
      </c>
      <c r="B686">
        <f>IF(PNL!B686="","",PNL!B686)</f>
        <v/>
      </c>
      <c r="C686">
        <f>IF(PNL!C686="","",PNL!C686)</f>
        <v/>
      </c>
      <c r="D686">
        <f>IF(PNL!D686="","",PNL!D686)</f>
        <v/>
      </c>
      <c r="E686">
        <f>IF($A686="","",IF(AND($C686="2027",OR($D686="V01",$D686="V02",$D686="V03")),1,0))</f>
        <v/>
      </c>
      <c r="F686">
        <f>IF($A686="","",IF($E686=1,SUMIFS(Comptabilité!$F$1:$F$675,Comptabilité!$A$1:$A$675,$A686,Comptabilité!$B$1:$B$675,$B686,Comptabilité!$C$1:$C$675,"2026"),0))</f>
        <v/>
      </c>
      <c r="G686">
        <f>IF($A686="","",IF($D686="V01",Cadrage!$C$22,IF($D686="V02",Cadrage!$D$22,Cadrage!$E$22)))</f>
        <v/>
      </c>
      <c r="H686">
        <f>IF($A686="","",IF($D686="V01",Cadrage!$C$23,IF($D686="V02",Cadrage!$D$23,Cadrage!$E$23)))</f>
        <v/>
      </c>
      <c r="I686">
        <f>IF($A686="","",IF($D686="V01",Cadrage!$C$31,IF($D686="V02",Cadrage!$D$31,Cadrage!$E$31)))</f>
        <v/>
      </c>
      <c r="J686">
        <f>IF($A686="","",IF($D686="V01",Cadrage!$C$32,IF($D686="V02",Cadrage!$D$32,Cadrage!$E$32)))</f>
        <v/>
      </c>
      <c r="K686">
        <f>IF($A686="","",IF($D686="V01",Cadrage!$C$33,IF($D686="V02",Cadrage!$D$33,Cadrage!$E$33)))</f>
        <v/>
      </c>
      <c r="L686">
        <f>IF($A686="","",IF($D686="V01",Cadrage!$C$34,IF($D686="V02",Cadrage!$D$34,Cadrage!$E$34)))</f>
        <v/>
      </c>
      <c r="M686">
        <f>IF($A686="","",IF($D686="V01",Cadrage!$C$35,IF($D686="V02",Cadrage!$D$35,Cadrage!$E$35)))</f>
        <v/>
      </c>
      <c r="N686">
        <f>IF($A686="","",IF($D686="V01",$R$2,IF($D686="V02",$R$3,$R$4)))</f>
        <v/>
      </c>
      <c r="O686">
        <f>IF($A686="","",IF(OR($B686="7062",$B686="706",$B686="708"),$N686,IF($B686="6231",1+$G686,IF($B686="6236",1+$H686,IF(OR($B686="621",$B686="604",$B686="6063"),$N686*(1-$L686),IF(OR($B686="6411",$B686="6413",$B686="6414",$B686="645"),(1+$J686)*(1+$K686),IF(OR($B686="613",$B686="615",$B686="616",$B686="6226",$B686="625",$B686="626",$B686="6281"),(1+$I686)*(1-$L686)*(1+$M686),IF(OR($B686="6331",$B686="63511",$B686="6333"),(1+$I686)*(1-$L686),IF($B686="6811",1+$I686,1)))))))))</f>
        <v/>
      </c>
      <c r="P686">
        <f>IF($A686="","",IF($E686=1,$F686*$O686,PNL!G686))</f>
        <v/>
      </c>
      <c r="T686">
        <f>IF($A686="","",IF($E686=1,IF(OR($B686="7062",$B686="706",$B686="708"),$P686,IF(AND(LEFT($B686,1)="6",$B686&lt;&gt;"6811"),-$P686,0)),0))</f>
        <v/>
      </c>
    </row>
    <row r="687">
      <c r="A687">
        <f>IF(PNL!A687="","",PNL!A687)</f>
        <v/>
      </c>
      <c r="B687">
        <f>IF(PNL!B687="","",PNL!B687)</f>
        <v/>
      </c>
      <c r="C687">
        <f>IF(PNL!C687="","",PNL!C687)</f>
        <v/>
      </c>
      <c r="D687">
        <f>IF(PNL!D687="","",PNL!D687)</f>
        <v/>
      </c>
      <c r="E687">
        <f>IF($A687="","",IF(AND($C687="2027",OR($D687="V01",$D687="V02",$D687="V03")),1,0))</f>
        <v/>
      </c>
      <c r="F687">
        <f>IF($A687="","",IF($E687=1,SUMIFS(Comptabilité!$F$1:$F$675,Comptabilité!$A$1:$A$675,$A687,Comptabilité!$B$1:$B$675,$B687,Comptabilité!$C$1:$C$675,"2026"),0))</f>
        <v/>
      </c>
      <c r="G687">
        <f>IF($A687="","",IF($D687="V01",Cadrage!$C$22,IF($D687="V02",Cadrage!$D$22,Cadrage!$E$22)))</f>
        <v/>
      </c>
      <c r="H687">
        <f>IF($A687="","",IF($D687="V01",Cadrage!$C$23,IF($D687="V02",Cadrage!$D$23,Cadrage!$E$23)))</f>
        <v/>
      </c>
      <c r="I687">
        <f>IF($A687="","",IF($D687="V01",Cadrage!$C$31,IF($D687="V02",Cadrage!$D$31,Cadrage!$E$31)))</f>
        <v/>
      </c>
      <c r="J687">
        <f>IF($A687="","",IF($D687="V01",Cadrage!$C$32,IF($D687="V02",Cadrage!$D$32,Cadrage!$E$32)))</f>
        <v/>
      </c>
      <c r="K687">
        <f>IF($A687="","",IF($D687="V01",Cadrage!$C$33,IF($D687="V02",Cadrage!$D$33,Cadrage!$E$33)))</f>
        <v/>
      </c>
      <c r="L687">
        <f>IF($A687="","",IF($D687="V01",Cadrage!$C$34,IF($D687="V02",Cadrage!$D$34,Cadrage!$E$34)))</f>
        <v/>
      </c>
      <c r="M687">
        <f>IF($A687="","",IF($D687="V01",Cadrage!$C$35,IF($D687="V02",Cadrage!$D$35,Cadrage!$E$35)))</f>
        <v/>
      </c>
      <c r="N687">
        <f>IF($A687="","",IF($D687="V01",$R$2,IF($D687="V02",$R$3,$R$4)))</f>
        <v/>
      </c>
      <c r="O687">
        <f>IF($A687="","",IF(OR($B687="7062",$B687="706",$B687="708"),$N687,IF($B687="6231",1+$G687,IF($B687="6236",1+$H687,IF(OR($B687="621",$B687="604",$B687="6063"),$N687*(1-$L687),IF(OR($B687="6411",$B687="6413",$B687="6414",$B687="645"),(1+$J687)*(1+$K687),IF(OR($B687="613",$B687="615",$B687="616",$B687="6226",$B687="625",$B687="626",$B687="6281"),(1+$I687)*(1-$L687)*(1+$M687),IF(OR($B687="6331",$B687="63511",$B687="6333"),(1+$I687)*(1-$L687),IF($B687="6811",1+$I687,1)))))))))</f>
        <v/>
      </c>
      <c r="P687">
        <f>IF($A687="","",IF($E687=1,$F687*$O687,PNL!G687))</f>
        <v/>
      </c>
      <c r="T687">
        <f>IF($A687="","",IF($E687=1,IF(OR($B687="7062",$B687="706",$B687="708"),$P687,IF(AND(LEFT($B687,1)="6",$B687&lt;&gt;"6811"),-$P687,0)),0))</f>
        <v/>
      </c>
    </row>
    <row r="688">
      <c r="A688">
        <f>IF(PNL!A688="","",PNL!A688)</f>
        <v/>
      </c>
      <c r="B688">
        <f>IF(PNL!B688="","",PNL!B688)</f>
        <v/>
      </c>
      <c r="C688">
        <f>IF(PNL!C688="","",PNL!C688)</f>
        <v/>
      </c>
      <c r="D688">
        <f>IF(PNL!D688="","",PNL!D688)</f>
        <v/>
      </c>
      <c r="E688">
        <f>IF($A688="","",IF(AND($C688="2027",OR($D688="V01",$D688="V02",$D688="V03")),1,0))</f>
        <v/>
      </c>
      <c r="F688">
        <f>IF($A688="","",IF($E688=1,SUMIFS(Comptabilité!$F$1:$F$675,Comptabilité!$A$1:$A$675,$A688,Comptabilité!$B$1:$B$675,$B688,Comptabilité!$C$1:$C$675,"2026"),0))</f>
        <v/>
      </c>
      <c r="G688">
        <f>IF($A688="","",IF($D688="V01",Cadrage!$C$22,IF($D688="V02",Cadrage!$D$22,Cadrage!$E$22)))</f>
        <v/>
      </c>
      <c r="H688">
        <f>IF($A688="","",IF($D688="V01",Cadrage!$C$23,IF($D688="V02",Cadrage!$D$23,Cadrage!$E$23)))</f>
        <v/>
      </c>
      <c r="I688">
        <f>IF($A688="","",IF($D688="V01",Cadrage!$C$31,IF($D688="V02",Cadrage!$D$31,Cadrage!$E$31)))</f>
        <v/>
      </c>
      <c r="J688">
        <f>IF($A688="","",IF($D688="V01",Cadrage!$C$32,IF($D688="V02",Cadrage!$D$32,Cadrage!$E$32)))</f>
        <v/>
      </c>
      <c r="K688">
        <f>IF($A688="","",IF($D688="V01",Cadrage!$C$33,IF($D688="V02",Cadrage!$D$33,Cadrage!$E$33)))</f>
        <v/>
      </c>
      <c r="L688">
        <f>IF($A688="","",IF($D688="V01",Cadrage!$C$34,IF($D688="V02",Cadrage!$D$34,Cadrage!$E$34)))</f>
        <v/>
      </c>
      <c r="M688">
        <f>IF($A688="","",IF($D688="V01",Cadrage!$C$35,IF($D688="V02",Cadrage!$D$35,Cadrage!$E$35)))</f>
        <v/>
      </c>
      <c r="N688">
        <f>IF($A688="","",IF($D688="V01",$R$2,IF($D688="V02",$R$3,$R$4)))</f>
        <v/>
      </c>
      <c r="O688">
        <f>IF($A688="","",IF(OR($B688="7062",$B688="706",$B688="708"),$N688,IF($B688="6231",1+$G688,IF($B688="6236",1+$H688,IF(OR($B688="621",$B688="604",$B688="6063"),$N688*(1-$L688),IF(OR($B688="6411",$B688="6413",$B688="6414",$B688="645"),(1+$J688)*(1+$K688),IF(OR($B688="613",$B688="615",$B688="616",$B688="6226",$B688="625",$B688="626",$B688="6281"),(1+$I688)*(1-$L688)*(1+$M688),IF(OR($B688="6331",$B688="63511",$B688="6333"),(1+$I688)*(1-$L688),IF($B688="6811",1+$I688,1)))))))))</f>
        <v/>
      </c>
      <c r="P688">
        <f>IF($A688="","",IF($E688=1,$F688*$O688,PNL!G688))</f>
        <v/>
      </c>
      <c r="T688">
        <f>IF($A688="","",IF($E688=1,IF(OR($B688="7062",$B688="706",$B688="708"),$P688,IF(AND(LEFT($B688,1)="6",$B688&lt;&gt;"6811"),-$P688,0)),0))</f>
        <v/>
      </c>
    </row>
    <row r="689">
      <c r="A689">
        <f>IF(PNL!A689="","",PNL!A689)</f>
        <v/>
      </c>
      <c r="B689">
        <f>IF(PNL!B689="","",PNL!B689)</f>
        <v/>
      </c>
      <c r="C689">
        <f>IF(PNL!C689="","",PNL!C689)</f>
        <v/>
      </c>
      <c r="D689">
        <f>IF(PNL!D689="","",PNL!D689)</f>
        <v/>
      </c>
      <c r="E689">
        <f>IF($A689="","",IF(AND($C689="2027",OR($D689="V01",$D689="V02",$D689="V03")),1,0))</f>
        <v/>
      </c>
      <c r="F689">
        <f>IF($A689="","",IF($E689=1,SUMIFS(Comptabilité!$F$1:$F$675,Comptabilité!$A$1:$A$675,$A689,Comptabilité!$B$1:$B$675,$B689,Comptabilité!$C$1:$C$675,"2026"),0))</f>
        <v/>
      </c>
      <c r="G689">
        <f>IF($A689="","",IF($D689="V01",Cadrage!$C$22,IF($D689="V02",Cadrage!$D$22,Cadrage!$E$22)))</f>
        <v/>
      </c>
      <c r="H689">
        <f>IF($A689="","",IF($D689="V01",Cadrage!$C$23,IF($D689="V02",Cadrage!$D$23,Cadrage!$E$23)))</f>
        <v/>
      </c>
      <c r="I689">
        <f>IF($A689="","",IF($D689="V01",Cadrage!$C$31,IF($D689="V02",Cadrage!$D$31,Cadrage!$E$31)))</f>
        <v/>
      </c>
      <c r="J689">
        <f>IF($A689="","",IF($D689="V01",Cadrage!$C$32,IF($D689="V02",Cadrage!$D$32,Cadrage!$E$32)))</f>
        <v/>
      </c>
      <c r="K689">
        <f>IF($A689="","",IF($D689="V01",Cadrage!$C$33,IF($D689="V02",Cadrage!$D$33,Cadrage!$E$33)))</f>
        <v/>
      </c>
      <c r="L689">
        <f>IF($A689="","",IF($D689="V01",Cadrage!$C$34,IF($D689="V02",Cadrage!$D$34,Cadrage!$E$34)))</f>
        <v/>
      </c>
      <c r="M689">
        <f>IF($A689="","",IF($D689="V01",Cadrage!$C$35,IF($D689="V02",Cadrage!$D$35,Cadrage!$E$35)))</f>
        <v/>
      </c>
      <c r="N689">
        <f>IF($A689="","",IF($D689="V01",$R$2,IF($D689="V02",$R$3,$R$4)))</f>
        <v/>
      </c>
      <c r="O689">
        <f>IF($A689="","",IF(OR($B689="7062",$B689="706",$B689="708"),$N689,IF($B689="6231",1+$G689,IF($B689="6236",1+$H689,IF(OR($B689="621",$B689="604",$B689="6063"),$N689*(1-$L689),IF(OR($B689="6411",$B689="6413",$B689="6414",$B689="645"),(1+$J689)*(1+$K689),IF(OR($B689="613",$B689="615",$B689="616",$B689="6226",$B689="625",$B689="626",$B689="6281"),(1+$I689)*(1-$L689)*(1+$M689),IF(OR($B689="6331",$B689="63511",$B689="6333"),(1+$I689)*(1-$L689),IF($B689="6811",1+$I689,1)))))))))</f>
        <v/>
      </c>
      <c r="P689">
        <f>IF($A689="","",IF($E689=1,$F689*$O689,PNL!G689))</f>
        <v/>
      </c>
      <c r="T689">
        <f>IF($A689="","",IF($E689=1,IF(OR($B689="7062",$B689="706",$B689="708"),$P689,IF(AND(LEFT($B689,1)="6",$B689&lt;&gt;"6811"),-$P689,0)),0))</f>
        <v/>
      </c>
    </row>
    <row r="690">
      <c r="A690">
        <f>IF(PNL!A690="","",PNL!A690)</f>
        <v/>
      </c>
      <c r="B690">
        <f>IF(PNL!B690="","",PNL!B690)</f>
        <v/>
      </c>
      <c r="C690">
        <f>IF(PNL!C690="","",PNL!C690)</f>
        <v/>
      </c>
      <c r="D690">
        <f>IF(PNL!D690="","",PNL!D690)</f>
        <v/>
      </c>
      <c r="E690">
        <f>IF($A690="","",IF(AND($C690="2027",OR($D690="V01",$D690="V02",$D690="V03")),1,0))</f>
        <v/>
      </c>
      <c r="F690">
        <f>IF($A690="","",IF($E690=1,SUMIFS(Comptabilité!$F$1:$F$675,Comptabilité!$A$1:$A$675,$A690,Comptabilité!$B$1:$B$675,$B690,Comptabilité!$C$1:$C$675,"2026"),0))</f>
        <v/>
      </c>
      <c r="G690">
        <f>IF($A690="","",IF($D690="V01",Cadrage!$C$22,IF($D690="V02",Cadrage!$D$22,Cadrage!$E$22)))</f>
        <v/>
      </c>
      <c r="H690">
        <f>IF($A690="","",IF($D690="V01",Cadrage!$C$23,IF($D690="V02",Cadrage!$D$23,Cadrage!$E$23)))</f>
        <v/>
      </c>
      <c r="I690">
        <f>IF($A690="","",IF($D690="V01",Cadrage!$C$31,IF($D690="V02",Cadrage!$D$31,Cadrage!$E$31)))</f>
        <v/>
      </c>
      <c r="J690">
        <f>IF($A690="","",IF($D690="V01",Cadrage!$C$32,IF($D690="V02",Cadrage!$D$32,Cadrage!$E$32)))</f>
        <v/>
      </c>
      <c r="K690">
        <f>IF($A690="","",IF($D690="V01",Cadrage!$C$33,IF($D690="V02",Cadrage!$D$33,Cadrage!$E$33)))</f>
        <v/>
      </c>
      <c r="L690">
        <f>IF($A690="","",IF($D690="V01",Cadrage!$C$34,IF($D690="V02",Cadrage!$D$34,Cadrage!$E$34)))</f>
        <v/>
      </c>
      <c r="M690">
        <f>IF($A690="","",IF($D690="V01",Cadrage!$C$35,IF($D690="V02",Cadrage!$D$35,Cadrage!$E$35)))</f>
        <v/>
      </c>
      <c r="N690">
        <f>IF($A690="","",IF($D690="V01",$R$2,IF($D690="V02",$R$3,$R$4)))</f>
        <v/>
      </c>
      <c r="O690">
        <f>IF($A690="","",IF(OR($B690="7062",$B690="706",$B690="708"),$N690,IF($B690="6231",1+$G690,IF($B690="6236",1+$H690,IF(OR($B690="621",$B690="604",$B690="6063"),$N690*(1-$L690),IF(OR($B690="6411",$B690="6413",$B690="6414",$B690="645"),(1+$J690)*(1+$K690),IF(OR($B690="613",$B690="615",$B690="616",$B690="6226",$B690="625",$B690="626",$B690="6281"),(1+$I690)*(1-$L690)*(1+$M690),IF(OR($B690="6331",$B690="63511",$B690="6333"),(1+$I690)*(1-$L690),IF($B690="6811",1+$I690,1)))))))))</f>
        <v/>
      </c>
      <c r="P690">
        <f>IF($A690="","",IF($E690=1,$F690*$O690,PNL!G690))</f>
        <v/>
      </c>
      <c r="T690">
        <f>IF($A690="","",IF($E690=1,IF(OR($B690="7062",$B690="706",$B690="708"),$P690,IF(AND(LEFT($B690,1)="6",$B690&lt;&gt;"6811"),-$P690,0)),0))</f>
        <v/>
      </c>
    </row>
    <row r="691">
      <c r="A691">
        <f>IF(PNL!A691="","",PNL!A691)</f>
        <v/>
      </c>
      <c r="B691">
        <f>IF(PNL!B691="","",PNL!B691)</f>
        <v/>
      </c>
      <c r="C691">
        <f>IF(PNL!C691="","",PNL!C691)</f>
        <v/>
      </c>
      <c r="D691">
        <f>IF(PNL!D691="","",PNL!D691)</f>
        <v/>
      </c>
      <c r="E691">
        <f>IF($A691="","",IF(AND($C691="2027",OR($D691="V01",$D691="V02",$D691="V03")),1,0))</f>
        <v/>
      </c>
      <c r="F691">
        <f>IF($A691="","",IF($E691=1,SUMIFS(Comptabilité!$F$1:$F$675,Comptabilité!$A$1:$A$675,$A691,Comptabilité!$B$1:$B$675,$B691,Comptabilité!$C$1:$C$675,"2026"),0))</f>
        <v/>
      </c>
      <c r="G691">
        <f>IF($A691="","",IF($D691="V01",Cadrage!$C$22,IF($D691="V02",Cadrage!$D$22,Cadrage!$E$22)))</f>
        <v/>
      </c>
      <c r="H691">
        <f>IF($A691="","",IF($D691="V01",Cadrage!$C$23,IF($D691="V02",Cadrage!$D$23,Cadrage!$E$23)))</f>
        <v/>
      </c>
      <c r="I691">
        <f>IF($A691="","",IF($D691="V01",Cadrage!$C$31,IF($D691="V02",Cadrage!$D$31,Cadrage!$E$31)))</f>
        <v/>
      </c>
      <c r="J691">
        <f>IF($A691="","",IF($D691="V01",Cadrage!$C$32,IF($D691="V02",Cadrage!$D$32,Cadrage!$E$32)))</f>
        <v/>
      </c>
      <c r="K691">
        <f>IF($A691="","",IF($D691="V01",Cadrage!$C$33,IF($D691="V02",Cadrage!$D$33,Cadrage!$E$33)))</f>
        <v/>
      </c>
      <c r="L691">
        <f>IF($A691="","",IF($D691="V01",Cadrage!$C$34,IF($D691="V02",Cadrage!$D$34,Cadrage!$E$34)))</f>
        <v/>
      </c>
      <c r="M691">
        <f>IF($A691="","",IF($D691="V01",Cadrage!$C$35,IF($D691="V02",Cadrage!$D$35,Cadrage!$E$35)))</f>
        <v/>
      </c>
      <c r="N691">
        <f>IF($A691="","",IF($D691="V01",$R$2,IF($D691="V02",$R$3,$R$4)))</f>
        <v/>
      </c>
      <c r="O691">
        <f>IF($A691="","",IF(OR($B691="7062",$B691="706",$B691="708"),$N691,IF($B691="6231",1+$G691,IF($B691="6236",1+$H691,IF(OR($B691="621",$B691="604",$B691="6063"),$N691*(1-$L691),IF(OR($B691="6411",$B691="6413",$B691="6414",$B691="645"),(1+$J691)*(1+$K691),IF(OR($B691="613",$B691="615",$B691="616",$B691="6226",$B691="625",$B691="626",$B691="6281"),(1+$I691)*(1-$L691)*(1+$M691),IF(OR($B691="6331",$B691="63511",$B691="6333"),(1+$I691)*(1-$L691),IF($B691="6811",1+$I691,1)))))))))</f>
        <v/>
      </c>
      <c r="P691">
        <f>IF($A691="","",IF($E691=1,$F691*$O691,PNL!G691))</f>
        <v/>
      </c>
      <c r="T691">
        <f>IF($A691="","",IF($E691=1,IF(OR($B691="7062",$B691="706",$B691="708"),$P691,IF(AND(LEFT($B691,1)="6",$B691&lt;&gt;"6811"),-$P691,0)),0))</f>
        <v/>
      </c>
    </row>
    <row r="692">
      <c r="A692">
        <f>IF(PNL!A692="","",PNL!A692)</f>
        <v/>
      </c>
      <c r="B692">
        <f>IF(PNL!B692="","",PNL!B692)</f>
        <v/>
      </c>
      <c r="C692">
        <f>IF(PNL!C692="","",PNL!C692)</f>
        <v/>
      </c>
      <c r="D692">
        <f>IF(PNL!D692="","",PNL!D692)</f>
        <v/>
      </c>
      <c r="E692">
        <f>IF($A692="","",IF(AND($C692="2027",OR($D692="V01",$D692="V02",$D692="V03")),1,0))</f>
        <v/>
      </c>
      <c r="F692">
        <f>IF($A692="","",IF($E692=1,SUMIFS(Comptabilité!$F$1:$F$675,Comptabilité!$A$1:$A$675,$A692,Comptabilité!$B$1:$B$675,$B692,Comptabilité!$C$1:$C$675,"2026"),0))</f>
        <v/>
      </c>
      <c r="G692">
        <f>IF($A692="","",IF($D692="V01",Cadrage!$C$22,IF($D692="V02",Cadrage!$D$22,Cadrage!$E$22)))</f>
        <v/>
      </c>
      <c r="H692">
        <f>IF($A692="","",IF($D692="V01",Cadrage!$C$23,IF($D692="V02",Cadrage!$D$23,Cadrage!$E$23)))</f>
        <v/>
      </c>
      <c r="I692">
        <f>IF($A692="","",IF($D692="V01",Cadrage!$C$31,IF($D692="V02",Cadrage!$D$31,Cadrage!$E$31)))</f>
        <v/>
      </c>
      <c r="J692">
        <f>IF($A692="","",IF($D692="V01",Cadrage!$C$32,IF($D692="V02",Cadrage!$D$32,Cadrage!$E$32)))</f>
        <v/>
      </c>
      <c r="K692">
        <f>IF($A692="","",IF($D692="V01",Cadrage!$C$33,IF($D692="V02",Cadrage!$D$33,Cadrage!$E$33)))</f>
        <v/>
      </c>
      <c r="L692">
        <f>IF($A692="","",IF($D692="V01",Cadrage!$C$34,IF($D692="V02",Cadrage!$D$34,Cadrage!$E$34)))</f>
        <v/>
      </c>
      <c r="M692">
        <f>IF($A692="","",IF($D692="V01",Cadrage!$C$35,IF($D692="V02",Cadrage!$D$35,Cadrage!$E$35)))</f>
        <v/>
      </c>
      <c r="N692">
        <f>IF($A692="","",IF($D692="V01",$R$2,IF($D692="V02",$R$3,$R$4)))</f>
        <v/>
      </c>
      <c r="O692">
        <f>IF($A692="","",IF(OR($B692="7062",$B692="706",$B692="708"),$N692,IF($B692="6231",1+$G692,IF($B692="6236",1+$H692,IF(OR($B692="621",$B692="604",$B692="6063"),$N692*(1-$L692),IF(OR($B692="6411",$B692="6413",$B692="6414",$B692="645"),(1+$J692)*(1+$K692),IF(OR($B692="613",$B692="615",$B692="616",$B692="6226",$B692="625",$B692="626",$B692="6281"),(1+$I692)*(1-$L692)*(1+$M692),IF(OR($B692="6331",$B692="63511",$B692="6333"),(1+$I692)*(1-$L692),IF($B692="6811",1+$I692,1)))))))))</f>
        <v/>
      </c>
      <c r="P692">
        <f>IF($A692="","",IF($E692=1,$F692*$O692,PNL!G692))</f>
        <v/>
      </c>
      <c r="T692">
        <f>IF($A692="","",IF($E692=1,IF(OR($B692="7062",$B692="706",$B692="708"),$P692,IF(AND(LEFT($B692,1)="6",$B692&lt;&gt;"6811"),-$P692,0)),0))</f>
        <v/>
      </c>
    </row>
    <row r="693">
      <c r="A693">
        <f>IF(PNL!A693="","",PNL!A693)</f>
        <v/>
      </c>
      <c r="B693">
        <f>IF(PNL!B693="","",PNL!B693)</f>
        <v/>
      </c>
      <c r="C693">
        <f>IF(PNL!C693="","",PNL!C693)</f>
        <v/>
      </c>
      <c r="D693">
        <f>IF(PNL!D693="","",PNL!D693)</f>
        <v/>
      </c>
      <c r="E693">
        <f>IF($A693="","",IF(AND($C693="2027",OR($D693="V01",$D693="V02",$D693="V03")),1,0))</f>
        <v/>
      </c>
      <c r="F693">
        <f>IF($A693="","",IF($E693=1,SUMIFS(Comptabilité!$F$1:$F$675,Comptabilité!$A$1:$A$675,$A693,Comptabilité!$B$1:$B$675,$B693,Comptabilité!$C$1:$C$675,"2026"),0))</f>
        <v/>
      </c>
      <c r="G693">
        <f>IF($A693="","",IF($D693="V01",Cadrage!$C$22,IF($D693="V02",Cadrage!$D$22,Cadrage!$E$22)))</f>
        <v/>
      </c>
      <c r="H693">
        <f>IF($A693="","",IF($D693="V01",Cadrage!$C$23,IF($D693="V02",Cadrage!$D$23,Cadrage!$E$23)))</f>
        <v/>
      </c>
      <c r="I693">
        <f>IF($A693="","",IF($D693="V01",Cadrage!$C$31,IF($D693="V02",Cadrage!$D$31,Cadrage!$E$31)))</f>
        <v/>
      </c>
      <c r="J693">
        <f>IF($A693="","",IF($D693="V01",Cadrage!$C$32,IF($D693="V02",Cadrage!$D$32,Cadrage!$E$32)))</f>
        <v/>
      </c>
      <c r="K693">
        <f>IF($A693="","",IF($D693="V01",Cadrage!$C$33,IF($D693="V02",Cadrage!$D$33,Cadrage!$E$33)))</f>
        <v/>
      </c>
      <c r="L693">
        <f>IF($A693="","",IF($D693="V01",Cadrage!$C$34,IF($D693="V02",Cadrage!$D$34,Cadrage!$E$34)))</f>
        <v/>
      </c>
      <c r="M693">
        <f>IF($A693="","",IF($D693="V01",Cadrage!$C$35,IF($D693="V02",Cadrage!$D$35,Cadrage!$E$35)))</f>
        <v/>
      </c>
      <c r="N693">
        <f>IF($A693="","",IF($D693="V01",$R$2,IF($D693="V02",$R$3,$R$4)))</f>
        <v/>
      </c>
      <c r="O693">
        <f>IF($A693="","",IF(OR($B693="7062",$B693="706",$B693="708"),$N693,IF($B693="6231",1+$G693,IF($B693="6236",1+$H693,IF(OR($B693="621",$B693="604",$B693="6063"),$N693*(1-$L693),IF(OR($B693="6411",$B693="6413",$B693="6414",$B693="645"),(1+$J693)*(1+$K693),IF(OR($B693="613",$B693="615",$B693="616",$B693="6226",$B693="625",$B693="626",$B693="6281"),(1+$I693)*(1-$L693)*(1+$M693),IF(OR($B693="6331",$B693="63511",$B693="6333"),(1+$I693)*(1-$L693),IF($B693="6811",1+$I693,1)))))))))</f>
        <v/>
      </c>
      <c r="P693">
        <f>IF($A693="","",IF($E693=1,$F693*$O693,PNL!G693))</f>
        <v/>
      </c>
      <c r="T693">
        <f>IF($A693="","",IF($E693=1,IF(OR($B693="7062",$B693="706",$B693="708"),$P693,IF(AND(LEFT($B693,1)="6",$B693&lt;&gt;"6811"),-$P693,0)),0))</f>
        <v/>
      </c>
    </row>
    <row r="694">
      <c r="A694">
        <f>IF(PNL!A694="","",PNL!A694)</f>
        <v/>
      </c>
      <c r="B694">
        <f>IF(PNL!B694="","",PNL!B694)</f>
        <v/>
      </c>
      <c r="C694">
        <f>IF(PNL!C694="","",PNL!C694)</f>
        <v/>
      </c>
      <c r="D694">
        <f>IF(PNL!D694="","",PNL!D694)</f>
        <v/>
      </c>
      <c r="E694">
        <f>IF($A694="","",IF(AND($C694="2027",OR($D694="V01",$D694="V02",$D694="V03")),1,0))</f>
        <v/>
      </c>
      <c r="F694">
        <f>IF($A694="","",IF($E694=1,SUMIFS(Comptabilité!$F$1:$F$675,Comptabilité!$A$1:$A$675,$A694,Comptabilité!$B$1:$B$675,$B694,Comptabilité!$C$1:$C$675,"2026"),0))</f>
        <v/>
      </c>
      <c r="G694">
        <f>IF($A694="","",IF($D694="V01",Cadrage!$C$22,IF($D694="V02",Cadrage!$D$22,Cadrage!$E$22)))</f>
        <v/>
      </c>
      <c r="H694">
        <f>IF($A694="","",IF($D694="V01",Cadrage!$C$23,IF($D694="V02",Cadrage!$D$23,Cadrage!$E$23)))</f>
        <v/>
      </c>
      <c r="I694">
        <f>IF($A694="","",IF($D694="V01",Cadrage!$C$31,IF($D694="V02",Cadrage!$D$31,Cadrage!$E$31)))</f>
        <v/>
      </c>
      <c r="J694">
        <f>IF($A694="","",IF($D694="V01",Cadrage!$C$32,IF($D694="V02",Cadrage!$D$32,Cadrage!$E$32)))</f>
        <v/>
      </c>
      <c r="K694">
        <f>IF($A694="","",IF($D694="V01",Cadrage!$C$33,IF($D694="V02",Cadrage!$D$33,Cadrage!$E$33)))</f>
        <v/>
      </c>
      <c r="L694">
        <f>IF($A694="","",IF($D694="V01",Cadrage!$C$34,IF($D694="V02",Cadrage!$D$34,Cadrage!$E$34)))</f>
        <v/>
      </c>
      <c r="M694">
        <f>IF($A694="","",IF($D694="V01",Cadrage!$C$35,IF($D694="V02",Cadrage!$D$35,Cadrage!$E$35)))</f>
        <v/>
      </c>
      <c r="N694">
        <f>IF($A694="","",IF($D694="V01",$R$2,IF($D694="V02",$R$3,$R$4)))</f>
        <v/>
      </c>
      <c r="O694">
        <f>IF($A694="","",IF(OR($B694="7062",$B694="706",$B694="708"),$N694,IF($B694="6231",1+$G694,IF($B694="6236",1+$H694,IF(OR($B694="621",$B694="604",$B694="6063"),$N694*(1-$L694),IF(OR($B694="6411",$B694="6413",$B694="6414",$B694="645"),(1+$J694)*(1+$K694),IF(OR($B694="613",$B694="615",$B694="616",$B694="6226",$B694="625",$B694="626",$B694="6281"),(1+$I694)*(1-$L694)*(1+$M694),IF(OR($B694="6331",$B694="63511",$B694="6333"),(1+$I694)*(1-$L694),IF($B694="6811",1+$I694,1)))))))))</f>
        <v/>
      </c>
      <c r="P694">
        <f>IF($A694="","",IF($E694=1,$F694*$O694,PNL!G694))</f>
        <v/>
      </c>
      <c r="T694">
        <f>IF($A694="","",IF($E694=1,IF(OR($B694="7062",$B694="706",$B694="708"),$P694,IF(AND(LEFT($B694,1)="6",$B694&lt;&gt;"6811"),-$P694,0)),0))</f>
        <v/>
      </c>
    </row>
    <row r="695">
      <c r="A695">
        <f>IF(PNL!A695="","",PNL!A695)</f>
        <v/>
      </c>
      <c r="B695">
        <f>IF(PNL!B695="","",PNL!B695)</f>
        <v/>
      </c>
      <c r="C695">
        <f>IF(PNL!C695="","",PNL!C695)</f>
        <v/>
      </c>
      <c r="D695">
        <f>IF(PNL!D695="","",PNL!D695)</f>
        <v/>
      </c>
      <c r="E695">
        <f>IF($A695="","",IF(AND($C695="2027",OR($D695="V01",$D695="V02",$D695="V03")),1,0))</f>
        <v/>
      </c>
      <c r="F695">
        <f>IF($A695="","",IF($E695=1,SUMIFS(Comptabilité!$F$1:$F$675,Comptabilité!$A$1:$A$675,$A695,Comptabilité!$B$1:$B$675,$B695,Comptabilité!$C$1:$C$675,"2026"),0))</f>
        <v/>
      </c>
      <c r="G695">
        <f>IF($A695="","",IF($D695="V01",Cadrage!$C$22,IF($D695="V02",Cadrage!$D$22,Cadrage!$E$22)))</f>
        <v/>
      </c>
      <c r="H695">
        <f>IF($A695="","",IF($D695="V01",Cadrage!$C$23,IF($D695="V02",Cadrage!$D$23,Cadrage!$E$23)))</f>
        <v/>
      </c>
      <c r="I695">
        <f>IF($A695="","",IF($D695="V01",Cadrage!$C$31,IF($D695="V02",Cadrage!$D$31,Cadrage!$E$31)))</f>
        <v/>
      </c>
      <c r="J695">
        <f>IF($A695="","",IF($D695="V01",Cadrage!$C$32,IF($D695="V02",Cadrage!$D$32,Cadrage!$E$32)))</f>
        <v/>
      </c>
      <c r="K695">
        <f>IF($A695="","",IF($D695="V01",Cadrage!$C$33,IF($D695="V02",Cadrage!$D$33,Cadrage!$E$33)))</f>
        <v/>
      </c>
      <c r="L695">
        <f>IF($A695="","",IF($D695="V01",Cadrage!$C$34,IF($D695="V02",Cadrage!$D$34,Cadrage!$E$34)))</f>
        <v/>
      </c>
      <c r="M695">
        <f>IF($A695="","",IF($D695="V01",Cadrage!$C$35,IF($D695="V02",Cadrage!$D$35,Cadrage!$E$35)))</f>
        <v/>
      </c>
      <c r="N695">
        <f>IF($A695="","",IF($D695="V01",$R$2,IF($D695="V02",$R$3,$R$4)))</f>
        <v/>
      </c>
      <c r="O695">
        <f>IF($A695="","",IF(OR($B695="7062",$B695="706",$B695="708"),$N695,IF($B695="6231",1+$G695,IF($B695="6236",1+$H695,IF(OR($B695="621",$B695="604",$B695="6063"),$N695*(1-$L695),IF(OR($B695="6411",$B695="6413",$B695="6414",$B695="645"),(1+$J695)*(1+$K695),IF(OR($B695="613",$B695="615",$B695="616",$B695="6226",$B695="625",$B695="626",$B695="6281"),(1+$I695)*(1-$L695)*(1+$M695),IF(OR($B695="6331",$B695="63511",$B695="6333"),(1+$I695)*(1-$L695),IF($B695="6811",1+$I695,1)))))))))</f>
        <v/>
      </c>
      <c r="P695">
        <f>IF($A695="","",IF($E695=1,$F695*$O695,PNL!G695))</f>
        <v/>
      </c>
      <c r="T695">
        <f>IF($A695="","",IF($E695=1,IF(OR($B695="7062",$B695="706",$B695="708"),$P695,IF(AND(LEFT($B695,1)="6",$B695&lt;&gt;"6811"),-$P695,0)),0))</f>
        <v/>
      </c>
    </row>
    <row r="696">
      <c r="A696">
        <f>IF(PNL!A696="","",PNL!A696)</f>
        <v/>
      </c>
      <c r="B696">
        <f>IF(PNL!B696="","",PNL!B696)</f>
        <v/>
      </c>
      <c r="C696">
        <f>IF(PNL!C696="","",PNL!C696)</f>
        <v/>
      </c>
      <c r="D696">
        <f>IF(PNL!D696="","",PNL!D696)</f>
        <v/>
      </c>
      <c r="E696">
        <f>IF($A696="","",IF(AND($C696="2027",OR($D696="V01",$D696="V02",$D696="V03")),1,0))</f>
        <v/>
      </c>
      <c r="F696">
        <f>IF($A696="","",IF($E696=1,SUMIFS(Comptabilité!$F$1:$F$675,Comptabilité!$A$1:$A$675,$A696,Comptabilité!$B$1:$B$675,$B696,Comptabilité!$C$1:$C$675,"2026"),0))</f>
        <v/>
      </c>
      <c r="G696">
        <f>IF($A696="","",IF($D696="V01",Cadrage!$C$22,IF($D696="V02",Cadrage!$D$22,Cadrage!$E$22)))</f>
        <v/>
      </c>
      <c r="H696">
        <f>IF($A696="","",IF($D696="V01",Cadrage!$C$23,IF($D696="V02",Cadrage!$D$23,Cadrage!$E$23)))</f>
        <v/>
      </c>
      <c r="I696">
        <f>IF($A696="","",IF($D696="V01",Cadrage!$C$31,IF($D696="V02",Cadrage!$D$31,Cadrage!$E$31)))</f>
        <v/>
      </c>
      <c r="J696">
        <f>IF($A696="","",IF($D696="V01",Cadrage!$C$32,IF($D696="V02",Cadrage!$D$32,Cadrage!$E$32)))</f>
        <v/>
      </c>
      <c r="K696">
        <f>IF($A696="","",IF($D696="V01",Cadrage!$C$33,IF($D696="V02",Cadrage!$D$33,Cadrage!$E$33)))</f>
        <v/>
      </c>
      <c r="L696">
        <f>IF($A696="","",IF($D696="V01",Cadrage!$C$34,IF($D696="V02",Cadrage!$D$34,Cadrage!$E$34)))</f>
        <v/>
      </c>
      <c r="M696">
        <f>IF($A696="","",IF($D696="V01",Cadrage!$C$35,IF($D696="V02",Cadrage!$D$35,Cadrage!$E$35)))</f>
        <v/>
      </c>
      <c r="N696">
        <f>IF($A696="","",IF($D696="V01",$R$2,IF($D696="V02",$R$3,$R$4)))</f>
        <v/>
      </c>
      <c r="O696">
        <f>IF($A696="","",IF(OR($B696="7062",$B696="706",$B696="708"),$N696,IF($B696="6231",1+$G696,IF($B696="6236",1+$H696,IF(OR($B696="621",$B696="604",$B696="6063"),$N696*(1-$L696),IF(OR($B696="6411",$B696="6413",$B696="6414",$B696="645"),(1+$J696)*(1+$K696),IF(OR($B696="613",$B696="615",$B696="616",$B696="6226",$B696="625",$B696="626",$B696="6281"),(1+$I696)*(1-$L696)*(1+$M696),IF(OR($B696="6331",$B696="63511",$B696="6333"),(1+$I696)*(1-$L696),IF($B696="6811",1+$I696,1)))))))))</f>
        <v/>
      </c>
      <c r="P696">
        <f>IF($A696="","",IF($E696=1,$F696*$O696,PNL!G696))</f>
        <v/>
      </c>
      <c r="T696">
        <f>IF($A696="","",IF($E696=1,IF(OR($B696="7062",$B696="706",$B696="708"),$P696,IF(AND(LEFT($B696,1)="6",$B696&lt;&gt;"6811"),-$P696,0)),0))</f>
        <v/>
      </c>
    </row>
    <row r="697">
      <c r="A697">
        <f>IF(PNL!A697="","",PNL!A697)</f>
        <v/>
      </c>
      <c r="B697">
        <f>IF(PNL!B697="","",PNL!B697)</f>
        <v/>
      </c>
      <c r="C697">
        <f>IF(PNL!C697="","",PNL!C697)</f>
        <v/>
      </c>
      <c r="D697">
        <f>IF(PNL!D697="","",PNL!D697)</f>
        <v/>
      </c>
      <c r="E697">
        <f>IF($A697="","",IF(AND($C697="2027",OR($D697="V01",$D697="V02",$D697="V03")),1,0))</f>
        <v/>
      </c>
      <c r="F697">
        <f>IF($A697="","",IF($E697=1,SUMIFS(Comptabilité!$F$1:$F$675,Comptabilité!$A$1:$A$675,$A697,Comptabilité!$B$1:$B$675,$B697,Comptabilité!$C$1:$C$675,"2026"),0))</f>
        <v/>
      </c>
      <c r="G697">
        <f>IF($A697="","",IF($D697="V01",Cadrage!$C$22,IF($D697="V02",Cadrage!$D$22,Cadrage!$E$22)))</f>
        <v/>
      </c>
      <c r="H697">
        <f>IF($A697="","",IF($D697="V01",Cadrage!$C$23,IF($D697="V02",Cadrage!$D$23,Cadrage!$E$23)))</f>
        <v/>
      </c>
      <c r="I697">
        <f>IF($A697="","",IF($D697="V01",Cadrage!$C$31,IF($D697="V02",Cadrage!$D$31,Cadrage!$E$31)))</f>
        <v/>
      </c>
      <c r="J697">
        <f>IF($A697="","",IF($D697="V01",Cadrage!$C$32,IF($D697="V02",Cadrage!$D$32,Cadrage!$E$32)))</f>
        <v/>
      </c>
      <c r="K697">
        <f>IF($A697="","",IF($D697="V01",Cadrage!$C$33,IF($D697="V02",Cadrage!$D$33,Cadrage!$E$33)))</f>
        <v/>
      </c>
      <c r="L697">
        <f>IF($A697="","",IF($D697="V01",Cadrage!$C$34,IF($D697="V02",Cadrage!$D$34,Cadrage!$E$34)))</f>
        <v/>
      </c>
      <c r="M697">
        <f>IF($A697="","",IF($D697="V01",Cadrage!$C$35,IF($D697="V02",Cadrage!$D$35,Cadrage!$E$35)))</f>
        <v/>
      </c>
      <c r="N697">
        <f>IF($A697="","",IF($D697="V01",$R$2,IF($D697="V02",$R$3,$R$4)))</f>
        <v/>
      </c>
      <c r="O697">
        <f>IF($A697="","",IF(OR($B697="7062",$B697="706",$B697="708"),$N697,IF($B697="6231",1+$G697,IF($B697="6236",1+$H697,IF(OR($B697="621",$B697="604",$B697="6063"),$N697*(1-$L697),IF(OR($B697="6411",$B697="6413",$B697="6414",$B697="645"),(1+$J697)*(1+$K697),IF(OR($B697="613",$B697="615",$B697="616",$B697="6226",$B697="625",$B697="626",$B697="6281"),(1+$I697)*(1-$L697)*(1+$M697),IF(OR($B697="6331",$B697="63511",$B697="6333"),(1+$I697)*(1-$L697),IF($B697="6811",1+$I697,1)))))))))</f>
        <v/>
      </c>
      <c r="P697">
        <f>IF($A697="","",IF($E697=1,$F697*$O697,PNL!G697))</f>
        <v/>
      </c>
      <c r="T697">
        <f>IF($A697="","",IF($E697=1,IF(OR($B697="7062",$B697="706",$B697="708"),$P697,IF(AND(LEFT($B697,1)="6",$B697&lt;&gt;"6811"),-$P697,0)),0))</f>
        <v/>
      </c>
    </row>
    <row r="698">
      <c r="A698">
        <f>IF(PNL!A698="","",PNL!A698)</f>
        <v/>
      </c>
      <c r="B698">
        <f>IF(PNL!B698="","",PNL!B698)</f>
        <v/>
      </c>
      <c r="C698">
        <f>IF(PNL!C698="","",PNL!C698)</f>
        <v/>
      </c>
      <c r="D698">
        <f>IF(PNL!D698="","",PNL!D698)</f>
        <v/>
      </c>
      <c r="E698">
        <f>IF($A698="","",IF(AND($C698="2027",OR($D698="V01",$D698="V02",$D698="V03")),1,0))</f>
        <v/>
      </c>
      <c r="F698">
        <f>IF($A698="","",IF($E698=1,SUMIFS(Comptabilité!$F$1:$F$675,Comptabilité!$A$1:$A$675,$A698,Comptabilité!$B$1:$B$675,$B698,Comptabilité!$C$1:$C$675,"2026"),0))</f>
        <v/>
      </c>
      <c r="G698">
        <f>IF($A698="","",IF($D698="V01",Cadrage!$C$22,IF($D698="V02",Cadrage!$D$22,Cadrage!$E$22)))</f>
        <v/>
      </c>
      <c r="H698">
        <f>IF($A698="","",IF($D698="V01",Cadrage!$C$23,IF($D698="V02",Cadrage!$D$23,Cadrage!$E$23)))</f>
        <v/>
      </c>
      <c r="I698">
        <f>IF($A698="","",IF($D698="V01",Cadrage!$C$31,IF($D698="V02",Cadrage!$D$31,Cadrage!$E$31)))</f>
        <v/>
      </c>
      <c r="J698">
        <f>IF($A698="","",IF($D698="V01",Cadrage!$C$32,IF($D698="V02",Cadrage!$D$32,Cadrage!$E$32)))</f>
        <v/>
      </c>
      <c r="K698">
        <f>IF($A698="","",IF($D698="V01",Cadrage!$C$33,IF($D698="V02",Cadrage!$D$33,Cadrage!$E$33)))</f>
        <v/>
      </c>
      <c r="L698">
        <f>IF($A698="","",IF($D698="V01",Cadrage!$C$34,IF($D698="V02",Cadrage!$D$34,Cadrage!$E$34)))</f>
        <v/>
      </c>
      <c r="M698">
        <f>IF($A698="","",IF($D698="V01",Cadrage!$C$35,IF($D698="V02",Cadrage!$D$35,Cadrage!$E$35)))</f>
        <v/>
      </c>
      <c r="N698">
        <f>IF($A698="","",IF($D698="V01",$R$2,IF($D698="V02",$R$3,$R$4)))</f>
        <v/>
      </c>
      <c r="O698">
        <f>IF($A698="","",IF(OR($B698="7062",$B698="706",$B698="708"),$N698,IF($B698="6231",1+$G698,IF($B698="6236",1+$H698,IF(OR($B698="621",$B698="604",$B698="6063"),$N698*(1-$L698),IF(OR($B698="6411",$B698="6413",$B698="6414",$B698="645"),(1+$J698)*(1+$K698),IF(OR($B698="613",$B698="615",$B698="616",$B698="6226",$B698="625",$B698="626",$B698="6281"),(1+$I698)*(1-$L698)*(1+$M698),IF(OR($B698="6331",$B698="63511",$B698="6333"),(1+$I698)*(1-$L698),IF($B698="6811",1+$I698,1)))))))))</f>
        <v/>
      </c>
      <c r="P698">
        <f>IF($A698="","",IF($E698=1,$F698*$O698,PNL!G698))</f>
        <v/>
      </c>
      <c r="T698">
        <f>IF($A698="","",IF($E698=1,IF(OR($B698="7062",$B698="706",$B698="708"),$P698,IF(AND(LEFT($B698,1)="6",$B698&lt;&gt;"6811"),-$P698,0)),0))</f>
        <v/>
      </c>
    </row>
    <row r="699">
      <c r="A699">
        <f>IF(PNL!A699="","",PNL!A699)</f>
        <v/>
      </c>
      <c r="B699">
        <f>IF(PNL!B699="","",PNL!B699)</f>
        <v/>
      </c>
      <c r="C699">
        <f>IF(PNL!C699="","",PNL!C699)</f>
        <v/>
      </c>
      <c r="D699">
        <f>IF(PNL!D699="","",PNL!D699)</f>
        <v/>
      </c>
      <c r="E699">
        <f>IF($A699="","",IF(AND($C699="2027",OR($D699="V01",$D699="V02",$D699="V03")),1,0))</f>
        <v/>
      </c>
      <c r="F699">
        <f>IF($A699="","",IF($E699=1,SUMIFS(Comptabilité!$F$1:$F$675,Comptabilité!$A$1:$A$675,$A699,Comptabilité!$B$1:$B$675,$B699,Comptabilité!$C$1:$C$675,"2026"),0))</f>
        <v/>
      </c>
      <c r="G699">
        <f>IF($A699="","",IF($D699="V01",Cadrage!$C$22,IF($D699="V02",Cadrage!$D$22,Cadrage!$E$22)))</f>
        <v/>
      </c>
      <c r="H699">
        <f>IF($A699="","",IF($D699="V01",Cadrage!$C$23,IF($D699="V02",Cadrage!$D$23,Cadrage!$E$23)))</f>
        <v/>
      </c>
      <c r="I699">
        <f>IF($A699="","",IF($D699="V01",Cadrage!$C$31,IF($D699="V02",Cadrage!$D$31,Cadrage!$E$31)))</f>
        <v/>
      </c>
      <c r="J699">
        <f>IF($A699="","",IF($D699="V01",Cadrage!$C$32,IF($D699="V02",Cadrage!$D$32,Cadrage!$E$32)))</f>
        <v/>
      </c>
      <c r="K699">
        <f>IF($A699="","",IF($D699="V01",Cadrage!$C$33,IF($D699="V02",Cadrage!$D$33,Cadrage!$E$33)))</f>
        <v/>
      </c>
      <c r="L699">
        <f>IF($A699="","",IF($D699="V01",Cadrage!$C$34,IF($D699="V02",Cadrage!$D$34,Cadrage!$E$34)))</f>
        <v/>
      </c>
      <c r="M699">
        <f>IF($A699="","",IF($D699="V01",Cadrage!$C$35,IF($D699="V02",Cadrage!$D$35,Cadrage!$E$35)))</f>
        <v/>
      </c>
      <c r="N699">
        <f>IF($A699="","",IF($D699="V01",$R$2,IF($D699="V02",$R$3,$R$4)))</f>
        <v/>
      </c>
      <c r="O699">
        <f>IF($A699="","",IF(OR($B699="7062",$B699="706",$B699="708"),$N699,IF($B699="6231",1+$G699,IF($B699="6236",1+$H699,IF(OR($B699="621",$B699="604",$B699="6063"),$N699*(1-$L699),IF(OR($B699="6411",$B699="6413",$B699="6414",$B699="645"),(1+$J699)*(1+$K699),IF(OR($B699="613",$B699="615",$B699="616",$B699="6226",$B699="625",$B699="626",$B699="6281"),(1+$I699)*(1-$L699)*(1+$M699),IF(OR($B699="6331",$B699="63511",$B699="6333"),(1+$I699)*(1-$L699),IF($B699="6811",1+$I699,1)))))))))</f>
        <v/>
      </c>
      <c r="P699">
        <f>IF($A699="","",IF($E699=1,$F699*$O699,PNL!G699))</f>
        <v/>
      </c>
      <c r="T699">
        <f>IF($A699="","",IF($E699=1,IF(OR($B699="7062",$B699="706",$B699="708"),$P699,IF(AND(LEFT($B699,1)="6",$B699&lt;&gt;"6811"),-$P699,0)),0))</f>
        <v/>
      </c>
    </row>
    <row r="700">
      <c r="A700">
        <f>IF(PNL!A700="","",PNL!A700)</f>
        <v/>
      </c>
      <c r="B700">
        <f>IF(PNL!B700="","",PNL!B700)</f>
        <v/>
      </c>
      <c r="C700">
        <f>IF(PNL!C700="","",PNL!C700)</f>
        <v/>
      </c>
      <c r="D700">
        <f>IF(PNL!D700="","",PNL!D700)</f>
        <v/>
      </c>
      <c r="E700">
        <f>IF($A700="","",IF(AND($C700="2027",OR($D700="V01",$D700="V02",$D700="V03")),1,0))</f>
        <v/>
      </c>
      <c r="F700">
        <f>IF($A700="","",IF($E700=1,SUMIFS(Comptabilité!$F$1:$F$675,Comptabilité!$A$1:$A$675,$A700,Comptabilité!$B$1:$B$675,$B700,Comptabilité!$C$1:$C$675,"2026"),0))</f>
        <v/>
      </c>
      <c r="G700">
        <f>IF($A700="","",IF($D700="V01",Cadrage!$C$22,IF($D700="V02",Cadrage!$D$22,Cadrage!$E$22)))</f>
        <v/>
      </c>
      <c r="H700">
        <f>IF($A700="","",IF($D700="V01",Cadrage!$C$23,IF($D700="V02",Cadrage!$D$23,Cadrage!$E$23)))</f>
        <v/>
      </c>
      <c r="I700">
        <f>IF($A700="","",IF($D700="V01",Cadrage!$C$31,IF($D700="V02",Cadrage!$D$31,Cadrage!$E$31)))</f>
        <v/>
      </c>
      <c r="J700">
        <f>IF($A700="","",IF($D700="V01",Cadrage!$C$32,IF($D700="V02",Cadrage!$D$32,Cadrage!$E$32)))</f>
        <v/>
      </c>
      <c r="K700">
        <f>IF($A700="","",IF($D700="V01",Cadrage!$C$33,IF($D700="V02",Cadrage!$D$33,Cadrage!$E$33)))</f>
        <v/>
      </c>
      <c r="L700">
        <f>IF($A700="","",IF($D700="V01",Cadrage!$C$34,IF($D700="V02",Cadrage!$D$34,Cadrage!$E$34)))</f>
        <v/>
      </c>
      <c r="M700">
        <f>IF($A700="","",IF($D700="V01",Cadrage!$C$35,IF($D700="V02",Cadrage!$D$35,Cadrage!$E$35)))</f>
        <v/>
      </c>
      <c r="N700">
        <f>IF($A700="","",IF($D700="V01",$R$2,IF($D700="V02",$R$3,$R$4)))</f>
        <v/>
      </c>
      <c r="O700">
        <f>IF($A700="","",IF(OR($B700="7062",$B700="706",$B700="708"),$N700,IF($B700="6231",1+$G700,IF($B700="6236",1+$H700,IF(OR($B700="621",$B700="604",$B700="6063"),$N700*(1-$L700),IF(OR($B700="6411",$B700="6413",$B700="6414",$B700="645"),(1+$J700)*(1+$K700),IF(OR($B700="613",$B700="615",$B700="616",$B700="6226",$B700="625",$B700="626",$B700="6281"),(1+$I700)*(1-$L700)*(1+$M700),IF(OR($B700="6331",$B700="63511",$B700="6333"),(1+$I700)*(1-$L700),IF($B700="6811",1+$I700,1)))))))))</f>
        <v/>
      </c>
      <c r="P700">
        <f>IF($A700="","",IF($E700=1,$F700*$O700,PNL!G700))</f>
        <v/>
      </c>
      <c r="T700">
        <f>IF($A700="","",IF($E700=1,IF(OR($B700="7062",$B700="706",$B700="708"),$P700,IF(AND(LEFT($B700,1)="6",$B700&lt;&gt;"6811"),-$P700,0)),0))</f>
        <v/>
      </c>
    </row>
    <row r="701">
      <c r="A701">
        <f>IF(PNL!A701="","",PNL!A701)</f>
        <v/>
      </c>
      <c r="B701">
        <f>IF(PNL!B701="","",PNL!B701)</f>
        <v/>
      </c>
      <c r="C701">
        <f>IF(PNL!C701="","",PNL!C701)</f>
        <v/>
      </c>
      <c r="D701">
        <f>IF(PNL!D701="","",PNL!D701)</f>
        <v/>
      </c>
      <c r="E701">
        <f>IF($A701="","",IF(AND($C701="2027",OR($D701="V01",$D701="V02",$D701="V03")),1,0))</f>
        <v/>
      </c>
      <c r="F701">
        <f>IF($A701="","",IF($E701=1,SUMIFS(Comptabilité!$F$1:$F$675,Comptabilité!$A$1:$A$675,$A701,Comptabilité!$B$1:$B$675,$B701,Comptabilité!$C$1:$C$675,"2026"),0))</f>
        <v/>
      </c>
      <c r="G701">
        <f>IF($A701="","",IF($D701="V01",Cadrage!$C$22,IF($D701="V02",Cadrage!$D$22,Cadrage!$E$22)))</f>
        <v/>
      </c>
      <c r="H701">
        <f>IF($A701="","",IF($D701="V01",Cadrage!$C$23,IF($D701="V02",Cadrage!$D$23,Cadrage!$E$23)))</f>
        <v/>
      </c>
      <c r="I701">
        <f>IF($A701="","",IF($D701="V01",Cadrage!$C$31,IF($D701="V02",Cadrage!$D$31,Cadrage!$E$31)))</f>
        <v/>
      </c>
      <c r="J701">
        <f>IF($A701="","",IF($D701="V01",Cadrage!$C$32,IF($D701="V02",Cadrage!$D$32,Cadrage!$E$32)))</f>
        <v/>
      </c>
      <c r="K701">
        <f>IF($A701="","",IF($D701="V01",Cadrage!$C$33,IF($D701="V02",Cadrage!$D$33,Cadrage!$E$33)))</f>
        <v/>
      </c>
      <c r="L701">
        <f>IF($A701="","",IF($D701="V01",Cadrage!$C$34,IF($D701="V02",Cadrage!$D$34,Cadrage!$E$34)))</f>
        <v/>
      </c>
      <c r="M701">
        <f>IF($A701="","",IF($D701="V01",Cadrage!$C$35,IF($D701="V02",Cadrage!$D$35,Cadrage!$E$35)))</f>
        <v/>
      </c>
      <c r="N701">
        <f>IF($A701="","",IF($D701="V01",$R$2,IF($D701="V02",$R$3,$R$4)))</f>
        <v/>
      </c>
      <c r="O701">
        <f>IF($A701="","",IF(OR($B701="7062",$B701="706",$B701="708"),$N701,IF($B701="6231",1+$G701,IF($B701="6236",1+$H701,IF(OR($B701="621",$B701="604",$B701="6063"),$N701*(1-$L701),IF(OR($B701="6411",$B701="6413",$B701="6414",$B701="645"),(1+$J701)*(1+$K701),IF(OR($B701="613",$B701="615",$B701="616",$B701="6226",$B701="625",$B701="626",$B701="6281"),(1+$I701)*(1-$L701)*(1+$M701),IF(OR($B701="6331",$B701="63511",$B701="6333"),(1+$I701)*(1-$L701),IF($B701="6811",1+$I701,1)))))))))</f>
        <v/>
      </c>
      <c r="P701">
        <f>IF($A701="","",IF($E701=1,$F701*$O701,PNL!G701))</f>
        <v/>
      </c>
      <c r="T701">
        <f>IF($A701="","",IF($E701=1,IF(OR($B701="7062",$B701="706",$B701="708"),$P701,IF(AND(LEFT($B701,1)="6",$B701&lt;&gt;"6811"),-$P701,0)),0))</f>
        <v/>
      </c>
    </row>
    <row r="702">
      <c r="A702">
        <f>IF(PNL!A702="","",PNL!A702)</f>
        <v/>
      </c>
      <c r="B702">
        <f>IF(PNL!B702="","",PNL!B702)</f>
        <v/>
      </c>
      <c r="C702">
        <f>IF(PNL!C702="","",PNL!C702)</f>
        <v/>
      </c>
      <c r="D702">
        <f>IF(PNL!D702="","",PNL!D702)</f>
        <v/>
      </c>
      <c r="E702">
        <f>IF($A702="","",IF(AND($C702="2027",OR($D702="V01",$D702="V02",$D702="V03")),1,0))</f>
        <v/>
      </c>
      <c r="F702">
        <f>IF($A702="","",IF($E702=1,SUMIFS(Comptabilité!$F$1:$F$675,Comptabilité!$A$1:$A$675,$A702,Comptabilité!$B$1:$B$675,$B702,Comptabilité!$C$1:$C$675,"2026"),0))</f>
        <v/>
      </c>
      <c r="G702">
        <f>IF($A702="","",IF($D702="V01",Cadrage!$C$22,IF($D702="V02",Cadrage!$D$22,Cadrage!$E$22)))</f>
        <v/>
      </c>
      <c r="H702">
        <f>IF($A702="","",IF($D702="V01",Cadrage!$C$23,IF($D702="V02",Cadrage!$D$23,Cadrage!$E$23)))</f>
        <v/>
      </c>
      <c r="I702">
        <f>IF($A702="","",IF($D702="V01",Cadrage!$C$31,IF($D702="V02",Cadrage!$D$31,Cadrage!$E$31)))</f>
        <v/>
      </c>
      <c r="J702">
        <f>IF($A702="","",IF($D702="V01",Cadrage!$C$32,IF($D702="V02",Cadrage!$D$32,Cadrage!$E$32)))</f>
        <v/>
      </c>
      <c r="K702">
        <f>IF($A702="","",IF($D702="V01",Cadrage!$C$33,IF($D702="V02",Cadrage!$D$33,Cadrage!$E$33)))</f>
        <v/>
      </c>
      <c r="L702">
        <f>IF($A702="","",IF($D702="V01",Cadrage!$C$34,IF($D702="V02",Cadrage!$D$34,Cadrage!$E$34)))</f>
        <v/>
      </c>
      <c r="M702">
        <f>IF($A702="","",IF($D702="V01",Cadrage!$C$35,IF($D702="V02",Cadrage!$D$35,Cadrage!$E$35)))</f>
        <v/>
      </c>
      <c r="N702">
        <f>IF($A702="","",IF($D702="V01",$R$2,IF($D702="V02",$R$3,$R$4)))</f>
        <v/>
      </c>
      <c r="O702">
        <f>IF($A702="","",IF(OR($B702="7062",$B702="706",$B702="708"),$N702,IF($B702="6231",1+$G702,IF($B702="6236",1+$H702,IF(OR($B702="621",$B702="604",$B702="6063"),$N702*(1-$L702),IF(OR($B702="6411",$B702="6413",$B702="6414",$B702="645"),(1+$J702)*(1+$K702),IF(OR($B702="613",$B702="615",$B702="616",$B702="6226",$B702="625",$B702="626",$B702="6281"),(1+$I702)*(1-$L702)*(1+$M702),IF(OR($B702="6331",$B702="63511",$B702="6333"),(1+$I702)*(1-$L702),IF($B702="6811",1+$I702,1)))))))))</f>
        <v/>
      </c>
      <c r="P702">
        <f>IF($A702="","",IF($E702=1,$F702*$O702,PNL!G702))</f>
        <v/>
      </c>
      <c r="T702">
        <f>IF($A702="","",IF($E702=1,IF(OR($B702="7062",$B702="706",$B702="708"),$P702,IF(AND(LEFT($B702,1)="6",$B702&lt;&gt;"6811"),-$P702,0)),0))</f>
        <v/>
      </c>
    </row>
    <row r="703">
      <c r="A703">
        <f>IF(PNL!A703="","",PNL!A703)</f>
        <v/>
      </c>
      <c r="B703">
        <f>IF(PNL!B703="","",PNL!B703)</f>
        <v/>
      </c>
      <c r="C703">
        <f>IF(PNL!C703="","",PNL!C703)</f>
        <v/>
      </c>
      <c r="D703">
        <f>IF(PNL!D703="","",PNL!D703)</f>
        <v/>
      </c>
      <c r="E703">
        <f>IF($A703="","",IF(AND($C703="2027",OR($D703="V01",$D703="V02",$D703="V03")),1,0))</f>
        <v/>
      </c>
      <c r="F703">
        <f>IF($A703="","",IF($E703=1,SUMIFS(Comptabilité!$F$1:$F$675,Comptabilité!$A$1:$A$675,$A703,Comptabilité!$B$1:$B$675,$B703,Comptabilité!$C$1:$C$675,"2026"),0))</f>
        <v/>
      </c>
      <c r="G703">
        <f>IF($A703="","",IF($D703="V01",Cadrage!$C$22,IF($D703="V02",Cadrage!$D$22,Cadrage!$E$22)))</f>
        <v/>
      </c>
      <c r="H703">
        <f>IF($A703="","",IF($D703="V01",Cadrage!$C$23,IF($D703="V02",Cadrage!$D$23,Cadrage!$E$23)))</f>
        <v/>
      </c>
      <c r="I703">
        <f>IF($A703="","",IF($D703="V01",Cadrage!$C$31,IF($D703="V02",Cadrage!$D$31,Cadrage!$E$31)))</f>
        <v/>
      </c>
      <c r="J703">
        <f>IF($A703="","",IF($D703="V01",Cadrage!$C$32,IF($D703="V02",Cadrage!$D$32,Cadrage!$E$32)))</f>
        <v/>
      </c>
      <c r="K703">
        <f>IF($A703="","",IF($D703="V01",Cadrage!$C$33,IF($D703="V02",Cadrage!$D$33,Cadrage!$E$33)))</f>
        <v/>
      </c>
      <c r="L703">
        <f>IF($A703="","",IF($D703="V01",Cadrage!$C$34,IF($D703="V02",Cadrage!$D$34,Cadrage!$E$34)))</f>
        <v/>
      </c>
      <c r="M703">
        <f>IF($A703="","",IF($D703="V01",Cadrage!$C$35,IF($D703="V02",Cadrage!$D$35,Cadrage!$E$35)))</f>
        <v/>
      </c>
      <c r="N703">
        <f>IF($A703="","",IF($D703="V01",$R$2,IF($D703="V02",$R$3,$R$4)))</f>
        <v/>
      </c>
      <c r="O703">
        <f>IF($A703="","",IF(OR($B703="7062",$B703="706",$B703="708"),$N703,IF($B703="6231",1+$G703,IF($B703="6236",1+$H703,IF(OR($B703="621",$B703="604",$B703="6063"),$N703*(1-$L703),IF(OR($B703="6411",$B703="6413",$B703="6414",$B703="645"),(1+$J703)*(1+$K703),IF(OR($B703="613",$B703="615",$B703="616",$B703="6226",$B703="625",$B703="626",$B703="6281"),(1+$I703)*(1-$L703)*(1+$M703),IF(OR($B703="6331",$B703="63511",$B703="6333"),(1+$I703)*(1-$L703),IF($B703="6811",1+$I703,1)))))))))</f>
        <v/>
      </c>
      <c r="P703">
        <f>IF($A703="","",IF($E703=1,$F703*$O703,PNL!G703))</f>
        <v/>
      </c>
      <c r="T703">
        <f>IF($A703="","",IF($E703=1,IF(OR($B703="7062",$B703="706",$B703="708"),$P703,IF(AND(LEFT($B703,1)="6",$B703&lt;&gt;"6811"),-$P703,0)),0))</f>
        <v/>
      </c>
    </row>
    <row r="704">
      <c r="A704">
        <f>IF(PNL!A704="","",PNL!A704)</f>
        <v/>
      </c>
      <c r="B704">
        <f>IF(PNL!B704="","",PNL!B704)</f>
        <v/>
      </c>
      <c r="C704">
        <f>IF(PNL!C704="","",PNL!C704)</f>
        <v/>
      </c>
      <c r="D704">
        <f>IF(PNL!D704="","",PNL!D704)</f>
        <v/>
      </c>
      <c r="E704">
        <f>IF($A704="","",IF(AND($C704="2027",OR($D704="V01",$D704="V02",$D704="V03")),1,0))</f>
        <v/>
      </c>
      <c r="F704">
        <f>IF($A704="","",IF($E704=1,SUMIFS(Comptabilité!$F$1:$F$675,Comptabilité!$A$1:$A$675,$A704,Comptabilité!$B$1:$B$675,$B704,Comptabilité!$C$1:$C$675,"2026"),0))</f>
        <v/>
      </c>
      <c r="G704">
        <f>IF($A704="","",IF($D704="V01",Cadrage!$C$22,IF($D704="V02",Cadrage!$D$22,Cadrage!$E$22)))</f>
        <v/>
      </c>
      <c r="H704">
        <f>IF($A704="","",IF($D704="V01",Cadrage!$C$23,IF($D704="V02",Cadrage!$D$23,Cadrage!$E$23)))</f>
        <v/>
      </c>
      <c r="I704">
        <f>IF($A704="","",IF($D704="V01",Cadrage!$C$31,IF($D704="V02",Cadrage!$D$31,Cadrage!$E$31)))</f>
        <v/>
      </c>
      <c r="J704">
        <f>IF($A704="","",IF($D704="V01",Cadrage!$C$32,IF($D704="V02",Cadrage!$D$32,Cadrage!$E$32)))</f>
        <v/>
      </c>
      <c r="K704">
        <f>IF($A704="","",IF($D704="V01",Cadrage!$C$33,IF($D704="V02",Cadrage!$D$33,Cadrage!$E$33)))</f>
        <v/>
      </c>
      <c r="L704">
        <f>IF($A704="","",IF($D704="V01",Cadrage!$C$34,IF($D704="V02",Cadrage!$D$34,Cadrage!$E$34)))</f>
        <v/>
      </c>
      <c r="M704">
        <f>IF($A704="","",IF($D704="V01",Cadrage!$C$35,IF($D704="V02",Cadrage!$D$35,Cadrage!$E$35)))</f>
        <v/>
      </c>
      <c r="N704">
        <f>IF($A704="","",IF($D704="V01",$R$2,IF($D704="V02",$R$3,$R$4)))</f>
        <v/>
      </c>
      <c r="O704">
        <f>IF($A704="","",IF(OR($B704="7062",$B704="706",$B704="708"),$N704,IF($B704="6231",1+$G704,IF($B704="6236",1+$H704,IF(OR($B704="621",$B704="604",$B704="6063"),$N704*(1-$L704),IF(OR($B704="6411",$B704="6413",$B704="6414",$B704="645"),(1+$J704)*(1+$K704),IF(OR($B704="613",$B704="615",$B704="616",$B704="6226",$B704="625",$B704="626",$B704="6281"),(1+$I704)*(1-$L704)*(1+$M704),IF(OR($B704="6331",$B704="63511",$B704="6333"),(1+$I704)*(1-$L704),IF($B704="6811",1+$I704,1)))))))))</f>
        <v/>
      </c>
      <c r="P704">
        <f>IF($A704="","",IF($E704=1,$F704*$O704,PNL!G704))</f>
        <v/>
      </c>
      <c r="T704">
        <f>IF($A704="","",IF($E704=1,IF(OR($B704="7062",$B704="706",$B704="708"),$P704,IF(AND(LEFT($B704,1)="6",$B704&lt;&gt;"6811"),-$P704,0)),0))</f>
        <v/>
      </c>
    </row>
    <row r="705">
      <c r="A705">
        <f>IF(PNL!A705="","",PNL!A705)</f>
        <v/>
      </c>
      <c r="B705">
        <f>IF(PNL!B705="","",PNL!B705)</f>
        <v/>
      </c>
      <c r="C705">
        <f>IF(PNL!C705="","",PNL!C705)</f>
        <v/>
      </c>
      <c r="D705">
        <f>IF(PNL!D705="","",PNL!D705)</f>
        <v/>
      </c>
      <c r="E705">
        <f>IF($A705="","",IF(AND($C705="2027",OR($D705="V01",$D705="V02",$D705="V03")),1,0))</f>
        <v/>
      </c>
      <c r="F705">
        <f>IF($A705="","",IF($E705=1,SUMIFS(Comptabilité!$F$1:$F$675,Comptabilité!$A$1:$A$675,$A705,Comptabilité!$B$1:$B$675,$B705,Comptabilité!$C$1:$C$675,"2026"),0))</f>
        <v/>
      </c>
      <c r="G705">
        <f>IF($A705="","",IF($D705="V01",Cadrage!$C$22,IF($D705="V02",Cadrage!$D$22,Cadrage!$E$22)))</f>
        <v/>
      </c>
      <c r="H705">
        <f>IF($A705="","",IF($D705="V01",Cadrage!$C$23,IF($D705="V02",Cadrage!$D$23,Cadrage!$E$23)))</f>
        <v/>
      </c>
      <c r="I705">
        <f>IF($A705="","",IF($D705="V01",Cadrage!$C$31,IF($D705="V02",Cadrage!$D$31,Cadrage!$E$31)))</f>
        <v/>
      </c>
      <c r="J705">
        <f>IF($A705="","",IF($D705="V01",Cadrage!$C$32,IF($D705="V02",Cadrage!$D$32,Cadrage!$E$32)))</f>
        <v/>
      </c>
      <c r="K705">
        <f>IF($A705="","",IF($D705="V01",Cadrage!$C$33,IF($D705="V02",Cadrage!$D$33,Cadrage!$E$33)))</f>
        <v/>
      </c>
      <c r="L705">
        <f>IF($A705="","",IF($D705="V01",Cadrage!$C$34,IF($D705="V02",Cadrage!$D$34,Cadrage!$E$34)))</f>
        <v/>
      </c>
      <c r="M705">
        <f>IF($A705="","",IF($D705="V01",Cadrage!$C$35,IF($D705="V02",Cadrage!$D$35,Cadrage!$E$35)))</f>
        <v/>
      </c>
      <c r="N705">
        <f>IF($A705="","",IF($D705="V01",$R$2,IF($D705="V02",$R$3,$R$4)))</f>
        <v/>
      </c>
      <c r="O705">
        <f>IF($A705="","",IF(OR($B705="7062",$B705="706",$B705="708"),$N705,IF($B705="6231",1+$G705,IF($B705="6236",1+$H705,IF(OR($B705="621",$B705="604",$B705="6063"),$N705*(1-$L705),IF(OR($B705="6411",$B705="6413",$B705="6414",$B705="645"),(1+$J705)*(1+$K705),IF(OR($B705="613",$B705="615",$B705="616",$B705="6226",$B705="625",$B705="626",$B705="6281"),(1+$I705)*(1-$L705)*(1+$M705),IF(OR($B705="6331",$B705="63511",$B705="6333"),(1+$I705)*(1-$L705),IF($B705="6811",1+$I705,1)))))))))</f>
        <v/>
      </c>
      <c r="P705">
        <f>IF($A705="","",IF($E705=1,$F705*$O705,PNL!G705))</f>
        <v/>
      </c>
      <c r="T705">
        <f>IF($A705="","",IF($E705=1,IF(OR($B705="7062",$B705="706",$B705="708"),$P705,IF(AND(LEFT($B705,1)="6",$B705&lt;&gt;"6811"),-$P705,0)),0))</f>
        <v/>
      </c>
    </row>
    <row r="706">
      <c r="A706">
        <f>IF(PNL!A706="","",PNL!A706)</f>
        <v/>
      </c>
      <c r="B706">
        <f>IF(PNL!B706="","",PNL!B706)</f>
        <v/>
      </c>
      <c r="C706">
        <f>IF(PNL!C706="","",PNL!C706)</f>
        <v/>
      </c>
      <c r="D706">
        <f>IF(PNL!D706="","",PNL!D706)</f>
        <v/>
      </c>
      <c r="E706">
        <f>IF($A706="","",IF(AND($C706="2027",OR($D706="V01",$D706="V02",$D706="V03")),1,0))</f>
        <v/>
      </c>
      <c r="F706">
        <f>IF($A706="","",IF($E706=1,SUMIFS(Comptabilité!$F$1:$F$675,Comptabilité!$A$1:$A$675,$A706,Comptabilité!$B$1:$B$675,$B706,Comptabilité!$C$1:$C$675,"2026"),0))</f>
        <v/>
      </c>
      <c r="G706">
        <f>IF($A706="","",IF($D706="V01",Cadrage!$C$22,IF($D706="V02",Cadrage!$D$22,Cadrage!$E$22)))</f>
        <v/>
      </c>
      <c r="H706">
        <f>IF($A706="","",IF($D706="V01",Cadrage!$C$23,IF($D706="V02",Cadrage!$D$23,Cadrage!$E$23)))</f>
        <v/>
      </c>
      <c r="I706">
        <f>IF($A706="","",IF($D706="V01",Cadrage!$C$31,IF($D706="V02",Cadrage!$D$31,Cadrage!$E$31)))</f>
        <v/>
      </c>
      <c r="J706">
        <f>IF($A706="","",IF($D706="V01",Cadrage!$C$32,IF($D706="V02",Cadrage!$D$32,Cadrage!$E$32)))</f>
        <v/>
      </c>
      <c r="K706">
        <f>IF($A706="","",IF($D706="V01",Cadrage!$C$33,IF($D706="V02",Cadrage!$D$33,Cadrage!$E$33)))</f>
        <v/>
      </c>
      <c r="L706">
        <f>IF($A706="","",IF($D706="V01",Cadrage!$C$34,IF($D706="V02",Cadrage!$D$34,Cadrage!$E$34)))</f>
        <v/>
      </c>
      <c r="M706">
        <f>IF($A706="","",IF($D706="V01",Cadrage!$C$35,IF($D706="V02",Cadrage!$D$35,Cadrage!$E$35)))</f>
        <v/>
      </c>
      <c r="N706">
        <f>IF($A706="","",IF($D706="V01",$R$2,IF($D706="V02",$R$3,$R$4)))</f>
        <v/>
      </c>
      <c r="O706">
        <f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>
        <f>IF($A706="","",IF($E706=1,$F706*$O706,PNL!G706))</f>
        <v/>
      </c>
      <c r="T706">
        <f>IF($A706="","",IF($E706=1,IF(OR($B706="7062",$B706="706",$B706="708"),$P706,IF(AND(LEFT($B706,1)="6",$B706&lt;&gt;"6811"),-$P706,0)),0))</f>
        <v/>
      </c>
    </row>
    <row r="707">
      <c r="A707">
        <f>IF(PNL!A707="","",PNL!A707)</f>
        <v/>
      </c>
      <c r="B707">
        <f>IF(PNL!B707="","",PNL!B707)</f>
        <v/>
      </c>
      <c r="C707">
        <f>IF(PNL!C707="","",PNL!C707)</f>
        <v/>
      </c>
      <c r="D707">
        <f>IF(PNL!D707="","",PNL!D707)</f>
        <v/>
      </c>
      <c r="E707">
        <f>IF($A707="","",IF(AND($C707="2027",OR($D707="V01",$D707="V02",$D707="V03")),1,0))</f>
        <v/>
      </c>
      <c r="F707">
        <f>IF($A707="","",IF($E707=1,SUMIFS(Comptabilité!$F$1:$F$675,Comptabilité!$A$1:$A$675,$A707,Comptabilité!$B$1:$B$675,$B707,Comptabilité!$C$1:$C$675,"2026"),0))</f>
        <v/>
      </c>
      <c r="G707">
        <f>IF($A707="","",IF($D707="V01",Cadrage!$C$22,IF($D707="V02",Cadrage!$D$22,Cadrage!$E$22)))</f>
        <v/>
      </c>
      <c r="H707">
        <f>IF($A707="","",IF($D707="V01",Cadrage!$C$23,IF($D707="V02",Cadrage!$D$23,Cadrage!$E$23)))</f>
        <v/>
      </c>
      <c r="I707">
        <f>IF($A707="","",IF($D707="V01",Cadrage!$C$31,IF($D707="V02",Cadrage!$D$31,Cadrage!$E$31)))</f>
        <v/>
      </c>
      <c r="J707">
        <f>IF($A707="","",IF($D707="V01",Cadrage!$C$32,IF($D707="V02",Cadrage!$D$32,Cadrage!$E$32)))</f>
        <v/>
      </c>
      <c r="K707">
        <f>IF($A707="","",IF($D707="V01",Cadrage!$C$33,IF($D707="V02",Cadrage!$D$33,Cadrage!$E$33)))</f>
        <v/>
      </c>
      <c r="L707">
        <f>IF($A707="","",IF($D707="V01",Cadrage!$C$34,IF($D707="V02",Cadrage!$D$34,Cadrage!$E$34)))</f>
        <v/>
      </c>
      <c r="M707">
        <f>IF($A707="","",IF($D707="V01",Cadrage!$C$35,IF($D707="V02",Cadrage!$D$35,Cadrage!$E$35)))</f>
        <v/>
      </c>
      <c r="N707">
        <f>IF($A707="","",IF($D707="V01",$R$2,IF($D707="V02",$R$3,$R$4)))</f>
        <v/>
      </c>
      <c r="O707">
        <f>IF($A707="","",IF(OR($B707="7062",$B707="706",$B707="708"),$N707,IF($B707="6231",1+$G707,IF($B707="6236",1+$H707,IF(OR($B707="621",$B707="604",$B707="6063"),$N707*(1-$L707),IF(OR($B707="6411",$B707="6413",$B707="6414",$B707="645"),(1+$J707)*(1+$K707),IF(OR($B707="613",$B707="615",$B707="616",$B707="6226",$B707="625",$B707="626",$B707="6281"),(1+$I707)*(1-$L707)*(1+$M707),IF(OR($B707="6331",$B707="63511",$B707="6333"),(1+$I707)*(1-$L707),IF($B707="6811",1+$I707,1)))))))))</f>
        <v/>
      </c>
      <c r="P707">
        <f>IF($A707="","",IF($E707=1,$F707*$O707,PNL!G707))</f>
        <v/>
      </c>
      <c r="T707">
        <f>IF($A707="","",IF($E707=1,IF(OR($B707="7062",$B707="706",$B707="708"),$P707,IF(AND(LEFT($B707,1)="6",$B707&lt;&gt;"6811"),-$P707,0)),0))</f>
        <v/>
      </c>
    </row>
    <row r="708">
      <c r="A708">
        <f>IF(PNL!A708="","",PNL!A708)</f>
        <v/>
      </c>
      <c r="B708">
        <f>IF(PNL!B708="","",PNL!B708)</f>
        <v/>
      </c>
      <c r="C708">
        <f>IF(PNL!C708="","",PNL!C708)</f>
        <v/>
      </c>
      <c r="D708">
        <f>IF(PNL!D708="","",PNL!D708)</f>
        <v/>
      </c>
      <c r="E708">
        <f>IF($A708="","",IF(AND($C708="2027",OR($D708="V01",$D708="V02",$D708="V03")),1,0))</f>
        <v/>
      </c>
      <c r="F708">
        <f>IF($A708="","",IF($E708=1,SUMIFS(Comptabilité!$F$1:$F$675,Comptabilité!$A$1:$A$675,$A708,Comptabilité!$B$1:$B$675,$B708,Comptabilité!$C$1:$C$675,"2026"),0))</f>
        <v/>
      </c>
      <c r="G708">
        <f>IF($A708="","",IF($D708="V01",Cadrage!$C$22,IF($D708="V02",Cadrage!$D$22,Cadrage!$E$22)))</f>
        <v/>
      </c>
      <c r="H708">
        <f>IF($A708="","",IF($D708="V01",Cadrage!$C$23,IF($D708="V02",Cadrage!$D$23,Cadrage!$E$23)))</f>
        <v/>
      </c>
      <c r="I708">
        <f>IF($A708="","",IF($D708="V01",Cadrage!$C$31,IF($D708="V02",Cadrage!$D$31,Cadrage!$E$31)))</f>
        <v/>
      </c>
      <c r="J708">
        <f>IF($A708="","",IF($D708="V01",Cadrage!$C$32,IF($D708="V02",Cadrage!$D$32,Cadrage!$E$32)))</f>
        <v/>
      </c>
      <c r="K708">
        <f>IF($A708="","",IF($D708="V01",Cadrage!$C$33,IF($D708="V02",Cadrage!$D$33,Cadrage!$E$33)))</f>
        <v/>
      </c>
      <c r="L708">
        <f>IF($A708="","",IF($D708="V01",Cadrage!$C$34,IF($D708="V02",Cadrage!$D$34,Cadrage!$E$34)))</f>
        <v/>
      </c>
      <c r="M708">
        <f>IF($A708="","",IF($D708="V01",Cadrage!$C$35,IF($D708="V02",Cadrage!$D$35,Cadrage!$E$35)))</f>
        <v/>
      </c>
      <c r="N708">
        <f>IF($A708="","",IF($D708="V01",$R$2,IF($D708="V02",$R$3,$R$4)))</f>
        <v/>
      </c>
      <c r="O708">
        <f>IF($A708="","",IF(OR($B708="7062",$B708="706",$B708="708"),$N708,IF($B708="6231",1+$G708,IF($B708="6236",1+$H708,IF(OR($B708="621",$B708="604",$B708="6063"),$N708*(1-$L708),IF(OR($B708="6411",$B708="6413",$B708="6414",$B708="645"),(1+$J708)*(1+$K708),IF(OR($B708="613",$B708="615",$B708="616",$B708="6226",$B708="625",$B708="626",$B708="6281"),(1+$I708)*(1-$L708)*(1+$M708),IF(OR($B708="6331",$B708="63511",$B708="6333"),(1+$I708)*(1-$L708),IF($B708="6811",1+$I708,1)))))))))</f>
        <v/>
      </c>
      <c r="P708">
        <f>IF($A708="","",IF($E708=1,$F708*$O708,PNL!G708))</f>
        <v/>
      </c>
      <c r="T708">
        <f>IF($A708="","",IF($E708=1,IF(OR($B708="7062",$B708="706",$B708="708"),$P708,IF(AND(LEFT($B708,1)="6",$B708&lt;&gt;"6811"),-$P708,0)),0))</f>
        <v/>
      </c>
    </row>
    <row r="709">
      <c r="A709">
        <f>IF(PNL!A709="","",PNL!A709)</f>
        <v/>
      </c>
      <c r="B709">
        <f>IF(PNL!B709="","",PNL!B709)</f>
        <v/>
      </c>
      <c r="C709">
        <f>IF(PNL!C709="","",PNL!C709)</f>
        <v/>
      </c>
      <c r="D709">
        <f>IF(PNL!D709="","",PNL!D709)</f>
        <v/>
      </c>
      <c r="E709">
        <f>IF($A709="","",IF(AND($C709="2027",OR($D709="V01",$D709="V02",$D709="V03")),1,0))</f>
        <v/>
      </c>
      <c r="F709">
        <f>IF($A709="","",IF($E709=1,SUMIFS(Comptabilité!$F$1:$F$675,Comptabilité!$A$1:$A$675,$A709,Comptabilité!$B$1:$B$675,$B709,Comptabilité!$C$1:$C$675,"2026"),0))</f>
        <v/>
      </c>
      <c r="G709">
        <f>IF($A709="","",IF($D709="V01",Cadrage!$C$22,IF($D709="V02",Cadrage!$D$22,Cadrage!$E$22)))</f>
        <v/>
      </c>
      <c r="H709">
        <f>IF($A709="","",IF($D709="V01",Cadrage!$C$23,IF($D709="V02",Cadrage!$D$23,Cadrage!$E$23)))</f>
        <v/>
      </c>
      <c r="I709">
        <f>IF($A709="","",IF($D709="V01",Cadrage!$C$31,IF($D709="V02",Cadrage!$D$31,Cadrage!$E$31)))</f>
        <v/>
      </c>
      <c r="J709">
        <f>IF($A709="","",IF($D709="V01",Cadrage!$C$32,IF($D709="V02",Cadrage!$D$32,Cadrage!$E$32)))</f>
        <v/>
      </c>
      <c r="K709">
        <f>IF($A709="","",IF($D709="V01",Cadrage!$C$33,IF($D709="V02",Cadrage!$D$33,Cadrage!$E$33)))</f>
        <v/>
      </c>
      <c r="L709">
        <f>IF($A709="","",IF($D709="V01",Cadrage!$C$34,IF($D709="V02",Cadrage!$D$34,Cadrage!$E$34)))</f>
        <v/>
      </c>
      <c r="M709">
        <f>IF($A709="","",IF($D709="V01",Cadrage!$C$35,IF($D709="V02",Cadrage!$D$35,Cadrage!$E$35)))</f>
        <v/>
      </c>
      <c r="N709">
        <f>IF($A709="","",IF($D709="V01",$R$2,IF($D709="V02",$R$3,$R$4)))</f>
        <v/>
      </c>
      <c r="O709">
        <f>IF($A709="","",IF(OR($B709="7062",$B709="706",$B709="708"),$N709,IF($B709="6231",1+$G709,IF($B709="6236",1+$H709,IF(OR($B709="621",$B709="604",$B709="6063"),$N709*(1-$L709),IF(OR($B709="6411",$B709="6413",$B709="6414",$B709="645"),(1+$J709)*(1+$K709),IF(OR($B709="613",$B709="615",$B709="616",$B709="6226",$B709="625",$B709="626",$B709="6281"),(1+$I709)*(1-$L709)*(1+$M709),IF(OR($B709="6331",$B709="63511",$B709="6333"),(1+$I709)*(1-$L709),IF($B709="6811",1+$I709,1)))))))))</f>
        <v/>
      </c>
      <c r="P709">
        <f>IF($A709="","",IF($E709=1,$F709*$O709,PNL!G709))</f>
        <v/>
      </c>
      <c r="T709">
        <f>IF($A709="","",IF($E709=1,IF(OR($B709="7062",$B709="706",$B709="708"),$P709,IF(AND(LEFT($B709,1)="6",$B709&lt;&gt;"6811"),-$P709,0)),0))</f>
        <v/>
      </c>
    </row>
    <row r="710">
      <c r="A710">
        <f>IF(PNL!A710="","",PNL!A710)</f>
        <v/>
      </c>
      <c r="B710">
        <f>IF(PNL!B710="","",PNL!B710)</f>
        <v/>
      </c>
      <c r="C710">
        <f>IF(PNL!C710="","",PNL!C710)</f>
        <v/>
      </c>
      <c r="D710">
        <f>IF(PNL!D710="","",PNL!D710)</f>
        <v/>
      </c>
      <c r="E710">
        <f>IF($A710="","",IF(AND($C710="2027",OR($D710="V01",$D710="V02",$D710="V03")),1,0))</f>
        <v/>
      </c>
      <c r="F710">
        <f>IF($A710="","",IF($E710=1,SUMIFS(Comptabilité!$F$1:$F$675,Comptabilité!$A$1:$A$675,$A710,Comptabilité!$B$1:$B$675,$B710,Comptabilité!$C$1:$C$675,"2026"),0))</f>
        <v/>
      </c>
      <c r="G710">
        <f>IF($A710="","",IF($D710="V01",Cadrage!$C$22,IF($D710="V02",Cadrage!$D$22,Cadrage!$E$22)))</f>
        <v/>
      </c>
      <c r="H710">
        <f>IF($A710="","",IF($D710="V01",Cadrage!$C$23,IF($D710="V02",Cadrage!$D$23,Cadrage!$E$23)))</f>
        <v/>
      </c>
      <c r="I710">
        <f>IF($A710="","",IF($D710="V01",Cadrage!$C$31,IF($D710="V02",Cadrage!$D$31,Cadrage!$E$31)))</f>
        <v/>
      </c>
      <c r="J710">
        <f>IF($A710="","",IF($D710="V01",Cadrage!$C$32,IF($D710="V02",Cadrage!$D$32,Cadrage!$E$32)))</f>
        <v/>
      </c>
      <c r="K710">
        <f>IF($A710="","",IF($D710="V01",Cadrage!$C$33,IF($D710="V02",Cadrage!$D$33,Cadrage!$E$33)))</f>
        <v/>
      </c>
      <c r="L710">
        <f>IF($A710="","",IF($D710="V01",Cadrage!$C$34,IF($D710="V02",Cadrage!$D$34,Cadrage!$E$34)))</f>
        <v/>
      </c>
      <c r="M710">
        <f>IF($A710="","",IF($D710="V01",Cadrage!$C$35,IF($D710="V02",Cadrage!$D$35,Cadrage!$E$35)))</f>
        <v/>
      </c>
      <c r="N710">
        <f>IF($A710="","",IF($D710="V01",$R$2,IF($D710="V02",$R$3,$R$4)))</f>
        <v/>
      </c>
      <c r="O710">
        <f>IF($A710="","",IF(OR($B710="7062",$B710="706",$B710="708"),$N710,IF($B710="6231",1+$G710,IF($B710="6236",1+$H710,IF(OR($B710="621",$B710="604",$B710="6063"),$N710*(1-$L710),IF(OR($B710="6411",$B710="6413",$B710="6414",$B710="645"),(1+$J710)*(1+$K710),IF(OR($B710="613",$B710="615",$B710="616",$B710="6226",$B710="625",$B710="626",$B710="6281"),(1+$I710)*(1-$L710)*(1+$M710),IF(OR($B710="6331",$B710="63511",$B710="6333"),(1+$I710)*(1-$L710),IF($B710="6811",1+$I710,1)))))))))</f>
        <v/>
      </c>
      <c r="P710">
        <f>IF($A710="","",IF($E710=1,$F710*$O710,PNL!G710))</f>
        <v/>
      </c>
      <c r="T710">
        <f>IF($A710="","",IF($E710=1,IF(OR($B710="7062",$B710="706",$B710="708"),$P710,IF(AND(LEFT($B710,1)="6",$B710&lt;&gt;"6811"),-$P710,0)),0))</f>
        <v/>
      </c>
    </row>
    <row r="711">
      <c r="A711">
        <f>IF(PNL!A711="","",PNL!A711)</f>
        <v/>
      </c>
      <c r="B711">
        <f>IF(PNL!B711="","",PNL!B711)</f>
        <v/>
      </c>
      <c r="C711">
        <f>IF(PNL!C711="","",PNL!C711)</f>
        <v/>
      </c>
      <c r="D711">
        <f>IF(PNL!D711="","",PNL!D711)</f>
        <v/>
      </c>
      <c r="E711">
        <f>IF($A711="","",IF(AND($C711="2027",OR($D711="V01",$D711="V02",$D711="V03")),1,0))</f>
        <v/>
      </c>
      <c r="F711">
        <f>IF($A711="","",IF($E711=1,SUMIFS(Comptabilité!$F$1:$F$675,Comptabilité!$A$1:$A$675,$A711,Comptabilité!$B$1:$B$675,$B711,Comptabilité!$C$1:$C$675,"2026"),0))</f>
        <v/>
      </c>
      <c r="G711">
        <f>IF($A711="","",IF($D711="V01",Cadrage!$C$22,IF($D711="V02",Cadrage!$D$22,Cadrage!$E$22)))</f>
        <v/>
      </c>
      <c r="H711">
        <f>IF($A711="","",IF($D711="V01",Cadrage!$C$23,IF($D711="V02",Cadrage!$D$23,Cadrage!$E$23)))</f>
        <v/>
      </c>
      <c r="I711">
        <f>IF($A711="","",IF($D711="V01",Cadrage!$C$31,IF($D711="V02",Cadrage!$D$31,Cadrage!$E$31)))</f>
        <v/>
      </c>
      <c r="J711">
        <f>IF($A711="","",IF($D711="V01",Cadrage!$C$32,IF($D711="V02",Cadrage!$D$32,Cadrage!$E$32)))</f>
        <v/>
      </c>
      <c r="K711">
        <f>IF($A711="","",IF($D711="V01",Cadrage!$C$33,IF($D711="V02",Cadrage!$D$33,Cadrage!$E$33)))</f>
        <v/>
      </c>
      <c r="L711">
        <f>IF($A711="","",IF($D711="V01",Cadrage!$C$34,IF($D711="V02",Cadrage!$D$34,Cadrage!$E$34)))</f>
        <v/>
      </c>
      <c r="M711">
        <f>IF($A711="","",IF($D711="V01",Cadrage!$C$35,IF($D711="V02",Cadrage!$D$35,Cadrage!$E$35)))</f>
        <v/>
      </c>
      <c r="N711">
        <f>IF($A711="","",IF($D711="V01",$R$2,IF($D711="V02",$R$3,$R$4)))</f>
        <v/>
      </c>
      <c r="O711">
        <f>IF($A711="","",IF(OR($B711="7062",$B711="706",$B711="708"),$N711,IF($B711="6231",1+$G711,IF($B711="6236",1+$H711,IF(OR($B711="621",$B711="604",$B711="6063"),$N711*(1-$L711),IF(OR($B711="6411",$B711="6413",$B711="6414",$B711="645"),(1+$J711)*(1+$K711),IF(OR($B711="613",$B711="615",$B711="616",$B711="6226",$B711="625",$B711="626",$B711="6281"),(1+$I711)*(1-$L711)*(1+$M711),IF(OR($B711="6331",$B711="63511",$B711="6333"),(1+$I711)*(1-$L711),IF($B711="6811",1+$I711,1)))))))))</f>
        <v/>
      </c>
      <c r="P711">
        <f>IF($A711="","",IF($E711=1,$F711*$O711,PNL!G711))</f>
        <v/>
      </c>
      <c r="T711">
        <f>IF($A711="","",IF($E711=1,IF(OR($B711="7062",$B711="706",$B711="708"),$P711,IF(AND(LEFT($B711,1)="6",$B711&lt;&gt;"6811"),-$P711,0)),0))</f>
        <v/>
      </c>
    </row>
    <row r="712">
      <c r="A712">
        <f>IF(PNL!A712="","",PNL!A712)</f>
        <v/>
      </c>
      <c r="B712">
        <f>IF(PNL!B712="","",PNL!B712)</f>
        <v/>
      </c>
      <c r="C712">
        <f>IF(PNL!C712="","",PNL!C712)</f>
        <v/>
      </c>
      <c r="D712">
        <f>IF(PNL!D712="","",PNL!D712)</f>
        <v/>
      </c>
      <c r="E712">
        <f>IF($A712="","",IF(AND($C712="2027",OR($D712="V01",$D712="V02",$D712="V03")),1,0))</f>
        <v/>
      </c>
      <c r="F712">
        <f>IF($A712="","",IF($E712=1,SUMIFS(Comptabilité!$F$1:$F$675,Comptabilité!$A$1:$A$675,$A712,Comptabilité!$B$1:$B$675,$B712,Comptabilité!$C$1:$C$675,"2026"),0))</f>
        <v/>
      </c>
      <c r="G712">
        <f>IF($A712="","",IF($D712="V01",Cadrage!$C$22,IF($D712="V02",Cadrage!$D$22,Cadrage!$E$22)))</f>
        <v/>
      </c>
      <c r="H712">
        <f>IF($A712="","",IF($D712="V01",Cadrage!$C$23,IF($D712="V02",Cadrage!$D$23,Cadrage!$E$23)))</f>
        <v/>
      </c>
      <c r="I712">
        <f>IF($A712="","",IF($D712="V01",Cadrage!$C$31,IF($D712="V02",Cadrage!$D$31,Cadrage!$E$31)))</f>
        <v/>
      </c>
      <c r="J712">
        <f>IF($A712="","",IF($D712="V01",Cadrage!$C$32,IF($D712="V02",Cadrage!$D$32,Cadrage!$E$32)))</f>
        <v/>
      </c>
      <c r="K712">
        <f>IF($A712="","",IF($D712="V01",Cadrage!$C$33,IF($D712="V02",Cadrage!$D$33,Cadrage!$E$33)))</f>
        <v/>
      </c>
      <c r="L712">
        <f>IF($A712="","",IF($D712="V01",Cadrage!$C$34,IF($D712="V02",Cadrage!$D$34,Cadrage!$E$34)))</f>
        <v/>
      </c>
      <c r="M712">
        <f>IF($A712="","",IF($D712="V01",Cadrage!$C$35,IF($D712="V02",Cadrage!$D$35,Cadrage!$E$35)))</f>
        <v/>
      </c>
      <c r="N712">
        <f>IF($A712="","",IF($D712="V01",$R$2,IF($D712="V02",$R$3,$R$4)))</f>
        <v/>
      </c>
      <c r="O712">
        <f>IF($A712="","",IF(OR($B712="7062",$B712="706",$B712="708"),$N712,IF($B712="6231",1+$G712,IF($B712="6236",1+$H712,IF(OR($B712="621",$B712="604",$B712="6063"),$N712*(1-$L712),IF(OR($B712="6411",$B712="6413",$B712="6414",$B712="645"),(1+$J712)*(1+$K712),IF(OR($B712="613",$B712="615",$B712="616",$B712="6226",$B712="625",$B712="626",$B712="6281"),(1+$I712)*(1-$L712)*(1+$M712),IF(OR($B712="6331",$B712="63511",$B712="6333"),(1+$I712)*(1-$L712),IF($B712="6811",1+$I712,1)))))))))</f>
        <v/>
      </c>
      <c r="P712">
        <f>IF($A712="","",IF($E712=1,$F712*$O712,PNL!G712))</f>
        <v/>
      </c>
      <c r="T712">
        <f>IF($A712="","",IF($E712=1,IF(OR($B712="7062",$B712="706",$B712="708"),$P712,IF(AND(LEFT($B712,1)="6",$B712&lt;&gt;"6811"),-$P712,0)),0))</f>
        <v/>
      </c>
    </row>
    <row r="713">
      <c r="A713">
        <f>IF(PNL!A713="","",PNL!A713)</f>
        <v/>
      </c>
      <c r="B713">
        <f>IF(PNL!B713="","",PNL!B713)</f>
        <v/>
      </c>
      <c r="C713">
        <f>IF(PNL!C713="","",PNL!C713)</f>
        <v/>
      </c>
      <c r="D713">
        <f>IF(PNL!D713="","",PNL!D713)</f>
        <v/>
      </c>
      <c r="E713">
        <f>IF($A713="","",IF(AND($C713="2027",OR($D713="V01",$D713="V02",$D713="V03")),1,0))</f>
        <v/>
      </c>
      <c r="F713">
        <f>IF($A713="","",IF($E713=1,SUMIFS(Comptabilité!$F$1:$F$675,Comptabilité!$A$1:$A$675,$A713,Comptabilité!$B$1:$B$675,$B713,Comptabilité!$C$1:$C$675,"2026"),0))</f>
        <v/>
      </c>
      <c r="G713">
        <f>IF($A713="","",IF($D713="V01",Cadrage!$C$22,IF($D713="V02",Cadrage!$D$22,Cadrage!$E$22)))</f>
        <v/>
      </c>
      <c r="H713">
        <f>IF($A713="","",IF($D713="V01",Cadrage!$C$23,IF($D713="V02",Cadrage!$D$23,Cadrage!$E$23)))</f>
        <v/>
      </c>
      <c r="I713">
        <f>IF($A713="","",IF($D713="V01",Cadrage!$C$31,IF($D713="V02",Cadrage!$D$31,Cadrage!$E$31)))</f>
        <v/>
      </c>
      <c r="J713">
        <f>IF($A713="","",IF($D713="V01",Cadrage!$C$32,IF($D713="V02",Cadrage!$D$32,Cadrage!$E$32)))</f>
        <v/>
      </c>
      <c r="K713">
        <f>IF($A713="","",IF($D713="V01",Cadrage!$C$33,IF($D713="V02",Cadrage!$D$33,Cadrage!$E$33)))</f>
        <v/>
      </c>
      <c r="L713">
        <f>IF($A713="","",IF($D713="V01",Cadrage!$C$34,IF($D713="V02",Cadrage!$D$34,Cadrage!$E$34)))</f>
        <v/>
      </c>
      <c r="M713">
        <f>IF($A713="","",IF($D713="V01",Cadrage!$C$35,IF($D713="V02",Cadrage!$D$35,Cadrage!$E$35)))</f>
        <v/>
      </c>
      <c r="N713">
        <f>IF($A713="","",IF($D713="V01",$R$2,IF($D713="V02",$R$3,$R$4)))</f>
        <v/>
      </c>
      <c r="O713">
        <f>IF($A713="","",IF(OR($B713="7062",$B713="706",$B713="708"),$N713,IF($B713="6231",1+$G713,IF($B713="6236",1+$H713,IF(OR($B713="621",$B713="604",$B713="6063"),$N713*(1-$L713),IF(OR($B713="6411",$B713="6413",$B713="6414",$B713="645"),(1+$J713)*(1+$K713),IF(OR($B713="613",$B713="615",$B713="616",$B713="6226",$B713="625",$B713="626",$B713="6281"),(1+$I713)*(1-$L713)*(1+$M713),IF(OR($B713="6331",$B713="63511",$B713="6333"),(1+$I713)*(1-$L713),IF($B713="6811",1+$I713,1)))))))))</f>
        <v/>
      </c>
      <c r="P713">
        <f>IF($A713="","",IF($E713=1,$F713*$O713,PNL!G713))</f>
        <v/>
      </c>
      <c r="T713">
        <f>IF($A713="","",IF($E713=1,IF(OR($B713="7062",$B713="706",$B713="708"),$P713,IF(AND(LEFT($B713,1)="6",$B713&lt;&gt;"6811"),-$P713,0)),0))</f>
        <v/>
      </c>
    </row>
    <row r="714">
      <c r="A714">
        <f>IF(PNL!A714="","",PNL!A714)</f>
        <v/>
      </c>
      <c r="B714">
        <f>IF(PNL!B714="","",PNL!B714)</f>
        <v/>
      </c>
      <c r="C714">
        <f>IF(PNL!C714="","",PNL!C714)</f>
        <v/>
      </c>
      <c r="D714">
        <f>IF(PNL!D714="","",PNL!D714)</f>
        <v/>
      </c>
      <c r="E714">
        <f>IF($A714="","",IF(AND($C714="2027",OR($D714="V01",$D714="V02",$D714="V03")),1,0))</f>
        <v/>
      </c>
      <c r="F714">
        <f>IF($A714="","",IF($E714=1,SUMIFS(Comptabilité!$F$1:$F$675,Comptabilité!$A$1:$A$675,$A714,Comptabilité!$B$1:$B$675,$B714,Comptabilité!$C$1:$C$675,"2026"),0))</f>
        <v/>
      </c>
      <c r="G714">
        <f>IF($A714="","",IF($D714="V01",Cadrage!$C$22,IF($D714="V02",Cadrage!$D$22,Cadrage!$E$22)))</f>
        <v/>
      </c>
      <c r="H714">
        <f>IF($A714="","",IF($D714="V01",Cadrage!$C$23,IF($D714="V02",Cadrage!$D$23,Cadrage!$E$23)))</f>
        <v/>
      </c>
      <c r="I714">
        <f>IF($A714="","",IF($D714="V01",Cadrage!$C$31,IF($D714="V02",Cadrage!$D$31,Cadrage!$E$31)))</f>
        <v/>
      </c>
      <c r="J714">
        <f>IF($A714="","",IF($D714="V01",Cadrage!$C$32,IF($D714="V02",Cadrage!$D$32,Cadrage!$E$32)))</f>
        <v/>
      </c>
      <c r="K714">
        <f>IF($A714="","",IF($D714="V01",Cadrage!$C$33,IF($D714="V02",Cadrage!$D$33,Cadrage!$E$33)))</f>
        <v/>
      </c>
      <c r="L714">
        <f>IF($A714="","",IF($D714="V01",Cadrage!$C$34,IF($D714="V02",Cadrage!$D$34,Cadrage!$E$34)))</f>
        <v/>
      </c>
      <c r="M714">
        <f>IF($A714="","",IF($D714="V01",Cadrage!$C$35,IF($D714="V02",Cadrage!$D$35,Cadrage!$E$35)))</f>
        <v/>
      </c>
      <c r="N714">
        <f>IF($A714="","",IF($D714="V01",$R$2,IF($D714="V02",$R$3,$R$4)))</f>
        <v/>
      </c>
      <c r="O714">
        <f>IF($A714="","",IF(OR($B714="7062",$B714="706",$B714="708"),$N714,IF($B714="6231",1+$G714,IF($B714="6236",1+$H714,IF(OR($B714="621",$B714="604",$B714="6063"),$N714*(1-$L714),IF(OR($B714="6411",$B714="6413",$B714="6414",$B714="645"),(1+$J714)*(1+$K714),IF(OR($B714="613",$B714="615",$B714="616",$B714="6226",$B714="625",$B714="626",$B714="6281"),(1+$I714)*(1-$L714)*(1+$M714),IF(OR($B714="6331",$B714="63511",$B714="6333"),(1+$I714)*(1-$L714),IF($B714="6811",1+$I714,1)))))))))</f>
        <v/>
      </c>
      <c r="P714">
        <f>IF($A714="","",IF($E714=1,$F714*$O714,PNL!G714))</f>
        <v/>
      </c>
      <c r="T714">
        <f>IF($A714="","",IF($E714=1,IF(OR($B714="7062",$B714="706",$B714="708"),$P714,IF(AND(LEFT($B714,1)="6",$B714&lt;&gt;"6811"),-$P714,0)),0))</f>
        <v/>
      </c>
    </row>
    <row r="715">
      <c r="A715">
        <f>IF(PNL!A715="","",PNL!A715)</f>
        <v/>
      </c>
      <c r="B715">
        <f>IF(PNL!B715="","",PNL!B715)</f>
        <v/>
      </c>
      <c r="C715">
        <f>IF(PNL!C715="","",PNL!C715)</f>
        <v/>
      </c>
      <c r="D715">
        <f>IF(PNL!D715="","",PNL!D715)</f>
        <v/>
      </c>
      <c r="E715">
        <f>IF($A715="","",IF(AND($C715="2027",OR($D715="V01",$D715="V02",$D715="V03")),1,0))</f>
        <v/>
      </c>
      <c r="F715">
        <f>IF($A715="","",IF($E715=1,SUMIFS(Comptabilité!$F$1:$F$675,Comptabilité!$A$1:$A$675,$A715,Comptabilité!$B$1:$B$675,$B715,Comptabilité!$C$1:$C$675,"2026"),0))</f>
        <v/>
      </c>
      <c r="G715">
        <f>IF($A715="","",IF($D715="V01",Cadrage!$C$22,IF($D715="V02",Cadrage!$D$22,Cadrage!$E$22)))</f>
        <v/>
      </c>
      <c r="H715">
        <f>IF($A715="","",IF($D715="V01",Cadrage!$C$23,IF($D715="V02",Cadrage!$D$23,Cadrage!$E$23)))</f>
        <v/>
      </c>
      <c r="I715">
        <f>IF($A715="","",IF($D715="V01",Cadrage!$C$31,IF($D715="V02",Cadrage!$D$31,Cadrage!$E$31)))</f>
        <v/>
      </c>
      <c r="J715">
        <f>IF($A715="","",IF($D715="V01",Cadrage!$C$32,IF($D715="V02",Cadrage!$D$32,Cadrage!$E$32)))</f>
        <v/>
      </c>
      <c r="K715">
        <f>IF($A715="","",IF($D715="V01",Cadrage!$C$33,IF($D715="V02",Cadrage!$D$33,Cadrage!$E$33)))</f>
        <v/>
      </c>
      <c r="L715">
        <f>IF($A715="","",IF($D715="V01",Cadrage!$C$34,IF($D715="V02",Cadrage!$D$34,Cadrage!$E$34)))</f>
        <v/>
      </c>
      <c r="M715">
        <f>IF($A715="","",IF($D715="V01",Cadrage!$C$35,IF($D715="V02",Cadrage!$D$35,Cadrage!$E$35)))</f>
        <v/>
      </c>
      <c r="N715">
        <f>IF($A715="","",IF($D715="V01",$R$2,IF($D715="V02",$R$3,$R$4)))</f>
        <v/>
      </c>
      <c r="O715">
        <f>IF($A715="","",IF(OR($B715="7062",$B715="706",$B715="708"),$N715,IF($B715="6231",1+$G715,IF($B715="6236",1+$H715,IF(OR($B715="621",$B715="604",$B715="6063"),$N715*(1-$L715),IF(OR($B715="6411",$B715="6413",$B715="6414",$B715="645"),(1+$J715)*(1+$K715),IF(OR($B715="613",$B715="615",$B715="616",$B715="6226",$B715="625",$B715="626",$B715="6281"),(1+$I715)*(1-$L715)*(1+$M715),IF(OR($B715="6331",$B715="63511",$B715="6333"),(1+$I715)*(1-$L715),IF($B715="6811",1+$I715,1)))))))))</f>
        <v/>
      </c>
      <c r="P715">
        <f>IF($A715="","",IF($E715=1,$F715*$O715,PNL!G715))</f>
        <v/>
      </c>
      <c r="T715">
        <f>IF($A715="","",IF($E715=1,IF(OR($B715="7062",$B715="706",$B715="708"),$P715,IF(AND(LEFT($B715,1)="6",$B715&lt;&gt;"6811"),-$P715,0)),0))</f>
        <v/>
      </c>
    </row>
    <row r="716">
      <c r="A716">
        <f>IF(PNL!A716="","",PNL!A716)</f>
        <v/>
      </c>
      <c r="B716">
        <f>IF(PNL!B716="","",PNL!B716)</f>
        <v/>
      </c>
      <c r="C716">
        <f>IF(PNL!C716="","",PNL!C716)</f>
        <v/>
      </c>
      <c r="D716">
        <f>IF(PNL!D716="","",PNL!D716)</f>
        <v/>
      </c>
      <c r="E716">
        <f>IF($A716="","",IF(AND($C716="2027",OR($D716="V01",$D716="V02",$D716="V03")),1,0))</f>
        <v/>
      </c>
      <c r="F716">
        <f>IF($A716="","",IF($E716=1,SUMIFS(Comptabilité!$F$1:$F$675,Comptabilité!$A$1:$A$675,$A716,Comptabilité!$B$1:$B$675,$B716,Comptabilité!$C$1:$C$675,"2026"),0))</f>
        <v/>
      </c>
      <c r="G716">
        <f>IF($A716="","",IF($D716="V01",Cadrage!$C$22,IF($D716="V02",Cadrage!$D$22,Cadrage!$E$22)))</f>
        <v/>
      </c>
      <c r="H716">
        <f>IF($A716="","",IF($D716="V01",Cadrage!$C$23,IF($D716="V02",Cadrage!$D$23,Cadrage!$E$23)))</f>
        <v/>
      </c>
      <c r="I716">
        <f>IF($A716="","",IF($D716="V01",Cadrage!$C$31,IF($D716="V02",Cadrage!$D$31,Cadrage!$E$31)))</f>
        <v/>
      </c>
      <c r="J716">
        <f>IF($A716="","",IF($D716="V01",Cadrage!$C$32,IF($D716="V02",Cadrage!$D$32,Cadrage!$E$32)))</f>
        <v/>
      </c>
      <c r="K716">
        <f>IF($A716="","",IF($D716="V01",Cadrage!$C$33,IF($D716="V02",Cadrage!$D$33,Cadrage!$E$33)))</f>
        <v/>
      </c>
      <c r="L716">
        <f>IF($A716="","",IF($D716="V01",Cadrage!$C$34,IF($D716="V02",Cadrage!$D$34,Cadrage!$E$34)))</f>
        <v/>
      </c>
      <c r="M716">
        <f>IF($A716="","",IF($D716="V01",Cadrage!$C$35,IF($D716="V02",Cadrage!$D$35,Cadrage!$E$35)))</f>
        <v/>
      </c>
      <c r="N716">
        <f>IF($A716="","",IF($D716="V01",$R$2,IF($D716="V02",$R$3,$R$4)))</f>
        <v/>
      </c>
      <c r="O716">
        <f>IF($A716="","",IF(OR($B716="7062",$B716="706",$B716="708"),$N716,IF($B716="6231",1+$G716,IF($B716="6236",1+$H716,IF(OR($B716="621",$B716="604",$B716="6063"),$N716*(1-$L716),IF(OR($B716="6411",$B716="6413",$B716="6414",$B716="645"),(1+$J716)*(1+$K716),IF(OR($B716="613",$B716="615",$B716="616",$B716="6226",$B716="625",$B716="626",$B716="6281"),(1+$I716)*(1-$L716)*(1+$M716),IF(OR($B716="6331",$B716="63511",$B716="6333"),(1+$I716)*(1-$L716),IF($B716="6811",1+$I716,1)))))))))</f>
        <v/>
      </c>
      <c r="P716">
        <f>IF($A716="","",IF($E716=1,$F716*$O716,PNL!G716))</f>
        <v/>
      </c>
      <c r="T716">
        <f>IF($A716="","",IF($E716=1,IF(OR($B716="7062",$B716="706",$B716="708"),$P716,IF(AND(LEFT($B716,1)="6",$B716&lt;&gt;"6811"),-$P716,0)),0))</f>
        <v/>
      </c>
    </row>
    <row r="717">
      <c r="A717">
        <f>IF(PNL!A717="","",PNL!A717)</f>
        <v/>
      </c>
      <c r="B717">
        <f>IF(PNL!B717="","",PNL!B717)</f>
        <v/>
      </c>
      <c r="C717">
        <f>IF(PNL!C717="","",PNL!C717)</f>
        <v/>
      </c>
      <c r="D717">
        <f>IF(PNL!D717="","",PNL!D717)</f>
        <v/>
      </c>
      <c r="E717">
        <f>IF($A717="","",IF(AND($C717="2027",OR($D717="V01",$D717="V02",$D717="V03")),1,0))</f>
        <v/>
      </c>
      <c r="F717">
        <f>IF($A717="","",IF($E717=1,SUMIFS(Comptabilité!$F$1:$F$675,Comptabilité!$A$1:$A$675,$A717,Comptabilité!$B$1:$B$675,$B717,Comptabilité!$C$1:$C$675,"2026"),0))</f>
        <v/>
      </c>
      <c r="G717">
        <f>IF($A717="","",IF($D717="V01",Cadrage!$C$22,IF($D717="V02",Cadrage!$D$22,Cadrage!$E$22)))</f>
        <v/>
      </c>
      <c r="H717">
        <f>IF($A717="","",IF($D717="V01",Cadrage!$C$23,IF($D717="V02",Cadrage!$D$23,Cadrage!$E$23)))</f>
        <v/>
      </c>
      <c r="I717">
        <f>IF($A717="","",IF($D717="V01",Cadrage!$C$31,IF($D717="V02",Cadrage!$D$31,Cadrage!$E$31)))</f>
        <v/>
      </c>
      <c r="J717">
        <f>IF($A717="","",IF($D717="V01",Cadrage!$C$32,IF($D717="V02",Cadrage!$D$32,Cadrage!$E$32)))</f>
        <v/>
      </c>
      <c r="K717">
        <f>IF($A717="","",IF($D717="V01",Cadrage!$C$33,IF($D717="V02",Cadrage!$D$33,Cadrage!$E$33)))</f>
        <v/>
      </c>
      <c r="L717">
        <f>IF($A717="","",IF($D717="V01",Cadrage!$C$34,IF($D717="V02",Cadrage!$D$34,Cadrage!$E$34)))</f>
        <v/>
      </c>
      <c r="M717">
        <f>IF($A717="","",IF($D717="V01",Cadrage!$C$35,IF($D717="V02",Cadrage!$D$35,Cadrage!$E$35)))</f>
        <v/>
      </c>
      <c r="N717">
        <f>IF($A717="","",IF($D717="V01",$R$2,IF($D717="V02",$R$3,$R$4)))</f>
        <v/>
      </c>
      <c r="O717">
        <f>IF($A717="","",IF(OR($B717="7062",$B717="706",$B717="708"),$N717,IF($B717="6231",1+$G717,IF($B717="6236",1+$H717,IF(OR($B717="621",$B717="604",$B717="6063"),$N717*(1-$L717),IF(OR($B717="6411",$B717="6413",$B717="6414",$B717="645"),(1+$J717)*(1+$K717),IF(OR($B717="613",$B717="615",$B717="616",$B717="6226",$B717="625",$B717="626",$B717="6281"),(1+$I717)*(1-$L717)*(1+$M717),IF(OR($B717="6331",$B717="63511",$B717="6333"),(1+$I717)*(1-$L717),IF($B717="6811",1+$I717,1)))))))))</f>
        <v/>
      </c>
      <c r="P717">
        <f>IF($A717="","",IF($E717=1,$F717*$O717,PNL!G717))</f>
        <v/>
      </c>
      <c r="T717">
        <f>IF($A717="","",IF($E717=1,IF(OR($B717="7062",$B717="706",$B717="708"),$P717,IF(AND(LEFT($B717,1)="6",$B717&lt;&gt;"6811"),-$P717,0)),0))</f>
        <v/>
      </c>
    </row>
    <row r="718">
      <c r="A718">
        <f>IF(PNL!A718="","",PNL!A718)</f>
        <v/>
      </c>
      <c r="B718">
        <f>IF(PNL!B718="","",PNL!B718)</f>
        <v/>
      </c>
      <c r="C718">
        <f>IF(PNL!C718="","",PNL!C718)</f>
        <v/>
      </c>
      <c r="D718">
        <f>IF(PNL!D718="","",PNL!D718)</f>
        <v/>
      </c>
      <c r="E718">
        <f>IF($A718="","",IF(AND($C718="2027",OR($D718="V01",$D718="V02",$D718="V03")),1,0))</f>
        <v/>
      </c>
      <c r="F718">
        <f>IF($A718="","",IF($E718=1,SUMIFS(Comptabilité!$F$1:$F$675,Comptabilité!$A$1:$A$675,$A718,Comptabilité!$B$1:$B$675,$B718,Comptabilité!$C$1:$C$675,"2026"),0))</f>
        <v/>
      </c>
      <c r="G718">
        <f>IF($A718="","",IF($D718="V01",Cadrage!$C$22,IF($D718="V02",Cadrage!$D$22,Cadrage!$E$22)))</f>
        <v/>
      </c>
      <c r="H718">
        <f>IF($A718="","",IF($D718="V01",Cadrage!$C$23,IF($D718="V02",Cadrage!$D$23,Cadrage!$E$23)))</f>
        <v/>
      </c>
      <c r="I718">
        <f>IF($A718="","",IF($D718="V01",Cadrage!$C$31,IF($D718="V02",Cadrage!$D$31,Cadrage!$E$31)))</f>
        <v/>
      </c>
      <c r="J718">
        <f>IF($A718="","",IF($D718="V01",Cadrage!$C$32,IF($D718="V02",Cadrage!$D$32,Cadrage!$E$32)))</f>
        <v/>
      </c>
      <c r="K718">
        <f>IF($A718="","",IF($D718="V01",Cadrage!$C$33,IF($D718="V02",Cadrage!$D$33,Cadrage!$E$33)))</f>
        <v/>
      </c>
      <c r="L718">
        <f>IF($A718="","",IF($D718="V01",Cadrage!$C$34,IF($D718="V02",Cadrage!$D$34,Cadrage!$E$34)))</f>
        <v/>
      </c>
      <c r="M718">
        <f>IF($A718="","",IF($D718="V01",Cadrage!$C$35,IF($D718="V02",Cadrage!$D$35,Cadrage!$E$35)))</f>
        <v/>
      </c>
      <c r="N718">
        <f>IF($A718="","",IF($D718="V01",$R$2,IF($D718="V02",$R$3,$R$4)))</f>
        <v/>
      </c>
      <c r="O718">
        <f>IF($A718="","",IF(OR($B718="7062",$B718="706",$B718="708"),$N718,IF($B718="6231",1+$G718,IF($B718="6236",1+$H718,IF(OR($B718="621",$B718="604",$B718="6063"),$N718*(1-$L718),IF(OR($B718="6411",$B718="6413",$B718="6414",$B718="645"),(1+$J718)*(1+$K718),IF(OR($B718="613",$B718="615",$B718="616",$B718="6226",$B718="625",$B718="626",$B718="6281"),(1+$I718)*(1-$L718)*(1+$M718),IF(OR($B718="6331",$B718="63511",$B718="6333"),(1+$I718)*(1-$L718),IF($B718="6811",1+$I718,1)))))))))</f>
        <v/>
      </c>
      <c r="P718">
        <f>IF($A718="","",IF($E718=1,$F718*$O718,PNL!G718))</f>
        <v/>
      </c>
      <c r="T718">
        <f>IF($A718="","",IF($E718=1,IF(OR($B718="7062",$B718="706",$B718="708"),$P718,IF(AND(LEFT($B718,1)="6",$B718&lt;&gt;"6811"),-$P718,0)),0))</f>
        <v/>
      </c>
    </row>
    <row r="719">
      <c r="A719">
        <f>IF(PNL!A719="","",PNL!A719)</f>
        <v/>
      </c>
      <c r="B719">
        <f>IF(PNL!B719="","",PNL!B719)</f>
        <v/>
      </c>
      <c r="C719">
        <f>IF(PNL!C719="","",PNL!C719)</f>
        <v/>
      </c>
      <c r="D719">
        <f>IF(PNL!D719="","",PNL!D719)</f>
        <v/>
      </c>
      <c r="E719">
        <f>IF($A719="","",IF(AND($C719="2027",OR($D719="V01",$D719="V02",$D719="V03")),1,0))</f>
        <v/>
      </c>
      <c r="F719">
        <f>IF($A719="","",IF($E719=1,SUMIFS(Comptabilité!$F$1:$F$675,Comptabilité!$A$1:$A$675,$A719,Comptabilité!$B$1:$B$675,$B719,Comptabilité!$C$1:$C$675,"2026"),0))</f>
        <v/>
      </c>
      <c r="G719">
        <f>IF($A719="","",IF($D719="V01",Cadrage!$C$22,IF($D719="V02",Cadrage!$D$22,Cadrage!$E$22)))</f>
        <v/>
      </c>
      <c r="H719">
        <f>IF($A719="","",IF($D719="V01",Cadrage!$C$23,IF($D719="V02",Cadrage!$D$23,Cadrage!$E$23)))</f>
        <v/>
      </c>
      <c r="I719">
        <f>IF($A719="","",IF($D719="V01",Cadrage!$C$31,IF($D719="V02",Cadrage!$D$31,Cadrage!$E$31)))</f>
        <v/>
      </c>
      <c r="J719">
        <f>IF($A719="","",IF($D719="V01",Cadrage!$C$32,IF($D719="V02",Cadrage!$D$32,Cadrage!$E$32)))</f>
        <v/>
      </c>
      <c r="K719">
        <f>IF($A719="","",IF($D719="V01",Cadrage!$C$33,IF($D719="V02",Cadrage!$D$33,Cadrage!$E$33)))</f>
        <v/>
      </c>
      <c r="L719">
        <f>IF($A719="","",IF($D719="V01",Cadrage!$C$34,IF($D719="V02",Cadrage!$D$34,Cadrage!$E$34)))</f>
        <v/>
      </c>
      <c r="M719">
        <f>IF($A719="","",IF($D719="V01",Cadrage!$C$35,IF($D719="V02",Cadrage!$D$35,Cadrage!$E$35)))</f>
        <v/>
      </c>
      <c r="N719">
        <f>IF($A719="","",IF($D719="V01",$R$2,IF($D719="V02",$R$3,$R$4)))</f>
        <v/>
      </c>
      <c r="O719">
        <f>IF($A719="","",IF(OR($B719="7062",$B719="706",$B719="708"),$N719,IF($B719="6231",1+$G719,IF($B719="6236",1+$H719,IF(OR($B719="621",$B719="604",$B719="6063"),$N719*(1-$L719),IF(OR($B719="6411",$B719="6413",$B719="6414",$B719="645"),(1+$J719)*(1+$K719),IF(OR($B719="613",$B719="615",$B719="616",$B719="6226",$B719="625",$B719="626",$B719="6281"),(1+$I719)*(1-$L719)*(1+$M719),IF(OR($B719="6331",$B719="63511",$B719="6333"),(1+$I719)*(1-$L719),IF($B719="6811",1+$I719,1)))))))))</f>
        <v/>
      </c>
      <c r="P719">
        <f>IF($A719="","",IF($E719=1,$F719*$O719,PNL!G719))</f>
        <v/>
      </c>
      <c r="T719">
        <f>IF($A719="","",IF($E719=1,IF(OR($B719="7062",$B719="706",$B719="708"),$P719,IF(AND(LEFT($B719,1)="6",$B719&lt;&gt;"6811"),-$P719,0)),0))</f>
        <v/>
      </c>
    </row>
    <row r="720">
      <c r="A720">
        <f>IF(PNL!A720="","",PNL!A720)</f>
        <v/>
      </c>
      <c r="B720">
        <f>IF(PNL!B720="","",PNL!B720)</f>
        <v/>
      </c>
      <c r="C720">
        <f>IF(PNL!C720="","",PNL!C720)</f>
        <v/>
      </c>
      <c r="D720">
        <f>IF(PNL!D720="","",PNL!D720)</f>
        <v/>
      </c>
      <c r="E720">
        <f>IF($A720="","",IF(AND($C720="2027",OR($D720="V01",$D720="V02",$D720="V03")),1,0))</f>
        <v/>
      </c>
      <c r="F720">
        <f>IF($A720="","",IF($E720=1,SUMIFS(Comptabilité!$F$1:$F$675,Comptabilité!$A$1:$A$675,$A720,Comptabilité!$B$1:$B$675,$B720,Comptabilité!$C$1:$C$675,"2026"),0))</f>
        <v/>
      </c>
      <c r="G720">
        <f>IF($A720="","",IF($D720="V01",Cadrage!$C$22,IF($D720="V02",Cadrage!$D$22,Cadrage!$E$22)))</f>
        <v/>
      </c>
      <c r="H720">
        <f>IF($A720="","",IF($D720="V01",Cadrage!$C$23,IF($D720="V02",Cadrage!$D$23,Cadrage!$E$23)))</f>
        <v/>
      </c>
      <c r="I720">
        <f>IF($A720="","",IF($D720="V01",Cadrage!$C$31,IF($D720="V02",Cadrage!$D$31,Cadrage!$E$31)))</f>
        <v/>
      </c>
      <c r="J720">
        <f>IF($A720="","",IF($D720="V01",Cadrage!$C$32,IF($D720="V02",Cadrage!$D$32,Cadrage!$E$32)))</f>
        <v/>
      </c>
      <c r="K720">
        <f>IF($A720="","",IF($D720="V01",Cadrage!$C$33,IF($D720="V02",Cadrage!$D$33,Cadrage!$E$33)))</f>
        <v/>
      </c>
      <c r="L720">
        <f>IF($A720="","",IF($D720="V01",Cadrage!$C$34,IF($D720="V02",Cadrage!$D$34,Cadrage!$E$34)))</f>
        <v/>
      </c>
      <c r="M720">
        <f>IF($A720="","",IF($D720="V01",Cadrage!$C$35,IF($D720="V02",Cadrage!$D$35,Cadrage!$E$35)))</f>
        <v/>
      </c>
      <c r="N720">
        <f>IF($A720="","",IF($D720="V01",$R$2,IF($D720="V02",$R$3,$R$4)))</f>
        <v/>
      </c>
      <c r="O720">
        <f>IF($A720="","",IF(OR($B720="7062",$B720="706",$B720="708"),$N720,IF($B720="6231",1+$G720,IF($B720="6236",1+$H720,IF(OR($B720="621",$B720="604",$B720="6063"),$N720*(1-$L720),IF(OR($B720="6411",$B720="6413",$B720="6414",$B720="645"),(1+$J720)*(1+$K720),IF(OR($B720="613",$B720="615",$B720="616",$B720="6226",$B720="625",$B720="626",$B720="6281"),(1+$I720)*(1-$L720)*(1+$M720),IF(OR($B720="6331",$B720="63511",$B720="6333"),(1+$I720)*(1-$L720),IF($B720="6811",1+$I720,1)))))))))</f>
        <v/>
      </c>
      <c r="P720">
        <f>IF($A720="","",IF($E720=1,$F720*$O720,PNL!G720))</f>
        <v/>
      </c>
      <c r="T720">
        <f>IF($A720="","",IF($E720=1,IF(OR($B720="7062",$B720="706",$B720="708"),$P720,IF(AND(LEFT($B720,1)="6",$B720&lt;&gt;"6811"),-$P720,0)),0))</f>
        <v/>
      </c>
    </row>
    <row r="721">
      <c r="A721">
        <f>IF(PNL!A721="","",PNL!A721)</f>
        <v/>
      </c>
      <c r="B721">
        <f>IF(PNL!B721="","",PNL!B721)</f>
        <v/>
      </c>
      <c r="C721">
        <f>IF(PNL!C721="","",PNL!C721)</f>
        <v/>
      </c>
      <c r="D721">
        <f>IF(PNL!D721="","",PNL!D721)</f>
        <v/>
      </c>
      <c r="E721">
        <f>IF($A721="","",IF(AND($C721="2027",OR($D721="V01",$D721="V02",$D721="V03")),1,0))</f>
        <v/>
      </c>
      <c r="F721">
        <f>IF($A721="","",IF($E721=1,SUMIFS(Comptabilité!$F$1:$F$675,Comptabilité!$A$1:$A$675,$A721,Comptabilité!$B$1:$B$675,$B721,Comptabilité!$C$1:$C$675,"2026"),0))</f>
        <v/>
      </c>
      <c r="G721">
        <f>IF($A721="","",IF($D721="V01",Cadrage!$C$22,IF($D721="V02",Cadrage!$D$22,Cadrage!$E$22)))</f>
        <v/>
      </c>
      <c r="H721">
        <f>IF($A721="","",IF($D721="V01",Cadrage!$C$23,IF($D721="V02",Cadrage!$D$23,Cadrage!$E$23)))</f>
        <v/>
      </c>
      <c r="I721">
        <f>IF($A721="","",IF($D721="V01",Cadrage!$C$31,IF($D721="V02",Cadrage!$D$31,Cadrage!$E$31)))</f>
        <v/>
      </c>
      <c r="J721">
        <f>IF($A721="","",IF($D721="V01",Cadrage!$C$32,IF($D721="V02",Cadrage!$D$32,Cadrage!$E$32)))</f>
        <v/>
      </c>
      <c r="K721">
        <f>IF($A721="","",IF($D721="V01",Cadrage!$C$33,IF($D721="V02",Cadrage!$D$33,Cadrage!$E$33)))</f>
        <v/>
      </c>
      <c r="L721">
        <f>IF($A721="","",IF($D721="V01",Cadrage!$C$34,IF($D721="V02",Cadrage!$D$34,Cadrage!$E$34)))</f>
        <v/>
      </c>
      <c r="M721">
        <f>IF($A721="","",IF($D721="V01",Cadrage!$C$35,IF($D721="V02",Cadrage!$D$35,Cadrage!$E$35)))</f>
        <v/>
      </c>
      <c r="N721">
        <f>IF($A721="","",IF($D721="V01",$R$2,IF($D721="V02",$R$3,$R$4)))</f>
        <v/>
      </c>
      <c r="O721">
        <f>IF($A721="","",IF(OR($B721="7062",$B721="706",$B721="708"),$N721,IF($B721="6231",1+$G721,IF($B721="6236",1+$H721,IF(OR($B721="621",$B721="604",$B721="6063"),$N721*(1-$L721),IF(OR($B721="6411",$B721="6413",$B721="6414",$B721="645"),(1+$J721)*(1+$K721),IF(OR($B721="613",$B721="615",$B721="616",$B721="6226",$B721="625",$B721="626",$B721="6281"),(1+$I721)*(1-$L721)*(1+$M721),IF(OR($B721="6331",$B721="63511",$B721="6333"),(1+$I721)*(1-$L721),IF($B721="6811",1+$I721,1)))))))))</f>
        <v/>
      </c>
      <c r="P721">
        <f>IF($A721="","",IF($E721=1,$F721*$O721,PNL!G721))</f>
        <v/>
      </c>
      <c r="T721">
        <f>IF($A721="","",IF($E721=1,IF(OR($B721="7062",$B721="706",$B721="708"),$P721,IF(AND(LEFT($B721,1)="6",$B721&lt;&gt;"6811"),-$P721,0)),0))</f>
        <v/>
      </c>
    </row>
    <row r="722">
      <c r="A722">
        <f>IF(PNL!A722="","",PNL!A722)</f>
        <v/>
      </c>
      <c r="B722">
        <f>IF(PNL!B722="","",PNL!B722)</f>
        <v/>
      </c>
      <c r="C722">
        <f>IF(PNL!C722="","",PNL!C722)</f>
        <v/>
      </c>
      <c r="D722">
        <f>IF(PNL!D722="","",PNL!D722)</f>
        <v/>
      </c>
      <c r="E722">
        <f>IF($A722="","",IF(AND($C722="2027",OR($D722="V01",$D722="V02",$D722="V03")),1,0))</f>
        <v/>
      </c>
      <c r="F722">
        <f>IF($A722="","",IF($E722=1,SUMIFS(Comptabilité!$F$1:$F$675,Comptabilité!$A$1:$A$675,$A722,Comptabilité!$B$1:$B$675,$B722,Comptabilité!$C$1:$C$675,"2026"),0))</f>
        <v/>
      </c>
      <c r="G722">
        <f>IF($A722="","",IF($D722="V01",Cadrage!$C$22,IF($D722="V02",Cadrage!$D$22,Cadrage!$E$22)))</f>
        <v/>
      </c>
      <c r="H722">
        <f>IF($A722="","",IF($D722="V01",Cadrage!$C$23,IF($D722="V02",Cadrage!$D$23,Cadrage!$E$23)))</f>
        <v/>
      </c>
      <c r="I722">
        <f>IF($A722="","",IF($D722="V01",Cadrage!$C$31,IF($D722="V02",Cadrage!$D$31,Cadrage!$E$31)))</f>
        <v/>
      </c>
      <c r="J722">
        <f>IF($A722="","",IF($D722="V01",Cadrage!$C$32,IF($D722="V02",Cadrage!$D$32,Cadrage!$E$32)))</f>
        <v/>
      </c>
      <c r="K722">
        <f>IF($A722="","",IF($D722="V01",Cadrage!$C$33,IF($D722="V02",Cadrage!$D$33,Cadrage!$E$33)))</f>
        <v/>
      </c>
      <c r="L722">
        <f>IF($A722="","",IF($D722="V01",Cadrage!$C$34,IF($D722="V02",Cadrage!$D$34,Cadrage!$E$34)))</f>
        <v/>
      </c>
      <c r="M722">
        <f>IF($A722="","",IF($D722="V01",Cadrage!$C$35,IF($D722="V02",Cadrage!$D$35,Cadrage!$E$35)))</f>
        <v/>
      </c>
      <c r="N722">
        <f>IF($A722="","",IF($D722="V01",$R$2,IF($D722="V02",$R$3,$R$4)))</f>
        <v/>
      </c>
      <c r="O722">
        <f>IF($A722="","",IF(OR($B722="7062",$B722="706",$B722="708"),$N722,IF($B722="6231",1+$G722,IF($B722="6236",1+$H722,IF(OR($B722="621",$B722="604",$B722="6063"),$N722*(1-$L722),IF(OR($B722="6411",$B722="6413",$B722="6414",$B722="645"),(1+$J722)*(1+$K722),IF(OR($B722="613",$B722="615",$B722="616",$B722="6226",$B722="625",$B722="626",$B722="6281"),(1+$I722)*(1-$L722)*(1+$M722),IF(OR($B722="6331",$B722="63511",$B722="6333"),(1+$I722)*(1-$L722),IF($B722="6811",1+$I722,1)))))))))</f>
        <v/>
      </c>
      <c r="P722">
        <f>IF($A722="","",IF($E722=1,$F722*$O722,PNL!G722))</f>
        <v/>
      </c>
      <c r="T722">
        <f>IF($A722="","",IF($E722=1,IF(OR($B722="7062",$B722="706",$B722="708"),$P722,IF(AND(LEFT($B722,1)="6",$B722&lt;&gt;"6811"),-$P722,0)),0))</f>
        <v/>
      </c>
    </row>
    <row r="723">
      <c r="A723">
        <f>IF(PNL!A723="","",PNL!A723)</f>
        <v/>
      </c>
      <c r="B723">
        <f>IF(PNL!B723="","",PNL!B723)</f>
        <v/>
      </c>
      <c r="C723">
        <f>IF(PNL!C723="","",PNL!C723)</f>
        <v/>
      </c>
      <c r="D723">
        <f>IF(PNL!D723="","",PNL!D723)</f>
        <v/>
      </c>
      <c r="E723">
        <f>IF($A723="","",IF(AND($C723="2027",OR($D723="V01",$D723="V02",$D723="V03")),1,0))</f>
        <v/>
      </c>
      <c r="F723">
        <f>IF($A723="","",IF($E723=1,SUMIFS(Comptabilité!$F$1:$F$675,Comptabilité!$A$1:$A$675,$A723,Comptabilité!$B$1:$B$675,$B723,Comptabilité!$C$1:$C$675,"2026"),0))</f>
        <v/>
      </c>
      <c r="G723">
        <f>IF($A723="","",IF($D723="V01",Cadrage!$C$22,IF($D723="V02",Cadrage!$D$22,Cadrage!$E$22)))</f>
        <v/>
      </c>
      <c r="H723">
        <f>IF($A723="","",IF($D723="V01",Cadrage!$C$23,IF($D723="V02",Cadrage!$D$23,Cadrage!$E$23)))</f>
        <v/>
      </c>
      <c r="I723">
        <f>IF($A723="","",IF($D723="V01",Cadrage!$C$31,IF($D723="V02",Cadrage!$D$31,Cadrage!$E$31)))</f>
        <v/>
      </c>
      <c r="J723">
        <f>IF($A723="","",IF($D723="V01",Cadrage!$C$32,IF($D723="V02",Cadrage!$D$32,Cadrage!$E$32)))</f>
        <v/>
      </c>
      <c r="K723">
        <f>IF($A723="","",IF($D723="V01",Cadrage!$C$33,IF($D723="V02",Cadrage!$D$33,Cadrage!$E$33)))</f>
        <v/>
      </c>
      <c r="L723">
        <f>IF($A723="","",IF($D723="V01",Cadrage!$C$34,IF($D723="V02",Cadrage!$D$34,Cadrage!$E$34)))</f>
        <v/>
      </c>
      <c r="M723">
        <f>IF($A723="","",IF($D723="V01",Cadrage!$C$35,IF($D723="V02",Cadrage!$D$35,Cadrage!$E$35)))</f>
        <v/>
      </c>
      <c r="N723">
        <f>IF($A723="","",IF($D723="V01",$R$2,IF($D723="V02",$R$3,$R$4)))</f>
        <v/>
      </c>
      <c r="O723">
        <f>IF($A723="","",IF(OR($B723="7062",$B723="706",$B723="708"),$N723,IF($B723="6231",1+$G723,IF($B723="6236",1+$H723,IF(OR($B723="621",$B723="604",$B723="6063"),$N723*(1-$L723),IF(OR($B723="6411",$B723="6413",$B723="6414",$B723="645"),(1+$J723)*(1+$K723),IF(OR($B723="613",$B723="615",$B723="616",$B723="6226",$B723="625",$B723="626",$B723="6281"),(1+$I723)*(1-$L723)*(1+$M723),IF(OR($B723="6331",$B723="63511",$B723="6333"),(1+$I723)*(1-$L723),IF($B723="6811",1+$I723,1)))))))))</f>
        <v/>
      </c>
      <c r="P723">
        <f>IF($A723="","",IF($E723=1,$F723*$O723,PNL!G723))</f>
        <v/>
      </c>
      <c r="T723">
        <f>IF($A723="","",IF($E723=1,IF(OR($B723="7062",$B723="706",$B723="708"),$P723,IF(AND(LEFT($B723,1)="6",$B723&lt;&gt;"6811"),-$P723,0)),0))</f>
        <v/>
      </c>
    </row>
    <row r="724">
      <c r="A724">
        <f>IF(PNL!A724="","",PNL!A724)</f>
        <v/>
      </c>
      <c r="B724">
        <f>IF(PNL!B724="","",PNL!B724)</f>
        <v/>
      </c>
      <c r="C724">
        <f>IF(PNL!C724="","",PNL!C724)</f>
        <v/>
      </c>
      <c r="D724">
        <f>IF(PNL!D724="","",PNL!D724)</f>
        <v/>
      </c>
      <c r="E724">
        <f>IF($A724="","",IF(AND($C724="2027",OR($D724="V01",$D724="V02",$D724="V03")),1,0))</f>
        <v/>
      </c>
      <c r="F724">
        <f>IF($A724="","",IF($E724=1,SUMIFS(Comptabilité!$F$1:$F$675,Comptabilité!$A$1:$A$675,$A724,Comptabilité!$B$1:$B$675,$B724,Comptabilité!$C$1:$C$675,"2026"),0))</f>
        <v/>
      </c>
      <c r="G724">
        <f>IF($A724="","",IF($D724="V01",Cadrage!$C$22,IF($D724="V02",Cadrage!$D$22,Cadrage!$E$22)))</f>
        <v/>
      </c>
      <c r="H724">
        <f>IF($A724="","",IF($D724="V01",Cadrage!$C$23,IF($D724="V02",Cadrage!$D$23,Cadrage!$E$23)))</f>
        <v/>
      </c>
      <c r="I724">
        <f>IF($A724="","",IF($D724="V01",Cadrage!$C$31,IF($D724="V02",Cadrage!$D$31,Cadrage!$E$31)))</f>
        <v/>
      </c>
      <c r="J724">
        <f>IF($A724="","",IF($D724="V01",Cadrage!$C$32,IF($D724="V02",Cadrage!$D$32,Cadrage!$E$32)))</f>
        <v/>
      </c>
      <c r="K724">
        <f>IF($A724="","",IF($D724="V01",Cadrage!$C$33,IF($D724="V02",Cadrage!$D$33,Cadrage!$E$33)))</f>
        <v/>
      </c>
      <c r="L724">
        <f>IF($A724="","",IF($D724="V01",Cadrage!$C$34,IF($D724="V02",Cadrage!$D$34,Cadrage!$E$34)))</f>
        <v/>
      </c>
      <c r="M724">
        <f>IF($A724="","",IF($D724="V01",Cadrage!$C$35,IF($D724="V02",Cadrage!$D$35,Cadrage!$E$35)))</f>
        <v/>
      </c>
      <c r="N724">
        <f>IF($A724="","",IF($D724="V01",$R$2,IF($D724="V02",$R$3,$R$4)))</f>
        <v/>
      </c>
      <c r="O724">
        <f>IF($A724="","",IF(OR($B724="7062",$B724="706",$B724="708"),$N724,IF($B724="6231",1+$G724,IF($B724="6236",1+$H724,IF(OR($B724="621",$B724="604",$B724="6063"),$N724*(1-$L724),IF(OR($B724="6411",$B724="6413",$B724="6414",$B724="645"),(1+$J724)*(1+$K724),IF(OR($B724="613",$B724="615",$B724="616",$B724="6226",$B724="625",$B724="626",$B724="6281"),(1+$I724)*(1-$L724)*(1+$M724),IF(OR($B724="6331",$B724="63511",$B724="6333"),(1+$I724)*(1-$L724),IF($B724="6811",1+$I724,1)))))))))</f>
        <v/>
      </c>
      <c r="P724">
        <f>IF($A724="","",IF($E724=1,$F724*$O724,PNL!G724))</f>
        <v/>
      </c>
      <c r="T724">
        <f>IF($A724="","",IF($E724=1,IF(OR($B724="7062",$B724="706",$B724="708"),$P724,IF(AND(LEFT($B724,1)="6",$B724&lt;&gt;"6811"),-$P724,0)),0))</f>
        <v/>
      </c>
    </row>
    <row r="725">
      <c r="A725">
        <f>IF(PNL!A725="","",PNL!A725)</f>
        <v/>
      </c>
      <c r="B725">
        <f>IF(PNL!B725="","",PNL!B725)</f>
        <v/>
      </c>
      <c r="C725">
        <f>IF(PNL!C725="","",PNL!C725)</f>
        <v/>
      </c>
      <c r="D725">
        <f>IF(PNL!D725="","",PNL!D725)</f>
        <v/>
      </c>
      <c r="E725">
        <f>IF($A725="","",IF(AND($C725="2027",OR($D725="V01",$D725="V02",$D725="V03")),1,0))</f>
        <v/>
      </c>
      <c r="F725">
        <f>IF($A725="","",IF($E725=1,SUMIFS(Comptabilité!$F$1:$F$675,Comptabilité!$A$1:$A$675,$A725,Comptabilité!$B$1:$B$675,$B725,Comptabilité!$C$1:$C$675,"2026"),0))</f>
        <v/>
      </c>
      <c r="G725">
        <f>IF($A725="","",IF($D725="V01",Cadrage!$C$22,IF($D725="V02",Cadrage!$D$22,Cadrage!$E$22)))</f>
        <v/>
      </c>
      <c r="H725">
        <f>IF($A725="","",IF($D725="V01",Cadrage!$C$23,IF($D725="V02",Cadrage!$D$23,Cadrage!$E$23)))</f>
        <v/>
      </c>
      <c r="I725">
        <f>IF($A725="","",IF($D725="V01",Cadrage!$C$31,IF($D725="V02",Cadrage!$D$31,Cadrage!$E$31)))</f>
        <v/>
      </c>
      <c r="J725">
        <f>IF($A725="","",IF($D725="V01",Cadrage!$C$32,IF($D725="V02",Cadrage!$D$32,Cadrage!$E$32)))</f>
        <v/>
      </c>
      <c r="K725">
        <f>IF($A725="","",IF($D725="V01",Cadrage!$C$33,IF($D725="V02",Cadrage!$D$33,Cadrage!$E$33)))</f>
        <v/>
      </c>
      <c r="L725">
        <f>IF($A725="","",IF($D725="V01",Cadrage!$C$34,IF($D725="V02",Cadrage!$D$34,Cadrage!$E$34)))</f>
        <v/>
      </c>
      <c r="M725">
        <f>IF($A725="","",IF($D725="V01",Cadrage!$C$35,IF($D725="V02",Cadrage!$D$35,Cadrage!$E$35)))</f>
        <v/>
      </c>
      <c r="N725">
        <f>IF($A725="","",IF($D725="V01",$R$2,IF($D725="V02",$R$3,$R$4)))</f>
        <v/>
      </c>
      <c r="O725">
        <f>IF($A725="","",IF(OR($B725="7062",$B725="706",$B725="708"),$N725,IF($B725="6231",1+$G725,IF($B725="6236",1+$H725,IF(OR($B725="621",$B725="604",$B725="6063"),$N725*(1-$L725),IF(OR($B725="6411",$B725="6413",$B725="6414",$B725="645"),(1+$J725)*(1+$K725),IF(OR($B725="613",$B725="615",$B725="616",$B725="6226",$B725="625",$B725="626",$B725="6281"),(1+$I725)*(1-$L725)*(1+$M725),IF(OR($B725="6331",$B725="63511",$B725="6333"),(1+$I725)*(1-$L725),IF($B725="6811",1+$I725,1)))))))))</f>
        <v/>
      </c>
      <c r="P725">
        <f>IF($A725="","",IF($E725=1,$F725*$O725,PNL!G725))</f>
        <v/>
      </c>
      <c r="T725">
        <f>IF($A725="","",IF($E725=1,IF(OR($B725="7062",$B725="706",$B725="708"),$P725,IF(AND(LEFT($B725,1)="6",$B725&lt;&gt;"6811"),-$P725,0)),0))</f>
        <v/>
      </c>
    </row>
    <row r="726">
      <c r="A726">
        <f>IF(PNL!A726="","",PNL!A726)</f>
        <v/>
      </c>
      <c r="B726">
        <f>IF(PNL!B726="","",PNL!B726)</f>
        <v/>
      </c>
      <c r="C726">
        <f>IF(PNL!C726="","",PNL!C726)</f>
        <v/>
      </c>
      <c r="D726">
        <f>IF(PNL!D726="","",PNL!D726)</f>
        <v/>
      </c>
      <c r="E726">
        <f>IF($A726="","",IF(AND($C726="2027",OR($D726="V01",$D726="V02",$D726="V03")),1,0))</f>
        <v/>
      </c>
      <c r="F726">
        <f>IF($A726="","",IF($E726=1,SUMIFS(Comptabilité!$F$1:$F$675,Comptabilité!$A$1:$A$675,$A726,Comptabilité!$B$1:$B$675,$B726,Comptabilité!$C$1:$C$675,"2026"),0))</f>
        <v/>
      </c>
      <c r="G726">
        <f>IF($A726="","",IF($D726="V01",Cadrage!$C$22,IF($D726="V02",Cadrage!$D$22,Cadrage!$E$22)))</f>
        <v/>
      </c>
      <c r="H726">
        <f>IF($A726="","",IF($D726="V01",Cadrage!$C$23,IF($D726="V02",Cadrage!$D$23,Cadrage!$E$23)))</f>
        <v/>
      </c>
      <c r="I726">
        <f>IF($A726="","",IF($D726="V01",Cadrage!$C$31,IF($D726="V02",Cadrage!$D$31,Cadrage!$E$31)))</f>
        <v/>
      </c>
      <c r="J726">
        <f>IF($A726="","",IF($D726="V01",Cadrage!$C$32,IF($D726="V02",Cadrage!$D$32,Cadrage!$E$32)))</f>
        <v/>
      </c>
      <c r="K726">
        <f>IF($A726="","",IF($D726="V01",Cadrage!$C$33,IF($D726="V02",Cadrage!$D$33,Cadrage!$E$33)))</f>
        <v/>
      </c>
      <c r="L726">
        <f>IF($A726="","",IF($D726="V01",Cadrage!$C$34,IF($D726="V02",Cadrage!$D$34,Cadrage!$E$34)))</f>
        <v/>
      </c>
      <c r="M726">
        <f>IF($A726="","",IF($D726="V01",Cadrage!$C$35,IF($D726="V02",Cadrage!$D$35,Cadrage!$E$35)))</f>
        <v/>
      </c>
      <c r="N726">
        <f>IF($A726="","",IF($D726="V01",$R$2,IF($D726="V02",$R$3,$R$4)))</f>
        <v/>
      </c>
      <c r="O726">
        <f>IF($A726="","",IF(OR($B726="7062",$B726="706",$B726="708"),$N726,IF($B726="6231",1+$G726,IF($B726="6236",1+$H726,IF(OR($B726="621",$B726="604",$B726="6063"),$N726*(1-$L726),IF(OR($B726="6411",$B726="6413",$B726="6414",$B726="645"),(1+$J726)*(1+$K726),IF(OR($B726="613",$B726="615",$B726="616",$B726="6226",$B726="625",$B726="626",$B726="6281"),(1+$I726)*(1-$L726)*(1+$M726),IF(OR($B726="6331",$B726="63511",$B726="6333"),(1+$I726)*(1-$L726),IF($B726="6811",1+$I726,1)))))))))</f>
        <v/>
      </c>
      <c r="P726">
        <f>IF($A726="","",IF($E726=1,$F726*$O726,PNL!G726))</f>
        <v/>
      </c>
      <c r="T726">
        <f>IF($A726="","",IF($E726=1,IF(OR($B726="7062",$B726="706",$B726="708"),$P726,IF(AND(LEFT($B726,1)="6",$B726&lt;&gt;"6811"),-$P726,0)),0))</f>
        <v/>
      </c>
    </row>
    <row r="727">
      <c r="A727">
        <f>IF(PNL!A727="","",PNL!A727)</f>
        <v/>
      </c>
      <c r="B727">
        <f>IF(PNL!B727="","",PNL!B727)</f>
        <v/>
      </c>
      <c r="C727">
        <f>IF(PNL!C727="","",PNL!C727)</f>
        <v/>
      </c>
      <c r="D727">
        <f>IF(PNL!D727="","",PNL!D727)</f>
        <v/>
      </c>
      <c r="E727">
        <f>IF($A727="","",IF(AND($C727="2027",OR($D727="V01",$D727="V02",$D727="V03")),1,0))</f>
        <v/>
      </c>
      <c r="F727">
        <f>IF($A727="","",IF($E727=1,SUMIFS(Comptabilité!$F$1:$F$675,Comptabilité!$A$1:$A$675,$A727,Comptabilité!$B$1:$B$675,$B727,Comptabilité!$C$1:$C$675,"2026"),0))</f>
        <v/>
      </c>
      <c r="G727">
        <f>IF($A727="","",IF($D727="V01",Cadrage!$C$22,IF($D727="V02",Cadrage!$D$22,Cadrage!$E$22)))</f>
        <v/>
      </c>
      <c r="H727">
        <f>IF($A727="","",IF($D727="V01",Cadrage!$C$23,IF($D727="V02",Cadrage!$D$23,Cadrage!$E$23)))</f>
        <v/>
      </c>
      <c r="I727">
        <f>IF($A727="","",IF($D727="V01",Cadrage!$C$31,IF($D727="V02",Cadrage!$D$31,Cadrage!$E$31)))</f>
        <v/>
      </c>
      <c r="J727">
        <f>IF($A727="","",IF($D727="V01",Cadrage!$C$32,IF($D727="V02",Cadrage!$D$32,Cadrage!$E$32)))</f>
        <v/>
      </c>
      <c r="K727">
        <f>IF($A727="","",IF($D727="V01",Cadrage!$C$33,IF($D727="V02",Cadrage!$D$33,Cadrage!$E$33)))</f>
        <v/>
      </c>
      <c r="L727">
        <f>IF($A727="","",IF($D727="V01",Cadrage!$C$34,IF($D727="V02",Cadrage!$D$34,Cadrage!$E$34)))</f>
        <v/>
      </c>
      <c r="M727">
        <f>IF($A727="","",IF($D727="V01",Cadrage!$C$35,IF($D727="V02",Cadrage!$D$35,Cadrage!$E$35)))</f>
        <v/>
      </c>
      <c r="N727">
        <f>IF($A727="","",IF($D727="V01",$R$2,IF($D727="V02",$R$3,$R$4)))</f>
        <v/>
      </c>
      <c r="O727">
        <f>IF($A727="","",IF(OR($B727="7062",$B727="706",$B727="708"),$N727,IF($B727="6231",1+$G727,IF($B727="6236",1+$H727,IF(OR($B727="621",$B727="604",$B727="6063"),$N727*(1-$L727),IF(OR($B727="6411",$B727="6413",$B727="6414",$B727="645"),(1+$J727)*(1+$K727),IF(OR($B727="613",$B727="615",$B727="616",$B727="6226",$B727="625",$B727="626",$B727="6281"),(1+$I727)*(1-$L727)*(1+$M727),IF(OR($B727="6331",$B727="63511",$B727="6333"),(1+$I727)*(1-$L727),IF($B727="6811",1+$I727,1)))))))))</f>
        <v/>
      </c>
      <c r="P727">
        <f>IF($A727="","",IF($E727=1,$F727*$O727,PNL!G727))</f>
        <v/>
      </c>
      <c r="T727">
        <f>IF($A727="","",IF($E727=1,IF(OR($B727="7062",$B727="706",$B727="708"),$P727,IF(AND(LEFT($B727,1)="6",$B727&lt;&gt;"6811"),-$P727,0)),0))</f>
        <v/>
      </c>
    </row>
    <row r="728">
      <c r="A728">
        <f>IF(PNL!A728="","",PNL!A728)</f>
        <v/>
      </c>
      <c r="B728">
        <f>IF(PNL!B728="","",PNL!B728)</f>
        <v/>
      </c>
      <c r="C728">
        <f>IF(PNL!C728="","",PNL!C728)</f>
        <v/>
      </c>
      <c r="D728">
        <f>IF(PNL!D728="","",PNL!D728)</f>
        <v/>
      </c>
      <c r="E728">
        <f>IF($A728="","",IF(AND($C728="2027",OR($D728="V01",$D728="V02",$D728="V03")),1,0))</f>
        <v/>
      </c>
      <c r="F728">
        <f>IF($A728="","",IF($E728=1,SUMIFS(Comptabilité!$F$1:$F$675,Comptabilité!$A$1:$A$675,$A728,Comptabilité!$B$1:$B$675,$B728,Comptabilité!$C$1:$C$675,"2026"),0))</f>
        <v/>
      </c>
      <c r="G728">
        <f>IF($A728="","",IF($D728="V01",Cadrage!$C$22,IF($D728="V02",Cadrage!$D$22,Cadrage!$E$22)))</f>
        <v/>
      </c>
      <c r="H728">
        <f>IF($A728="","",IF($D728="V01",Cadrage!$C$23,IF($D728="V02",Cadrage!$D$23,Cadrage!$E$23)))</f>
        <v/>
      </c>
      <c r="I728">
        <f>IF($A728="","",IF($D728="V01",Cadrage!$C$31,IF($D728="V02",Cadrage!$D$31,Cadrage!$E$31)))</f>
        <v/>
      </c>
      <c r="J728">
        <f>IF($A728="","",IF($D728="V01",Cadrage!$C$32,IF($D728="V02",Cadrage!$D$32,Cadrage!$E$32)))</f>
        <v/>
      </c>
      <c r="K728">
        <f>IF($A728="","",IF($D728="V01",Cadrage!$C$33,IF($D728="V02",Cadrage!$D$33,Cadrage!$E$33)))</f>
        <v/>
      </c>
      <c r="L728">
        <f>IF($A728="","",IF($D728="V01",Cadrage!$C$34,IF($D728="V02",Cadrage!$D$34,Cadrage!$E$34)))</f>
        <v/>
      </c>
      <c r="M728">
        <f>IF($A728="","",IF($D728="V01",Cadrage!$C$35,IF($D728="V02",Cadrage!$D$35,Cadrage!$E$35)))</f>
        <v/>
      </c>
      <c r="N728">
        <f>IF($A728="","",IF($D728="V01",$R$2,IF($D728="V02",$R$3,$R$4)))</f>
        <v/>
      </c>
      <c r="O728">
        <f>IF($A728="","",IF(OR($B728="7062",$B728="706",$B728="708"),$N728,IF($B728="6231",1+$G728,IF($B728="6236",1+$H728,IF(OR($B728="621",$B728="604",$B728="6063"),$N728*(1-$L728),IF(OR($B728="6411",$B728="6413",$B728="6414",$B728="645"),(1+$J728)*(1+$K728),IF(OR($B728="613",$B728="615",$B728="616",$B728="6226",$B728="625",$B728="626",$B728="6281"),(1+$I728)*(1-$L728)*(1+$M728),IF(OR($B728="6331",$B728="63511",$B728="6333"),(1+$I728)*(1-$L728),IF($B728="6811",1+$I728,1)))))))))</f>
        <v/>
      </c>
      <c r="P728">
        <f>IF($A728="","",IF($E728=1,$F728*$O728,PNL!G728))</f>
        <v/>
      </c>
      <c r="T728">
        <f>IF($A728="","",IF($E728=1,IF(OR($B728="7062",$B728="706",$B728="708"),$P728,IF(AND(LEFT($B728,1)="6",$B728&lt;&gt;"6811"),-$P728,0)),0))</f>
        <v/>
      </c>
    </row>
    <row r="729">
      <c r="A729">
        <f>IF(PNL!A729="","",PNL!A729)</f>
        <v/>
      </c>
      <c r="B729">
        <f>IF(PNL!B729="","",PNL!B729)</f>
        <v/>
      </c>
      <c r="C729">
        <f>IF(PNL!C729="","",PNL!C729)</f>
        <v/>
      </c>
      <c r="D729">
        <f>IF(PNL!D729="","",PNL!D729)</f>
        <v/>
      </c>
      <c r="E729">
        <f>IF($A729="","",IF(AND($C729="2027",OR($D729="V01",$D729="V02",$D729="V03")),1,0))</f>
        <v/>
      </c>
      <c r="F729">
        <f>IF($A729="","",IF($E729=1,SUMIFS(Comptabilité!$F$1:$F$675,Comptabilité!$A$1:$A$675,$A729,Comptabilité!$B$1:$B$675,$B729,Comptabilité!$C$1:$C$675,"2026"),0))</f>
        <v/>
      </c>
      <c r="G729">
        <f>IF($A729="","",IF($D729="V01",Cadrage!$C$22,IF($D729="V02",Cadrage!$D$22,Cadrage!$E$22)))</f>
        <v/>
      </c>
      <c r="H729">
        <f>IF($A729="","",IF($D729="V01",Cadrage!$C$23,IF($D729="V02",Cadrage!$D$23,Cadrage!$E$23)))</f>
        <v/>
      </c>
      <c r="I729">
        <f>IF($A729="","",IF($D729="V01",Cadrage!$C$31,IF($D729="V02",Cadrage!$D$31,Cadrage!$E$31)))</f>
        <v/>
      </c>
      <c r="J729">
        <f>IF($A729="","",IF($D729="V01",Cadrage!$C$32,IF($D729="V02",Cadrage!$D$32,Cadrage!$E$32)))</f>
        <v/>
      </c>
      <c r="K729">
        <f>IF($A729="","",IF($D729="V01",Cadrage!$C$33,IF($D729="V02",Cadrage!$D$33,Cadrage!$E$33)))</f>
        <v/>
      </c>
      <c r="L729">
        <f>IF($A729="","",IF($D729="V01",Cadrage!$C$34,IF($D729="V02",Cadrage!$D$34,Cadrage!$E$34)))</f>
        <v/>
      </c>
      <c r="M729">
        <f>IF($A729="","",IF($D729="V01",Cadrage!$C$35,IF($D729="V02",Cadrage!$D$35,Cadrage!$E$35)))</f>
        <v/>
      </c>
      <c r="N729">
        <f>IF($A729="","",IF($D729="V01",$R$2,IF($D729="V02",$R$3,$R$4)))</f>
        <v/>
      </c>
      <c r="O729">
        <f>IF($A729="","",IF(OR($B729="7062",$B729="706",$B729="708"),$N729,IF($B729="6231",1+$G729,IF($B729="6236",1+$H729,IF(OR($B729="621",$B729="604",$B729="6063"),$N729*(1-$L729),IF(OR($B729="6411",$B729="6413",$B729="6414",$B729="645"),(1+$J729)*(1+$K729),IF(OR($B729="613",$B729="615",$B729="616",$B729="6226",$B729="625",$B729="626",$B729="6281"),(1+$I729)*(1-$L729)*(1+$M729),IF(OR($B729="6331",$B729="63511",$B729="6333"),(1+$I729)*(1-$L729),IF($B729="6811",1+$I729,1)))))))))</f>
        <v/>
      </c>
      <c r="P729">
        <f>IF($A729="","",IF($E729=1,$F729*$O729,PNL!G729))</f>
        <v/>
      </c>
      <c r="T729">
        <f>IF($A729="","",IF($E729=1,IF(OR($B729="7062",$B729="706",$B729="708"),$P729,IF(AND(LEFT($B729,1)="6",$B729&lt;&gt;"6811"),-$P729,0)),0))</f>
        <v/>
      </c>
    </row>
    <row r="730">
      <c r="A730">
        <f>IF(PNL!A730="","",PNL!A730)</f>
        <v/>
      </c>
      <c r="B730">
        <f>IF(PNL!B730="","",PNL!B730)</f>
        <v/>
      </c>
      <c r="C730">
        <f>IF(PNL!C730="","",PNL!C730)</f>
        <v/>
      </c>
      <c r="D730">
        <f>IF(PNL!D730="","",PNL!D730)</f>
        <v/>
      </c>
      <c r="E730">
        <f>IF($A730="","",IF(AND($C730="2027",OR($D730="V01",$D730="V02",$D730="V03")),1,0))</f>
        <v/>
      </c>
      <c r="F730">
        <f>IF($A730="","",IF($E730=1,SUMIFS(Comptabilité!$F$1:$F$675,Comptabilité!$A$1:$A$675,$A730,Comptabilité!$B$1:$B$675,$B730,Comptabilité!$C$1:$C$675,"2026"),0))</f>
        <v/>
      </c>
      <c r="G730">
        <f>IF($A730="","",IF($D730="V01",Cadrage!$C$22,IF($D730="V02",Cadrage!$D$22,Cadrage!$E$22)))</f>
        <v/>
      </c>
      <c r="H730">
        <f>IF($A730="","",IF($D730="V01",Cadrage!$C$23,IF($D730="V02",Cadrage!$D$23,Cadrage!$E$23)))</f>
        <v/>
      </c>
      <c r="I730">
        <f>IF($A730="","",IF($D730="V01",Cadrage!$C$31,IF($D730="V02",Cadrage!$D$31,Cadrage!$E$31)))</f>
        <v/>
      </c>
      <c r="J730">
        <f>IF($A730="","",IF($D730="V01",Cadrage!$C$32,IF($D730="V02",Cadrage!$D$32,Cadrage!$E$32)))</f>
        <v/>
      </c>
      <c r="K730">
        <f>IF($A730="","",IF($D730="V01",Cadrage!$C$33,IF($D730="V02",Cadrage!$D$33,Cadrage!$E$33)))</f>
        <v/>
      </c>
      <c r="L730">
        <f>IF($A730="","",IF($D730="V01",Cadrage!$C$34,IF($D730="V02",Cadrage!$D$34,Cadrage!$E$34)))</f>
        <v/>
      </c>
      <c r="M730">
        <f>IF($A730="","",IF($D730="V01",Cadrage!$C$35,IF($D730="V02",Cadrage!$D$35,Cadrage!$E$35)))</f>
        <v/>
      </c>
      <c r="N730">
        <f>IF($A730="","",IF($D730="V01",$R$2,IF($D730="V02",$R$3,$R$4)))</f>
        <v/>
      </c>
      <c r="O730">
        <f>IF($A730="","",IF(OR($B730="7062",$B730="706",$B730="708"),$N730,IF($B730="6231",1+$G730,IF($B730="6236",1+$H730,IF(OR($B730="621",$B730="604",$B730="6063"),$N730*(1-$L730),IF(OR($B730="6411",$B730="6413",$B730="6414",$B730="645"),(1+$J730)*(1+$K730),IF(OR($B730="613",$B730="615",$B730="616",$B730="6226",$B730="625",$B730="626",$B730="6281"),(1+$I730)*(1-$L730)*(1+$M730),IF(OR($B730="6331",$B730="63511",$B730="6333"),(1+$I730)*(1-$L730),IF($B730="6811",1+$I730,1)))))))))</f>
        <v/>
      </c>
      <c r="P730">
        <f>IF($A730="","",IF($E730=1,$F730*$O730,PNL!G730))</f>
        <v/>
      </c>
      <c r="T730">
        <f>IF($A730="","",IF($E730=1,IF(OR($B730="7062",$B730="706",$B730="708"),$P730,IF(AND(LEFT($B730,1)="6",$B730&lt;&gt;"6811"),-$P730,0)),0))</f>
        <v/>
      </c>
    </row>
    <row r="731">
      <c r="A731">
        <f>IF(PNL!A731="","",PNL!A731)</f>
        <v/>
      </c>
      <c r="B731">
        <f>IF(PNL!B731="","",PNL!B731)</f>
        <v/>
      </c>
      <c r="C731">
        <f>IF(PNL!C731="","",PNL!C731)</f>
        <v/>
      </c>
      <c r="D731">
        <f>IF(PNL!D731="","",PNL!D731)</f>
        <v/>
      </c>
      <c r="E731">
        <f>IF($A731="","",IF(AND($C731="2027",OR($D731="V01",$D731="V02",$D731="V03")),1,0))</f>
        <v/>
      </c>
      <c r="F731">
        <f>IF($A731="","",IF($E731=1,SUMIFS(Comptabilité!$F$1:$F$675,Comptabilité!$A$1:$A$675,$A731,Comptabilité!$B$1:$B$675,$B731,Comptabilité!$C$1:$C$675,"2026"),0))</f>
        <v/>
      </c>
      <c r="G731">
        <f>IF($A731="","",IF($D731="V01",Cadrage!$C$22,IF($D731="V02",Cadrage!$D$22,Cadrage!$E$22)))</f>
        <v/>
      </c>
      <c r="H731">
        <f>IF($A731="","",IF($D731="V01",Cadrage!$C$23,IF($D731="V02",Cadrage!$D$23,Cadrage!$E$23)))</f>
        <v/>
      </c>
      <c r="I731">
        <f>IF($A731="","",IF($D731="V01",Cadrage!$C$31,IF($D731="V02",Cadrage!$D$31,Cadrage!$E$31)))</f>
        <v/>
      </c>
      <c r="J731">
        <f>IF($A731="","",IF($D731="V01",Cadrage!$C$32,IF($D731="V02",Cadrage!$D$32,Cadrage!$E$32)))</f>
        <v/>
      </c>
      <c r="K731">
        <f>IF($A731="","",IF($D731="V01",Cadrage!$C$33,IF($D731="V02",Cadrage!$D$33,Cadrage!$E$33)))</f>
        <v/>
      </c>
      <c r="L731">
        <f>IF($A731="","",IF($D731="V01",Cadrage!$C$34,IF($D731="V02",Cadrage!$D$34,Cadrage!$E$34)))</f>
        <v/>
      </c>
      <c r="M731">
        <f>IF($A731="","",IF($D731="V01",Cadrage!$C$35,IF($D731="V02",Cadrage!$D$35,Cadrage!$E$35)))</f>
        <v/>
      </c>
      <c r="N731">
        <f>IF($A731="","",IF($D731="V01",$R$2,IF($D731="V02",$R$3,$R$4)))</f>
        <v/>
      </c>
      <c r="O731">
        <f>IF($A731="","",IF(OR($B731="7062",$B731="706",$B731="708"),$N731,IF($B731="6231",1+$G731,IF($B731="6236",1+$H731,IF(OR($B731="621",$B731="604",$B731="6063"),$N731*(1-$L731),IF(OR($B731="6411",$B731="6413",$B731="6414",$B731="645"),(1+$J731)*(1+$K731),IF(OR($B731="613",$B731="615",$B731="616",$B731="6226",$B731="625",$B731="626",$B731="6281"),(1+$I731)*(1-$L731)*(1+$M731),IF(OR($B731="6331",$B731="63511",$B731="6333"),(1+$I731)*(1-$L731),IF($B731="6811",1+$I731,1)))))))))</f>
        <v/>
      </c>
      <c r="P731">
        <f>IF($A731="","",IF($E731=1,$F731*$O731,PNL!G731))</f>
        <v/>
      </c>
      <c r="T731">
        <f>IF($A731="","",IF($E731=1,IF(OR($B731="7062",$B731="706",$B731="708"),$P731,IF(AND(LEFT($B731,1)="6",$B731&lt;&gt;"6811"),-$P731,0)),0))</f>
        <v/>
      </c>
    </row>
    <row r="732">
      <c r="A732">
        <f>IF(PNL!A732="","",PNL!A732)</f>
        <v/>
      </c>
      <c r="B732">
        <f>IF(PNL!B732="","",PNL!B732)</f>
        <v/>
      </c>
      <c r="C732">
        <f>IF(PNL!C732="","",PNL!C732)</f>
        <v/>
      </c>
      <c r="D732">
        <f>IF(PNL!D732="","",PNL!D732)</f>
        <v/>
      </c>
      <c r="E732">
        <f>IF($A732="","",IF(AND($C732="2027",OR($D732="V01",$D732="V02",$D732="V03")),1,0))</f>
        <v/>
      </c>
      <c r="F732">
        <f>IF($A732="","",IF($E732=1,SUMIFS(Comptabilité!$F$1:$F$675,Comptabilité!$A$1:$A$675,$A732,Comptabilité!$B$1:$B$675,$B732,Comptabilité!$C$1:$C$675,"2026"),0))</f>
        <v/>
      </c>
      <c r="G732">
        <f>IF($A732="","",IF($D732="V01",Cadrage!$C$22,IF($D732="V02",Cadrage!$D$22,Cadrage!$E$22)))</f>
        <v/>
      </c>
      <c r="H732">
        <f>IF($A732="","",IF($D732="V01",Cadrage!$C$23,IF($D732="V02",Cadrage!$D$23,Cadrage!$E$23)))</f>
        <v/>
      </c>
      <c r="I732">
        <f>IF($A732="","",IF($D732="V01",Cadrage!$C$31,IF($D732="V02",Cadrage!$D$31,Cadrage!$E$31)))</f>
        <v/>
      </c>
      <c r="J732">
        <f>IF($A732="","",IF($D732="V01",Cadrage!$C$32,IF($D732="V02",Cadrage!$D$32,Cadrage!$E$32)))</f>
        <v/>
      </c>
      <c r="K732">
        <f>IF($A732="","",IF($D732="V01",Cadrage!$C$33,IF($D732="V02",Cadrage!$D$33,Cadrage!$E$33)))</f>
        <v/>
      </c>
      <c r="L732">
        <f>IF($A732="","",IF($D732="V01",Cadrage!$C$34,IF($D732="V02",Cadrage!$D$34,Cadrage!$E$34)))</f>
        <v/>
      </c>
      <c r="M732">
        <f>IF($A732="","",IF($D732="V01",Cadrage!$C$35,IF($D732="V02",Cadrage!$D$35,Cadrage!$E$35)))</f>
        <v/>
      </c>
      <c r="N732">
        <f>IF($A732="","",IF($D732="V01",$R$2,IF($D732="V02",$R$3,$R$4)))</f>
        <v/>
      </c>
      <c r="O732">
        <f>IF($A732="","",IF(OR($B732="7062",$B732="706",$B732="708"),$N732,IF($B732="6231",1+$G732,IF($B732="6236",1+$H732,IF(OR($B732="621",$B732="604",$B732="6063"),$N732*(1-$L732),IF(OR($B732="6411",$B732="6413",$B732="6414",$B732="645"),(1+$J732)*(1+$K732),IF(OR($B732="613",$B732="615",$B732="616",$B732="6226",$B732="625",$B732="626",$B732="6281"),(1+$I732)*(1-$L732)*(1+$M732),IF(OR($B732="6331",$B732="63511",$B732="6333"),(1+$I732)*(1-$L732),IF($B732="6811",1+$I732,1)))))))))</f>
        <v/>
      </c>
      <c r="P732">
        <f>IF($A732="","",IF($E732=1,$F732*$O732,PNL!G732))</f>
        <v/>
      </c>
      <c r="T732">
        <f>IF($A732="","",IF($E732=1,IF(OR($B732="7062",$B732="706",$B732="708"),$P732,IF(AND(LEFT($B732,1)="6",$B732&lt;&gt;"6811"),-$P732,0)),0))</f>
        <v/>
      </c>
    </row>
    <row r="733">
      <c r="A733">
        <f>IF(PNL!A733="","",PNL!A733)</f>
        <v/>
      </c>
      <c r="B733">
        <f>IF(PNL!B733="","",PNL!B733)</f>
        <v/>
      </c>
      <c r="C733">
        <f>IF(PNL!C733="","",PNL!C733)</f>
        <v/>
      </c>
      <c r="D733">
        <f>IF(PNL!D733="","",PNL!D733)</f>
        <v/>
      </c>
      <c r="E733">
        <f>IF($A733="","",IF(AND($C733="2027",OR($D733="V01",$D733="V02",$D733="V03")),1,0))</f>
        <v/>
      </c>
      <c r="F733">
        <f>IF($A733="","",IF($E733=1,SUMIFS(Comptabilité!$F$1:$F$675,Comptabilité!$A$1:$A$675,$A733,Comptabilité!$B$1:$B$675,$B733,Comptabilité!$C$1:$C$675,"2026"),0))</f>
        <v/>
      </c>
      <c r="G733">
        <f>IF($A733="","",IF($D733="V01",Cadrage!$C$22,IF($D733="V02",Cadrage!$D$22,Cadrage!$E$22)))</f>
        <v/>
      </c>
      <c r="H733">
        <f>IF($A733="","",IF($D733="V01",Cadrage!$C$23,IF($D733="V02",Cadrage!$D$23,Cadrage!$E$23)))</f>
        <v/>
      </c>
      <c r="I733">
        <f>IF($A733="","",IF($D733="V01",Cadrage!$C$31,IF($D733="V02",Cadrage!$D$31,Cadrage!$E$31)))</f>
        <v/>
      </c>
      <c r="J733">
        <f>IF($A733="","",IF($D733="V01",Cadrage!$C$32,IF($D733="V02",Cadrage!$D$32,Cadrage!$E$32)))</f>
        <v/>
      </c>
      <c r="K733">
        <f>IF($A733="","",IF($D733="V01",Cadrage!$C$33,IF($D733="V02",Cadrage!$D$33,Cadrage!$E$33)))</f>
        <v/>
      </c>
      <c r="L733">
        <f>IF($A733="","",IF($D733="V01",Cadrage!$C$34,IF($D733="V02",Cadrage!$D$34,Cadrage!$E$34)))</f>
        <v/>
      </c>
      <c r="M733">
        <f>IF($A733="","",IF($D733="V01",Cadrage!$C$35,IF($D733="V02",Cadrage!$D$35,Cadrage!$E$35)))</f>
        <v/>
      </c>
      <c r="N733">
        <f>IF($A733="","",IF($D733="V01",$R$2,IF($D733="V02",$R$3,$R$4)))</f>
        <v/>
      </c>
      <c r="O733">
        <f>IF($A733="","",IF(OR($B733="7062",$B733="706",$B733="708"),$N733,IF($B733="6231",1+$G733,IF($B733="6236",1+$H733,IF(OR($B733="621",$B733="604",$B733="6063"),$N733*(1-$L733),IF(OR($B733="6411",$B733="6413",$B733="6414",$B733="645"),(1+$J733)*(1+$K733),IF(OR($B733="613",$B733="615",$B733="616",$B733="6226",$B733="625",$B733="626",$B733="6281"),(1+$I733)*(1-$L733)*(1+$M733),IF(OR($B733="6331",$B733="63511",$B733="6333"),(1+$I733)*(1-$L733),IF($B733="6811",1+$I733,1)))))))))</f>
        <v/>
      </c>
      <c r="P733">
        <f>IF($A733="","",IF($E733=1,$F733*$O733,PNL!G733))</f>
        <v/>
      </c>
      <c r="T733">
        <f>IF($A733="","",IF($E733=1,IF(OR($B733="7062",$B733="706",$B733="708"),$P733,IF(AND(LEFT($B733,1)="6",$B733&lt;&gt;"6811"),-$P733,0)),0))</f>
        <v/>
      </c>
    </row>
    <row r="734">
      <c r="A734">
        <f>IF(PNL!A734="","",PNL!A734)</f>
        <v/>
      </c>
      <c r="B734">
        <f>IF(PNL!B734="","",PNL!B734)</f>
        <v/>
      </c>
      <c r="C734">
        <f>IF(PNL!C734="","",PNL!C734)</f>
        <v/>
      </c>
      <c r="D734">
        <f>IF(PNL!D734="","",PNL!D734)</f>
        <v/>
      </c>
      <c r="E734">
        <f>IF($A734="","",IF(AND($C734="2027",OR($D734="V01",$D734="V02",$D734="V03")),1,0))</f>
        <v/>
      </c>
      <c r="F734">
        <f>IF($A734="","",IF($E734=1,SUMIFS(Comptabilité!$F$1:$F$675,Comptabilité!$A$1:$A$675,$A734,Comptabilité!$B$1:$B$675,$B734,Comptabilité!$C$1:$C$675,"2026"),0))</f>
        <v/>
      </c>
      <c r="G734">
        <f>IF($A734="","",IF($D734="V01",Cadrage!$C$22,IF($D734="V02",Cadrage!$D$22,Cadrage!$E$22)))</f>
        <v/>
      </c>
      <c r="H734">
        <f>IF($A734="","",IF($D734="V01",Cadrage!$C$23,IF($D734="V02",Cadrage!$D$23,Cadrage!$E$23)))</f>
        <v/>
      </c>
      <c r="I734">
        <f>IF($A734="","",IF($D734="V01",Cadrage!$C$31,IF($D734="V02",Cadrage!$D$31,Cadrage!$E$31)))</f>
        <v/>
      </c>
      <c r="J734">
        <f>IF($A734="","",IF($D734="V01",Cadrage!$C$32,IF($D734="V02",Cadrage!$D$32,Cadrage!$E$32)))</f>
        <v/>
      </c>
      <c r="K734">
        <f>IF($A734="","",IF($D734="V01",Cadrage!$C$33,IF($D734="V02",Cadrage!$D$33,Cadrage!$E$33)))</f>
        <v/>
      </c>
      <c r="L734">
        <f>IF($A734="","",IF($D734="V01",Cadrage!$C$34,IF($D734="V02",Cadrage!$D$34,Cadrage!$E$34)))</f>
        <v/>
      </c>
      <c r="M734">
        <f>IF($A734="","",IF($D734="V01",Cadrage!$C$35,IF($D734="V02",Cadrage!$D$35,Cadrage!$E$35)))</f>
        <v/>
      </c>
      <c r="N734">
        <f>IF($A734="","",IF($D734="V01",$R$2,IF($D734="V02",$R$3,$R$4)))</f>
        <v/>
      </c>
      <c r="O734">
        <f>IF($A734="","",IF(OR($B734="7062",$B734="706",$B734="708"),$N734,IF($B734="6231",1+$G734,IF($B734="6236",1+$H734,IF(OR($B734="621",$B734="604",$B734="6063"),$N734*(1-$L734),IF(OR($B734="6411",$B734="6413",$B734="6414",$B734="645"),(1+$J734)*(1+$K734),IF(OR($B734="613",$B734="615",$B734="616",$B734="6226",$B734="625",$B734="626",$B734="6281"),(1+$I734)*(1-$L734)*(1+$M734),IF(OR($B734="6331",$B734="63511",$B734="6333"),(1+$I734)*(1-$L734),IF($B734="6811",1+$I734,1)))))))))</f>
        <v/>
      </c>
      <c r="P734">
        <f>IF($A734="","",IF($E734=1,$F734*$O734,PNL!G734))</f>
        <v/>
      </c>
      <c r="T734">
        <f>IF($A734="","",IF($E734=1,IF(OR($B734="7062",$B734="706",$B734="708"),$P734,IF(AND(LEFT($B734,1)="6",$B734&lt;&gt;"6811"),-$P734,0)),0))</f>
        <v/>
      </c>
    </row>
    <row r="735">
      <c r="A735">
        <f>IF(PNL!A735="","",PNL!A735)</f>
        <v/>
      </c>
      <c r="B735">
        <f>IF(PNL!B735="","",PNL!B735)</f>
        <v/>
      </c>
      <c r="C735">
        <f>IF(PNL!C735="","",PNL!C735)</f>
        <v/>
      </c>
      <c r="D735">
        <f>IF(PNL!D735="","",PNL!D735)</f>
        <v/>
      </c>
      <c r="E735">
        <f>IF($A735="","",IF(AND($C735="2027",OR($D735="V01",$D735="V02",$D735="V03")),1,0))</f>
        <v/>
      </c>
      <c r="F735">
        <f>IF($A735="","",IF($E735=1,SUMIFS(Comptabilité!$F$1:$F$675,Comptabilité!$A$1:$A$675,$A735,Comptabilité!$B$1:$B$675,$B735,Comptabilité!$C$1:$C$675,"2026"),0))</f>
        <v/>
      </c>
      <c r="G735">
        <f>IF($A735="","",IF($D735="V01",Cadrage!$C$22,IF($D735="V02",Cadrage!$D$22,Cadrage!$E$22)))</f>
        <v/>
      </c>
      <c r="H735">
        <f>IF($A735="","",IF($D735="V01",Cadrage!$C$23,IF($D735="V02",Cadrage!$D$23,Cadrage!$E$23)))</f>
        <v/>
      </c>
      <c r="I735">
        <f>IF($A735="","",IF($D735="V01",Cadrage!$C$31,IF($D735="V02",Cadrage!$D$31,Cadrage!$E$31)))</f>
        <v/>
      </c>
      <c r="J735">
        <f>IF($A735="","",IF($D735="V01",Cadrage!$C$32,IF($D735="V02",Cadrage!$D$32,Cadrage!$E$32)))</f>
        <v/>
      </c>
      <c r="K735">
        <f>IF($A735="","",IF($D735="V01",Cadrage!$C$33,IF($D735="V02",Cadrage!$D$33,Cadrage!$E$33)))</f>
        <v/>
      </c>
      <c r="L735">
        <f>IF($A735="","",IF($D735="V01",Cadrage!$C$34,IF($D735="V02",Cadrage!$D$34,Cadrage!$E$34)))</f>
        <v/>
      </c>
      <c r="M735">
        <f>IF($A735="","",IF($D735="V01",Cadrage!$C$35,IF($D735="V02",Cadrage!$D$35,Cadrage!$E$35)))</f>
        <v/>
      </c>
      <c r="N735">
        <f>IF($A735="","",IF($D735="V01",$R$2,IF($D735="V02",$R$3,$R$4)))</f>
        <v/>
      </c>
      <c r="O735">
        <f>IF($A735="","",IF(OR($B735="7062",$B735="706",$B735="708"),$N735,IF($B735="6231",1+$G735,IF($B735="6236",1+$H735,IF(OR($B735="621",$B735="604",$B735="6063"),$N735*(1-$L735),IF(OR($B735="6411",$B735="6413",$B735="6414",$B735="645"),(1+$J735)*(1+$K735),IF(OR($B735="613",$B735="615",$B735="616",$B735="6226",$B735="625",$B735="626",$B735="6281"),(1+$I735)*(1-$L735)*(1+$M735),IF(OR($B735="6331",$B735="63511",$B735="6333"),(1+$I735)*(1-$L735),IF($B735="6811",1+$I735,1)))))))))</f>
        <v/>
      </c>
      <c r="P735">
        <f>IF($A735="","",IF($E735=1,$F735*$O735,PNL!G735))</f>
        <v/>
      </c>
      <c r="T735">
        <f>IF($A735="","",IF($E735=1,IF(OR($B735="7062",$B735="706",$B735="708"),$P735,IF(AND(LEFT($B735,1)="6",$B735&lt;&gt;"6811"),-$P735,0)),0))</f>
        <v/>
      </c>
    </row>
    <row r="736">
      <c r="A736">
        <f>IF(PNL!A736="","",PNL!A736)</f>
        <v/>
      </c>
      <c r="B736">
        <f>IF(PNL!B736="","",PNL!B736)</f>
        <v/>
      </c>
      <c r="C736">
        <f>IF(PNL!C736="","",PNL!C736)</f>
        <v/>
      </c>
      <c r="D736">
        <f>IF(PNL!D736="","",PNL!D736)</f>
        <v/>
      </c>
      <c r="E736">
        <f>IF($A736="","",IF(AND($C736="2027",OR($D736="V01",$D736="V02",$D736="V03")),1,0))</f>
        <v/>
      </c>
      <c r="F736">
        <f>IF($A736="","",IF($E736=1,SUMIFS(Comptabilité!$F$1:$F$675,Comptabilité!$A$1:$A$675,$A736,Comptabilité!$B$1:$B$675,$B736,Comptabilité!$C$1:$C$675,"2026"),0))</f>
        <v/>
      </c>
      <c r="G736">
        <f>IF($A736="","",IF($D736="V01",Cadrage!$C$22,IF($D736="V02",Cadrage!$D$22,Cadrage!$E$22)))</f>
        <v/>
      </c>
      <c r="H736">
        <f>IF($A736="","",IF($D736="V01",Cadrage!$C$23,IF($D736="V02",Cadrage!$D$23,Cadrage!$E$23)))</f>
        <v/>
      </c>
      <c r="I736">
        <f>IF($A736="","",IF($D736="V01",Cadrage!$C$31,IF($D736="V02",Cadrage!$D$31,Cadrage!$E$31)))</f>
        <v/>
      </c>
      <c r="J736">
        <f>IF($A736="","",IF($D736="V01",Cadrage!$C$32,IF($D736="V02",Cadrage!$D$32,Cadrage!$E$32)))</f>
        <v/>
      </c>
      <c r="K736">
        <f>IF($A736="","",IF($D736="V01",Cadrage!$C$33,IF($D736="V02",Cadrage!$D$33,Cadrage!$E$33)))</f>
        <v/>
      </c>
      <c r="L736">
        <f>IF($A736="","",IF($D736="V01",Cadrage!$C$34,IF($D736="V02",Cadrage!$D$34,Cadrage!$E$34)))</f>
        <v/>
      </c>
      <c r="M736">
        <f>IF($A736="","",IF($D736="V01",Cadrage!$C$35,IF($D736="V02",Cadrage!$D$35,Cadrage!$E$35)))</f>
        <v/>
      </c>
      <c r="N736">
        <f>IF($A736="","",IF($D736="V01",$R$2,IF($D736="V02",$R$3,$R$4)))</f>
        <v/>
      </c>
      <c r="O736">
        <f>IF($A736="","",IF(OR($B736="7062",$B736="706",$B736="708"),$N736,IF($B736="6231",1+$G736,IF($B736="6236",1+$H736,IF(OR($B736="621",$B736="604",$B736="6063"),$N736*(1-$L736),IF(OR($B736="6411",$B736="6413",$B736="6414",$B736="645"),(1+$J736)*(1+$K736),IF(OR($B736="613",$B736="615",$B736="616",$B736="6226",$B736="625",$B736="626",$B736="6281"),(1+$I736)*(1-$L736)*(1+$M736),IF(OR($B736="6331",$B736="63511",$B736="6333"),(1+$I736)*(1-$L736),IF($B736="6811",1+$I736,1)))))))))</f>
        <v/>
      </c>
      <c r="P736">
        <f>IF($A736="","",IF($E736=1,$F736*$O736,PNL!G736))</f>
        <v/>
      </c>
      <c r="T736">
        <f>IF($A736="","",IF($E736=1,IF(OR($B736="7062",$B736="706",$B736="708"),$P736,IF(AND(LEFT($B736,1)="6",$B736&lt;&gt;"6811"),-$P736,0)),0))</f>
        <v/>
      </c>
    </row>
    <row r="737">
      <c r="A737">
        <f>IF(PNL!A737="","",PNL!A737)</f>
        <v/>
      </c>
      <c r="B737">
        <f>IF(PNL!B737="","",PNL!B737)</f>
        <v/>
      </c>
      <c r="C737">
        <f>IF(PNL!C737="","",PNL!C737)</f>
        <v/>
      </c>
      <c r="D737">
        <f>IF(PNL!D737="","",PNL!D737)</f>
        <v/>
      </c>
      <c r="E737">
        <f>IF($A737="","",IF(AND($C737="2027",OR($D737="V01",$D737="V02",$D737="V03")),1,0))</f>
        <v/>
      </c>
      <c r="F737">
        <f>IF($A737="","",IF($E737=1,SUMIFS(Comptabilité!$F$1:$F$675,Comptabilité!$A$1:$A$675,$A737,Comptabilité!$B$1:$B$675,$B737,Comptabilité!$C$1:$C$675,"2026"),0))</f>
        <v/>
      </c>
      <c r="G737">
        <f>IF($A737="","",IF($D737="V01",Cadrage!$C$22,IF($D737="V02",Cadrage!$D$22,Cadrage!$E$22)))</f>
        <v/>
      </c>
      <c r="H737">
        <f>IF($A737="","",IF($D737="V01",Cadrage!$C$23,IF($D737="V02",Cadrage!$D$23,Cadrage!$E$23)))</f>
        <v/>
      </c>
      <c r="I737">
        <f>IF($A737="","",IF($D737="V01",Cadrage!$C$31,IF($D737="V02",Cadrage!$D$31,Cadrage!$E$31)))</f>
        <v/>
      </c>
      <c r="J737">
        <f>IF($A737="","",IF($D737="V01",Cadrage!$C$32,IF($D737="V02",Cadrage!$D$32,Cadrage!$E$32)))</f>
        <v/>
      </c>
      <c r="K737">
        <f>IF($A737="","",IF($D737="V01",Cadrage!$C$33,IF($D737="V02",Cadrage!$D$33,Cadrage!$E$33)))</f>
        <v/>
      </c>
      <c r="L737">
        <f>IF($A737="","",IF($D737="V01",Cadrage!$C$34,IF($D737="V02",Cadrage!$D$34,Cadrage!$E$34)))</f>
        <v/>
      </c>
      <c r="M737">
        <f>IF($A737="","",IF($D737="V01",Cadrage!$C$35,IF($D737="V02",Cadrage!$D$35,Cadrage!$E$35)))</f>
        <v/>
      </c>
      <c r="N737">
        <f>IF($A737="","",IF($D737="V01",$R$2,IF($D737="V02",$R$3,$R$4)))</f>
        <v/>
      </c>
      <c r="O737">
        <f>IF($A737="","",IF(OR($B737="7062",$B737="706",$B737="708"),$N737,IF($B737="6231",1+$G737,IF($B737="6236",1+$H737,IF(OR($B737="621",$B737="604",$B737="6063"),$N737*(1-$L737),IF(OR($B737="6411",$B737="6413",$B737="6414",$B737="645"),(1+$J737)*(1+$K737),IF(OR($B737="613",$B737="615",$B737="616",$B737="6226",$B737="625",$B737="626",$B737="6281"),(1+$I737)*(1-$L737)*(1+$M737),IF(OR($B737="6331",$B737="63511",$B737="6333"),(1+$I737)*(1-$L737),IF($B737="6811",1+$I737,1)))))))))</f>
        <v/>
      </c>
      <c r="P737">
        <f>IF($A737="","",IF($E737=1,$F737*$O737,PNL!G737))</f>
        <v/>
      </c>
      <c r="T737">
        <f>IF($A737="","",IF($E737=1,IF(OR($B737="7062",$B737="706",$B737="708"),$P737,IF(AND(LEFT($B737,1)="6",$B737&lt;&gt;"6811"),-$P737,0)),0))</f>
        <v/>
      </c>
    </row>
    <row r="738">
      <c r="A738">
        <f>IF(PNL!A738="","",PNL!A738)</f>
        <v/>
      </c>
      <c r="B738">
        <f>IF(PNL!B738="","",PNL!B738)</f>
        <v/>
      </c>
      <c r="C738">
        <f>IF(PNL!C738="","",PNL!C738)</f>
        <v/>
      </c>
      <c r="D738">
        <f>IF(PNL!D738="","",PNL!D738)</f>
        <v/>
      </c>
      <c r="E738">
        <f>IF($A738="","",IF(AND($C738="2027",OR($D738="V01",$D738="V02",$D738="V03")),1,0))</f>
        <v/>
      </c>
      <c r="F738">
        <f>IF($A738="","",IF($E738=1,SUMIFS(Comptabilité!$F$1:$F$675,Comptabilité!$A$1:$A$675,$A738,Comptabilité!$B$1:$B$675,$B738,Comptabilité!$C$1:$C$675,"2026"),0))</f>
        <v/>
      </c>
      <c r="G738">
        <f>IF($A738="","",IF($D738="V01",Cadrage!$C$22,IF($D738="V02",Cadrage!$D$22,Cadrage!$E$22)))</f>
        <v/>
      </c>
      <c r="H738">
        <f>IF($A738="","",IF($D738="V01",Cadrage!$C$23,IF($D738="V02",Cadrage!$D$23,Cadrage!$E$23)))</f>
        <v/>
      </c>
      <c r="I738">
        <f>IF($A738="","",IF($D738="V01",Cadrage!$C$31,IF($D738="V02",Cadrage!$D$31,Cadrage!$E$31)))</f>
        <v/>
      </c>
      <c r="J738">
        <f>IF($A738="","",IF($D738="V01",Cadrage!$C$32,IF($D738="V02",Cadrage!$D$32,Cadrage!$E$32)))</f>
        <v/>
      </c>
      <c r="K738">
        <f>IF($A738="","",IF($D738="V01",Cadrage!$C$33,IF($D738="V02",Cadrage!$D$33,Cadrage!$E$33)))</f>
        <v/>
      </c>
      <c r="L738">
        <f>IF($A738="","",IF($D738="V01",Cadrage!$C$34,IF($D738="V02",Cadrage!$D$34,Cadrage!$E$34)))</f>
        <v/>
      </c>
      <c r="M738">
        <f>IF($A738="","",IF($D738="V01",Cadrage!$C$35,IF($D738="V02",Cadrage!$D$35,Cadrage!$E$35)))</f>
        <v/>
      </c>
      <c r="N738">
        <f>IF($A738="","",IF($D738="V01",$R$2,IF($D738="V02",$R$3,$R$4)))</f>
        <v/>
      </c>
      <c r="O738">
        <f>IF($A738="","",IF(OR($B738="7062",$B738="706",$B738="708"),$N738,IF($B738="6231",1+$G738,IF($B738="6236",1+$H738,IF(OR($B738="621",$B738="604",$B738="6063"),$N738*(1-$L738),IF(OR($B738="6411",$B738="6413",$B738="6414",$B738="645"),(1+$J738)*(1+$K738),IF(OR($B738="613",$B738="615",$B738="616",$B738="6226",$B738="625",$B738="626",$B738="6281"),(1+$I738)*(1-$L738)*(1+$M738),IF(OR($B738="6331",$B738="63511",$B738="6333"),(1+$I738)*(1-$L738),IF($B738="6811",1+$I738,1)))))))))</f>
        <v/>
      </c>
      <c r="P738">
        <f>IF($A738="","",IF($E738=1,$F738*$O738,PNL!G738))</f>
        <v/>
      </c>
      <c r="T738">
        <f>IF($A738="","",IF($E738=1,IF(OR($B738="7062",$B738="706",$B738="708"),$P738,IF(AND(LEFT($B738,1)="6",$B738&lt;&gt;"6811"),-$P738,0)),0))</f>
        <v/>
      </c>
    </row>
    <row r="739">
      <c r="A739">
        <f>IF(PNL!A739="","",PNL!A739)</f>
        <v/>
      </c>
      <c r="B739">
        <f>IF(PNL!B739="","",PNL!B739)</f>
        <v/>
      </c>
      <c r="C739">
        <f>IF(PNL!C739="","",PNL!C739)</f>
        <v/>
      </c>
      <c r="D739">
        <f>IF(PNL!D739="","",PNL!D739)</f>
        <v/>
      </c>
      <c r="E739">
        <f>IF($A739="","",IF(AND($C739="2027",OR($D739="V01",$D739="V02",$D739="V03")),1,0))</f>
        <v/>
      </c>
      <c r="F739">
        <f>IF($A739="","",IF($E739=1,SUMIFS(Comptabilité!$F$1:$F$675,Comptabilité!$A$1:$A$675,$A739,Comptabilité!$B$1:$B$675,$B739,Comptabilité!$C$1:$C$675,"2026"),0))</f>
        <v/>
      </c>
      <c r="G739">
        <f>IF($A739="","",IF($D739="V01",Cadrage!$C$22,IF($D739="V02",Cadrage!$D$22,Cadrage!$E$22)))</f>
        <v/>
      </c>
      <c r="H739">
        <f>IF($A739="","",IF($D739="V01",Cadrage!$C$23,IF($D739="V02",Cadrage!$D$23,Cadrage!$E$23)))</f>
        <v/>
      </c>
      <c r="I739">
        <f>IF($A739="","",IF($D739="V01",Cadrage!$C$31,IF($D739="V02",Cadrage!$D$31,Cadrage!$E$31)))</f>
        <v/>
      </c>
      <c r="J739">
        <f>IF($A739="","",IF($D739="V01",Cadrage!$C$32,IF($D739="V02",Cadrage!$D$32,Cadrage!$E$32)))</f>
        <v/>
      </c>
      <c r="K739">
        <f>IF($A739="","",IF($D739="V01",Cadrage!$C$33,IF($D739="V02",Cadrage!$D$33,Cadrage!$E$33)))</f>
        <v/>
      </c>
      <c r="L739">
        <f>IF($A739="","",IF($D739="V01",Cadrage!$C$34,IF($D739="V02",Cadrage!$D$34,Cadrage!$E$34)))</f>
        <v/>
      </c>
      <c r="M739">
        <f>IF($A739="","",IF($D739="V01",Cadrage!$C$35,IF($D739="V02",Cadrage!$D$35,Cadrage!$E$35)))</f>
        <v/>
      </c>
      <c r="N739">
        <f>IF($A739="","",IF($D739="V01",$R$2,IF($D739="V02",$R$3,$R$4)))</f>
        <v/>
      </c>
      <c r="O739">
        <f>IF($A739="","",IF(OR($B739="7062",$B739="706",$B739="708"),$N739,IF($B739="6231",1+$G739,IF($B739="6236",1+$H739,IF(OR($B739="621",$B739="604",$B739="6063"),$N739*(1-$L739),IF(OR($B739="6411",$B739="6413",$B739="6414",$B739="645"),(1+$J739)*(1+$K739),IF(OR($B739="613",$B739="615",$B739="616",$B739="6226",$B739="625",$B739="626",$B739="6281"),(1+$I739)*(1-$L739)*(1+$M739),IF(OR($B739="6331",$B739="63511",$B739="6333"),(1+$I739)*(1-$L739),IF($B739="6811",1+$I739,1)))))))))</f>
        <v/>
      </c>
      <c r="P739">
        <f>IF($A739="","",IF($E739=1,$F739*$O739,PNL!G739))</f>
        <v/>
      </c>
      <c r="T739">
        <f>IF($A739="","",IF($E739=1,IF(OR($B739="7062",$B739="706",$B739="708"),$P739,IF(AND(LEFT($B739,1)="6",$B739&lt;&gt;"6811"),-$P739,0)),0))</f>
        <v/>
      </c>
    </row>
    <row r="740">
      <c r="A740">
        <f>IF(PNL!A740="","",PNL!A740)</f>
        <v/>
      </c>
      <c r="B740">
        <f>IF(PNL!B740="","",PNL!B740)</f>
        <v/>
      </c>
      <c r="C740">
        <f>IF(PNL!C740="","",PNL!C740)</f>
        <v/>
      </c>
      <c r="D740">
        <f>IF(PNL!D740="","",PNL!D740)</f>
        <v/>
      </c>
      <c r="E740">
        <f>IF($A740="","",IF(AND($C740="2027",OR($D740="V01",$D740="V02",$D740="V03")),1,0))</f>
        <v/>
      </c>
      <c r="F740">
        <f>IF($A740="","",IF($E740=1,SUMIFS(Comptabilité!$F$1:$F$675,Comptabilité!$A$1:$A$675,$A740,Comptabilité!$B$1:$B$675,$B740,Comptabilité!$C$1:$C$675,"2026"),0))</f>
        <v/>
      </c>
      <c r="G740">
        <f>IF($A740="","",IF($D740="V01",Cadrage!$C$22,IF($D740="V02",Cadrage!$D$22,Cadrage!$E$22)))</f>
        <v/>
      </c>
      <c r="H740">
        <f>IF($A740="","",IF($D740="V01",Cadrage!$C$23,IF($D740="V02",Cadrage!$D$23,Cadrage!$E$23)))</f>
        <v/>
      </c>
      <c r="I740">
        <f>IF($A740="","",IF($D740="V01",Cadrage!$C$31,IF($D740="V02",Cadrage!$D$31,Cadrage!$E$31)))</f>
        <v/>
      </c>
      <c r="J740">
        <f>IF($A740="","",IF($D740="V01",Cadrage!$C$32,IF($D740="V02",Cadrage!$D$32,Cadrage!$E$32)))</f>
        <v/>
      </c>
      <c r="K740">
        <f>IF($A740="","",IF($D740="V01",Cadrage!$C$33,IF($D740="V02",Cadrage!$D$33,Cadrage!$E$33)))</f>
        <v/>
      </c>
      <c r="L740">
        <f>IF($A740="","",IF($D740="V01",Cadrage!$C$34,IF($D740="V02",Cadrage!$D$34,Cadrage!$E$34)))</f>
        <v/>
      </c>
      <c r="M740">
        <f>IF($A740="","",IF($D740="V01",Cadrage!$C$35,IF($D740="V02",Cadrage!$D$35,Cadrage!$E$35)))</f>
        <v/>
      </c>
      <c r="N740">
        <f>IF($A740="","",IF($D740="V01",$R$2,IF($D740="V02",$R$3,$R$4)))</f>
        <v/>
      </c>
      <c r="O740">
        <f>IF($A740="","",IF(OR($B740="7062",$B740="706",$B740="708"),$N740,IF($B740="6231",1+$G740,IF($B740="6236",1+$H740,IF(OR($B740="621",$B740="604",$B740="6063"),$N740*(1-$L740),IF(OR($B740="6411",$B740="6413",$B740="6414",$B740="645"),(1+$J740)*(1+$K740),IF(OR($B740="613",$B740="615",$B740="616",$B740="6226",$B740="625",$B740="626",$B740="6281"),(1+$I740)*(1-$L740)*(1+$M740),IF(OR($B740="6331",$B740="63511",$B740="6333"),(1+$I740)*(1-$L740),IF($B740="6811",1+$I740,1)))))))))</f>
        <v/>
      </c>
      <c r="P740">
        <f>IF($A740="","",IF($E740=1,$F740*$O740,PNL!G740))</f>
        <v/>
      </c>
      <c r="T740">
        <f>IF($A740="","",IF($E740=1,IF(OR($B740="7062",$B740="706",$B740="708"),$P740,IF(AND(LEFT($B740,1)="6",$B740&lt;&gt;"6811"),-$P740,0)),0))</f>
        <v/>
      </c>
    </row>
    <row r="741">
      <c r="A741">
        <f>IF(PNL!A741="","",PNL!A741)</f>
        <v/>
      </c>
      <c r="B741">
        <f>IF(PNL!B741="","",PNL!B741)</f>
        <v/>
      </c>
      <c r="C741">
        <f>IF(PNL!C741="","",PNL!C741)</f>
        <v/>
      </c>
      <c r="D741">
        <f>IF(PNL!D741="","",PNL!D741)</f>
        <v/>
      </c>
      <c r="E741">
        <f>IF($A741="","",IF(AND($C741="2027",OR($D741="V01",$D741="V02",$D741="V03")),1,0))</f>
        <v/>
      </c>
      <c r="F741">
        <f>IF($A741="","",IF($E741=1,SUMIFS(Comptabilité!$F$1:$F$675,Comptabilité!$A$1:$A$675,$A741,Comptabilité!$B$1:$B$675,$B741,Comptabilité!$C$1:$C$675,"2026"),0))</f>
        <v/>
      </c>
      <c r="G741">
        <f>IF($A741="","",IF($D741="V01",Cadrage!$C$22,IF($D741="V02",Cadrage!$D$22,Cadrage!$E$22)))</f>
        <v/>
      </c>
      <c r="H741">
        <f>IF($A741="","",IF($D741="V01",Cadrage!$C$23,IF($D741="V02",Cadrage!$D$23,Cadrage!$E$23)))</f>
        <v/>
      </c>
      <c r="I741">
        <f>IF($A741="","",IF($D741="V01",Cadrage!$C$31,IF($D741="V02",Cadrage!$D$31,Cadrage!$E$31)))</f>
        <v/>
      </c>
      <c r="J741">
        <f>IF($A741="","",IF($D741="V01",Cadrage!$C$32,IF($D741="V02",Cadrage!$D$32,Cadrage!$E$32)))</f>
        <v/>
      </c>
      <c r="K741">
        <f>IF($A741="","",IF($D741="V01",Cadrage!$C$33,IF($D741="V02",Cadrage!$D$33,Cadrage!$E$33)))</f>
        <v/>
      </c>
      <c r="L741">
        <f>IF($A741="","",IF($D741="V01",Cadrage!$C$34,IF($D741="V02",Cadrage!$D$34,Cadrage!$E$34)))</f>
        <v/>
      </c>
      <c r="M741">
        <f>IF($A741="","",IF($D741="V01",Cadrage!$C$35,IF($D741="V02",Cadrage!$D$35,Cadrage!$E$35)))</f>
        <v/>
      </c>
      <c r="N741">
        <f>IF($A741="","",IF($D741="V01",$R$2,IF($D741="V02",$R$3,$R$4)))</f>
        <v/>
      </c>
      <c r="O741">
        <f>IF($A741="","",IF(OR($B741="7062",$B741="706",$B741="708"),$N741,IF($B741="6231",1+$G741,IF($B741="6236",1+$H741,IF(OR($B741="621",$B741="604",$B741="6063"),$N741*(1-$L741),IF(OR($B741="6411",$B741="6413",$B741="6414",$B741="645"),(1+$J741)*(1+$K741),IF(OR($B741="613",$B741="615",$B741="616",$B741="6226",$B741="625",$B741="626",$B741="6281"),(1+$I741)*(1-$L741)*(1+$M741),IF(OR($B741="6331",$B741="63511",$B741="6333"),(1+$I741)*(1-$L741),IF($B741="6811",1+$I741,1)))))))))</f>
        <v/>
      </c>
      <c r="P741">
        <f>IF($A741="","",IF($E741=1,$F741*$O741,PNL!G741))</f>
        <v/>
      </c>
      <c r="T741">
        <f>IF($A741="","",IF($E741=1,IF(OR($B741="7062",$B741="706",$B741="708"),$P741,IF(AND(LEFT($B741,1)="6",$B741&lt;&gt;"6811"),-$P741,0)),0))</f>
        <v/>
      </c>
    </row>
    <row r="742">
      <c r="A742">
        <f>IF(PNL!A742="","",PNL!A742)</f>
        <v/>
      </c>
      <c r="B742">
        <f>IF(PNL!B742="","",PNL!B742)</f>
        <v/>
      </c>
      <c r="C742">
        <f>IF(PNL!C742="","",PNL!C742)</f>
        <v/>
      </c>
      <c r="D742">
        <f>IF(PNL!D742="","",PNL!D742)</f>
        <v/>
      </c>
      <c r="E742">
        <f>IF($A742="","",IF(AND($C742="2027",OR($D742="V01",$D742="V02",$D742="V03")),1,0))</f>
        <v/>
      </c>
      <c r="F742">
        <f>IF($A742="","",IF($E742=1,SUMIFS(Comptabilité!$F$1:$F$675,Comptabilité!$A$1:$A$675,$A742,Comptabilité!$B$1:$B$675,$B742,Comptabilité!$C$1:$C$675,"2026"),0))</f>
        <v/>
      </c>
      <c r="G742">
        <f>IF($A742="","",IF($D742="V01",Cadrage!$C$22,IF($D742="V02",Cadrage!$D$22,Cadrage!$E$22)))</f>
        <v/>
      </c>
      <c r="H742">
        <f>IF($A742="","",IF($D742="V01",Cadrage!$C$23,IF($D742="V02",Cadrage!$D$23,Cadrage!$E$23)))</f>
        <v/>
      </c>
      <c r="I742">
        <f>IF($A742="","",IF($D742="V01",Cadrage!$C$31,IF($D742="V02",Cadrage!$D$31,Cadrage!$E$31)))</f>
        <v/>
      </c>
      <c r="J742">
        <f>IF($A742="","",IF($D742="V01",Cadrage!$C$32,IF($D742="V02",Cadrage!$D$32,Cadrage!$E$32)))</f>
        <v/>
      </c>
      <c r="K742">
        <f>IF($A742="","",IF($D742="V01",Cadrage!$C$33,IF($D742="V02",Cadrage!$D$33,Cadrage!$E$33)))</f>
        <v/>
      </c>
      <c r="L742">
        <f>IF($A742="","",IF($D742="V01",Cadrage!$C$34,IF($D742="V02",Cadrage!$D$34,Cadrage!$E$34)))</f>
        <v/>
      </c>
      <c r="M742">
        <f>IF($A742="","",IF($D742="V01",Cadrage!$C$35,IF($D742="V02",Cadrage!$D$35,Cadrage!$E$35)))</f>
        <v/>
      </c>
      <c r="N742">
        <f>IF($A742="","",IF($D742="V01",$R$2,IF($D742="V02",$R$3,$R$4)))</f>
        <v/>
      </c>
      <c r="O742">
        <f>IF($A742="","",IF(OR($B742="7062",$B742="706",$B742="708"),$N742,IF($B742="6231",1+$G742,IF($B742="6236",1+$H742,IF(OR($B742="621",$B742="604",$B742="6063"),$N742*(1-$L742),IF(OR($B742="6411",$B742="6413",$B742="6414",$B742="645"),(1+$J742)*(1+$K742),IF(OR($B742="613",$B742="615",$B742="616",$B742="6226",$B742="625",$B742="626",$B742="6281"),(1+$I742)*(1-$L742)*(1+$M742),IF(OR($B742="6331",$B742="63511",$B742="6333"),(1+$I742)*(1-$L742),IF($B742="6811",1+$I742,1)))))))))</f>
        <v/>
      </c>
      <c r="P742">
        <f>IF($A742="","",IF($E742=1,$F742*$O742,PNL!G742))</f>
        <v/>
      </c>
      <c r="T742">
        <f>IF($A742="","",IF($E742=1,IF(OR($B742="7062",$B742="706",$B742="708"),$P742,IF(AND(LEFT($B742,1)="6",$B742&lt;&gt;"6811"),-$P742,0)),0))</f>
        <v/>
      </c>
    </row>
    <row r="743">
      <c r="A743">
        <f>IF(PNL!A743="","",PNL!A743)</f>
        <v/>
      </c>
      <c r="B743">
        <f>IF(PNL!B743="","",PNL!B743)</f>
        <v/>
      </c>
      <c r="C743">
        <f>IF(PNL!C743="","",PNL!C743)</f>
        <v/>
      </c>
      <c r="D743">
        <f>IF(PNL!D743="","",PNL!D743)</f>
        <v/>
      </c>
      <c r="E743">
        <f>IF($A743="","",IF(AND($C743="2027",OR($D743="V01",$D743="V02",$D743="V03")),1,0))</f>
        <v/>
      </c>
      <c r="F743">
        <f>IF($A743="","",IF($E743=1,SUMIFS(Comptabilité!$F$1:$F$675,Comptabilité!$A$1:$A$675,$A743,Comptabilité!$B$1:$B$675,$B743,Comptabilité!$C$1:$C$675,"2026"),0))</f>
        <v/>
      </c>
      <c r="G743">
        <f>IF($A743="","",IF($D743="V01",Cadrage!$C$22,IF($D743="V02",Cadrage!$D$22,Cadrage!$E$22)))</f>
        <v/>
      </c>
      <c r="H743">
        <f>IF($A743="","",IF($D743="V01",Cadrage!$C$23,IF($D743="V02",Cadrage!$D$23,Cadrage!$E$23)))</f>
        <v/>
      </c>
      <c r="I743">
        <f>IF($A743="","",IF($D743="V01",Cadrage!$C$31,IF($D743="V02",Cadrage!$D$31,Cadrage!$E$31)))</f>
        <v/>
      </c>
      <c r="J743">
        <f>IF($A743="","",IF($D743="V01",Cadrage!$C$32,IF($D743="V02",Cadrage!$D$32,Cadrage!$E$32)))</f>
        <v/>
      </c>
      <c r="K743">
        <f>IF($A743="","",IF($D743="V01",Cadrage!$C$33,IF($D743="V02",Cadrage!$D$33,Cadrage!$E$33)))</f>
        <v/>
      </c>
      <c r="L743">
        <f>IF($A743="","",IF($D743="V01",Cadrage!$C$34,IF($D743="V02",Cadrage!$D$34,Cadrage!$E$34)))</f>
        <v/>
      </c>
      <c r="M743">
        <f>IF($A743="","",IF($D743="V01",Cadrage!$C$35,IF($D743="V02",Cadrage!$D$35,Cadrage!$E$35)))</f>
        <v/>
      </c>
      <c r="N743">
        <f>IF($A743="","",IF($D743="V01",$R$2,IF($D743="V02",$R$3,$R$4)))</f>
        <v/>
      </c>
      <c r="O743">
        <f>IF($A743="","",IF(OR($B743="7062",$B743="706",$B743="708"),$N743,IF($B743="6231",1+$G743,IF($B743="6236",1+$H743,IF(OR($B743="621",$B743="604",$B743="6063"),$N743*(1-$L743),IF(OR($B743="6411",$B743="6413",$B743="6414",$B743="645"),(1+$J743)*(1+$K743),IF(OR($B743="613",$B743="615",$B743="616",$B743="6226",$B743="625",$B743="626",$B743="6281"),(1+$I743)*(1-$L743)*(1+$M743),IF(OR($B743="6331",$B743="63511",$B743="6333"),(1+$I743)*(1-$L743),IF($B743="6811",1+$I743,1)))))))))</f>
        <v/>
      </c>
      <c r="P743">
        <f>IF($A743="","",IF($E743=1,$F743*$O743,PNL!G743))</f>
        <v/>
      </c>
      <c r="T743">
        <f>IF($A743="","",IF($E743=1,IF(OR($B743="7062",$B743="706",$B743="708"),$P743,IF(AND(LEFT($B743,1)="6",$B743&lt;&gt;"6811"),-$P743,0)),0))</f>
        <v/>
      </c>
    </row>
    <row r="744">
      <c r="A744">
        <f>IF(PNL!A744="","",PNL!A744)</f>
        <v/>
      </c>
      <c r="B744">
        <f>IF(PNL!B744="","",PNL!B744)</f>
        <v/>
      </c>
      <c r="C744">
        <f>IF(PNL!C744="","",PNL!C744)</f>
        <v/>
      </c>
      <c r="D744">
        <f>IF(PNL!D744="","",PNL!D744)</f>
        <v/>
      </c>
      <c r="E744">
        <f>IF($A744="","",IF(AND($C744="2027",OR($D744="V01",$D744="V02",$D744="V03")),1,0))</f>
        <v/>
      </c>
      <c r="F744">
        <f>IF($A744="","",IF($E744=1,SUMIFS(Comptabilité!$F$1:$F$675,Comptabilité!$A$1:$A$675,$A744,Comptabilité!$B$1:$B$675,$B744,Comptabilité!$C$1:$C$675,"2026"),0))</f>
        <v/>
      </c>
      <c r="G744">
        <f>IF($A744="","",IF($D744="V01",Cadrage!$C$22,IF($D744="V02",Cadrage!$D$22,Cadrage!$E$22)))</f>
        <v/>
      </c>
      <c r="H744">
        <f>IF($A744="","",IF($D744="V01",Cadrage!$C$23,IF($D744="V02",Cadrage!$D$23,Cadrage!$E$23)))</f>
        <v/>
      </c>
      <c r="I744">
        <f>IF($A744="","",IF($D744="V01",Cadrage!$C$31,IF($D744="V02",Cadrage!$D$31,Cadrage!$E$31)))</f>
        <v/>
      </c>
      <c r="J744">
        <f>IF($A744="","",IF($D744="V01",Cadrage!$C$32,IF($D744="V02",Cadrage!$D$32,Cadrage!$E$32)))</f>
        <v/>
      </c>
      <c r="K744">
        <f>IF($A744="","",IF($D744="V01",Cadrage!$C$33,IF($D744="V02",Cadrage!$D$33,Cadrage!$E$33)))</f>
        <v/>
      </c>
      <c r="L744">
        <f>IF($A744="","",IF($D744="V01",Cadrage!$C$34,IF($D744="V02",Cadrage!$D$34,Cadrage!$E$34)))</f>
        <v/>
      </c>
      <c r="M744">
        <f>IF($A744="","",IF($D744="V01",Cadrage!$C$35,IF($D744="V02",Cadrage!$D$35,Cadrage!$E$35)))</f>
        <v/>
      </c>
      <c r="N744">
        <f>IF($A744="","",IF($D744="V01",$R$2,IF($D744="V02",$R$3,$R$4)))</f>
        <v/>
      </c>
      <c r="O744">
        <f>IF($A744="","",IF(OR($B744="7062",$B744="706",$B744="708"),$N744,IF($B744="6231",1+$G744,IF($B744="6236",1+$H744,IF(OR($B744="621",$B744="604",$B744="6063"),$N744*(1-$L744),IF(OR($B744="6411",$B744="6413",$B744="6414",$B744="645"),(1+$J744)*(1+$K744),IF(OR($B744="613",$B744="615",$B744="616",$B744="6226",$B744="625",$B744="626",$B744="6281"),(1+$I744)*(1-$L744)*(1+$M744),IF(OR($B744="6331",$B744="63511",$B744="6333"),(1+$I744)*(1-$L744),IF($B744="6811",1+$I744,1)))))))))</f>
        <v/>
      </c>
      <c r="P744">
        <f>IF($A744="","",IF($E744=1,$F744*$O744,PNL!G744))</f>
        <v/>
      </c>
      <c r="T744">
        <f>IF($A744="","",IF($E744=1,IF(OR($B744="7062",$B744="706",$B744="708"),$P744,IF(AND(LEFT($B744,1)="6",$B744&lt;&gt;"6811"),-$P744,0)),0))</f>
        <v/>
      </c>
    </row>
    <row r="745">
      <c r="A745">
        <f>IF(PNL!A745="","",PNL!A745)</f>
        <v/>
      </c>
      <c r="B745">
        <f>IF(PNL!B745="","",PNL!B745)</f>
        <v/>
      </c>
      <c r="C745">
        <f>IF(PNL!C745="","",PNL!C745)</f>
        <v/>
      </c>
      <c r="D745">
        <f>IF(PNL!D745="","",PNL!D745)</f>
        <v/>
      </c>
      <c r="E745">
        <f>IF($A745="","",IF(AND($C745="2027",OR($D745="V01",$D745="V02",$D745="V03")),1,0))</f>
        <v/>
      </c>
      <c r="F745">
        <f>IF($A745="","",IF($E745=1,SUMIFS(Comptabilité!$F$1:$F$675,Comptabilité!$A$1:$A$675,$A745,Comptabilité!$B$1:$B$675,$B745,Comptabilité!$C$1:$C$675,"2026"),0))</f>
        <v/>
      </c>
      <c r="G745">
        <f>IF($A745="","",IF($D745="V01",Cadrage!$C$22,IF($D745="V02",Cadrage!$D$22,Cadrage!$E$22)))</f>
        <v/>
      </c>
      <c r="H745">
        <f>IF($A745="","",IF($D745="V01",Cadrage!$C$23,IF($D745="V02",Cadrage!$D$23,Cadrage!$E$23)))</f>
        <v/>
      </c>
      <c r="I745">
        <f>IF($A745="","",IF($D745="V01",Cadrage!$C$31,IF($D745="V02",Cadrage!$D$31,Cadrage!$E$31)))</f>
        <v/>
      </c>
      <c r="J745">
        <f>IF($A745="","",IF($D745="V01",Cadrage!$C$32,IF($D745="V02",Cadrage!$D$32,Cadrage!$E$32)))</f>
        <v/>
      </c>
      <c r="K745">
        <f>IF($A745="","",IF($D745="V01",Cadrage!$C$33,IF($D745="V02",Cadrage!$D$33,Cadrage!$E$33)))</f>
        <v/>
      </c>
      <c r="L745">
        <f>IF($A745="","",IF($D745="V01",Cadrage!$C$34,IF($D745="V02",Cadrage!$D$34,Cadrage!$E$34)))</f>
        <v/>
      </c>
      <c r="M745">
        <f>IF($A745="","",IF($D745="V01",Cadrage!$C$35,IF($D745="V02",Cadrage!$D$35,Cadrage!$E$35)))</f>
        <v/>
      </c>
      <c r="N745">
        <f>IF($A745="","",IF($D745="V01",$R$2,IF($D745="V02",$R$3,$R$4)))</f>
        <v/>
      </c>
      <c r="O745">
        <f>IF($A745="","",IF(OR($B745="7062",$B745="706",$B745="708"),$N745,IF($B745="6231",1+$G745,IF($B745="6236",1+$H745,IF(OR($B745="621",$B745="604",$B745="6063"),$N745*(1-$L745),IF(OR($B745="6411",$B745="6413",$B745="6414",$B745="645"),(1+$J745)*(1+$K745),IF(OR($B745="613",$B745="615",$B745="616",$B745="6226",$B745="625",$B745="626",$B745="6281"),(1+$I745)*(1-$L745)*(1+$M745),IF(OR($B745="6331",$B745="63511",$B745="6333"),(1+$I745)*(1-$L745),IF($B745="6811",1+$I745,1)))))))))</f>
        <v/>
      </c>
      <c r="P745">
        <f>IF($A745="","",IF($E745=1,$F745*$O745,PNL!G745))</f>
        <v/>
      </c>
      <c r="T745">
        <f>IF($A745="","",IF($E745=1,IF(OR($B745="7062",$B745="706",$B745="708"),$P745,IF(AND(LEFT($B745,1)="6",$B745&lt;&gt;"6811"),-$P745,0)),0))</f>
        <v/>
      </c>
    </row>
    <row r="746">
      <c r="A746">
        <f>IF(PNL!A746="","",PNL!A746)</f>
        <v/>
      </c>
      <c r="B746">
        <f>IF(PNL!B746="","",PNL!B746)</f>
        <v/>
      </c>
      <c r="C746">
        <f>IF(PNL!C746="","",PNL!C746)</f>
        <v/>
      </c>
      <c r="D746">
        <f>IF(PNL!D746="","",PNL!D746)</f>
        <v/>
      </c>
      <c r="E746">
        <f>IF($A746="","",IF(AND($C746="2027",OR($D746="V01",$D746="V02",$D746="V03")),1,0))</f>
        <v/>
      </c>
      <c r="F746">
        <f>IF($A746="","",IF($E746=1,SUMIFS(Comptabilité!$F$1:$F$675,Comptabilité!$A$1:$A$675,$A746,Comptabilité!$B$1:$B$675,$B746,Comptabilité!$C$1:$C$675,"2026"),0))</f>
        <v/>
      </c>
      <c r="G746">
        <f>IF($A746="","",IF($D746="V01",Cadrage!$C$22,IF($D746="V02",Cadrage!$D$22,Cadrage!$E$22)))</f>
        <v/>
      </c>
      <c r="H746">
        <f>IF($A746="","",IF($D746="V01",Cadrage!$C$23,IF($D746="V02",Cadrage!$D$23,Cadrage!$E$23)))</f>
        <v/>
      </c>
      <c r="I746">
        <f>IF($A746="","",IF($D746="V01",Cadrage!$C$31,IF($D746="V02",Cadrage!$D$31,Cadrage!$E$31)))</f>
        <v/>
      </c>
      <c r="J746">
        <f>IF($A746="","",IF($D746="V01",Cadrage!$C$32,IF($D746="V02",Cadrage!$D$32,Cadrage!$E$32)))</f>
        <v/>
      </c>
      <c r="K746">
        <f>IF($A746="","",IF($D746="V01",Cadrage!$C$33,IF($D746="V02",Cadrage!$D$33,Cadrage!$E$33)))</f>
        <v/>
      </c>
      <c r="L746">
        <f>IF($A746="","",IF($D746="V01",Cadrage!$C$34,IF($D746="V02",Cadrage!$D$34,Cadrage!$E$34)))</f>
        <v/>
      </c>
      <c r="M746">
        <f>IF($A746="","",IF($D746="V01",Cadrage!$C$35,IF($D746="V02",Cadrage!$D$35,Cadrage!$E$35)))</f>
        <v/>
      </c>
      <c r="N746">
        <f>IF($A746="","",IF($D746="V01",$R$2,IF($D746="V02",$R$3,$R$4)))</f>
        <v/>
      </c>
      <c r="O746">
        <f>IF($A746="","",IF(OR($B746="7062",$B746="706",$B746="708"),$N746,IF($B746="6231",1+$G746,IF($B746="6236",1+$H746,IF(OR($B746="621",$B746="604",$B746="6063"),$N746*(1-$L746),IF(OR($B746="6411",$B746="6413",$B746="6414",$B746="645"),(1+$J746)*(1+$K746),IF(OR($B746="613",$B746="615",$B746="616",$B746="6226",$B746="625",$B746="626",$B746="6281"),(1+$I746)*(1-$L746)*(1+$M746),IF(OR($B746="6331",$B746="63511",$B746="6333"),(1+$I746)*(1-$L746),IF($B746="6811",1+$I746,1)))))))))</f>
        <v/>
      </c>
      <c r="P746">
        <f>IF($A746="","",IF($E746=1,$F746*$O746,PNL!G746))</f>
        <v/>
      </c>
      <c r="T746">
        <f>IF($A746="","",IF($E746=1,IF(OR($B746="7062",$B746="706",$B746="708"),$P746,IF(AND(LEFT($B746,1)="6",$B746&lt;&gt;"6811"),-$P746,0)),0))</f>
        <v/>
      </c>
    </row>
    <row r="747">
      <c r="A747">
        <f>IF(PNL!A747="","",PNL!A747)</f>
        <v/>
      </c>
      <c r="B747">
        <f>IF(PNL!B747="","",PNL!B747)</f>
        <v/>
      </c>
      <c r="C747">
        <f>IF(PNL!C747="","",PNL!C747)</f>
        <v/>
      </c>
      <c r="D747">
        <f>IF(PNL!D747="","",PNL!D747)</f>
        <v/>
      </c>
      <c r="E747">
        <f>IF($A747="","",IF(AND($C747="2027",OR($D747="V01",$D747="V02",$D747="V03")),1,0))</f>
        <v/>
      </c>
      <c r="F747">
        <f>IF($A747="","",IF($E747=1,SUMIFS(Comptabilité!$F$1:$F$675,Comptabilité!$A$1:$A$675,$A747,Comptabilité!$B$1:$B$675,$B747,Comptabilité!$C$1:$C$675,"2026"),0))</f>
        <v/>
      </c>
      <c r="G747">
        <f>IF($A747="","",IF($D747="V01",Cadrage!$C$22,IF($D747="V02",Cadrage!$D$22,Cadrage!$E$22)))</f>
        <v/>
      </c>
      <c r="H747">
        <f>IF($A747="","",IF($D747="V01",Cadrage!$C$23,IF($D747="V02",Cadrage!$D$23,Cadrage!$E$23)))</f>
        <v/>
      </c>
      <c r="I747">
        <f>IF($A747="","",IF($D747="V01",Cadrage!$C$31,IF($D747="V02",Cadrage!$D$31,Cadrage!$E$31)))</f>
        <v/>
      </c>
      <c r="J747">
        <f>IF($A747="","",IF($D747="V01",Cadrage!$C$32,IF($D747="V02",Cadrage!$D$32,Cadrage!$E$32)))</f>
        <v/>
      </c>
      <c r="K747">
        <f>IF($A747="","",IF($D747="V01",Cadrage!$C$33,IF($D747="V02",Cadrage!$D$33,Cadrage!$E$33)))</f>
        <v/>
      </c>
      <c r="L747">
        <f>IF($A747="","",IF($D747="V01",Cadrage!$C$34,IF($D747="V02",Cadrage!$D$34,Cadrage!$E$34)))</f>
        <v/>
      </c>
      <c r="M747">
        <f>IF($A747="","",IF($D747="V01",Cadrage!$C$35,IF($D747="V02",Cadrage!$D$35,Cadrage!$E$35)))</f>
        <v/>
      </c>
      <c r="N747">
        <f>IF($A747="","",IF($D747="V01",$R$2,IF($D747="V02",$R$3,$R$4)))</f>
        <v/>
      </c>
      <c r="O747">
        <f>IF($A747="","",IF(OR($B747="7062",$B747="706",$B747="708"),$N747,IF($B747="6231",1+$G747,IF($B747="6236",1+$H747,IF(OR($B747="621",$B747="604",$B747="6063"),$N747*(1-$L747),IF(OR($B747="6411",$B747="6413",$B747="6414",$B747="645"),(1+$J747)*(1+$K747),IF(OR($B747="613",$B747="615",$B747="616",$B747="6226",$B747="625",$B747="626",$B747="6281"),(1+$I747)*(1-$L747)*(1+$M747),IF(OR($B747="6331",$B747="63511",$B747="6333"),(1+$I747)*(1-$L747),IF($B747="6811",1+$I747,1)))))))))</f>
        <v/>
      </c>
      <c r="P747">
        <f>IF($A747="","",IF($E747=1,$F747*$O747,PNL!G747))</f>
        <v/>
      </c>
      <c r="T747">
        <f>IF($A747="","",IF($E747=1,IF(OR($B747="7062",$B747="706",$B747="708"),$P747,IF(AND(LEFT($B747,1)="6",$B747&lt;&gt;"6811"),-$P747,0)),0))</f>
        <v/>
      </c>
    </row>
    <row r="748">
      <c r="A748">
        <f>IF(PNL!A748="","",PNL!A748)</f>
        <v/>
      </c>
      <c r="B748">
        <f>IF(PNL!B748="","",PNL!B748)</f>
        <v/>
      </c>
      <c r="C748">
        <f>IF(PNL!C748="","",PNL!C748)</f>
        <v/>
      </c>
      <c r="D748">
        <f>IF(PNL!D748="","",PNL!D748)</f>
        <v/>
      </c>
      <c r="E748">
        <f>IF($A748="","",IF(AND($C748="2027",OR($D748="V01",$D748="V02",$D748="V03")),1,0))</f>
        <v/>
      </c>
      <c r="F748">
        <f>IF($A748="","",IF($E748=1,SUMIFS(Comptabilité!$F$1:$F$675,Comptabilité!$A$1:$A$675,$A748,Comptabilité!$B$1:$B$675,$B748,Comptabilité!$C$1:$C$675,"2026"),0))</f>
        <v/>
      </c>
      <c r="G748">
        <f>IF($A748="","",IF($D748="V01",Cadrage!$C$22,IF($D748="V02",Cadrage!$D$22,Cadrage!$E$22)))</f>
        <v/>
      </c>
      <c r="H748">
        <f>IF($A748="","",IF($D748="V01",Cadrage!$C$23,IF($D748="V02",Cadrage!$D$23,Cadrage!$E$23)))</f>
        <v/>
      </c>
      <c r="I748">
        <f>IF($A748="","",IF($D748="V01",Cadrage!$C$31,IF($D748="V02",Cadrage!$D$31,Cadrage!$E$31)))</f>
        <v/>
      </c>
      <c r="J748">
        <f>IF($A748="","",IF($D748="V01",Cadrage!$C$32,IF($D748="V02",Cadrage!$D$32,Cadrage!$E$32)))</f>
        <v/>
      </c>
      <c r="K748">
        <f>IF($A748="","",IF($D748="V01",Cadrage!$C$33,IF($D748="V02",Cadrage!$D$33,Cadrage!$E$33)))</f>
        <v/>
      </c>
      <c r="L748">
        <f>IF($A748="","",IF($D748="V01",Cadrage!$C$34,IF($D748="V02",Cadrage!$D$34,Cadrage!$E$34)))</f>
        <v/>
      </c>
      <c r="M748">
        <f>IF($A748="","",IF($D748="V01",Cadrage!$C$35,IF($D748="V02",Cadrage!$D$35,Cadrage!$E$35)))</f>
        <v/>
      </c>
      <c r="N748">
        <f>IF($A748="","",IF($D748="V01",$R$2,IF($D748="V02",$R$3,$R$4)))</f>
        <v/>
      </c>
      <c r="O748">
        <f>IF($A748="","",IF(OR($B748="7062",$B748="706",$B748="708"),$N748,IF($B748="6231",1+$G748,IF($B748="6236",1+$H748,IF(OR($B748="621",$B748="604",$B748="6063"),$N748*(1-$L748),IF(OR($B748="6411",$B748="6413",$B748="6414",$B748="645"),(1+$J748)*(1+$K748),IF(OR($B748="613",$B748="615",$B748="616",$B748="6226",$B748="625",$B748="626",$B748="6281"),(1+$I748)*(1-$L748)*(1+$M748),IF(OR($B748="6331",$B748="63511",$B748="6333"),(1+$I748)*(1-$L748),IF($B748="6811",1+$I748,1)))))))))</f>
        <v/>
      </c>
      <c r="P748">
        <f>IF($A748="","",IF($E748=1,$F748*$O748,PNL!G748))</f>
        <v/>
      </c>
      <c r="T748">
        <f>IF($A748="","",IF($E748=1,IF(OR($B748="7062",$B748="706",$B748="708"),$P748,IF(AND(LEFT($B748,1)="6",$B748&lt;&gt;"6811"),-$P748,0)),0))</f>
        <v/>
      </c>
    </row>
    <row r="749">
      <c r="A749">
        <f>IF(PNL!A749="","",PNL!A749)</f>
        <v/>
      </c>
      <c r="B749">
        <f>IF(PNL!B749="","",PNL!B749)</f>
        <v/>
      </c>
      <c r="C749">
        <f>IF(PNL!C749="","",PNL!C749)</f>
        <v/>
      </c>
      <c r="D749">
        <f>IF(PNL!D749="","",PNL!D749)</f>
        <v/>
      </c>
      <c r="E749">
        <f>IF($A749="","",IF(AND($C749="2027",OR($D749="V01",$D749="V02",$D749="V03")),1,0))</f>
        <v/>
      </c>
      <c r="F749">
        <f>IF($A749="","",IF($E749=1,SUMIFS(Comptabilité!$F$1:$F$675,Comptabilité!$A$1:$A$675,$A749,Comptabilité!$B$1:$B$675,$B749,Comptabilité!$C$1:$C$675,"2026"),0))</f>
        <v/>
      </c>
      <c r="G749">
        <f>IF($A749="","",IF($D749="V01",Cadrage!$C$22,IF($D749="V02",Cadrage!$D$22,Cadrage!$E$22)))</f>
        <v/>
      </c>
      <c r="H749">
        <f>IF($A749="","",IF($D749="V01",Cadrage!$C$23,IF($D749="V02",Cadrage!$D$23,Cadrage!$E$23)))</f>
        <v/>
      </c>
      <c r="I749">
        <f>IF($A749="","",IF($D749="V01",Cadrage!$C$31,IF($D749="V02",Cadrage!$D$31,Cadrage!$E$31)))</f>
        <v/>
      </c>
      <c r="J749">
        <f>IF($A749="","",IF($D749="V01",Cadrage!$C$32,IF($D749="V02",Cadrage!$D$32,Cadrage!$E$32)))</f>
        <v/>
      </c>
      <c r="K749">
        <f>IF($A749="","",IF($D749="V01",Cadrage!$C$33,IF($D749="V02",Cadrage!$D$33,Cadrage!$E$33)))</f>
        <v/>
      </c>
      <c r="L749">
        <f>IF($A749="","",IF($D749="V01",Cadrage!$C$34,IF($D749="V02",Cadrage!$D$34,Cadrage!$E$34)))</f>
        <v/>
      </c>
      <c r="M749">
        <f>IF($A749="","",IF($D749="V01",Cadrage!$C$35,IF($D749="V02",Cadrage!$D$35,Cadrage!$E$35)))</f>
        <v/>
      </c>
      <c r="N749">
        <f>IF($A749="","",IF($D749="V01",$R$2,IF($D749="V02",$R$3,$R$4)))</f>
        <v/>
      </c>
      <c r="O749">
        <f>IF($A749="","",IF(OR($B749="7062",$B749="706",$B749="708"),$N749,IF($B749="6231",1+$G749,IF($B749="6236",1+$H749,IF(OR($B749="621",$B749="604",$B749="6063"),$N749*(1-$L749),IF(OR($B749="6411",$B749="6413",$B749="6414",$B749="645"),(1+$J749)*(1+$K749),IF(OR($B749="613",$B749="615",$B749="616",$B749="6226",$B749="625",$B749="626",$B749="6281"),(1+$I749)*(1-$L749)*(1+$M749),IF(OR($B749="6331",$B749="63511",$B749="6333"),(1+$I749)*(1-$L749),IF($B749="6811",1+$I749,1)))))))))</f>
        <v/>
      </c>
      <c r="P749">
        <f>IF($A749="","",IF($E749=1,$F749*$O749,PNL!G749))</f>
        <v/>
      </c>
      <c r="T749">
        <f>IF($A749="","",IF($E749=1,IF(OR($B749="7062",$B749="706",$B749="708"),$P749,IF(AND(LEFT($B749,1)="6",$B749&lt;&gt;"6811"),-$P749,0)),0))</f>
        <v/>
      </c>
    </row>
    <row r="750">
      <c r="A750">
        <f>IF(PNL!A750="","",PNL!A750)</f>
        <v/>
      </c>
      <c r="B750">
        <f>IF(PNL!B750="","",PNL!B750)</f>
        <v/>
      </c>
      <c r="C750">
        <f>IF(PNL!C750="","",PNL!C750)</f>
        <v/>
      </c>
      <c r="D750">
        <f>IF(PNL!D750="","",PNL!D750)</f>
        <v/>
      </c>
      <c r="E750">
        <f>IF($A750="","",IF(AND($C750="2027",OR($D750="V01",$D750="V02",$D750="V03")),1,0))</f>
        <v/>
      </c>
      <c r="F750">
        <f>IF($A750="","",IF($E750=1,SUMIFS(Comptabilité!$F$1:$F$675,Comptabilité!$A$1:$A$675,$A750,Comptabilité!$B$1:$B$675,$B750,Comptabilité!$C$1:$C$675,"2026"),0))</f>
        <v/>
      </c>
      <c r="G750">
        <f>IF($A750="","",IF($D750="V01",Cadrage!$C$22,IF($D750="V02",Cadrage!$D$22,Cadrage!$E$22)))</f>
        <v/>
      </c>
      <c r="H750">
        <f>IF($A750="","",IF($D750="V01",Cadrage!$C$23,IF($D750="V02",Cadrage!$D$23,Cadrage!$E$23)))</f>
        <v/>
      </c>
      <c r="I750">
        <f>IF($A750="","",IF($D750="V01",Cadrage!$C$31,IF($D750="V02",Cadrage!$D$31,Cadrage!$E$31)))</f>
        <v/>
      </c>
      <c r="J750">
        <f>IF($A750="","",IF($D750="V01",Cadrage!$C$32,IF($D750="V02",Cadrage!$D$32,Cadrage!$E$32)))</f>
        <v/>
      </c>
      <c r="K750">
        <f>IF($A750="","",IF($D750="V01",Cadrage!$C$33,IF($D750="V02",Cadrage!$D$33,Cadrage!$E$33)))</f>
        <v/>
      </c>
      <c r="L750">
        <f>IF($A750="","",IF($D750="V01",Cadrage!$C$34,IF($D750="V02",Cadrage!$D$34,Cadrage!$E$34)))</f>
        <v/>
      </c>
      <c r="M750">
        <f>IF($A750="","",IF($D750="V01",Cadrage!$C$35,IF($D750="V02",Cadrage!$D$35,Cadrage!$E$35)))</f>
        <v/>
      </c>
      <c r="N750">
        <f>IF($A750="","",IF($D750="V01",$R$2,IF($D750="V02",$R$3,$R$4)))</f>
        <v/>
      </c>
      <c r="O750">
        <f>IF($A750="","",IF(OR($B750="7062",$B750="706",$B750="708"),$N750,IF($B750="6231",1+$G750,IF($B750="6236",1+$H750,IF(OR($B750="621",$B750="604",$B750="6063"),$N750*(1-$L750),IF(OR($B750="6411",$B750="6413",$B750="6414",$B750="645"),(1+$J750)*(1+$K750),IF(OR($B750="613",$B750="615",$B750="616",$B750="6226",$B750="625",$B750="626",$B750="6281"),(1+$I750)*(1-$L750)*(1+$M750),IF(OR($B750="6331",$B750="63511",$B750="6333"),(1+$I750)*(1-$L750),IF($B750="6811",1+$I750,1)))))))))</f>
        <v/>
      </c>
      <c r="P750">
        <f>IF($A750="","",IF($E750=1,$F750*$O750,PNL!G750))</f>
        <v/>
      </c>
      <c r="T750">
        <f>IF($A750="","",IF($E750=1,IF(OR($B750="7062",$B750="706",$B750="708"),$P750,IF(AND(LEFT($B750,1)="6",$B750&lt;&gt;"6811"),-$P750,0)),0))</f>
        <v/>
      </c>
    </row>
    <row r="751">
      <c r="A751">
        <f>IF(PNL!A751="","",PNL!A751)</f>
        <v/>
      </c>
      <c r="B751">
        <f>IF(PNL!B751="","",PNL!B751)</f>
        <v/>
      </c>
      <c r="C751">
        <f>IF(PNL!C751="","",PNL!C751)</f>
        <v/>
      </c>
      <c r="D751">
        <f>IF(PNL!D751="","",PNL!D751)</f>
        <v/>
      </c>
      <c r="E751">
        <f>IF($A751="","",IF(AND($C751="2027",OR($D751="V01",$D751="V02",$D751="V03")),1,0))</f>
        <v/>
      </c>
      <c r="F751">
        <f>IF($A751="","",IF($E751=1,SUMIFS(Comptabilité!$F$1:$F$675,Comptabilité!$A$1:$A$675,$A751,Comptabilité!$B$1:$B$675,$B751,Comptabilité!$C$1:$C$675,"2026"),0))</f>
        <v/>
      </c>
      <c r="G751">
        <f>IF($A751="","",IF($D751="V01",Cadrage!$C$22,IF($D751="V02",Cadrage!$D$22,Cadrage!$E$22)))</f>
        <v/>
      </c>
      <c r="H751">
        <f>IF($A751="","",IF($D751="V01",Cadrage!$C$23,IF($D751="V02",Cadrage!$D$23,Cadrage!$E$23)))</f>
        <v/>
      </c>
      <c r="I751">
        <f>IF($A751="","",IF($D751="V01",Cadrage!$C$31,IF($D751="V02",Cadrage!$D$31,Cadrage!$E$31)))</f>
        <v/>
      </c>
      <c r="J751">
        <f>IF($A751="","",IF($D751="V01",Cadrage!$C$32,IF($D751="V02",Cadrage!$D$32,Cadrage!$E$32)))</f>
        <v/>
      </c>
      <c r="K751">
        <f>IF($A751="","",IF($D751="V01",Cadrage!$C$33,IF($D751="V02",Cadrage!$D$33,Cadrage!$E$33)))</f>
        <v/>
      </c>
      <c r="L751">
        <f>IF($A751="","",IF($D751="V01",Cadrage!$C$34,IF($D751="V02",Cadrage!$D$34,Cadrage!$E$34)))</f>
        <v/>
      </c>
      <c r="M751">
        <f>IF($A751="","",IF($D751="V01",Cadrage!$C$35,IF($D751="V02",Cadrage!$D$35,Cadrage!$E$35)))</f>
        <v/>
      </c>
      <c r="N751">
        <f>IF($A751="","",IF($D751="V01",$R$2,IF($D751="V02",$R$3,$R$4)))</f>
        <v/>
      </c>
      <c r="O751">
        <f>IF($A751="","",IF(OR($B751="7062",$B751="706",$B751="708"),$N751,IF($B751="6231",1+$G751,IF($B751="6236",1+$H751,IF(OR($B751="621",$B751="604",$B751="6063"),$N751*(1-$L751),IF(OR($B751="6411",$B751="6413",$B751="6414",$B751="645"),(1+$J751)*(1+$K751),IF(OR($B751="613",$B751="615",$B751="616",$B751="6226",$B751="625",$B751="626",$B751="6281"),(1+$I751)*(1-$L751)*(1+$M751),IF(OR($B751="6331",$B751="63511",$B751="6333"),(1+$I751)*(1-$L751),IF($B751="6811",1+$I751,1)))))))))</f>
        <v/>
      </c>
      <c r="P751">
        <f>IF($A751="","",IF($E751=1,$F751*$O751,PNL!G751))</f>
        <v/>
      </c>
      <c r="T751">
        <f>IF($A751="","",IF($E751=1,IF(OR($B751="7062",$B751="706",$B751="708"),$P751,IF(AND(LEFT($B751,1)="6",$B751&lt;&gt;"6811"),-$P751,0)),0))</f>
        <v/>
      </c>
    </row>
    <row r="752">
      <c r="A752">
        <f>IF(PNL!A752="","",PNL!A752)</f>
        <v/>
      </c>
      <c r="B752">
        <f>IF(PNL!B752="","",PNL!B752)</f>
        <v/>
      </c>
      <c r="C752">
        <f>IF(PNL!C752="","",PNL!C752)</f>
        <v/>
      </c>
      <c r="D752">
        <f>IF(PNL!D752="","",PNL!D752)</f>
        <v/>
      </c>
      <c r="E752">
        <f>IF($A752="","",IF(AND($C752="2027",OR($D752="V01",$D752="V02",$D752="V03")),1,0))</f>
        <v/>
      </c>
      <c r="F752">
        <f>IF($A752="","",IF($E752=1,SUMIFS(Comptabilité!$F$1:$F$675,Comptabilité!$A$1:$A$675,$A752,Comptabilité!$B$1:$B$675,$B752,Comptabilité!$C$1:$C$675,"2026"),0))</f>
        <v/>
      </c>
      <c r="G752">
        <f>IF($A752="","",IF($D752="V01",Cadrage!$C$22,IF($D752="V02",Cadrage!$D$22,Cadrage!$E$22)))</f>
        <v/>
      </c>
      <c r="H752">
        <f>IF($A752="","",IF($D752="V01",Cadrage!$C$23,IF($D752="V02",Cadrage!$D$23,Cadrage!$E$23)))</f>
        <v/>
      </c>
      <c r="I752">
        <f>IF($A752="","",IF($D752="V01",Cadrage!$C$31,IF($D752="V02",Cadrage!$D$31,Cadrage!$E$31)))</f>
        <v/>
      </c>
      <c r="J752">
        <f>IF($A752="","",IF($D752="V01",Cadrage!$C$32,IF($D752="V02",Cadrage!$D$32,Cadrage!$E$32)))</f>
        <v/>
      </c>
      <c r="K752">
        <f>IF($A752="","",IF($D752="V01",Cadrage!$C$33,IF($D752="V02",Cadrage!$D$33,Cadrage!$E$33)))</f>
        <v/>
      </c>
      <c r="L752">
        <f>IF($A752="","",IF($D752="V01",Cadrage!$C$34,IF($D752="V02",Cadrage!$D$34,Cadrage!$E$34)))</f>
        <v/>
      </c>
      <c r="M752">
        <f>IF($A752="","",IF($D752="V01",Cadrage!$C$35,IF($D752="V02",Cadrage!$D$35,Cadrage!$E$35)))</f>
        <v/>
      </c>
      <c r="N752">
        <f>IF($A752="","",IF($D752="V01",$R$2,IF($D752="V02",$R$3,$R$4)))</f>
        <v/>
      </c>
      <c r="O752">
        <f>IF($A752="","",IF(OR($B752="7062",$B752="706",$B752="708"),$N752,IF($B752="6231",1+$G752,IF($B752="6236",1+$H752,IF(OR($B752="621",$B752="604",$B752="6063"),$N752*(1-$L752),IF(OR($B752="6411",$B752="6413",$B752="6414",$B752="645"),(1+$J752)*(1+$K752),IF(OR($B752="613",$B752="615",$B752="616",$B752="6226",$B752="625",$B752="626",$B752="6281"),(1+$I752)*(1-$L752)*(1+$M752),IF(OR($B752="6331",$B752="63511",$B752="6333"),(1+$I752)*(1-$L752),IF($B752="6811",1+$I752,1)))))))))</f>
        <v/>
      </c>
      <c r="P752">
        <f>IF($A752="","",IF($E752=1,$F752*$O752,PNL!G752))</f>
        <v/>
      </c>
      <c r="T752">
        <f>IF($A752="","",IF($E752=1,IF(OR($B752="7062",$B752="706",$B752="708"),$P752,IF(AND(LEFT($B752,1)="6",$B752&lt;&gt;"6811"),-$P752,0)),0))</f>
        <v/>
      </c>
    </row>
    <row r="753">
      <c r="A753">
        <f>IF(PNL!A753="","",PNL!A753)</f>
        <v/>
      </c>
      <c r="B753">
        <f>IF(PNL!B753="","",PNL!B753)</f>
        <v/>
      </c>
      <c r="C753">
        <f>IF(PNL!C753="","",PNL!C753)</f>
        <v/>
      </c>
      <c r="D753">
        <f>IF(PNL!D753="","",PNL!D753)</f>
        <v/>
      </c>
      <c r="E753">
        <f>IF($A753="","",IF(AND($C753="2027",OR($D753="V01",$D753="V02",$D753="V03")),1,0))</f>
        <v/>
      </c>
      <c r="F753">
        <f>IF($A753="","",IF($E753=1,SUMIFS(Comptabilité!$F$1:$F$675,Comptabilité!$A$1:$A$675,$A753,Comptabilité!$B$1:$B$675,$B753,Comptabilité!$C$1:$C$675,"2026"),0))</f>
        <v/>
      </c>
      <c r="G753">
        <f>IF($A753="","",IF($D753="V01",Cadrage!$C$22,IF($D753="V02",Cadrage!$D$22,Cadrage!$E$22)))</f>
        <v/>
      </c>
      <c r="H753">
        <f>IF($A753="","",IF($D753="V01",Cadrage!$C$23,IF($D753="V02",Cadrage!$D$23,Cadrage!$E$23)))</f>
        <v/>
      </c>
      <c r="I753">
        <f>IF($A753="","",IF($D753="V01",Cadrage!$C$31,IF($D753="V02",Cadrage!$D$31,Cadrage!$E$31)))</f>
        <v/>
      </c>
      <c r="J753">
        <f>IF($A753="","",IF($D753="V01",Cadrage!$C$32,IF($D753="V02",Cadrage!$D$32,Cadrage!$E$32)))</f>
        <v/>
      </c>
      <c r="K753">
        <f>IF($A753="","",IF($D753="V01",Cadrage!$C$33,IF($D753="V02",Cadrage!$D$33,Cadrage!$E$33)))</f>
        <v/>
      </c>
      <c r="L753">
        <f>IF($A753="","",IF($D753="V01",Cadrage!$C$34,IF($D753="V02",Cadrage!$D$34,Cadrage!$E$34)))</f>
        <v/>
      </c>
      <c r="M753">
        <f>IF($A753="","",IF($D753="V01",Cadrage!$C$35,IF($D753="V02",Cadrage!$D$35,Cadrage!$E$35)))</f>
        <v/>
      </c>
      <c r="N753">
        <f>IF($A753="","",IF($D753="V01",$R$2,IF($D753="V02",$R$3,$R$4)))</f>
        <v/>
      </c>
      <c r="O753">
        <f>IF($A753="","",IF(OR($B753="7062",$B753="706",$B753="708"),$N753,IF($B753="6231",1+$G753,IF($B753="6236",1+$H753,IF(OR($B753="621",$B753="604",$B753="6063"),$N753*(1-$L753),IF(OR($B753="6411",$B753="6413",$B753="6414",$B753="645"),(1+$J753)*(1+$K753),IF(OR($B753="613",$B753="615",$B753="616",$B753="6226",$B753="625",$B753="626",$B753="6281"),(1+$I753)*(1-$L753)*(1+$M753),IF(OR($B753="6331",$B753="63511",$B753="6333"),(1+$I753)*(1-$L753),IF($B753="6811",1+$I753,1)))))))))</f>
        <v/>
      </c>
      <c r="P753">
        <f>IF($A753="","",IF($E753=1,$F753*$O753,PNL!G753))</f>
        <v/>
      </c>
      <c r="T753">
        <f>IF($A753="","",IF($E753=1,IF(OR($B753="7062",$B753="706",$B753="708"),$P753,IF(AND(LEFT($B753,1)="6",$B753&lt;&gt;"6811"),-$P753,0)),0))</f>
        <v/>
      </c>
    </row>
    <row r="754">
      <c r="A754">
        <f>IF(PNL!A754="","",PNL!A754)</f>
        <v/>
      </c>
      <c r="B754">
        <f>IF(PNL!B754="","",PNL!B754)</f>
        <v/>
      </c>
      <c r="C754">
        <f>IF(PNL!C754="","",PNL!C754)</f>
        <v/>
      </c>
      <c r="D754">
        <f>IF(PNL!D754="","",PNL!D754)</f>
        <v/>
      </c>
      <c r="E754">
        <f>IF($A754="","",IF(AND($C754="2027",OR($D754="V01",$D754="V02",$D754="V03")),1,0))</f>
        <v/>
      </c>
      <c r="F754">
        <f>IF($A754="","",IF($E754=1,SUMIFS(Comptabilité!$F$1:$F$675,Comptabilité!$A$1:$A$675,$A754,Comptabilité!$B$1:$B$675,$B754,Comptabilité!$C$1:$C$675,"2026"),0))</f>
        <v/>
      </c>
      <c r="G754">
        <f>IF($A754="","",IF($D754="V01",Cadrage!$C$22,IF($D754="V02",Cadrage!$D$22,Cadrage!$E$22)))</f>
        <v/>
      </c>
      <c r="H754">
        <f>IF($A754="","",IF($D754="V01",Cadrage!$C$23,IF($D754="V02",Cadrage!$D$23,Cadrage!$E$23)))</f>
        <v/>
      </c>
      <c r="I754">
        <f>IF($A754="","",IF($D754="V01",Cadrage!$C$31,IF($D754="V02",Cadrage!$D$31,Cadrage!$E$31)))</f>
        <v/>
      </c>
      <c r="J754">
        <f>IF($A754="","",IF($D754="V01",Cadrage!$C$32,IF($D754="V02",Cadrage!$D$32,Cadrage!$E$32)))</f>
        <v/>
      </c>
      <c r="K754">
        <f>IF($A754="","",IF($D754="V01",Cadrage!$C$33,IF($D754="V02",Cadrage!$D$33,Cadrage!$E$33)))</f>
        <v/>
      </c>
      <c r="L754">
        <f>IF($A754="","",IF($D754="V01",Cadrage!$C$34,IF($D754="V02",Cadrage!$D$34,Cadrage!$E$34)))</f>
        <v/>
      </c>
      <c r="M754">
        <f>IF($A754="","",IF($D754="V01",Cadrage!$C$35,IF($D754="V02",Cadrage!$D$35,Cadrage!$E$35)))</f>
        <v/>
      </c>
      <c r="N754">
        <f>IF($A754="","",IF($D754="V01",$R$2,IF($D754="V02",$R$3,$R$4)))</f>
        <v/>
      </c>
      <c r="O754">
        <f>IF($A754="","",IF(OR($B754="7062",$B754="706",$B754="708"),$N754,IF($B754="6231",1+$G754,IF($B754="6236",1+$H754,IF(OR($B754="621",$B754="604",$B754="6063"),$N754*(1-$L754),IF(OR($B754="6411",$B754="6413",$B754="6414",$B754="645"),(1+$J754)*(1+$K754),IF(OR($B754="613",$B754="615",$B754="616",$B754="6226",$B754="625",$B754="626",$B754="6281"),(1+$I754)*(1-$L754)*(1+$M754),IF(OR($B754="6331",$B754="63511",$B754="6333"),(1+$I754)*(1-$L754),IF($B754="6811",1+$I754,1)))))))))</f>
        <v/>
      </c>
      <c r="P754">
        <f>IF($A754="","",IF($E754=1,$F754*$O754,PNL!G754))</f>
        <v/>
      </c>
      <c r="T754">
        <f>IF($A754="","",IF($E754=1,IF(OR($B754="7062",$B754="706",$B754="708"),$P754,IF(AND(LEFT($B754,1)="6",$B754&lt;&gt;"6811"),-$P754,0)),0))</f>
        <v/>
      </c>
    </row>
    <row r="755">
      <c r="A755">
        <f>IF(PNL!A755="","",PNL!A755)</f>
        <v/>
      </c>
      <c r="B755">
        <f>IF(PNL!B755="","",PNL!B755)</f>
        <v/>
      </c>
      <c r="C755">
        <f>IF(PNL!C755="","",PNL!C755)</f>
        <v/>
      </c>
      <c r="D755">
        <f>IF(PNL!D755="","",PNL!D755)</f>
        <v/>
      </c>
      <c r="E755">
        <f>IF($A755="","",IF(AND($C755="2027",OR($D755="V01",$D755="V02",$D755="V03")),1,0))</f>
        <v/>
      </c>
      <c r="F755">
        <f>IF($A755="","",IF($E755=1,SUMIFS(Comptabilité!$F$1:$F$675,Comptabilité!$A$1:$A$675,$A755,Comptabilité!$B$1:$B$675,$B755,Comptabilité!$C$1:$C$675,"2026"),0))</f>
        <v/>
      </c>
      <c r="G755">
        <f>IF($A755="","",IF($D755="V01",Cadrage!$C$22,IF($D755="V02",Cadrage!$D$22,Cadrage!$E$22)))</f>
        <v/>
      </c>
      <c r="H755">
        <f>IF($A755="","",IF($D755="V01",Cadrage!$C$23,IF($D755="V02",Cadrage!$D$23,Cadrage!$E$23)))</f>
        <v/>
      </c>
      <c r="I755">
        <f>IF($A755="","",IF($D755="V01",Cadrage!$C$31,IF($D755="V02",Cadrage!$D$31,Cadrage!$E$31)))</f>
        <v/>
      </c>
      <c r="J755">
        <f>IF($A755="","",IF($D755="V01",Cadrage!$C$32,IF($D755="V02",Cadrage!$D$32,Cadrage!$E$32)))</f>
        <v/>
      </c>
      <c r="K755">
        <f>IF($A755="","",IF($D755="V01",Cadrage!$C$33,IF($D755="V02",Cadrage!$D$33,Cadrage!$E$33)))</f>
        <v/>
      </c>
      <c r="L755">
        <f>IF($A755="","",IF($D755="V01",Cadrage!$C$34,IF($D755="V02",Cadrage!$D$34,Cadrage!$E$34)))</f>
        <v/>
      </c>
      <c r="M755">
        <f>IF($A755="","",IF($D755="V01",Cadrage!$C$35,IF($D755="V02",Cadrage!$D$35,Cadrage!$E$35)))</f>
        <v/>
      </c>
      <c r="N755">
        <f>IF($A755="","",IF($D755="V01",$R$2,IF($D755="V02",$R$3,$R$4)))</f>
        <v/>
      </c>
      <c r="O755">
        <f>IF($A755="","",IF(OR($B755="7062",$B755="706",$B755="708"),$N755,IF($B755="6231",1+$G755,IF($B755="6236",1+$H755,IF(OR($B755="621",$B755="604",$B755="6063"),$N755*(1-$L755),IF(OR($B755="6411",$B755="6413",$B755="6414",$B755="645"),(1+$J755)*(1+$K755),IF(OR($B755="613",$B755="615",$B755="616",$B755="6226",$B755="625",$B755="626",$B755="6281"),(1+$I755)*(1-$L755)*(1+$M755),IF(OR($B755="6331",$B755="63511",$B755="6333"),(1+$I755)*(1-$L755),IF($B755="6811",1+$I755,1)))))))))</f>
        <v/>
      </c>
      <c r="P755">
        <f>IF($A755="","",IF($E755=1,$F755*$O755,PNL!G755))</f>
        <v/>
      </c>
      <c r="T755">
        <f>IF($A755="","",IF($E755=1,IF(OR($B755="7062",$B755="706",$B755="708"),$P755,IF(AND(LEFT($B755,1)="6",$B755&lt;&gt;"6811"),-$P755,0)),0))</f>
        <v/>
      </c>
    </row>
    <row r="756">
      <c r="A756">
        <f>IF(PNL!A756="","",PNL!A756)</f>
        <v/>
      </c>
      <c r="B756">
        <f>IF(PNL!B756="","",PNL!B756)</f>
        <v/>
      </c>
      <c r="C756">
        <f>IF(PNL!C756="","",PNL!C756)</f>
        <v/>
      </c>
      <c r="D756">
        <f>IF(PNL!D756="","",PNL!D756)</f>
        <v/>
      </c>
      <c r="E756">
        <f>IF($A756="","",IF(AND($C756="2027",OR($D756="V01",$D756="V02",$D756="V03")),1,0))</f>
        <v/>
      </c>
      <c r="F756">
        <f>IF($A756="","",IF($E756=1,SUMIFS(Comptabilité!$F$1:$F$675,Comptabilité!$A$1:$A$675,$A756,Comptabilité!$B$1:$B$675,$B756,Comptabilité!$C$1:$C$675,"2026"),0))</f>
        <v/>
      </c>
      <c r="G756">
        <f>IF($A756="","",IF($D756="V01",Cadrage!$C$22,IF($D756="V02",Cadrage!$D$22,Cadrage!$E$22)))</f>
        <v/>
      </c>
      <c r="H756">
        <f>IF($A756="","",IF($D756="V01",Cadrage!$C$23,IF($D756="V02",Cadrage!$D$23,Cadrage!$E$23)))</f>
        <v/>
      </c>
      <c r="I756">
        <f>IF($A756="","",IF($D756="V01",Cadrage!$C$31,IF($D756="V02",Cadrage!$D$31,Cadrage!$E$31)))</f>
        <v/>
      </c>
      <c r="J756">
        <f>IF($A756="","",IF($D756="V01",Cadrage!$C$32,IF($D756="V02",Cadrage!$D$32,Cadrage!$E$32)))</f>
        <v/>
      </c>
      <c r="K756">
        <f>IF($A756="","",IF($D756="V01",Cadrage!$C$33,IF($D756="V02",Cadrage!$D$33,Cadrage!$E$33)))</f>
        <v/>
      </c>
      <c r="L756">
        <f>IF($A756="","",IF($D756="V01",Cadrage!$C$34,IF($D756="V02",Cadrage!$D$34,Cadrage!$E$34)))</f>
        <v/>
      </c>
      <c r="M756">
        <f>IF($A756="","",IF($D756="V01",Cadrage!$C$35,IF($D756="V02",Cadrage!$D$35,Cadrage!$E$35)))</f>
        <v/>
      </c>
      <c r="N756">
        <f>IF($A756="","",IF($D756="V01",$R$2,IF($D756="V02",$R$3,$R$4)))</f>
        <v/>
      </c>
      <c r="O756">
        <f>IF($A756="","",IF(OR($B756="7062",$B756="706",$B756="708"),$N756,IF($B756="6231",1+$G756,IF($B756="6236",1+$H756,IF(OR($B756="621",$B756="604",$B756="6063"),$N756*(1-$L756),IF(OR($B756="6411",$B756="6413",$B756="6414",$B756="645"),(1+$J756)*(1+$K756),IF(OR($B756="613",$B756="615",$B756="616",$B756="6226",$B756="625",$B756="626",$B756="6281"),(1+$I756)*(1-$L756)*(1+$M756),IF(OR($B756="6331",$B756="63511",$B756="6333"),(1+$I756)*(1-$L756),IF($B756="6811",1+$I756,1)))))))))</f>
        <v/>
      </c>
      <c r="P756">
        <f>IF($A756="","",IF($E756=1,$F756*$O756,PNL!G756))</f>
        <v/>
      </c>
      <c r="T756">
        <f>IF($A756="","",IF($E756=1,IF(OR($B756="7062",$B756="706",$B756="708"),$P756,IF(AND(LEFT($B756,1)="6",$B756&lt;&gt;"6811"),-$P756,0)),0))</f>
        <v/>
      </c>
    </row>
    <row r="757">
      <c r="A757">
        <f>IF(PNL!A757="","",PNL!A757)</f>
        <v/>
      </c>
      <c r="B757">
        <f>IF(PNL!B757="","",PNL!B757)</f>
        <v/>
      </c>
      <c r="C757">
        <f>IF(PNL!C757="","",PNL!C757)</f>
        <v/>
      </c>
      <c r="D757">
        <f>IF(PNL!D757="","",PNL!D757)</f>
        <v/>
      </c>
      <c r="E757">
        <f>IF($A757="","",IF(AND($C757="2027",OR($D757="V01",$D757="V02",$D757="V03")),1,0))</f>
        <v/>
      </c>
      <c r="F757">
        <f>IF($A757="","",IF($E757=1,SUMIFS(Comptabilité!$F$1:$F$675,Comptabilité!$A$1:$A$675,$A757,Comptabilité!$B$1:$B$675,$B757,Comptabilité!$C$1:$C$675,"2026"),0))</f>
        <v/>
      </c>
      <c r="G757">
        <f>IF($A757="","",IF($D757="V01",Cadrage!$C$22,IF($D757="V02",Cadrage!$D$22,Cadrage!$E$22)))</f>
        <v/>
      </c>
      <c r="H757">
        <f>IF($A757="","",IF($D757="V01",Cadrage!$C$23,IF($D757="V02",Cadrage!$D$23,Cadrage!$E$23)))</f>
        <v/>
      </c>
      <c r="I757">
        <f>IF($A757="","",IF($D757="V01",Cadrage!$C$31,IF($D757="V02",Cadrage!$D$31,Cadrage!$E$31)))</f>
        <v/>
      </c>
      <c r="J757">
        <f>IF($A757="","",IF($D757="V01",Cadrage!$C$32,IF($D757="V02",Cadrage!$D$32,Cadrage!$E$32)))</f>
        <v/>
      </c>
      <c r="K757">
        <f>IF($A757="","",IF($D757="V01",Cadrage!$C$33,IF($D757="V02",Cadrage!$D$33,Cadrage!$E$33)))</f>
        <v/>
      </c>
      <c r="L757">
        <f>IF($A757="","",IF($D757="V01",Cadrage!$C$34,IF($D757="V02",Cadrage!$D$34,Cadrage!$E$34)))</f>
        <v/>
      </c>
      <c r="M757">
        <f>IF($A757="","",IF($D757="V01",Cadrage!$C$35,IF($D757="V02",Cadrage!$D$35,Cadrage!$E$35)))</f>
        <v/>
      </c>
      <c r="N757">
        <f>IF($A757="","",IF($D757="V01",$R$2,IF($D757="V02",$R$3,$R$4)))</f>
        <v/>
      </c>
      <c r="O757">
        <f>IF($A757="","",IF(OR($B757="7062",$B757="706",$B757="708"),$N757,IF($B757="6231",1+$G757,IF($B757="6236",1+$H757,IF(OR($B757="621",$B757="604",$B757="6063"),$N757*(1-$L757),IF(OR($B757="6411",$B757="6413",$B757="6414",$B757="645"),(1+$J757)*(1+$K757),IF(OR($B757="613",$B757="615",$B757="616",$B757="6226",$B757="625",$B757="626",$B757="6281"),(1+$I757)*(1-$L757)*(1+$M757),IF(OR($B757="6331",$B757="63511",$B757="6333"),(1+$I757)*(1-$L757),IF($B757="6811",1+$I757,1)))))))))</f>
        <v/>
      </c>
      <c r="P757">
        <f>IF($A757="","",IF($E757=1,$F757*$O757,PNL!G757))</f>
        <v/>
      </c>
      <c r="T757">
        <f>IF($A757="","",IF($E757=1,IF(OR($B757="7062",$B757="706",$B757="708"),$P757,IF(AND(LEFT($B757,1)="6",$B757&lt;&gt;"6811"),-$P757,0)),0))</f>
        <v/>
      </c>
    </row>
    <row r="758">
      <c r="A758">
        <f>IF(PNL!A758="","",PNL!A758)</f>
        <v/>
      </c>
      <c r="B758">
        <f>IF(PNL!B758="","",PNL!B758)</f>
        <v/>
      </c>
      <c r="C758">
        <f>IF(PNL!C758="","",PNL!C758)</f>
        <v/>
      </c>
      <c r="D758">
        <f>IF(PNL!D758="","",PNL!D758)</f>
        <v/>
      </c>
      <c r="E758">
        <f>IF($A758="","",IF(AND($C758="2027",OR($D758="V01",$D758="V02",$D758="V03")),1,0))</f>
        <v/>
      </c>
      <c r="F758">
        <f>IF($A758="","",IF($E758=1,SUMIFS(Comptabilité!$F$1:$F$675,Comptabilité!$A$1:$A$675,$A758,Comptabilité!$B$1:$B$675,$B758,Comptabilité!$C$1:$C$675,"2026"),0))</f>
        <v/>
      </c>
      <c r="G758">
        <f>IF($A758="","",IF($D758="V01",Cadrage!$C$22,IF($D758="V02",Cadrage!$D$22,Cadrage!$E$22)))</f>
        <v/>
      </c>
      <c r="H758">
        <f>IF($A758="","",IF($D758="V01",Cadrage!$C$23,IF($D758="V02",Cadrage!$D$23,Cadrage!$E$23)))</f>
        <v/>
      </c>
      <c r="I758">
        <f>IF($A758="","",IF($D758="V01",Cadrage!$C$31,IF($D758="V02",Cadrage!$D$31,Cadrage!$E$31)))</f>
        <v/>
      </c>
      <c r="J758">
        <f>IF($A758="","",IF($D758="V01",Cadrage!$C$32,IF($D758="V02",Cadrage!$D$32,Cadrage!$E$32)))</f>
        <v/>
      </c>
      <c r="K758">
        <f>IF($A758="","",IF($D758="V01",Cadrage!$C$33,IF($D758="V02",Cadrage!$D$33,Cadrage!$E$33)))</f>
        <v/>
      </c>
      <c r="L758">
        <f>IF($A758="","",IF($D758="V01",Cadrage!$C$34,IF($D758="V02",Cadrage!$D$34,Cadrage!$E$34)))</f>
        <v/>
      </c>
      <c r="M758">
        <f>IF($A758="","",IF($D758="V01",Cadrage!$C$35,IF($D758="V02",Cadrage!$D$35,Cadrage!$E$35)))</f>
        <v/>
      </c>
      <c r="N758">
        <f>IF($A758="","",IF($D758="V01",$R$2,IF($D758="V02",$R$3,$R$4)))</f>
        <v/>
      </c>
      <c r="O758">
        <f>IF($A758="","",IF(OR($B758="7062",$B758="706",$B758="708"),$N758,IF($B758="6231",1+$G758,IF($B758="6236",1+$H758,IF(OR($B758="621",$B758="604",$B758="6063"),$N758*(1-$L758),IF(OR($B758="6411",$B758="6413",$B758="6414",$B758="645"),(1+$J758)*(1+$K758),IF(OR($B758="613",$B758="615",$B758="616",$B758="6226",$B758="625",$B758="626",$B758="6281"),(1+$I758)*(1-$L758)*(1+$M758),IF(OR($B758="6331",$B758="63511",$B758="6333"),(1+$I758)*(1-$L758),IF($B758="6811",1+$I758,1)))))))))</f>
        <v/>
      </c>
      <c r="P758">
        <f>IF($A758="","",IF($E758=1,$F758*$O758,PNL!G758))</f>
        <v/>
      </c>
      <c r="T758">
        <f>IF($A758="","",IF($E758=1,IF(OR($B758="7062",$B758="706",$B758="708"),$P758,IF(AND(LEFT($B758,1)="6",$B758&lt;&gt;"6811"),-$P758,0)),0))</f>
        <v/>
      </c>
    </row>
    <row r="759">
      <c r="A759">
        <f>IF(PNL!A759="","",PNL!A759)</f>
        <v/>
      </c>
      <c r="B759">
        <f>IF(PNL!B759="","",PNL!B759)</f>
        <v/>
      </c>
      <c r="C759">
        <f>IF(PNL!C759="","",PNL!C759)</f>
        <v/>
      </c>
      <c r="D759">
        <f>IF(PNL!D759="","",PNL!D759)</f>
        <v/>
      </c>
      <c r="E759">
        <f>IF($A759="","",IF(AND($C759="2027",OR($D759="V01",$D759="V02",$D759="V03")),1,0))</f>
        <v/>
      </c>
      <c r="F759">
        <f>IF($A759="","",IF($E759=1,SUMIFS(Comptabilité!$F$1:$F$675,Comptabilité!$A$1:$A$675,$A759,Comptabilité!$B$1:$B$675,$B759,Comptabilité!$C$1:$C$675,"2026"),0))</f>
        <v/>
      </c>
      <c r="G759">
        <f>IF($A759="","",IF($D759="V01",Cadrage!$C$22,IF($D759="V02",Cadrage!$D$22,Cadrage!$E$22)))</f>
        <v/>
      </c>
      <c r="H759">
        <f>IF($A759="","",IF($D759="V01",Cadrage!$C$23,IF($D759="V02",Cadrage!$D$23,Cadrage!$E$23)))</f>
        <v/>
      </c>
      <c r="I759">
        <f>IF($A759="","",IF($D759="V01",Cadrage!$C$31,IF($D759="V02",Cadrage!$D$31,Cadrage!$E$31)))</f>
        <v/>
      </c>
      <c r="J759">
        <f>IF($A759="","",IF($D759="V01",Cadrage!$C$32,IF($D759="V02",Cadrage!$D$32,Cadrage!$E$32)))</f>
        <v/>
      </c>
      <c r="K759">
        <f>IF($A759="","",IF($D759="V01",Cadrage!$C$33,IF($D759="V02",Cadrage!$D$33,Cadrage!$E$33)))</f>
        <v/>
      </c>
      <c r="L759">
        <f>IF($A759="","",IF($D759="V01",Cadrage!$C$34,IF($D759="V02",Cadrage!$D$34,Cadrage!$E$34)))</f>
        <v/>
      </c>
      <c r="M759">
        <f>IF($A759="","",IF($D759="V01",Cadrage!$C$35,IF($D759="V02",Cadrage!$D$35,Cadrage!$E$35)))</f>
        <v/>
      </c>
      <c r="N759">
        <f>IF($A759="","",IF($D759="V01",$R$2,IF($D759="V02",$R$3,$R$4)))</f>
        <v/>
      </c>
      <c r="O759">
        <f>IF($A759="","",IF(OR($B759="7062",$B759="706",$B759="708"),$N759,IF($B759="6231",1+$G759,IF($B759="6236",1+$H759,IF(OR($B759="621",$B759="604",$B759="6063"),$N759*(1-$L759),IF(OR($B759="6411",$B759="6413",$B759="6414",$B759="645"),(1+$J759)*(1+$K759),IF(OR($B759="613",$B759="615",$B759="616",$B759="6226",$B759="625",$B759="626",$B759="6281"),(1+$I759)*(1-$L759)*(1+$M759),IF(OR($B759="6331",$B759="63511",$B759="6333"),(1+$I759)*(1-$L759),IF($B759="6811",1+$I759,1)))))))))</f>
        <v/>
      </c>
      <c r="P759">
        <f>IF($A759="","",IF($E759=1,$F759*$O759,PNL!G759))</f>
        <v/>
      </c>
      <c r="T759">
        <f>IF($A759="","",IF($E759=1,IF(OR($B759="7062",$B759="706",$B759="708"),$P759,IF(AND(LEFT($B759,1)="6",$B759&lt;&gt;"6811"),-$P759,0)),0))</f>
        <v/>
      </c>
    </row>
    <row r="760">
      <c r="A760">
        <f>IF(PNL!A760="","",PNL!A760)</f>
        <v/>
      </c>
      <c r="B760">
        <f>IF(PNL!B760="","",PNL!B760)</f>
        <v/>
      </c>
      <c r="C760">
        <f>IF(PNL!C760="","",PNL!C760)</f>
        <v/>
      </c>
      <c r="D760">
        <f>IF(PNL!D760="","",PNL!D760)</f>
        <v/>
      </c>
      <c r="E760">
        <f>IF($A760="","",IF(AND($C760="2027",OR($D760="V01",$D760="V02",$D760="V03")),1,0))</f>
        <v/>
      </c>
      <c r="F760">
        <f>IF($A760="","",IF($E760=1,SUMIFS(Comptabilité!$F$1:$F$675,Comptabilité!$A$1:$A$675,$A760,Comptabilité!$B$1:$B$675,$B760,Comptabilité!$C$1:$C$675,"2026"),0))</f>
        <v/>
      </c>
      <c r="G760">
        <f>IF($A760="","",IF($D760="V01",Cadrage!$C$22,IF($D760="V02",Cadrage!$D$22,Cadrage!$E$22)))</f>
        <v/>
      </c>
      <c r="H760">
        <f>IF($A760="","",IF($D760="V01",Cadrage!$C$23,IF($D760="V02",Cadrage!$D$23,Cadrage!$E$23)))</f>
        <v/>
      </c>
      <c r="I760">
        <f>IF($A760="","",IF($D760="V01",Cadrage!$C$31,IF($D760="V02",Cadrage!$D$31,Cadrage!$E$31)))</f>
        <v/>
      </c>
      <c r="J760">
        <f>IF($A760="","",IF($D760="V01",Cadrage!$C$32,IF($D760="V02",Cadrage!$D$32,Cadrage!$E$32)))</f>
        <v/>
      </c>
      <c r="K760">
        <f>IF($A760="","",IF($D760="V01",Cadrage!$C$33,IF($D760="V02",Cadrage!$D$33,Cadrage!$E$33)))</f>
        <v/>
      </c>
      <c r="L760">
        <f>IF($A760="","",IF($D760="V01",Cadrage!$C$34,IF($D760="V02",Cadrage!$D$34,Cadrage!$E$34)))</f>
        <v/>
      </c>
      <c r="M760">
        <f>IF($A760="","",IF($D760="V01",Cadrage!$C$35,IF($D760="V02",Cadrage!$D$35,Cadrage!$E$35)))</f>
        <v/>
      </c>
      <c r="N760">
        <f>IF($A760="","",IF($D760="V01",$R$2,IF($D760="V02",$R$3,$R$4)))</f>
        <v/>
      </c>
      <c r="O760">
        <f>IF($A760="","",IF(OR($B760="7062",$B760="706",$B760="708"),$N760,IF($B760="6231",1+$G760,IF($B760="6236",1+$H760,IF(OR($B760="621",$B760="604",$B760="6063"),$N760*(1-$L760),IF(OR($B760="6411",$B760="6413",$B760="6414",$B760="645"),(1+$J760)*(1+$K760),IF(OR($B760="613",$B760="615",$B760="616",$B760="6226",$B760="625",$B760="626",$B760="6281"),(1+$I760)*(1-$L760)*(1+$M760),IF(OR($B760="6331",$B760="63511",$B760="6333"),(1+$I760)*(1-$L760),IF($B760="6811",1+$I760,1)))))))))</f>
        <v/>
      </c>
      <c r="P760">
        <f>IF($A760="","",IF($E760=1,$F760*$O760,PNL!G760))</f>
        <v/>
      </c>
      <c r="T760">
        <f>IF($A760="","",IF($E760=1,IF(OR($B760="7062",$B760="706",$B760="708"),$P760,IF(AND(LEFT($B760,1)="6",$B760&lt;&gt;"6811"),-$P760,0)),0))</f>
        <v/>
      </c>
    </row>
    <row r="761">
      <c r="A761">
        <f>IF(PNL!A761="","",PNL!A761)</f>
        <v/>
      </c>
      <c r="B761">
        <f>IF(PNL!B761="","",PNL!B761)</f>
        <v/>
      </c>
      <c r="C761">
        <f>IF(PNL!C761="","",PNL!C761)</f>
        <v/>
      </c>
      <c r="D761">
        <f>IF(PNL!D761="","",PNL!D761)</f>
        <v/>
      </c>
      <c r="E761">
        <f>IF($A761="","",IF(AND($C761="2027",OR($D761="V01",$D761="V02",$D761="V03")),1,0))</f>
        <v/>
      </c>
      <c r="F761">
        <f>IF($A761="","",IF($E761=1,SUMIFS(Comptabilité!$F$1:$F$675,Comptabilité!$A$1:$A$675,$A761,Comptabilité!$B$1:$B$675,$B761,Comptabilité!$C$1:$C$675,"2026"),0))</f>
        <v/>
      </c>
      <c r="G761">
        <f>IF($A761="","",IF($D761="V01",Cadrage!$C$22,IF($D761="V02",Cadrage!$D$22,Cadrage!$E$22)))</f>
        <v/>
      </c>
      <c r="H761">
        <f>IF($A761="","",IF($D761="V01",Cadrage!$C$23,IF($D761="V02",Cadrage!$D$23,Cadrage!$E$23)))</f>
        <v/>
      </c>
      <c r="I761">
        <f>IF($A761="","",IF($D761="V01",Cadrage!$C$31,IF($D761="V02",Cadrage!$D$31,Cadrage!$E$31)))</f>
        <v/>
      </c>
      <c r="J761">
        <f>IF($A761="","",IF($D761="V01",Cadrage!$C$32,IF($D761="V02",Cadrage!$D$32,Cadrage!$E$32)))</f>
        <v/>
      </c>
      <c r="K761">
        <f>IF($A761="","",IF($D761="V01",Cadrage!$C$33,IF($D761="V02",Cadrage!$D$33,Cadrage!$E$33)))</f>
        <v/>
      </c>
      <c r="L761">
        <f>IF($A761="","",IF($D761="V01",Cadrage!$C$34,IF($D761="V02",Cadrage!$D$34,Cadrage!$E$34)))</f>
        <v/>
      </c>
      <c r="M761">
        <f>IF($A761="","",IF($D761="V01",Cadrage!$C$35,IF($D761="V02",Cadrage!$D$35,Cadrage!$E$35)))</f>
        <v/>
      </c>
      <c r="N761">
        <f>IF($A761="","",IF($D761="V01",$R$2,IF($D761="V02",$R$3,$R$4)))</f>
        <v/>
      </c>
      <c r="O761">
        <f>IF($A761="","",IF(OR($B761="7062",$B761="706",$B761="708"),$N761,IF($B761="6231",1+$G761,IF($B761="6236",1+$H761,IF(OR($B761="621",$B761="604",$B761="6063"),$N761*(1-$L761),IF(OR($B761="6411",$B761="6413",$B761="6414",$B761="645"),(1+$J761)*(1+$K761),IF(OR($B761="613",$B761="615",$B761="616",$B761="6226",$B761="625",$B761="626",$B761="6281"),(1+$I761)*(1-$L761)*(1+$M761),IF(OR($B761="6331",$B761="63511",$B761="6333"),(1+$I761)*(1-$L761),IF($B761="6811",1+$I761,1)))))))))</f>
        <v/>
      </c>
      <c r="P761">
        <f>IF($A761="","",IF($E761=1,$F761*$O761,PNL!G761))</f>
        <v/>
      </c>
      <c r="T761">
        <f>IF($A761="","",IF($E761=1,IF(OR($B761="7062",$B761="706",$B761="708"),$P761,IF(AND(LEFT($B761,1)="6",$B761&lt;&gt;"6811"),-$P761,0)),0))</f>
        <v/>
      </c>
    </row>
    <row r="762">
      <c r="A762">
        <f>IF(PNL!A762="","",PNL!A762)</f>
        <v/>
      </c>
      <c r="B762">
        <f>IF(PNL!B762="","",PNL!B762)</f>
        <v/>
      </c>
      <c r="C762">
        <f>IF(PNL!C762="","",PNL!C762)</f>
        <v/>
      </c>
      <c r="D762">
        <f>IF(PNL!D762="","",PNL!D762)</f>
        <v/>
      </c>
      <c r="E762">
        <f>IF($A762="","",IF(AND($C762="2027",OR($D762="V01",$D762="V02",$D762="V03")),1,0))</f>
        <v/>
      </c>
      <c r="F762">
        <f>IF($A762="","",IF($E762=1,SUMIFS(Comptabilité!$F$1:$F$675,Comptabilité!$A$1:$A$675,$A762,Comptabilité!$B$1:$B$675,$B762,Comptabilité!$C$1:$C$675,"2026"),0))</f>
        <v/>
      </c>
      <c r="G762">
        <f>IF($A762="","",IF($D762="V01",Cadrage!$C$22,IF($D762="V02",Cadrage!$D$22,Cadrage!$E$22)))</f>
        <v/>
      </c>
      <c r="H762">
        <f>IF($A762="","",IF($D762="V01",Cadrage!$C$23,IF($D762="V02",Cadrage!$D$23,Cadrage!$E$23)))</f>
        <v/>
      </c>
      <c r="I762">
        <f>IF($A762="","",IF($D762="V01",Cadrage!$C$31,IF($D762="V02",Cadrage!$D$31,Cadrage!$E$31)))</f>
        <v/>
      </c>
      <c r="J762">
        <f>IF($A762="","",IF($D762="V01",Cadrage!$C$32,IF($D762="V02",Cadrage!$D$32,Cadrage!$E$32)))</f>
        <v/>
      </c>
      <c r="K762">
        <f>IF($A762="","",IF($D762="V01",Cadrage!$C$33,IF($D762="V02",Cadrage!$D$33,Cadrage!$E$33)))</f>
        <v/>
      </c>
      <c r="L762">
        <f>IF($A762="","",IF($D762="V01",Cadrage!$C$34,IF($D762="V02",Cadrage!$D$34,Cadrage!$E$34)))</f>
        <v/>
      </c>
      <c r="M762">
        <f>IF($A762="","",IF($D762="V01",Cadrage!$C$35,IF($D762="V02",Cadrage!$D$35,Cadrage!$E$35)))</f>
        <v/>
      </c>
      <c r="N762">
        <f>IF($A762="","",IF($D762="V01",$R$2,IF($D762="V02",$R$3,$R$4)))</f>
        <v/>
      </c>
      <c r="O762">
        <f>IF($A762="","",IF(OR($B762="7062",$B762="706",$B762="708"),$N762,IF($B762="6231",1+$G762,IF($B762="6236",1+$H762,IF(OR($B762="621",$B762="604",$B762="6063"),$N762*(1-$L762),IF(OR($B762="6411",$B762="6413",$B762="6414",$B762="645"),(1+$J762)*(1+$K762),IF(OR($B762="613",$B762="615",$B762="616",$B762="6226",$B762="625",$B762="626",$B762="6281"),(1+$I762)*(1-$L762)*(1+$M762),IF(OR($B762="6331",$B762="63511",$B762="6333"),(1+$I762)*(1-$L762),IF($B762="6811",1+$I762,1)))))))))</f>
        <v/>
      </c>
      <c r="P762">
        <f>IF($A762="","",IF($E762=1,$F762*$O762,PNL!G762))</f>
        <v/>
      </c>
      <c r="T762">
        <f>IF($A762="","",IF($E762=1,IF(OR($B762="7062",$B762="706",$B762="708"),$P762,IF(AND(LEFT($B762,1)="6",$B762&lt;&gt;"6811"),-$P762,0)),0))</f>
        <v/>
      </c>
    </row>
    <row r="763">
      <c r="A763">
        <f>IF(PNL!A763="","",PNL!A763)</f>
        <v/>
      </c>
      <c r="B763">
        <f>IF(PNL!B763="","",PNL!B763)</f>
        <v/>
      </c>
      <c r="C763">
        <f>IF(PNL!C763="","",PNL!C763)</f>
        <v/>
      </c>
      <c r="D763">
        <f>IF(PNL!D763="","",PNL!D763)</f>
        <v/>
      </c>
      <c r="E763">
        <f>IF($A763="","",IF(AND($C763="2027",OR($D763="V01",$D763="V02",$D763="V03")),1,0))</f>
        <v/>
      </c>
      <c r="F763">
        <f>IF($A763="","",IF($E763=1,SUMIFS(Comptabilité!$F$1:$F$675,Comptabilité!$A$1:$A$675,$A763,Comptabilité!$B$1:$B$675,$B763,Comptabilité!$C$1:$C$675,"2026"),0))</f>
        <v/>
      </c>
      <c r="G763">
        <f>IF($A763="","",IF($D763="V01",Cadrage!$C$22,IF($D763="V02",Cadrage!$D$22,Cadrage!$E$22)))</f>
        <v/>
      </c>
      <c r="H763">
        <f>IF($A763="","",IF($D763="V01",Cadrage!$C$23,IF($D763="V02",Cadrage!$D$23,Cadrage!$E$23)))</f>
        <v/>
      </c>
      <c r="I763">
        <f>IF($A763="","",IF($D763="V01",Cadrage!$C$31,IF($D763="V02",Cadrage!$D$31,Cadrage!$E$31)))</f>
        <v/>
      </c>
      <c r="J763">
        <f>IF($A763="","",IF($D763="V01",Cadrage!$C$32,IF($D763="V02",Cadrage!$D$32,Cadrage!$E$32)))</f>
        <v/>
      </c>
      <c r="K763">
        <f>IF($A763="","",IF($D763="V01",Cadrage!$C$33,IF($D763="V02",Cadrage!$D$33,Cadrage!$E$33)))</f>
        <v/>
      </c>
      <c r="L763">
        <f>IF($A763="","",IF($D763="V01",Cadrage!$C$34,IF($D763="V02",Cadrage!$D$34,Cadrage!$E$34)))</f>
        <v/>
      </c>
      <c r="M763">
        <f>IF($A763="","",IF($D763="V01",Cadrage!$C$35,IF($D763="V02",Cadrage!$D$35,Cadrage!$E$35)))</f>
        <v/>
      </c>
      <c r="N763">
        <f>IF($A763="","",IF($D763="V01",$R$2,IF($D763="V02",$R$3,$R$4)))</f>
        <v/>
      </c>
      <c r="O763">
        <f>IF($A763="","",IF(OR($B763="7062",$B763="706",$B763="708"),$N763,IF($B763="6231",1+$G763,IF($B763="6236",1+$H763,IF(OR($B763="621",$B763="604",$B763="6063"),$N763*(1-$L763),IF(OR($B763="6411",$B763="6413",$B763="6414",$B763="645"),(1+$J763)*(1+$K763),IF(OR($B763="613",$B763="615",$B763="616",$B763="6226",$B763="625",$B763="626",$B763="6281"),(1+$I763)*(1-$L763)*(1+$M763),IF(OR($B763="6331",$B763="63511",$B763="6333"),(1+$I763)*(1-$L763),IF($B763="6811",1+$I763,1)))))))))</f>
        <v/>
      </c>
      <c r="P763">
        <f>IF($A763="","",IF($E763=1,$F763*$O763,PNL!G763))</f>
        <v/>
      </c>
      <c r="T763">
        <f>IF($A763="","",IF($E763=1,IF(OR($B763="7062",$B763="706",$B763="708"),$P763,IF(AND(LEFT($B763,1)="6",$B763&lt;&gt;"6811"),-$P763,0)),0))</f>
        <v/>
      </c>
    </row>
    <row r="764">
      <c r="A764">
        <f>IF(PNL!A764="","",PNL!A764)</f>
        <v/>
      </c>
      <c r="B764">
        <f>IF(PNL!B764="","",PNL!B764)</f>
        <v/>
      </c>
      <c r="C764">
        <f>IF(PNL!C764="","",PNL!C764)</f>
        <v/>
      </c>
      <c r="D764">
        <f>IF(PNL!D764="","",PNL!D764)</f>
        <v/>
      </c>
      <c r="E764">
        <f>IF($A764="","",IF(AND($C764="2027",OR($D764="V01",$D764="V02",$D764="V03")),1,0))</f>
        <v/>
      </c>
      <c r="F764">
        <f>IF($A764="","",IF($E764=1,SUMIFS(Comptabilité!$F$1:$F$675,Comptabilité!$A$1:$A$675,$A764,Comptabilité!$B$1:$B$675,$B764,Comptabilité!$C$1:$C$675,"2026"),0))</f>
        <v/>
      </c>
      <c r="G764">
        <f>IF($A764="","",IF($D764="V01",Cadrage!$C$22,IF($D764="V02",Cadrage!$D$22,Cadrage!$E$22)))</f>
        <v/>
      </c>
      <c r="H764">
        <f>IF($A764="","",IF($D764="V01",Cadrage!$C$23,IF($D764="V02",Cadrage!$D$23,Cadrage!$E$23)))</f>
        <v/>
      </c>
      <c r="I764">
        <f>IF($A764="","",IF($D764="V01",Cadrage!$C$31,IF($D764="V02",Cadrage!$D$31,Cadrage!$E$31)))</f>
        <v/>
      </c>
      <c r="J764">
        <f>IF($A764="","",IF($D764="V01",Cadrage!$C$32,IF($D764="V02",Cadrage!$D$32,Cadrage!$E$32)))</f>
        <v/>
      </c>
      <c r="K764">
        <f>IF($A764="","",IF($D764="V01",Cadrage!$C$33,IF($D764="V02",Cadrage!$D$33,Cadrage!$E$33)))</f>
        <v/>
      </c>
      <c r="L764">
        <f>IF($A764="","",IF($D764="V01",Cadrage!$C$34,IF($D764="V02",Cadrage!$D$34,Cadrage!$E$34)))</f>
        <v/>
      </c>
      <c r="M764">
        <f>IF($A764="","",IF($D764="V01",Cadrage!$C$35,IF($D764="V02",Cadrage!$D$35,Cadrage!$E$35)))</f>
        <v/>
      </c>
      <c r="N764">
        <f>IF($A764="","",IF($D764="V01",$R$2,IF($D764="V02",$R$3,$R$4)))</f>
        <v/>
      </c>
      <c r="O764">
        <f>IF($A764="","",IF(OR($B764="7062",$B764="706",$B764="708"),$N764,IF($B764="6231",1+$G764,IF($B764="6236",1+$H764,IF(OR($B764="621",$B764="604",$B764="6063"),$N764*(1-$L764),IF(OR($B764="6411",$B764="6413",$B764="6414",$B764="645"),(1+$J764)*(1+$K764),IF(OR($B764="613",$B764="615",$B764="616",$B764="6226",$B764="625",$B764="626",$B764="6281"),(1+$I764)*(1-$L764)*(1+$M764),IF(OR($B764="6331",$B764="63511",$B764="6333"),(1+$I764)*(1-$L764),IF($B764="6811",1+$I764,1)))))))))</f>
        <v/>
      </c>
      <c r="P764">
        <f>IF($A764="","",IF($E764=1,$F764*$O764,PNL!G764))</f>
        <v/>
      </c>
      <c r="T764">
        <f>IF($A764="","",IF($E764=1,IF(OR($B764="7062",$B764="706",$B764="708"),$P764,IF(AND(LEFT($B764,1)="6",$B764&lt;&gt;"6811"),-$P764,0)),0))</f>
        <v/>
      </c>
    </row>
    <row r="765">
      <c r="A765">
        <f>IF(PNL!A765="","",PNL!A765)</f>
        <v/>
      </c>
      <c r="B765">
        <f>IF(PNL!B765="","",PNL!B765)</f>
        <v/>
      </c>
      <c r="C765">
        <f>IF(PNL!C765="","",PNL!C765)</f>
        <v/>
      </c>
      <c r="D765">
        <f>IF(PNL!D765="","",PNL!D765)</f>
        <v/>
      </c>
      <c r="E765">
        <f>IF($A765="","",IF(AND($C765="2027",OR($D765="V01",$D765="V02",$D765="V03")),1,0))</f>
        <v/>
      </c>
      <c r="F765">
        <f>IF($A765="","",IF($E765=1,SUMIFS(Comptabilité!$F$1:$F$675,Comptabilité!$A$1:$A$675,$A765,Comptabilité!$B$1:$B$675,$B765,Comptabilité!$C$1:$C$675,"2026"),0))</f>
        <v/>
      </c>
      <c r="G765">
        <f>IF($A765="","",IF($D765="V01",Cadrage!$C$22,IF($D765="V02",Cadrage!$D$22,Cadrage!$E$22)))</f>
        <v/>
      </c>
      <c r="H765">
        <f>IF($A765="","",IF($D765="V01",Cadrage!$C$23,IF($D765="V02",Cadrage!$D$23,Cadrage!$E$23)))</f>
        <v/>
      </c>
      <c r="I765">
        <f>IF($A765="","",IF($D765="V01",Cadrage!$C$31,IF($D765="V02",Cadrage!$D$31,Cadrage!$E$31)))</f>
        <v/>
      </c>
      <c r="J765">
        <f>IF($A765="","",IF($D765="V01",Cadrage!$C$32,IF($D765="V02",Cadrage!$D$32,Cadrage!$E$32)))</f>
        <v/>
      </c>
      <c r="K765">
        <f>IF($A765="","",IF($D765="V01",Cadrage!$C$33,IF($D765="V02",Cadrage!$D$33,Cadrage!$E$33)))</f>
        <v/>
      </c>
      <c r="L765">
        <f>IF($A765="","",IF($D765="V01",Cadrage!$C$34,IF($D765="V02",Cadrage!$D$34,Cadrage!$E$34)))</f>
        <v/>
      </c>
      <c r="M765">
        <f>IF($A765="","",IF($D765="V01",Cadrage!$C$35,IF($D765="V02",Cadrage!$D$35,Cadrage!$E$35)))</f>
        <v/>
      </c>
      <c r="N765">
        <f>IF($A765="","",IF($D765="V01",$R$2,IF($D765="V02",$R$3,$R$4)))</f>
        <v/>
      </c>
      <c r="O765">
        <f>IF($A765="","",IF(OR($B765="7062",$B765="706",$B765="708"),$N765,IF($B765="6231",1+$G765,IF($B765="6236",1+$H765,IF(OR($B765="621",$B765="604",$B765="6063"),$N765*(1-$L765),IF(OR($B765="6411",$B765="6413",$B765="6414",$B765="645"),(1+$J765)*(1+$K765),IF(OR($B765="613",$B765="615",$B765="616",$B765="6226",$B765="625",$B765="626",$B765="6281"),(1+$I765)*(1-$L765)*(1+$M765),IF(OR($B765="6331",$B765="63511",$B765="6333"),(1+$I765)*(1-$L765),IF($B765="6811",1+$I765,1)))))))))</f>
        <v/>
      </c>
      <c r="P765">
        <f>IF($A765="","",IF($E765=1,$F765*$O765,PNL!G765))</f>
        <v/>
      </c>
      <c r="T765">
        <f>IF($A765="","",IF($E765=1,IF(OR($B765="7062",$B765="706",$B765="708"),$P765,IF(AND(LEFT($B765,1)="6",$B765&lt;&gt;"6811"),-$P765,0)),0))</f>
        <v/>
      </c>
    </row>
    <row r="766">
      <c r="A766">
        <f>IF(PNL!A766="","",PNL!A766)</f>
        <v/>
      </c>
      <c r="B766">
        <f>IF(PNL!B766="","",PNL!B766)</f>
        <v/>
      </c>
      <c r="C766">
        <f>IF(PNL!C766="","",PNL!C766)</f>
        <v/>
      </c>
      <c r="D766">
        <f>IF(PNL!D766="","",PNL!D766)</f>
        <v/>
      </c>
      <c r="E766">
        <f>IF($A766="","",IF(AND($C766="2027",OR($D766="V01",$D766="V02",$D766="V03")),1,0))</f>
        <v/>
      </c>
      <c r="F766">
        <f>IF($A766="","",IF($E766=1,SUMIFS(Comptabilité!$F$1:$F$675,Comptabilité!$A$1:$A$675,$A766,Comptabilité!$B$1:$B$675,$B766,Comptabilité!$C$1:$C$675,"2026"),0))</f>
        <v/>
      </c>
      <c r="G766">
        <f>IF($A766="","",IF($D766="V01",Cadrage!$C$22,IF($D766="V02",Cadrage!$D$22,Cadrage!$E$22)))</f>
        <v/>
      </c>
      <c r="H766">
        <f>IF($A766="","",IF($D766="V01",Cadrage!$C$23,IF($D766="V02",Cadrage!$D$23,Cadrage!$E$23)))</f>
        <v/>
      </c>
      <c r="I766">
        <f>IF($A766="","",IF($D766="V01",Cadrage!$C$31,IF($D766="V02",Cadrage!$D$31,Cadrage!$E$31)))</f>
        <v/>
      </c>
      <c r="J766">
        <f>IF($A766="","",IF($D766="V01",Cadrage!$C$32,IF($D766="V02",Cadrage!$D$32,Cadrage!$E$32)))</f>
        <v/>
      </c>
      <c r="K766">
        <f>IF($A766="","",IF($D766="V01",Cadrage!$C$33,IF($D766="V02",Cadrage!$D$33,Cadrage!$E$33)))</f>
        <v/>
      </c>
      <c r="L766">
        <f>IF($A766="","",IF($D766="V01",Cadrage!$C$34,IF($D766="V02",Cadrage!$D$34,Cadrage!$E$34)))</f>
        <v/>
      </c>
      <c r="M766">
        <f>IF($A766="","",IF($D766="V01",Cadrage!$C$35,IF($D766="V02",Cadrage!$D$35,Cadrage!$E$35)))</f>
        <v/>
      </c>
      <c r="N766">
        <f>IF($A766="","",IF($D766="V01",$R$2,IF($D766="V02",$R$3,$R$4)))</f>
        <v/>
      </c>
      <c r="O766">
        <f>IF($A766="","",IF(OR($B766="7062",$B766="706",$B766="708"),$N766,IF($B766="6231",1+$G766,IF($B766="6236",1+$H766,IF(OR($B766="621",$B766="604",$B766="6063"),$N766*(1-$L766),IF(OR($B766="6411",$B766="6413",$B766="6414",$B766="645"),(1+$J766)*(1+$K766),IF(OR($B766="613",$B766="615",$B766="616",$B766="6226",$B766="625",$B766="626",$B766="6281"),(1+$I766)*(1-$L766)*(1+$M766),IF(OR($B766="6331",$B766="63511",$B766="6333"),(1+$I766)*(1-$L766),IF($B766="6811",1+$I766,1)))))))))</f>
        <v/>
      </c>
      <c r="P766">
        <f>IF($A766="","",IF($E766=1,$F766*$O766,PNL!G766))</f>
        <v/>
      </c>
      <c r="T766">
        <f>IF($A766="","",IF($E766=1,IF(OR($B766="7062",$B766="706",$B766="708"),$P766,IF(AND(LEFT($B766,1)="6",$B766&lt;&gt;"6811"),-$P766,0)),0))</f>
        <v/>
      </c>
    </row>
    <row r="767">
      <c r="A767">
        <f>IF(PNL!A767="","",PNL!A767)</f>
        <v/>
      </c>
      <c r="B767">
        <f>IF(PNL!B767="","",PNL!B767)</f>
        <v/>
      </c>
      <c r="C767">
        <f>IF(PNL!C767="","",PNL!C767)</f>
        <v/>
      </c>
      <c r="D767">
        <f>IF(PNL!D767="","",PNL!D767)</f>
        <v/>
      </c>
      <c r="E767">
        <f>IF($A767="","",IF(AND($C767="2027",OR($D767="V01",$D767="V02",$D767="V03")),1,0))</f>
        <v/>
      </c>
      <c r="F767">
        <f>IF($A767="","",IF($E767=1,SUMIFS(Comptabilité!$F$1:$F$675,Comptabilité!$A$1:$A$675,$A767,Comptabilité!$B$1:$B$675,$B767,Comptabilité!$C$1:$C$675,"2026"),0))</f>
        <v/>
      </c>
      <c r="G767">
        <f>IF($A767="","",IF($D767="V01",Cadrage!$C$22,IF($D767="V02",Cadrage!$D$22,Cadrage!$E$22)))</f>
        <v/>
      </c>
      <c r="H767">
        <f>IF($A767="","",IF($D767="V01",Cadrage!$C$23,IF($D767="V02",Cadrage!$D$23,Cadrage!$E$23)))</f>
        <v/>
      </c>
      <c r="I767">
        <f>IF($A767="","",IF($D767="V01",Cadrage!$C$31,IF($D767="V02",Cadrage!$D$31,Cadrage!$E$31)))</f>
        <v/>
      </c>
      <c r="J767">
        <f>IF($A767="","",IF($D767="V01",Cadrage!$C$32,IF($D767="V02",Cadrage!$D$32,Cadrage!$E$32)))</f>
        <v/>
      </c>
      <c r="K767">
        <f>IF($A767="","",IF($D767="V01",Cadrage!$C$33,IF($D767="V02",Cadrage!$D$33,Cadrage!$E$33)))</f>
        <v/>
      </c>
      <c r="L767">
        <f>IF($A767="","",IF($D767="V01",Cadrage!$C$34,IF($D767="V02",Cadrage!$D$34,Cadrage!$E$34)))</f>
        <v/>
      </c>
      <c r="M767">
        <f>IF($A767="","",IF($D767="V01",Cadrage!$C$35,IF($D767="V02",Cadrage!$D$35,Cadrage!$E$35)))</f>
        <v/>
      </c>
      <c r="N767">
        <f>IF($A767="","",IF($D767="V01",$R$2,IF($D767="V02",$R$3,$R$4)))</f>
        <v/>
      </c>
      <c r="O767">
        <f>IF($A767="","",IF(OR($B767="7062",$B767="706",$B767="708"),$N767,IF($B767="6231",1+$G767,IF($B767="6236",1+$H767,IF(OR($B767="621",$B767="604",$B767="6063"),$N767*(1-$L767),IF(OR($B767="6411",$B767="6413",$B767="6414",$B767="645"),(1+$J767)*(1+$K767),IF(OR($B767="613",$B767="615",$B767="616",$B767="6226",$B767="625",$B767="626",$B767="6281"),(1+$I767)*(1-$L767)*(1+$M767),IF(OR($B767="6331",$B767="63511",$B767="6333"),(1+$I767)*(1-$L767),IF($B767="6811",1+$I767,1)))))))))</f>
        <v/>
      </c>
      <c r="P767">
        <f>IF($A767="","",IF($E767=1,$F767*$O767,PNL!G767))</f>
        <v/>
      </c>
      <c r="T767">
        <f>IF($A767="","",IF($E767=1,IF(OR($B767="7062",$B767="706",$B767="708"),$P767,IF(AND(LEFT($B767,1)="6",$B767&lt;&gt;"6811"),-$P767,0)),0))</f>
        <v/>
      </c>
    </row>
    <row r="768">
      <c r="A768">
        <f>IF(PNL!A768="","",PNL!A768)</f>
        <v/>
      </c>
      <c r="B768">
        <f>IF(PNL!B768="","",PNL!B768)</f>
        <v/>
      </c>
      <c r="C768">
        <f>IF(PNL!C768="","",PNL!C768)</f>
        <v/>
      </c>
      <c r="D768">
        <f>IF(PNL!D768="","",PNL!D768)</f>
        <v/>
      </c>
      <c r="E768">
        <f>IF($A768="","",IF(AND($C768="2027",OR($D768="V01",$D768="V02",$D768="V03")),1,0))</f>
        <v/>
      </c>
      <c r="F768">
        <f>IF($A768="","",IF($E768=1,SUMIFS(Comptabilité!$F$1:$F$675,Comptabilité!$A$1:$A$675,$A768,Comptabilité!$B$1:$B$675,$B768,Comptabilité!$C$1:$C$675,"2026"),0))</f>
        <v/>
      </c>
      <c r="G768">
        <f>IF($A768="","",IF($D768="V01",Cadrage!$C$22,IF($D768="V02",Cadrage!$D$22,Cadrage!$E$22)))</f>
        <v/>
      </c>
      <c r="H768">
        <f>IF($A768="","",IF($D768="V01",Cadrage!$C$23,IF($D768="V02",Cadrage!$D$23,Cadrage!$E$23)))</f>
        <v/>
      </c>
      <c r="I768">
        <f>IF($A768="","",IF($D768="V01",Cadrage!$C$31,IF($D768="V02",Cadrage!$D$31,Cadrage!$E$31)))</f>
        <v/>
      </c>
      <c r="J768">
        <f>IF($A768="","",IF($D768="V01",Cadrage!$C$32,IF($D768="V02",Cadrage!$D$32,Cadrage!$E$32)))</f>
        <v/>
      </c>
      <c r="K768">
        <f>IF($A768="","",IF($D768="V01",Cadrage!$C$33,IF($D768="V02",Cadrage!$D$33,Cadrage!$E$33)))</f>
        <v/>
      </c>
      <c r="L768">
        <f>IF($A768="","",IF($D768="V01",Cadrage!$C$34,IF($D768="V02",Cadrage!$D$34,Cadrage!$E$34)))</f>
        <v/>
      </c>
      <c r="M768">
        <f>IF($A768="","",IF($D768="V01",Cadrage!$C$35,IF($D768="V02",Cadrage!$D$35,Cadrage!$E$35)))</f>
        <v/>
      </c>
      <c r="N768">
        <f>IF($A768="","",IF($D768="V01",$R$2,IF($D768="V02",$R$3,$R$4)))</f>
        <v/>
      </c>
      <c r="O768">
        <f>IF($A768="","",IF(OR($B768="7062",$B768="706",$B768="708"),$N768,IF($B768="6231",1+$G768,IF($B768="6236",1+$H768,IF(OR($B768="621",$B768="604",$B768="6063"),$N768*(1-$L768),IF(OR($B768="6411",$B768="6413",$B768="6414",$B768="645"),(1+$J768)*(1+$K768),IF(OR($B768="613",$B768="615",$B768="616",$B768="6226",$B768="625",$B768="626",$B768="6281"),(1+$I768)*(1-$L768)*(1+$M768),IF(OR($B768="6331",$B768="63511",$B768="6333"),(1+$I768)*(1-$L768),IF($B768="6811",1+$I768,1)))))))))</f>
        <v/>
      </c>
      <c r="P768">
        <f>IF($A768="","",IF($E768=1,$F768*$O768,PNL!G768))</f>
        <v/>
      </c>
      <c r="T768">
        <f>IF($A768="","",IF($E768=1,IF(OR($B768="7062",$B768="706",$B768="708"),$P768,IF(AND(LEFT($B768,1)="6",$B768&lt;&gt;"6811"),-$P768,0)),0))</f>
        <v/>
      </c>
    </row>
    <row r="769">
      <c r="A769">
        <f>IF(PNL!A769="","",PNL!A769)</f>
        <v/>
      </c>
      <c r="B769">
        <f>IF(PNL!B769="","",PNL!B769)</f>
        <v/>
      </c>
      <c r="C769">
        <f>IF(PNL!C769="","",PNL!C769)</f>
        <v/>
      </c>
      <c r="D769">
        <f>IF(PNL!D769="","",PNL!D769)</f>
        <v/>
      </c>
      <c r="E769">
        <f>IF($A769="","",IF(AND($C769="2027",OR($D769="V01",$D769="V02",$D769="V03")),1,0))</f>
        <v/>
      </c>
      <c r="F769">
        <f>IF($A769="","",IF($E769=1,SUMIFS(Comptabilité!$F$1:$F$675,Comptabilité!$A$1:$A$675,$A769,Comptabilité!$B$1:$B$675,$B769,Comptabilité!$C$1:$C$675,"2026"),0))</f>
        <v/>
      </c>
      <c r="G769">
        <f>IF($A769="","",IF($D769="V01",Cadrage!$C$22,IF($D769="V02",Cadrage!$D$22,Cadrage!$E$22)))</f>
        <v/>
      </c>
      <c r="H769">
        <f>IF($A769="","",IF($D769="V01",Cadrage!$C$23,IF($D769="V02",Cadrage!$D$23,Cadrage!$E$23)))</f>
        <v/>
      </c>
      <c r="I769">
        <f>IF($A769="","",IF($D769="V01",Cadrage!$C$31,IF($D769="V02",Cadrage!$D$31,Cadrage!$E$31)))</f>
        <v/>
      </c>
      <c r="J769">
        <f>IF($A769="","",IF($D769="V01",Cadrage!$C$32,IF($D769="V02",Cadrage!$D$32,Cadrage!$E$32)))</f>
        <v/>
      </c>
      <c r="K769">
        <f>IF($A769="","",IF($D769="V01",Cadrage!$C$33,IF($D769="V02",Cadrage!$D$33,Cadrage!$E$33)))</f>
        <v/>
      </c>
      <c r="L769">
        <f>IF($A769="","",IF($D769="V01",Cadrage!$C$34,IF($D769="V02",Cadrage!$D$34,Cadrage!$E$34)))</f>
        <v/>
      </c>
      <c r="M769">
        <f>IF($A769="","",IF($D769="V01",Cadrage!$C$35,IF($D769="V02",Cadrage!$D$35,Cadrage!$E$35)))</f>
        <v/>
      </c>
      <c r="N769">
        <f>IF($A769="","",IF($D769="V01",$R$2,IF($D769="V02",$R$3,$R$4)))</f>
        <v/>
      </c>
      <c r="O769">
        <f>IF($A769="","",IF(OR($B769="7062",$B769="706",$B769="708"),$N769,IF($B769="6231",1+$G769,IF($B769="6236",1+$H769,IF(OR($B769="621",$B769="604",$B769="6063"),$N769*(1-$L769),IF(OR($B769="6411",$B769="6413",$B769="6414",$B769="645"),(1+$J769)*(1+$K769),IF(OR($B769="613",$B769="615",$B769="616",$B769="6226",$B769="625",$B769="626",$B769="6281"),(1+$I769)*(1-$L769)*(1+$M769),IF(OR($B769="6331",$B769="63511",$B769="6333"),(1+$I769)*(1-$L769),IF($B769="6811",1+$I769,1)))))))))</f>
        <v/>
      </c>
      <c r="P769">
        <f>IF($A769="","",IF($E769=1,$F769*$O769,PNL!G769))</f>
        <v/>
      </c>
      <c r="T769">
        <f>IF($A769="","",IF($E769=1,IF(OR($B769="7062",$B769="706",$B769="708"),$P769,IF(AND(LEFT($B769,1)="6",$B769&lt;&gt;"6811"),-$P769,0)),0))</f>
        <v/>
      </c>
    </row>
    <row r="770">
      <c r="A770">
        <f>IF(PNL!A770="","",PNL!A770)</f>
        <v/>
      </c>
      <c r="B770">
        <f>IF(PNL!B770="","",PNL!B770)</f>
        <v/>
      </c>
      <c r="C770">
        <f>IF(PNL!C770="","",PNL!C770)</f>
        <v/>
      </c>
      <c r="D770">
        <f>IF(PNL!D770="","",PNL!D770)</f>
        <v/>
      </c>
      <c r="E770">
        <f>IF($A770="","",IF(AND($C770="2027",OR($D770="V01",$D770="V02",$D770="V03")),1,0))</f>
        <v/>
      </c>
      <c r="F770">
        <f>IF($A770="","",IF($E770=1,SUMIFS(Comptabilité!$F$1:$F$675,Comptabilité!$A$1:$A$675,$A770,Comptabilité!$B$1:$B$675,$B770,Comptabilité!$C$1:$C$675,"2026"),0))</f>
        <v/>
      </c>
      <c r="G770">
        <f>IF($A770="","",IF($D770="V01",Cadrage!$C$22,IF($D770="V02",Cadrage!$D$22,Cadrage!$E$22)))</f>
        <v/>
      </c>
      <c r="H770">
        <f>IF($A770="","",IF($D770="V01",Cadrage!$C$23,IF($D770="V02",Cadrage!$D$23,Cadrage!$E$23)))</f>
        <v/>
      </c>
      <c r="I770">
        <f>IF($A770="","",IF($D770="V01",Cadrage!$C$31,IF($D770="V02",Cadrage!$D$31,Cadrage!$E$31)))</f>
        <v/>
      </c>
      <c r="J770">
        <f>IF($A770="","",IF($D770="V01",Cadrage!$C$32,IF($D770="V02",Cadrage!$D$32,Cadrage!$E$32)))</f>
        <v/>
      </c>
      <c r="K770">
        <f>IF($A770="","",IF($D770="V01",Cadrage!$C$33,IF($D770="V02",Cadrage!$D$33,Cadrage!$E$33)))</f>
        <v/>
      </c>
      <c r="L770">
        <f>IF($A770="","",IF($D770="V01",Cadrage!$C$34,IF($D770="V02",Cadrage!$D$34,Cadrage!$E$34)))</f>
        <v/>
      </c>
      <c r="M770">
        <f>IF($A770="","",IF($D770="V01",Cadrage!$C$35,IF($D770="V02",Cadrage!$D$35,Cadrage!$E$35)))</f>
        <v/>
      </c>
      <c r="N770">
        <f>IF($A770="","",IF($D770="V01",$R$2,IF($D770="V02",$R$3,$R$4)))</f>
        <v/>
      </c>
      <c r="O770">
        <f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>
        <f>IF($A770="","",IF($E770=1,$F770*$O770,PNL!G770))</f>
        <v/>
      </c>
      <c r="T770">
        <f>IF($A770="","",IF($E770=1,IF(OR($B770="7062",$B770="706",$B770="708"),$P770,IF(AND(LEFT($B770,1)="6",$B770&lt;&gt;"6811"),-$P770,0)),0))</f>
        <v/>
      </c>
    </row>
    <row r="771">
      <c r="A771">
        <f>IF(PNL!A771="","",PNL!A771)</f>
        <v/>
      </c>
      <c r="B771">
        <f>IF(PNL!B771="","",PNL!B771)</f>
        <v/>
      </c>
      <c r="C771">
        <f>IF(PNL!C771="","",PNL!C771)</f>
        <v/>
      </c>
      <c r="D771">
        <f>IF(PNL!D771="","",PNL!D771)</f>
        <v/>
      </c>
      <c r="E771">
        <f>IF($A771="","",IF(AND($C771="2027",OR($D771="V01",$D771="V02",$D771="V03")),1,0))</f>
        <v/>
      </c>
      <c r="F771">
        <f>IF($A771="","",IF($E771=1,SUMIFS(Comptabilité!$F$1:$F$675,Comptabilité!$A$1:$A$675,$A771,Comptabilité!$B$1:$B$675,$B771,Comptabilité!$C$1:$C$675,"2026"),0))</f>
        <v/>
      </c>
      <c r="G771">
        <f>IF($A771="","",IF($D771="V01",Cadrage!$C$22,IF($D771="V02",Cadrage!$D$22,Cadrage!$E$22)))</f>
        <v/>
      </c>
      <c r="H771">
        <f>IF($A771="","",IF($D771="V01",Cadrage!$C$23,IF($D771="V02",Cadrage!$D$23,Cadrage!$E$23)))</f>
        <v/>
      </c>
      <c r="I771">
        <f>IF($A771="","",IF($D771="V01",Cadrage!$C$31,IF($D771="V02",Cadrage!$D$31,Cadrage!$E$31)))</f>
        <v/>
      </c>
      <c r="J771">
        <f>IF($A771="","",IF($D771="V01",Cadrage!$C$32,IF($D771="V02",Cadrage!$D$32,Cadrage!$E$32)))</f>
        <v/>
      </c>
      <c r="K771">
        <f>IF($A771="","",IF($D771="V01",Cadrage!$C$33,IF($D771="V02",Cadrage!$D$33,Cadrage!$E$33)))</f>
        <v/>
      </c>
      <c r="L771">
        <f>IF($A771="","",IF($D771="V01",Cadrage!$C$34,IF($D771="V02",Cadrage!$D$34,Cadrage!$E$34)))</f>
        <v/>
      </c>
      <c r="M771">
        <f>IF($A771="","",IF($D771="V01",Cadrage!$C$35,IF($D771="V02",Cadrage!$D$35,Cadrage!$E$35)))</f>
        <v/>
      </c>
      <c r="N771">
        <f>IF($A771="","",IF($D771="V01",$R$2,IF($D771="V02",$R$3,$R$4)))</f>
        <v/>
      </c>
      <c r="O771">
        <f>IF($A771="","",IF(OR($B771="7062",$B771="706",$B771="708"),$N771,IF($B771="6231",1+$G771,IF($B771="6236",1+$H771,IF(OR($B771="621",$B771="604",$B771="6063"),$N771*(1-$L771),IF(OR($B771="6411",$B771="6413",$B771="6414",$B771="645"),(1+$J771)*(1+$K771),IF(OR($B771="613",$B771="615",$B771="616",$B771="6226",$B771="625",$B771="626",$B771="6281"),(1+$I771)*(1-$L771)*(1+$M771),IF(OR($B771="6331",$B771="63511",$B771="6333"),(1+$I771)*(1-$L771),IF($B771="6811",1+$I771,1)))))))))</f>
        <v/>
      </c>
      <c r="P771">
        <f>IF($A771="","",IF($E771=1,$F771*$O771,PNL!G771))</f>
        <v/>
      </c>
      <c r="T771">
        <f>IF($A771="","",IF($E771=1,IF(OR($B771="7062",$B771="706",$B771="708"),$P771,IF(AND(LEFT($B771,1)="6",$B771&lt;&gt;"6811"),-$P771,0)),0))</f>
        <v/>
      </c>
    </row>
    <row r="772">
      <c r="A772">
        <f>IF(PNL!A772="","",PNL!A772)</f>
        <v/>
      </c>
      <c r="B772">
        <f>IF(PNL!B772="","",PNL!B772)</f>
        <v/>
      </c>
      <c r="C772">
        <f>IF(PNL!C772="","",PNL!C772)</f>
        <v/>
      </c>
      <c r="D772">
        <f>IF(PNL!D772="","",PNL!D772)</f>
        <v/>
      </c>
      <c r="E772">
        <f>IF($A772="","",IF(AND($C772="2027",OR($D772="V01",$D772="V02",$D772="V03")),1,0))</f>
        <v/>
      </c>
      <c r="F772">
        <f>IF($A772="","",IF($E772=1,SUMIFS(Comptabilité!$F$1:$F$675,Comptabilité!$A$1:$A$675,$A772,Comptabilité!$B$1:$B$675,$B772,Comptabilité!$C$1:$C$675,"2026"),0))</f>
        <v/>
      </c>
      <c r="G772">
        <f>IF($A772="","",IF($D772="V01",Cadrage!$C$22,IF($D772="V02",Cadrage!$D$22,Cadrage!$E$22)))</f>
        <v/>
      </c>
      <c r="H772">
        <f>IF($A772="","",IF($D772="V01",Cadrage!$C$23,IF($D772="V02",Cadrage!$D$23,Cadrage!$E$23)))</f>
        <v/>
      </c>
      <c r="I772">
        <f>IF($A772="","",IF($D772="V01",Cadrage!$C$31,IF($D772="V02",Cadrage!$D$31,Cadrage!$E$31)))</f>
        <v/>
      </c>
      <c r="J772">
        <f>IF($A772="","",IF($D772="V01",Cadrage!$C$32,IF($D772="V02",Cadrage!$D$32,Cadrage!$E$32)))</f>
        <v/>
      </c>
      <c r="K772">
        <f>IF($A772="","",IF($D772="V01",Cadrage!$C$33,IF($D772="V02",Cadrage!$D$33,Cadrage!$E$33)))</f>
        <v/>
      </c>
      <c r="L772">
        <f>IF($A772="","",IF($D772="V01",Cadrage!$C$34,IF($D772="V02",Cadrage!$D$34,Cadrage!$E$34)))</f>
        <v/>
      </c>
      <c r="M772">
        <f>IF($A772="","",IF($D772="V01",Cadrage!$C$35,IF($D772="V02",Cadrage!$D$35,Cadrage!$E$35)))</f>
        <v/>
      </c>
      <c r="N772">
        <f>IF($A772="","",IF($D772="V01",$R$2,IF($D772="V02",$R$3,$R$4)))</f>
        <v/>
      </c>
      <c r="O772">
        <f>IF($A772="","",IF(OR($B772="7062",$B772="706",$B772="708"),$N772,IF($B772="6231",1+$G772,IF($B772="6236",1+$H772,IF(OR($B772="621",$B772="604",$B772="6063"),$N772*(1-$L772),IF(OR($B772="6411",$B772="6413",$B772="6414",$B772="645"),(1+$J772)*(1+$K772),IF(OR($B772="613",$B772="615",$B772="616",$B772="6226",$B772="625",$B772="626",$B772="6281"),(1+$I772)*(1-$L772)*(1+$M772),IF(OR($B772="6331",$B772="63511",$B772="6333"),(1+$I772)*(1-$L772),IF($B772="6811",1+$I772,1)))))))))</f>
        <v/>
      </c>
      <c r="P772">
        <f>IF($A772="","",IF($E772=1,$F772*$O772,PNL!G772))</f>
        <v/>
      </c>
      <c r="T772">
        <f>IF($A772="","",IF($E772=1,IF(OR($B772="7062",$B772="706",$B772="708"),$P772,IF(AND(LEFT($B772,1)="6",$B772&lt;&gt;"6811"),-$P772,0)),0))</f>
        <v/>
      </c>
    </row>
    <row r="773">
      <c r="A773">
        <f>IF(PNL!A773="","",PNL!A773)</f>
        <v/>
      </c>
      <c r="B773">
        <f>IF(PNL!B773="","",PNL!B773)</f>
        <v/>
      </c>
      <c r="C773">
        <f>IF(PNL!C773="","",PNL!C773)</f>
        <v/>
      </c>
      <c r="D773">
        <f>IF(PNL!D773="","",PNL!D773)</f>
        <v/>
      </c>
      <c r="E773">
        <f>IF($A773="","",IF(AND($C773="2027",OR($D773="V01",$D773="V02",$D773="V03")),1,0))</f>
        <v/>
      </c>
      <c r="F773">
        <f>IF($A773="","",IF($E773=1,SUMIFS(Comptabilité!$F$1:$F$675,Comptabilité!$A$1:$A$675,$A773,Comptabilité!$B$1:$B$675,$B773,Comptabilité!$C$1:$C$675,"2026"),0))</f>
        <v/>
      </c>
      <c r="G773">
        <f>IF($A773="","",IF($D773="V01",Cadrage!$C$22,IF($D773="V02",Cadrage!$D$22,Cadrage!$E$22)))</f>
        <v/>
      </c>
      <c r="H773">
        <f>IF($A773="","",IF($D773="V01",Cadrage!$C$23,IF($D773="V02",Cadrage!$D$23,Cadrage!$E$23)))</f>
        <v/>
      </c>
      <c r="I773">
        <f>IF($A773="","",IF($D773="V01",Cadrage!$C$31,IF($D773="V02",Cadrage!$D$31,Cadrage!$E$31)))</f>
        <v/>
      </c>
      <c r="J773">
        <f>IF($A773="","",IF($D773="V01",Cadrage!$C$32,IF($D773="V02",Cadrage!$D$32,Cadrage!$E$32)))</f>
        <v/>
      </c>
      <c r="K773">
        <f>IF($A773="","",IF($D773="V01",Cadrage!$C$33,IF($D773="V02",Cadrage!$D$33,Cadrage!$E$33)))</f>
        <v/>
      </c>
      <c r="L773">
        <f>IF($A773="","",IF($D773="V01",Cadrage!$C$34,IF($D773="V02",Cadrage!$D$34,Cadrage!$E$34)))</f>
        <v/>
      </c>
      <c r="M773">
        <f>IF($A773="","",IF($D773="V01",Cadrage!$C$35,IF($D773="V02",Cadrage!$D$35,Cadrage!$E$35)))</f>
        <v/>
      </c>
      <c r="N773">
        <f>IF($A773="","",IF($D773="V01",$R$2,IF($D773="V02",$R$3,$R$4)))</f>
        <v/>
      </c>
      <c r="O773">
        <f>IF($A773="","",IF(OR($B773="7062",$B773="706",$B773="708"),$N773,IF($B773="6231",1+$G773,IF($B773="6236",1+$H773,IF(OR($B773="621",$B773="604",$B773="6063"),$N773*(1-$L773),IF(OR($B773="6411",$B773="6413",$B773="6414",$B773="645"),(1+$J773)*(1+$K773),IF(OR($B773="613",$B773="615",$B773="616",$B773="6226",$B773="625",$B773="626",$B773="6281"),(1+$I773)*(1-$L773)*(1+$M773),IF(OR($B773="6331",$B773="63511",$B773="6333"),(1+$I773)*(1-$L773),IF($B773="6811",1+$I773,1)))))))))</f>
        <v/>
      </c>
      <c r="P773">
        <f>IF($A773="","",IF($E773=1,$F773*$O773,PNL!G773))</f>
        <v/>
      </c>
      <c r="T773">
        <f>IF($A773="","",IF($E773=1,IF(OR($B773="7062",$B773="706",$B773="708"),$P773,IF(AND(LEFT($B773,1)="6",$B773&lt;&gt;"6811"),-$P773,0)),0))</f>
        <v/>
      </c>
    </row>
    <row r="774">
      <c r="A774">
        <f>IF(PNL!A774="","",PNL!A774)</f>
        <v/>
      </c>
      <c r="B774">
        <f>IF(PNL!B774="","",PNL!B774)</f>
        <v/>
      </c>
      <c r="C774">
        <f>IF(PNL!C774="","",PNL!C774)</f>
        <v/>
      </c>
      <c r="D774">
        <f>IF(PNL!D774="","",PNL!D774)</f>
        <v/>
      </c>
      <c r="E774">
        <f>IF($A774="","",IF(AND($C774="2027",OR($D774="V01",$D774="V02",$D774="V03")),1,0))</f>
        <v/>
      </c>
      <c r="F774">
        <f>IF($A774="","",IF($E774=1,SUMIFS(Comptabilité!$F$1:$F$675,Comptabilité!$A$1:$A$675,$A774,Comptabilité!$B$1:$B$675,$B774,Comptabilité!$C$1:$C$675,"2026"),0))</f>
        <v/>
      </c>
      <c r="G774">
        <f>IF($A774="","",IF($D774="V01",Cadrage!$C$22,IF($D774="V02",Cadrage!$D$22,Cadrage!$E$22)))</f>
        <v/>
      </c>
      <c r="H774">
        <f>IF($A774="","",IF($D774="V01",Cadrage!$C$23,IF($D774="V02",Cadrage!$D$23,Cadrage!$E$23)))</f>
        <v/>
      </c>
      <c r="I774">
        <f>IF($A774="","",IF($D774="V01",Cadrage!$C$31,IF($D774="V02",Cadrage!$D$31,Cadrage!$E$31)))</f>
        <v/>
      </c>
      <c r="J774">
        <f>IF($A774="","",IF($D774="V01",Cadrage!$C$32,IF($D774="V02",Cadrage!$D$32,Cadrage!$E$32)))</f>
        <v/>
      </c>
      <c r="K774">
        <f>IF($A774="","",IF($D774="V01",Cadrage!$C$33,IF($D774="V02",Cadrage!$D$33,Cadrage!$E$33)))</f>
        <v/>
      </c>
      <c r="L774">
        <f>IF($A774="","",IF($D774="V01",Cadrage!$C$34,IF($D774="V02",Cadrage!$D$34,Cadrage!$E$34)))</f>
        <v/>
      </c>
      <c r="M774">
        <f>IF($A774="","",IF($D774="V01",Cadrage!$C$35,IF($D774="V02",Cadrage!$D$35,Cadrage!$E$35)))</f>
        <v/>
      </c>
      <c r="N774">
        <f>IF($A774="","",IF($D774="V01",$R$2,IF($D774="V02",$R$3,$R$4)))</f>
        <v/>
      </c>
      <c r="O774">
        <f>IF($A774="","",IF(OR($B774="7062",$B774="706",$B774="708"),$N774,IF($B774="6231",1+$G774,IF($B774="6236",1+$H774,IF(OR($B774="621",$B774="604",$B774="6063"),$N774*(1-$L774),IF(OR($B774="6411",$B774="6413",$B774="6414",$B774="645"),(1+$J774)*(1+$K774),IF(OR($B774="613",$B774="615",$B774="616",$B774="6226",$B774="625",$B774="626",$B774="6281"),(1+$I774)*(1-$L774)*(1+$M774),IF(OR($B774="6331",$B774="63511",$B774="6333"),(1+$I774)*(1-$L774),IF($B774="6811",1+$I774,1)))))))))</f>
        <v/>
      </c>
      <c r="P774">
        <f>IF($A774="","",IF($E774=1,$F774*$O774,PNL!G774))</f>
        <v/>
      </c>
      <c r="T774">
        <f>IF($A774="","",IF($E774=1,IF(OR($B774="7062",$B774="706",$B774="708"),$P774,IF(AND(LEFT($B774,1)="6",$B774&lt;&gt;"6811"),-$P774,0)),0))</f>
        <v/>
      </c>
    </row>
    <row r="775">
      <c r="A775">
        <f>IF(PNL!A775="","",PNL!A775)</f>
        <v/>
      </c>
      <c r="B775">
        <f>IF(PNL!B775="","",PNL!B775)</f>
        <v/>
      </c>
      <c r="C775">
        <f>IF(PNL!C775="","",PNL!C775)</f>
        <v/>
      </c>
      <c r="D775">
        <f>IF(PNL!D775="","",PNL!D775)</f>
        <v/>
      </c>
      <c r="E775">
        <f>IF($A775="","",IF(AND($C775="2027",OR($D775="V01",$D775="V02",$D775="V03")),1,0))</f>
        <v/>
      </c>
      <c r="F775">
        <f>IF($A775="","",IF($E775=1,SUMIFS(Comptabilité!$F$1:$F$675,Comptabilité!$A$1:$A$675,$A775,Comptabilité!$B$1:$B$675,$B775,Comptabilité!$C$1:$C$675,"2026"),0))</f>
        <v/>
      </c>
      <c r="G775">
        <f>IF($A775="","",IF($D775="V01",Cadrage!$C$22,IF($D775="V02",Cadrage!$D$22,Cadrage!$E$22)))</f>
        <v/>
      </c>
      <c r="H775">
        <f>IF($A775="","",IF($D775="V01",Cadrage!$C$23,IF($D775="V02",Cadrage!$D$23,Cadrage!$E$23)))</f>
        <v/>
      </c>
      <c r="I775">
        <f>IF($A775="","",IF($D775="V01",Cadrage!$C$31,IF($D775="V02",Cadrage!$D$31,Cadrage!$E$31)))</f>
        <v/>
      </c>
      <c r="J775">
        <f>IF($A775="","",IF($D775="V01",Cadrage!$C$32,IF($D775="V02",Cadrage!$D$32,Cadrage!$E$32)))</f>
        <v/>
      </c>
      <c r="K775">
        <f>IF($A775="","",IF($D775="V01",Cadrage!$C$33,IF($D775="V02",Cadrage!$D$33,Cadrage!$E$33)))</f>
        <v/>
      </c>
      <c r="L775">
        <f>IF($A775="","",IF($D775="V01",Cadrage!$C$34,IF($D775="V02",Cadrage!$D$34,Cadrage!$E$34)))</f>
        <v/>
      </c>
      <c r="M775">
        <f>IF($A775="","",IF($D775="V01",Cadrage!$C$35,IF($D775="V02",Cadrage!$D$35,Cadrage!$E$35)))</f>
        <v/>
      </c>
      <c r="N775">
        <f>IF($A775="","",IF($D775="V01",$R$2,IF($D775="V02",$R$3,$R$4)))</f>
        <v/>
      </c>
      <c r="O775">
        <f>IF($A775="","",IF(OR($B775="7062",$B775="706",$B775="708"),$N775,IF($B775="6231",1+$G775,IF($B775="6236",1+$H775,IF(OR($B775="621",$B775="604",$B775="6063"),$N775*(1-$L775),IF(OR($B775="6411",$B775="6413",$B775="6414",$B775="645"),(1+$J775)*(1+$K775),IF(OR($B775="613",$B775="615",$B775="616",$B775="6226",$B775="625",$B775="626",$B775="6281"),(1+$I775)*(1-$L775)*(1+$M775),IF(OR($B775="6331",$B775="63511",$B775="6333"),(1+$I775)*(1-$L775),IF($B775="6811",1+$I775,1)))))))))</f>
        <v/>
      </c>
      <c r="P775">
        <f>IF($A775="","",IF($E775=1,$F775*$O775,PNL!G775))</f>
        <v/>
      </c>
      <c r="T775">
        <f>IF($A775="","",IF($E775=1,IF(OR($B775="7062",$B775="706",$B775="708"),$P775,IF(AND(LEFT($B775,1)="6",$B775&lt;&gt;"6811"),-$P775,0)),0))</f>
        <v/>
      </c>
    </row>
    <row r="776">
      <c r="A776">
        <f>IF(PNL!A776="","",PNL!A776)</f>
        <v/>
      </c>
      <c r="B776">
        <f>IF(PNL!B776="","",PNL!B776)</f>
        <v/>
      </c>
      <c r="C776">
        <f>IF(PNL!C776="","",PNL!C776)</f>
        <v/>
      </c>
      <c r="D776">
        <f>IF(PNL!D776="","",PNL!D776)</f>
        <v/>
      </c>
      <c r="E776">
        <f>IF($A776="","",IF(AND($C776="2027",OR($D776="V01",$D776="V02",$D776="V03")),1,0))</f>
        <v/>
      </c>
      <c r="F776">
        <f>IF($A776="","",IF($E776=1,SUMIFS(Comptabilité!$F$1:$F$675,Comptabilité!$A$1:$A$675,$A776,Comptabilité!$B$1:$B$675,$B776,Comptabilité!$C$1:$C$675,"2026"),0))</f>
        <v/>
      </c>
      <c r="G776">
        <f>IF($A776="","",IF($D776="V01",Cadrage!$C$22,IF($D776="V02",Cadrage!$D$22,Cadrage!$E$22)))</f>
        <v/>
      </c>
      <c r="H776">
        <f>IF($A776="","",IF($D776="V01",Cadrage!$C$23,IF($D776="V02",Cadrage!$D$23,Cadrage!$E$23)))</f>
        <v/>
      </c>
      <c r="I776">
        <f>IF($A776="","",IF($D776="V01",Cadrage!$C$31,IF($D776="V02",Cadrage!$D$31,Cadrage!$E$31)))</f>
        <v/>
      </c>
      <c r="J776">
        <f>IF($A776="","",IF($D776="V01",Cadrage!$C$32,IF($D776="V02",Cadrage!$D$32,Cadrage!$E$32)))</f>
        <v/>
      </c>
      <c r="K776">
        <f>IF($A776="","",IF($D776="V01",Cadrage!$C$33,IF($D776="V02",Cadrage!$D$33,Cadrage!$E$33)))</f>
        <v/>
      </c>
      <c r="L776">
        <f>IF($A776="","",IF($D776="V01",Cadrage!$C$34,IF($D776="V02",Cadrage!$D$34,Cadrage!$E$34)))</f>
        <v/>
      </c>
      <c r="M776">
        <f>IF($A776="","",IF($D776="V01",Cadrage!$C$35,IF($D776="V02",Cadrage!$D$35,Cadrage!$E$35)))</f>
        <v/>
      </c>
      <c r="N776">
        <f>IF($A776="","",IF($D776="V01",$R$2,IF($D776="V02",$R$3,$R$4)))</f>
        <v/>
      </c>
      <c r="O776">
        <f>IF($A776="","",IF(OR($B776="7062",$B776="706",$B776="708"),$N776,IF($B776="6231",1+$G776,IF($B776="6236",1+$H776,IF(OR($B776="621",$B776="604",$B776="6063"),$N776*(1-$L776),IF(OR($B776="6411",$B776="6413",$B776="6414",$B776="645"),(1+$J776)*(1+$K776),IF(OR($B776="613",$B776="615",$B776="616",$B776="6226",$B776="625",$B776="626",$B776="6281"),(1+$I776)*(1-$L776)*(1+$M776),IF(OR($B776="6331",$B776="63511",$B776="6333"),(1+$I776)*(1-$L776),IF($B776="6811",1+$I776,1)))))))))</f>
        <v/>
      </c>
      <c r="P776">
        <f>IF($A776="","",IF($E776=1,$F776*$O776,PNL!G776))</f>
        <v/>
      </c>
      <c r="T776">
        <f>IF($A776="","",IF($E776=1,IF(OR($B776="7062",$B776="706",$B776="708"),$P776,IF(AND(LEFT($B776,1)="6",$B776&lt;&gt;"6811"),-$P776,0)),0))</f>
        <v/>
      </c>
    </row>
    <row r="777">
      <c r="A777">
        <f>IF(PNL!A777="","",PNL!A777)</f>
        <v/>
      </c>
      <c r="B777">
        <f>IF(PNL!B777="","",PNL!B777)</f>
        <v/>
      </c>
      <c r="C777">
        <f>IF(PNL!C777="","",PNL!C777)</f>
        <v/>
      </c>
      <c r="D777">
        <f>IF(PNL!D777="","",PNL!D777)</f>
        <v/>
      </c>
      <c r="E777">
        <f>IF($A777="","",IF(AND($C777="2027",OR($D777="V01",$D777="V02",$D777="V03")),1,0))</f>
        <v/>
      </c>
      <c r="F777">
        <f>IF($A777="","",IF($E777=1,SUMIFS(Comptabilité!$F$1:$F$675,Comptabilité!$A$1:$A$675,$A777,Comptabilité!$B$1:$B$675,$B777,Comptabilité!$C$1:$C$675,"2026"),0))</f>
        <v/>
      </c>
      <c r="G777">
        <f>IF($A777="","",IF($D777="V01",Cadrage!$C$22,IF($D777="V02",Cadrage!$D$22,Cadrage!$E$22)))</f>
        <v/>
      </c>
      <c r="H777">
        <f>IF($A777="","",IF($D777="V01",Cadrage!$C$23,IF($D777="V02",Cadrage!$D$23,Cadrage!$E$23)))</f>
        <v/>
      </c>
      <c r="I777">
        <f>IF($A777="","",IF($D777="V01",Cadrage!$C$31,IF($D777="V02",Cadrage!$D$31,Cadrage!$E$31)))</f>
        <v/>
      </c>
      <c r="J777">
        <f>IF($A777="","",IF($D777="V01",Cadrage!$C$32,IF($D777="V02",Cadrage!$D$32,Cadrage!$E$32)))</f>
        <v/>
      </c>
      <c r="K777">
        <f>IF($A777="","",IF($D777="V01",Cadrage!$C$33,IF($D777="V02",Cadrage!$D$33,Cadrage!$E$33)))</f>
        <v/>
      </c>
      <c r="L777">
        <f>IF($A777="","",IF($D777="V01",Cadrage!$C$34,IF($D777="V02",Cadrage!$D$34,Cadrage!$E$34)))</f>
        <v/>
      </c>
      <c r="M777">
        <f>IF($A777="","",IF($D777="V01",Cadrage!$C$35,IF($D777="V02",Cadrage!$D$35,Cadrage!$E$35)))</f>
        <v/>
      </c>
      <c r="N777">
        <f>IF($A777="","",IF($D777="V01",$R$2,IF($D777="V02",$R$3,$R$4)))</f>
        <v/>
      </c>
      <c r="O777">
        <f>IF($A777="","",IF(OR($B777="7062",$B777="706",$B777="708"),$N777,IF($B777="6231",1+$G777,IF($B777="6236",1+$H777,IF(OR($B777="621",$B777="604",$B777="6063"),$N777*(1-$L777),IF(OR($B777="6411",$B777="6413",$B777="6414",$B777="645"),(1+$J777)*(1+$K777),IF(OR($B777="613",$B777="615",$B777="616",$B777="6226",$B777="625",$B777="626",$B777="6281"),(1+$I777)*(1-$L777)*(1+$M777),IF(OR($B777="6331",$B777="63511",$B777="6333"),(1+$I777)*(1-$L777),IF($B777="6811",1+$I777,1)))))))))</f>
        <v/>
      </c>
      <c r="P777">
        <f>IF($A777="","",IF($E777=1,$F777*$O777,PNL!G777))</f>
        <v/>
      </c>
      <c r="T777">
        <f>IF($A777="","",IF($E777=1,IF(OR($B777="7062",$B777="706",$B777="708"),$P777,IF(AND(LEFT($B777,1)="6",$B777&lt;&gt;"6811"),-$P777,0)),0))</f>
        <v/>
      </c>
    </row>
    <row r="778">
      <c r="A778">
        <f>IF(PNL!A778="","",PNL!A778)</f>
        <v/>
      </c>
      <c r="B778">
        <f>IF(PNL!B778="","",PNL!B778)</f>
        <v/>
      </c>
      <c r="C778">
        <f>IF(PNL!C778="","",PNL!C778)</f>
        <v/>
      </c>
      <c r="D778">
        <f>IF(PNL!D778="","",PNL!D778)</f>
        <v/>
      </c>
      <c r="E778">
        <f>IF($A778="","",IF(AND($C778="2027",OR($D778="V01",$D778="V02",$D778="V03")),1,0))</f>
        <v/>
      </c>
      <c r="F778">
        <f>IF($A778="","",IF($E778=1,SUMIFS(Comptabilité!$F$1:$F$675,Comptabilité!$A$1:$A$675,$A778,Comptabilité!$B$1:$B$675,$B778,Comptabilité!$C$1:$C$675,"2026"),0))</f>
        <v/>
      </c>
      <c r="G778">
        <f>IF($A778="","",IF($D778="V01",Cadrage!$C$22,IF($D778="V02",Cadrage!$D$22,Cadrage!$E$22)))</f>
        <v/>
      </c>
      <c r="H778">
        <f>IF($A778="","",IF($D778="V01",Cadrage!$C$23,IF($D778="V02",Cadrage!$D$23,Cadrage!$E$23)))</f>
        <v/>
      </c>
      <c r="I778">
        <f>IF($A778="","",IF($D778="V01",Cadrage!$C$31,IF($D778="V02",Cadrage!$D$31,Cadrage!$E$31)))</f>
        <v/>
      </c>
      <c r="J778">
        <f>IF($A778="","",IF($D778="V01",Cadrage!$C$32,IF($D778="V02",Cadrage!$D$32,Cadrage!$E$32)))</f>
        <v/>
      </c>
      <c r="K778">
        <f>IF($A778="","",IF($D778="V01",Cadrage!$C$33,IF($D778="V02",Cadrage!$D$33,Cadrage!$E$33)))</f>
        <v/>
      </c>
      <c r="L778">
        <f>IF($A778="","",IF($D778="V01",Cadrage!$C$34,IF($D778="V02",Cadrage!$D$34,Cadrage!$E$34)))</f>
        <v/>
      </c>
      <c r="M778">
        <f>IF($A778="","",IF($D778="V01",Cadrage!$C$35,IF($D778="V02",Cadrage!$D$35,Cadrage!$E$35)))</f>
        <v/>
      </c>
      <c r="N778">
        <f>IF($A778="","",IF($D778="V01",$R$2,IF($D778="V02",$R$3,$R$4)))</f>
        <v/>
      </c>
      <c r="O778">
        <f>IF($A778="","",IF(OR($B778="7062",$B778="706",$B778="708"),$N778,IF($B778="6231",1+$G778,IF($B778="6236",1+$H778,IF(OR($B778="621",$B778="604",$B778="6063"),$N778*(1-$L778),IF(OR($B778="6411",$B778="6413",$B778="6414",$B778="645"),(1+$J778)*(1+$K778),IF(OR($B778="613",$B778="615",$B778="616",$B778="6226",$B778="625",$B778="626",$B778="6281"),(1+$I778)*(1-$L778)*(1+$M778),IF(OR($B778="6331",$B778="63511",$B778="6333"),(1+$I778)*(1-$L778),IF($B778="6811",1+$I778,1)))))))))</f>
        <v/>
      </c>
      <c r="P778">
        <f>IF($A778="","",IF($E778=1,$F778*$O778,PNL!G778))</f>
        <v/>
      </c>
      <c r="T778">
        <f>IF($A778="","",IF($E778=1,IF(OR($B778="7062",$B778="706",$B778="708"),$P778,IF(AND(LEFT($B778,1)="6",$B778&lt;&gt;"6811"),-$P778,0)),0))</f>
        <v/>
      </c>
    </row>
    <row r="779">
      <c r="A779">
        <f>IF(PNL!A779="","",PNL!A779)</f>
        <v/>
      </c>
      <c r="B779">
        <f>IF(PNL!B779="","",PNL!B779)</f>
        <v/>
      </c>
      <c r="C779">
        <f>IF(PNL!C779="","",PNL!C779)</f>
        <v/>
      </c>
      <c r="D779">
        <f>IF(PNL!D779="","",PNL!D779)</f>
        <v/>
      </c>
      <c r="E779">
        <f>IF($A779="","",IF(AND($C779="2027",OR($D779="V01",$D779="V02",$D779="V03")),1,0))</f>
        <v/>
      </c>
      <c r="F779">
        <f>IF($A779="","",IF($E779=1,SUMIFS(Comptabilité!$F$1:$F$675,Comptabilité!$A$1:$A$675,$A779,Comptabilité!$B$1:$B$675,$B779,Comptabilité!$C$1:$C$675,"2026"),0))</f>
        <v/>
      </c>
      <c r="G779">
        <f>IF($A779="","",IF($D779="V01",Cadrage!$C$22,IF($D779="V02",Cadrage!$D$22,Cadrage!$E$22)))</f>
        <v/>
      </c>
      <c r="H779">
        <f>IF($A779="","",IF($D779="V01",Cadrage!$C$23,IF($D779="V02",Cadrage!$D$23,Cadrage!$E$23)))</f>
        <v/>
      </c>
      <c r="I779">
        <f>IF($A779="","",IF($D779="V01",Cadrage!$C$31,IF($D779="V02",Cadrage!$D$31,Cadrage!$E$31)))</f>
        <v/>
      </c>
      <c r="J779">
        <f>IF($A779="","",IF($D779="V01",Cadrage!$C$32,IF($D779="V02",Cadrage!$D$32,Cadrage!$E$32)))</f>
        <v/>
      </c>
      <c r="K779">
        <f>IF($A779="","",IF($D779="V01",Cadrage!$C$33,IF($D779="V02",Cadrage!$D$33,Cadrage!$E$33)))</f>
        <v/>
      </c>
      <c r="L779">
        <f>IF($A779="","",IF($D779="V01",Cadrage!$C$34,IF($D779="V02",Cadrage!$D$34,Cadrage!$E$34)))</f>
        <v/>
      </c>
      <c r="M779">
        <f>IF($A779="","",IF($D779="V01",Cadrage!$C$35,IF($D779="V02",Cadrage!$D$35,Cadrage!$E$35)))</f>
        <v/>
      </c>
      <c r="N779">
        <f>IF($A779="","",IF($D779="V01",$R$2,IF($D779="V02",$R$3,$R$4)))</f>
        <v/>
      </c>
      <c r="O779">
        <f>IF($A779="","",IF(OR($B779="7062",$B779="706",$B779="708"),$N779,IF($B779="6231",1+$G779,IF($B779="6236",1+$H779,IF(OR($B779="621",$B779="604",$B779="6063"),$N779*(1-$L779),IF(OR($B779="6411",$B779="6413",$B779="6414",$B779="645"),(1+$J779)*(1+$K779),IF(OR($B779="613",$B779="615",$B779="616",$B779="6226",$B779="625",$B779="626",$B779="6281"),(1+$I779)*(1-$L779)*(1+$M779),IF(OR($B779="6331",$B779="63511",$B779="6333"),(1+$I779)*(1-$L779),IF($B779="6811",1+$I779,1)))))))))</f>
        <v/>
      </c>
      <c r="P779">
        <f>IF($A779="","",IF($E779=1,$F779*$O779,PNL!G779))</f>
        <v/>
      </c>
      <c r="T779">
        <f>IF($A779="","",IF($E779=1,IF(OR($B779="7062",$B779="706",$B779="708"),$P779,IF(AND(LEFT($B779,1)="6",$B779&lt;&gt;"6811"),-$P779,0)),0))</f>
        <v/>
      </c>
    </row>
    <row r="780">
      <c r="A780">
        <f>IF(PNL!A780="","",PNL!A780)</f>
        <v/>
      </c>
      <c r="B780">
        <f>IF(PNL!B780="","",PNL!B780)</f>
        <v/>
      </c>
      <c r="C780">
        <f>IF(PNL!C780="","",PNL!C780)</f>
        <v/>
      </c>
      <c r="D780">
        <f>IF(PNL!D780="","",PNL!D780)</f>
        <v/>
      </c>
      <c r="E780">
        <f>IF($A780="","",IF(AND($C780="2027",OR($D780="V01",$D780="V02",$D780="V03")),1,0))</f>
        <v/>
      </c>
      <c r="F780">
        <f>IF($A780="","",IF($E780=1,SUMIFS(Comptabilité!$F$1:$F$675,Comptabilité!$A$1:$A$675,$A780,Comptabilité!$B$1:$B$675,$B780,Comptabilité!$C$1:$C$675,"2026"),0))</f>
        <v/>
      </c>
      <c r="G780">
        <f>IF($A780="","",IF($D780="V01",Cadrage!$C$22,IF($D780="V02",Cadrage!$D$22,Cadrage!$E$22)))</f>
        <v/>
      </c>
      <c r="H780">
        <f>IF($A780="","",IF($D780="V01",Cadrage!$C$23,IF($D780="V02",Cadrage!$D$23,Cadrage!$E$23)))</f>
        <v/>
      </c>
      <c r="I780">
        <f>IF($A780="","",IF($D780="V01",Cadrage!$C$31,IF($D780="V02",Cadrage!$D$31,Cadrage!$E$31)))</f>
        <v/>
      </c>
      <c r="J780">
        <f>IF($A780="","",IF($D780="V01",Cadrage!$C$32,IF($D780="V02",Cadrage!$D$32,Cadrage!$E$32)))</f>
        <v/>
      </c>
      <c r="K780">
        <f>IF($A780="","",IF($D780="V01",Cadrage!$C$33,IF($D780="V02",Cadrage!$D$33,Cadrage!$E$33)))</f>
        <v/>
      </c>
      <c r="L780">
        <f>IF($A780="","",IF($D780="V01",Cadrage!$C$34,IF($D780="V02",Cadrage!$D$34,Cadrage!$E$34)))</f>
        <v/>
      </c>
      <c r="M780">
        <f>IF($A780="","",IF($D780="V01",Cadrage!$C$35,IF($D780="V02",Cadrage!$D$35,Cadrage!$E$35)))</f>
        <v/>
      </c>
      <c r="N780">
        <f>IF($A780="","",IF($D780="V01",$R$2,IF($D780="V02",$R$3,$R$4)))</f>
        <v/>
      </c>
      <c r="O780">
        <f>IF($A780="","",IF(OR($B780="7062",$B780="706",$B780="708"),$N780,IF($B780="6231",1+$G780,IF($B780="6236",1+$H780,IF(OR($B780="621",$B780="604",$B780="6063"),$N780*(1-$L780),IF(OR($B780="6411",$B780="6413",$B780="6414",$B780="645"),(1+$J780)*(1+$K780),IF(OR($B780="613",$B780="615",$B780="616",$B780="6226",$B780="625",$B780="626",$B780="6281"),(1+$I780)*(1-$L780)*(1+$M780),IF(OR($B780="6331",$B780="63511",$B780="6333"),(1+$I780)*(1-$L780),IF($B780="6811",1+$I780,1)))))))))</f>
        <v/>
      </c>
      <c r="P780">
        <f>IF($A780="","",IF($E780=1,$F780*$O780,PNL!G780))</f>
        <v/>
      </c>
      <c r="T780">
        <f>IF($A780="","",IF($E780=1,IF(OR($B780="7062",$B780="706",$B780="708"),$P780,IF(AND(LEFT($B780,1)="6",$B780&lt;&gt;"6811"),-$P780,0)),0))</f>
        <v/>
      </c>
    </row>
    <row r="781">
      <c r="A781">
        <f>IF(PNL!A781="","",PNL!A781)</f>
        <v/>
      </c>
      <c r="B781">
        <f>IF(PNL!B781="","",PNL!B781)</f>
        <v/>
      </c>
      <c r="C781">
        <f>IF(PNL!C781="","",PNL!C781)</f>
        <v/>
      </c>
      <c r="D781">
        <f>IF(PNL!D781="","",PNL!D781)</f>
        <v/>
      </c>
      <c r="E781">
        <f>IF($A781="","",IF(AND($C781="2027",OR($D781="V01",$D781="V02",$D781="V03")),1,0))</f>
        <v/>
      </c>
      <c r="F781">
        <f>IF($A781="","",IF($E781=1,SUMIFS(Comptabilité!$F$1:$F$675,Comptabilité!$A$1:$A$675,$A781,Comptabilité!$B$1:$B$675,$B781,Comptabilité!$C$1:$C$675,"2026"),0))</f>
        <v/>
      </c>
      <c r="G781">
        <f>IF($A781="","",IF($D781="V01",Cadrage!$C$22,IF($D781="V02",Cadrage!$D$22,Cadrage!$E$22)))</f>
        <v/>
      </c>
      <c r="H781">
        <f>IF($A781="","",IF($D781="V01",Cadrage!$C$23,IF($D781="V02",Cadrage!$D$23,Cadrage!$E$23)))</f>
        <v/>
      </c>
      <c r="I781">
        <f>IF($A781="","",IF($D781="V01",Cadrage!$C$31,IF($D781="V02",Cadrage!$D$31,Cadrage!$E$31)))</f>
        <v/>
      </c>
      <c r="J781">
        <f>IF($A781="","",IF($D781="V01",Cadrage!$C$32,IF($D781="V02",Cadrage!$D$32,Cadrage!$E$32)))</f>
        <v/>
      </c>
      <c r="K781">
        <f>IF($A781="","",IF($D781="V01",Cadrage!$C$33,IF($D781="V02",Cadrage!$D$33,Cadrage!$E$33)))</f>
        <v/>
      </c>
      <c r="L781">
        <f>IF($A781="","",IF($D781="V01",Cadrage!$C$34,IF($D781="V02",Cadrage!$D$34,Cadrage!$E$34)))</f>
        <v/>
      </c>
      <c r="M781">
        <f>IF($A781="","",IF($D781="V01",Cadrage!$C$35,IF($D781="V02",Cadrage!$D$35,Cadrage!$E$35)))</f>
        <v/>
      </c>
      <c r="N781">
        <f>IF($A781="","",IF($D781="V01",$R$2,IF($D781="V02",$R$3,$R$4)))</f>
        <v/>
      </c>
      <c r="O781">
        <f>IF($A781="","",IF(OR($B781="7062",$B781="706",$B781="708"),$N781,IF($B781="6231",1+$G781,IF($B781="6236",1+$H781,IF(OR($B781="621",$B781="604",$B781="6063"),$N781*(1-$L781),IF(OR($B781="6411",$B781="6413",$B781="6414",$B781="645"),(1+$J781)*(1+$K781),IF(OR($B781="613",$B781="615",$B781="616",$B781="6226",$B781="625",$B781="626",$B781="6281"),(1+$I781)*(1-$L781)*(1+$M781),IF(OR($B781="6331",$B781="63511",$B781="6333"),(1+$I781)*(1-$L781),IF($B781="6811",1+$I781,1)))))))))</f>
        <v/>
      </c>
      <c r="P781">
        <f>IF($A781="","",IF($E781=1,$F781*$O781,PNL!G781))</f>
        <v/>
      </c>
      <c r="T781">
        <f>IF($A781="","",IF($E781=1,IF(OR($B781="7062",$B781="706",$B781="708"),$P781,IF(AND(LEFT($B781,1)="6",$B781&lt;&gt;"6811"),-$P781,0)),0))</f>
        <v/>
      </c>
    </row>
    <row r="782">
      <c r="A782">
        <f>IF(PNL!A782="","",PNL!A782)</f>
        <v/>
      </c>
      <c r="B782">
        <f>IF(PNL!B782="","",PNL!B782)</f>
        <v/>
      </c>
      <c r="C782">
        <f>IF(PNL!C782="","",PNL!C782)</f>
        <v/>
      </c>
      <c r="D782">
        <f>IF(PNL!D782="","",PNL!D782)</f>
        <v/>
      </c>
      <c r="E782">
        <f>IF($A782="","",IF(AND($C782="2027",OR($D782="V01",$D782="V02",$D782="V03")),1,0))</f>
        <v/>
      </c>
      <c r="F782">
        <f>IF($A782="","",IF($E782=1,SUMIFS(Comptabilité!$F$1:$F$675,Comptabilité!$A$1:$A$675,$A782,Comptabilité!$B$1:$B$675,$B782,Comptabilité!$C$1:$C$675,"2026"),0))</f>
        <v/>
      </c>
      <c r="G782">
        <f>IF($A782="","",IF($D782="V01",Cadrage!$C$22,IF($D782="V02",Cadrage!$D$22,Cadrage!$E$22)))</f>
        <v/>
      </c>
      <c r="H782">
        <f>IF($A782="","",IF($D782="V01",Cadrage!$C$23,IF($D782="V02",Cadrage!$D$23,Cadrage!$E$23)))</f>
        <v/>
      </c>
      <c r="I782">
        <f>IF($A782="","",IF($D782="V01",Cadrage!$C$31,IF($D782="V02",Cadrage!$D$31,Cadrage!$E$31)))</f>
        <v/>
      </c>
      <c r="J782">
        <f>IF($A782="","",IF($D782="V01",Cadrage!$C$32,IF($D782="V02",Cadrage!$D$32,Cadrage!$E$32)))</f>
        <v/>
      </c>
      <c r="K782">
        <f>IF($A782="","",IF($D782="V01",Cadrage!$C$33,IF($D782="V02",Cadrage!$D$33,Cadrage!$E$33)))</f>
        <v/>
      </c>
      <c r="L782">
        <f>IF($A782="","",IF($D782="V01",Cadrage!$C$34,IF($D782="V02",Cadrage!$D$34,Cadrage!$E$34)))</f>
        <v/>
      </c>
      <c r="M782">
        <f>IF($A782="","",IF($D782="V01",Cadrage!$C$35,IF($D782="V02",Cadrage!$D$35,Cadrage!$E$35)))</f>
        <v/>
      </c>
      <c r="N782">
        <f>IF($A782="","",IF($D782="V01",$R$2,IF($D782="V02",$R$3,$R$4)))</f>
        <v/>
      </c>
      <c r="O782">
        <f>IF($A782="","",IF(OR($B782="7062",$B782="706",$B782="708"),$N782,IF($B782="6231",1+$G782,IF($B782="6236",1+$H782,IF(OR($B782="621",$B782="604",$B782="6063"),$N782*(1-$L782),IF(OR($B782="6411",$B782="6413",$B782="6414",$B782="645"),(1+$J782)*(1+$K782),IF(OR($B782="613",$B782="615",$B782="616",$B782="6226",$B782="625",$B782="626",$B782="6281"),(1+$I782)*(1-$L782)*(1+$M782),IF(OR($B782="6331",$B782="63511",$B782="6333"),(1+$I782)*(1-$L782),IF($B782="6811",1+$I782,1)))))))))</f>
        <v/>
      </c>
      <c r="P782">
        <f>IF($A782="","",IF($E782=1,$F782*$O782,PNL!G782))</f>
        <v/>
      </c>
      <c r="T782">
        <f>IF($A782="","",IF($E782=1,IF(OR($B782="7062",$B782="706",$B782="708"),$P782,IF(AND(LEFT($B782,1)="6",$B782&lt;&gt;"6811"),-$P782,0)),0))</f>
        <v/>
      </c>
    </row>
    <row r="783">
      <c r="A783">
        <f>IF(PNL!A783="","",PNL!A783)</f>
        <v/>
      </c>
      <c r="B783">
        <f>IF(PNL!B783="","",PNL!B783)</f>
        <v/>
      </c>
      <c r="C783">
        <f>IF(PNL!C783="","",PNL!C783)</f>
        <v/>
      </c>
      <c r="D783">
        <f>IF(PNL!D783="","",PNL!D783)</f>
        <v/>
      </c>
      <c r="E783">
        <f>IF($A783="","",IF(AND($C783="2027",OR($D783="V01",$D783="V02",$D783="V03")),1,0))</f>
        <v/>
      </c>
      <c r="F783">
        <f>IF($A783="","",IF($E783=1,SUMIFS(Comptabilité!$F$1:$F$675,Comptabilité!$A$1:$A$675,$A783,Comptabilité!$B$1:$B$675,$B783,Comptabilité!$C$1:$C$675,"2026"),0))</f>
        <v/>
      </c>
      <c r="G783">
        <f>IF($A783="","",IF($D783="V01",Cadrage!$C$22,IF($D783="V02",Cadrage!$D$22,Cadrage!$E$22)))</f>
        <v/>
      </c>
      <c r="H783">
        <f>IF($A783="","",IF($D783="V01",Cadrage!$C$23,IF($D783="V02",Cadrage!$D$23,Cadrage!$E$23)))</f>
        <v/>
      </c>
      <c r="I783">
        <f>IF($A783="","",IF($D783="V01",Cadrage!$C$31,IF($D783="V02",Cadrage!$D$31,Cadrage!$E$31)))</f>
        <v/>
      </c>
      <c r="J783">
        <f>IF($A783="","",IF($D783="V01",Cadrage!$C$32,IF($D783="V02",Cadrage!$D$32,Cadrage!$E$32)))</f>
        <v/>
      </c>
      <c r="K783">
        <f>IF($A783="","",IF($D783="V01",Cadrage!$C$33,IF($D783="V02",Cadrage!$D$33,Cadrage!$E$33)))</f>
        <v/>
      </c>
      <c r="L783">
        <f>IF($A783="","",IF($D783="V01",Cadrage!$C$34,IF($D783="V02",Cadrage!$D$34,Cadrage!$E$34)))</f>
        <v/>
      </c>
      <c r="M783">
        <f>IF($A783="","",IF($D783="V01",Cadrage!$C$35,IF($D783="V02",Cadrage!$D$35,Cadrage!$E$35)))</f>
        <v/>
      </c>
      <c r="N783">
        <f>IF($A783="","",IF($D783="V01",$R$2,IF($D783="V02",$R$3,$R$4)))</f>
        <v/>
      </c>
      <c r="O783">
        <f>IF($A783="","",IF(OR($B783="7062",$B783="706",$B783="708"),$N783,IF($B783="6231",1+$G783,IF($B783="6236",1+$H783,IF(OR($B783="621",$B783="604",$B783="6063"),$N783*(1-$L783),IF(OR($B783="6411",$B783="6413",$B783="6414",$B783="645"),(1+$J783)*(1+$K783),IF(OR($B783="613",$B783="615",$B783="616",$B783="6226",$B783="625",$B783="626",$B783="6281"),(1+$I783)*(1-$L783)*(1+$M783),IF(OR($B783="6331",$B783="63511",$B783="6333"),(1+$I783)*(1-$L783),IF($B783="6811",1+$I783,1)))))))))</f>
        <v/>
      </c>
      <c r="P783">
        <f>IF($A783="","",IF($E783=1,$F783*$O783,PNL!G783))</f>
        <v/>
      </c>
      <c r="T783">
        <f>IF($A783="","",IF($E783=1,IF(OR($B783="7062",$B783="706",$B783="708"),$P783,IF(AND(LEFT($B783,1)="6",$B783&lt;&gt;"6811"),-$P783,0)),0))</f>
        <v/>
      </c>
    </row>
    <row r="784">
      <c r="A784">
        <f>IF(PNL!A784="","",PNL!A784)</f>
        <v/>
      </c>
      <c r="B784">
        <f>IF(PNL!B784="","",PNL!B784)</f>
        <v/>
      </c>
      <c r="C784">
        <f>IF(PNL!C784="","",PNL!C784)</f>
        <v/>
      </c>
      <c r="D784">
        <f>IF(PNL!D784="","",PNL!D784)</f>
        <v/>
      </c>
      <c r="E784">
        <f>IF($A784="","",IF(AND($C784="2027",OR($D784="V01",$D784="V02",$D784="V03")),1,0))</f>
        <v/>
      </c>
      <c r="F784">
        <f>IF($A784="","",IF($E784=1,SUMIFS(Comptabilité!$F$1:$F$675,Comptabilité!$A$1:$A$675,$A784,Comptabilité!$B$1:$B$675,$B784,Comptabilité!$C$1:$C$675,"2026"),0))</f>
        <v/>
      </c>
      <c r="G784">
        <f>IF($A784="","",IF($D784="V01",Cadrage!$C$22,IF($D784="V02",Cadrage!$D$22,Cadrage!$E$22)))</f>
        <v/>
      </c>
      <c r="H784">
        <f>IF($A784="","",IF($D784="V01",Cadrage!$C$23,IF($D784="V02",Cadrage!$D$23,Cadrage!$E$23)))</f>
        <v/>
      </c>
      <c r="I784">
        <f>IF($A784="","",IF($D784="V01",Cadrage!$C$31,IF($D784="V02",Cadrage!$D$31,Cadrage!$E$31)))</f>
        <v/>
      </c>
      <c r="J784">
        <f>IF($A784="","",IF($D784="V01",Cadrage!$C$32,IF($D784="V02",Cadrage!$D$32,Cadrage!$E$32)))</f>
        <v/>
      </c>
      <c r="K784">
        <f>IF($A784="","",IF($D784="V01",Cadrage!$C$33,IF($D784="V02",Cadrage!$D$33,Cadrage!$E$33)))</f>
        <v/>
      </c>
      <c r="L784">
        <f>IF($A784="","",IF($D784="V01",Cadrage!$C$34,IF($D784="V02",Cadrage!$D$34,Cadrage!$E$34)))</f>
        <v/>
      </c>
      <c r="M784">
        <f>IF($A784="","",IF($D784="V01",Cadrage!$C$35,IF($D784="V02",Cadrage!$D$35,Cadrage!$E$35)))</f>
        <v/>
      </c>
      <c r="N784">
        <f>IF($A784="","",IF($D784="V01",$R$2,IF($D784="V02",$R$3,$R$4)))</f>
        <v/>
      </c>
      <c r="O784">
        <f>IF($A784="","",IF(OR($B784="7062",$B784="706",$B784="708"),$N784,IF($B784="6231",1+$G784,IF($B784="6236",1+$H784,IF(OR($B784="621",$B784="604",$B784="6063"),$N784*(1-$L784),IF(OR($B784="6411",$B784="6413",$B784="6414",$B784="645"),(1+$J784)*(1+$K784),IF(OR($B784="613",$B784="615",$B784="616",$B784="6226",$B784="625",$B784="626",$B784="6281"),(1+$I784)*(1-$L784)*(1+$M784),IF(OR($B784="6331",$B784="63511",$B784="6333"),(1+$I784)*(1-$L784),IF($B784="6811",1+$I784,1)))))))))</f>
        <v/>
      </c>
      <c r="P784">
        <f>IF($A784="","",IF($E784=1,$F784*$O784,PNL!G784))</f>
        <v/>
      </c>
      <c r="T784">
        <f>IF($A784="","",IF($E784=1,IF(OR($B784="7062",$B784="706",$B784="708"),$P784,IF(AND(LEFT($B784,1)="6",$B784&lt;&gt;"6811"),-$P784,0)),0))</f>
        <v/>
      </c>
    </row>
    <row r="785">
      <c r="A785">
        <f>IF(PNL!A785="","",PNL!A785)</f>
        <v/>
      </c>
      <c r="B785">
        <f>IF(PNL!B785="","",PNL!B785)</f>
        <v/>
      </c>
      <c r="C785">
        <f>IF(PNL!C785="","",PNL!C785)</f>
        <v/>
      </c>
      <c r="D785">
        <f>IF(PNL!D785="","",PNL!D785)</f>
        <v/>
      </c>
      <c r="E785">
        <f>IF($A785="","",IF(AND($C785="2027",OR($D785="V01",$D785="V02",$D785="V03")),1,0))</f>
        <v/>
      </c>
      <c r="F785">
        <f>IF($A785="","",IF($E785=1,SUMIFS(Comptabilité!$F$1:$F$675,Comptabilité!$A$1:$A$675,$A785,Comptabilité!$B$1:$B$675,$B785,Comptabilité!$C$1:$C$675,"2026"),0))</f>
        <v/>
      </c>
      <c r="G785">
        <f>IF($A785="","",IF($D785="V01",Cadrage!$C$22,IF($D785="V02",Cadrage!$D$22,Cadrage!$E$22)))</f>
        <v/>
      </c>
      <c r="H785">
        <f>IF($A785="","",IF($D785="V01",Cadrage!$C$23,IF($D785="V02",Cadrage!$D$23,Cadrage!$E$23)))</f>
        <v/>
      </c>
      <c r="I785">
        <f>IF($A785="","",IF($D785="V01",Cadrage!$C$31,IF($D785="V02",Cadrage!$D$31,Cadrage!$E$31)))</f>
        <v/>
      </c>
      <c r="J785">
        <f>IF($A785="","",IF($D785="V01",Cadrage!$C$32,IF($D785="V02",Cadrage!$D$32,Cadrage!$E$32)))</f>
        <v/>
      </c>
      <c r="K785">
        <f>IF($A785="","",IF($D785="V01",Cadrage!$C$33,IF($D785="V02",Cadrage!$D$33,Cadrage!$E$33)))</f>
        <v/>
      </c>
      <c r="L785">
        <f>IF($A785="","",IF($D785="V01",Cadrage!$C$34,IF($D785="V02",Cadrage!$D$34,Cadrage!$E$34)))</f>
        <v/>
      </c>
      <c r="M785">
        <f>IF($A785="","",IF($D785="V01",Cadrage!$C$35,IF($D785="V02",Cadrage!$D$35,Cadrage!$E$35)))</f>
        <v/>
      </c>
      <c r="N785">
        <f>IF($A785="","",IF($D785="V01",$R$2,IF($D785="V02",$R$3,$R$4)))</f>
        <v/>
      </c>
      <c r="O785">
        <f>IF($A785="","",IF(OR($B785="7062",$B785="706",$B785="708"),$N785,IF($B785="6231",1+$G785,IF($B785="6236",1+$H785,IF(OR($B785="621",$B785="604",$B785="6063"),$N785*(1-$L785),IF(OR($B785="6411",$B785="6413",$B785="6414",$B785="645"),(1+$J785)*(1+$K785),IF(OR($B785="613",$B785="615",$B785="616",$B785="6226",$B785="625",$B785="626",$B785="6281"),(1+$I785)*(1-$L785)*(1+$M785),IF(OR($B785="6331",$B785="63511",$B785="6333"),(1+$I785)*(1-$L785),IF($B785="6811",1+$I785,1)))))))))</f>
        <v/>
      </c>
      <c r="P785">
        <f>IF($A785="","",IF($E785=1,$F785*$O785,PNL!G785))</f>
        <v/>
      </c>
      <c r="T785">
        <f>IF($A785="","",IF($E785=1,IF(OR($B785="7062",$B785="706",$B785="708"),$P785,IF(AND(LEFT($B785,1)="6",$B785&lt;&gt;"6811"),-$P785,0)),0))</f>
        <v/>
      </c>
    </row>
    <row r="786">
      <c r="A786">
        <f>IF(PNL!A786="","",PNL!A786)</f>
        <v/>
      </c>
      <c r="B786">
        <f>IF(PNL!B786="","",PNL!B786)</f>
        <v/>
      </c>
      <c r="C786">
        <f>IF(PNL!C786="","",PNL!C786)</f>
        <v/>
      </c>
      <c r="D786">
        <f>IF(PNL!D786="","",PNL!D786)</f>
        <v/>
      </c>
      <c r="E786">
        <f>IF($A786="","",IF(AND($C786="2027",OR($D786="V01",$D786="V02",$D786="V03")),1,0))</f>
        <v/>
      </c>
      <c r="F786">
        <f>IF($A786="","",IF($E786=1,SUMIFS(Comptabilité!$F$1:$F$675,Comptabilité!$A$1:$A$675,$A786,Comptabilité!$B$1:$B$675,$B786,Comptabilité!$C$1:$C$675,"2026"),0))</f>
        <v/>
      </c>
      <c r="G786">
        <f>IF($A786="","",IF($D786="V01",Cadrage!$C$22,IF($D786="V02",Cadrage!$D$22,Cadrage!$E$22)))</f>
        <v/>
      </c>
      <c r="H786">
        <f>IF($A786="","",IF($D786="V01",Cadrage!$C$23,IF($D786="V02",Cadrage!$D$23,Cadrage!$E$23)))</f>
        <v/>
      </c>
      <c r="I786">
        <f>IF($A786="","",IF($D786="V01",Cadrage!$C$31,IF($D786="V02",Cadrage!$D$31,Cadrage!$E$31)))</f>
        <v/>
      </c>
      <c r="J786">
        <f>IF($A786="","",IF($D786="V01",Cadrage!$C$32,IF($D786="V02",Cadrage!$D$32,Cadrage!$E$32)))</f>
        <v/>
      </c>
      <c r="K786">
        <f>IF($A786="","",IF($D786="V01",Cadrage!$C$33,IF($D786="V02",Cadrage!$D$33,Cadrage!$E$33)))</f>
        <v/>
      </c>
      <c r="L786">
        <f>IF($A786="","",IF($D786="V01",Cadrage!$C$34,IF($D786="V02",Cadrage!$D$34,Cadrage!$E$34)))</f>
        <v/>
      </c>
      <c r="M786">
        <f>IF($A786="","",IF($D786="V01",Cadrage!$C$35,IF($D786="V02",Cadrage!$D$35,Cadrage!$E$35)))</f>
        <v/>
      </c>
      <c r="N786">
        <f>IF($A786="","",IF($D786="V01",$R$2,IF($D786="V02",$R$3,$R$4)))</f>
        <v/>
      </c>
      <c r="O786">
        <f>IF($A786="","",IF(OR($B786="7062",$B786="706",$B786="708"),$N786,IF($B786="6231",1+$G786,IF($B786="6236",1+$H786,IF(OR($B786="621",$B786="604",$B786="6063"),$N786*(1-$L786),IF(OR($B786="6411",$B786="6413",$B786="6414",$B786="645"),(1+$J786)*(1+$K786),IF(OR($B786="613",$B786="615",$B786="616",$B786="6226",$B786="625",$B786="626",$B786="6281"),(1+$I786)*(1-$L786)*(1+$M786),IF(OR($B786="6331",$B786="63511",$B786="6333"),(1+$I786)*(1-$L786),IF($B786="6811",1+$I786,1)))))))))</f>
        <v/>
      </c>
      <c r="P786">
        <f>IF($A786="","",IF($E786=1,$F786*$O786,PNL!G786))</f>
        <v/>
      </c>
      <c r="T786">
        <f>IF($A786="","",IF($E786=1,IF(OR($B786="7062",$B786="706",$B786="708"),$P786,IF(AND(LEFT($B786,1)="6",$B786&lt;&gt;"6811"),-$P786,0)),0))</f>
        <v/>
      </c>
    </row>
    <row r="787">
      <c r="A787">
        <f>IF(PNL!A787="","",PNL!A787)</f>
        <v/>
      </c>
      <c r="B787">
        <f>IF(PNL!B787="","",PNL!B787)</f>
        <v/>
      </c>
      <c r="C787">
        <f>IF(PNL!C787="","",PNL!C787)</f>
        <v/>
      </c>
      <c r="D787">
        <f>IF(PNL!D787="","",PNL!D787)</f>
        <v/>
      </c>
      <c r="E787">
        <f>IF($A787="","",IF(AND($C787="2027",OR($D787="V01",$D787="V02",$D787="V03")),1,0))</f>
        <v/>
      </c>
      <c r="F787">
        <f>IF($A787="","",IF($E787=1,SUMIFS(Comptabilité!$F$1:$F$675,Comptabilité!$A$1:$A$675,$A787,Comptabilité!$B$1:$B$675,$B787,Comptabilité!$C$1:$C$675,"2026"),0))</f>
        <v/>
      </c>
      <c r="G787">
        <f>IF($A787="","",IF($D787="V01",Cadrage!$C$22,IF($D787="V02",Cadrage!$D$22,Cadrage!$E$22)))</f>
        <v/>
      </c>
      <c r="H787">
        <f>IF($A787="","",IF($D787="V01",Cadrage!$C$23,IF($D787="V02",Cadrage!$D$23,Cadrage!$E$23)))</f>
        <v/>
      </c>
      <c r="I787">
        <f>IF($A787="","",IF($D787="V01",Cadrage!$C$31,IF($D787="V02",Cadrage!$D$31,Cadrage!$E$31)))</f>
        <v/>
      </c>
      <c r="J787">
        <f>IF($A787="","",IF($D787="V01",Cadrage!$C$32,IF($D787="V02",Cadrage!$D$32,Cadrage!$E$32)))</f>
        <v/>
      </c>
      <c r="K787">
        <f>IF($A787="","",IF($D787="V01",Cadrage!$C$33,IF($D787="V02",Cadrage!$D$33,Cadrage!$E$33)))</f>
        <v/>
      </c>
      <c r="L787">
        <f>IF($A787="","",IF($D787="V01",Cadrage!$C$34,IF($D787="V02",Cadrage!$D$34,Cadrage!$E$34)))</f>
        <v/>
      </c>
      <c r="M787">
        <f>IF($A787="","",IF($D787="V01",Cadrage!$C$35,IF($D787="V02",Cadrage!$D$35,Cadrage!$E$35)))</f>
        <v/>
      </c>
      <c r="N787">
        <f>IF($A787="","",IF($D787="V01",$R$2,IF($D787="V02",$R$3,$R$4)))</f>
        <v/>
      </c>
      <c r="O787">
        <f>IF($A787="","",IF(OR($B787="7062",$B787="706",$B787="708"),$N787,IF($B787="6231",1+$G787,IF($B787="6236",1+$H787,IF(OR($B787="621",$B787="604",$B787="6063"),$N787*(1-$L787),IF(OR($B787="6411",$B787="6413",$B787="6414",$B787="645"),(1+$J787)*(1+$K787),IF(OR($B787="613",$B787="615",$B787="616",$B787="6226",$B787="625",$B787="626",$B787="6281"),(1+$I787)*(1-$L787)*(1+$M787),IF(OR($B787="6331",$B787="63511",$B787="6333"),(1+$I787)*(1-$L787),IF($B787="6811",1+$I787,1)))))))))</f>
        <v/>
      </c>
      <c r="P787">
        <f>IF($A787="","",IF($E787=1,$F787*$O787,PNL!G787))</f>
        <v/>
      </c>
      <c r="T787">
        <f>IF($A787="","",IF($E787=1,IF(OR($B787="7062",$B787="706",$B787="708"),$P787,IF(AND(LEFT($B787,1)="6",$B787&lt;&gt;"6811"),-$P787,0)),0))</f>
        <v/>
      </c>
    </row>
    <row r="788">
      <c r="A788">
        <f>IF(PNL!A788="","",PNL!A788)</f>
        <v/>
      </c>
      <c r="B788">
        <f>IF(PNL!B788="","",PNL!B788)</f>
        <v/>
      </c>
      <c r="C788">
        <f>IF(PNL!C788="","",PNL!C788)</f>
        <v/>
      </c>
      <c r="D788">
        <f>IF(PNL!D788="","",PNL!D788)</f>
        <v/>
      </c>
      <c r="E788">
        <f>IF($A788="","",IF(AND($C788="2027",OR($D788="V01",$D788="V02",$D788="V03")),1,0))</f>
        <v/>
      </c>
      <c r="F788">
        <f>IF($A788="","",IF($E788=1,SUMIFS(Comptabilité!$F$1:$F$675,Comptabilité!$A$1:$A$675,$A788,Comptabilité!$B$1:$B$675,$B788,Comptabilité!$C$1:$C$675,"2026"),0))</f>
        <v/>
      </c>
      <c r="G788">
        <f>IF($A788="","",IF($D788="V01",Cadrage!$C$22,IF($D788="V02",Cadrage!$D$22,Cadrage!$E$22)))</f>
        <v/>
      </c>
      <c r="H788">
        <f>IF($A788="","",IF($D788="V01",Cadrage!$C$23,IF($D788="V02",Cadrage!$D$23,Cadrage!$E$23)))</f>
        <v/>
      </c>
      <c r="I788">
        <f>IF($A788="","",IF($D788="V01",Cadrage!$C$31,IF($D788="V02",Cadrage!$D$31,Cadrage!$E$31)))</f>
        <v/>
      </c>
      <c r="J788">
        <f>IF($A788="","",IF($D788="V01",Cadrage!$C$32,IF($D788="V02",Cadrage!$D$32,Cadrage!$E$32)))</f>
        <v/>
      </c>
      <c r="K788">
        <f>IF($A788="","",IF($D788="V01",Cadrage!$C$33,IF($D788="V02",Cadrage!$D$33,Cadrage!$E$33)))</f>
        <v/>
      </c>
      <c r="L788">
        <f>IF($A788="","",IF($D788="V01",Cadrage!$C$34,IF($D788="V02",Cadrage!$D$34,Cadrage!$E$34)))</f>
        <v/>
      </c>
      <c r="M788">
        <f>IF($A788="","",IF($D788="V01",Cadrage!$C$35,IF($D788="V02",Cadrage!$D$35,Cadrage!$E$35)))</f>
        <v/>
      </c>
      <c r="N788">
        <f>IF($A788="","",IF($D788="V01",$R$2,IF($D788="V02",$R$3,$R$4)))</f>
        <v/>
      </c>
      <c r="O788">
        <f>IF($A788="","",IF(OR($B788="7062",$B788="706",$B788="708"),$N788,IF($B788="6231",1+$G788,IF($B788="6236",1+$H788,IF(OR($B788="621",$B788="604",$B788="6063"),$N788*(1-$L788),IF(OR($B788="6411",$B788="6413",$B788="6414",$B788="645"),(1+$J788)*(1+$K788),IF(OR($B788="613",$B788="615",$B788="616",$B788="6226",$B788="625",$B788="626",$B788="6281"),(1+$I788)*(1-$L788)*(1+$M788),IF(OR($B788="6331",$B788="63511",$B788="6333"),(1+$I788)*(1-$L788),IF($B788="6811",1+$I788,1)))))))))</f>
        <v/>
      </c>
      <c r="P788">
        <f>IF($A788="","",IF($E788=1,$F788*$O788,PNL!G788))</f>
        <v/>
      </c>
      <c r="T788">
        <f>IF($A788="","",IF($E788=1,IF(OR($B788="7062",$B788="706",$B788="708"),$P788,IF(AND(LEFT($B788,1)="6",$B788&lt;&gt;"6811"),-$P788,0)),0))</f>
        <v/>
      </c>
    </row>
    <row r="789">
      <c r="A789">
        <f>IF(PNL!A789="","",PNL!A789)</f>
        <v/>
      </c>
      <c r="B789">
        <f>IF(PNL!B789="","",PNL!B789)</f>
        <v/>
      </c>
      <c r="C789">
        <f>IF(PNL!C789="","",PNL!C789)</f>
        <v/>
      </c>
      <c r="D789">
        <f>IF(PNL!D789="","",PNL!D789)</f>
        <v/>
      </c>
      <c r="E789">
        <f>IF($A789="","",IF(AND($C789="2027",OR($D789="V01",$D789="V02",$D789="V03")),1,0))</f>
        <v/>
      </c>
      <c r="F789">
        <f>IF($A789="","",IF($E789=1,SUMIFS(Comptabilité!$F$1:$F$675,Comptabilité!$A$1:$A$675,$A789,Comptabilité!$B$1:$B$675,$B789,Comptabilité!$C$1:$C$675,"2026"),0))</f>
        <v/>
      </c>
      <c r="G789">
        <f>IF($A789="","",IF($D789="V01",Cadrage!$C$22,IF($D789="V02",Cadrage!$D$22,Cadrage!$E$22)))</f>
        <v/>
      </c>
      <c r="H789">
        <f>IF($A789="","",IF($D789="V01",Cadrage!$C$23,IF($D789="V02",Cadrage!$D$23,Cadrage!$E$23)))</f>
        <v/>
      </c>
      <c r="I789">
        <f>IF($A789="","",IF($D789="V01",Cadrage!$C$31,IF($D789="V02",Cadrage!$D$31,Cadrage!$E$31)))</f>
        <v/>
      </c>
      <c r="J789">
        <f>IF($A789="","",IF($D789="V01",Cadrage!$C$32,IF($D789="V02",Cadrage!$D$32,Cadrage!$E$32)))</f>
        <v/>
      </c>
      <c r="K789">
        <f>IF($A789="","",IF($D789="V01",Cadrage!$C$33,IF($D789="V02",Cadrage!$D$33,Cadrage!$E$33)))</f>
        <v/>
      </c>
      <c r="L789">
        <f>IF($A789="","",IF($D789="V01",Cadrage!$C$34,IF($D789="V02",Cadrage!$D$34,Cadrage!$E$34)))</f>
        <v/>
      </c>
      <c r="M789">
        <f>IF($A789="","",IF($D789="V01",Cadrage!$C$35,IF($D789="V02",Cadrage!$D$35,Cadrage!$E$35)))</f>
        <v/>
      </c>
      <c r="N789">
        <f>IF($A789="","",IF($D789="V01",$R$2,IF($D789="V02",$R$3,$R$4)))</f>
        <v/>
      </c>
      <c r="O789">
        <f>IF($A789="","",IF(OR($B789="7062",$B789="706",$B789="708"),$N789,IF($B789="6231",1+$G789,IF($B789="6236",1+$H789,IF(OR($B789="621",$B789="604",$B789="6063"),$N789*(1-$L789),IF(OR($B789="6411",$B789="6413",$B789="6414",$B789="645"),(1+$J789)*(1+$K789),IF(OR($B789="613",$B789="615",$B789="616",$B789="6226",$B789="625",$B789="626",$B789="6281"),(1+$I789)*(1-$L789)*(1+$M789),IF(OR($B789="6331",$B789="63511",$B789="6333"),(1+$I789)*(1-$L789),IF($B789="6811",1+$I789,1)))))))))</f>
        <v/>
      </c>
      <c r="P789">
        <f>IF($A789="","",IF($E789=1,$F789*$O789,PNL!G789))</f>
        <v/>
      </c>
      <c r="T789">
        <f>IF($A789="","",IF($E789=1,IF(OR($B789="7062",$B789="706",$B789="708"),$P789,IF(AND(LEFT($B789,1)="6",$B789&lt;&gt;"6811"),-$P789,0)),0))</f>
        <v/>
      </c>
    </row>
    <row r="790">
      <c r="A790">
        <f>IF(PNL!A790="","",PNL!A790)</f>
        <v/>
      </c>
      <c r="B790">
        <f>IF(PNL!B790="","",PNL!B790)</f>
        <v/>
      </c>
      <c r="C790">
        <f>IF(PNL!C790="","",PNL!C790)</f>
        <v/>
      </c>
      <c r="D790">
        <f>IF(PNL!D790="","",PNL!D790)</f>
        <v/>
      </c>
      <c r="E790">
        <f>IF($A790="","",IF(AND($C790="2027",OR($D790="V01",$D790="V02",$D790="V03")),1,0))</f>
        <v/>
      </c>
      <c r="F790">
        <f>IF($A790="","",IF($E790=1,SUMIFS(Comptabilité!$F$1:$F$675,Comptabilité!$A$1:$A$675,$A790,Comptabilité!$B$1:$B$675,$B790,Comptabilité!$C$1:$C$675,"2026"),0))</f>
        <v/>
      </c>
      <c r="G790">
        <f>IF($A790="","",IF($D790="V01",Cadrage!$C$22,IF($D790="V02",Cadrage!$D$22,Cadrage!$E$22)))</f>
        <v/>
      </c>
      <c r="H790">
        <f>IF($A790="","",IF($D790="V01",Cadrage!$C$23,IF($D790="V02",Cadrage!$D$23,Cadrage!$E$23)))</f>
        <v/>
      </c>
      <c r="I790">
        <f>IF($A790="","",IF($D790="V01",Cadrage!$C$31,IF($D790="V02",Cadrage!$D$31,Cadrage!$E$31)))</f>
        <v/>
      </c>
      <c r="J790">
        <f>IF($A790="","",IF($D790="V01",Cadrage!$C$32,IF($D790="V02",Cadrage!$D$32,Cadrage!$E$32)))</f>
        <v/>
      </c>
      <c r="K790">
        <f>IF($A790="","",IF($D790="V01",Cadrage!$C$33,IF($D790="V02",Cadrage!$D$33,Cadrage!$E$33)))</f>
        <v/>
      </c>
      <c r="L790">
        <f>IF($A790="","",IF($D790="V01",Cadrage!$C$34,IF($D790="V02",Cadrage!$D$34,Cadrage!$E$34)))</f>
        <v/>
      </c>
      <c r="M790">
        <f>IF($A790="","",IF($D790="V01",Cadrage!$C$35,IF($D790="V02",Cadrage!$D$35,Cadrage!$E$35)))</f>
        <v/>
      </c>
      <c r="N790">
        <f>IF($A790="","",IF($D790="V01",$R$2,IF($D790="V02",$R$3,$R$4)))</f>
        <v/>
      </c>
      <c r="O790">
        <f>IF($A790="","",IF(OR($B790="7062",$B790="706",$B790="708"),$N790,IF($B790="6231",1+$G790,IF($B790="6236",1+$H790,IF(OR($B790="621",$B790="604",$B790="6063"),$N790*(1-$L790),IF(OR($B790="6411",$B790="6413",$B790="6414",$B790="645"),(1+$J790)*(1+$K790),IF(OR($B790="613",$B790="615",$B790="616",$B790="6226",$B790="625",$B790="626",$B790="6281"),(1+$I790)*(1-$L790)*(1+$M790),IF(OR($B790="6331",$B790="63511",$B790="6333"),(1+$I790)*(1-$L790),IF($B790="6811",1+$I790,1)))))))))</f>
        <v/>
      </c>
      <c r="P790">
        <f>IF($A790="","",IF($E790=1,$F790*$O790,PNL!G790))</f>
        <v/>
      </c>
      <c r="T790">
        <f>IF($A790="","",IF($E790=1,IF(OR($B790="7062",$B790="706",$B790="708"),$P790,IF(AND(LEFT($B790,1)="6",$B790&lt;&gt;"6811"),-$P790,0)),0))</f>
        <v/>
      </c>
    </row>
    <row r="791">
      <c r="A791">
        <f>IF(PNL!A791="","",PNL!A791)</f>
        <v/>
      </c>
      <c r="B791">
        <f>IF(PNL!B791="","",PNL!B791)</f>
        <v/>
      </c>
      <c r="C791">
        <f>IF(PNL!C791="","",PNL!C791)</f>
        <v/>
      </c>
      <c r="D791">
        <f>IF(PNL!D791="","",PNL!D791)</f>
        <v/>
      </c>
      <c r="E791">
        <f>IF($A791="","",IF(AND($C791="2027",OR($D791="V01",$D791="V02",$D791="V03")),1,0))</f>
        <v/>
      </c>
      <c r="F791">
        <f>IF($A791="","",IF($E791=1,SUMIFS(Comptabilité!$F$1:$F$675,Comptabilité!$A$1:$A$675,$A791,Comptabilité!$B$1:$B$675,$B791,Comptabilité!$C$1:$C$675,"2026"),0))</f>
        <v/>
      </c>
      <c r="G791">
        <f>IF($A791="","",IF($D791="V01",Cadrage!$C$22,IF($D791="V02",Cadrage!$D$22,Cadrage!$E$22)))</f>
        <v/>
      </c>
      <c r="H791">
        <f>IF($A791="","",IF($D791="V01",Cadrage!$C$23,IF($D791="V02",Cadrage!$D$23,Cadrage!$E$23)))</f>
        <v/>
      </c>
      <c r="I791">
        <f>IF($A791="","",IF($D791="V01",Cadrage!$C$31,IF($D791="V02",Cadrage!$D$31,Cadrage!$E$31)))</f>
        <v/>
      </c>
      <c r="J791">
        <f>IF($A791="","",IF($D791="V01",Cadrage!$C$32,IF($D791="V02",Cadrage!$D$32,Cadrage!$E$32)))</f>
        <v/>
      </c>
      <c r="K791">
        <f>IF($A791="","",IF($D791="V01",Cadrage!$C$33,IF($D791="V02",Cadrage!$D$33,Cadrage!$E$33)))</f>
        <v/>
      </c>
      <c r="L791">
        <f>IF($A791="","",IF($D791="V01",Cadrage!$C$34,IF($D791="V02",Cadrage!$D$34,Cadrage!$E$34)))</f>
        <v/>
      </c>
      <c r="M791">
        <f>IF($A791="","",IF($D791="V01",Cadrage!$C$35,IF($D791="V02",Cadrage!$D$35,Cadrage!$E$35)))</f>
        <v/>
      </c>
      <c r="N791">
        <f>IF($A791="","",IF($D791="V01",$R$2,IF($D791="V02",$R$3,$R$4)))</f>
        <v/>
      </c>
      <c r="O791">
        <f>IF($A791="","",IF(OR($B791="7062",$B791="706",$B791="708"),$N791,IF($B791="6231",1+$G791,IF($B791="6236",1+$H791,IF(OR($B791="621",$B791="604",$B791="6063"),$N791*(1-$L791),IF(OR($B791="6411",$B791="6413",$B791="6414",$B791="645"),(1+$J791)*(1+$K791),IF(OR($B791="613",$B791="615",$B791="616",$B791="6226",$B791="625",$B791="626",$B791="6281"),(1+$I791)*(1-$L791)*(1+$M791),IF(OR($B791="6331",$B791="63511",$B791="6333"),(1+$I791)*(1-$L791),IF($B791="6811",1+$I791,1)))))))))</f>
        <v/>
      </c>
      <c r="P791">
        <f>IF($A791="","",IF($E791=1,$F791*$O791,PNL!G791))</f>
        <v/>
      </c>
      <c r="T791">
        <f>IF($A791="","",IF($E791=1,IF(OR($B791="7062",$B791="706",$B791="708"),$P791,IF(AND(LEFT($B791,1)="6",$B791&lt;&gt;"6811"),-$P791,0)),0))</f>
        <v/>
      </c>
    </row>
    <row r="792">
      <c r="A792">
        <f>IF(PNL!A792="","",PNL!A792)</f>
        <v/>
      </c>
      <c r="B792">
        <f>IF(PNL!B792="","",PNL!B792)</f>
        <v/>
      </c>
      <c r="C792">
        <f>IF(PNL!C792="","",PNL!C792)</f>
        <v/>
      </c>
      <c r="D792">
        <f>IF(PNL!D792="","",PNL!D792)</f>
        <v/>
      </c>
      <c r="E792">
        <f>IF($A792="","",IF(AND($C792="2027",OR($D792="V01",$D792="V02",$D792="V03")),1,0))</f>
        <v/>
      </c>
      <c r="F792">
        <f>IF($A792="","",IF($E792=1,SUMIFS(Comptabilité!$F$1:$F$675,Comptabilité!$A$1:$A$675,$A792,Comptabilité!$B$1:$B$675,$B792,Comptabilité!$C$1:$C$675,"2026"),0))</f>
        <v/>
      </c>
      <c r="G792">
        <f>IF($A792="","",IF($D792="V01",Cadrage!$C$22,IF($D792="V02",Cadrage!$D$22,Cadrage!$E$22)))</f>
        <v/>
      </c>
      <c r="H792">
        <f>IF($A792="","",IF($D792="V01",Cadrage!$C$23,IF($D792="V02",Cadrage!$D$23,Cadrage!$E$23)))</f>
        <v/>
      </c>
      <c r="I792">
        <f>IF($A792="","",IF($D792="V01",Cadrage!$C$31,IF($D792="V02",Cadrage!$D$31,Cadrage!$E$31)))</f>
        <v/>
      </c>
      <c r="J792">
        <f>IF($A792="","",IF($D792="V01",Cadrage!$C$32,IF($D792="V02",Cadrage!$D$32,Cadrage!$E$32)))</f>
        <v/>
      </c>
      <c r="K792">
        <f>IF($A792="","",IF($D792="V01",Cadrage!$C$33,IF($D792="V02",Cadrage!$D$33,Cadrage!$E$33)))</f>
        <v/>
      </c>
      <c r="L792">
        <f>IF($A792="","",IF($D792="V01",Cadrage!$C$34,IF($D792="V02",Cadrage!$D$34,Cadrage!$E$34)))</f>
        <v/>
      </c>
      <c r="M792">
        <f>IF($A792="","",IF($D792="V01",Cadrage!$C$35,IF($D792="V02",Cadrage!$D$35,Cadrage!$E$35)))</f>
        <v/>
      </c>
      <c r="N792">
        <f>IF($A792="","",IF($D792="V01",$R$2,IF($D792="V02",$R$3,$R$4)))</f>
        <v/>
      </c>
      <c r="O792">
        <f>IF($A792="","",IF(OR($B792="7062",$B792="706",$B792="708"),$N792,IF($B792="6231",1+$G792,IF($B792="6236",1+$H792,IF(OR($B792="621",$B792="604",$B792="6063"),$N792*(1-$L792),IF(OR($B792="6411",$B792="6413",$B792="6414",$B792="645"),(1+$J792)*(1+$K792),IF(OR($B792="613",$B792="615",$B792="616",$B792="6226",$B792="625",$B792="626",$B792="6281"),(1+$I792)*(1-$L792)*(1+$M792),IF(OR($B792="6331",$B792="63511",$B792="6333"),(1+$I792)*(1-$L792),IF($B792="6811",1+$I792,1)))))))))</f>
        <v/>
      </c>
      <c r="P792">
        <f>IF($A792="","",IF($E792=1,$F792*$O792,PNL!G792))</f>
        <v/>
      </c>
      <c r="T792">
        <f>IF($A792="","",IF($E792=1,IF(OR($B792="7062",$B792="706",$B792="708"),$P792,IF(AND(LEFT($B792,1)="6",$B792&lt;&gt;"6811"),-$P792,0)),0))</f>
        <v/>
      </c>
    </row>
    <row r="793">
      <c r="A793">
        <f>IF(PNL!A793="","",PNL!A793)</f>
        <v/>
      </c>
      <c r="B793">
        <f>IF(PNL!B793="","",PNL!B793)</f>
        <v/>
      </c>
      <c r="C793">
        <f>IF(PNL!C793="","",PNL!C793)</f>
        <v/>
      </c>
      <c r="D793">
        <f>IF(PNL!D793="","",PNL!D793)</f>
        <v/>
      </c>
      <c r="E793">
        <f>IF($A793="","",IF(AND($C793="2027",OR($D793="V01",$D793="V02",$D793="V03")),1,0))</f>
        <v/>
      </c>
      <c r="F793">
        <f>IF($A793="","",IF($E793=1,SUMIFS(Comptabilité!$F$1:$F$675,Comptabilité!$A$1:$A$675,$A793,Comptabilité!$B$1:$B$675,$B793,Comptabilité!$C$1:$C$675,"2026"),0))</f>
        <v/>
      </c>
      <c r="G793">
        <f>IF($A793="","",IF($D793="V01",Cadrage!$C$22,IF($D793="V02",Cadrage!$D$22,Cadrage!$E$22)))</f>
        <v/>
      </c>
      <c r="H793">
        <f>IF($A793="","",IF($D793="V01",Cadrage!$C$23,IF($D793="V02",Cadrage!$D$23,Cadrage!$E$23)))</f>
        <v/>
      </c>
      <c r="I793">
        <f>IF($A793="","",IF($D793="V01",Cadrage!$C$31,IF($D793="V02",Cadrage!$D$31,Cadrage!$E$31)))</f>
        <v/>
      </c>
      <c r="J793">
        <f>IF($A793="","",IF($D793="V01",Cadrage!$C$32,IF($D793="V02",Cadrage!$D$32,Cadrage!$E$32)))</f>
        <v/>
      </c>
      <c r="K793">
        <f>IF($A793="","",IF($D793="V01",Cadrage!$C$33,IF($D793="V02",Cadrage!$D$33,Cadrage!$E$33)))</f>
        <v/>
      </c>
      <c r="L793">
        <f>IF($A793="","",IF($D793="V01",Cadrage!$C$34,IF($D793="V02",Cadrage!$D$34,Cadrage!$E$34)))</f>
        <v/>
      </c>
      <c r="M793">
        <f>IF($A793="","",IF($D793="V01",Cadrage!$C$35,IF($D793="V02",Cadrage!$D$35,Cadrage!$E$35)))</f>
        <v/>
      </c>
      <c r="N793">
        <f>IF($A793="","",IF($D793="V01",$R$2,IF($D793="V02",$R$3,$R$4)))</f>
        <v/>
      </c>
      <c r="O793">
        <f>IF($A793="","",IF(OR($B793="7062",$B793="706",$B793="708"),$N793,IF($B793="6231",1+$G793,IF($B793="6236",1+$H793,IF(OR($B793="621",$B793="604",$B793="6063"),$N793*(1-$L793),IF(OR($B793="6411",$B793="6413",$B793="6414",$B793="645"),(1+$J793)*(1+$K793),IF(OR($B793="613",$B793="615",$B793="616",$B793="6226",$B793="625",$B793="626",$B793="6281"),(1+$I793)*(1-$L793)*(1+$M793),IF(OR($B793="6331",$B793="63511",$B793="6333"),(1+$I793)*(1-$L793),IF($B793="6811",1+$I793,1)))))))))</f>
        <v/>
      </c>
      <c r="P793">
        <f>IF($A793="","",IF($E793=1,$F793*$O793,PNL!G793))</f>
        <v/>
      </c>
      <c r="T793">
        <f>IF($A793="","",IF($E793=1,IF(OR($B793="7062",$B793="706",$B793="708"),$P793,IF(AND(LEFT($B793,1)="6",$B793&lt;&gt;"6811"),-$P793,0)),0))</f>
        <v/>
      </c>
    </row>
    <row r="794">
      <c r="A794">
        <f>IF(PNL!A794="","",PNL!A794)</f>
        <v/>
      </c>
      <c r="B794">
        <f>IF(PNL!B794="","",PNL!B794)</f>
        <v/>
      </c>
      <c r="C794">
        <f>IF(PNL!C794="","",PNL!C794)</f>
        <v/>
      </c>
      <c r="D794">
        <f>IF(PNL!D794="","",PNL!D794)</f>
        <v/>
      </c>
      <c r="E794">
        <f>IF($A794="","",IF(AND($C794="2027",OR($D794="V01",$D794="V02",$D794="V03")),1,0))</f>
        <v/>
      </c>
      <c r="F794">
        <f>IF($A794="","",IF($E794=1,SUMIFS(Comptabilité!$F$1:$F$675,Comptabilité!$A$1:$A$675,$A794,Comptabilité!$B$1:$B$675,$B794,Comptabilité!$C$1:$C$675,"2026"),0))</f>
        <v/>
      </c>
      <c r="G794">
        <f>IF($A794="","",IF($D794="V01",Cadrage!$C$22,IF($D794="V02",Cadrage!$D$22,Cadrage!$E$22)))</f>
        <v/>
      </c>
      <c r="H794">
        <f>IF($A794="","",IF($D794="V01",Cadrage!$C$23,IF($D794="V02",Cadrage!$D$23,Cadrage!$E$23)))</f>
        <v/>
      </c>
      <c r="I794">
        <f>IF($A794="","",IF($D794="V01",Cadrage!$C$31,IF($D794="V02",Cadrage!$D$31,Cadrage!$E$31)))</f>
        <v/>
      </c>
      <c r="J794">
        <f>IF($A794="","",IF($D794="V01",Cadrage!$C$32,IF($D794="V02",Cadrage!$D$32,Cadrage!$E$32)))</f>
        <v/>
      </c>
      <c r="K794">
        <f>IF($A794="","",IF($D794="V01",Cadrage!$C$33,IF($D794="V02",Cadrage!$D$33,Cadrage!$E$33)))</f>
        <v/>
      </c>
      <c r="L794">
        <f>IF($A794="","",IF($D794="V01",Cadrage!$C$34,IF($D794="V02",Cadrage!$D$34,Cadrage!$E$34)))</f>
        <v/>
      </c>
      <c r="M794">
        <f>IF($A794="","",IF($D794="V01",Cadrage!$C$35,IF($D794="V02",Cadrage!$D$35,Cadrage!$E$35)))</f>
        <v/>
      </c>
      <c r="N794">
        <f>IF($A794="","",IF($D794="V01",$R$2,IF($D794="V02",$R$3,$R$4)))</f>
        <v/>
      </c>
      <c r="O794">
        <f>IF($A794="","",IF(OR($B794="7062",$B794="706",$B794="708"),$N794,IF($B794="6231",1+$G794,IF($B794="6236",1+$H794,IF(OR($B794="621",$B794="604",$B794="6063"),$N794*(1-$L794),IF(OR($B794="6411",$B794="6413",$B794="6414",$B794="645"),(1+$J794)*(1+$K794),IF(OR($B794="613",$B794="615",$B794="616",$B794="6226",$B794="625",$B794="626",$B794="6281"),(1+$I794)*(1-$L794)*(1+$M794),IF(OR($B794="6331",$B794="63511",$B794="6333"),(1+$I794)*(1-$L794),IF($B794="6811",1+$I794,1)))))))))</f>
        <v/>
      </c>
      <c r="P794">
        <f>IF($A794="","",IF($E794=1,$F794*$O794,PNL!G794))</f>
        <v/>
      </c>
      <c r="T794">
        <f>IF($A794="","",IF($E794=1,IF(OR($B794="7062",$B794="706",$B794="708"),$P794,IF(AND(LEFT($B794,1)="6",$B794&lt;&gt;"6811"),-$P794,0)),0))</f>
        <v/>
      </c>
    </row>
    <row r="795">
      <c r="A795">
        <f>IF(PNL!A795="","",PNL!A795)</f>
        <v/>
      </c>
      <c r="B795">
        <f>IF(PNL!B795="","",PNL!B795)</f>
        <v/>
      </c>
      <c r="C795">
        <f>IF(PNL!C795="","",PNL!C795)</f>
        <v/>
      </c>
      <c r="D795">
        <f>IF(PNL!D795="","",PNL!D795)</f>
        <v/>
      </c>
      <c r="E795">
        <f>IF($A795="","",IF(AND($C795="2027",OR($D795="V01",$D795="V02",$D795="V03")),1,0))</f>
        <v/>
      </c>
      <c r="F795">
        <f>IF($A795="","",IF($E795=1,SUMIFS(Comptabilité!$F$1:$F$675,Comptabilité!$A$1:$A$675,$A795,Comptabilité!$B$1:$B$675,$B795,Comptabilité!$C$1:$C$675,"2026"),0))</f>
        <v/>
      </c>
      <c r="G795">
        <f>IF($A795="","",IF($D795="V01",Cadrage!$C$22,IF($D795="V02",Cadrage!$D$22,Cadrage!$E$22)))</f>
        <v/>
      </c>
      <c r="H795">
        <f>IF($A795="","",IF($D795="V01",Cadrage!$C$23,IF($D795="V02",Cadrage!$D$23,Cadrage!$E$23)))</f>
        <v/>
      </c>
      <c r="I795">
        <f>IF($A795="","",IF($D795="V01",Cadrage!$C$31,IF($D795="V02",Cadrage!$D$31,Cadrage!$E$31)))</f>
        <v/>
      </c>
      <c r="J795">
        <f>IF($A795="","",IF($D795="V01",Cadrage!$C$32,IF($D795="V02",Cadrage!$D$32,Cadrage!$E$32)))</f>
        <v/>
      </c>
      <c r="K795">
        <f>IF($A795="","",IF($D795="V01",Cadrage!$C$33,IF($D795="V02",Cadrage!$D$33,Cadrage!$E$33)))</f>
        <v/>
      </c>
      <c r="L795">
        <f>IF($A795="","",IF($D795="V01",Cadrage!$C$34,IF($D795="V02",Cadrage!$D$34,Cadrage!$E$34)))</f>
        <v/>
      </c>
      <c r="M795">
        <f>IF($A795="","",IF($D795="V01",Cadrage!$C$35,IF($D795="V02",Cadrage!$D$35,Cadrage!$E$35)))</f>
        <v/>
      </c>
      <c r="N795">
        <f>IF($A795="","",IF($D795="V01",$R$2,IF($D795="V02",$R$3,$R$4)))</f>
        <v/>
      </c>
      <c r="O795">
        <f>IF($A795="","",IF(OR($B795="7062",$B795="706",$B795="708"),$N795,IF($B795="6231",1+$G795,IF($B795="6236",1+$H795,IF(OR($B795="621",$B795="604",$B795="6063"),$N795*(1-$L795),IF(OR($B795="6411",$B795="6413",$B795="6414",$B795="645"),(1+$J795)*(1+$K795),IF(OR($B795="613",$B795="615",$B795="616",$B795="6226",$B795="625",$B795="626",$B795="6281"),(1+$I795)*(1-$L795)*(1+$M795),IF(OR($B795="6331",$B795="63511",$B795="6333"),(1+$I795)*(1-$L795),IF($B795="6811",1+$I795,1)))))))))</f>
        <v/>
      </c>
      <c r="P795">
        <f>IF($A795="","",IF($E795=1,$F795*$O795,PNL!G795))</f>
        <v/>
      </c>
      <c r="T795">
        <f>IF($A795="","",IF($E795=1,IF(OR($B795="7062",$B795="706",$B795="708"),$P795,IF(AND(LEFT($B795,1)="6",$B795&lt;&gt;"6811"),-$P795,0)),0))</f>
        <v/>
      </c>
    </row>
    <row r="796">
      <c r="A796">
        <f>IF(PNL!A796="","",PNL!A796)</f>
        <v/>
      </c>
      <c r="B796">
        <f>IF(PNL!B796="","",PNL!B796)</f>
        <v/>
      </c>
      <c r="C796">
        <f>IF(PNL!C796="","",PNL!C796)</f>
        <v/>
      </c>
      <c r="D796">
        <f>IF(PNL!D796="","",PNL!D796)</f>
        <v/>
      </c>
      <c r="E796">
        <f>IF($A796="","",IF(AND($C796="2027",OR($D796="V01",$D796="V02",$D796="V03")),1,0))</f>
        <v/>
      </c>
      <c r="F796">
        <f>IF($A796="","",IF($E796=1,SUMIFS(Comptabilité!$F$1:$F$675,Comptabilité!$A$1:$A$675,$A796,Comptabilité!$B$1:$B$675,$B796,Comptabilité!$C$1:$C$675,"2026"),0))</f>
        <v/>
      </c>
      <c r="G796">
        <f>IF($A796="","",IF($D796="V01",Cadrage!$C$22,IF($D796="V02",Cadrage!$D$22,Cadrage!$E$22)))</f>
        <v/>
      </c>
      <c r="H796">
        <f>IF($A796="","",IF($D796="V01",Cadrage!$C$23,IF($D796="V02",Cadrage!$D$23,Cadrage!$E$23)))</f>
        <v/>
      </c>
      <c r="I796">
        <f>IF($A796="","",IF($D796="V01",Cadrage!$C$31,IF($D796="V02",Cadrage!$D$31,Cadrage!$E$31)))</f>
        <v/>
      </c>
      <c r="J796">
        <f>IF($A796="","",IF($D796="V01",Cadrage!$C$32,IF($D796="V02",Cadrage!$D$32,Cadrage!$E$32)))</f>
        <v/>
      </c>
      <c r="K796">
        <f>IF($A796="","",IF($D796="V01",Cadrage!$C$33,IF($D796="V02",Cadrage!$D$33,Cadrage!$E$33)))</f>
        <v/>
      </c>
      <c r="L796">
        <f>IF($A796="","",IF($D796="V01",Cadrage!$C$34,IF($D796="V02",Cadrage!$D$34,Cadrage!$E$34)))</f>
        <v/>
      </c>
      <c r="M796">
        <f>IF($A796="","",IF($D796="V01",Cadrage!$C$35,IF($D796="V02",Cadrage!$D$35,Cadrage!$E$35)))</f>
        <v/>
      </c>
      <c r="N796">
        <f>IF($A796="","",IF($D796="V01",$R$2,IF($D796="V02",$R$3,$R$4)))</f>
        <v/>
      </c>
      <c r="O796">
        <f>IF($A796="","",IF(OR($B796="7062",$B796="706",$B796="708"),$N796,IF($B796="6231",1+$G796,IF($B796="6236",1+$H796,IF(OR($B796="621",$B796="604",$B796="6063"),$N796*(1-$L796),IF(OR($B796="6411",$B796="6413",$B796="6414",$B796="645"),(1+$J796)*(1+$K796),IF(OR($B796="613",$B796="615",$B796="616",$B796="6226",$B796="625",$B796="626",$B796="6281"),(1+$I796)*(1-$L796)*(1+$M796),IF(OR($B796="6331",$B796="63511",$B796="6333"),(1+$I796)*(1-$L796),IF($B796="6811",1+$I796,1)))))))))</f>
        <v/>
      </c>
      <c r="P796">
        <f>IF($A796="","",IF($E796=1,$F796*$O796,PNL!G796))</f>
        <v/>
      </c>
      <c r="T796">
        <f>IF($A796="","",IF($E796=1,IF(OR($B796="7062",$B796="706",$B796="708"),$P796,IF(AND(LEFT($B796,1)="6",$B796&lt;&gt;"6811"),-$P796,0)),0))</f>
        <v/>
      </c>
    </row>
    <row r="797">
      <c r="A797">
        <f>IF(PNL!A797="","",PNL!A797)</f>
        <v/>
      </c>
      <c r="B797">
        <f>IF(PNL!B797="","",PNL!B797)</f>
        <v/>
      </c>
      <c r="C797">
        <f>IF(PNL!C797="","",PNL!C797)</f>
        <v/>
      </c>
      <c r="D797">
        <f>IF(PNL!D797="","",PNL!D797)</f>
        <v/>
      </c>
      <c r="E797">
        <f>IF($A797="","",IF(AND($C797="2027",OR($D797="V01",$D797="V02",$D797="V03")),1,0))</f>
        <v/>
      </c>
      <c r="F797">
        <f>IF($A797="","",IF($E797=1,SUMIFS(Comptabilité!$F$1:$F$675,Comptabilité!$A$1:$A$675,$A797,Comptabilité!$B$1:$B$675,$B797,Comptabilité!$C$1:$C$675,"2026"),0))</f>
        <v/>
      </c>
      <c r="G797">
        <f>IF($A797="","",IF($D797="V01",Cadrage!$C$22,IF($D797="V02",Cadrage!$D$22,Cadrage!$E$22)))</f>
        <v/>
      </c>
      <c r="H797">
        <f>IF($A797="","",IF($D797="V01",Cadrage!$C$23,IF($D797="V02",Cadrage!$D$23,Cadrage!$E$23)))</f>
        <v/>
      </c>
      <c r="I797">
        <f>IF($A797="","",IF($D797="V01",Cadrage!$C$31,IF($D797="V02",Cadrage!$D$31,Cadrage!$E$31)))</f>
        <v/>
      </c>
      <c r="J797">
        <f>IF($A797="","",IF($D797="V01",Cadrage!$C$32,IF($D797="V02",Cadrage!$D$32,Cadrage!$E$32)))</f>
        <v/>
      </c>
      <c r="K797">
        <f>IF($A797="","",IF($D797="V01",Cadrage!$C$33,IF($D797="V02",Cadrage!$D$33,Cadrage!$E$33)))</f>
        <v/>
      </c>
      <c r="L797">
        <f>IF($A797="","",IF($D797="V01",Cadrage!$C$34,IF($D797="V02",Cadrage!$D$34,Cadrage!$E$34)))</f>
        <v/>
      </c>
      <c r="M797">
        <f>IF($A797="","",IF($D797="V01",Cadrage!$C$35,IF($D797="V02",Cadrage!$D$35,Cadrage!$E$35)))</f>
        <v/>
      </c>
      <c r="N797">
        <f>IF($A797="","",IF($D797="V01",$R$2,IF($D797="V02",$R$3,$R$4)))</f>
        <v/>
      </c>
      <c r="O797">
        <f>IF($A797="","",IF(OR($B797="7062",$B797="706",$B797="708"),$N797,IF($B797="6231",1+$G797,IF($B797="6236",1+$H797,IF(OR($B797="621",$B797="604",$B797="6063"),$N797*(1-$L797),IF(OR($B797="6411",$B797="6413",$B797="6414",$B797="645"),(1+$J797)*(1+$K797),IF(OR($B797="613",$B797="615",$B797="616",$B797="6226",$B797="625",$B797="626",$B797="6281"),(1+$I797)*(1-$L797)*(1+$M797),IF(OR($B797="6331",$B797="63511",$B797="6333"),(1+$I797)*(1-$L797),IF($B797="6811",1+$I797,1)))))))))</f>
        <v/>
      </c>
      <c r="P797">
        <f>IF($A797="","",IF($E797=1,$F797*$O797,PNL!G797))</f>
        <v/>
      </c>
      <c r="T797">
        <f>IF($A797="","",IF($E797=1,IF(OR($B797="7062",$B797="706",$B797="708"),$P797,IF(AND(LEFT($B797,1)="6",$B797&lt;&gt;"6811"),-$P797,0)),0))</f>
        <v/>
      </c>
    </row>
    <row r="798">
      <c r="A798">
        <f>IF(PNL!A798="","",PNL!A798)</f>
        <v/>
      </c>
      <c r="B798">
        <f>IF(PNL!B798="","",PNL!B798)</f>
        <v/>
      </c>
      <c r="C798">
        <f>IF(PNL!C798="","",PNL!C798)</f>
        <v/>
      </c>
      <c r="D798">
        <f>IF(PNL!D798="","",PNL!D798)</f>
        <v/>
      </c>
      <c r="E798">
        <f>IF($A798="","",IF(AND($C798="2027",OR($D798="V01",$D798="V02",$D798="V03")),1,0))</f>
        <v/>
      </c>
      <c r="F798">
        <f>IF($A798="","",IF($E798=1,SUMIFS(Comptabilité!$F$1:$F$675,Comptabilité!$A$1:$A$675,$A798,Comptabilité!$B$1:$B$675,$B798,Comptabilité!$C$1:$C$675,"2026"),0))</f>
        <v/>
      </c>
      <c r="G798">
        <f>IF($A798="","",IF($D798="V01",Cadrage!$C$22,IF($D798="V02",Cadrage!$D$22,Cadrage!$E$22)))</f>
        <v/>
      </c>
      <c r="H798">
        <f>IF($A798="","",IF($D798="V01",Cadrage!$C$23,IF($D798="V02",Cadrage!$D$23,Cadrage!$E$23)))</f>
        <v/>
      </c>
      <c r="I798">
        <f>IF($A798="","",IF($D798="V01",Cadrage!$C$31,IF($D798="V02",Cadrage!$D$31,Cadrage!$E$31)))</f>
        <v/>
      </c>
      <c r="J798">
        <f>IF($A798="","",IF($D798="V01",Cadrage!$C$32,IF($D798="V02",Cadrage!$D$32,Cadrage!$E$32)))</f>
        <v/>
      </c>
      <c r="K798">
        <f>IF($A798="","",IF($D798="V01",Cadrage!$C$33,IF($D798="V02",Cadrage!$D$33,Cadrage!$E$33)))</f>
        <v/>
      </c>
      <c r="L798">
        <f>IF($A798="","",IF($D798="V01",Cadrage!$C$34,IF($D798="V02",Cadrage!$D$34,Cadrage!$E$34)))</f>
        <v/>
      </c>
      <c r="M798">
        <f>IF($A798="","",IF($D798="V01",Cadrage!$C$35,IF($D798="V02",Cadrage!$D$35,Cadrage!$E$35)))</f>
        <v/>
      </c>
      <c r="N798">
        <f>IF($A798="","",IF($D798="V01",$R$2,IF($D798="V02",$R$3,$R$4)))</f>
        <v/>
      </c>
      <c r="O798">
        <f>IF($A798="","",IF(OR($B798="7062",$B798="706",$B798="708"),$N798,IF($B798="6231",1+$G798,IF($B798="6236",1+$H798,IF(OR($B798="621",$B798="604",$B798="6063"),$N798*(1-$L798),IF(OR($B798="6411",$B798="6413",$B798="6414",$B798="645"),(1+$J798)*(1+$K798),IF(OR($B798="613",$B798="615",$B798="616",$B798="6226",$B798="625",$B798="626",$B798="6281"),(1+$I798)*(1-$L798)*(1+$M798),IF(OR($B798="6331",$B798="63511",$B798="6333"),(1+$I798)*(1-$L798),IF($B798="6811",1+$I798,1)))))))))</f>
        <v/>
      </c>
      <c r="P798">
        <f>IF($A798="","",IF($E798=1,$F798*$O798,PNL!G798))</f>
        <v/>
      </c>
      <c r="T798">
        <f>IF($A798="","",IF($E798=1,IF(OR($B798="7062",$B798="706",$B798="708"),$P798,IF(AND(LEFT($B798,1)="6",$B798&lt;&gt;"6811"),-$P798,0)),0))</f>
        <v/>
      </c>
    </row>
    <row r="799">
      <c r="A799">
        <f>IF(PNL!A799="","",PNL!A799)</f>
        <v/>
      </c>
      <c r="B799">
        <f>IF(PNL!B799="","",PNL!B799)</f>
        <v/>
      </c>
      <c r="C799">
        <f>IF(PNL!C799="","",PNL!C799)</f>
        <v/>
      </c>
      <c r="D799">
        <f>IF(PNL!D799="","",PNL!D799)</f>
        <v/>
      </c>
      <c r="E799">
        <f>IF($A799="","",IF(AND($C799="2027",OR($D799="V01",$D799="V02",$D799="V03")),1,0))</f>
        <v/>
      </c>
      <c r="F799">
        <f>IF($A799="","",IF($E799=1,SUMIFS(Comptabilité!$F$1:$F$675,Comptabilité!$A$1:$A$675,$A799,Comptabilité!$B$1:$B$675,$B799,Comptabilité!$C$1:$C$675,"2026"),0))</f>
        <v/>
      </c>
      <c r="G799">
        <f>IF($A799="","",IF($D799="V01",Cadrage!$C$22,IF($D799="V02",Cadrage!$D$22,Cadrage!$E$22)))</f>
        <v/>
      </c>
      <c r="H799">
        <f>IF($A799="","",IF($D799="V01",Cadrage!$C$23,IF($D799="V02",Cadrage!$D$23,Cadrage!$E$23)))</f>
        <v/>
      </c>
      <c r="I799">
        <f>IF($A799="","",IF($D799="V01",Cadrage!$C$31,IF($D799="V02",Cadrage!$D$31,Cadrage!$E$31)))</f>
        <v/>
      </c>
      <c r="J799">
        <f>IF($A799="","",IF($D799="V01",Cadrage!$C$32,IF($D799="V02",Cadrage!$D$32,Cadrage!$E$32)))</f>
        <v/>
      </c>
      <c r="K799">
        <f>IF($A799="","",IF($D799="V01",Cadrage!$C$33,IF($D799="V02",Cadrage!$D$33,Cadrage!$E$33)))</f>
        <v/>
      </c>
      <c r="L799">
        <f>IF($A799="","",IF($D799="V01",Cadrage!$C$34,IF($D799="V02",Cadrage!$D$34,Cadrage!$E$34)))</f>
        <v/>
      </c>
      <c r="M799">
        <f>IF($A799="","",IF($D799="V01",Cadrage!$C$35,IF($D799="V02",Cadrage!$D$35,Cadrage!$E$35)))</f>
        <v/>
      </c>
      <c r="N799">
        <f>IF($A799="","",IF($D799="V01",$R$2,IF($D799="V02",$R$3,$R$4)))</f>
        <v/>
      </c>
      <c r="O799">
        <f>IF($A799="","",IF(OR($B799="7062",$B799="706",$B799="708"),$N799,IF($B799="6231",1+$G799,IF($B799="6236",1+$H799,IF(OR($B799="621",$B799="604",$B799="6063"),$N799*(1-$L799),IF(OR($B799="6411",$B799="6413",$B799="6414",$B799="645"),(1+$J799)*(1+$K799),IF(OR($B799="613",$B799="615",$B799="616",$B799="6226",$B799="625",$B799="626",$B799="6281"),(1+$I799)*(1-$L799)*(1+$M799),IF(OR($B799="6331",$B799="63511",$B799="6333"),(1+$I799)*(1-$L799),IF($B799="6811",1+$I799,1)))))))))</f>
        <v/>
      </c>
      <c r="P799">
        <f>IF($A799="","",IF($E799=1,$F799*$O799,PNL!G799))</f>
        <v/>
      </c>
      <c r="T799">
        <f>IF($A799="","",IF($E799=1,IF(OR($B799="7062",$B799="706",$B799="708"),$P799,IF(AND(LEFT($B799,1)="6",$B799&lt;&gt;"6811"),-$P799,0)),0))</f>
        <v/>
      </c>
    </row>
    <row r="800">
      <c r="A800">
        <f>IF(PNL!A800="","",PNL!A800)</f>
        <v/>
      </c>
      <c r="B800">
        <f>IF(PNL!B800="","",PNL!B800)</f>
        <v/>
      </c>
      <c r="C800">
        <f>IF(PNL!C800="","",PNL!C800)</f>
        <v/>
      </c>
      <c r="D800">
        <f>IF(PNL!D800="","",PNL!D800)</f>
        <v/>
      </c>
      <c r="E800">
        <f>IF($A800="","",IF(AND($C800="2027",OR($D800="V01",$D800="V02",$D800="V03")),1,0))</f>
        <v/>
      </c>
      <c r="F800">
        <f>IF($A800="","",IF($E800=1,SUMIFS(Comptabilité!$F$1:$F$675,Comptabilité!$A$1:$A$675,$A800,Comptabilité!$B$1:$B$675,$B800,Comptabilité!$C$1:$C$675,"2026"),0))</f>
        <v/>
      </c>
      <c r="G800">
        <f>IF($A800="","",IF($D800="V01",Cadrage!$C$22,IF($D800="V02",Cadrage!$D$22,Cadrage!$E$22)))</f>
        <v/>
      </c>
      <c r="H800">
        <f>IF($A800="","",IF($D800="V01",Cadrage!$C$23,IF($D800="V02",Cadrage!$D$23,Cadrage!$E$23)))</f>
        <v/>
      </c>
      <c r="I800">
        <f>IF($A800="","",IF($D800="V01",Cadrage!$C$31,IF($D800="V02",Cadrage!$D$31,Cadrage!$E$31)))</f>
        <v/>
      </c>
      <c r="J800">
        <f>IF($A800="","",IF($D800="V01",Cadrage!$C$32,IF($D800="V02",Cadrage!$D$32,Cadrage!$E$32)))</f>
        <v/>
      </c>
      <c r="K800">
        <f>IF($A800="","",IF($D800="V01",Cadrage!$C$33,IF($D800="V02",Cadrage!$D$33,Cadrage!$E$33)))</f>
        <v/>
      </c>
      <c r="L800">
        <f>IF($A800="","",IF($D800="V01",Cadrage!$C$34,IF($D800="V02",Cadrage!$D$34,Cadrage!$E$34)))</f>
        <v/>
      </c>
      <c r="M800">
        <f>IF($A800="","",IF($D800="V01",Cadrage!$C$35,IF($D800="V02",Cadrage!$D$35,Cadrage!$E$35)))</f>
        <v/>
      </c>
      <c r="N800">
        <f>IF($A800="","",IF($D800="V01",$R$2,IF($D800="V02",$R$3,$R$4)))</f>
        <v/>
      </c>
      <c r="O800">
        <f>IF($A800="","",IF(OR($B800="7062",$B800="706",$B800="708"),$N800,IF($B800="6231",1+$G800,IF($B800="6236",1+$H800,IF(OR($B800="621",$B800="604",$B800="6063"),$N800*(1-$L800),IF(OR($B800="6411",$B800="6413",$B800="6414",$B800="645"),(1+$J800)*(1+$K800),IF(OR($B800="613",$B800="615",$B800="616",$B800="6226",$B800="625",$B800="626",$B800="6281"),(1+$I800)*(1-$L800)*(1+$M800),IF(OR($B800="6331",$B800="63511",$B800="6333"),(1+$I800)*(1-$L800),IF($B800="6811",1+$I800,1)))))))))</f>
        <v/>
      </c>
      <c r="P800">
        <f>IF($A800="","",IF($E800=1,$F800*$O800,PNL!G800))</f>
        <v/>
      </c>
      <c r="T800">
        <f>IF($A800="","",IF($E800=1,IF(OR($B800="7062",$B800="706",$B800="708"),$P800,IF(AND(LEFT($B800,1)="6",$B800&lt;&gt;"6811"),-$P800,0)),0))</f>
        <v/>
      </c>
    </row>
    <row r="801">
      <c r="A801">
        <f>IF(PNL!A801="","",PNL!A801)</f>
        <v/>
      </c>
      <c r="B801">
        <f>IF(PNL!B801="","",PNL!B801)</f>
        <v/>
      </c>
      <c r="C801">
        <f>IF(PNL!C801="","",PNL!C801)</f>
        <v/>
      </c>
      <c r="D801">
        <f>IF(PNL!D801="","",PNL!D801)</f>
        <v/>
      </c>
      <c r="E801">
        <f>IF($A801="","",IF(AND($C801="2027",OR($D801="V01",$D801="V02",$D801="V03")),1,0))</f>
        <v/>
      </c>
      <c r="F801">
        <f>IF($A801="","",IF($E801=1,SUMIFS(Comptabilité!$F$1:$F$675,Comptabilité!$A$1:$A$675,$A801,Comptabilité!$B$1:$B$675,$B801,Comptabilité!$C$1:$C$675,"2026"),0))</f>
        <v/>
      </c>
      <c r="G801">
        <f>IF($A801="","",IF($D801="V01",Cadrage!$C$22,IF($D801="V02",Cadrage!$D$22,Cadrage!$E$22)))</f>
        <v/>
      </c>
      <c r="H801">
        <f>IF($A801="","",IF($D801="V01",Cadrage!$C$23,IF($D801="V02",Cadrage!$D$23,Cadrage!$E$23)))</f>
        <v/>
      </c>
      <c r="I801">
        <f>IF($A801="","",IF($D801="V01",Cadrage!$C$31,IF($D801="V02",Cadrage!$D$31,Cadrage!$E$31)))</f>
        <v/>
      </c>
      <c r="J801">
        <f>IF($A801="","",IF($D801="V01",Cadrage!$C$32,IF($D801="V02",Cadrage!$D$32,Cadrage!$E$32)))</f>
        <v/>
      </c>
      <c r="K801">
        <f>IF($A801="","",IF($D801="V01",Cadrage!$C$33,IF($D801="V02",Cadrage!$D$33,Cadrage!$E$33)))</f>
        <v/>
      </c>
      <c r="L801">
        <f>IF($A801="","",IF($D801="V01",Cadrage!$C$34,IF($D801="V02",Cadrage!$D$34,Cadrage!$E$34)))</f>
        <v/>
      </c>
      <c r="M801">
        <f>IF($A801="","",IF($D801="V01",Cadrage!$C$35,IF($D801="V02",Cadrage!$D$35,Cadrage!$E$35)))</f>
        <v/>
      </c>
      <c r="N801">
        <f>IF($A801="","",IF($D801="V01",$R$2,IF($D801="V02",$R$3,$R$4)))</f>
        <v/>
      </c>
      <c r="O801">
        <f>IF($A801="","",IF(OR($B801="7062",$B801="706",$B801="708"),$N801,IF($B801="6231",1+$G801,IF($B801="6236",1+$H801,IF(OR($B801="621",$B801="604",$B801="6063"),$N801*(1-$L801),IF(OR($B801="6411",$B801="6413",$B801="6414",$B801="645"),(1+$J801)*(1+$K801),IF(OR($B801="613",$B801="615",$B801="616",$B801="6226",$B801="625",$B801="626",$B801="6281"),(1+$I801)*(1-$L801)*(1+$M801),IF(OR($B801="6331",$B801="63511",$B801="6333"),(1+$I801)*(1-$L801),IF($B801="6811",1+$I801,1)))))))))</f>
        <v/>
      </c>
      <c r="P801">
        <f>IF($A801="","",IF($E801=1,$F801*$O801,PNL!G801))</f>
        <v/>
      </c>
      <c r="T801">
        <f>IF($A801="","",IF($E801=1,IF(OR($B801="7062",$B801="706",$B801="708"),$P801,IF(AND(LEFT($B801,1)="6",$B801&lt;&gt;"6811"),-$P801,0)),0))</f>
        <v/>
      </c>
    </row>
    <row r="802">
      <c r="A802">
        <f>IF(PNL!A802="","",PNL!A802)</f>
        <v/>
      </c>
      <c r="B802">
        <f>IF(PNL!B802="","",PNL!B802)</f>
        <v/>
      </c>
      <c r="C802">
        <f>IF(PNL!C802="","",PNL!C802)</f>
        <v/>
      </c>
      <c r="D802">
        <f>IF(PNL!D802="","",PNL!D802)</f>
        <v/>
      </c>
      <c r="E802">
        <f>IF($A802="","",IF(AND($C802="2027",OR($D802="V01",$D802="V02",$D802="V03")),1,0))</f>
        <v/>
      </c>
      <c r="F802">
        <f>IF($A802="","",IF($E802=1,SUMIFS(Comptabilité!$F$1:$F$675,Comptabilité!$A$1:$A$675,$A802,Comptabilité!$B$1:$B$675,$B802,Comptabilité!$C$1:$C$675,"2026"),0))</f>
        <v/>
      </c>
      <c r="G802">
        <f>IF($A802="","",IF($D802="V01",Cadrage!$C$22,IF($D802="V02",Cadrage!$D$22,Cadrage!$E$22)))</f>
        <v/>
      </c>
      <c r="H802">
        <f>IF($A802="","",IF($D802="V01",Cadrage!$C$23,IF($D802="V02",Cadrage!$D$23,Cadrage!$E$23)))</f>
        <v/>
      </c>
      <c r="I802">
        <f>IF($A802="","",IF($D802="V01",Cadrage!$C$31,IF($D802="V02",Cadrage!$D$31,Cadrage!$E$31)))</f>
        <v/>
      </c>
      <c r="J802">
        <f>IF($A802="","",IF($D802="V01",Cadrage!$C$32,IF($D802="V02",Cadrage!$D$32,Cadrage!$E$32)))</f>
        <v/>
      </c>
      <c r="K802">
        <f>IF($A802="","",IF($D802="V01",Cadrage!$C$33,IF($D802="V02",Cadrage!$D$33,Cadrage!$E$33)))</f>
        <v/>
      </c>
      <c r="L802">
        <f>IF($A802="","",IF($D802="V01",Cadrage!$C$34,IF($D802="V02",Cadrage!$D$34,Cadrage!$E$34)))</f>
        <v/>
      </c>
      <c r="M802">
        <f>IF($A802="","",IF($D802="V01",Cadrage!$C$35,IF($D802="V02",Cadrage!$D$35,Cadrage!$E$35)))</f>
        <v/>
      </c>
      <c r="N802">
        <f>IF($A802="","",IF($D802="V01",$R$2,IF($D802="V02",$R$3,$R$4)))</f>
        <v/>
      </c>
      <c r="O802">
        <f>IF($A802="","",IF(OR($B802="7062",$B802="706",$B802="708"),$N802,IF($B802="6231",1+$G802,IF($B802="6236",1+$H802,IF(OR($B802="621",$B802="604",$B802="6063"),$N802*(1-$L802),IF(OR($B802="6411",$B802="6413",$B802="6414",$B802="645"),(1+$J802)*(1+$K802),IF(OR($B802="613",$B802="615",$B802="616",$B802="6226",$B802="625",$B802="626",$B802="6281"),(1+$I802)*(1-$L802)*(1+$M802),IF(OR($B802="6331",$B802="63511",$B802="6333"),(1+$I802)*(1-$L802),IF($B802="6811",1+$I802,1)))))))))</f>
        <v/>
      </c>
      <c r="P802">
        <f>IF($A802="","",IF($E802=1,$F802*$O802,PNL!G802))</f>
        <v/>
      </c>
      <c r="T802">
        <f>IF($A802="","",IF($E802=1,IF(OR($B802="7062",$B802="706",$B802="708"),$P802,IF(AND(LEFT($B802,1)="6",$B802&lt;&gt;"6811"),-$P802,0)),0))</f>
        <v/>
      </c>
    </row>
    <row r="803">
      <c r="A803">
        <f>IF(PNL!A803="","",PNL!A803)</f>
        <v/>
      </c>
      <c r="B803">
        <f>IF(PNL!B803="","",PNL!B803)</f>
        <v/>
      </c>
      <c r="C803">
        <f>IF(PNL!C803="","",PNL!C803)</f>
        <v/>
      </c>
      <c r="D803">
        <f>IF(PNL!D803="","",PNL!D803)</f>
        <v/>
      </c>
      <c r="E803">
        <f>IF($A803="","",IF(AND($C803="2027",OR($D803="V01",$D803="V02",$D803="V03")),1,0))</f>
        <v/>
      </c>
      <c r="F803">
        <f>IF($A803="","",IF($E803=1,SUMIFS(Comptabilité!$F$1:$F$675,Comptabilité!$A$1:$A$675,$A803,Comptabilité!$B$1:$B$675,$B803,Comptabilité!$C$1:$C$675,"2026"),0))</f>
        <v/>
      </c>
      <c r="G803">
        <f>IF($A803="","",IF($D803="V01",Cadrage!$C$22,IF($D803="V02",Cadrage!$D$22,Cadrage!$E$22)))</f>
        <v/>
      </c>
      <c r="H803">
        <f>IF($A803="","",IF($D803="V01",Cadrage!$C$23,IF($D803="V02",Cadrage!$D$23,Cadrage!$E$23)))</f>
        <v/>
      </c>
      <c r="I803">
        <f>IF($A803="","",IF($D803="V01",Cadrage!$C$31,IF($D803="V02",Cadrage!$D$31,Cadrage!$E$31)))</f>
        <v/>
      </c>
      <c r="J803">
        <f>IF($A803="","",IF($D803="V01",Cadrage!$C$32,IF($D803="V02",Cadrage!$D$32,Cadrage!$E$32)))</f>
        <v/>
      </c>
      <c r="K803">
        <f>IF($A803="","",IF($D803="V01",Cadrage!$C$33,IF($D803="V02",Cadrage!$D$33,Cadrage!$E$33)))</f>
        <v/>
      </c>
      <c r="L803">
        <f>IF($A803="","",IF($D803="V01",Cadrage!$C$34,IF($D803="V02",Cadrage!$D$34,Cadrage!$E$34)))</f>
        <v/>
      </c>
      <c r="M803">
        <f>IF($A803="","",IF($D803="V01",Cadrage!$C$35,IF($D803="V02",Cadrage!$D$35,Cadrage!$E$35)))</f>
        <v/>
      </c>
      <c r="N803">
        <f>IF($A803="","",IF($D803="V01",$R$2,IF($D803="V02",$R$3,$R$4)))</f>
        <v/>
      </c>
      <c r="O803">
        <f>IF($A803="","",IF(OR($B803="7062",$B803="706",$B803="708"),$N803,IF($B803="6231",1+$G803,IF($B803="6236",1+$H803,IF(OR($B803="621",$B803="604",$B803="6063"),$N803*(1-$L803),IF(OR($B803="6411",$B803="6413",$B803="6414",$B803="645"),(1+$J803)*(1+$K803),IF(OR($B803="613",$B803="615",$B803="616",$B803="6226",$B803="625",$B803="626",$B803="6281"),(1+$I803)*(1-$L803)*(1+$M803),IF(OR($B803="6331",$B803="63511",$B803="6333"),(1+$I803)*(1-$L803),IF($B803="6811",1+$I803,1)))))))))</f>
        <v/>
      </c>
      <c r="P803">
        <f>IF($A803="","",IF($E803=1,$F803*$O803,PNL!G803))</f>
        <v/>
      </c>
      <c r="T803">
        <f>IF($A803="","",IF($E803=1,IF(OR($B803="7062",$B803="706",$B803="708"),$P803,IF(AND(LEFT($B803,1)="6",$B803&lt;&gt;"6811"),-$P803,0)),0))</f>
        <v/>
      </c>
    </row>
    <row r="804">
      <c r="A804">
        <f>IF(PNL!A804="","",PNL!A804)</f>
        <v/>
      </c>
      <c r="B804">
        <f>IF(PNL!B804="","",PNL!B804)</f>
        <v/>
      </c>
      <c r="C804">
        <f>IF(PNL!C804="","",PNL!C804)</f>
        <v/>
      </c>
      <c r="D804">
        <f>IF(PNL!D804="","",PNL!D804)</f>
        <v/>
      </c>
      <c r="E804">
        <f>IF($A804="","",IF(AND($C804="2027",OR($D804="V01",$D804="V02",$D804="V03")),1,0))</f>
        <v/>
      </c>
      <c r="F804">
        <f>IF($A804="","",IF($E804=1,SUMIFS(Comptabilité!$F$1:$F$675,Comptabilité!$A$1:$A$675,$A804,Comptabilité!$B$1:$B$675,$B804,Comptabilité!$C$1:$C$675,"2026"),0))</f>
        <v/>
      </c>
      <c r="G804">
        <f>IF($A804="","",IF($D804="V01",Cadrage!$C$22,IF($D804="V02",Cadrage!$D$22,Cadrage!$E$22)))</f>
        <v/>
      </c>
      <c r="H804">
        <f>IF($A804="","",IF($D804="V01",Cadrage!$C$23,IF($D804="V02",Cadrage!$D$23,Cadrage!$E$23)))</f>
        <v/>
      </c>
      <c r="I804">
        <f>IF($A804="","",IF($D804="V01",Cadrage!$C$31,IF($D804="V02",Cadrage!$D$31,Cadrage!$E$31)))</f>
        <v/>
      </c>
      <c r="J804">
        <f>IF($A804="","",IF($D804="V01",Cadrage!$C$32,IF($D804="V02",Cadrage!$D$32,Cadrage!$E$32)))</f>
        <v/>
      </c>
      <c r="K804">
        <f>IF($A804="","",IF($D804="V01",Cadrage!$C$33,IF($D804="V02",Cadrage!$D$33,Cadrage!$E$33)))</f>
        <v/>
      </c>
      <c r="L804">
        <f>IF($A804="","",IF($D804="V01",Cadrage!$C$34,IF($D804="V02",Cadrage!$D$34,Cadrage!$E$34)))</f>
        <v/>
      </c>
      <c r="M804">
        <f>IF($A804="","",IF($D804="V01",Cadrage!$C$35,IF($D804="V02",Cadrage!$D$35,Cadrage!$E$35)))</f>
        <v/>
      </c>
      <c r="N804">
        <f>IF($A804="","",IF($D804="V01",$R$2,IF($D804="V02",$R$3,$R$4)))</f>
        <v/>
      </c>
      <c r="O804">
        <f>IF($A804="","",IF(OR($B804="7062",$B804="706",$B804="708"),$N804,IF($B804="6231",1+$G804,IF($B804="6236",1+$H804,IF(OR($B804="621",$B804="604",$B804="6063"),$N804*(1-$L804),IF(OR($B804="6411",$B804="6413",$B804="6414",$B804="645"),(1+$J804)*(1+$K804),IF(OR($B804="613",$B804="615",$B804="616",$B804="6226",$B804="625",$B804="626",$B804="6281"),(1+$I804)*(1-$L804)*(1+$M804),IF(OR($B804="6331",$B804="63511",$B804="6333"),(1+$I804)*(1-$L804),IF($B804="6811",1+$I804,1)))))))))</f>
        <v/>
      </c>
      <c r="P804">
        <f>IF($A804="","",IF($E804=1,$F804*$O804,PNL!G804))</f>
        <v/>
      </c>
      <c r="T804">
        <f>IF($A804="","",IF($E804=1,IF(OR($B804="7062",$B804="706",$B804="708"),$P804,IF(AND(LEFT($B804,1)="6",$B804&lt;&gt;"6811"),-$P804,0)),0))</f>
        <v/>
      </c>
    </row>
    <row r="805">
      <c r="A805">
        <f>IF(PNL!A805="","",PNL!A805)</f>
        <v/>
      </c>
      <c r="B805">
        <f>IF(PNL!B805="","",PNL!B805)</f>
        <v/>
      </c>
      <c r="C805">
        <f>IF(PNL!C805="","",PNL!C805)</f>
        <v/>
      </c>
      <c r="D805">
        <f>IF(PNL!D805="","",PNL!D805)</f>
        <v/>
      </c>
      <c r="E805">
        <f>IF($A805="","",IF(AND($C805="2027",OR($D805="V01",$D805="V02",$D805="V03")),1,0))</f>
        <v/>
      </c>
      <c r="F805">
        <f>IF($A805="","",IF($E805=1,SUMIFS(Comptabilité!$F$1:$F$675,Comptabilité!$A$1:$A$675,$A805,Comptabilité!$B$1:$B$675,$B805,Comptabilité!$C$1:$C$675,"2026"),0))</f>
        <v/>
      </c>
      <c r="G805">
        <f>IF($A805="","",IF($D805="V01",Cadrage!$C$22,IF($D805="V02",Cadrage!$D$22,Cadrage!$E$22)))</f>
        <v/>
      </c>
      <c r="H805">
        <f>IF($A805="","",IF($D805="V01",Cadrage!$C$23,IF($D805="V02",Cadrage!$D$23,Cadrage!$E$23)))</f>
        <v/>
      </c>
      <c r="I805">
        <f>IF($A805="","",IF($D805="V01",Cadrage!$C$31,IF($D805="V02",Cadrage!$D$31,Cadrage!$E$31)))</f>
        <v/>
      </c>
      <c r="J805">
        <f>IF($A805="","",IF($D805="V01",Cadrage!$C$32,IF($D805="V02",Cadrage!$D$32,Cadrage!$E$32)))</f>
        <v/>
      </c>
      <c r="K805">
        <f>IF($A805="","",IF($D805="V01",Cadrage!$C$33,IF($D805="V02",Cadrage!$D$33,Cadrage!$E$33)))</f>
        <v/>
      </c>
      <c r="L805">
        <f>IF($A805="","",IF($D805="V01",Cadrage!$C$34,IF($D805="V02",Cadrage!$D$34,Cadrage!$E$34)))</f>
        <v/>
      </c>
      <c r="M805">
        <f>IF($A805="","",IF($D805="V01",Cadrage!$C$35,IF($D805="V02",Cadrage!$D$35,Cadrage!$E$35)))</f>
        <v/>
      </c>
      <c r="N805">
        <f>IF($A805="","",IF($D805="V01",$R$2,IF($D805="V02",$R$3,$R$4)))</f>
        <v/>
      </c>
      <c r="O805">
        <f>IF($A805="","",IF(OR($B805="7062",$B805="706",$B805="708"),$N805,IF($B805="6231",1+$G805,IF($B805="6236",1+$H805,IF(OR($B805="621",$B805="604",$B805="6063"),$N805*(1-$L805),IF(OR($B805="6411",$B805="6413",$B805="6414",$B805="645"),(1+$J805)*(1+$K805),IF(OR($B805="613",$B805="615",$B805="616",$B805="6226",$B805="625",$B805="626",$B805="6281"),(1+$I805)*(1-$L805)*(1+$M805),IF(OR($B805="6331",$B805="63511",$B805="6333"),(1+$I805)*(1-$L805),IF($B805="6811",1+$I805,1)))))))))</f>
        <v/>
      </c>
      <c r="P805">
        <f>IF($A805="","",IF($E805=1,$F805*$O805,PNL!G805))</f>
        <v/>
      </c>
      <c r="T805">
        <f>IF($A805="","",IF($E805=1,IF(OR($B805="7062",$B805="706",$B805="708"),$P805,IF(AND(LEFT($B805,1)="6",$B805&lt;&gt;"6811"),-$P805,0)),0))</f>
        <v/>
      </c>
    </row>
    <row r="806">
      <c r="A806">
        <f>IF(PNL!A806="","",PNL!A806)</f>
        <v/>
      </c>
      <c r="B806">
        <f>IF(PNL!B806="","",PNL!B806)</f>
        <v/>
      </c>
      <c r="C806">
        <f>IF(PNL!C806="","",PNL!C806)</f>
        <v/>
      </c>
      <c r="D806">
        <f>IF(PNL!D806="","",PNL!D806)</f>
        <v/>
      </c>
      <c r="E806">
        <f>IF($A806="","",IF(AND($C806="2027",OR($D806="V01",$D806="V02",$D806="V03")),1,0))</f>
        <v/>
      </c>
      <c r="F806">
        <f>IF($A806="","",IF($E806=1,SUMIFS(Comptabilité!$F$1:$F$675,Comptabilité!$A$1:$A$675,$A806,Comptabilité!$B$1:$B$675,$B806,Comptabilité!$C$1:$C$675,"2026"),0))</f>
        <v/>
      </c>
      <c r="G806">
        <f>IF($A806="","",IF($D806="V01",Cadrage!$C$22,IF($D806="V02",Cadrage!$D$22,Cadrage!$E$22)))</f>
        <v/>
      </c>
      <c r="H806">
        <f>IF($A806="","",IF($D806="V01",Cadrage!$C$23,IF($D806="V02",Cadrage!$D$23,Cadrage!$E$23)))</f>
        <v/>
      </c>
      <c r="I806">
        <f>IF($A806="","",IF($D806="V01",Cadrage!$C$31,IF($D806="V02",Cadrage!$D$31,Cadrage!$E$31)))</f>
        <v/>
      </c>
      <c r="J806">
        <f>IF($A806="","",IF($D806="V01",Cadrage!$C$32,IF($D806="V02",Cadrage!$D$32,Cadrage!$E$32)))</f>
        <v/>
      </c>
      <c r="K806">
        <f>IF($A806="","",IF($D806="V01",Cadrage!$C$33,IF($D806="V02",Cadrage!$D$33,Cadrage!$E$33)))</f>
        <v/>
      </c>
      <c r="L806">
        <f>IF($A806="","",IF($D806="V01",Cadrage!$C$34,IF($D806="V02",Cadrage!$D$34,Cadrage!$E$34)))</f>
        <v/>
      </c>
      <c r="M806">
        <f>IF($A806="","",IF($D806="V01",Cadrage!$C$35,IF($D806="V02",Cadrage!$D$35,Cadrage!$E$35)))</f>
        <v/>
      </c>
      <c r="N806">
        <f>IF($A806="","",IF($D806="V01",$R$2,IF($D806="V02",$R$3,$R$4)))</f>
        <v/>
      </c>
      <c r="O806">
        <f>IF($A806="","",IF(OR($B806="7062",$B806="706",$B806="708"),$N806,IF($B806="6231",1+$G806,IF($B806="6236",1+$H806,IF(OR($B806="621",$B806="604",$B806="6063"),$N806*(1-$L806),IF(OR($B806="6411",$B806="6413",$B806="6414",$B806="645"),(1+$J806)*(1+$K806),IF(OR($B806="613",$B806="615",$B806="616",$B806="6226",$B806="625",$B806="626",$B806="6281"),(1+$I806)*(1-$L806)*(1+$M806),IF(OR($B806="6331",$B806="63511",$B806="6333"),(1+$I806)*(1-$L806),IF($B806="6811",1+$I806,1)))))))))</f>
        <v/>
      </c>
      <c r="P806">
        <f>IF($A806="","",IF($E806=1,$F806*$O806,PNL!G806))</f>
        <v/>
      </c>
      <c r="T806">
        <f>IF($A806="","",IF($E806=1,IF(OR($B806="7062",$B806="706",$B806="708"),$P806,IF(AND(LEFT($B806,1)="6",$B806&lt;&gt;"6811"),-$P806,0)),0))</f>
        <v/>
      </c>
    </row>
    <row r="807">
      <c r="A807">
        <f>IF(PNL!A807="","",PNL!A807)</f>
        <v/>
      </c>
      <c r="B807">
        <f>IF(PNL!B807="","",PNL!B807)</f>
        <v/>
      </c>
      <c r="C807">
        <f>IF(PNL!C807="","",PNL!C807)</f>
        <v/>
      </c>
      <c r="D807">
        <f>IF(PNL!D807="","",PNL!D807)</f>
        <v/>
      </c>
      <c r="E807">
        <f>IF($A807="","",IF(AND($C807="2027",OR($D807="V01",$D807="V02",$D807="V03")),1,0))</f>
        <v/>
      </c>
      <c r="F807">
        <f>IF($A807="","",IF($E807=1,SUMIFS(Comptabilité!$F$1:$F$675,Comptabilité!$A$1:$A$675,$A807,Comptabilité!$B$1:$B$675,$B807,Comptabilité!$C$1:$C$675,"2026"),0))</f>
        <v/>
      </c>
      <c r="G807">
        <f>IF($A807="","",IF($D807="V01",Cadrage!$C$22,IF($D807="V02",Cadrage!$D$22,Cadrage!$E$22)))</f>
        <v/>
      </c>
      <c r="H807">
        <f>IF($A807="","",IF($D807="V01",Cadrage!$C$23,IF($D807="V02",Cadrage!$D$23,Cadrage!$E$23)))</f>
        <v/>
      </c>
      <c r="I807">
        <f>IF($A807="","",IF($D807="V01",Cadrage!$C$31,IF($D807="V02",Cadrage!$D$31,Cadrage!$E$31)))</f>
        <v/>
      </c>
      <c r="J807">
        <f>IF($A807="","",IF($D807="V01",Cadrage!$C$32,IF($D807="V02",Cadrage!$D$32,Cadrage!$E$32)))</f>
        <v/>
      </c>
      <c r="K807">
        <f>IF($A807="","",IF($D807="V01",Cadrage!$C$33,IF($D807="V02",Cadrage!$D$33,Cadrage!$E$33)))</f>
        <v/>
      </c>
      <c r="L807">
        <f>IF($A807="","",IF($D807="V01",Cadrage!$C$34,IF($D807="V02",Cadrage!$D$34,Cadrage!$E$34)))</f>
        <v/>
      </c>
      <c r="M807">
        <f>IF($A807="","",IF($D807="V01",Cadrage!$C$35,IF($D807="V02",Cadrage!$D$35,Cadrage!$E$35)))</f>
        <v/>
      </c>
      <c r="N807">
        <f>IF($A807="","",IF($D807="V01",$R$2,IF($D807="V02",$R$3,$R$4)))</f>
        <v/>
      </c>
      <c r="O807">
        <f>IF($A807="","",IF(OR($B807="7062",$B807="706",$B807="708"),$N807,IF($B807="6231",1+$G807,IF($B807="6236",1+$H807,IF(OR($B807="621",$B807="604",$B807="6063"),$N807*(1-$L807),IF(OR($B807="6411",$B807="6413",$B807="6414",$B807="645"),(1+$J807)*(1+$K807),IF(OR($B807="613",$B807="615",$B807="616",$B807="6226",$B807="625",$B807="626",$B807="6281"),(1+$I807)*(1-$L807)*(1+$M807),IF(OR($B807="6331",$B807="63511",$B807="6333"),(1+$I807)*(1-$L807),IF($B807="6811",1+$I807,1)))))))))</f>
        <v/>
      </c>
      <c r="P807">
        <f>IF($A807="","",IF($E807=1,$F807*$O807,PNL!G807))</f>
        <v/>
      </c>
      <c r="T807">
        <f>IF($A807="","",IF($E807=1,IF(OR($B807="7062",$B807="706",$B807="708"),$P807,IF(AND(LEFT($B807,1)="6",$B807&lt;&gt;"6811"),-$P807,0)),0))</f>
        <v/>
      </c>
    </row>
    <row r="808">
      <c r="A808">
        <f>IF(PNL!A808="","",PNL!A808)</f>
        <v/>
      </c>
      <c r="B808">
        <f>IF(PNL!B808="","",PNL!B808)</f>
        <v/>
      </c>
      <c r="C808">
        <f>IF(PNL!C808="","",PNL!C808)</f>
        <v/>
      </c>
      <c r="D808">
        <f>IF(PNL!D808="","",PNL!D808)</f>
        <v/>
      </c>
      <c r="E808">
        <f>IF($A808="","",IF(AND($C808="2027",OR($D808="V01",$D808="V02",$D808="V03")),1,0))</f>
        <v/>
      </c>
      <c r="F808">
        <f>IF($A808="","",IF($E808=1,SUMIFS(Comptabilité!$F$1:$F$675,Comptabilité!$A$1:$A$675,$A808,Comptabilité!$B$1:$B$675,$B808,Comptabilité!$C$1:$C$675,"2026"),0))</f>
        <v/>
      </c>
      <c r="G808">
        <f>IF($A808="","",IF($D808="V01",Cadrage!$C$22,IF($D808="V02",Cadrage!$D$22,Cadrage!$E$22)))</f>
        <v/>
      </c>
      <c r="H808">
        <f>IF($A808="","",IF($D808="V01",Cadrage!$C$23,IF($D808="V02",Cadrage!$D$23,Cadrage!$E$23)))</f>
        <v/>
      </c>
      <c r="I808">
        <f>IF($A808="","",IF($D808="V01",Cadrage!$C$31,IF($D808="V02",Cadrage!$D$31,Cadrage!$E$31)))</f>
        <v/>
      </c>
      <c r="J808">
        <f>IF($A808="","",IF($D808="V01",Cadrage!$C$32,IF($D808="V02",Cadrage!$D$32,Cadrage!$E$32)))</f>
        <v/>
      </c>
      <c r="K808">
        <f>IF($A808="","",IF($D808="V01",Cadrage!$C$33,IF($D808="V02",Cadrage!$D$33,Cadrage!$E$33)))</f>
        <v/>
      </c>
      <c r="L808">
        <f>IF($A808="","",IF($D808="V01",Cadrage!$C$34,IF($D808="V02",Cadrage!$D$34,Cadrage!$E$34)))</f>
        <v/>
      </c>
      <c r="M808">
        <f>IF($A808="","",IF($D808="V01",Cadrage!$C$35,IF($D808="V02",Cadrage!$D$35,Cadrage!$E$35)))</f>
        <v/>
      </c>
      <c r="N808">
        <f>IF($A808="","",IF($D808="V01",$R$2,IF($D808="V02",$R$3,$R$4)))</f>
        <v/>
      </c>
      <c r="O808">
        <f>IF($A808="","",IF(OR($B808="7062",$B808="706",$B808="708"),$N808,IF($B808="6231",1+$G808,IF($B808="6236",1+$H808,IF(OR($B808="621",$B808="604",$B808="6063"),$N808*(1-$L808),IF(OR($B808="6411",$B808="6413",$B808="6414",$B808="645"),(1+$J808)*(1+$K808),IF(OR($B808="613",$B808="615",$B808="616",$B808="6226",$B808="625",$B808="626",$B808="6281"),(1+$I808)*(1-$L808)*(1+$M808),IF(OR($B808="6331",$B808="63511",$B808="6333"),(1+$I808)*(1-$L808),IF($B808="6811",1+$I808,1)))))))))</f>
        <v/>
      </c>
      <c r="P808">
        <f>IF($A808="","",IF($E808=1,$F808*$O808,PNL!G808))</f>
        <v/>
      </c>
      <c r="T808">
        <f>IF($A808="","",IF($E808=1,IF(OR($B808="7062",$B808="706",$B808="708"),$P808,IF(AND(LEFT($B808,1)="6",$B808&lt;&gt;"6811"),-$P808,0)),0))</f>
        <v/>
      </c>
    </row>
    <row r="809">
      <c r="A809">
        <f>IF(PNL!A809="","",PNL!A809)</f>
        <v/>
      </c>
      <c r="B809">
        <f>IF(PNL!B809="","",PNL!B809)</f>
        <v/>
      </c>
      <c r="C809">
        <f>IF(PNL!C809="","",PNL!C809)</f>
        <v/>
      </c>
      <c r="D809">
        <f>IF(PNL!D809="","",PNL!D809)</f>
        <v/>
      </c>
      <c r="E809">
        <f>IF($A809="","",IF(AND($C809="2027",OR($D809="V01",$D809="V02",$D809="V03")),1,0))</f>
        <v/>
      </c>
      <c r="F809">
        <f>IF($A809="","",IF($E809=1,SUMIFS(Comptabilité!$F$1:$F$675,Comptabilité!$A$1:$A$675,$A809,Comptabilité!$B$1:$B$675,$B809,Comptabilité!$C$1:$C$675,"2026"),0))</f>
        <v/>
      </c>
      <c r="G809">
        <f>IF($A809="","",IF($D809="V01",Cadrage!$C$22,IF($D809="V02",Cadrage!$D$22,Cadrage!$E$22)))</f>
        <v/>
      </c>
      <c r="H809">
        <f>IF($A809="","",IF($D809="V01",Cadrage!$C$23,IF($D809="V02",Cadrage!$D$23,Cadrage!$E$23)))</f>
        <v/>
      </c>
      <c r="I809">
        <f>IF($A809="","",IF($D809="V01",Cadrage!$C$31,IF($D809="V02",Cadrage!$D$31,Cadrage!$E$31)))</f>
        <v/>
      </c>
      <c r="J809">
        <f>IF($A809="","",IF($D809="V01",Cadrage!$C$32,IF($D809="V02",Cadrage!$D$32,Cadrage!$E$32)))</f>
        <v/>
      </c>
      <c r="K809">
        <f>IF($A809="","",IF($D809="V01",Cadrage!$C$33,IF($D809="V02",Cadrage!$D$33,Cadrage!$E$33)))</f>
        <v/>
      </c>
      <c r="L809">
        <f>IF($A809="","",IF($D809="V01",Cadrage!$C$34,IF($D809="V02",Cadrage!$D$34,Cadrage!$E$34)))</f>
        <v/>
      </c>
      <c r="M809">
        <f>IF($A809="","",IF($D809="V01",Cadrage!$C$35,IF($D809="V02",Cadrage!$D$35,Cadrage!$E$35)))</f>
        <v/>
      </c>
      <c r="N809">
        <f>IF($A809="","",IF($D809="V01",$R$2,IF($D809="V02",$R$3,$R$4)))</f>
        <v/>
      </c>
      <c r="O809">
        <f>IF($A809="","",IF(OR($B809="7062",$B809="706",$B809="708"),$N809,IF($B809="6231",1+$G809,IF($B809="6236",1+$H809,IF(OR($B809="621",$B809="604",$B809="6063"),$N809*(1-$L809),IF(OR($B809="6411",$B809="6413",$B809="6414",$B809="645"),(1+$J809)*(1+$K809),IF(OR($B809="613",$B809="615",$B809="616",$B809="6226",$B809="625",$B809="626",$B809="6281"),(1+$I809)*(1-$L809)*(1+$M809),IF(OR($B809="6331",$B809="63511",$B809="6333"),(1+$I809)*(1-$L809),IF($B809="6811",1+$I809,1)))))))))</f>
        <v/>
      </c>
      <c r="P809">
        <f>IF($A809="","",IF($E809=1,$F809*$O809,PNL!G809))</f>
        <v/>
      </c>
      <c r="T809">
        <f>IF($A809="","",IF($E809=1,IF(OR($B809="7062",$B809="706",$B809="708"),$P809,IF(AND(LEFT($B809,1)="6",$B809&lt;&gt;"6811"),-$P809,0)),0))</f>
        <v/>
      </c>
    </row>
    <row r="810">
      <c r="A810">
        <f>IF(PNL!A810="","",PNL!A810)</f>
        <v/>
      </c>
      <c r="B810">
        <f>IF(PNL!B810="","",PNL!B810)</f>
        <v/>
      </c>
      <c r="C810">
        <f>IF(PNL!C810="","",PNL!C810)</f>
        <v/>
      </c>
      <c r="D810">
        <f>IF(PNL!D810="","",PNL!D810)</f>
        <v/>
      </c>
      <c r="E810">
        <f>IF($A810="","",IF(AND($C810="2027",OR($D810="V01",$D810="V02",$D810="V03")),1,0))</f>
        <v/>
      </c>
      <c r="F810">
        <f>IF($A810="","",IF($E810=1,SUMIFS(Comptabilité!$F$1:$F$675,Comptabilité!$A$1:$A$675,$A810,Comptabilité!$B$1:$B$675,$B810,Comptabilité!$C$1:$C$675,"2026"),0))</f>
        <v/>
      </c>
      <c r="G810">
        <f>IF($A810="","",IF($D810="V01",Cadrage!$C$22,IF($D810="V02",Cadrage!$D$22,Cadrage!$E$22)))</f>
        <v/>
      </c>
      <c r="H810">
        <f>IF($A810="","",IF($D810="V01",Cadrage!$C$23,IF($D810="V02",Cadrage!$D$23,Cadrage!$E$23)))</f>
        <v/>
      </c>
      <c r="I810">
        <f>IF($A810="","",IF($D810="V01",Cadrage!$C$31,IF($D810="V02",Cadrage!$D$31,Cadrage!$E$31)))</f>
        <v/>
      </c>
      <c r="J810">
        <f>IF($A810="","",IF($D810="V01",Cadrage!$C$32,IF($D810="V02",Cadrage!$D$32,Cadrage!$E$32)))</f>
        <v/>
      </c>
      <c r="K810">
        <f>IF($A810="","",IF($D810="V01",Cadrage!$C$33,IF($D810="V02",Cadrage!$D$33,Cadrage!$E$33)))</f>
        <v/>
      </c>
      <c r="L810">
        <f>IF($A810="","",IF($D810="V01",Cadrage!$C$34,IF($D810="V02",Cadrage!$D$34,Cadrage!$E$34)))</f>
        <v/>
      </c>
      <c r="M810">
        <f>IF($A810="","",IF($D810="V01",Cadrage!$C$35,IF($D810="V02",Cadrage!$D$35,Cadrage!$E$35)))</f>
        <v/>
      </c>
      <c r="N810">
        <f>IF($A810="","",IF($D810="V01",$R$2,IF($D810="V02",$R$3,$R$4)))</f>
        <v/>
      </c>
      <c r="O810">
        <f>IF($A810="","",IF(OR($B810="7062",$B810="706",$B810="708"),$N810,IF($B810="6231",1+$G810,IF($B810="6236",1+$H810,IF(OR($B810="621",$B810="604",$B810="6063"),$N810*(1-$L810),IF(OR($B810="6411",$B810="6413",$B810="6414",$B810="645"),(1+$J810)*(1+$K810),IF(OR($B810="613",$B810="615",$B810="616",$B810="6226",$B810="625",$B810="626",$B810="6281"),(1+$I810)*(1-$L810)*(1+$M810),IF(OR($B810="6331",$B810="63511",$B810="6333"),(1+$I810)*(1-$L810),IF($B810="6811",1+$I810,1)))))))))</f>
        <v/>
      </c>
      <c r="P810">
        <f>IF($A810="","",IF($E810=1,$F810*$O810,PNL!G810))</f>
        <v/>
      </c>
      <c r="T810">
        <f>IF($A810="","",IF($E810=1,IF(OR($B810="7062",$B810="706",$B810="708"),$P810,IF(AND(LEFT($B810,1)="6",$B810&lt;&gt;"6811"),-$P810,0)),0))</f>
        <v/>
      </c>
    </row>
    <row r="811">
      <c r="A811">
        <f>IF(PNL!A811="","",PNL!A811)</f>
        <v/>
      </c>
      <c r="B811">
        <f>IF(PNL!B811="","",PNL!B811)</f>
        <v/>
      </c>
      <c r="C811">
        <f>IF(PNL!C811="","",PNL!C811)</f>
        <v/>
      </c>
      <c r="D811">
        <f>IF(PNL!D811="","",PNL!D811)</f>
        <v/>
      </c>
      <c r="E811">
        <f>IF($A811="","",IF(AND($C811="2027",OR($D811="V01",$D811="V02",$D811="V03")),1,0))</f>
        <v/>
      </c>
      <c r="F811">
        <f>IF($A811="","",IF($E811=1,SUMIFS(Comptabilité!$F$1:$F$675,Comptabilité!$A$1:$A$675,$A811,Comptabilité!$B$1:$B$675,$B811,Comptabilité!$C$1:$C$675,"2026"),0))</f>
        <v/>
      </c>
      <c r="G811">
        <f>IF($A811="","",IF($D811="V01",Cadrage!$C$22,IF($D811="V02",Cadrage!$D$22,Cadrage!$E$22)))</f>
        <v/>
      </c>
      <c r="H811">
        <f>IF($A811="","",IF($D811="V01",Cadrage!$C$23,IF($D811="V02",Cadrage!$D$23,Cadrage!$E$23)))</f>
        <v/>
      </c>
      <c r="I811">
        <f>IF($A811="","",IF($D811="V01",Cadrage!$C$31,IF($D811="V02",Cadrage!$D$31,Cadrage!$E$31)))</f>
        <v/>
      </c>
      <c r="J811">
        <f>IF($A811="","",IF($D811="V01",Cadrage!$C$32,IF($D811="V02",Cadrage!$D$32,Cadrage!$E$32)))</f>
        <v/>
      </c>
      <c r="K811">
        <f>IF($A811="","",IF($D811="V01",Cadrage!$C$33,IF($D811="V02",Cadrage!$D$33,Cadrage!$E$33)))</f>
        <v/>
      </c>
      <c r="L811">
        <f>IF($A811="","",IF($D811="V01",Cadrage!$C$34,IF($D811="V02",Cadrage!$D$34,Cadrage!$E$34)))</f>
        <v/>
      </c>
      <c r="M811">
        <f>IF($A811="","",IF($D811="V01",Cadrage!$C$35,IF($D811="V02",Cadrage!$D$35,Cadrage!$E$35)))</f>
        <v/>
      </c>
      <c r="N811">
        <f>IF($A811="","",IF($D811="V01",$R$2,IF($D811="V02",$R$3,$R$4)))</f>
        <v/>
      </c>
      <c r="O811">
        <f>IF($A811="","",IF(OR($B811="7062",$B811="706",$B811="708"),$N811,IF($B811="6231",1+$G811,IF($B811="6236",1+$H811,IF(OR($B811="621",$B811="604",$B811="6063"),$N811*(1-$L811),IF(OR($B811="6411",$B811="6413",$B811="6414",$B811="645"),(1+$J811)*(1+$K811),IF(OR($B811="613",$B811="615",$B811="616",$B811="6226",$B811="625",$B811="626",$B811="6281"),(1+$I811)*(1-$L811)*(1+$M811),IF(OR($B811="6331",$B811="63511",$B811="6333"),(1+$I811)*(1-$L811),IF($B811="6811",1+$I811,1)))))))))</f>
        <v/>
      </c>
      <c r="P811">
        <f>IF($A811="","",IF($E811=1,$F811*$O811,PNL!G811))</f>
        <v/>
      </c>
      <c r="T811">
        <f>IF($A811="","",IF($E811=1,IF(OR($B811="7062",$B811="706",$B811="708"),$P811,IF(AND(LEFT($B811,1)="6",$B811&lt;&gt;"6811"),-$P811,0)),0))</f>
        <v/>
      </c>
    </row>
    <row r="812">
      <c r="A812">
        <f>IF(PNL!A812="","",PNL!A812)</f>
        <v/>
      </c>
      <c r="B812">
        <f>IF(PNL!B812="","",PNL!B812)</f>
        <v/>
      </c>
      <c r="C812">
        <f>IF(PNL!C812="","",PNL!C812)</f>
        <v/>
      </c>
      <c r="D812">
        <f>IF(PNL!D812="","",PNL!D812)</f>
        <v/>
      </c>
      <c r="E812">
        <f>IF($A812="","",IF(AND($C812="2027",OR($D812="V01",$D812="V02",$D812="V03")),1,0))</f>
        <v/>
      </c>
      <c r="F812">
        <f>IF($A812="","",IF($E812=1,SUMIFS(Comptabilité!$F$1:$F$675,Comptabilité!$A$1:$A$675,$A812,Comptabilité!$B$1:$B$675,$B812,Comptabilité!$C$1:$C$675,"2026"),0))</f>
        <v/>
      </c>
      <c r="G812">
        <f>IF($A812="","",IF($D812="V01",Cadrage!$C$22,IF($D812="V02",Cadrage!$D$22,Cadrage!$E$22)))</f>
        <v/>
      </c>
      <c r="H812">
        <f>IF($A812="","",IF($D812="V01",Cadrage!$C$23,IF($D812="V02",Cadrage!$D$23,Cadrage!$E$23)))</f>
        <v/>
      </c>
      <c r="I812">
        <f>IF($A812="","",IF($D812="V01",Cadrage!$C$31,IF($D812="V02",Cadrage!$D$31,Cadrage!$E$31)))</f>
        <v/>
      </c>
      <c r="J812">
        <f>IF($A812="","",IF($D812="V01",Cadrage!$C$32,IF($D812="V02",Cadrage!$D$32,Cadrage!$E$32)))</f>
        <v/>
      </c>
      <c r="K812">
        <f>IF($A812="","",IF($D812="V01",Cadrage!$C$33,IF($D812="V02",Cadrage!$D$33,Cadrage!$E$33)))</f>
        <v/>
      </c>
      <c r="L812">
        <f>IF($A812="","",IF($D812="V01",Cadrage!$C$34,IF($D812="V02",Cadrage!$D$34,Cadrage!$E$34)))</f>
        <v/>
      </c>
      <c r="M812">
        <f>IF($A812="","",IF($D812="V01",Cadrage!$C$35,IF($D812="V02",Cadrage!$D$35,Cadrage!$E$35)))</f>
        <v/>
      </c>
      <c r="N812">
        <f>IF($A812="","",IF($D812="V01",$R$2,IF($D812="V02",$R$3,$R$4)))</f>
        <v/>
      </c>
      <c r="O812">
        <f>IF($A812="","",IF(OR($B812="7062",$B812="706",$B812="708"),$N812,IF($B812="6231",1+$G812,IF($B812="6236",1+$H812,IF(OR($B812="621",$B812="604",$B812="6063"),$N812*(1-$L812),IF(OR($B812="6411",$B812="6413",$B812="6414",$B812="645"),(1+$J812)*(1+$K812),IF(OR($B812="613",$B812="615",$B812="616",$B812="6226",$B812="625",$B812="626",$B812="6281"),(1+$I812)*(1-$L812)*(1+$M812),IF(OR($B812="6331",$B812="63511",$B812="6333"),(1+$I812)*(1-$L812),IF($B812="6811",1+$I812,1)))))))))</f>
        <v/>
      </c>
      <c r="P812">
        <f>IF($A812="","",IF($E812=1,$F812*$O812,PNL!G812))</f>
        <v/>
      </c>
      <c r="T812">
        <f>IF($A812="","",IF($E812=1,IF(OR($B812="7062",$B812="706",$B812="708"),$P812,IF(AND(LEFT($B812,1)="6",$B812&lt;&gt;"6811"),-$P812,0)),0))</f>
        <v/>
      </c>
    </row>
    <row r="813">
      <c r="A813">
        <f>IF(PNL!A813="","",PNL!A813)</f>
        <v/>
      </c>
      <c r="B813">
        <f>IF(PNL!B813="","",PNL!B813)</f>
        <v/>
      </c>
      <c r="C813">
        <f>IF(PNL!C813="","",PNL!C813)</f>
        <v/>
      </c>
      <c r="D813">
        <f>IF(PNL!D813="","",PNL!D813)</f>
        <v/>
      </c>
      <c r="E813">
        <f>IF($A813="","",IF(AND($C813="2027",OR($D813="V01",$D813="V02",$D813="V03")),1,0))</f>
        <v/>
      </c>
      <c r="F813">
        <f>IF($A813="","",IF($E813=1,SUMIFS(Comptabilité!$F$1:$F$675,Comptabilité!$A$1:$A$675,$A813,Comptabilité!$B$1:$B$675,$B813,Comptabilité!$C$1:$C$675,"2026"),0))</f>
        <v/>
      </c>
      <c r="G813">
        <f>IF($A813="","",IF($D813="V01",Cadrage!$C$22,IF($D813="V02",Cadrage!$D$22,Cadrage!$E$22)))</f>
        <v/>
      </c>
      <c r="H813">
        <f>IF($A813="","",IF($D813="V01",Cadrage!$C$23,IF($D813="V02",Cadrage!$D$23,Cadrage!$E$23)))</f>
        <v/>
      </c>
      <c r="I813">
        <f>IF($A813="","",IF($D813="V01",Cadrage!$C$31,IF($D813="V02",Cadrage!$D$31,Cadrage!$E$31)))</f>
        <v/>
      </c>
      <c r="J813">
        <f>IF($A813="","",IF($D813="V01",Cadrage!$C$32,IF($D813="V02",Cadrage!$D$32,Cadrage!$E$32)))</f>
        <v/>
      </c>
      <c r="K813">
        <f>IF($A813="","",IF($D813="V01",Cadrage!$C$33,IF($D813="V02",Cadrage!$D$33,Cadrage!$E$33)))</f>
        <v/>
      </c>
      <c r="L813">
        <f>IF($A813="","",IF($D813="V01",Cadrage!$C$34,IF($D813="V02",Cadrage!$D$34,Cadrage!$E$34)))</f>
        <v/>
      </c>
      <c r="M813">
        <f>IF($A813="","",IF($D813="V01",Cadrage!$C$35,IF($D813="V02",Cadrage!$D$35,Cadrage!$E$35)))</f>
        <v/>
      </c>
      <c r="N813">
        <f>IF($A813="","",IF($D813="V01",$R$2,IF($D813="V02",$R$3,$R$4)))</f>
        <v/>
      </c>
      <c r="O813">
        <f>IF($A813="","",IF(OR($B813="7062",$B813="706",$B813="708"),$N813,IF($B813="6231",1+$G813,IF($B813="6236",1+$H813,IF(OR($B813="621",$B813="604",$B813="6063"),$N813*(1-$L813),IF(OR($B813="6411",$B813="6413",$B813="6414",$B813="645"),(1+$J813)*(1+$K813),IF(OR($B813="613",$B813="615",$B813="616",$B813="6226",$B813="625",$B813="626",$B813="6281"),(1+$I813)*(1-$L813)*(1+$M813),IF(OR($B813="6331",$B813="63511",$B813="6333"),(1+$I813)*(1-$L813),IF($B813="6811",1+$I813,1)))))))))</f>
        <v/>
      </c>
      <c r="P813">
        <f>IF($A813="","",IF($E813=1,$F813*$O813,PNL!G813))</f>
        <v/>
      </c>
      <c r="T813">
        <f>IF($A813="","",IF($E813=1,IF(OR($B813="7062",$B813="706",$B813="708"),$P813,IF(AND(LEFT($B813,1)="6",$B813&lt;&gt;"6811"),-$P813,0)),0))</f>
        <v/>
      </c>
    </row>
    <row r="814">
      <c r="A814">
        <f>IF(PNL!A814="","",PNL!A814)</f>
        <v/>
      </c>
      <c r="B814">
        <f>IF(PNL!B814="","",PNL!B814)</f>
        <v/>
      </c>
      <c r="C814">
        <f>IF(PNL!C814="","",PNL!C814)</f>
        <v/>
      </c>
      <c r="D814">
        <f>IF(PNL!D814="","",PNL!D814)</f>
        <v/>
      </c>
      <c r="E814">
        <f>IF($A814="","",IF(AND($C814="2027",OR($D814="V01",$D814="V02",$D814="V03")),1,0))</f>
        <v/>
      </c>
      <c r="F814">
        <f>IF($A814="","",IF($E814=1,SUMIFS(Comptabilité!$F$1:$F$675,Comptabilité!$A$1:$A$675,$A814,Comptabilité!$B$1:$B$675,$B814,Comptabilité!$C$1:$C$675,"2026"),0))</f>
        <v/>
      </c>
      <c r="G814">
        <f>IF($A814="","",IF($D814="V01",Cadrage!$C$22,IF($D814="V02",Cadrage!$D$22,Cadrage!$E$22)))</f>
        <v/>
      </c>
      <c r="H814">
        <f>IF($A814="","",IF($D814="V01",Cadrage!$C$23,IF($D814="V02",Cadrage!$D$23,Cadrage!$E$23)))</f>
        <v/>
      </c>
      <c r="I814">
        <f>IF($A814="","",IF($D814="V01",Cadrage!$C$31,IF($D814="V02",Cadrage!$D$31,Cadrage!$E$31)))</f>
        <v/>
      </c>
      <c r="J814">
        <f>IF($A814="","",IF($D814="V01",Cadrage!$C$32,IF($D814="V02",Cadrage!$D$32,Cadrage!$E$32)))</f>
        <v/>
      </c>
      <c r="K814">
        <f>IF($A814="","",IF($D814="V01",Cadrage!$C$33,IF($D814="V02",Cadrage!$D$33,Cadrage!$E$33)))</f>
        <v/>
      </c>
      <c r="L814">
        <f>IF($A814="","",IF($D814="V01",Cadrage!$C$34,IF($D814="V02",Cadrage!$D$34,Cadrage!$E$34)))</f>
        <v/>
      </c>
      <c r="M814">
        <f>IF($A814="","",IF($D814="V01",Cadrage!$C$35,IF($D814="V02",Cadrage!$D$35,Cadrage!$E$35)))</f>
        <v/>
      </c>
      <c r="N814">
        <f>IF($A814="","",IF($D814="V01",$R$2,IF($D814="V02",$R$3,$R$4)))</f>
        <v/>
      </c>
      <c r="O814">
        <f>IF($A814="","",IF(OR($B814="7062",$B814="706",$B814="708"),$N814,IF($B814="6231",1+$G814,IF($B814="6236",1+$H814,IF(OR($B814="621",$B814="604",$B814="6063"),$N814*(1-$L814),IF(OR($B814="6411",$B814="6413",$B814="6414",$B814="645"),(1+$J814)*(1+$K814),IF(OR($B814="613",$B814="615",$B814="616",$B814="6226",$B814="625",$B814="626",$B814="6281"),(1+$I814)*(1-$L814)*(1+$M814),IF(OR($B814="6331",$B814="63511",$B814="6333"),(1+$I814)*(1-$L814),IF($B814="6811",1+$I814,1)))))))))</f>
        <v/>
      </c>
      <c r="P814">
        <f>IF($A814="","",IF($E814=1,$F814*$O814,PNL!G814))</f>
        <v/>
      </c>
      <c r="T814">
        <f>IF($A814="","",IF($E814=1,IF(OR($B814="7062",$B814="706",$B814="708"),$P814,IF(AND(LEFT($B814,1)="6",$B814&lt;&gt;"6811"),-$P814,0)),0))</f>
        <v/>
      </c>
    </row>
    <row r="815">
      <c r="A815">
        <f>IF(PNL!A815="","",PNL!A815)</f>
        <v/>
      </c>
      <c r="B815">
        <f>IF(PNL!B815="","",PNL!B815)</f>
        <v/>
      </c>
      <c r="C815">
        <f>IF(PNL!C815="","",PNL!C815)</f>
        <v/>
      </c>
      <c r="D815">
        <f>IF(PNL!D815="","",PNL!D815)</f>
        <v/>
      </c>
      <c r="E815">
        <f>IF($A815="","",IF(AND($C815="2027",OR($D815="V01",$D815="V02",$D815="V03")),1,0))</f>
        <v/>
      </c>
      <c r="F815">
        <f>IF($A815="","",IF($E815=1,SUMIFS(Comptabilité!$F$1:$F$675,Comptabilité!$A$1:$A$675,$A815,Comptabilité!$B$1:$B$675,$B815,Comptabilité!$C$1:$C$675,"2026"),0))</f>
        <v/>
      </c>
      <c r="G815">
        <f>IF($A815="","",IF($D815="V01",Cadrage!$C$22,IF($D815="V02",Cadrage!$D$22,Cadrage!$E$22)))</f>
        <v/>
      </c>
      <c r="H815">
        <f>IF($A815="","",IF($D815="V01",Cadrage!$C$23,IF($D815="V02",Cadrage!$D$23,Cadrage!$E$23)))</f>
        <v/>
      </c>
      <c r="I815">
        <f>IF($A815="","",IF($D815="V01",Cadrage!$C$31,IF($D815="V02",Cadrage!$D$31,Cadrage!$E$31)))</f>
        <v/>
      </c>
      <c r="J815">
        <f>IF($A815="","",IF($D815="V01",Cadrage!$C$32,IF($D815="V02",Cadrage!$D$32,Cadrage!$E$32)))</f>
        <v/>
      </c>
      <c r="K815">
        <f>IF($A815="","",IF($D815="V01",Cadrage!$C$33,IF($D815="V02",Cadrage!$D$33,Cadrage!$E$33)))</f>
        <v/>
      </c>
      <c r="L815">
        <f>IF($A815="","",IF($D815="V01",Cadrage!$C$34,IF($D815="V02",Cadrage!$D$34,Cadrage!$E$34)))</f>
        <v/>
      </c>
      <c r="M815">
        <f>IF($A815="","",IF($D815="V01",Cadrage!$C$35,IF($D815="V02",Cadrage!$D$35,Cadrage!$E$35)))</f>
        <v/>
      </c>
      <c r="N815">
        <f>IF($A815="","",IF($D815="V01",$R$2,IF($D815="V02",$R$3,$R$4)))</f>
        <v/>
      </c>
      <c r="O815">
        <f>IF($A815="","",IF(OR($B815="7062",$B815="706",$B815="708"),$N815,IF($B815="6231",1+$G815,IF($B815="6236",1+$H815,IF(OR($B815="621",$B815="604",$B815="6063"),$N815*(1-$L815),IF(OR($B815="6411",$B815="6413",$B815="6414",$B815="645"),(1+$J815)*(1+$K815),IF(OR($B815="613",$B815="615",$B815="616",$B815="6226",$B815="625",$B815="626",$B815="6281"),(1+$I815)*(1-$L815)*(1+$M815),IF(OR($B815="6331",$B815="63511",$B815="6333"),(1+$I815)*(1-$L815),IF($B815="6811",1+$I815,1)))))))))</f>
        <v/>
      </c>
      <c r="P815">
        <f>IF($A815="","",IF($E815=1,$F815*$O815,PNL!G815))</f>
        <v/>
      </c>
      <c r="T815">
        <f>IF($A815="","",IF($E815=1,IF(OR($B815="7062",$B815="706",$B815="708"),$P815,IF(AND(LEFT($B815,1)="6",$B815&lt;&gt;"6811"),-$P815,0)),0))</f>
        <v/>
      </c>
    </row>
    <row r="816">
      <c r="A816">
        <f>IF(PNL!A816="","",PNL!A816)</f>
        <v/>
      </c>
      <c r="B816">
        <f>IF(PNL!B816="","",PNL!B816)</f>
        <v/>
      </c>
      <c r="C816">
        <f>IF(PNL!C816="","",PNL!C816)</f>
        <v/>
      </c>
      <c r="D816">
        <f>IF(PNL!D816="","",PNL!D816)</f>
        <v/>
      </c>
      <c r="E816">
        <f>IF($A816="","",IF(AND($C816="2027",OR($D816="V01",$D816="V02",$D816="V03")),1,0))</f>
        <v/>
      </c>
      <c r="F816">
        <f>IF($A816="","",IF($E816=1,SUMIFS(Comptabilité!$F$1:$F$675,Comptabilité!$A$1:$A$675,$A816,Comptabilité!$B$1:$B$675,$B816,Comptabilité!$C$1:$C$675,"2026"),0))</f>
        <v/>
      </c>
      <c r="G816">
        <f>IF($A816="","",IF($D816="V01",Cadrage!$C$22,IF($D816="V02",Cadrage!$D$22,Cadrage!$E$22)))</f>
        <v/>
      </c>
      <c r="H816">
        <f>IF($A816="","",IF($D816="V01",Cadrage!$C$23,IF($D816="V02",Cadrage!$D$23,Cadrage!$E$23)))</f>
        <v/>
      </c>
      <c r="I816">
        <f>IF($A816="","",IF($D816="V01",Cadrage!$C$31,IF($D816="V02",Cadrage!$D$31,Cadrage!$E$31)))</f>
        <v/>
      </c>
      <c r="J816">
        <f>IF($A816="","",IF($D816="V01",Cadrage!$C$32,IF($D816="V02",Cadrage!$D$32,Cadrage!$E$32)))</f>
        <v/>
      </c>
      <c r="K816">
        <f>IF($A816="","",IF($D816="V01",Cadrage!$C$33,IF($D816="V02",Cadrage!$D$33,Cadrage!$E$33)))</f>
        <v/>
      </c>
      <c r="L816">
        <f>IF($A816="","",IF($D816="V01",Cadrage!$C$34,IF($D816="V02",Cadrage!$D$34,Cadrage!$E$34)))</f>
        <v/>
      </c>
      <c r="M816">
        <f>IF($A816="","",IF($D816="V01",Cadrage!$C$35,IF($D816="V02",Cadrage!$D$35,Cadrage!$E$35)))</f>
        <v/>
      </c>
      <c r="N816">
        <f>IF($A816="","",IF($D816="V01",$R$2,IF($D816="V02",$R$3,$R$4)))</f>
        <v/>
      </c>
      <c r="O816">
        <f>IF($A816="","",IF(OR($B816="7062",$B816="706",$B816="708"),$N816,IF($B816="6231",1+$G816,IF($B816="6236",1+$H816,IF(OR($B816="621",$B816="604",$B816="6063"),$N816*(1-$L816),IF(OR($B816="6411",$B816="6413",$B816="6414",$B816="645"),(1+$J816)*(1+$K816),IF(OR($B816="613",$B816="615",$B816="616",$B816="6226",$B816="625",$B816="626",$B816="6281"),(1+$I816)*(1-$L816)*(1+$M816),IF(OR($B816="6331",$B816="63511",$B816="6333"),(1+$I816)*(1-$L816),IF($B816="6811",1+$I816,1)))))))))</f>
        <v/>
      </c>
      <c r="P816">
        <f>IF($A816="","",IF($E816=1,$F816*$O816,PNL!G816))</f>
        <v/>
      </c>
      <c r="T816">
        <f>IF($A816="","",IF($E816=1,IF(OR($B816="7062",$B816="706",$B816="708"),$P816,IF(AND(LEFT($B816,1)="6",$B816&lt;&gt;"6811"),-$P816,0)),0))</f>
        <v/>
      </c>
    </row>
    <row r="817">
      <c r="A817">
        <f>IF(PNL!A817="","",PNL!A817)</f>
        <v/>
      </c>
      <c r="B817">
        <f>IF(PNL!B817="","",PNL!B817)</f>
        <v/>
      </c>
      <c r="C817">
        <f>IF(PNL!C817="","",PNL!C817)</f>
        <v/>
      </c>
      <c r="D817">
        <f>IF(PNL!D817="","",PNL!D817)</f>
        <v/>
      </c>
      <c r="E817">
        <f>IF($A817="","",IF(AND($C817="2027",OR($D817="V01",$D817="V02",$D817="V03")),1,0))</f>
        <v/>
      </c>
      <c r="F817">
        <f>IF($A817="","",IF($E817=1,SUMIFS(Comptabilité!$F$1:$F$675,Comptabilité!$A$1:$A$675,$A817,Comptabilité!$B$1:$B$675,$B817,Comptabilité!$C$1:$C$675,"2026"),0))</f>
        <v/>
      </c>
      <c r="G817">
        <f>IF($A817="","",IF($D817="V01",Cadrage!$C$22,IF($D817="V02",Cadrage!$D$22,Cadrage!$E$22)))</f>
        <v/>
      </c>
      <c r="H817">
        <f>IF($A817="","",IF($D817="V01",Cadrage!$C$23,IF($D817="V02",Cadrage!$D$23,Cadrage!$E$23)))</f>
        <v/>
      </c>
      <c r="I817">
        <f>IF($A817="","",IF($D817="V01",Cadrage!$C$31,IF($D817="V02",Cadrage!$D$31,Cadrage!$E$31)))</f>
        <v/>
      </c>
      <c r="J817">
        <f>IF($A817="","",IF($D817="V01",Cadrage!$C$32,IF($D817="V02",Cadrage!$D$32,Cadrage!$E$32)))</f>
        <v/>
      </c>
      <c r="K817">
        <f>IF($A817="","",IF($D817="V01",Cadrage!$C$33,IF($D817="V02",Cadrage!$D$33,Cadrage!$E$33)))</f>
        <v/>
      </c>
      <c r="L817">
        <f>IF($A817="","",IF($D817="V01",Cadrage!$C$34,IF($D817="V02",Cadrage!$D$34,Cadrage!$E$34)))</f>
        <v/>
      </c>
      <c r="M817">
        <f>IF($A817="","",IF($D817="V01",Cadrage!$C$35,IF($D817="V02",Cadrage!$D$35,Cadrage!$E$35)))</f>
        <v/>
      </c>
      <c r="N817">
        <f>IF($A817="","",IF($D817="V01",$R$2,IF($D817="V02",$R$3,$R$4)))</f>
        <v/>
      </c>
      <c r="O817">
        <f>IF($A817="","",IF(OR($B817="7062",$B817="706",$B817="708"),$N817,IF($B817="6231",1+$G817,IF($B817="6236",1+$H817,IF(OR($B817="621",$B817="604",$B817="6063"),$N817*(1-$L817),IF(OR($B817="6411",$B817="6413",$B817="6414",$B817="645"),(1+$J817)*(1+$K817),IF(OR($B817="613",$B817="615",$B817="616",$B817="6226",$B817="625",$B817="626",$B817="6281"),(1+$I817)*(1-$L817)*(1+$M817),IF(OR($B817="6331",$B817="63511",$B817="6333"),(1+$I817)*(1-$L817),IF($B817="6811",1+$I817,1)))))))))</f>
        <v/>
      </c>
      <c r="P817">
        <f>IF($A817="","",IF($E817=1,$F817*$O817,PNL!G817))</f>
        <v/>
      </c>
      <c r="T817">
        <f>IF($A817="","",IF($E817=1,IF(OR($B817="7062",$B817="706",$B817="708"),$P817,IF(AND(LEFT($B817,1)="6",$B817&lt;&gt;"6811"),-$P817,0)),0))</f>
        <v/>
      </c>
    </row>
    <row r="818">
      <c r="A818">
        <f>IF(PNL!A818="","",PNL!A818)</f>
        <v/>
      </c>
      <c r="B818">
        <f>IF(PNL!B818="","",PNL!B818)</f>
        <v/>
      </c>
      <c r="C818">
        <f>IF(PNL!C818="","",PNL!C818)</f>
        <v/>
      </c>
      <c r="D818">
        <f>IF(PNL!D818="","",PNL!D818)</f>
        <v/>
      </c>
      <c r="E818">
        <f>IF($A818="","",IF(AND($C818="2027",OR($D818="V01",$D818="V02",$D818="V03")),1,0))</f>
        <v/>
      </c>
      <c r="F818">
        <f>IF($A818="","",IF($E818=1,SUMIFS(Comptabilité!$F$1:$F$675,Comptabilité!$A$1:$A$675,$A818,Comptabilité!$B$1:$B$675,$B818,Comptabilité!$C$1:$C$675,"2026"),0))</f>
        <v/>
      </c>
      <c r="G818">
        <f>IF($A818="","",IF($D818="V01",Cadrage!$C$22,IF($D818="V02",Cadrage!$D$22,Cadrage!$E$22)))</f>
        <v/>
      </c>
      <c r="H818">
        <f>IF($A818="","",IF($D818="V01",Cadrage!$C$23,IF($D818="V02",Cadrage!$D$23,Cadrage!$E$23)))</f>
        <v/>
      </c>
      <c r="I818">
        <f>IF($A818="","",IF($D818="V01",Cadrage!$C$31,IF($D818="V02",Cadrage!$D$31,Cadrage!$E$31)))</f>
        <v/>
      </c>
      <c r="J818">
        <f>IF($A818="","",IF($D818="V01",Cadrage!$C$32,IF($D818="V02",Cadrage!$D$32,Cadrage!$E$32)))</f>
        <v/>
      </c>
      <c r="K818">
        <f>IF($A818="","",IF($D818="V01",Cadrage!$C$33,IF($D818="V02",Cadrage!$D$33,Cadrage!$E$33)))</f>
        <v/>
      </c>
      <c r="L818">
        <f>IF($A818="","",IF($D818="V01",Cadrage!$C$34,IF($D818="V02",Cadrage!$D$34,Cadrage!$E$34)))</f>
        <v/>
      </c>
      <c r="M818">
        <f>IF($A818="","",IF($D818="V01",Cadrage!$C$35,IF($D818="V02",Cadrage!$D$35,Cadrage!$E$35)))</f>
        <v/>
      </c>
      <c r="N818">
        <f>IF($A818="","",IF($D818="V01",$R$2,IF($D818="V02",$R$3,$R$4)))</f>
        <v/>
      </c>
      <c r="O818">
        <f>IF($A818="","",IF(OR($B818="7062",$B818="706",$B818="708"),$N818,IF($B818="6231",1+$G818,IF($B818="6236",1+$H818,IF(OR($B818="621",$B818="604",$B818="6063"),$N818*(1-$L818),IF(OR($B818="6411",$B818="6413",$B818="6414",$B818="645"),(1+$J818)*(1+$K818),IF(OR($B818="613",$B818="615",$B818="616",$B818="6226",$B818="625",$B818="626",$B818="6281"),(1+$I818)*(1-$L818)*(1+$M818),IF(OR($B818="6331",$B818="63511",$B818="6333"),(1+$I818)*(1-$L818),IF($B818="6811",1+$I818,1)))))))))</f>
        <v/>
      </c>
      <c r="P818">
        <f>IF($A818="","",IF($E818=1,$F818*$O818,PNL!G818))</f>
        <v/>
      </c>
      <c r="T818">
        <f>IF($A818="","",IF($E818=1,IF(OR($B818="7062",$B818="706",$B818="708"),$P818,IF(AND(LEFT($B818,1)="6",$B818&lt;&gt;"6811"),-$P818,0)),0))</f>
        <v/>
      </c>
    </row>
    <row r="819">
      <c r="A819">
        <f>IF(PNL!A819="","",PNL!A819)</f>
        <v/>
      </c>
      <c r="B819">
        <f>IF(PNL!B819="","",PNL!B819)</f>
        <v/>
      </c>
      <c r="C819">
        <f>IF(PNL!C819="","",PNL!C819)</f>
        <v/>
      </c>
      <c r="D819">
        <f>IF(PNL!D819="","",PNL!D819)</f>
        <v/>
      </c>
      <c r="E819">
        <f>IF($A819="","",IF(AND($C819="2027",OR($D819="V01",$D819="V02",$D819="V03")),1,0))</f>
        <v/>
      </c>
      <c r="F819">
        <f>IF($A819="","",IF($E819=1,SUMIFS(Comptabilité!$F$1:$F$675,Comptabilité!$A$1:$A$675,$A819,Comptabilité!$B$1:$B$675,$B819,Comptabilité!$C$1:$C$675,"2026"),0))</f>
        <v/>
      </c>
      <c r="G819">
        <f>IF($A819="","",IF($D819="V01",Cadrage!$C$22,IF($D819="V02",Cadrage!$D$22,Cadrage!$E$22)))</f>
        <v/>
      </c>
      <c r="H819">
        <f>IF($A819="","",IF($D819="V01",Cadrage!$C$23,IF($D819="V02",Cadrage!$D$23,Cadrage!$E$23)))</f>
        <v/>
      </c>
      <c r="I819">
        <f>IF($A819="","",IF($D819="V01",Cadrage!$C$31,IF($D819="V02",Cadrage!$D$31,Cadrage!$E$31)))</f>
        <v/>
      </c>
      <c r="J819">
        <f>IF($A819="","",IF($D819="V01",Cadrage!$C$32,IF($D819="V02",Cadrage!$D$32,Cadrage!$E$32)))</f>
        <v/>
      </c>
      <c r="K819">
        <f>IF($A819="","",IF($D819="V01",Cadrage!$C$33,IF($D819="V02",Cadrage!$D$33,Cadrage!$E$33)))</f>
        <v/>
      </c>
      <c r="L819">
        <f>IF($A819="","",IF($D819="V01",Cadrage!$C$34,IF($D819="V02",Cadrage!$D$34,Cadrage!$E$34)))</f>
        <v/>
      </c>
      <c r="M819">
        <f>IF($A819="","",IF($D819="V01",Cadrage!$C$35,IF($D819="V02",Cadrage!$D$35,Cadrage!$E$35)))</f>
        <v/>
      </c>
      <c r="N819">
        <f>IF($A819="","",IF($D819="V01",$R$2,IF($D819="V02",$R$3,$R$4)))</f>
        <v/>
      </c>
      <c r="O819">
        <f>IF($A819="","",IF(OR($B819="7062",$B819="706",$B819="708"),$N819,IF($B819="6231",1+$G819,IF($B819="6236",1+$H819,IF(OR($B819="621",$B819="604",$B819="6063"),$N819*(1-$L819),IF(OR($B819="6411",$B819="6413",$B819="6414",$B819="645"),(1+$J819)*(1+$K819),IF(OR($B819="613",$B819="615",$B819="616",$B819="6226",$B819="625",$B819="626",$B819="6281"),(1+$I819)*(1-$L819)*(1+$M819),IF(OR($B819="6331",$B819="63511",$B819="6333"),(1+$I819)*(1-$L819),IF($B819="6811",1+$I819,1)))))))))</f>
        <v/>
      </c>
      <c r="P819">
        <f>IF($A819="","",IF($E819=1,$F819*$O819,PNL!G819))</f>
        <v/>
      </c>
      <c r="T819">
        <f>IF($A819="","",IF($E819=1,IF(OR($B819="7062",$B819="706",$B819="708"),$P819,IF(AND(LEFT($B819,1)="6",$B819&lt;&gt;"6811"),-$P819,0)),0))</f>
        <v/>
      </c>
    </row>
    <row r="820">
      <c r="A820">
        <f>IF(PNL!A820="","",PNL!A820)</f>
        <v/>
      </c>
      <c r="B820">
        <f>IF(PNL!B820="","",PNL!B820)</f>
        <v/>
      </c>
      <c r="C820">
        <f>IF(PNL!C820="","",PNL!C820)</f>
        <v/>
      </c>
      <c r="D820">
        <f>IF(PNL!D820="","",PNL!D820)</f>
        <v/>
      </c>
      <c r="E820">
        <f>IF($A820="","",IF(AND($C820="2027",OR($D820="V01",$D820="V02",$D820="V03")),1,0))</f>
        <v/>
      </c>
      <c r="F820">
        <f>IF($A820="","",IF($E820=1,SUMIFS(Comptabilité!$F$1:$F$675,Comptabilité!$A$1:$A$675,$A820,Comptabilité!$B$1:$B$675,$B820,Comptabilité!$C$1:$C$675,"2026"),0))</f>
        <v/>
      </c>
      <c r="G820">
        <f>IF($A820="","",IF($D820="V01",Cadrage!$C$22,IF($D820="V02",Cadrage!$D$22,Cadrage!$E$22)))</f>
        <v/>
      </c>
      <c r="H820">
        <f>IF($A820="","",IF($D820="V01",Cadrage!$C$23,IF($D820="V02",Cadrage!$D$23,Cadrage!$E$23)))</f>
        <v/>
      </c>
      <c r="I820">
        <f>IF($A820="","",IF($D820="V01",Cadrage!$C$31,IF($D820="V02",Cadrage!$D$31,Cadrage!$E$31)))</f>
        <v/>
      </c>
      <c r="J820">
        <f>IF($A820="","",IF($D820="V01",Cadrage!$C$32,IF($D820="V02",Cadrage!$D$32,Cadrage!$E$32)))</f>
        <v/>
      </c>
      <c r="K820">
        <f>IF($A820="","",IF($D820="V01",Cadrage!$C$33,IF($D820="V02",Cadrage!$D$33,Cadrage!$E$33)))</f>
        <v/>
      </c>
      <c r="L820">
        <f>IF($A820="","",IF($D820="V01",Cadrage!$C$34,IF($D820="V02",Cadrage!$D$34,Cadrage!$E$34)))</f>
        <v/>
      </c>
      <c r="M820">
        <f>IF($A820="","",IF($D820="V01",Cadrage!$C$35,IF($D820="V02",Cadrage!$D$35,Cadrage!$E$35)))</f>
        <v/>
      </c>
      <c r="N820">
        <f>IF($A820="","",IF($D820="V01",$R$2,IF($D820="V02",$R$3,$R$4)))</f>
        <v/>
      </c>
      <c r="O820">
        <f>IF($A820="","",IF(OR($B820="7062",$B820="706",$B820="708"),$N820,IF($B820="6231",1+$G820,IF($B820="6236",1+$H820,IF(OR($B820="621",$B820="604",$B820="6063"),$N820*(1-$L820),IF(OR($B820="6411",$B820="6413",$B820="6414",$B820="645"),(1+$J820)*(1+$K820),IF(OR($B820="613",$B820="615",$B820="616",$B820="6226",$B820="625",$B820="626",$B820="6281"),(1+$I820)*(1-$L820)*(1+$M820),IF(OR($B820="6331",$B820="63511",$B820="6333"),(1+$I820)*(1-$L820),IF($B820="6811",1+$I820,1)))))))))</f>
        <v/>
      </c>
      <c r="P820">
        <f>IF($A820="","",IF($E820=1,$F820*$O820,PNL!G820))</f>
        <v/>
      </c>
      <c r="T820">
        <f>IF($A820="","",IF($E820=1,IF(OR($B820="7062",$B820="706",$B820="708"),$P820,IF(AND(LEFT($B820,1)="6",$B820&lt;&gt;"6811"),-$P820,0)),0))</f>
        <v/>
      </c>
    </row>
    <row r="821">
      <c r="A821">
        <f>IF(PNL!A821="","",PNL!A821)</f>
        <v/>
      </c>
      <c r="B821">
        <f>IF(PNL!B821="","",PNL!B821)</f>
        <v/>
      </c>
      <c r="C821">
        <f>IF(PNL!C821="","",PNL!C821)</f>
        <v/>
      </c>
      <c r="D821">
        <f>IF(PNL!D821="","",PNL!D821)</f>
        <v/>
      </c>
      <c r="E821">
        <f>IF($A821="","",IF(AND($C821="2027",OR($D821="V01",$D821="V02",$D821="V03")),1,0))</f>
        <v/>
      </c>
      <c r="F821">
        <f>IF($A821="","",IF($E821=1,SUMIFS(Comptabilité!$F$1:$F$675,Comptabilité!$A$1:$A$675,$A821,Comptabilité!$B$1:$B$675,$B821,Comptabilité!$C$1:$C$675,"2026"),0))</f>
        <v/>
      </c>
      <c r="G821">
        <f>IF($A821="","",IF($D821="V01",Cadrage!$C$22,IF($D821="V02",Cadrage!$D$22,Cadrage!$E$22)))</f>
        <v/>
      </c>
      <c r="H821">
        <f>IF($A821="","",IF($D821="V01",Cadrage!$C$23,IF($D821="V02",Cadrage!$D$23,Cadrage!$E$23)))</f>
        <v/>
      </c>
      <c r="I821">
        <f>IF($A821="","",IF($D821="V01",Cadrage!$C$31,IF($D821="V02",Cadrage!$D$31,Cadrage!$E$31)))</f>
        <v/>
      </c>
      <c r="J821">
        <f>IF($A821="","",IF($D821="V01",Cadrage!$C$32,IF($D821="V02",Cadrage!$D$32,Cadrage!$E$32)))</f>
        <v/>
      </c>
      <c r="K821">
        <f>IF($A821="","",IF($D821="V01",Cadrage!$C$33,IF($D821="V02",Cadrage!$D$33,Cadrage!$E$33)))</f>
        <v/>
      </c>
      <c r="L821">
        <f>IF($A821="","",IF($D821="V01",Cadrage!$C$34,IF($D821="V02",Cadrage!$D$34,Cadrage!$E$34)))</f>
        <v/>
      </c>
      <c r="M821">
        <f>IF($A821="","",IF($D821="V01",Cadrage!$C$35,IF($D821="V02",Cadrage!$D$35,Cadrage!$E$35)))</f>
        <v/>
      </c>
      <c r="N821">
        <f>IF($A821="","",IF($D821="V01",$R$2,IF($D821="V02",$R$3,$R$4)))</f>
        <v/>
      </c>
      <c r="O821">
        <f>IF($A821="","",IF(OR($B821="7062",$B821="706",$B821="708"),$N821,IF($B821="6231",1+$G821,IF($B821="6236",1+$H821,IF(OR($B821="621",$B821="604",$B821="6063"),$N821*(1-$L821),IF(OR($B821="6411",$B821="6413",$B821="6414",$B821="645"),(1+$J821)*(1+$K821),IF(OR($B821="613",$B821="615",$B821="616",$B821="6226",$B821="625",$B821="626",$B821="6281"),(1+$I821)*(1-$L821)*(1+$M821),IF(OR($B821="6331",$B821="63511",$B821="6333"),(1+$I821)*(1-$L821),IF($B821="6811",1+$I821,1)))))))))</f>
        <v/>
      </c>
      <c r="P821">
        <f>IF($A821="","",IF($E821=1,$F821*$O821,PNL!G821))</f>
        <v/>
      </c>
      <c r="T821">
        <f>IF($A821="","",IF($E821=1,IF(OR($B821="7062",$B821="706",$B821="708"),$P821,IF(AND(LEFT($B821,1)="6",$B821&lt;&gt;"6811"),-$P821,0)),0))</f>
        <v/>
      </c>
    </row>
    <row r="822">
      <c r="A822">
        <f>IF(PNL!A822="","",PNL!A822)</f>
        <v/>
      </c>
      <c r="B822">
        <f>IF(PNL!B822="","",PNL!B822)</f>
        <v/>
      </c>
      <c r="C822">
        <f>IF(PNL!C822="","",PNL!C822)</f>
        <v/>
      </c>
      <c r="D822">
        <f>IF(PNL!D822="","",PNL!D822)</f>
        <v/>
      </c>
      <c r="E822">
        <f>IF($A822="","",IF(AND($C822="2027",OR($D822="V01",$D822="V02",$D822="V03")),1,0))</f>
        <v/>
      </c>
      <c r="F822">
        <f>IF($A822="","",IF($E822=1,SUMIFS(Comptabilité!$F$1:$F$675,Comptabilité!$A$1:$A$675,$A822,Comptabilité!$B$1:$B$675,$B822,Comptabilité!$C$1:$C$675,"2026"),0))</f>
        <v/>
      </c>
      <c r="G822">
        <f>IF($A822="","",IF($D822="V01",Cadrage!$C$22,IF($D822="V02",Cadrage!$D$22,Cadrage!$E$22)))</f>
        <v/>
      </c>
      <c r="H822">
        <f>IF($A822="","",IF($D822="V01",Cadrage!$C$23,IF($D822="V02",Cadrage!$D$23,Cadrage!$E$23)))</f>
        <v/>
      </c>
      <c r="I822">
        <f>IF($A822="","",IF($D822="V01",Cadrage!$C$31,IF($D822="V02",Cadrage!$D$31,Cadrage!$E$31)))</f>
        <v/>
      </c>
      <c r="J822">
        <f>IF($A822="","",IF($D822="V01",Cadrage!$C$32,IF($D822="V02",Cadrage!$D$32,Cadrage!$E$32)))</f>
        <v/>
      </c>
      <c r="K822">
        <f>IF($A822="","",IF($D822="V01",Cadrage!$C$33,IF($D822="V02",Cadrage!$D$33,Cadrage!$E$33)))</f>
        <v/>
      </c>
      <c r="L822">
        <f>IF($A822="","",IF($D822="V01",Cadrage!$C$34,IF($D822="V02",Cadrage!$D$34,Cadrage!$E$34)))</f>
        <v/>
      </c>
      <c r="M822">
        <f>IF($A822="","",IF($D822="V01",Cadrage!$C$35,IF($D822="V02",Cadrage!$D$35,Cadrage!$E$35)))</f>
        <v/>
      </c>
      <c r="N822">
        <f>IF($A822="","",IF($D822="V01",$R$2,IF($D822="V02",$R$3,$R$4)))</f>
        <v/>
      </c>
      <c r="O822">
        <f>IF($A822="","",IF(OR($B822="7062",$B822="706",$B822="708"),$N822,IF($B822="6231",1+$G822,IF($B822="6236",1+$H822,IF(OR($B822="621",$B822="604",$B822="6063"),$N822*(1-$L822),IF(OR($B822="6411",$B822="6413",$B822="6414",$B822="645"),(1+$J822)*(1+$K822),IF(OR($B822="613",$B822="615",$B822="616",$B822="6226",$B822="625",$B822="626",$B822="6281"),(1+$I822)*(1-$L822)*(1+$M822),IF(OR($B822="6331",$B822="63511",$B822="6333"),(1+$I822)*(1-$L822),IF($B822="6811",1+$I822,1)))))))))</f>
        <v/>
      </c>
      <c r="P822">
        <f>IF($A822="","",IF($E822=1,$F822*$O822,PNL!G822))</f>
        <v/>
      </c>
      <c r="T822">
        <f>IF($A822="","",IF($E822=1,IF(OR($B822="7062",$B822="706",$B822="708"),$P822,IF(AND(LEFT($B822,1)="6",$B822&lt;&gt;"6811"),-$P822,0)),0))</f>
        <v/>
      </c>
    </row>
    <row r="823">
      <c r="A823">
        <f>IF(PNL!A823="","",PNL!A823)</f>
        <v/>
      </c>
      <c r="B823">
        <f>IF(PNL!B823="","",PNL!B823)</f>
        <v/>
      </c>
      <c r="C823">
        <f>IF(PNL!C823="","",PNL!C823)</f>
        <v/>
      </c>
      <c r="D823">
        <f>IF(PNL!D823="","",PNL!D823)</f>
        <v/>
      </c>
      <c r="E823">
        <f>IF($A823="","",IF(AND($C823="2027",OR($D823="V01",$D823="V02",$D823="V03")),1,0))</f>
        <v/>
      </c>
      <c r="F823">
        <f>IF($A823="","",IF($E823=1,SUMIFS(Comptabilité!$F$1:$F$675,Comptabilité!$A$1:$A$675,$A823,Comptabilité!$B$1:$B$675,$B823,Comptabilité!$C$1:$C$675,"2026"),0))</f>
        <v/>
      </c>
      <c r="G823">
        <f>IF($A823="","",IF($D823="V01",Cadrage!$C$22,IF($D823="V02",Cadrage!$D$22,Cadrage!$E$22)))</f>
        <v/>
      </c>
      <c r="H823">
        <f>IF($A823="","",IF($D823="V01",Cadrage!$C$23,IF($D823="V02",Cadrage!$D$23,Cadrage!$E$23)))</f>
        <v/>
      </c>
      <c r="I823">
        <f>IF($A823="","",IF($D823="V01",Cadrage!$C$31,IF($D823="V02",Cadrage!$D$31,Cadrage!$E$31)))</f>
        <v/>
      </c>
      <c r="J823">
        <f>IF($A823="","",IF($D823="V01",Cadrage!$C$32,IF($D823="V02",Cadrage!$D$32,Cadrage!$E$32)))</f>
        <v/>
      </c>
      <c r="K823">
        <f>IF($A823="","",IF($D823="V01",Cadrage!$C$33,IF($D823="V02",Cadrage!$D$33,Cadrage!$E$33)))</f>
        <v/>
      </c>
      <c r="L823">
        <f>IF($A823="","",IF($D823="V01",Cadrage!$C$34,IF($D823="V02",Cadrage!$D$34,Cadrage!$E$34)))</f>
        <v/>
      </c>
      <c r="M823">
        <f>IF($A823="","",IF($D823="V01",Cadrage!$C$35,IF($D823="V02",Cadrage!$D$35,Cadrage!$E$35)))</f>
        <v/>
      </c>
      <c r="N823">
        <f>IF($A823="","",IF($D823="V01",$R$2,IF($D823="V02",$R$3,$R$4)))</f>
        <v/>
      </c>
      <c r="O823">
        <f>IF($A823="","",IF(OR($B823="7062",$B823="706",$B823="708"),$N823,IF($B823="6231",1+$G823,IF($B823="6236",1+$H823,IF(OR($B823="621",$B823="604",$B823="6063"),$N823*(1-$L823),IF(OR($B823="6411",$B823="6413",$B823="6414",$B823="645"),(1+$J823)*(1+$K823),IF(OR($B823="613",$B823="615",$B823="616",$B823="6226",$B823="625",$B823="626",$B823="6281"),(1+$I823)*(1-$L823)*(1+$M823),IF(OR($B823="6331",$B823="63511",$B823="6333"),(1+$I823)*(1-$L823),IF($B823="6811",1+$I823,1)))))))))</f>
        <v/>
      </c>
      <c r="P823">
        <f>IF($A823="","",IF($E823=1,$F823*$O823,PNL!G823))</f>
        <v/>
      </c>
      <c r="T823">
        <f>IF($A823="","",IF($E823=1,IF(OR($B823="7062",$B823="706",$B823="708"),$P823,IF(AND(LEFT($B823,1)="6",$B823&lt;&gt;"6811"),-$P823,0)),0))</f>
        <v/>
      </c>
    </row>
    <row r="824">
      <c r="A824">
        <f>IF(PNL!A824="","",PNL!A824)</f>
        <v/>
      </c>
      <c r="B824">
        <f>IF(PNL!B824="","",PNL!B824)</f>
        <v/>
      </c>
      <c r="C824">
        <f>IF(PNL!C824="","",PNL!C824)</f>
        <v/>
      </c>
      <c r="D824">
        <f>IF(PNL!D824="","",PNL!D824)</f>
        <v/>
      </c>
      <c r="E824">
        <f>IF($A824="","",IF(AND($C824="2027",OR($D824="V01",$D824="V02",$D824="V03")),1,0))</f>
        <v/>
      </c>
      <c r="F824">
        <f>IF($A824="","",IF($E824=1,SUMIFS(Comptabilité!$F$1:$F$675,Comptabilité!$A$1:$A$675,$A824,Comptabilité!$B$1:$B$675,$B824,Comptabilité!$C$1:$C$675,"2026"),0))</f>
        <v/>
      </c>
      <c r="G824">
        <f>IF($A824="","",IF($D824="V01",Cadrage!$C$22,IF($D824="V02",Cadrage!$D$22,Cadrage!$E$22)))</f>
        <v/>
      </c>
      <c r="H824">
        <f>IF($A824="","",IF($D824="V01",Cadrage!$C$23,IF($D824="V02",Cadrage!$D$23,Cadrage!$E$23)))</f>
        <v/>
      </c>
      <c r="I824">
        <f>IF($A824="","",IF($D824="V01",Cadrage!$C$31,IF($D824="V02",Cadrage!$D$31,Cadrage!$E$31)))</f>
        <v/>
      </c>
      <c r="J824">
        <f>IF($A824="","",IF($D824="V01",Cadrage!$C$32,IF($D824="V02",Cadrage!$D$32,Cadrage!$E$32)))</f>
        <v/>
      </c>
      <c r="K824">
        <f>IF($A824="","",IF($D824="V01",Cadrage!$C$33,IF($D824="V02",Cadrage!$D$33,Cadrage!$E$33)))</f>
        <v/>
      </c>
      <c r="L824">
        <f>IF($A824="","",IF($D824="V01",Cadrage!$C$34,IF($D824="V02",Cadrage!$D$34,Cadrage!$E$34)))</f>
        <v/>
      </c>
      <c r="M824">
        <f>IF($A824="","",IF($D824="V01",Cadrage!$C$35,IF($D824="V02",Cadrage!$D$35,Cadrage!$E$35)))</f>
        <v/>
      </c>
      <c r="N824">
        <f>IF($A824="","",IF($D824="V01",$R$2,IF($D824="V02",$R$3,$R$4)))</f>
        <v/>
      </c>
      <c r="O824">
        <f>IF($A824="","",IF(OR($B824="7062",$B824="706",$B824="708"),$N824,IF($B824="6231",1+$G824,IF($B824="6236",1+$H824,IF(OR($B824="621",$B824="604",$B824="6063"),$N824*(1-$L824),IF(OR($B824="6411",$B824="6413",$B824="6414",$B824="645"),(1+$J824)*(1+$K824),IF(OR($B824="613",$B824="615",$B824="616",$B824="6226",$B824="625",$B824="626",$B824="6281"),(1+$I824)*(1-$L824)*(1+$M824),IF(OR($B824="6331",$B824="63511",$B824="6333"),(1+$I824)*(1-$L824),IF($B824="6811",1+$I824,1)))))))))</f>
        <v/>
      </c>
      <c r="P824">
        <f>IF($A824="","",IF($E824=1,$F824*$O824,PNL!G824))</f>
        <v/>
      </c>
      <c r="T824">
        <f>IF($A824="","",IF($E824=1,IF(OR($B824="7062",$B824="706",$B824="708"),$P824,IF(AND(LEFT($B824,1)="6",$B824&lt;&gt;"6811"),-$P824,0)),0))</f>
        <v/>
      </c>
    </row>
    <row r="825">
      <c r="A825">
        <f>IF(PNL!A825="","",PNL!A825)</f>
        <v/>
      </c>
      <c r="B825">
        <f>IF(PNL!B825="","",PNL!B825)</f>
        <v/>
      </c>
      <c r="C825">
        <f>IF(PNL!C825="","",PNL!C825)</f>
        <v/>
      </c>
      <c r="D825">
        <f>IF(PNL!D825="","",PNL!D825)</f>
        <v/>
      </c>
      <c r="E825">
        <f>IF($A825="","",IF(AND($C825="2027",OR($D825="V01",$D825="V02",$D825="V03")),1,0))</f>
        <v/>
      </c>
      <c r="F825">
        <f>IF($A825="","",IF($E825=1,SUMIFS(Comptabilité!$F$1:$F$675,Comptabilité!$A$1:$A$675,$A825,Comptabilité!$B$1:$B$675,$B825,Comptabilité!$C$1:$C$675,"2026"),0))</f>
        <v/>
      </c>
      <c r="G825">
        <f>IF($A825="","",IF($D825="V01",Cadrage!$C$22,IF($D825="V02",Cadrage!$D$22,Cadrage!$E$22)))</f>
        <v/>
      </c>
      <c r="H825">
        <f>IF($A825="","",IF($D825="V01",Cadrage!$C$23,IF($D825="V02",Cadrage!$D$23,Cadrage!$E$23)))</f>
        <v/>
      </c>
      <c r="I825">
        <f>IF($A825="","",IF($D825="V01",Cadrage!$C$31,IF($D825="V02",Cadrage!$D$31,Cadrage!$E$31)))</f>
        <v/>
      </c>
      <c r="J825">
        <f>IF($A825="","",IF($D825="V01",Cadrage!$C$32,IF($D825="V02",Cadrage!$D$32,Cadrage!$E$32)))</f>
        <v/>
      </c>
      <c r="K825">
        <f>IF($A825="","",IF($D825="V01",Cadrage!$C$33,IF($D825="V02",Cadrage!$D$33,Cadrage!$E$33)))</f>
        <v/>
      </c>
      <c r="L825">
        <f>IF($A825="","",IF($D825="V01",Cadrage!$C$34,IF($D825="V02",Cadrage!$D$34,Cadrage!$E$34)))</f>
        <v/>
      </c>
      <c r="M825">
        <f>IF($A825="","",IF($D825="V01",Cadrage!$C$35,IF($D825="V02",Cadrage!$D$35,Cadrage!$E$35)))</f>
        <v/>
      </c>
      <c r="N825">
        <f>IF($A825="","",IF($D825="V01",$R$2,IF($D825="V02",$R$3,$R$4)))</f>
        <v/>
      </c>
      <c r="O825">
        <f>IF($A825="","",IF(OR($B825="7062",$B825="706",$B825="708"),$N825,IF($B825="6231",1+$G825,IF($B825="6236",1+$H825,IF(OR($B825="621",$B825="604",$B825="6063"),$N825*(1-$L825),IF(OR($B825="6411",$B825="6413",$B825="6414",$B825="645"),(1+$J825)*(1+$K825),IF(OR($B825="613",$B825="615",$B825="616",$B825="6226",$B825="625",$B825="626",$B825="6281"),(1+$I825)*(1-$L825)*(1+$M825),IF(OR($B825="6331",$B825="63511",$B825="6333"),(1+$I825)*(1-$L825),IF($B825="6811",1+$I825,1)))))))))</f>
        <v/>
      </c>
      <c r="P825">
        <f>IF($A825="","",IF($E825=1,$F825*$O825,PNL!G825))</f>
        <v/>
      </c>
      <c r="T825">
        <f>IF($A825="","",IF($E825=1,IF(OR($B825="7062",$B825="706",$B825="708"),$P825,IF(AND(LEFT($B825,1)="6",$B825&lt;&gt;"6811"),-$P825,0)),0))</f>
        <v/>
      </c>
    </row>
    <row r="826">
      <c r="A826">
        <f>IF(PNL!A826="","",PNL!A826)</f>
        <v/>
      </c>
      <c r="B826">
        <f>IF(PNL!B826="","",PNL!B826)</f>
        <v/>
      </c>
      <c r="C826">
        <f>IF(PNL!C826="","",PNL!C826)</f>
        <v/>
      </c>
      <c r="D826">
        <f>IF(PNL!D826="","",PNL!D826)</f>
        <v/>
      </c>
      <c r="E826">
        <f>IF($A826="","",IF(AND($C826="2027",OR($D826="V01",$D826="V02",$D826="V03")),1,0))</f>
        <v/>
      </c>
      <c r="F826">
        <f>IF($A826="","",IF($E826=1,SUMIFS(Comptabilité!$F$1:$F$675,Comptabilité!$A$1:$A$675,$A826,Comptabilité!$B$1:$B$675,$B826,Comptabilité!$C$1:$C$675,"2026"),0))</f>
        <v/>
      </c>
      <c r="G826">
        <f>IF($A826="","",IF($D826="V01",Cadrage!$C$22,IF($D826="V02",Cadrage!$D$22,Cadrage!$E$22)))</f>
        <v/>
      </c>
      <c r="H826">
        <f>IF($A826="","",IF($D826="V01",Cadrage!$C$23,IF($D826="V02",Cadrage!$D$23,Cadrage!$E$23)))</f>
        <v/>
      </c>
      <c r="I826">
        <f>IF($A826="","",IF($D826="V01",Cadrage!$C$31,IF($D826="V02",Cadrage!$D$31,Cadrage!$E$31)))</f>
        <v/>
      </c>
      <c r="J826">
        <f>IF($A826="","",IF($D826="V01",Cadrage!$C$32,IF($D826="V02",Cadrage!$D$32,Cadrage!$E$32)))</f>
        <v/>
      </c>
      <c r="K826">
        <f>IF($A826="","",IF($D826="V01",Cadrage!$C$33,IF($D826="V02",Cadrage!$D$33,Cadrage!$E$33)))</f>
        <v/>
      </c>
      <c r="L826">
        <f>IF($A826="","",IF($D826="V01",Cadrage!$C$34,IF($D826="V02",Cadrage!$D$34,Cadrage!$E$34)))</f>
        <v/>
      </c>
      <c r="M826">
        <f>IF($A826="","",IF($D826="V01",Cadrage!$C$35,IF($D826="V02",Cadrage!$D$35,Cadrage!$E$35)))</f>
        <v/>
      </c>
      <c r="N826">
        <f>IF($A826="","",IF($D826="V01",$R$2,IF($D826="V02",$R$3,$R$4)))</f>
        <v/>
      </c>
      <c r="O826">
        <f>IF($A826="","",IF(OR($B826="7062",$B826="706",$B826="708"),$N826,IF($B826="6231",1+$G826,IF($B826="6236",1+$H826,IF(OR($B826="621",$B826="604",$B826="6063"),$N826*(1-$L826),IF(OR($B826="6411",$B826="6413",$B826="6414",$B826="645"),(1+$J826)*(1+$K826),IF(OR($B826="613",$B826="615",$B826="616",$B826="6226",$B826="625",$B826="626",$B826="6281"),(1+$I826)*(1-$L826)*(1+$M826),IF(OR($B826="6331",$B826="63511",$B826="6333"),(1+$I826)*(1-$L826),IF($B826="6811",1+$I826,1)))))))))</f>
        <v/>
      </c>
      <c r="P826">
        <f>IF($A826="","",IF($E826=1,$F826*$O826,PNL!G826))</f>
        <v/>
      </c>
      <c r="T826">
        <f>IF($A826="","",IF($E826=1,IF(OR($B826="7062",$B826="706",$B826="708"),$P826,IF(AND(LEFT($B826,1)="6",$B826&lt;&gt;"6811"),-$P826,0)),0))</f>
        <v/>
      </c>
    </row>
    <row r="827">
      <c r="A827">
        <f>IF(PNL!A827="","",PNL!A827)</f>
        <v/>
      </c>
      <c r="B827">
        <f>IF(PNL!B827="","",PNL!B827)</f>
        <v/>
      </c>
      <c r="C827">
        <f>IF(PNL!C827="","",PNL!C827)</f>
        <v/>
      </c>
      <c r="D827">
        <f>IF(PNL!D827="","",PNL!D827)</f>
        <v/>
      </c>
      <c r="E827">
        <f>IF($A827="","",IF(AND($C827="2027",OR($D827="V01",$D827="V02",$D827="V03")),1,0))</f>
        <v/>
      </c>
      <c r="F827">
        <f>IF($A827="","",IF($E827=1,SUMIFS(Comptabilité!$F$1:$F$675,Comptabilité!$A$1:$A$675,$A827,Comptabilité!$B$1:$B$675,$B827,Comptabilité!$C$1:$C$675,"2026"),0))</f>
        <v/>
      </c>
      <c r="G827">
        <f>IF($A827="","",IF($D827="V01",Cadrage!$C$22,IF($D827="V02",Cadrage!$D$22,Cadrage!$E$22)))</f>
        <v/>
      </c>
      <c r="H827">
        <f>IF($A827="","",IF($D827="V01",Cadrage!$C$23,IF($D827="V02",Cadrage!$D$23,Cadrage!$E$23)))</f>
        <v/>
      </c>
      <c r="I827">
        <f>IF($A827="","",IF($D827="V01",Cadrage!$C$31,IF($D827="V02",Cadrage!$D$31,Cadrage!$E$31)))</f>
        <v/>
      </c>
      <c r="J827">
        <f>IF($A827="","",IF($D827="V01",Cadrage!$C$32,IF($D827="V02",Cadrage!$D$32,Cadrage!$E$32)))</f>
        <v/>
      </c>
      <c r="K827">
        <f>IF($A827="","",IF($D827="V01",Cadrage!$C$33,IF($D827="V02",Cadrage!$D$33,Cadrage!$E$33)))</f>
        <v/>
      </c>
      <c r="L827">
        <f>IF($A827="","",IF($D827="V01",Cadrage!$C$34,IF($D827="V02",Cadrage!$D$34,Cadrage!$E$34)))</f>
        <v/>
      </c>
      <c r="M827">
        <f>IF($A827="","",IF($D827="V01",Cadrage!$C$35,IF($D827="V02",Cadrage!$D$35,Cadrage!$E$35)))</f>
        <v/>
      </c>
      <c r="N827">
        <f>IF($A827="","",IF($D827="V01",$R$2,IF($D827="V02",$R$3,$R$4)))</f>
        <v/>
      </c>
      <c r="O827">
        <f>IF($A827="","",IF(OR($B827="7062",$B827="706",$B827="708"),$N827,IF($B827="6231",1+$G827,IF($B827="6236",1+$H827,IF(OR($B827="621",$B827="604",$B827="6063"),$N827*(1-$L827),IF(OR($B827="6411",$B827="6413",$B827="6414",$B827="645"),(1+$J827)*(1+$K827),IF(OR($B827="613",$B827="615",$B827="616",$B827="6226",$B827="625",$B827="626",$B827="6281"),(1+$I827)*(1-$L827)*(1+$M827),IF(OR($B827="6331",$B827="63511",$B827="6333"),(1+$I827)*(1-$L827),IF($B827="6811",1+$I827,1)))))))))</f>
        <v/>
      </c>
      <c r="P827">
        <f>IF($A827="","",IF($E827=1,$F827*$O827,PNL!G827))</f>
        <v/>
      </c>
      <c r="T827">
        <f>IF($A827="","",IF($E827=1,IF(OR($B827="7062",$B827="706",$B827="708"),$P827,IF(AND(LEFT($B827,1)="6",$B827&lt;&gt;"6811"),-$P827,0)),0))</f>
        <v/>
      </c>
    </row>
    <row r="828">
      <c r="A828">
        <f>IF(PNL!A828="","",PNL!A828)</f>
        <v/>
      </c>
      <c r="B828">
        <f>IF(PNL!B828="","",PNL!B828)</f>
        <v/>
      </c>
      <c r="C828">
        <f>IF(PNL!C828="","",PNL!C828)</f>
        <v/>
      </c>
      <c r="D828">
        <f>IF(PNL!D828="","",PNL!D828)</f>
        <v/>
      </c>
      <c r="E828">
        <f>IF($A828="","",IF(AND($C828="2027",OR($D828="V01",$D828="V02",$D828="V03")),1,0))</f>
        <v/>
      </c>
      <c r="F828">
        <f>IF($A828="","",IF($E828=1,SUMIFS(Comptabilité!$F$1:$F$675,Comptabilité!$A$1:$A$675,$A828,Comptabilité!$B$1:$B$675,$B828,Comptabilité!$C$1:$C$675,"2026"),0))</f>
        <v/>
      </c>
      <c r="G828">
        <f>IF($A828="","",IF($D828="V01",Cadrage!$C$22,IF($D828="V02",Cadrage!$D$22,Cadrage!$E$22)))</f>
        <v/>
      </c>
      <c r="H828">
        <f>IF($A828="","",IF($D828="V01",Cadrage!$C$23,IF($D828="V02",Cadrage!$D$23,Cadrage!$E$23)))</f>
        <v/>
      </c>
      <c r="I828">
        <f>IF($A828="","",IF($D828="V01",Cadrage!$C$31,IF($D828="V02",Cadrage!$D$31,Cadrage!$E$31)))</f>
        <v/>
      </c>
      <c r="J828">
        <f>IF($A828="","",IF($D828="V01",Cadrage!$C$32,IF($D828="V02",Cadrage!$D$32,Cadrage!$E$32)))</f>
        <v/>
      </c>
      <c r="K828">
        <f>IF($A828="","",IF($D828="V01",Cadrage!$C$33,IF($D828="V02",Cadrage!$D$33,Cadrage!$E$33)))</f>
        <v/>
      </c>
      <c r="L828">
        <f>IF($A828="","",IF($D828="V01",Cadrage!$C$34,IF($D828="V02",Cadrage!$D$34,Cadrage!$E$34)))</f>
        <v/>
      </c>
      <c r="M828">
        <f>IF($A828="","",IF($D828="V01",Cadrage!$C$35,IF($D828="V02",Cadrage!$D$35,Cadrage!$E$35)))</f>
        <v/>
      </c>
      <c r="N828">
        <f>IF($A828="","",IF($D828="V01",$R$2,IF($D828="V02",$R$3,$R$4)))</f>
        <v/>
      </c>
      <c r="O828">
        <f>IF($A828="","",IF(OR($B828="7062",$B828="706",$B828="708"),$N828,IF($B828="6231",1+$G828,IF($B828="6236",1+$H828,IF(OR($B828="621",$B828="604",$B828="6063"),$N828*(1-$L828),IF(OR($B828="6411",$B828="6413",$B828="6414",$B828="645"),(1+$J828)*(1+$K828),IF(OR($B828="613",$B828="615",$B828="616",$B828="6226",$B828="625",$B828="626",$B828="6281"),(1+$I828)*(1-$L828)*(1+$M828),IF(OR($B828="6331",$B828="63511",$B828="6333"),(1+$I828)*(1-$L828),IF($B828="6811",1+$I828,1)))))))))</f>
        <v/>
      </c>
      <c r="P828">
        <f>IF($A828="","",IF($E828=1,$F828*$O828,PNL!G828))</f>
        <v/>
      </c>
      <c r="T828">
        <f>IF($A828="","",IF($E828=1,IF(OR($B828="7062",$B828="706",$B828="708"),$P828,IF(AND(LEFT($B828,1)="6",$B828&lt;&gt;"6811"),-$P828,0)),0))</f>
        <v/>
      </c>
    </row>
    <row r="829">
      <c r="A829">
        <f>IF(PNL!A829="","",PNL!A829)</f>
        <v/>
      </c>
      <c r="B829">
        <f>IF(PNL!B829="","",PNL!B829)</f>
        <v/>
      </c>
      <c r="C829">
        <f>IF(PNL!C829="","",PNL!C829)</f>
        <v/>
      </c>
      <c r="D829">
        <f>IF(PNL!D829="","",PNL!D829)</f>
        <v/>
      </c>
      <c r="E829">
        <f>IF($A829="","",IF(AND($C829="2027",OR($D829="V01",$D829="V02",$D829="V03")),1,0))</f>
        <v/>
      </c>
      <c r="F829">
        <f>IF($A829="","",IF($E829=1,SUMIFS(Comptabilité!$F$1:$F$675,Comptabilité!$A$1:$A$675,$A829,Comptabilité!$B$1:$B$675,$B829,Comptabilité!$C$1:$C$675,"2026"),0))</f>
        <v/>
      </c>
      <c r="G829">
        <f>IF($A829="","",IF($D829="V01",Cadrage!$C$22,IF($D829="V02",Cadrage!$D$22,Cadrage!$E$22)))</f>
        <v/>
      </c>
      <c r="H829">
        <f>IF($A829="","",IF($D829="V01",Cadrage!$C$23,IF($D829="V02",Cadrage!$D$23,Cadrage!$E$23)))</f>
        <v/>
      </c>
      <c r="I829">
        <f>IF($A829="","",IF($D829="V01",Cadrage!$C$31,IF($D829="V02",Cadrage!$D$31,Cadrage!$E$31)))</f>
        <v/>
      </c>
      <c r="J829">
        <f>IF($A829="","",IF($D829="V01",Cadrage!$C$32,IF($D829="V02",Cadrage!$D$32,Cadrage!$E$32)))</f>
        <v/>
      </c>
      <c r="K829">
        <f>IF($A829="","",IF($D829="V01",Cadrage!$C$33,IF($D829="V02",Cadrage!$D$33,Cadrage!$E$33)))</f>
        <v/>
      </c>
      <c r="L829">
        <f>IF($A829="","",IF($D829="V01",Cadrage!$C$34,IF($D829="V02",Cadrage!$D$34,Cadrage!$E$34)))</f>
        <v/>
      </c>
      <c r="M829">
        <f>IF($A829="","",IF($D829="V01",Cadrage!$C$35,IF($D829="V02",Cadrage!$D$35,Cadrage!$E$35)))</f>
        <v/>
      </c>
      <c r="N829">
        <f>IF($A829="","",IF($D829="V01",$R$2,IF($D829="V02",$R$3,$R$4)))</f>
        <v/>
      </c>
      <c r="O829">
        <f>IF($A829="","",IF(OR($B829="7062",$B829="706",$B829="708"),$N829,IF($B829="6231",1+$G829,IF($B829="6236",1+$H829,IF(OR($B829="621",$B829="604",$B829="6063"),$N829*(1-$L829),IF(OR($B829="6411",$B829="6413",$B829="6414",$B829="645"),(1+$J829)*(1+$K829),IF(OR($B829="613",$B829="615",$B829="616",$B829="6226",$B829="625",$B829="626",$B829="6281"),(1+$I829)*(1-$L829)*(1+$M829),IF(OR($B829="6331",$B829="63511",$B829="6333"),(1+$I829)*(1-$L829),IF($B829="6811",1+$I829,1)))))))))</f>
        <v/>
      </c>
      <c r="P829">
        <f>IF($A829="","",IF($E829=1,$F829*$O829,PNL!G829))</f>
        <v/>
      </c>
      <c r="T829">
        <f>IF($A829="","",IF($E829=1,IF(OR($B829="7062",$B829="706",$B829="708"),$P829,IF(AND(LEFT($B829,1)="6",$B829&lt;&gt;"6811"),-$P829,0)),0))</f>
        <v/>
      </c>
    </row>
    <row r="830">
      <c r="A830">
        <f>IF(PNL!A830="","",PNL!A830)</f>
        <v/>
      </c>
      <c r="B830">
        <f>IF(PNL!B830="","",PNL!B830)</f>
        <v/>
      </c>
      <c r="C830">
        <f>IF(PNL!C830="","",PNL!C830)</f>
        <v/>
      </c>
      <c r="D830">
        <f>IF(PNL!D830="","",PNL!D830)</f>
        <v/>
      </c>
      <c r="E830">
        <f>IF($A830="","",IF(AND($C830="2027",OR($D830="V01",$D830="V02",$D830="V03")),1,0))</f>
        <v/>
      </c>
      <c r="F830">
        <f>IF($A830="","",IF($E830=1,SUMIFS(Comptabilité!$F$1:$F$675,Comptabilité!$A$1:$A$675,$A830,Comptabilité!$B$1:$B$675,$B830,Comptabilité!$C$1:$C$675,"2026"),0))</f>
        <v/>
      </c>
      <c r="G830">
        <f>IF($A830="","",IF($D830="V01",Cadrage!$C$22,IF($D830="V02",Cadrage!$D$22,Cadrage!$E$22)))</f>
        <v/>
      </c>
      <c r="H830">
        <f>IF($A830="","",IF($D830="V01",Cadrage!$C$23,IF($D830="V02",Cadrage!$D$23,Cadrage!$E$23)))</f>
        <v/>
      </c>
      <c r="I830">
        <f>IF($A830="","",IF($D830="V01",Cadrage!$C$31,IF($D830="V02",Cadrage!$D$31,Cadrage!$E$31)))</f>
        <v/>
      </c>
      <c r="J830">
        <f>IF($A830="","",IF($D830="V01",Cadrage!$C$32,IF($D830="V02",Cadrage!$D$32,Cadrage!$E$32)))</f>
        <v/>
      </c>
      <c r="K830">
        <f>IF($A830="","",IF($D830="V01",Cadrage!$C$33,IF($D830="V02",Cadrage!$D$33,Cadrage!$E$33)))</f>
        <v/>
      </c>
      <c r="L830">
        <f>IF($A830="","",IF($D830="V01",Cadrage!$C$34,IF($D830="V02",Cadrage!$D$34,Cadrage!$E$34)))</f>
        <v/>
      </c>
      <c r="M830">
        <f>IF($A830="","",IF($D830="V01",Cadrage!$C$35,IF($D830="V02",Cadrage!$D$35,Cadrage!$E$35)))</f>
        <v/>
      </c>
      <c r="N830">
        <f>IF($A830="","",IF($D830="V01",$R$2,IF($D830="V02",$R$3,$R$4)))</f>
        <v/>
      </c>
      <c r="O830">
        <f>IF($A830="","",IF(OR($B830="7062",$B830="706",$B830="708"),$N830,IF($B830="6231",1+$G830,IF($B830="6236",1+$H830,IF(OR($B830="621",$B830="604",$B830="6063"),$N830*(1-$L830),IF(OR($B830="6411",$B830="6413",$B830="6414",$B830="645"),(1+$J830)*(1+$K830),IF(OR($B830="613",$B830="615",$B830="616",$B830="6226",$B830="625",$B830="626",$B830="6281"),(1+$I830)*(1-$L830)*(1+$M830),IF(OR($B830="6331",$B830="63511",$B830="6333"),(1+$I830)*(1-$L830),IF($B830="6811",1+$I830,1)))))))))</f>
        <v/>
      </c>
      <c r="P830">
        <f>IF($A830="","",IF($E830=1,$F830*$O830,PNL!G830))</f>
        <v/>
      </c>
      <c r="T830">
        <f>IF($A830="","",IF($E830=1,IF(OR($B830="7062",$B830="706",$B830="708"),$P830,IF(AND(LEFT($B830,1)="6",$B830&lt;&gt;"6811"),-$P830,0)),0))</f>
        <v/>
      </c>
    </row>
    <row r="831">
      <c r="A831">
        <f>IF(PNL!A831="","",PNL!A831)</f>
        <v/>
      </c>
      <c r="B831">
        <f>IF(PNL!B831="","",PNL!B831)</f>
        <v/>
      </c>
      <c r="C831">
        <f>IF(PNL!C831="","",PNL!C831)</f>
        <v/>
      </c>
      <c r="D831">
        <f>IF(PNL!D831="","",PNL!D831)</f>
        <v/>
      </c>
      <c r="E831">
        <f>IF($A831="","",IF(AND($C831="2027",OR($D831="V01",$D831="V02",$D831="V03")),1,0))</f>
        <v/>
      </c>
      <c r="F831">
        <f>IF($A831="","",IF($E831=1,SUMIFS(Comptabilité!$F$1:$F$675,Comptabilité!$A$1:$A$675,$A831,Comptabilité!$B$1:$B$675,$B831,Comptabilité!$C$1:$C$675,"2026"),0))</f>
        <v/>
      </c>
      <c r="G831">
        <f>IF($A831="","",IF($D831="V01",Cadrage!$C$22,IF($D831="V02",Cadrage!$D$22,Cadrage!$E$22)))</f>
        <v/>
      </c>
      <c r="H831">
        <f>IF($A831="","",IF($D831="V01",Cadrage!$C$23,IF($D831="V02",Cadrage!$D$23,Cadrage!$E$23)))</f>
        <v/>
      </c>
      <c r="I831">
        <f>IF($A831="","",IF($D831="V01",Cadrage!$C$31,IF($D831="V02",Cadrage!$D$31,Cadrage!$E$31)))</f>
        <v/>
      </c>
      <c r="J831">
        <f>IF($A831="","",IF($D831="V01",Cadrage!$C$32,IF($D831="V02",Cadrage!$D$32,Cadrage!$E$32)))</f>
        <v/>
      </c>
      <c r="K831">
        <f>IF($A831="","",IF($D831="V01",Cadrage!$C$33,IF($D831="V02",Cadrage!$D$33,Cadrage!$E$33)))</f>
        <v/>
      </c>
      <c r="L831">
        <f>IF($A831="","",IF($D831="V01",Cadrage!$C$34,IF($D831="V02",Cadrage!$D$34,Cadrage!$E$34)))</f>
        <v/>
      </c>
      <c r="M831">
        <f>IF($A831="","",IF($D831="V01",Cadrage!$C$35,IF($D831="V02",Cadrage!$D$35,Cadrage!$E$35)))</f>
        <v/>
      </c>
      <c r="N831">
        <f>IF($A831="","",IF($D831="V01",$R$2,IF($D831="V02",$R$3,$R$4)))</f>
        <v/>
      </c>
      <c r="O831">
        <f>IF($A831="","",IF(OR($B831="7062",$B831="706",$B831="708"),$N831,IF($B831="6231",1+$G831,IF($B831="6236",1+$H831,IF(OR($B831="621",$B831="604",$B831="6063"),$N831*(1-$L831),IF(OR($B831="6411",$B831="6413",$B831="6414",$B831="645"),(1+$J831)*(1+$K831),IF(OR($B831="613",$B831="615",$B831="616",$B831="6226",$B831="625",$B831="626",$B831="6281"),(1+$I831)*(1-$L831)*(1+$M831),IF(OR($B831="6331",$B831="63511",$B831="6333"),(1+$I831)*(1-$L831),IF($B831="6811",1+$I831,1)))))))))</f>
        <v/>
      </c>
      <c r="P831">
        <f>IF($A831="","",IF($E831=1,$F831*$O831,PNL!G831))</f>
        <v/>
      </c>
      <c r="T831">
        <f>IF($A831="","",IF($E831=1,IF(OR($B831="7062",$B831="706",$B831="708"),$P831,IF(AND(LEFT($B831,1)="6",$B831&lt;&gt;"6811"),-$P831,0)),0))</f>
        <v/>
      </c>
    </row>
    <row r="832">
      <c r="A832">
        <f>IF(PNL!A832="","",PNL!A832)</f>
        <v/>
      </c>
      <c r="B832">
        <f>IF(PNL!B832="","",PNL!B832)</f>
        <v/>
      </c>
      <c r="C832">
        <f>IF(PNL!C832="","",PNL!C832)</f>
        <v/>
      </c>
      <c r="D832">
        <f>IF(PNL!D832="","",PNL!D832)</f>
        <v/>
      </c>
      <c r="E832">
        <f>IF($A832="","",IF(AND($C832="2027",OR($D832="V01",$D832="V02",$D832="V03")),1,0))</f>
        <v/>
      </c>
      <c r="F832">
        <f>IF($A832="","",IF($E832=1,SUMIFS(Comptabilité!$F$1:$F$675,Comptabilité!$A$1:$A$675,$A832,Comptabilité!$B$1:$B$675,$B832,Comptabilité!$C$1:$C$675,"2026"),0))</f>
        <v/>
      </c>
      <c r="G832">
        <f>IF($A832="","",IF($D832="V01",Cadrage!$C$22,IF($D832="V02",Cadrage!$D$22,Cadrage!$E$22)))</f>
        <v/>
      </c>
      <c r="H832">
        <f>IF($A832="","",IF($D832="V01",Cadrage!$C$23,IF($D832="V02",Cadrage!$D$23,Cadrage!$E$23)))</f>
        <v/>
      </c>
      <c r="I832">
        <f>IF($A832="","",IF($D832="V01",Cadrage!$C$31,IF($D832="V02",Cadrage!$D$31,Cadrage!$E$31)))</f>
        <v/>
      </c>
      <c r="J832">
        <f>IF($A832="","",IF($D832="V01",Cadrage!$C$32,IF($D832="V02",Cadrage!$D$32,Cadrage!$E$32)))</f>
        <v/>
      </c>
      <c r="K832">
        <f>IF($A832="","",IF($D832="V01",Cadrage!$C$33,IF($D832="V02",Cadrage!$D$33,Cadrage!$E$33)))</f>
        <v/>
      </c>
      <c r="L832">
        <f>IF($A832="","",IF($D832="V01",Cadrage!$C$34,IF($D832="V02",Cadrage!$D$34,Cadrage!$E$34)))</f>
        <v/>
      </c>
      <c r="M832">
        <f>IF($A832="","",IF($D832="V01",Cadrage!$C$35,IF($D832="V02",Cadrage!$D$35,Cadrage!$E$35)))</f>
        <v/>
      </c>
      <c r="N832">
        <f>IF($A832="","",IF($D832="V01",$R$2,IF($D832="V02",$R$3,$R$4)))</f>
        <v/>
      </c>
      <c r="O832">
        <f>IF($A832="","",IF(OR($B832="7062",$B832="706",$B832="708"),$N832,IF($B832="6231",1+$G832,IF($B832="6236",1+$H832,IF(OR($B832="621",$B832="604",$B832="6063"),$N832*(1-$L832),IF(OR($B832="6411",$B832="6413",$B832="6414",$B832="645"),(1+$J832)*(1+$K832),IF(OR($B832="613",$B832="615",$B832="616",$B832="6226",$B832="625",$B832="626",$B832="6281"),(1+$I832)*(1-$L832)*(1+$M832),IF(OR($B832="6331",$B832="63511",$B832="6333"),(1+$I832)*(1-$L832),IF($B832="6811",1+$I832,1)))))))))</f>
        <v/>
      </c>
      <c r="P832">
        <f>IF($A832="","",IF($E832=1,$F832*$O832,PNL!G832))</f>
        <v/>
      </c>
      <c r="T832">
        <f>IF($A832="","",IF($E832=1,IF(OR($B832="7062",$B832="706",$B832="708"),$P832,IF(AND(LEFT($B832,1)="6",$B832&lt;&gt;"6811"),-$P832,0)),0))</f>
        <v/>
      </c>
    </row>
    <row r="833">
      <c r="A833">
        <f>IF(PNL!A833="","",PNL!A833)</f>
        <v/>
      </c>
      <c r="B833">
        <f>IF(PNL!B833="","",PNL!B833)</f>
        <v/>
      </c>
      <c r="C833">
        <f>IF(PNL!C833="","",PNL!C833)</f>
        <v/>
      </c>
      <c r="D833">
        <f>IF(PNL!D833="","",PNL!D833)</f>
        <v/>
      </c>
      <c r="E833">
        <f>IF($A833="","",IF(AND($C833="2027",OR($D833="V01",$D833="V02",$D833="V03")),1,0))</f>
        <v/>
      </c>
      <c r="F833">
        <f>IF($A833="","",IF($E833=1,SUMIFS(Comptabilité!$F$1:$F$675,Comptabilité!$A$1:$A$675,$A833,Comptabilité!$B$1:$B$675,$B833,Comptabilité!$C$1:$C$675,"2026"),0))</f>
        <v/>
      </c>
      <c r="G833">
        <f>IF($A833="","",IF($D833="V01",Cadrage!$C$22,IF($D833="V02",Cadrage!$D$22,Cadrage!$E$22)))</f>
        <v/>
      </c>
      <c r="H833">
        <f>IF($A833="","",IF($D833="V01",Cadrage!$C$23,IF($D833="V02",Cadrage!$D$23,Cadrage!$E$23)))</f>
        <v/>
      </c>
      <c r="I833">
        <f>IF($A833="","",IF($D833="V01",Cadrage!$C$31,IF($D833="V02",Cadrage!$D$31,Cadrage!$E$31)))</f>
        <v/>
      </c>
      <c r="J833">
        <f>IF($A833="","",IF($D833="V01",Cadrage!$C$32,IF($D833="V02",Cadrage!$D$32,Cadrage!$E$32)))</f>
        <v/>
      </c>
      <c r="K833">
        <f>IF($A833="","",IF($D833="V01",Cadrage!$C$33,IF($D833="V02",Cadrage!$D$33,Cadrage!$E$33)))</f>
        <v/>
      </c>
      <c r="L833">
        <f>IF($A833="","",IF($D833="V01",Cadrage!$C$34,IF($D833="V02",Cadrage!$D$34,Cadrage!$E$34)))</f>
        <v/>
      </c>
      <c r="M833">
        <f>IF($A833="","",IF($D833="V01",Cadrage!$C$35,IF($D833="V02",Cadrage!$D$35,Cadrage!$E$35)))</f>
        <v/>
      </c>
      <c r="N833">
        <f>IF($A833="","",IF($D833="V01",$R$2,IF($D833="V02",$R$3,$R$4)))</f>
        <v/>
      </c>
      <c r="O833">
        <f>IF($A833="","",IF(OR($B833="7062",$B833="706",$B833="708"),$N833,IF($B833="6231",1+$G833,IF($B833="6236",1+$H833,IF(OR($B833="621",$B833="604",$B833="6063"),$N833*(1-$L833),IF(OR($B833="6411",$B833="6413",$B833="6414",$B833="645"),(1+$J833)*(1+$K833),IF(OR($B833="613",$B833="615",$B833="616",$B833="6226",$B833="625",$B833="626",$B833="6281"),(1+$I833)*(1-$L833)*(1+$M833),IF(OR($B833="6331",$B833="63511",$B833="6333"),(1+$I833)*(1-$L833),IF($B833="6811",1+$I833,1)))))))))</f>
        <v/>
      </c>
      <c r="P833">
        <f>IF($A833="","",IF($E833=1,$F833*$O833,PNL!G833))</f>
        <v/>
      </c>
      <c r="T833">
        <f>IF($A833="","",IF($E833=1,IF(OR($B833="7062",$B833="706",$B833="708"),$P833,IF(AND(LEFT($B833,1)="6",$B833&lt;&gt;"6811"),-$P833,0)),0))</f>
        <v/>
      </c>
    </row>
    <row r="834">
      <c r="A834">
        <f>IF(PNL!A834="","",PNL!A834)</f>
        <v/>
      </c>
      <c r="B834">
        <f>IF(PNL!B834="","",PNL!B834)</f>
        <v/>
      </c>
      <c r="C834">
        <f>IF(PNL!C834="","",PNL!C834)</f>
        <v/>
      </c>
      <c r="D834">
        <f>IF(PNL!D834="","",PNL!D834)</f>
        <v/>
      </c>
      <c r="E834">
        <f>IF($A834="","",IF(AND($C834="2027",OR($D834="V01",$D834="V02",$D834="V03")),1,0))</f>
        <v/>
      </c>
      <c r="F834">
        <f>IF($A834="","",IF($E834=1,SUMIFS(Comptabilité!$F$1:$F$675,Comptabilité!$A$1:$A$675,$A834,Comptabilité!$B$1:$B$675,$B834,Comptabilité!$C$1:$C$675,"2026"),0))</f>
        <v/>
      </c>
      <c r="G834">
        <f>IF($A834="","",IF($D834="V01",Cadrage!$C$22,IF($D834="V02",Cadrage!$D$22,Cadrage!$E$22)))</f>
        <v/>
      </c>
      <c r="H834">
        <f>IF($A834="","",IF($D834="V01",Cadrage!$C$23,IF($D834="V02",Cadrage!$D$23,Cadrage!$E$23)))</f>
        <v/>
      </c>
      <c r="I834">
        <f>IF($A834="","",IF($D834="V01",Cadrage!$C$31,IF($D834="V02",Cadrage!$D$31,Cadrage!$E$31)))</f>
        <v/>
      </c>
      <c r="J834">
        <f>IF($A834="","",IF($D834="V01",Cadrage!$C$32,IF($D834="V02",Cadrage!$D$32,Cadrage!$E$32)))</f>
        <v/>
      </c>
      <c r="K834">
        <f>IF($A834="","",IF($D834="V01",Cadrage!$C$33,IF($D834="V02",Cadrage!$D$33,Cadrage!$E$33)))</f>
        <v/>
      </c>
      <c r="L834">
        <f>IF($A834="","",IF($D834="V01",Cadrage!$C$34,IF($D834="V02",Cadrage!$D$34,Cadrage!$E$34)))</f>
        <v/>
      </c>
      <c r="M834">
        <f>IF($A834="","",IF($D834="V01",Cadrage!$C$35,IF($D834="V02",Cadrage!$D$35,Cadrage!$E$35)))</f>
        <v/>
      </c>
      <c r="N834">
        <f>IF($A834="","",IF($D834="V01",$R$2,IF($D834="V02",$R$3,$R$4)))</f>
        <v/>
      </c>
      <c r="O834">
        <f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>
        <f>IF($A834="","",IF($E834=1,$F834*$O834,PNL!G834))</f>
        <v/>
      </c>
      <c r="T834">
        <f>IF($A834="","",IF($E834=1,IF(OR($B834="7062",$B834="706",$B834="708"),$P834,IF(AND(LEFT($B834,1)="6",$B834&lt;&gt;"6811"),-$P834,0)),0))</f>
        <v/>
      </c>
    </row>
    <row r="835">
      <c r="A835">
        <f>IF(PNL!A835="","",PNL!A835)</f>
        <v/>
      </c>
      <c r="B835">
        <f>IF(PNL!B835="","",PNL!B835)</f>
        <v/>
      </c>
      <c r="C835">
        <f>IF(PNL!C835="","",PNL!C835)</f>
        <v/>
      </c>
      <c r="D835">
        <f>IF(PNL!D835="","",PNL!D835)</f>
        <v/>
      </c>
      <c r="E835">
        <f>IF($A835="","",IF(AND($C835="2027",OR($D835="V01",$D835="V02",$D835="V03")),1,0))</f>
        <v/>
      </c>
      <c r="F835">
        <f>IF($A835="","",IF($E835=1,SUMIFS(Comptabilité!$F$1:$F$675,Comptabilité!$A$1:$A$675,$A835,Comptabilité!$B$1:$B$675,$B835,Comptabilité!$C$1:$C$675,"2026"),0))</f>
        <v/>
      </c>
      <c r="G835">
        <f>IF($A835="","",IF($D835="V01",Cadrage!$C$22,IF($D835="V02",Cadrage!$D$22,Cadrage!$E$22)))</f>
        <v/>
      </c>
      <c r="H835">
        <f>IF($A835="","",IF($D835="V01",Cadrage!$C$23,IF($D835="V02",Cadrage!$D$23,Cadrage!$E$23)))</f>
        <v/>
      </c>
      <c r="I835">
        <f>IF($A835="","",IF($D835="V01",Cadrage!$C$31,IF($D835="V02",Cadrage!$D$31,Cadrage!$E$31)))</f>
        <v/>
      </c>
      <c r="J835">
        <f>IF($A835="","",IF($D835="V01",Cadrage!$C$32,IF($D835="V02",Cadrage!$D$32,Cadrage!$E$32)))</f>
        <v/>
      </c>
      <c r="K835">
        <f>IF($A835="","",IF($D835="V01",Cadrage!$C$33,IF($D835="V02",Cadrage!$D$33,Cadrage!$E$33)))</f>
        <v/>
      </c>
      <c r="L835">
        <f>IF($A835="","",IF($D835="V01",Cadrage!$C$34,IF($D835="V02",Cadrage!$D$34,Cadrage!$E$34)))</f>
        <v/>
      </c>
      <c r="M835">
        <f>IF($A835="","",IF($D835="V01",Cadrage!$C$35,IF($D835="V02",Cadrage!$D$35,Cadrage!$E$35)))</f>
        <v/>
      </c>
      <c r="N835">
        <f>IF($A835="","",IF($D835="V01",$R$2,IF($D835="V02",$R$3,$R$4)))</f>
        <v/>
      </c>
      <c r="O835">
        <f>IF($A835="","",IF(OR($B835="7062",$B835="706",$B835="708"),$N835,IF($B835="6231",1+$G835,IF($B835="6236",1+$H835,IF(OR($B835="621",$B835="604",$B835="6063"),$N835*(1-$L835),IF(OR($B835="6411",$B835="6413",$B835="6414",$B835="645"),(1+$J835)*(1+$K835),IF(OR($B835="613",$B835="615",$B835="616",$B835="6226",$B835="625",$B835="626",$B835="6281"),(1+$I835)*(1-$L835)*(1+$M835),IF(OR($B835="6331",$B835="63511",$B835="6333"),(1+$I835)*(1-$L835),IF($B835="6811",1+$I835,1)))))))))</f>
        <v/>
      </c>
      <c r="P835">
        <f>IF($A835="","",IF($E835=1,$F835*$O835,PNL!G835))</f>
        <v/>
      </c>
      <c r="T835">
        <f>IF($A835="","",IF($E835=1,IF(OR($B835="7062",$B835="706",$B835="708"),$P835,IF(AND(LEFT($B835,1)="6",$B835&lt;&gt;"6811"),-$P835,0)),0))</f>
        <v/>
      </c>
    </row>
    <row r="836">
      <c r="A836">
        <f>IF(PNL!A836="","",PNL!A836)</f>
        <v/>
      </c>
      <c r="B836">
        <f>IF(PNL!B836="","",PNL!B836)</f>
        <v/>
      </c>
      <c r="C836">
        <f>IF(PNL!C836="","",PNL!C836)</f>
        <v/>
      </c>
      <c r="D836">
        <f>IF(PNL!D836="","",PNL!D836)</f>
        <v/>
      </c>
      <c r="E836">
        <f>IF($A836="","",IF(AND($C836="2027",OR($D836="V01",$D836="V02",$D836="V03")),1,0))</f>
        <v/>
      </c>
      <c r="F836">
        <f>IF($A836="","",IF($E836=1,SUMIFS(Comptabilité!$F$1:$F$675,Comptabilité!$A$1:$A$675,$A836,Comptabilité!$B$1:$B$675,$B836,Comptabilité!$C$1:$C$675,"2026"),0))</f>
        <v/>
      </c>
      <c r="G836">
        <f>IF($A836="","",IF($D836="V01",Cadrage!$C$22,IF($D836="V02",Cadrage!$D$22,Cadrage!$E$22)))</f>
        <v/>
      </c>
      <c r="H836">
        <f>IF($A836="","",IF($D836="V01",Cadrage!$C$23,IF($D836="V02",Cadrage!$D$23,Cadrage!$E$23)))</f>
        <v/>
      </c>
      <c r="I836">
        <f>IF($A836="","",IF($D836="V01",Cadrage!$C$31,IF($D836="V02",Cadrage!$D$31,Cadrage!$E$31)))</f>
        <v/>
      </c>
      <c r="J836">
        <f>IF($A836="","",IF($D836="V01",Cadrage!$C$32,IF($D836="V02",Cadrage!$D$32,Cadrage!$E$32)))</f>
        <v/>
      </c>
      <c r="K836">
        <f>IF($A836="","",IF($D836="V01",Cadrage!$C$33,IF($D836="V02",Cadrage!$D$33,Cadrage!$E$33)))</f>
        <v/>
      </c>
      <c r="L836">
        <f>IF($A836="","",IF($D836="V01",Cadrage!$C$34,IF($D836="V02",Cadrage!$D$34,Cadrage!$E$34)))</f>
        <v/>
      </c>
      <c r="M836">
        <f>IF($A836="","",IF($D836="V01",Cadrage!$C$35,IF($D836="V02",Cadrage!$D$35,Cadrage!$E$35)))</f>
        <v/>
      </c>
      <c r="N836">
        <f>IF($A836="","",IF($D836="V01",$R$2,IF($D836="V02",$R$3,$R$4)))</f>
        <v/>
      </c>
      <c r="O836">
        <f>IF($A836="","",IF(OR($B836="7062",$B836="706",$B836="708"),$N836,IF($B836="6231",1+$G836,IF($B836="6236",1+$H836,IF(OR($B836="621",$B836="604",$B836="6063"),$N836*(1-$L836),IF(OR($B836="6411",$B836="6413",$B836="6414",$B836="645"),(1+$J836)*(1+$K836),IF(OR($B836="613",$B836="615",$B836="616",$B836="6226",$B836="625",$B836="626",$B836="6281"),(1+$I836)*(1-$L836)*(1+$M836),IF(OR($B836="6331",$B836="63511",$B836="6333"),(1+$I836)*(1-$L836),IF($B836="6811",1+$I836,1)))))))))</f>
        <v/>
      </c>
      <c r="P836">
        <f>IF($A836="","",IF($E836=1,$F836*$O836,PNL!G836))</f>
        <v/>
      </c>
      <c r="T836">
        <f>IF($A836="","",IF($E836=1,IF(OR($B836="7062",$B836="706",$B836="708"),$P836,IF(AND(LEFT($B836,1)="6",$B836&lt;&gt;"6811"),-$P836,0)),0))</f>
        <v/>
      </c>
    </row>
    <row r="837">
      <c r="A837">
        <f>IF(PNL!A837="","",PNL!A837)</f>
        <v/>
      </c>
      <c r="B837">
        <f>IF(PNL!B837="","",PNL!B837)</f>
        <v/>
      </c>
      <c r="C837">
        <f>IF(PNL!C837="","",PNL!C837)</f>
        <v/>
      </c>
      <c r="D837">
        <f>IF(PNL!D837="","",PNL!D837)</f>
        <v/>
      </c>
      <c r="E837">
        <f>IF($A837="","",IF(AND($C837="2027",OR($D837="V01",$D837="V02",$D837="V03")),1,0))</f>
        <v/>
      </c>
      <c r="F837">
        <f>IF($A837="","",IF($E837=1,SUMIFS(Comptabilité!$F$1:$F$675,Comptabilité!$A$1:$A$675,$A837,Comptabilité!$B$1:$B$675,$B837,Comptabilité!$C$1:$C$675,"2026"),0))</f>
        <v/>
      </c>
      <c r="G837">
        <f>IF($A837="","",IF($D837="V01",Cadrage!$C$22,IF($D837="V02",Cadrage!$D$22,Cadrage!$E$22)))</f>
        <v/>
      </c>
      <c r="H837">
        <f>IF($A837="","",IF($D837="V01",Cadrage!$C$23,IF($D837="V02",Cadrage!$D$23,Cadrage!$E$23)))</f>
        <v/>
      </c>
      <c r="I837">
        <f>IF($A837="","",IF($D837="V01",Cadrage!$C$31,IF($D837="V02",Cadrage!$D$31,Cadrage!$E$31)))</f>
        <v/>
      </c>
      <c r="J837">
        <f>IF($A837="","",IF($D837="V01",Cadrage!$C$32,IF($D837="V02",Cadrage!$D$32,Cadrage!$E$32)))</f>
        <v/>
      </c>
      <c r="K837">
        <f>IF($A837="","",IF($D837="V01",Cadrage!$C$33,IF($D837="V02",Cadrage!$D$33,Cadrage!$E$33)))</f>
        <v/>
      </c>
      <c r="L837">
        <f>IF($A837="","",IF($D837="V01",Cadrage!$C$34,IF($D837="V02",Cadrage!$D$34,Cadrage!$E$34)))</f>
        <v/>
      </c>
      <c r="M837">
        <f>IF($A837="","",IF($D837="V01",Cadrage!$C$35,IF($D837="V02",Cadrage!$D$35,Cadrage!$E$35)))</f>
        <v/>
      </c>
      <c r="N837">
        <f>IF($A837="","",IF($D837="V01",$R$2,IF($D837="V02",$R$3,$R$4)))</f>
        <v/>
      </c>
      <c r="O837">
        <f>IF($A837="","",IF(OR($B837="7062",$B837="706",$B837="708"),$N837,IF($B837="6231",1+$G837,IF($B837="6236",1+$H837,IF(OR($B837="621",$B837="604",$B837="6063"),$N837*(1-$L837),IF(OR($B837="6411",$B837="6413",$B837="6414",$B837="645"),(1+$J837)*(1+$K837),IF(OR($B837="613",$B837="615",$B837="616",$B837="6226",$B837="625",$B837="626",$B837="6281"),(1+$I837)*(1-$L837)*(1+$M837),IF(OR($B837="6331",$B837="63511",$B837="6333"),(1+$I837)*(1-$L837),IF($B837="6811",1+$I837,1)))))))))</f>
        <v/>
      </c>
      <c r="P837">
        <f>IF($A837="","",IF($E837=1,$F837*$O837,PNL!G837))</f>
        <v/>
      </c>
      <c r="T837">
        <f>IF($A837="","",IF($E837=1,IF(OR($B837="7062",$B837="706",$B837="708"),$P837,IF(AND(LEFT($B837,1)="6",$B837&lt;&gt;"6811"),-$P837,0)),0))</f>
        <v/>
      </c>
    </row>
    <row r="838">
      <c r="A838">
        <f>IF(PNL!A838="","",PNL!A838)</f>
        <v/>
      </c>
      <c r="B838">
        <f>IF(PNL!B838="","",PNL!B838)</f>
        <v/>
      </c>
      <c r="C838">
        <f>IF(PNL!C838="","",PNL!C838)</f>
        <v/>
      </c>
      <c r="D838">
        <f>IF(PNL!D838="","",PNL!D838)</f>
        <v/>
      </c>
      <c r="E838">
        <f>IF($A838="","",IF(AND($C838="2027",OR($D838="V01",$D838="V02",$D838="V03")),1,0))</f>
        <v/>
      </c>
      <c r="F838">
        <f>IF($A838="","",IF($E838=1,SUMIFS(Comptabilité!$F$1:$F$675,Comptabilité!$A$1:$A$675,$A838,Comptabilité!$B$1:$B$675,$B838,Comptabilité!$C$1:$C$675,"2026"),0))</f>
        <v/>
      </c>
      <c r="G838">
        <f>IF($A838="","",IF($D838="V01",Cadrage!$C$22,IF($D838="V02",Cadrage!$D$22,Cadrage!$E$22)))</f>
        <v/>
      </c>
      <c r="H838">
        <f>IF($A838="","",IF($D838="V01",Cadrage!$C$23,IF($D838="V02",Cadrage!$D$23,Cadrage!$E$23)))</f>
        <v/>
      </c>
      <c r="I838">
        <f>IF($A838="","",IF($D838="V01",Cadrage!$C$31,IF($D838="V02",Cadrage!$D$31,Cadrage!$E$31)))</f>
        <v/>
      </c>
      <c r="J838">
        <f>IF($A838="","",IF($D838="V01",Cadrage!$C$32,IF($D838="V02",Cadrage!$D$32,Cadrage!$E$32)))</f>
        <v/>
      </c>
      <c r="K838">
        <f>IF($A838="","",IF($D838="V01",Cadrage!$C$33,IF($D838="V02",Cadrage!$D$33,Cadrage!$E$33)))</f>
        <v/>
      </c>
      <c r="L838">
        <f>IF($A838="","",IF($D838="V01",Cadrage!$C$34,IF($D838="V02",Cadrage!$D$34,Cadrage!$E$34)))</f>
        <v/>
      </c>
      <c r="M838">
        <f>IF($A838="","",IF($D838="V01",Cadrage!$C$35,IF($D838="V02",Cadrage!$D$35,Cadrage!$E$35)))</f>
        <v/>
      </c>
      <c r="N838">
        <f>IF($A838="","",IF($D838="V01",$R$2,IF($D838="V02",$R$3,$R$4)))</f>
        <v/>
      </c>
      <c r="O838">
        <f>IF($A838="","",IF(OR($B838="7062",$B838="706",$B838="708"),$N838,IF($B838="6231",1+$G838,IF($B838="6236",1+$H838,IF(OR($B838="621",$B838="604",$B838="6063"),$N838*(1-$L838),IF(OR($B838="6411",$B838="6413",$B838="6414",$B838="645"),(1+$J838)*(1+$K838),IF(OR($B838="613",$B838="615",$B838="616",$B838="6226",$B838="625",$B838="626",$B838="6281"),(1+$I838)*(1-$L838)*(1+$M838),IF(OR($B838="6331",$B838="63511",$B838="6333"),(1+$I838)*(1-$L838),IF($B838="6811",1+$I838,1)))))))))</f>
        <v/>
      </c>
      <c r="P838">
        <f>IF($A838="","",IF($E838=1,$F838*$O838,PNL!G838))</f>
        <v/>
      </c>
      <c r="T838">
        <f>IF($A838="","",IF($E838=1,IF(OR($B838="7062",$B838="706",$B838="708"),$P838,IF(AND(LEFT($B838,1)="6",$B838&lt;&gt;"6811"),-$P838,0)),0))</f>
        <v/>
      </c>
    </row>
    <row r="839">
      <c r="A839">
        <f>IF(PNL!A839="","",PNL!A839)</f>
        <v/>
      </c>
      <c r="B839">
        <f>IF(PNL!B839="","",PNL!B839)</f>
        <v/>
      </c>
      <c r="C839">
        <f>IF(PNL!C839="","",PNL!C839)</f>
        <v/>
      </c>
      <c r="D839">
        <f>IF(PNL!D839="","",PNL!D839)</f>
        <v/>
      </c>
      <c r="E839">
        <f>IF($A839="","",IF(AND($C839="2027",OR($D839="V01",$D839="V02",$D839="V03")),1,0))</f>
        <v/>
      </c>
      <c r="F839">
        <f>IF($A839="","",IF($E839=1,SUMIFS(Comptabilité!$F$1:$F$675,Comptabilité!$A$1:$A$675,$A839,Comptabilité!$B$1:$B$675,$B839,Comptabilité!$C$1:$C$675,"2026"),0))</f>
        <v/>
      </c>
      <c r="G839">
        <f>IF($A839="","",IF($D839="V01",Cadrage!$C$22,IF($D839="V02",Cadrage!$D$22,Cadrage!$E$22)))</f>
        <v/>
      </c>
      <c r="H839">
        <f>IF($A839="","",IF($D839="V01",Cadrage!$C$23,IF($D839="V02",Cadrage!$D$23,Cadrage!$E$23)))</f>
        <v/>
      </c>
      <c r="I839">
        <f>IF($A839="","",IF($D839="V01",Cadrage!$C$31,IF($D839="V02",Cadrage!$D$31,Cadrage!$E$31)))</f>
        <v/>
      </c>
      <c r="J839">
        <f>IF($A839="","",IF($D839="V01",Cadrage!$C$32,IF($D839="V02",Cadrage!$D$32,Cadrage!$E$32)))</f>
        <v/>
      </c>
      <c r="K839">
        <f>IF($A839="","",IF($D839="V01",Cadrage!$C$33,IF($D839="V02",Cadrage!$D$33,Cadrage!$E$33)))</f>
        <v/>
      </c>
      <c r="L839">
        <f>IF($A839="","",IF($D839="V01",Cadrage!$C$34,IF($D839="V02",Cadrage!$D$34,Cadrage!$E$34)))</f>
        <v/>
      </c>
      <c r="M839">
        <f>IF($A839="","",IF($D839="V01",Cadrage!$C$35,IF($D839="V02",Cadrage!$D$35,Cadrage!$E$35)))</f>
        <v/>
      </c>
      <c r="N839">
        <f>IF($A839="","",IF($D839="V01",$R$2,IF($D839="V02",$R$3,$R$4)))</f>
        <v/>
      </c>
      <c r="O839">
        <f>IF($A839="","",IF(OR($B839="7062",$B839="706",$B839="708"),$N839,IF($B839="6231",1+$G839,IF($B839="6236",1+$H839,IF(OR($B839="621",$B839="604",$B839="6063"),$N839*(1-$L839),IF(OR($B839="6411",$B839="6413",$B839="6414",$B839="645"),(1+$J839)*(1+$K839),IF(OR($B839="613",$B839="615",$B839="616",$B839="6226",$B839="625",$B839="626",$B839="6281"),(1+$I839)*(1-$L839)*(1+$M839),IF(OR($B839="6331",$B839="63511",$B839="6333"),(1+$I839)*(1-$L839),IF($B839="6811",1+$I839,1)))))))))</f>
        <v/>
      </c>
      <c r="P839">
        <f>IF($A839="","",IF($E839=1,$F839*$O839,PNL!G839))</f>
        <v/>
      </c>
      <c r="T839">
        <f>IF($A839="","",IF($E839=1,IF(OR($B839="7062",$B839="706",$B839="708"),$P839,IF(AND(LEFT($B839,1)="6",$B839&lt;&gt;"6811"),-$P839,0)),0))</f>
        <v/>
      </c>
    </row>
    <row r="840">
      <c r="A840">
        <f>IF(PNL!A840="","",PNL!A840)</f>
        <v/>
      </c>
      <c r="B840">
        <f>IF(PNL!B840="","",PNL!B840)</f>
        <v/>
      </c>
      <c r="C840">
        <f>IF(PNL!C840="","",PNL!C840)</f>
        <v/>
      </c>
      <c r="D840">
        <f>IF(PNL!D840="","",PNL!D840)</f>
        <v/>
      </c>
      <c r="E840">
        <f>IF($A840="","",IF(AND($C840="2027",OR($D840="V01",$D840="V02",$D840="V03")),1,0))</f>
        <v/>
      </c>
      <c r="F840">
        <f>IF($A840="","",IF($E840=1,SUMIFS(Comptabilité!$F$1:$F$675,Comptabilité!$A$1:$A$675,$A840,Comptabilité!$B$1:$B$675,$B840,Comptabilité!$C$1:$C$675,"2026"),0))</f>
        <v/>
      </c>
      <c r="G840">
        <f>IF($A840="","",IF($D840="V01",Cadrage!$C$22,IF($D840="V02",Cadrage!$D$22,Cadrage!$E$22)))</f>
        <v/>
      </c>
      <c r="H840">
        <f>IF($A840="","",IF($D840="V01",Cadrage!$C$23,IF($D840="V02",Cadrage!$D$23,Cadrage!$E$23)))</f>
        <v/>
      </c>
      <c r="I840">
        <f>IF($A840="","",IF($D840="V01",Cadrage!$C$31,IF($D840="V02",Cadrage!$D$31,Cadrage!$E$31)))</f>
        <v/>
      </c>
      <c r="J840">
        <f>IF($A840="","",IF($D840="V01",Cadrage!$C$32,IF($D840="V02",Cadrage!$D$32,Cadrage!$E$32)))</f>
        <v/>
      </c>
      <c r="K840">
        <f>IF($A840="","",IF($D840="V01",Cadrage!$C$33,IF($D840="V02",Cadrage!$D$33,Cadrage!$E$33)))</f>
        <v/>
      </c>
      <c r="L840">
        <f>IF($A840="","",IF($D840="V01",Cadrage!$C$34,IF($D840="V02",Cadrage!$D$34,Cadrage!$E$34)))</f>
        <v/>
      </c>
      <c r="M840">
        <f>IF($A840="","",IF($D840="V01",Cadrage!$C$35,IF($D840="V02",Cadrage!$D$35,Cadrage!$E$35)))</f>
        <v/>
      </c>
      <c r="N840">
        <f>IF($A840="","",IF($D840="V01",$R$2,IF($D840="V02",$R$3,$R$4)))</f>
        <v/>
      </c>
      <c r="O840">
        <f>IF($A840="","",IF(OR($B840="7062",$B840="706",$B840="708"),$N840,IF($B840="6231",1+$G840,IF($B840="6236",1+$H840,IF(OR($B840="621",$B840="604",$B840="6063"),$N840*(1-$L840),IF(OR($B840="6411",$B840="6413",$B840="6414",$B840="645"),(1+$J840)*(1+$K840),IF(OR($B840="613",$B840="615",$B840="616",$B840="6226",$B840="625",$B840="626",$B840="6281"),(1+$I840)*(1-$L840)*(1+$M840),IF(OR($B840="6331",$B840="63511",$B840="6333"),(1+$I840)*(1-$L840),IF($B840="6811",1+$I840,1)))))))))</f>
        <v/>
      </c>
      <c r="P840">
        <f>IF($A840="","",IF($E840=1,$F840*$O840,PNL!G840))</f>
        <v/>
      </c>
      <c r="T840">
        <f>IF($A840="","",IF($E840=1,IF(OR($B840="7062",$B840="706",$B840="708"),$P840,IF(AND(LEFT($B840,1)="6",$B840&lt;&gt;"6811"),-$P840,0)),0))</f>
        <v/>
      </c>
    </row>
    <row r="841">
      <c r="A841">
        <f>IF(PNL!A841="","",PNL!A841)</f>
        <v/>
      </c>
      <c r="B841">
        <f>IF(PNL!B841="","",PNL!B841)</f>
        <v/>
      </c>
      <c r="C841">
        <f>IF(PNL!C841="","",PNL!C841)</f>
        <v/>
      </c>
      <c r="D841">
        <f>IF(PNL!D841="","",PNL!D841)</f>
        <v/>
      </c>
      <c r="E841">
        <f>IF($A841="","",IF(AND($C841="2027",OR($D841="V01",$D841="V02",$D841="V03")),1,0))</f>
        <v/>
      </c>
      <c r="F841">
        <f>IF($A841="","",IF($E841=1,SUMIFS(Comptabilité!$F$1:$F$675,Comptabilité!$A$1:$A$675,$A841,Comptabilité!$B$1:$B$675,$B841,Comptabilité!$C$1:$C$675,"2026"),0))</f>
        <v/>
      </c>
      <c r="G841">
        <f>IF($A841="","",IF($D841="V01",Cadrage!$C$22,IF($D841="V02",Cadrage!$D$22,Cadrage!$E$22)))</f>
        <v/>
      </c>
      <c r="H841">
        <f>IF($A841="","",IF($D841="V01",Cadrage!$C$23,IF($D841="V02",Cadrage!$D$23,Cadrage!$E$23)))</f>
        <v/>
      </c>
      <c r="I841">
        <f>IF($A841="","",IF($D841="V01",Cadrage!$C$31,IF($D841="V02",Cadrage!$D$31,Cadrage!$E$31)))</f>
        <v/>
      </c>
      <c r="J841">
        <f>IF($A841="","",IF($D841="V01",Cadrage!$C$32,IF($D841="V02",Cadrage!$D$32,Cadrage!$E$32)))</f>
        <v/>
      </c>
      <c r="K841">
        <f>IF($A841="","",IF($D841="V01",Cadrage!$C$33,IF($D841="V02",Cadrage!$D$33,Cadrage!$E$33)))</f>
        <v/>
      </c>
      <c r="L841">
        <f>IF($A841="","",IF($D841="V01",Cadrage!$C$34,IF($D841="V02",Cadrage!$D$34,Cadrage!$E$34)))</f>
        <v/>
      </c>
      <c r="M841">
        <f>IF($A841="","",IF($D841="V01",Cadrage!$C$35,IF($D841="V02",Cadrage!$D$35,Cadrage!$E$35)))</f>
        <v/>
      </c>
      <c r="N841">
        <f>IF($A841="","",IF($D841="V01",$R$2,IF($D841="V02",$R$3,$R$4)))</f>
        <v/>
      </c>
      <c r="O841">
        <f>IF($A841="","",IF(OR($B841="7062",$B841="706",$B841="708"),$N841,IF($B841="6231",1+$G841,IF($B841="6236",1+$H841,IF(OR($B841="621",$B841="604",$B841="6063"),$N841*(1-$L841),IF(OR($B841="6411",$B841="6413",$B841="6414",$B841="645"),(1+$J841)*(1+$K841),IF(OR($B841="613",$B841="615",$B841="616",$B841="6226",$B841="625",$B841="626",$B841="6281"),(1+$I841)*(1-$L841)*(1+$M841),IF(OR($B841="6331",$B841="63511",$B841="6333"),(1+$I841)*(1-$L841),IF($B841="6811",1+$I841,1)))))))))</f>
        <v/>
      </c>
      <c r="P841">
        <f>IF($A841="","",IF($E841=1,$F841*$O841,PNL!G841))</f>
        <v/>
      </c>
      <c r="T841">
        <f>IF($A841="","",IF($E841=1,IF(OR($B841="7062",$B841="706",$B841="708"),$P841,IF(AND(LEFT($B841,1)="6",$B841&lt;&gt;"6811"),-$P841,0)),0))</f>
        <v/>
      </c>
    </row>
    <row r="842">
      <c r="A842">
        <f>IF(PNL!A842="","",PNL!A842)</f>
        <v/>
      </c>
      <c r="B842">
        <f>IF(PNL!B842="","",PNL!B842)</f>
        <v/>
      </c>
      <c r="C842">
        <f>IF(PNL!C842="","",PNL!C842)</f>
        <v/>
      </c>
      <c r="D842">
        <f>IF(PNL!D842="","",PNL!D842)</f>
        <v/>
      </c>
      <c r="E842">
        <f>IF($A842="","",IF(AND($C842="2027",OR($D842="V01",$D842="V02",$D842="V03")),1,0))</f>
        <v/>
      </c>
      <c r="F842">
        <f>IF($A842="","",IF($E842=1,SUMIFS(Comptabilité!$F$1:$F$675,Comptabilité!$A$1:$A$675,$A842,Comptabilité!$B$1:$B$675,$B842,Comptabilité!$C$1:$C$675,"2026"),0))</f>
        <v/>
      </c>
      <c r="G842">
        <f>IF($A842="","",IF($D842="V01",Cadrage!$C$22,IF($D842="V02",Cadrage!$D$22,Cadrage!$E$22)))</f>
        <v/>
      </c>
      <c r="H842">
        <f>IF($A842="","",IF($D842="V01",Cadrage!$C$23,IF($D842="V02",Cadrage!$D$23,Cadrage!$E$23)))</f>
        <v/>
      </c>
      <c r="I842">
        <f>IF($A842="","",IF($D842="V01",Cadrage!$C$31,IF($D842="V02",Cadrage!$D$31,Cadrage!$E$31)))</f>
        <v/>
      </c>
      <c r="J842">
        <f>IF($A842="","",IF($D842="V01",Cadrage!$C$32,IF($D842="V02",Cadrage!$D$32,Cadrage!$E$32)))</f>
        <v/>
      </c>
      <c r="K842">
        <f>IF($A842="","",IF($D842="V01",Cadrage!$C$33,IF($D842="V02",Cadrage!$D$33,Cadrage!$E$33)))</f>
        <v/>
      </c>
      <c r="L842">
        <f>IF($A842="","",IF($D842="V01",Cadrage!$C$34,IF($D842="V02",Cadrage!$D$34,Cadrage!$E$34)))</f>
        <v/>
      </c>
      <c r="M842">
        <f>IF($A842="","",IF($D842="V01",Cadrage!$C$35,IF($D842="V02",Cadrage!$D$35,Cadrage!$E$35)))</f>
        <v/>
      </c>
      <c r="N842">
        <f>IF($A842="","",IF($D842="V01",$R$2,IF($D842="V02",$R$3,$R$4)))</f>
        <v/>
      </c>
      <c r="O842">
        <f>IF($A842="","",IF(OR($B842="7062",$B842="706",$B842="708"),$N842,IF($B842="6231",1+$G842,IF($B842="6236",1+$H842,IF(OR($B842="621",$B842="604",$B842="6063"),$N842*(1-$L842),IF(OR($B842="6411",$B842="6413",$B842="6414",$B842="645"),(1+$J842)*(1+$K842),IF(OR($B842="613",$B842="615",$B842="616",$B842="6226",$B842="625",$B842="626",$B842="6281"),(1+$I842)*(1-$L842)*(1+$M842),IF(OR($B842="6331",$B842="63511",$B842="6333"),(1+$I842)*(1-$L842),IF($B842="6811",1+$I842,1)))))))))</f>
        <v/>
      </c>
      <c r="P842">
        <f>IF($A842="","",IF($E842=1,$F842*$O842,PNL!G842))</f>
        <v/>
      </c>
      <c r="T842">
        <f>IF($A842="","",IF($E842=1,IF(OR($B842="7062",$B842="706",$B842="708"),$P842,IF(AND(LEFT($B842,1)="6",$B842&lt;&gt;"6811"),-$P842,0)),0))</f>
        <v/>
      </c>
    </row>
    <row r="843">
      <c r="A843">
        <f>IF(PNL!A843="","",PNL!A843)</f>
        <v/>
      </c>
      <c r="B843">
        <f>IF(PNL!B843="","",PNL!B843)</f>
        <v/>
      </c>
      <c r="C843">
        <f>IF(PNL!C843="","",PNL!C843)</f>
        <v/>
      </c>
      <c r="D843">
        <f>IF(PNL!D843="","",PNL!D843)</f>
        <v/>
      </c>
      <c r="E843">
        <f>IF($A843="","",IF(AND($C843="2027",OR($D843="V01",$D843="V02",$D843="V03")),1,0))</f>
        <v/>
      </c>
      <c r="F843">
        <f>IF($A843="","",IF($E843=1,SUMIFS(Comptabilité!$F$1:$F$675,Comptabilité!$A$1:$A$675,$A843,Comptabilité!$B$1:$B$675,$B843,Comptabilité!$C$1:$C$675,"2026"),0))</f>
        <v/>
      </c>
      <c r="G843">
        <f>IF($A843="","",IF($D843="V01",Cadrage!$C$22,IF($D843="V02",Cadrage!$D$22,Cadrage!$E$22)))</f>
        <v/>
      </c>
      <c r="H843">
        <f>IF($A843="","",IF($D843="V01",Cadrage!$C$23,IF($D843="V02",Cadrage!$D$23,Cadrage!$E$23)))</f>
        <v/>
      </c>
      <c r="I843">
        <f>IF($A843="","",IF($D843="V01",Cadrage!$C$31,IF($D843="V02",Cadrage!$D$31,Cadrage!$E$31)))</f>
        <v/>
      </c>
      <c r="J843">
        <f>IF($A843="","",IF($D843="V01",Cadrage!$C$32,IF($D843="V02",Cadrage!$D$32,Cadrage!$E$32)))</f>
        <v/>
      </c>
      <c r="K843">
        <f>IF($A843="","",IF($D843="V01",Cadrage!$C$33,IF($D843="V02",Cadrage!$D$33,Cadrage!$E$33)))</f>
        <v/>
      </c>
      <c r="L843">
        <f>IF($A843="","",IF($D843="V01",Cadrage!$C$34,IF($D843="V02",Cadrage!$D$34,Cadrage!$E$34)))</f>
        <v/>
      </c>
      <c r="M843">
        <f>IF($A843="","",IF($D843="V01",Cadrage!$C$35,IF($D843="V02",Cadrage!$D$35,Cadrage!$E$35)))</f>
        <v/>
      </c>
      <c r="N843">
        <f>IF($A843="","",IF($D843="V01",$R$2,IF($D843="V02",$R$3,$R$4)))</f>
        <v/>
      </c>
      <c r="O843">
        <f>IF($A843="","",IF(OR($B843="7062",$B843="706",$B843="708"),$N843,IF($B843="6231",1+$G843,IF($B843="6236",1+$H843,IF(OR($B843="621",$B843="604",$B843="6063"),$N843*(1-$L843),IF(OR($B843="6411",$B843="6413",$B843="6414",$B843="645"),(1+$J843)*(1+$K843),IF(OR($B843="613",$B843="615",$B843="616",$B843="6226",$B843="625",$B843="626",$B843="6281"),(1+$I843)*(1-$L843)*(1+$M843),IF(OR($B843="6331",$B843="63511",$B843="6333"),(1+$I843)*(1-$L843),IF($B843="6811",1+$I843,1)))))))))</f>
        <v/>
      </c>
      <c r="P843">
        <f>IF($A843="","",IF($E843=1,$F843*$O843,PNL!G843))</f>
        <v/>
      </c>
      <c r="T843">
        <f>IF($A843="","",IF($E843=1,IF(OR($B843="7062",$B843="706",$B843="708"),$P843,IF(AND(LEFT($B843,1)="6",$B843&lt;&gt;"6811"),-$P843,0)),0))</f>
        <v/>
      </c>
    </row>
    <row r="844">
      <c r="A844">
        <f>IF(PNL!A844="","",PNL!A844)</f>
        <v/>
      </c>
      <c r="B844">
        <f>IF(PNL!B844="","",PNL!B844)</f>
        <v/>
      </c>
      <c r="C844">
        <f>IF(PNL!C844="","",PNL!C844)</f>
        <v/>
      </c>
      <c r="D844">
        <f>IF(PNL!D844="","",PNL!D844)</f>
        <v/>
      </c>
      <c r="E844">
        <f>IF($A844="","",IF(AND($C844="2027",OR($D844="V01",$D844="V02",$D844="V03")),1,0))</f>
        <v/>
      </c>
      <c r="F844">
        <f>IF($A844="","",IF($E844=1,SUMIFS(Comptabilité!$F$1:$F$675,Comptabilité!$A$1:$A$675,$A844,Comptabilité!$B$1:$B$675,$B844,Comptabilité!$C$1:$C$675,"2026"),0))</f>
        <v/>
      </c>
      <c r="G844">
        <f>IF($A844="","",IF($D844="V01",Cadrage!$C$22,IF($D844="V02",Cadrage!$D$22,Cadrage!$E$22)))</f>
        <v/>
      </c>
      <c r="H844">
        <f>IF($A844="","",IF($D844="V01",Cadrage!$C$23,IF($D844="V02",Cadrage!$D$23,Cadrage!$E$23)))</f>
        <v/>
      </c>
      <c r="I844">
        <f>IF($A844="","",IF($D844="V01",Cadrage!$C$31,IF($D844="V02",Cadrage!$D$31,Cadrage!$E$31)))</f>
        <v/>
      </c>
      <c r="J844">
        <f>IF($A844="","",IF($D844="V01",Cadrage!$C$32,IF($D844="V02",Cadrage!$D$32,Cadrage!$E$32)))</f>
        <v/>
      </c>
      <c r="K844">
        <f>IF($A844="","",IF($D844="V01",Cadrage!$C$33,IF($D844="V02",Cadrage!$D$33,Cadrage!$E$33)))</f>
        <v/>
      </c>
      <c r="L844">
        <f>IF($A844="","",IF($D844="V01",Cadrage!$C$34,IF($D844="V02",Cadrage!$D$34,Cadrage!$E$34)))</f>
        <v/>
      </c>
      <c r="M844">
        <f>IF($A844="","",IF($D844="V01",Cadrage!$C$35,IF($D844="V02",Cadrage!$D$35,Cadrage!$E$35)))</f>
        <v/>
      </c>
      <c r="N844">
        <f>IF($A844="","",IF($D844="V01",$R$2,IF($D844="V02",$R$3,$R$4)))</f>
        <v/>
      </c>
      <c r="O844">
        <f>IF($A844="","",IF(OR($B844="7062",$B844="706",$B844="708"),$N844,IF($B844="6231",1+$G844,IF($B844="6236",1+$H844,IF(OR($B844="621",$B844="604",$B844="6063"),$N844*(1-$L844),IF(OR($B844="6411",$B844="6413",$B844="6414",$B844="645"),(1+$J844)*(1+$K844),IF(OR($B844="613",$B844="615",$B844="616",$B844="6226",$B844="625",$B844="626",$B844="6281"),(1+$I844)*(1-$L844)*(1+$M844),IF(OR($B844="6331",$B844="63511",$B844="6333"),(1+$I844)*(1-$L844),IF($B844="6811",1+$I844,1)))))))))</f>
        <v/>
      </c>
      <c r="P844">
        <f>IF($A844="","",IF($E844=1,$F844*$O844,PNL!G844))</f>
        <v/>
      </c>
      <c r="T844">
        <f>IF($A844="","",IF($E844=1,IF(OR($B844="7062",$B844="706",$B844="708"),$P844,IF(AND(LEFT($B844,1)="6",$B844&lt;&gt;"6811"),-$P844,0)),0))</f>
        <v/>
      </c>
    </row>
    <row r="845">
      <c r="A845">
        <f>IF(PNL!A845="","",PNL!A845)</f>
        <v/>
      </c>
      <c r="B845">
        <f>IF(PNL!B845="","",PNL!B845)</f>
        <v/>
      </c>
      <c r="C845">
        <f>IF(PNL!C845="","",PNL!C845)</f>
        <v/>
      </c>
      <c r="D845">
        <f>IF(PNL!D845="","",PNL!D845)</f>
        <v/>
      </c>
      <c r="E845">
        <f>IF($A845="","",IF(AND($C845="2027",OR($D845="V01",$D845="V02",$D845="V03")),1,0))</f>
        <v/>
      </c>
      <c r="F845">
        <f>IF($A845="","",IF($E845=1,SUMIFS(Comptabilité!$F$1:$F$675,Comptabilité!$A$1:$A$675,$A845,Comptabilité!$B$1:$B$675,$B845,Comptabilité!$C$1:$C$675,"2026"),0))</f>
        <v/>
      </c>
      <c r="G845">
        <f>IF($A845="","",IF($D845="V01",Cadrage!$C$22,IF($D845="V02",Cadrage!$D$22,Cadrage!$E$22)))</f>
        <v/>
      </c>
      <c r="H845">
        <f>IF($A845="","",IF($D845="V01",Cadrage!$C$23,IF($D845="V02",Cadrage!$D$23,Cadrage!$E$23)))</f>
        <v/>
      </c>
      <c r="I845">
        <f>IF($A845="","",IF($D845="V01",Cadrage!$C$31,IF($D845="V02",Cadrage!$D$31,Cadrage!$E$31)))</f>
        <v/>
      </c>
      <c r="J845">
        <f>IF($A845="","",IF($D845="V01",Cadrage!$C$32,IF($D845="V02",Cadrage!$D$32,Cadrage!$E$32)))</f>
        <v/>
      </c>
      <c r="K845">
        <f>IF($A845="","",IF($D845="V01",Cadrage!$C$33,IF($D845="V02",Cadrage!$D$33,Cadrage!$E$33)))</f>
        <v/>
      </c>
      <c r="L845">
        <f>IF($A845="","",IF($D845="V01",Cadrage!$C$34,IF($D845="V02",Cadrage!$D$34,Cadrage!$E$34)))</f>
        <v/>
      </c>
      <c r="M845">
        <f>IF($A845="","",IF($D845="V01",Cadrage!$C$35,IF($D845="V02",Cadrage!$D$35,Cadrage!$E$35)))</f>
        <v/>
      </c>
      <c r="N845">
        <f>IF($A845="","",IF($D845="V01",$R$2,IF($D845="V02",$R$3,$R$4)))</f>
        <v/>
      </c>
      <c r="O845">
        <f>IF($A845="","",IF(OR($B845="7062",$B845="706",$B845="708"),$N845,IF($B845="6231",1+$G845,IF($B845="6236",1+$H845,IF(OR($B845="621",$B845="604",$B845="6063"),$N845*(1-$L845),IF(OR($B845="6411",$B845="6413",$B845="6414",$B845="645"),(1+$J845)*(1+$K845),IF(OR($B845="613",$B845="615",$B845="616",$B845="6226",$B845="625",$B845="626",$B845="6281"),(1+$I845)*(1-$L845)*(1+$M845),IF(OR($B845="6331",$B845="63511",$B845="6333"),(1+$I845)*(1-$L845),IF($B845="6811",1+$I845,1)))))))))</f>
        <v/>
      </c>
      <c r="P845">
        <f>IF($A845="","",IF($E845=1,$F845*$O845,PNL!G845))</f>
        <v/>
      </c>
      <c r="T845">
        <f>IF($A845="","",IF($E845=1,IF(OR($B845="7062",$B845="706",$B845="708"),$P845,IF(AND(LEFT($B845,1)="6",$B845&lt;&gt;"6811"),-$P845,0)),0))</f>
        <v/>
      </c>
    </row>
    <row r="846">
      <c r="A846">
        <f>IF(PNL!A846="","",PNL!A846)</f>
        <v/>
      </c>
      <c r="B846">
        <f>IF(PNL!B846="","",PNL!B846)</f>
        <v/>
      </c>
      <c r="C846">
        <f>IF(PNL!C846="","",PNL!C846)</f>
        <v/>
      </c>
      <c r="D846">
        <f>IF(PNL!D846="","",PNL!D846)</f>
        <v/>
      </c>
      <c r="E846">
        <f>IF($A846="","",IF(AND($C846="2027",OR($D846="V01",$D846="V02",$D846="V03")),1,0))</f>
        <v/>
      </c>
      <c r="F846">
        <f>IF($A846="","",IF($E846=1,SUMIFS(Comptabilité!$F$1:$F$675,Comptabilité!$A$1:$A$675,$A846,Comptabilité!$B$1:$B$675,$B846,Comptabilité!$C$1:$C$675,"2026"),0))</f>
        <v/>
      </c>
      <c r="G846">
        <f>IF($A846="","",IF($D846="V01",Cadrage!$C$22,IF($D846="V02",Cadrage!$D$22,Cadrage!$E$22)))</f>
        <v/>
      </c>
      <c r="H846">
        <f>IF($A846="","",IF($D846="V01",Cadrage!$C$23,IF($D846="V02",Cadrage!$D$23,Cadrage!$E$23)))</f>
        <v/>
      </c>
      <c r="I846">
        <f>IF($A846="","",IF($D846="V01",Cadrage!$C$31,IF($D846="V02",Cadrage!$D$31,Cadrage!$E$31)))</f>
        <v/>
      </c>
      <c r="J846">
        <f>IF($A846="","",IF($D846="V01",Cadrage!$C$32,IF($D846="V02",Cadrage!$D$32,Cadrage!$E$32)))</f>
        <v/>
      </c>
      <c r="K846">
        <f>IF($A846="","",IF($D846="V01",Cadrage!$C$33,IF($D846="V02",Cadrage!$D$33,Cadrage!$E$33)))</f>
        <v/>
      </c>
      <c r="L846">
        <f>IF($A846="","",IF($D846="V01",Cadrage!$C$34,IF($D846="V02",Cadrage!$D$34,Cadrage!$E$34)))</f>
        <v/>
      </c>
      <c r="M846">
        <f>IF($A846="","",IF($D846="V01",Cadrage!$C$35,IF($D846="V02",Cadrage!$D$35,Cadrage!$E$35)))</f>
        <v/>
      </c>
      <c r="N846">
        <f>IF($A846="","",IF($D846="V01",$R$2,IF($D846="V02",$R$3,$R$4)))</f>
        <v/>
      </c>
      <c r="O846">
        <f>IF($A846="","",IF(OR($B846="7062",$B846="706",$B846="708"),$N846,IF($B846="6231",1+$G846,IF($B846="6236",1+$H846,IF(OR($B846="621",$B846="604",$B846="6063"),$N846*(1-$L846),IF(OR($B846="6411",$B846="6413",$B846="6414",$B846="645"),(1+$J846)*(1+$K846),IF(OR($B846="613",$B846="615",$B846="616",$B846="6226",$B846="625",$B846="626",$B846="6281"),(1+$I846)*(1-$L846)*(1+$M846),IF(OR($B846="6331",$B846="63511",$B846="6333"),(1+$I846)*(1-$L846),IF($B846="6811",1+$I846,1)))))))))</f>
        <v/>
      </c>
      <c r="P846">
        <f>IF($A846="","",IF($E846=1,$F846*$O846,PNL!G846))</f>
        <v/>
      </c>
      <c r="T846">
        <f>IF($A846="","",IF($E846=1,IF(OR($B846="7062",$B846="706",$B846="708"),$P846,IF(AND(LEFT($B846,1)="6",$B846&lt;&gt;"6811"),-$P846,0)),0))</f>
        <v/>
      </c>
    </row>
    <row r="847">
      <c r="A847">
        <f>IF(PNL!A847="","",PNL!A847)</f>
        <v/>
      </c>
      <c r="B847">
        <f>IF(PNL!B847="","",PNL!B847)</f>
        <v/>
      </c>
      <c r="C847">
        <f>IF(PNL!C847="","",PNL!C847)</f>
        <v/>
      </c>
      <c r="D847">
        <f>IF(PNL!D847="","",PNL!D847)</f>
        <v/>
      </c>
      <c r="E847">
        <f>IF($A847="","",IF(AND($C847="2027",OR($D847="V01",$D847="V02",$D847="V03")),1,0))</f>
        <v/>
      </c>
      <c r="F847">
        <f>IF($A847="","",IF($E847=1,SUMIFS(Comptabilité!$F$1:$F$675,Comptabilité!$A$1:$A$675,$A847,Comptabilité!$B$1:$B$675,$B847,Comptabilité!$C$1:$C$675,"2026"),0))</f>
        <v/>
      </c>
      <c r="G847">
        <f>IF($A847="","",IF($D847="V01",Cadrage!$C$22,IF($D847="V02",Cadrage!$D$22,Cadrage!$E$22)))</f>
        <v/>
      </c>
      <c r="H847">
        <f>IF($A847="","",IF($D847="V01",Cadrage!$C$23,IF($D847="V02",Cadrage!$D$23,Cadrage!$E$23)))</f>
        <v/>
      </c>
      <c r="I847">
        <f>IF($A847="","",IF($D847="V01",Cadrage!$C$31,IF($D847="V02",Cadrage!$D$31,Cadrage!$E$31)))</f>
        <v/>
      </c>
      <c r="J847">
        <f>IF($A847="","",IF($D847="V01",Cadrage!$C$32,IF($D847="V02",Cadrage!$D$32,Cadrage!$E$32)))</f>
        <v/>
      </c>
      <c r="K847">
        <f>IF($A847="","",IF($D847="V01",Cadrage!$C$33,IF($D847="V02",Cadrage!$D$33,Cadrage!$E$33)))</f>
        <v/>
      </c>
      <c r="L847">
        <f>IF($A847="","",IF($D847="V01",Cadrage!$C$34,IF($D847="V02",Cadrage!$D$34,Cadrage!$E$34)))</f>
        <v/>
      </c>
      <c r="M847">
        <f>IF($A847="","",IF($D847="V01",Cadrage!$C$35,IF($D847="V02",Cadrage!$D$35,Cadrage!$E$35)))</f>
        <v/>
      </c>
      <c r="N847">
        <f>IF($A847="","",IF($D847="V01",$R$2,IF($D847="V02",$R$3,$R$4)))</f>
        <v/>
      </c>
      <c r="O847">
        <f>IF($A847="","",IF(OR($B847="7062",$B847="706",$B847="708"),$N847,IF($B847="6231",1+$G847,IF($B847="6236",1+$H847,IF(OR($B847="621",$B847="604",$B847="6063"),$N847*(1-$L847),IF(OR($B847="6411",$B847="6413",$B847="6414",$B847="645"),(1+$J847)*(1+$K847),IF(OR($B847="613",$B847="615",$B847="616",$B847="6226",$B847="625",$B847="626",$B847="6281"),(1+$I847)*(1-$L847)*(1+$M847),IF(OR($B847="6331",$B847="63511",$B847="6333"),(1+$I847)*(1-$L847),IF($B847="6811",1+$I847,1)))))))))</f>
        <v/>
      </c>
      <c r="P847">
        <f>IF($A847="","",IF($E847=1,$F847*$O847,PNL!G847))</f>
        <v/>
      </c>
      <c r="T847">
        <f>IF($A847="","",IF($E847=1,IF(OR($B847="7062",$B847="706",$B847="708"),$P847,IF(AND(LEFT($B847,1)="6",$B847&lt;&gt;"6811"),-$P847,0)),0))</f>
        <v/>
      </c>
    </row>
    <row r="848">
      <c r="A848">
        <f>IF(PNL!A848="","",PNL!A848)</f>
        <v/>
      </c>
      <c r="B848">
        <f>IF(PNL!B848="","",PNL!B848)</f>
        <v/>
      </c>
      <c r="C848">
        <f>IF(PNL!C848="","",PNL!C848)</f>
        <v/>
      </c>
      <c r="D848">
        <f>IF(PNL!D848="","",PNL!D848)</f>
        <v/>
      </c>
      <c r="E848">
        <f>IF($A848="","",IF(AND($C848="2027",OR($D848="V01",$D848="V02",$D848="V03")),1,0))</f>
        <v/>
      </c>
      <c r="F848">
        <f>IF($A848="","",IF($E848=1,SUMIFS(Comptabilité!$F$1:$F$675,Comptabilité!$A$1:$A$675,$A848,Comptabilité!$B$1:$B$675,$B848,Comptabilité!$C$1:$C$675,"2026"),0))</f>
        <v/>
      </c>
      <c r="G848">
        <f>IF($A848="","",IF($D848="V01",Cadrage!$C$22,IF($D848="V02",Cadrage!$D$22,Cadrage!$E$22)))</f>
        <v/>
      </c>
      <c r="H848">
        <f>IF($A848="","",IF($D848="V01",Cadrage!$C$23,IF($D848="V02",Cadrage!$D$23,Cadrage!$E$23)))</f>
        <v/>
      </c>
      <c r="I848">
        <f>IF($A848="","",IF($D848="V01",Cadrage!$C$31,IF($D848="V02",Cadrage!$D$31,Cadrage!$E$31)))</f>
        <v/>
      </c>
      <c r="J848">
        <f>IF($A848="","",IF($D848="V01",Cadrage!$C$32,IF($D848="V02",Cadrage!$D$32,Cadrage!$E$32)))</f>
        <v/>
      </c>
      <c r="K848">
        <f>IF($A848="","",IF($D848="V01",Cadrage!$C$33,IF($D848="V02",Cadrage!$D$33,Cadrage!$E$33)))</f>
        <v/>
      </c>
      <c r="L848">
        <f>IF($A848="","",IF($D848="V01",Cadrage!$C$34,IF($D848="V02",Cadrage!$D$34,Cadrage!$E$34)))</f>
        <v/>
      </c>
      <c r="M848">
        <f>IF($A848="","",IF($D848="V01",Cadrage!$C$35,IF($D848="V02",Cadrage!$D$35,Cadrage!$E$35)))</f>
        <v/>
      </c>
      <c r="N848">
        <f>IF($A848="","",IF($D848="V01",$R$2,IF($D848="V02",$R$3,$R$4)))</f>
        <v/>
      </c>
      <c r="O848">
        <f>IF($A848="","",IF(OR($B848="7062",$B848="706",$B848="708"),$N848,IF($B848="6231",1+$G848,IF($B848="6236",1+$H848,IF(OR($B848="621",$B848="604",$B848="6063"),$N848*(1-$L848),IF(OR($B848="6411",$B848="6413",$B848="6414",$B848="645"),(1+$J848)*(1+$K848),IF(OR($B848="613",$B848="615",$B848="616",$B848="6226",$B848="625",$B848="626",$B848="6281"),(1+$I848)*(1-$L848)*(1+$M848),IF(OR($B848="6331",$B848="63511",$B848="6333"),(1+$I848)*(1-$L848),IF($B848="6811",1+$I848,1)))))))))</f>
        <v/>
      </c>
      <c r="P848">
        <f>IF($A848="","",IF($E848=1,$F848*$O848,PNL!G848))</f>
        <v/>
      </c>
      <c r="T848">
        <f>IF($A848="","",IF($E848=1,IF(OR($B848="7062",$B848="706",$B848="708"),$P848,IF(AND(LEFT($B848,1)="6",$B848&lt;&gt;"6811"),-$P848,0)),0))</f>
        <v/>
      </c>
    </row>
    <row r="849">
      <c r="A849">
        <f>IF(PNL!A849="","",PNL!A849)</f>
        <v/>
      </c>
      <c r="B849">
        <f>IF(PNL!B849="","",PNL!B849)</f>
        <v/>
      </c>
      <c r="C849">
        <f>IF(PNL!C849="","",PNL!C849)</f>
        <v/>
      </c>
      <c r="D849">
        <f>IF(PNL!D849="","",PNL!D849)</f>
        <v/>
      </c>
      <c r="E849">
        <f>IF($A849="","",IF(AND($C849="2027",OR($D849="V01",$D849="V02",$D849="V03")),1,0))</f>
        <v/>
      </c>
      <c r="F849">
        <f>IF($A849="","",IF($E849=1,SUMIFS(Comptabilité!$F$1:$F$675,Comptabilité!$A$1:$A$675,$A849,Comptabilité!$B$1:$B$675,$B849,Comptabilité!$C$1:$C$675,"2026"),0))</f>
        <v/>
      </c>
      <c r="G849">
        <f>IF($A849="","",IF($D849="V01",Cadrage!$C$22,IF($D849="V02",Cadrage!$D$22,Cadrage!$E$22)))</f>
        <v/>
      </c>
      <c r="H849">
        <f>IF($A849="","",IF($D849="V01",Cadrage!$C$23,IF($D849="V02",Cadrage!$D$23,Cadrage!$E$23)))</f>
        <v/>
      </c>
      <c r="I849">
        <f>IF($A849="","",IF($D849="V01",Cadrage!$C$31,IF($D849="V02",Cadrage!$D$31,Cadrage!$E$31)))</f>
        <v/>
      </c>
      <c r="J849">
        <f>IF($A849="","",IF($D849="V01",Cadrage!$C$32,IF($D849="V02",Cadrage!$D$32,Cadrage!$E$32)))</f>
        <v/>
      </c>
      <c r="K849">
        <f>IF($A849="","",IF($D849="V01",Cadrage!$C$33,IF($D849="V02",Cadrage!$D$33,Cadrage!$E$33)))</f>
        <v/>
      </c>
      <c r="L849">
        <f>IF($A849="","",IF($D849="V01",Cadrage!$C$34,IF($D849="V02",Cadrage!$D$34,Cadrage!$E$34)))</f>
        <v/>
      </c>
      <c r="M849">
        <f>IF($A849="","",IF($D849="V01",Cadrage!$C$35,IF($D849="V02",Cadrage!$D$35,Cadrage!$E$35)))</f>
        <v/>
      </c>
      <c r="N849">
        <f>IF($A849="","",IF($D849="V01",$R$2,IF($D849="V02",$R$3,$R$4)))</f>
        <v/>
      </c>
      <c r="O849">
        <f>IF($A849="","",IF(OR($B849="7062",$B849="706",$B849="708"),$N849,IF($B849="6231",1+$G849,IF($B849="6236",1+$H849,IF(OR($B849="621",$B849="604",$B849="6063"),$N849*(1-$L849),IF(OR($B849="6411",$B849="6413",$B849="6414",$B849="645"),(1+$J849)*(1+$K849),IF(OR($B849="613",$B849="615",$B849="616",$B849="6226",$B849="625",$B849="626",$B849="6281"),(1+$I849)*(1-$L849)*(1+$M849),IF(OR($B849="6331",$B849="63511",$B849="6333"),(1+$I849)*(1-$L849),IF($B849="6811",1+$I849,1)))))))))</f>
        <v/>
      </c>
      <c r="P849">
        <f>IF($A849="","",IF($E849=1,$F849*$O849,PNL!G849))</f>
        <v/>
      </c>
      <c r="T849">
        <f>IF($A849="","",IF($E849=1,IF(OR($B849="7062",$B849="706",$B849="708"),$P849,IF(AND(LEFT($B849,1)="6",$B849&lt;&gt;"6811"),-$P849,0)),0))</f>
        <v/>
      </c>
    </row>
    <row r="850">
      <c r="A850">
        <f>IF(PNL!A850="","",PNL!A850)</f>
        <v/>
      </c>
      <c r="B850">
        <f>IF(PNL!B850="","",PNL!B850)</f>
        <v/>
      </c>
      <c r="C850">
        <f>IF(PNL!C850="","",PNL!C850)</f>
        <v/>
      </c>
      <c r="D850">
        <f>IF(PNL!D850="","",PNL!D850)</f>
        <v/>
      </c>
      <c r="E850">
        <f>IF($A850="","",IF(AND($C850="2027",OR($D850="V01",$D850="V02",$D850="V03")),1,0))</f>
        <v/>
      </c>
      <c r="F850">
        <f>IF($A850="","",IF($E850=1,SUMIFS(Comptabilité!$F$1:$F$675,Comptabilité!$A$1:$A$675,$A850,Comptabilité!$B$1:$B$675,$B850,Comptabilité!$C$1:$C$675,"2026"),0))</f>
        <v/>
      </c>
      <c r="G850">
        <f>IF($A850="","",IF($D850="V01",Cadrage!$C$22,IF($D850="V02",Cadrage!$D$22,Cadrage!$E$22)))</f>
        <v/>
      </c>
      <c r="H850">
        <f>IF($A850="","",IF($D850="V01",Cadrage!$C$23,IF($D850="V02",Cadrage!$D$23,Cadrage!$E$23)))</f>
        <v/>
      </c>
      <c r="I850">
        <f>IF($A850="","",IF($D850="V01",Cadrage!$C$31,IF($D850="V02",Cadrage!$D$31,Cadrage!$E$31)))</f>
        <v/>
      </c>
      <c r="J850">
        <f>IF($A850="","",IF($D850="V01",Cadrage!$C$32,IF($D850="V02",Cadrage!$D$32,Cadrage!$E$32)))</f>
        <v/>
      </c>
      <c r="K850">
        <f>IF($A850="","",IF($D850="V01",Cadrage!$C$33,IF($D850="V02",Cadrage!$D$33,Cadrage!$E$33)))</f>
        <v/>
      </c>
      <c r="L850">
        <f>IF($A850="","",IF($D850="V01",Cadrage!$C$34,IF($D850="V02",Cadrage!$D$34,Cadrage!$E$34)))</f>
        <v/>
      </c>
      <c r="M850">
        <f>IF($A850="","",IF($D850="V01",Cadrage!$C$35,IF($D850="V02",Cadrage!$D$35,Cadrage!$E$35)))</f>
        <v/>
      </c>
      <c r="N850">
        <f>IF($A850="","",IF($D850="V01",$R$2,IF($D850="V02",$R$3,$R$4)))</f>
        <v/>
      </c>
      <c r="O850">
        <f>IF($A850="","",IF(OR($B850="7062",$B850="706",$B850="708"),$N850,IF($B850="6231",1+$G850,IF($B850="6236",1+$H850,IF(OR($B850="621",$B850="604",$B850="6063"),$N850*(1-$L850),IF(OR($B850="6411",$B850="6413",$B850="6414",$B850="645"),(1+$J850)*(1+$K850),IF(OR($B850="613",$B850="615",$B850="616",$B850="6226",$B850="625",$B850="626",$B850="6281"),(1+$I850)*(1-$L850)*(1+$M850),IF(OR($B850="6331",$B850="63511",$B850="6333"),(1+$I850)*(1-$L850),IF($B850="6811",1+$I850,1)))))))))</f>
        <v/>
      </c>
      <c r="P850">
        <f>IF($A850="","",IF($E850=1,$F850*$O850,PNL!G850))</f>
        <v/>
      </c>
      <c r="T850">
        <f>IF($A850="","",IF($E850=1,IF(OR($B850="7062",$B850="706",$B850="708"),$P850,IF(AND(LEFT($B850,1)="6",$B850&lt;&gt;"6811"),-$P850,0)),0))</f>
        <v/>
      </c>
    </row>
    <row r="851">
      <c r="A851">
        <f>IF(PNL!A851="","",PNL!A851)</f>
        <v/>
      </c>
      <c r="B851">
        <f>IF(PNL!B851="","",PNL!B851)</f>
        <v/>
      </c>
      <c r="C851">
        <f>IF(PNL!C851="","",PNL!C851)</f>
        <v/>
      </c>
      <c r="D851">
        <f>IF(PNL!D851="","",PNL!D851)</f>
        <v/>
      </c>
      <c r="E851">
        <f>IF($A851="","",IF(AND($C851="2027",OR($D851="V01",$D851="V02",$D851="V03")),1,0))</f>
        <v/>
      </c>
      <c r="F851">
        <f>IF($A851="","",IF($E851=1,SUMIFS(Comptabilité!$F$1:$F$675,Comptabilité!$A$1:$A$675,$A851,Comptabilité!$B$1:$B$675,$B851,Comptabilité!$C$1:$C$675,"2026"),0))</f>
        <v/>
      </c>
      <c r="G851">
        <f>IF($A851="","",IF($D851="V01",Cadrage!$C$22,IF($D851="V02",Cadrage!$D$22,Cadrage!$E$22)))</f>
        <v/>
      </c>
      <c r="H851">
        <f>IF($A851="","",IF($D851="V01",Cadrage!$C$23,IF($D851="V02",Cadrage!$D$23,Cadrage!$E$23)))</f>
        <v/>
      </c>
      <c r="I851">
        <f>IF($A851="","",IF($D851="V01",Cadrage!$C$31,IF($D851="V02",Cadrage!$D$31,Cadrage!$E$31)))</f>
        <v/>
      </c>
      <c r="J851">
        <f>IF($A851="","",IF($D851="V01",Cadrage!$C$32,IF($D851="V02",Cadrage!$D$32,Cadrage!$E$32)))</f>
        <v/>
      </c>
      <c r="K851">
        <f>IF($A851="","",IF($D851="V01",Cadrage!$C$33,IF($D851="V02",Cadrage!$D$33,Cadrage!$E$33)))</f>
        <v/>
      </c>
      <c r="L851">
        <f>IF($A851="","",IF($D851="V01",Cadrage!$C$34,IF($D851="V02",Cadrage!$D$34,Cadrage!$E$34)))</f>
        <v/>
      </c>
      <c r="M851">
        <f>IF($A851="","",IF($D851="V01",Cadrage!$C$35,IF($D851="V02",Cadrage!$D$35,Cadrage!$E$35)))</f>
        <v/>
      </c>
      <c r="N851">
        <f>IF($A851="","",IF($D851="V01",$R$2,IF($D851="V02",$R$3,$R$4)))</f>
        <v/>
      </c>
      <c r="O851">
        <f>IF($A851="","",IF(OR($B851="7062",$B851="706",$B851="708"),$N851,IF($B851="6231",1+$G851,IF($B851="6236",1+$H851,IF(OR($B851="621",$B851="604",$B851="6063"),$N851*(1-$L851),IF(OR($B851="6411",$B851="6413",$B851="6414",$B851="645"),(1+$J851)*(1+$K851),IF(OR($B851="613",$B851="615",$B851="616",$B851="6226",$B851="625",$B851="626",$B851="6281"),(1+$I851)*(1-$L851)*(1+$M851),IF(OR($B851="6331",$B851="63511",$B851="6333"),(1+$I851)*(1-$L851),IF($B851="6811",1+$I851,1)))))))))</f>
        <v/>
      </c>
      <c r="P851">
        <f>IF($A851="","",IF($E851=1,$F851*$O851,PNL!G851))</f>
        <v/>
      </c>
      <c r="T851">
        <f>IF($A851="","",IF($E851=1,IF(OR($B851="7062",$B851="706",$B851="708"),$P851,IF(AND(LEFT($B851,1)="6",$B851&lt;&gt;"6811"),-$P851,0)),0))</f>
        <v/>
      </c>
    </row>
    <row r="852">
      <c r="A852">
        <f>IF(PNL!A852="","",PNL!A852)</f>
        <v/>
      </c>
      <c r="B852">
        <f>IF(PNL!B852="","",PNL!B852)</f>
        <v/>
      </c>
      <c r="C852">
        <f>IF(PNL!C852="","",PNL!C852)</f>
        <v/>
      </c>
      <c r="D852">
        <f>IF(PNL!D852="","",PNL!D852)</f>
        <v/>
      </c>
      <c r="E852">
        <f>IF($A852="","",IF(AND($C852="2027",OR($D852="V01",$D852="V02",$D852="V03")),1,0))</f>
        <v/>
      </c>
      <c r="F852">
        <f>IF($A852="","",IF($E852=1,SUMIFS(Comptabilité!$F$1:$F$675,Comptabilité!$A$1:$A$675,$A852,Comptabilité!$B$1:$B$675,$B852,Comptabilité!$C$1:$C$675,"2026"),0))</f>
        <v/>
      </c>
      <c r="G852">
        <f>IF($A852="","",IF($D852="V01",Cadrage!$C$22,IF($D852="V02",Cadrage!$D$22,Cadrage!$E$22)))</f>
        <v/>
      </c>
      <c r="H852">
        <f>IF($A852="","",IF($D852="V01",Cadrage!$C$23,IF($D852="V02",Cadrage!$D$23,Cadrage!$E$23)))</f>
        <v/>
      </c>
      <c r="I852">
        <f>IF($A852="","",IF($D852="V01",Cadrage!$C$31,IF($D852="V02",Cadrage!$D$31,Cadrage!$E$31)))</f>
        <v/>
      </c>
      <c r="J852">
        <f>IF($A852="","",IF($D852="V01",Cadrage!$C$32,IF($D852="V02",Cadrage!$D$32,Cadrage!$E$32)))</f>
        <v/>
      </c>
      <c r="K852">
        <f>IF($A852="","",IF($D852="V01",Cadrage!$C$33,IF($D852="V02",Cadrage!$D$33,Cadrage!$E$33)))</f>
        <v/>
      </c>
      <c r="L852">
        <f>IF($A852="","",IF($D852="V01",Cadrage!$C$34,IF($D852="V02",Cadrage!$D$34,Cadrage!$E$34)))</f>
        <v/>
      </c>
      <c r="M852">
        <f>IF($A852="","",IF($D852="V01",Cadrage!$C$35,IF($D852="V02",Cadrage!$D$35,Cadrage!$E$35)))</f>
        <v/>
      </c>
      <c r="N852">
        <f>IF($A852="","",IF($D852="V01",$R$2,IF($D852="V02",$R$3,$R$4)))</f>
        <v/>
      </c>
      <c r="O852">
        <f>IF($A852="","",IF(OR($B852="7062",$B852="706",$B852="708"),$N852,IF($B852="6231",1+$G852,IF($B852="6236",1+$H852,IF(OR($B852="621",$B852="604",$B852="6063"),$N852*(1-$L852),IF(OR($B852="6411",$B852="6413",$B852="6414",$B852="645"),(1+$J852)*(1+$K852),IF(OR($B852="613",$B852="615",$B852="616",$B852="6226",$B852="625",$B852="626",$B852="6281"),(1+$I852)*(1-$L852)*(1+$M852),IF(OR($B852="6331",$B852="63511",$B852="6333"),(1+$I852)*(1-$L852),IF($B852="6811",1+$I852,1)))))))))</f>
        <v/>
      </c>
      <c r="P852">
        <f>IF($A852="","",IF($E852=1,$F852*$O852,PNL!G852))</f>
        <v/>
      </c>
      <c r="T852">
        <f>IF($A852="","",IF($E852=1,IF(OR($B852="7062",$B852="706",$B852="708"),$P852,IF(AND(LEFT($B852,1)="6",$B852&lt;&gt;"6811"),-$P852,0)),0))</f>
        <v/>
      </c>
    </row>
    <row r="853">
      <c r="A853">
        <f>IF(PNL!A853="","",PNL!A853)</f>
        <v/>
      </c>
      <c r="B853">
        <f>IF(PNL!B853="","",PNL!B853)</f>
        <v/>
      </c>
      <c r="C853">
        <f>IF(PNL!C853="","",PNL!C853)</f>
        <v/>
      </c>
      <c r="D853">
        <f>IF(PNL!D853="","",PNL!D853)</f>
        <v/>
      </c>
      <c r="E853">
        <f>IF($A853="","",IF(AND($C853="2027",OR($D853="V01",$D853="V02",$D853="V03")),1,0))</f>
        <v/>
      </c>
      <c r="F853">
        <f>IF($A853="","",IF($E853=1,SUMIFS(Comptabilité!$F$1:$F$675,Comptabilité!$A$1:$A$675,$A853,Comptabilité!$B$1:$B$675,$B853,Comptabilité!$C$1:$C$675,"2026"),0))</f>
        <v/>
      </c>
      <c r="G853">
        <f>IF($A853="","",IF($D853="V01",Cadrage!$C$22,IF($D853="V02",Cadrage!$D$22,Cadrage!$E$22)))</f>
        <v/>
      </c>
      <c r="H853">
        <f>IF($A853="","",IF($D853="V01",Cadrage!$C$23,IF($D853="V02",Cadrage!$D$23,Cadrage!$E$23)))</f>
        <v/>
      </c>
      <c r="I853">
        <f>IF($A853="","",IF($D853="V01",Cadrage!$C$31,IF($D853="V02",Cadrage!$D$31,Cadrage!$E$31)))</f>
        <v/>
      </c>
      <c r="J853">
        <f>IF($A853="","",IF($D853="V01",Cadrage!$C$32,IF($D853="V02",Cadrage!$D$32,Cadrage!$E$32)))</f>
        <v/>
      </c>
      <c r="K853">
        <f>IF($A853="","",IF($D853="V01",Cadrage!$C$33,IF($D853="V02",Cadrage!$D$33,Cadrage!$E$33)))</f>
        <v/>
      </c>
      <c r="L853">
        <f>IF($A853="","",IF($D853="V01",Cadrage!$C$34,IF($D853="V02",Cadrage!$D$34,Cadrage!$E$34)))</f>
        <v/>
      </c>
      <c r="M853">
        <f>IF($A853="","",IF($D853="V01",Cadrage!$C$35,IF($D853="V02",Cadrage!$D$35,Cadrage!$E$35)))</f>
        <v/>
      </c>
      <c r="N853">
        <f>IF($A853="","",IF($D853="V01",$R$2,IF($D853="V02",$R$3,$R$4)))</f>
        <v/>
      </c>
      <c r="O853">
        <f>IF($A853="","",IF(OR($B853="7062",$B853="706",$B853="708"),$N853,IF($B853="6231",1+$G853,IF($B853="6236",1+$H853,IF(OR($B853="621",$B853="604",$B853="6063"),$N853*(1-$L853),IF(OR($B853="6411",$B853="6413",$B853="6414",$B853="645"),(1+$J853)*(1+$K853),IF(OR($B853="613",$B853="615",$B853="616",$B853="6226",$B853="625",$B853="626",$B853="6281"),(1+$I853)*(1-$L853)*(1+$M853),IF(OR($B853="6331",$B853="63511",$B853="6333"),(1+$I853)*(1-$L853),IF($B853="6811",1+$I853,1)))))))))</f>
        <v/>
      </c>
      <c r="P853">
        <f>IF($A853="","",IF($E853=1,$F853*$O853,PNL!G853))</f>
        <v/>
      </c>
      <c r="T853">
        <f>IF($A853="","",IF($E853=1,IF(OR($B853="7062",$B853="706",$B853="708"),$P853,IF(AND(LEFT($B853,1)="6",$B853&lt;&gt;"6811"),-$P853,0)),0))</f>
        <v/>
      </c>
    </row>
    <row r="854">
      <c r="A854">
        <f>IF(PNL!A854="","",PNL!A854)</f>
        <v/>
      </c>
      <c r="B854">
        <f>IF(PNL!B854="","",PNL!B854)</f>
        <v/>
      </c>
      <c r="C854">
        <f>IF(PNL!C854="","",PNL!C854)</f>
        <v/>
      </c>
      <c r="D854">
        <f>IF(PNL!D854="","",PNL!D854)</f>
        <v/>
      </c>
      <c r="E854">
        <f>IF($A854="","",IF(AND($C854="2027",OR($D854="V01",$D854="V02",$D854="V03")),1,0))</f>
        <v/>
      </c>
      <c r="F854">
        <f>IF($A854="","",IF($E854=1,SUMIFS(Comptabilité!$F$1:$F$675,Comptabilité!$A$1:$A$675,$A854,Comptabilité!$B$1:$B$675,$B854,Comptabilité!$C$1:$C$675,"2026"),0))</f>
        <v/>
      </c>
      <c r="G854">
        <f>IF($A854="","",IF($D854="V01",Cadrage!$C$22,IF($D854="V02",Cadrage!$D$22,Cadrage!$E$22)))</f>
        <v/>
      </c>
      <c r="H854">
        <f>IF($A854="","",IF($D854="V01",Cadrage!$C$23,IF($D854="V02",Cadrage!$D$23,Cadrage!$E$23)))</f>
        <v/>
      </c>
      <c r="I854">
        <f>IF($A854="","",IF($D854="V01",Cadrage!$C$31,IF($D854="V02",Cadrage!$D$31,Cadrage!$E$31)))</f>
        <v/>
      </c>
      <c r="J854">
        <f>IF($A854="","",IF($D854="V01",Cadrage!$C$32,IF($D854="V02",Cadrage!$D$32,Cadrage!$E$32)))</f>
        <v/>
      </c>
      <c r="K854">
        <f>IF($A854="","",IF($D854="V01",Cadrage!$C$33,IF($D854="V02",Cadrage!$D$33,Cadrage!$E$33)))</f>
        <v/>
      </c>
      <c r="L854">
        <f>IF($A854="","",IF($D854="V01",Cadrage!$C$34,IF($D854="V02",Cadrage!$D$34,Cadrage!$E$34)))</f>
        <v/>
      </c>
      <c r="M854">
        <f>IF($A854="","",IF($D854="V01",Cadrage!$C$35,IF($D854="V02",Cadrage!$D$35,Cadrage!$E$35)))</f>
        <v/>
      </c>
      <c r="N854">
        <f>IF($A854="","",IF($D854="V01",$R$2,IF($D854="V02",$R$3,$R$4)))</f>
        <v/>
      </c>
      <c r="O854">
        <f>IF($A854="","",IF(OR($B854="7062",$B854="706",$B854="708"),$N854,IF($B854="6231",1+$G854,IF($B854="6236",1+$H854,IF(OR($B854="621",$B854="604",$B854="6063"),$N854*(1-$L854),IF(OR($B854="6411",$B854="6413",$B854="6414",$B854="645"),(1+$J854)*(1+$K854),IF(OR($B854="613",$B854="615",$B854="616",$B854="6226",$B854="625",$B854="626",$B854="6281"),(1+$I854)*(1-$L854)*(1+$M854),IF(OR($B854="6331",$B854="63511",$B854="6333"),(1+$I854)*(1-$L854),IF($B854="6811",1+$I854,1)))))))))</f>
        <v/>
      </c>
      <c r="P854">
        <f>IF($A854="","",IF($E854=1,$F854*$O854,PNL!G854))</f>
        <v/>
      </c>
      <c r="T854">
        <f>IF($A854="","",IF($E854=1,IF(OR($B854="7062",$B854="706",$B854="708"),$P854,IF(AND(LEFT($B854,1)="6",$B854&lt;&gt;"6811"),-$P854,0)),0))</f>
        <v/>
      </c>
    </row>
    <row r="855">
      <c r="A855">
        <f>IF(PNL!A855="","",PNL!A855)</f>
        <v/>
      </c>
      <c r="B855">
        <f>IF(PNL!B855="","",PNL!B855)</f>
        <v/>
      </c>
      <c r="C855">
        <f>IF(PNL!C855="","",PNL!C855)</f>
        <v/>
      </c>
      <c r="D855">
        <f>IF(PNL!D855="","",PNL!D855)</f>
        <v/>
      </c>
      <c r="E855">
        <f>IF($A855="","",IF(AND($C855="2027",OR($D855="V01",$D855="V02",$D855="V03")),1,0))</f>
        <v/>
      </c>
      <c r="F855">
        <f>IF($A855="","",IF($E855=1,SUMIFS(Comptabilité!$F$1:$F$675,Comptabilité!$A$1:$A$675,$A855,Comptabilité!$B$1:$B$675,$B855,Comptabilité!$C$1:$C$675,"2026"),0))</f>
        <v/>
      </c>
      <c r="G855">
        <f>IF($A855="","",IF($D855="V01",Cadrage!$C$22,IF($D855="V02",Cadrage!$D$22,Cadrage!$E$22)))</f>
        <v/>
      </c>
      <c r="H855">
        <f>IF($A855="","",IF($D855="V01",Cadrage!$C$23,IF($D855="V02",Cadrage!$D$23,Cadrage!$E$23)))</f>
        <v/>
      </c>
      <c r="I855">
        <f>IF($A855="","",IF($D855="V01",Cadrage!$C$31,IF($D855="V02",Cadrage!$D$31,Cadrage!$E$31)))</f>
        <v/>
      </c>
      <c r="J855">
        <f>IF($A855="","",IF($D855="V01",Cadrage!$C$32,IF($D855="V02",Cadrage!$D$32,Cadrage!$E$32)))</f>
        <v/>
      </c>
      <c r="K855">
        <f>IF($A855="","",IF($D855="V01",Cadrage!$C$33,IF($D855="V02",Cadrage!$D$33,Cadrage!$E$33)))</f>
        <v/>
      </c>
      <c r="L855">
        <f>IF($A855="","",IF($D855="V01",Cadrage!$C$34,IF($D855="V02",Cadrage!$D$34,Cadrage!$E$34)))</f>
        <v/>
      </c>
      <c r="M855">
        <f>IF($A855="","",IF($D855="V01",Cadrage!$C$35,IF($D855="V02",Cadrage!$D$35,Cadrage!$E$35)))</f>
        <v/>
      </c>
      <c r="N855">
        <f>IF($A855="","",IF($D855="V01",$R$2,IF($D855="V02",$R$3,$R$4)))</f>
        <v/>
      </c>
      <c r="O855">
        <f>IF($A855="","",IF(OR($B855="7062",$B855="706",$B855="708"),$N855,IF($B855="6231",1+$G855,IF($B855="6236",1+$H855,IF(OR($B855="621",$B855="604",$B855="6063"),$N855*(1-$L855),IF(OR($B855="6411",$B855="6413",$B855="6414",$B855="645"),(1+$J855)*(1+$K855),IF(OR($B855="613",$B855="615",$B855="616",$B855="6226",$B855="625",$B855="626",$B855="6281"),(1+$I855)*(1-$L855)*(1+$M855),IF(OR($B855="6331",$B855="63511",$B855="6333"),(1+$I855)*(1-$L855),IF($B855="6811",1+$I855,1)))))))))</f>
        <v/>
      </c>
      <c r="P855">
        <f>IF($A855="","",IF($E855=1,$F855*$O855,PNL!G855))</f>
        <v/>
      </c>
      <c r="T855">
        <f>IF($A855="","",IF($E855=1,IF(OR($B855="7062",$B855="706",$B855="708"),$P855,IF(AND(LEFT($B855,1)="6",$B855&lt;&gt;"6811"),-$P855,0)),0))</f>
        <v/>
      </c>
    </row>
    <row r="856">
      <c r="A856">
        <f>IF(PNL!A856="","",PNL!A856)</f>
        <v/>
      </c>
      <c r="B856">
        <f>IF(PNL!B856="","",PNL!B856)</f>
        <v/>
      </c>
      <c r="C856">
        <f>IF(PNL!C856="","",PNL!C856)</f>
        <v/>
      </c>
      <c r="D856">
        <f>IF(PNL!D856="","",PNL!D856)</f>
        <v/>
      </c>
      <c r="E856">
        <f>IF($A856="","",IF(AND($C856="2027",OR($D856="V01",$D856="V02",$D856="V03")),1,0))</f>
        <v/>
      </c>
      <c r="F856">
        <f>IF($A856="","",IF($E856=1,SUMIFS(Comptabilité!$F$1:$F$675,Comptabilité!$A$1:$A$675,$A856,Comptabilité!$B$1:$B$675,$B856,Comptabilité!$C$1:$C$675,"2026"),0))</f>
        <v/>
      </c>
      <c r="G856">
        <f>IF($A856="","",IF($D856="V01",Cadrage!$C$22,IF($D856="V02",Cadrage!$D$22,Cadrage!$E$22)))</f>
        <v/>
      </c>
      <c r="H856">
        <f>IF($A856="","",IF($D856="V01",Cadrage!$C$23,IF($D856="V02",Cadrage!$D$23,Cadrage!$E$23)))</f>
        <v/>
      </c>
      <c r="I856">
        <f>IF($A856="","",IF($D856="V01",Cadrage!$C$31,IF($D856="V02",Cadrage!$D$31,Cadrage!$E$31)))</f>
        <v/>
      </c>
      <c r="J856">
        <f>IF($A856="","",IF($D856="V01",Cadrage!$C$32,IF($D856="V02",Cadrage!$D$32,Cadrage!$E$32)))</f>
        <v/>
      </c>
      <c r="K856">
        <f>IF($A856="","",IF($D856="V01",Cadrage!$C$33,IF($D856="V02",Cadrage!$D$33,Cadrage!$E$33)))</f>
        <v/>
      </c>
      <c r="L856">
        <f>IF($A856="","",IF($D856="V01",Cadrage!$C$34,IF($D856="V02",Cadrage!$D$34,Cadrage!$E$34)))</f>
        <v/>
      </c>
      <c r="M856">
        <f>IF($A856="","",IF($D856="V01",Cadrage!$C$35,IF($D856="V02",Cadrage!$D$35,Cadrage!$E$35)))</f>
        <v/>
      </c>
      <c r="N856">
        <f>IF($A856="","",IF($D856="V01",$R$2,IF($D856="V02",$R$3,$R$4)))</f>
        <v/>
      </c>
      <c r="O856">
        <f>IF($A856="","",IF(OR($B856="7062",$B856="706",$B856="708"),$N856,IF($B856="6231",1+$G856,IF($B856="6236",1+$H856,IF(OR($B856="621",$B856="604",$B856="6063"),$N856*(1-$L856),IF(OR($B856="6411",$B856="6413",$B856="6414",$B856="645"),(1+$J856)*(1+$K856),IF(OR($B856="613",$B856="615",$B856="616",$B856="6226",$B856="625",$B856="626",$B856="6281"),(1+$I856)*(1-$L856)*(1+$M856),IF(OR($B856="6331",$B856="63511",$B856="6333"),(1+$I856)*(1-$L856),IF($B856="6811",1+$I856,1)))))))))</f>
        <v/>
      </c>
      <c r="P856">
        <f>IF($A856="","",IF($E856=1,$F856*$O856,PNL!G856))</f>
        <v/>
      </c>
      <c r="T856">
        <f>IF($A856="","",IF($E856=1,IF(OR($B856="7062",$B856="706",$B856="708"),$P856,IF(AND(LEFT($B856,1)="6",$B856&lt;&gt;"6811"),-$P856,0)),0))</f>
        <v/>
      </c>
    </row>
    <row r="857">
      <c r="A857">
        <f>IF(PNL!A857="","",PNL!A857)</f>
        <v/>
      </c>
      <c r="B857">
        <f>IF(PNL!B857="","",PNL!B857)</f>
        <v/>
      </c>
      <c r="C857">
        <f>IF(PNL!C857="","",PNL!C857)</f>
        <v/>
      </c>
      <c r="D857">
        <f>IF(PNL!D857="","",PNL!D857)</f>
        <v/>
      </c>
      <c r="E857">
        <f>IF($A857="","",IF(AND($C857="2027",OR($D857="V01",$D857="V02",$D857="V03")),1,0))</f>
        <v/>
      </c>
      <c r="F857">
        <f>IF($A857="","",IF($E857=1,SUMIFS(Comptabilité!$F$1:$F$675,Comptabilité!$A$1:$A$675,$A857,Comptabilité!$B$1:$B$675,$B857,Comptabilité!$C$1:$C$675,"2026"),0))</f>
        <v/>
      </c>
      <c r="G857">
        <f>IF($A857="","",IF($D857="V01",Cadrage!$C$22,IF($D857="V02",Cadrage!$D$22,Cadrage!$E$22)))</f>
        <v/>
      </c>
      <c r="H857">
        <f>IF($A857="","",IF($D857="V01",Cadrage!$C$23,IF($D857="V02",Cadrage!$D$23,Cadrage!$E$23)))</f>
        <v/>
      </c>
      <c r="I857">
        <f>IF($A857="","",IF($D857="V01",Cadrage!$C$31,IF($D857="V02",Cadrage!$D$31,Cadrage!$E$31)))</f>
        <v/>
      </c>
      <c r="J857">
        <f>IF($A857="","",IF($D857="V01",Cadrage!$C$32,IF($D857="V02",Cadrage!$D$32,Cadrage!$E$32)))</f>
        <v/>
      </c>
      <c r="K857">
        <f>IF($A857="","",IF($D857="V01",Cadrage!$C$33,IF($D857="V02",Cadrage!$D$33,Cadrage!$E$33)))</f>
        <v/>
      </c>
      <c r="L857">
        <f>IF($A857="","",IF($D857="V01",Cadrage!$C$34,IF($D857="V02",Cadrage!$D$34,Cadrage!$E$34)))</f>
        <v/>
      </c>
      <c r="M857">
        <f>IF($A857="","",IF($D857="V01",Cadrage!$C$35,IF($D857="V02",Cadrage!$D$35,Cadrage!$E$35)))</f>
        <v/>
      </c>
      <c r="N857">
        <f>IF($A857="","",IF($D857="V01",$R$2,IF($D857="V02",$R$3,$R$4)))</f>
        <v/>
      </c>
      <c r="O857">
        <f>IF($A857="","",IF(OR($B857="7062",$B857="706",$B857="708"),$N857,IF($B857="6231",1+$G857,IF($B857="6236",1+$H857,IF(OR($B857="621",$B857="604",$B857="6063"),$N857*(1-$L857),IF(OR($B857="6411",$B857="6413",$B857="6414",$B857="645"),(1+$J857)*(1+$K857),IF(OR($B857="613",$B857="615",$B857="616",$B857="6226",$B857="625",$B857="626",$B857="6281"),(1+$I857)*(1-$L857)*(1+$M857),IF(OR($B857="6331",$B857="63511",$B857="6333"),(1+$I857)*(1-$L857),IF($B857="6811",1+$I857,1)))))))))</f>
        <v/>
      </c>
      <c r="P857">
        <f>IF($A857="","",IF($E857=1,$F857*$O857,PNL!G857))</f>
        <v/>
      </c>
      <c r="T857">
        <f>IF($A857="","",IF($E857=1,IF(OR($B857="7062",$B857="706",$B857="708"),$P857,IF(AND(LEFT($B857,1)="6",$B857&lt;&gt;"6811"),-$P857,0)),0))</f>
        <v/>
      </c>
    </row>
    <row r="858">
      <c r="A858">
        <f>IF(PNL!A858="","",PNL!A858)</f>
        <v/>
      </c>
      <c r="B858">
        <f>IF(PNL!B858="","",PNL!B858)</f>
        <v/>
      </c>
      <c r="C858">
        <f>IF(PNL!C858="","",PNL!C858)</f>
        <v/>
      </c>
      <c r="D858">
        <f>IF(PNL!D858="","",PNL!D858)</f>
        <v/>
      </c>
      <c r="E858">
        <f>IF($A858="","",IF(AND($C858="2027",OR($D858="V01",$D858="V02",$D858="V03")),1,0))</f>
        <v/>
      </c>
      <c r="F858">
        <f>IF($A858="","",IF($E858=1,SUMIFS(Comptabilité!$F$1:$F$675,Comptabilité!$A$1:$A$675,$A858,Comptabilité!$B$1:$B$675,$B858,Comptabilité!$C$1:$C$675,"2026"),0))</f>
        <v/>
      </c>
      <c r="G858">
        <f>IF($A858="","",IF($D858="V01",Cadrage!$C$22,IF($D858="V02",Cadrage!$D$22,Cadrage!$E$22)))</f>
        <v/>
      </c>
      <c r="H858">
        <f>IF($A858="","",IF($D858="V01",Cadrage!$C$23,IF($D858="V02",Cadrage!$D$23,Cadrage!$E$23)))</f>
        <v/>
      </c>
      <c r="I858">
        <f>IF($A858="","",IF($D858="V01",Cadrage!$C$31,IF($D858="V02",Cadrage!$D$31,Cadrage!$E$31)))</f>
        <v/>
      </c>
      <c r="J858">
        <f>IF($A858="","",IF($D858="V01",Cadrage!$C$32,IF($D858="V02",Cadrage!$D$32,Cadrage!$E$32)))</f>
        <v/>
      </c>
      <c r="K858">
        <f>IF($A858="","",IF($D858="V01",Cadrage!$C$33,IF($D858="V02",Cadrage!$D$33,Cadrage!$E$33)))</f>
        <v/>
      </c>
      <c r="L858">
        <f>IF($A858="","",IF($D858="V01",Cadrage!$C$34,IF($D858="V02",Cadrage!$D$34,Cadrage!$E$34)))</f>
        <v/>
      </c>
      <c r="M858">
        <f>IF($A858="","",IF($D858="V01",Cadrage!$C$35,IF($D858="V02",Cadrage!$D$35,Cadrage!$E$35)))</f>
        <v/>
      </c>
      <c r="N858">
        <f>IF($A858="","",IF($D858="V01",$R$2,IF($D858="V02",$R$3,$R$4)))</f>
        <v/>
      </c>
      <c r="O858">
        <f>IF($A858="","",IF(OR($B858="7062",$B858="706",$B858="708"),$N858,IF($B858="6231",1+$G858,IF($B858="6236",1+$H858,IF(OR($B858="621",$B858="604",$B858="6063"),$N858*(1-$L858),IF(OR($B858="6411",$B858="6413",$B858="6414",$B858="645"),(1+$J858)*(1+$K858),IF(OR($B858="613",$B858="615",$B858="616",$B858="6226",$B858="625",$B858="626",$B858="6281"),(1+$I858)*(1-$L858)*(1+$M858),IF(OR($B858="6331",$B858="63511",$B858="6333"),(1+$I858)*(1-$L858),IF($B858="6811",1+$I858,1)))))))))</f>
        <v/>
      </c>
      <c r="P858">
        <f>IF($A858="","",IF($E858=1,$F858*$O858,PNL!G858))</f>
        <v/>
      </c>
      <c r="T858">
        <f>IF($A858="","",IF($E858=1,IF(OR($B858="7062",$B858="706",$B858="708"),$P858,IF(AND(LEFT($B858,1)="6",$B858&lt;&gt;"6811"),-$P858,0)),0))</f>
        <v/>
      </c>
    </row>
    <row r="859">
      <c r="A859">
        <f>IF(PNL!A859="","",PNL!A859)</f>
        <v/>
      </c>
      <c r="B859">
        <f>IF(PNL!B859="","",PNL!B859)</f>
        <v/>
      </c>
      <c r="C859">
        <f>IF(PNL!C859="","",PNL!C859)</f>
        <v/>
      </c>
      <c r="D859">
        <f>IF(PNL!D859="","",PNL!D859)</f>
        <v/>
      </c>
      <c r="E859">
        <f>IF($A859="","",IF(AND($C859="2027",OR($D859="V01",$D859="V02",$D859="V03")),1,0))</f>
        <v/>
      </c>
      <c r="F859">
        <f>IF($A859="","",IF($E859=1,SUMIFS(Comptabilité!$F$1:$F$675,Comptabilité!$A$1:$A$675,$A859,Comptabilité!$B$1:$B$675,$B859,Comptabilité!$C$1:$C$675,"2026"),0))</f>
        <v/>
      </c>
      <c r="G859">
        <f>IF($A859="","",IF($D859="V01",Cadrage!$C$22,IF($D859="V02",Cadrage!$D$22,Cadrage!$E$22)))</f>
        <v/>
      </c>
      <c r="H859">
        <f>IF($A859="","",IF($D859="V01",Cadrage!$C$23,IF($D859="V02",Cadrage!$D$23,Cadrage!$E$23)))</f>
        <v/>
      </c>
      <c r="I859">
        <f>IF($A859="","",IF($D859="V01",Cadrage!$C$31,IF($D859="V02",Cadrage!$D$31,Cadrage!$E$31)))</f>
        <v/>
      </c>
      <c r="J859">
        <f>IF($A859="","",IF($D859="V01",Cadrage!$C$32,IF($D859="V02",Cadrage!$D$32,Cadrage!$E$32)))</f>
        <v/>
      </c>
      <c r="K859">
        <f>IF($A859="","",IF($D859="V01",Cadrage!$C$33,IF($D859="V02",Cadrage!$D$33,Cadrage!$E$33)))</f>
        <v/>
      </c>
      <c r="L859">
        <f>IF($A859="","",IF($D859="V01",Cadrage!$C$34,IF($D859="V02",Cadrage!$D$34,Cadrage!$E$34)))</f>
        <v/>
      </c>
      <c r="M859">
        <f>IF($A859="","",IF($D859="V01",Cadrage!$C$35,IF($D859="V02",Cadrage!$D$35,Cadrage!$E$35)))</f>
        <v/>
      </c>
      <c r="N859">
        <f>IF($A859="","",IF($D859="V01",$R$2,IF($D859="V02",$R$3,$R$4)))</f>
        <v/>
      </c>
      <c r="O859">
        <f>IF($A859="","",IF(OR($B859="7062",$B859="706",$B859="708"),$N859,IF($B859="6231",1+$G859,IF($B859="6236",1+$H859,IF(OR($B859="621",$B859="604",$B859="6063"),$N859*(1-$L859),IF(OR($B859="6411",$B859="6413",$B859="6414",$B859="645"),(1+$J859)*(1+$K859),IF(OR($B859="613",$B859="615",$B859="616",$B859="6226",$B859="625",$B859="626",$B859="6281"),(1+$I859)*(1-$L859)*(1+$M859),IF(OR($B859="6331",$B859="63511",$B859="6333"),(1+$I859)*(1-$L859),IF($B859="6811",1+$I859,1)))))))))</f>
        <v/>
      </c>
      <c r="P859">
        <f>IF($A859="","",IF($E859=1,$F859*$O859,PNL!G859))</f>
        <v/>
      </c>
      <c r="T859">
        <f>IF($A859="","",IF($E859=1,IF(OR($B859="7062",$B859="706",$B859="708"),$P859,IF(AND(LEFT($B859,1)="6",$B859&lt;&gt;"6811"),-$P859,0)),0))</f>
        <v/>
      </c>
    </row>
    <row r="860">
      <c r="A860">
        <f>IF(PNL!A860="","",PNL!A860)</f>
        <v/>
      </c>
      <c r="B860">
        <f>IF(PNL!B860="","",PNL!B860)</f>
        <v/>
      </c>
      <c r="C860">
        <f>IF(PNL!C860="","",PNL!C860)</f>
        <v/>
      </c>
      <c r="D860">
        <f>IF(PNL!D860="","",PNL!D860)</f>
        <v/>
      </c>
      <c r="E860">
        <f>IF($A860="","",IF(AND($C860="2027",OR($D860="V01",$D860="V02",$D860="V03")),1,0))</f>
        <v/>
      </c>
      <c r="F860">
        <f>IF($A860="","",IF($E860=1,SUMIFS(Comptabilité!$F$1:$F$675,Comptabilité!$A$1:$A$675,$A860,Comptabilité!$B$1:$B$675,$B860,Comptabilité!$C$1:$C$675,"2026"),0))</f>
        <v/>
      </c>
      <c r="G860">
        <f>IF($A860="","",IF($D860="V01",Cadrage!$C$22,IF($D860="V02",Cadrage!$D$22,Cadrage!$E$22)))</f>
        <v/>
      </c>
      <c r="H860">
        <f>IF($A860="","",IF($D860="V01",Cadrage!$C$23,IF($D860="V02",Cadrage!$D$23,Cadrage!$E$23)))</f>
        <v/>
      </c>
      <c r="I860">
        <f>IF($A860="","",IF($D860="V01",Cadrage!$C$31,IF($D860="V02",Cadrage!$D$31,Cadrage!$E$31)))</f>
        <v/>
      </c>
      <c r="J860">
        <f>IF($A860="","",IF($D860="V01",Cadrage!$C$32,IF($D860="V02",Cadrage!$D$32,Cadrage!$E$32)))</f>
        <v/>
      </c>
      <c r="K860">
        <f>IF($A860="","",IF($D860="V01",Cadrage!$C$33,IF($D860="V02",Cadrage!$D$33,Cadrage!$E$33)))</f>
        <v/>
      </c>
      <c r="L860">
        <f>IF($A860="","",IF($D860="V01",Cadrage!$C$34,IF($D860="V02",Cadrage!$D$34,Cadrage!$E$34)))</f>
        <v/>
      </c>
      <c r="M860">
        <f>IF($A860="","",IF($D860="V01",Cadrage!$C$35,IF($D860="V02",Cadrage!$D$35,Cadrage!$E$35)))</f>
        <v/>
      </c>
      <c r="N860">
        <f>IF($A860="","",IF($D860="V01",$R$2,IF($D860="V02",$R$3,$R$4)))</f>
        <v/>
      </c>
      <c r="O860">
        <f>IF($A860="","",IF(OR($B860="7062",$B860="706",$B860="708"),$N860,IF($B860="6231",1+$G860,IF($B860="6236",1+$H860,IF(OR($B860="621",$B860="604",$B860="6063"),$N860*(1-$L860),IF(OR($B860="6411",$B860="6413",$B860="6414",$B860="645"),(1+$J860)*(1+$K860),IF(OR($B860="613",$B860="615",$B860="616",$B860="6226",$B860="625",$B860="626",$B860="6281"),(1+$I860)*(1-$L860)*(1+$M860),IF(OR($B860="6331",$B860="63511",$B860="6333"),(1+$I860)*(1-$L860),IF($B860="6811",1+$I860,1)))))))))</f>
        <v/>
      </c>
      <c r="P860">
        <f>IF($A860="","",IF($E860=1,$F860*$O860,PNL!G860))</f>
        <v/>
      </c>
      <c r="T860">
        <f>IF($A860="","",IF($E860=1,IF(OR($B860="7062",$B860="706",$B860="708"),$P860,IF(AND(LEFT($B860,1)="6",$B860&lt;&gt;"6811"),-$P860,0)),0))</f>
        <v/>
      </c>
    </row>
    <row r="861">
      <c r="A861">
        <f>IF(PNL!A861="","",PNL!A861)</f>
        <v/>
      </c>
      <c r="B861">
        <f>IF(PNL!B861="","",PNL!B861)</f>
        <v/>
      </c>
      <c r="C861">
        <f>IF(PNL!C861="","",PNL!C861)</f>
        <v/>
      </c>
      <c r="D861">
        <f>IF(PNL!D861="","",PNL!D861)</f>
        <v/>
      </c>
      <c r="E861">
        <f>IF($A861="","",IF(AND($C861="2027",OR($D861="V01",$D861="V02",$D861="V03")),1,0))</f>
        <v/>
      </c>
      <c r="F861">
        <f>IF($A861="","",IF($E861=1,SUMIFS(Comptabilité!$F$1:$F$675,Comptabilité!$A$1:$A$675,$A861,Comptabilité!$B$1:$B$675,$B861,Comptabilité!$C$1:$C$675,"2026"),0))</f>
        <v/>
      </c>
      <c r="G861">
        <f>IF($A861="","",IF($D861="V01",Cadrage!$C$22,IF($D861="V02",Cadrage!$D$22,Cadrage!$E$22)))</f>
        <v/>
      </c>
      <c r="H861">
        <f>IF($A861="","",IF($D861="V01",Cadrage!$C$23,IF($D861="V02",Cadrage!$D$23,Cadrage!$E$23)))</f>
        <v/>
      </c>
      <c r="I861">
        <f>IF($A861="","",IF($D861="V01",Cadrage!$C$31,IF($D861="V02",Cadrage!$D$31,Cadrage!$E$31)))</f>
        <v/>
      </c>
      <c r="J861">
        <f>IF($A861="","",IF($D861="V01",Cadrage!$C$32,IF($D861="V02",Cadrage!$D$32,Cadrage!$E$32)))</f>
        <v/>
      </c>
      <c r="K861">
        <f>IF($A861="","",IF($D861="V01",Cadrage!$C$33,IF($D861="V02",Cadrage!$D$33,Cadrage!$E$33)))</f>
        <v/>
      </c>
      <c r="L861">
        <f>IF($A861="","",IF($D861="V01",Cadrage!$C$34,IF($D861="V02",Cadrage!$D$34,Cadrage!$E$34)))</f>
        <v/>
      </c>
      <c r="M861">
        <f>IF($A861="","",IF($D861="V01",Cadrage!$C$35,IF($D861="V02",Cadrage!$D$35,Cadrage!$E$35)))</f>
        <v/>
      </c>
      <c r="N861">
        <f>IF($A861="","",IF($D861="V01",$R$2,IF($D861="V02",$R$3,$R$4)))</f>
        <v/>
      </c>
      <c r="O861">
        <f>IF($A861="","",IF(OR($B861="7062",$B861="706",$B861="708"),$N861,IF($B861="6231",1+$G861,IF($B861="6236",1+$H861,IF(OR($B861="621",$B861="604",$B861="6063"),$N861*(1-$L861),IF(OR($B861="6411",$B861="6413",$B861="6414",$B861="645"),(1+$J861)*(1+$K861),IF(OR($B861="613",$B861="615",$B861="616",$B861="6226",$B861="625",$B861="626",$B861="6281"),(1+$I861)*(1-$L861)*(1+$M861),IF(OR($B861="6331",$B861="63511",$B861="6333"),(1+$I861)*(1-$L861),IF($B861="6811",1+$I861,1)))))))))</f>
        <v/>
      </c>
      <c r="P861">
        <f>IF($A861="","",IF($E861=1,$F861*$O861,PNL!G861))</f>
        <v/>
      </c>
      <c r="T861">
        <f>IF($A861="","",IF($E861=1,IF(OR($B861="7062",$B861="706",$B861="708"),$P861,IF(AND(LEFT($B861,1)="6",$B861&lt;&gt;"6811"),-$P861,0)),0))</f>
        <v/>
      </c>
    </row>
    <row r="862">
      <c r="A862">
        <f>IF(PNL!A862="","",PNL!A862)</f>
        <v/>
      </c>
      <c r="B862">
        <f>IF(PNL!B862="","",PNL!B862)</f>
        <v/>
      </c>
      <c r="C862">
        <f>IF(PNL!C862="","",PNL!C862)</f>
        <v/>
      </c>
      <c r="D862">
        <f>IF(PNL!D862="","",PNL!D862)</f>
        <v/>
      </c>
      <c r="E862">
        <f>IF($A862="","",IF(AND($C862="2027",OR($D862="V01",$D862="V02",$D862="V03")),1,0))</f>
        <v/>
      </c>
      <c r="F862">
        <f>IF($A862="","",IF($E862=1,SUMIFS(Comptabilité!$F$1:$F$675,Comptabilité!$A$1:$A$675,$A862,Comptabilité!$B$1:$B$675,$B862,Comptabilité!$C$1:$C$675,"2026"),0))</f>
        <v/>
      </c>
      <c r="G862">
        <f>IF($A862="","",IF($D862="V01",Cadrage!$C$22,IF($D862="V02",Cadrage!$D$22,Cadrage!$E$22)))</f>
        <v/>
      </c>
      <c r="H862">
        <f>IF($A862="","",IF($D862="V01",Cadrage!$C$23,IF($D862="V02",Cadrage!$D$23,Cadrage!$E$23)))</f>
        <v/>
      </c>
      <c r="I862">
        <f>IF($A862="","",IF($D862="V01",Cadrage!$C$31,IF($D862="V02",Cadrage!$D$31,Cadrage!$E$31)))</f>
        <v/>
      </c>
      <c r="J862">
        <f>IF($A862="","",IF($D862="V01",Cadrage!$C$32,IF($D862="V02",Cadrage!$D$32,Cadrage!$E$32)))</f>
        <v/>
      </c>
      <c r="K862">
        <f>IF($A862="","",IF($D862="V01",Cadrage!$C$33,IF($D862="V02",Cadrage!$D$33,Cadrage!$E$33)))</f>
        <v/>
      </c>
      <c r="L862">
        <f>IF($A862="","",IF($D862="V01",Cadrage!$C$34,IF($D862="V02",Cadrage!$D$34,Cadrage!$E$34)))</f>
        <v/>
      </c>
      <c r="M862">
        <f>IF($A862="","",IF($D862="V01",Cadrage!$C$35,IF($D862="V02",Cadrage!$D$35,Cadrage!$E$35)))</f>
        <v/>
      </c>
      <c r="N862">
        <f>IF($A862="","",IF($D862="V01",$R$2,IF($D862="V02",$R$3,$R$4)))</f>
        <v/>
      </c>
      <c r="O862">
        <f>IF($A862="","",IF(OR($B862="7062",$B862="706",$B862="708"),$N862,IF($B862="6231",1+$G862,IF($B862="6236",1+$H862,IF(OR($B862="621",$B862="604",$B862="6063"),$N862*(1-$L862),IF(OR($B862="6411",$B862="6413",$B862="6414",$B862="645"),(1+$J862)*(1+$K862),IF(OR($B862="613",$B862="615",$B862="616",$B862="6226",$B862="625",$B862="626",$B862="6281"),(1+$I862)*(1-$L862)*(1+$M862),IF(OR($B862="6331",$B862="63511",$B862="6333"),(1+$I862)*(1-$L862),IF($B862="6811",1+$I862,1)))))))))</f>
        <v/>
      </c>
      <c r="P862">
        <f>IF($A862="","",IF($E862=1,$F862*$O862,PNL!G862))</f>
        <v/>
      </c>
      <c r="T862">
        <f>IF($A862="","",IF($E862=1,IF(OR($B862="7062",$B862="706",$B862="708"),$P862,IF(AND(LEFT($B862,1)="6",$B862&lt;&gt;"6811"),-$P862,0)),0))</f>
        <v/>
      </c>
    </row>
    <row r="863">
      <c r="A863">
        <f>IF(PNL!A863="","",PNL!A863)</f>
        <v/>
      </c>
      <c r="B863">
        <f>IF(PNL!B863="","",PNL!B863)</f>
        <v/>
      </c>
      <c r="C863">
        <f>IF(PNL!C863="","",PNL!C863)</f>
        <v/>
      </c>
      <c r="D863">
        <f>IF(PNL!D863="","",PNL!D863)</f>
        <v/>
      </c>
      <c r="E863">
        <f>IF($A863="","",IF(AND($C863="2027",OR($D863="V01",$D863="V02",$D863="V03")),1,0))</f>
        <v/>
      </c>
      <c r="F863">
        <f>IF($A863="","",IF($E863=1,SUMIFS(Comptabilité!$F$1:$F$675,Comptabilité!$A$1:$A$675,$A863,Comptabilité!$B$1:$B$675,$B863,Comptabilité!$C$1:$C$675,"2026"),0))</f>
        <v/>
      </c>
      <c r="G863">
        <f>IF($A863="","",IF($D863="V01",Cadrage!$C$22,IF($D863="V02",Cadrage!$D$22,Cadrage!$E$22)))</f>
        <v/>
      </c>
      <c r="H863">
        <f>IF($A863="","",IF($D863="V01",Cadrage!$C$23,IF($D863="V02",Cadrage!$D$23,Cadrage!$E$23)))</f>
        <v/>
      </c>
      <c r="I863">
        <f>IF($A863="","",IF($D863="V01",Cadrage!$C$31,IF($D863="V02",Cadrage!$D$31,Cadrage!$E$31)))</f>
        <v/>
      </c>
      <c r="J863">
        <f>IF($A863="","",IF($D863="V01",Cadrage!$C$32,IF($D863="V02",Cadrage!$D$32,Cadrage!$E$32)))</f>
        <v/>
      </c>
      <c r="K863">
        <f>IF($A863="","",IF($D863="V01",Cadrage!$C$33,IF($D863="V02",Cadrage!$D$33,Cadrage!$E$33)))</f>
        <v/>
      </c>
      <c r="L863">
        <f>IF($A863="","",IF($D863="V01",Cadrage!$C$34,IF($D863="V02",Cadrage!$D$34,Cadrage!$E$34)))</f>
        <v/>
      </c>
      <c r="M863">
        <f>IF($A863="","",IF($D863="V01",Cadrage!$C$35,IF($D863="V02",Cadrage!$D$35,Cadrage!$E$35)))</f>
        <v/>
      </c>
      <c r="N863">
        <f>IF($A863="","",IF($D863="V01",$R$2,IF($D863="V02",$R$3,$R$4)))</f>
        <v/>
      </c>
      <c r="O863">
        <f>IF($A863="","",IF(OR($B863="7062",$B863="706",$B863="708"),$N863,IF($B863="6231",1+$G863,IF($B863="6236",1+$H863,IF(OR($B863="621",$B863="604",$B863="6063"),$N863*(1-$L863),IF(OR($B863="6411",$B863="6413",$B863="6414",$B863="645"),(1+$J863)*(1+$K863),IF(OR($B863="613",$B863="615",$B863="616",$B863="6226",$B863="625",$B863="626",$B863="6281"),(1+$I863)*(1-$L863)*(1+$M863),IF(OR($B863="6331",$B863="63511",$B863="6333"),(1+$I863)*(1-$L863),IF($B863="6811",1+$I863,1)))))))))</f>
        <v/>
      </c>
      <c r="P863">
        <f>IF($A863="","",IF($E863=1,$F863*$O863,PNL!G863))</f>
        <v/>
      </c>
      <c r="T863">
        <f>IF($A863="","",IF($E863=1,IF(OR($B863="7062",$B863="706",$B863="708"),$P863,IF(AND(LEFT($B863,1)="6",$B863&lt;&gt;"6811"),-$P863,0)),0))</f>
        <v/>
      </c>
    </row>
    <row r="864">
      <c r="A864">
        <f>IF(PNL!A864="","",PNL!A864)</f>
        <v/>
      </c>
      <c r="B864">
        <f>IF(PNL!B864="","",PNL!B864)</f>
        <v/>
      </c>
      <c r="C864">
        <f>IF(PNL!C864="","",PNL!C864)</f>
        <v/>
      </c>
      <c r="D864">
        <f>IF(PNL!D864="","",PNL!D864)</f>
        <v/>
      </c>
      <c r="E864">
        <f>IF($A864="","",IF(AND($C864="2027",OR($D864="V01",$D864="V02",$D864="V03")),1,0))</f>
        <v/>
      </c>
      <c r="F864">
        <f>IF($A864="","",IF($E864=1,SUMIFS(Comptabilité!$F$1:$F$675,Comptabilité!$A$1:$A$675,$A864,Comptabilité!$B$1:$B$675,$B864,Comptabilité!$C$1:$C$675,"2026"),0))</f>
        <v/>
      </c>
      <c r="G864">
        <f>IF($A864="","",IF($D864="V01",Cadrage!$C$22,IF($D864="V02",Cadrage!$D$22,Cadrage!$E$22)))</f>
        <v/>
      </c>
      <c r="H864">
        <f>IF($A864="","",IF($D864="V01",Cadrage!$C$23,IF($D864="V02",Cadrage!$D$23,Cadrage!$E$23)))</f>
        <v/>
      </c>
      <c r="I864">
        <f>IF($A864="","",IF($D864="V01",Cadrage!$C$31,IF($D864="V02",Cadrage!$D$31,Cadrage!$E$31)))</f>
        <v/>
      </c>
      <c r="J864">
        <f>IF($A864="","",IF($D864="V01",Cadrage!$C$32,IF($D864="V02",Cadrage!$D$32,Cadrage!$E$32)))</f>
        <v/>
      </c>
      <c r="K864">
        <f>IF($A864="","",IF($D864="V01",Cadrage!$C$33,IF($D864="V02",Cadrage!$D$33,Cadrage!$E$33)))</f>
        <v/>
      </c>
      <c r="L864">
        <f>IF($A864="","",IF($D864="V01",Cadrage!$C$34,IF($D864="V02",Cadrage!$D$34,Cadrage!$E$34)))</f>
        <v/>
      </c>
      <c r="M864">
        <f>IF($A864="","",IF($D864="V01",Cadrage!$C$35,IF($D864="V02",Cadrage!$D$35,Cadrage!$E$35)))</f>
        <v/>
      </c>
      <c r="N864">
        <f>IF($A864="","",IF($D864="V01",$R$2,IF($D864="V02",$R$3,$R$4)))</f>
        <v/>
      </c>
      <c r="O864">
        <f>IF($A864="","",IF(OR($B864="7062",$B864="706",$B864="708"),$N864,IF($B864="6231",1+$G864,IF($B864="6236",1+$H864,IF(OR($B864="621",$B864="604",$B864="6063"),$N864*(1-$L864),IF(OR($B864="6411",$B864="6413",$B864="6414",$B864="645"),(1+$J864)*(1+$K864),IF(OR($B864="613",$B864="615",$B864="616",$B864="6226",$B864="625",$B864="626",$B864="6281"),(1+$I864)*(1-$L864)*(1+$M864),IF(OR($B864="6331",$B864="63511",$B864="6333"),(1+$I864)*(1-$L864),IF($B864="6811",1+$I864,1)))))))))</f>
        <v/>
      </c>
      <c r="P864">
        <f>IF($A864="","",IF($E864=1,$F864*$O864,PNL!G864))</f>
        <v/>
      </c>
      <c r="T864">
        <f>IF($A864="","",IF($E864=1,IF(OR($B864="7062",$B864="706",$B864="708"),$P864,IF(AND(LEFT($B864,1)="6",$B864&lt;&gt;"6811"),-$P864,0)),0))</f>
        <v/>
      </c>
    </row>
    <row r="865">
      <c r="A865">
        <f>IF(PNL!A865="","",PNL!A865)</f>
        <v/>
      </c>
      <c r="B865">
        <f>IF(PNL!B865="","",PNL!B865)</f>
        <v/>
      </c>
      <c r="C865">
        <f>IF(PNL!C865="","",PNL!C865)</f>
        <v/>
      </c>
      <c r="D865">
        <f>IF(PNL!D865="","",PNL!D865)</f>
        <v/>
      </c>
      <c r="E865">
        <f>IF($A865="","",IF(AND($C865="2027",OR($D865="V01",$D865="V02",$D865="V03")),1,0))</f>
        <v/>
      </c>
      <c r="F865">
        <f>IF($A865="","",IF($E865=1,SUMIFS(Comptabilité!$F$1:$F$675,Comptabilité!$A$1:$A$675,$A865,Comptabilité!$B$1:$B$675,$B865,Comptabilité!$C$1:$C$675,"2026"),0))</f>
        <v/>
      </c>
      <c r="G865">
        <f>IF($A865="","",IF($D865="V01",Cadrage!$C$22,IF($D865="V02",Cadrage!$D$22,Cadrage!$E$22)))</f>
        <v/>
      </c>
      <c r="H865">
        <f>IF($A865="","",IF($D865="V01",Cadrage!$C$23,IF($D865="V02",Cadrage!$D$23,Cadrage!$E$23)))</f>
        <v/>
      </c>
      <c r="I865">
        <f>IF($A865="","",IF($D865="V01",Cadrage!$C$31,IF($D865="V02",Cadrage!$D$31,Cadrage!$E$31)))</f>
        <v/>
      </c>
      <c r="J865">
        <f>IF($A865="","",IF($D865="V01",Cadrage!$C$32,IF($D865="V02",Cadrage!$D$32,Cadrage!$E$32)))</f>
        <v/>
      </c>
      <c r="K865">
        <f>IF($A865="","",IF($D865="V01",Cadrage!$C$33,IF($D865="V02",Cadrage!$D$33,Cadrage!$E$33)))</f>
        <v/>
      </c>
      <c r="L865">
        <f>IF($A865="","",IF($D865="V01",Cadrage!$C$34,IF($D865="V02",Cadrage!$D$34,Cadrage!$E$34)))</f>
        <v/>
      </c>
      <c r="M865">
        <f>IF($A865="","",IF($D865="V01",Cadrage!$C$35,IF($D865="V02",Cadrage!$D$35,Cadrage!$E$35)))</f>
        <v/>
      </c>
      <c r="N865">
        <f>IF($A865="","",IF($D865="V01",$R$2,IF($D865="V02",$R$3,$R$4)))</f>
        <v/>
      </c>
      <c r="O865">
        <f>IF($A865="","",IF(OR($B865="7062",$B865="706",$B865="708"),$N865,IF($B865="6231",1+$G865,IF($B865="6236",1+$H865,IF(OR($B865="621",$B865="604",$B865="6063"),$N865*(1-$L865),IF(OR($B865="6411",$B865="6413",$B865="6414",$B865="645"),(1+$J865)*(1+$K865),IF(OR($B865="613",$B865="615",$B865="616",$B865="6226",$B865="625",$B865="626",$B865="6281"),(1+$I865)*(1-$L865)*(1+$M865),IF(OR($B865="6331",$B865="63511",$B865="6333"),(1+$I865)*(1-$L865),IF($B865="6811",1+$I865,1)))))))))</f>
        <v/>
      </c>
      <c r="P865">
        <f>IF($A865="","",IF($E865=1,$F865*$O865,PNL!G865))</f>
        <v/>
      </c>
      <c r="T865">
        <f>IF($A865="","",IF($E865=1,IF(OR($B865="7062",$B865="706",$B865="708"),$P865,IF(AND(LEFT($B865,1)="6",$B865&lt;&gt;"6811"),-$P865,0)),0))</f>
        <v/>
      </c>
    </row>
    <row r="866">
      <c r="A866">
        <f>IF(PNL!A866="","",PNL!A866)</f>
        <v/>
      </c>
      <c r="B866">
        <f>IF(PNL!B866="","",PNL!B866)</f>
        <v/>
      </c>
      <c r="C866">
        <f>IF(PNL!C866="","",PNL!C866)</f>
        <v/>
      </c>
      <c r="D866">
        <f>IF(PNL!D866="","",PNL!D866)</f>
        <v/>
      </c>
      <c r="E866">
        <f>IF($A866="","",IF(AND($C866="2027",OR($D866="V01",$D866="V02",$D866="V03")),1,0))</f>
        <v/>
      </c>
      <c r="F866">
        <f>IF($A866="","",IF($E866=1,SUMIFS(Comptabilité!$F$1:$F$675,Comptabilité!$A$1:$A$675,$A866,Comptabilité!$B$1:$B$675,$B866,Comptabilité!$C$1:$C$675,"2026"),0))</f>
        <v/>
      </c>
      <c r="G866">
        <f>IF($A866="","",IF($D866="V01",Cadrage!$C$22,IF($D866="V02",Cadrage!$D$22,Cadrage!$E$22)))</f>
        <v/>
      </c>
      <c r="H866">
        <f>IF($A866="","",IF($D866="V01",Cadrage!$C$23,IF($D866="V02",Cadrage!$D$23,Cadrage!$E$23)))</f>
        <v/>
      </c>
      <c r="I866">
        <f>IF($A866="","",IF($D866="V01",Cadrage!$C$31,IF($D866="V02",Cadrage!$D$31,Cadrage!$E$31)))</f>
        <v/>
      </c>
      <c r="J866">
        <f>IF($A866="","",IF($D866="V01",Cadrage!$C$32,IF($D866="V02",Cadrage!$D$32,Cadrage!$E$32)))</f>
        <v/>
      </c>
      <c r="K866">
        <f>IF($A866="","",IF($D866="V01",Cadrage!$C$33,IF($D866="V02",Cadrage!$D$33,Cadrage!$E$33)))</f>
        <v/>
      </c>
      <c r="L866">
        <f>IF($A866="","",IF($D866="V01",Cadrage!$C$34,IF($D866="V02",Cadrage!$D$34,Cadrage!$E$34)))</f>
        <v/>
      </c>
      <c r="M866">
        <f>IF($A866="","",IF($D866="V01",Cadrage!$C$35,IF($D866="V02",Cadrage!$D$35,Cadrage!$E$35)))</f>
        <v/>
      </c>
      <c r="N866">
        <f>IF($A866="","",IF($D866="V01",$R$2,IF($D866="V02",$R$3,$R$4)))</f>
        <v/>
      </c>
      <c r="O866">
        <f>IF($A866="","",IF(OR($B866="7062",$B866="706",$B866="708"),$N866,IF($B866="6231",1+$G866,IF($B866="6236",1+$H866,IF(OR($B866="621",$B866="604",$B866="6063"),$N866*(1-$L866),IF(OR($B866="6411",$B866="6413",$B866="6414",$B866="645"),(1+$J866)*(1+$K866),IF(OR($B866="613",$B866="615",$B866="616",$B866="6226",$B866="625",$B866="626",$B866="6281"),(1+$I866)*(1-$L866)*(1+$M866),IF(OR($B866="6331",$B866="63511",$B866="6333"),(1+$I866)*(1-$L866),IF($B866="6811",1+$I866,1)))))))))</f>
        <v/>
      </c>
      <c r="P866">
        <f>IF($A866="","",IF($E866=1,$F866*$O866,PNL!G866))</f>
        <v/>
      </c>
      <c r="T866">
        <f>IF($A866="","",IF($E866=1,IF(OR($B866="7062",$B866="706",$B866="708"),$P866,IF(AND(LEFT($B866,1)="6",$B866&lt;&gt;"6811"),-$P866,0)),0))</f>
        <v/>
      </c>
    </row>
    <row r="867">
      <c r="A867">
        <f>IF(PNL!A867="","",PNL!A867)</f>
        <v/>
      </c>
      <c r="B867">
        <f>IF(PNL!B867="","",PNL!B867)</f>
        <v/>
      </c>
      <c r="C867">
        <f>IF(PNL!C867="","",PNL!C867)</f>
        <v/>
      </c>
      <c r="D867">
        <f>IF(PNL!D867="","",PNL!D867)</f>
        <v/>
      </c>
      <c r="E867">
        <f>IF($A867="","",IF(AND($C867="2027",OR($D867="V01",$D867="V02",$D867="V03")),1,0))</f>
        <v/>
      </c>
      <c r="F867">
        <f>IF($A867="","",IF($E867=1,SUMIFS(Comptabilité!$F$1:$F$675,Comptabilité!$A$1:$A$675,$A867,Comptabilité!$B$1:$B$675,$B867,Comptabilité!$C$1:$C$675,"2026"),0))</f>
        <v/>
      </c>
      <c r="G867">
        <f>IF($A867="","",IF($D867="V01",Cadrage!$C$22,IF($D867="V02",Cadrage!$D$22,Cadrage!$E$22)))</f>
        <v/>
      </c>
      <c r="H867">
        <f>IF($A867="","",IF($D867="V01",Cadrage!$C$23,IF($D867="V02",Cadrage!$D$23,Cadrage!$E$23)))</f>
        <v/>
      </c>
      <c r="I867">
        <f>IF($A867="","",IF($D867="V01",Cadrage!$C$31,IF($D867="V02",Cadrage!$D$31,Cadrage!$E$31)))</f>
        <v/>
      </c>
      <c r="J867">
        <f>IF($A867="","",IF($D867="V01",Cadrage!$C$32,IF($D867="V02",Cadrage!$D$32,Cadrage!$E$32)))</f>
        <v/>
      </c>
      <c r="K867">
        <f>IF($A867="","",IF($D867="V01",Cadrage!$C$33,IF($D867="V02",Cadrage!$D$33,Cadrage!$E$33)))</f>
        <v/>
      </c>
      <c r="L867">
        <f>IF($A867="","",IF($D867="V01",Cadrage!$C$34,IF($D867="V02",Cadrage!$D$34,Cadrage!$E$34)))</f>
        <v/>
      </c>
      <c r="M867">
        <f>IF($A867="","",IF($D867="V01",Cadrage!$C$35,IF($D867="V02",Cadrage!$D$35,Cadrage!$E$35)))</f>
        <v/>
      </c>
      <c r="N867">
        <f>IF($A867="","",IF($D867="V01",$R$2,IF($D867="V02",$R$3,$R$4)))</f>
        <v/>
      </c>
      <c r="O867">
        <f>IF($A867="","",IF(OR($B867="7062",$B867="706",$B867="708"),$N867,IF($B867="6231",1+$G867,IF($B867="6236",1+$H867,IF(OR($B867="621",$B867="604",$B867="6063"),$N867*(1-$L867),IF(OR($B867="6411",$B867="6413",$B867="6414",$B867="645"),(1+$J867)*(1+$K867),IF(OR($B867="613",$B867="615",$B867="616",$B867="6226",$B867="625",$B867="626",$B867="6281"),(1+$I867)*(1-$L867)*(1+$M867),IF(OR($B867="6331",$B867="63511",$B867="6333"),(1+$I867)*(1-$L867),IF($B867="6811",1+$I867,1)))))))))</f>
        <v/>
      </c>
      <c r="P867">
        <f>IF($A867="","",IF($E867=1,$F867*$O867,PNL!G867))</f>
        <v/>
      </c>
      <c r="T867">
        <f>IF($A867="","",IF($E867=1,IF(OR($B867="7062",$B867="706",$B867="708"),$P867,IF(AND(LEFT($B867,1)="6",$B867&lt;&gt;"6811"),-$P867,0)),0))</f>
        <v/>
      </c>
    </row>
    <row r="868">
      <c r="A868">
        <f>IF(PNL!A868="","",PNL!A868)</f>
        <v/>
      </c>
      <c r="B868">
        <f>IF(PNL!B868="","",PNL!B868)</f>
        <v/>
      </c>
      <c r="C868">
        <f>IF(PNL!C868="","",PNL!C868)</f>
        <v/>
      </c>
      <c r="D868">
        <f>IF(PNL!D868="","",PNL!D868)</f>
        <v/>
      </c>
      <c r="E868">
        <f>IF($A868="","",IF(AND($C868="2027",OR($D868="V01",$D868="V02",$D868="V03")),1,0))</f>
        <v/>
      </c>
      <c r="F868">
        <f>IF($A868="","",IF($E868=1,SUMIFS(Comptabilité!$F$1:$F$675,Comptabilité!$A$1:$A$675,$A868,Comptabilité!$B$1:$B$675,$B868,Comptabilité!$C$1:$C$675,"2026"),0))</f>
        <v/>
      </c>
      <c r="G868">
        <f>IF($A868="","",IF($D868="V01",Cadrage!$C$22,IF($D868="V02",Cadrage!$D$22,Cadrage!$E$22)))</f>
        <v/>
      </c>
      <c r="H868">
        <f>IF($A868="","",IF($D868="V01",Cadrage!$C$23,IF($D868="V02",Cadrage!$D$23,Cadrage!$E$23)))</f>
        <v/>
      </c>
      <c r="I868">
        <f>IF($A868="","",IF($D868="V01",Cadrage!$C$31,IF($D868="V02",Cadrage!$D$31,Cadrage!$E$31)))</f>
        <v/>
      </c>
      <c r="J868">
        <f>IF($A868="","",IF($D868="V01",Cadrage!$C$32,IF($D868="V02",Cadrage!$D$32,Cadrage!$E$32)))</f>
        <v/>
      </c>
      <c r="K868">
        <f>IF($A868="","",IF($D868="V01",Cadrage!$C$33,IF($D868="V02",Cadrage!$D$33,Cadrage!$E$33)))</f>
        <v/>
      </c>
      <c r="L868">
        <f>IF($A868="","",IF($D868="V01",Cadrage!$C$34,IF($D868="V02",Cadrage!$D$34,Cadrage!$E$34)))</f>
        <v/>
      </c>
      <c r="M868">
        <f>IF($A868="","",IF($D868="V01",Cadrage!$C$35,IF($D868="V02",Cadrage!$D$35,Cadrage!$E$35)))</f>
        <v/>
      </c>
      <c r="N868">
        <f>IF($A868="","",IF($D868="V01",$R$2,IF($D868="V02",$R$3,$R$4)))</f>
        <v/>
      </c>
      <c r="O868">
        <f>IF($A868="","",IF(OR($B868="7062",$B868="706",$B868="708"),$N868,IF($B868="6231",1+$G868,IF($B868="6236",1+$H868,IF(OR($B868="621",$B868="604",$B868="6063"),$N868*(1-$L868),IF(OR($B868="6411",$B868="6413",$B868="6414",$B868="645"),(1+$J868)*(1+$K868),IF(OR($B868="613",$B868="615",$B868="616",$B868="6226",$B868="625",$B868="626",$B868="6281"),(1+$I868)*(1-$L868)*(1+$M868),IF(OR($B868="6331",$B868="63511",$B868="6333"),(1+$I868)*(1-$L868),IF($B868="6811",1+$I868,1)))))))))</f>
        <v/>
      </c>
      <c r="P868">
        <f>IF($A868="","",IF($E868=1,$F868*$O868,PNL!G868))</f>
        <v/>
      </c>
      <c r="T868">
        <f>IF($A868="","",IF($E868=1,IF(OR($B868="7062",$B868="706",$B868="708"),$P868,IF(AND(LEFT($B868,1)="6",$B868&lt;&gt;"6811"),-$P868,0)),0))</f>
        <v/>
      </c>
    </row>
    <row r="869">
      <c r="A869">
        <f>IF(PNL!A869="","",PNL!A869)</f>
        <v/>
      </c>
      <c r="B869">
        <f>IF(PNL!B869="","",PNL!B869)</f>
        <v/>
      </c>
      <c r="C869">
        <f>IF(PNL!C869="","",PNL!C869)</f>
        <v/>
      </c>
      <c r="D869">
        <f>IF(PNL!D869="","",PNL!D869)</f>
        <v/>
      </c>
      <c r="E869">
        <f>IF($A869="","",IF(AND($C869="2027",OR($D869="V01",$D869="V02",$D869="V03")),1,0))</f>
        <v/>
      </c>
      <c r="F869">
        <f>IF($A869="","",IF($E869=1,SUMIFS(Comptabilité!$F$1:$F$675,Comptabilité!$A$1:$A$675,$A869,Comptabilité!$B$1:$B$675,$B869,Comptabilité!$C$1:$C$675,"2026"),0))</f>
        <v/>
      </c>
      <c r="G869">
        <f>IF($A869="","",IF($D869="V01",Cadrage!$C$22,IF($D869="V02",Cadrage!$D$22,Cadrage!$E$22)))</f>
        <v/>
      </c>
      <c r="H869">
        <f>IF($A869="","",IF($D869="V01",Cadrage!$C$23,IF($D869="V02",Cadrage!$D$23,Cadrage!$E$23)))</f>
        <v/>
      </c>
      <c r="I869">
        <f>IF($A869="","",IF($D869="V01",Cadrage!$C$31,IF($D869="V02",Cadrage!$D$31,Cadrage!$E$31)))</f>
        <v/>
      </c>
      <c r="J869">
        <f>IF($A869="","",IF($D869="V01",Cadrage!$C$32,IF($D869="V02",Cadrage!$D$32,Cadrage!$E$32)))</f>
        <v/>
      </c>
      <c r="K869">
        <f>IF($A869="","",IF($D869="V01",Cadrage!$C$33,IF($D869="V02",Cadrage!$D$33,Cadrage!$E$33)))</f>
        <v/>
      </c>
      <c r="L869">
        <f>IF($A869="","",IF($D869="V01",Cadrage!$C$34,IF($D869="V02",Cadrage!$D$34,Cadrage!$E$34)))</f>
        <v/>
      </c>
      <c r="M869">
        <f>IF($A869="","",IF($D869="V01",Cadrage!$C$35,IF($D869="V02",Cadrage!$D$35,Cadrage!$E$35)))</f>
        <v/>
      </c>
      <c r="N869">
        <f>IF($A869="","",IF($D869="V01",$R$2,IF($D869="V02",$R$3,$R$4)))</f>
        <v/>
      </c>
      <c r="O869">
        <f>IF($A869="","",IF(OR($B869="7062",$B869="706",$B869="708"),$N869,IF($B869="6231",1+$G869,IF($B869="6236",1+$H869,IF(OR($B869="621",$B869="604",$B869="6063"),$N869*(1-$L869),IF(OR($B869="6411",$B869="6413",$B869="6414",$B869="645"),(1+$J869)*(1+$K869),IF(OR($B869="613",$B869="615",$B869="616",$B869="6226",$B869="625",$B869="626",$B869="6281"),(1+$I869)*(1-$L869)*(1+$M869),IF(OR($B869="6331",$B869="63511",$B869="6333"),(1+$I869)*(1-$L869),IF($B869="6811",1+$I869,1)))))))))</f>
        <v/>
      </c>
      <c r="P869">
        <f>IF($A869="","",IF($E869=1,$F869*$O869,PNL!G869))</f>
        <v/>
      </c>
      <c r="T869">
        <f>IF($A869="","",IF($E869=1,IF(OR($B869="7062",$B869="706",$B869="708"),$P869,IF(AND(LEFT($B869,1)="6",$B869&lt;&gt;"6811"),-$P869,0)),0))</f>
        <v/>
      </c>
    </row>
    <row r="870">
      <c r="A870">
        <f>IF(PNL!A870="","",PNL!A870)</f>
        <v/>
      </c>
      <c r="B870">
        <f>IF(PNL!B870="","",PNL!B870)</f>
        <v/>
      </c>
      <c r="C870">
        <f>IF(PNL!C870="","",PNL!C870)</f>
        <v/>
      </c>
      <c r="D870">
        <f>IF(PNL!D870="","",PNL!D870)</f>
        <v/>
      </c>
      <c r="E870">
        <f>IF($A870="","",IF(AND($C870="2027",OR($D870="V01",$D870="V02",$D870="V03")),1,0))</f>
        <v/>
      </c>
      <c r="F870">
        <f>IF($A870="","",IF($E870=1,SUMIFS(Comptabilité!$F$1:$F$675,Comptabilité!$A$1:$A$675,$A870,Comptabilité!$B$1:$B$675,$B870,Comptabilité!$C$1:$C$675,"2026"),0))</f>
        <v/>
      </c>
      <c r="G870">
        <f>IF($A870="","",IF($D870="V01",Cadrage!$C$22,IF($D870="V02",Cadrage!$D$22,Cadrage!$E$22)))</f>
        <v/>
      </c>
      <c r="H870">
        <f>IF($A870="","",IF($D870="V01",Cadrage!$C$23,IF($D870="V02",Cadrage!$D$23,Cadrage!$E$23)))</f>
        <v/>
      </c>
      <c r="I870">
        <f>IF($A870="","",IF($D870="V01",Cadrage!$C$31,IF($D870="V02",Cadrage!$D$31,Cadrage!$E$31)))</f>
        <v/>
      </c>
      <c r="J870">
        <f>IF($A870="","",IF($D870="V01",Cadrage!$C$32,IF($D870="V02",Cadrage!$D$32,Cadrage!$E$32)))</f>
        <v/>
      </c>
      <c r="K870">
        <f>IF($A870="","",IF($D870="V01",Cadrage!$C$33,IF($D870="V02",Cadrage!$D$33,Cadrage!$E$33)))</f>
        <v/>
      </c>
      <c r="L870">
        <f>IF($A870="","",IF($D870="V01",Cadrage!$C$34,IF($D870="V02",Cadrage!$D$34,Cadrage!$E$34)))</f>
        <v/>
      </c>
      <c r="M870">
        <f>IF($A870="","",IF($D870="V01",Cadrage!$C$35,IF($D870="V02",Cadrage!$D$35,Cadrage!$E$35)))</f>
        <v/>
      </c>
      <c r="N870">
        <f>IF($A870="","",IF($D870="V01",$R$2,IF($D870="V02",$R$3,$R$4)))</f>
        <v/>
      </c>
      <c r="O870">
        <f>IF($A870="","",IF(OR($B870="7062",$B870="706",$B870="708"),$N870,IF($B870="6231",1+$G870,IF($B870="6236",1+$H870,IF(OR($B870="621",$B870="604",$B870="6063"),$N870*(1-$L870),IF(OR($B870="6411",$B870="6413",$B870="6414",$B870="645"),(1+$J870)*(1+$K870),IF(OR($B870="613",$B870="615",$B870="616",$B870="6226",$B870="625",$B870="626",$B870="6281"),(1+$I870)*(1-$L870)*(1+$M870),IF(OR($B870="6331",$B870="63511",$B870="6333"),(1+$I870)*(1-$L870),IF($B870="6811",1+$I870,1)))))))))</f>
        <v/>
      </c>
      <c r="P870">
        <f>IF($A870="","",IF($E870=1,$F870*$O870,PNL!G870))</f>
        <v/>
      </c>
      <c r="T870">
        <f>IF($A870="","",IF($E870=1,IF(OR($B870="7062",$B870="706",$B870="708"),$P870,IF(AND(LEFT($B870,1)="6",$B870&lt;&gt;"6811"),-$P870,0)),0))</f>
        <v/>
      </c>
    </row>
    <row r="871">
      <c r="A871">
        <f>IF(PNL!A871="","",PNL!A871)</f>
        <v/>
      </c>
      <c r="B871">
        <f>IF(PNL!B871="","",PNL!B871)</f>
        <v/>
      </c>
      <c r="C871">
        <f>IF(PNL!C871="","",PNL!C871)</f>
        <v/>
      </c>
      <c r="D871">
        <f>IF(PNL!D871="","",PNL!D871)</f>
        <v/>
      </c>
      <c r="E871">
        <f>IF($A871="","",IF(AND($C871="2027",OR($D871="V01",$D871="V02",$D871="V03")),1,0))</f>
        <v/>
      </c>
      <c r="F871">
        <f>IF($A871="","",IF($E871=1,SUMIFS(Comptabilité!$F$1:$F$675,Comptabilité!$A$1:$A$675,$A871,Comptabilité!$B$1:$B$675,$B871,Comptabilité!$C$1:$C$675,"2026"),0))</f>
        <v/>
      </c>
      <c r="G871">
        <f>IF($A871="","",IF($D871="V01",Cadrage!$C$22,IF($D871="V02",Cadrage!$D$22,Cadrage!$E$22)))</f>
        <v/>
      </c>
      <c r="H871">
        <f>IF($A871="","",IF($D871="V01",Cadrage!$C$23,IF($D871="V02",Cadrage!$D$23,Cadrage!$E$23)))</f>
        <v/>
      </c>
      <c r="I871">
        <f>IF($A871="","",IF($D871="V01",Cadrage!$C$31,IF($D871="V02",Cadrage!$D$31,Cadrage!$E$31)))</f>
        <v/>
      </c>
      <c r="J871">
        <f>IF($A871="","",IF($D871="V01",Cadrage!$C$32,IF($D871="V02",Cadrage!$D$32,Cadrage!$E$32)))</f>
        <v/>
      </c>
      <c r="K871">
        <f>IF($A871="","",IF($D871="V01",Cadrage!$C$33,IF($D871="V02",Cadrage!$D$33,Cadrage!$E$33)))</f>
        <v/>
      </c>
      <c r="L871">
        <f>IF($A871="","",IF($D871="V01",Cadrage!$C$34,IF($D871="V02",Cadrage!$D$34,Cadrage!$E$34)))</f>
        <v/>
      </c>
      <c r="M871">
        <f>IF($A871="","",IF($D871="V01",Cadrage!$C$35,IF($D871="V02",Cadrage!$D$35,Cadrage!$E$35)))</f>
        <v/>
      </c>
      <c r="N871">
        <f>IF($A871="","",IF($D871="V01",$R$2,IF($D871="V02",$R$3,$R$4)))</f>
        <v/>
      </c>
      <c r="O871">
        <f>IF($A871="","",IF(OR($B871="7062",$B871="706",$B871="708"),$N871,IF($B871="6231",1+$G871,IF($B871="6236",1+$H871,IF(OR($B871="621",$B871="604",$B871="6063"),$N871*(1-$L871),IF(OR($B871="6411",$B871="6413",$B871="6414",$B871="645"),(1+$J871)*(1+$K871),IF(OR($B871="613",$B871="615",$B871="616",$B871="6226",$B871="625",$B871="626",$B871="6281"),(1+$I871)*(1-$L871)*(1+$M871),IF(OR($B871="6331",$B871="63511",$B871="6333"),(1+$I871)*(1-$L871),IF($B871="6811",1+$I871,1)))))))))</f>
        <v/>
      </c>
      <c r="P871">
        <f>IF($A871="","",IF($E871=1,$F871*$O871,PNL!G871))</f>
        <v/>
      </c>
      <c r="T871">
        <f>IF($A871="","",IF($E871=1,IF(OR($B871="7062",$B871="706",$B871="708"),$P871,IF(AND(LEFT($B871,1)="6",$B871&lt;&gt;"6811"),-$P871,0)),0))</f>
        <v/>
      </c>
    </row>
    <row r="872">
      <c r="A872">
        <f>IF(PNL!A872="","",PNL!A872)</f>
        <v/>
      </c>
      <c r="B872">
        <f>IF(PNL!B872="","",PNL!B872)</f>
        <v/>
      </c>
      <c r="C872">
        <f>IF(PNL!C872="","",PNL!C872)</f>
        <v/>
      </c>
      <c r="D872">
        <f>IF(PNL!D872="","",PNL!D872)</f>
        <v/>
      </c>
      <c r="E872">
        <f>IF($A872="","",IF(AND($C872="2027",OR($D872="V01",$D872="V02",$D872="V03")),1,0))</f>
        <v/>
      </c>
      <c r="F872">
        <f>IF($A872="","",IF($E872=1,SUMIFS(Comptabilité!$F$1:$F$675,Comptabilité!$A$1:$A$675,$A872,Comptabilité!$B$1:$B$675,$B872,Comptabilité!$C$1:$C$675,"2026"),0))</f>
        <v/>
      </c>
      <c r="G872">
        <f>IF($A872="","",IF($D872="V01",Cadrage!$C$22,IF($D872="V02",Cadrage!$D$22,Cadrage!$E$22)))</f>
        <v/>
      </c>
      <c r="H872">
        <f>IF($A872="","",IF($D872="V01",Cadrage!$C$23,IF($D872="V02",Cadrage!$D$23,Cadrage!$E$23)))</f>
        <v/>
      </c>
      <c r="I872">
        <f>IF($A872="","",IF($D872="V01",Cadrage!$C$31,IF($D872="V02",Cadrage!$D$31,Cadrage!$E$31)))</f>
        <v/>
      </c>
      <c r="J872">
        <f>IF($A872="","",IF($D872="V01",Cadrage!$C$32,IF($D872="V02",Cadrage!$D$32,Cadrage!$E$32)))</f>
        <v/>
      </c>
      <c r="K872">
        <f>IF($A872="","",IF($D872="V01",Cadrage!$C$33,IF($D872="V02",Cadrage!$D$33,Cadrage!$E$33)))</f>
        <v/>
      </c>
      <c r="L872">
        <f>IF($A872="","",IF($D872="V01",Cadrage!$C$34,IF($D872="V02",Cadrage!$D$34,Cadrage!$E$34)))</f>
        <v/>
      </c>
      <c r="M872">
        <f>IF($A872="","",IF($D872="V01",Cadrage!$C$35,IF($D872="V02",Cadrage!$D$35,Cadrage!$E$35)))</f>
        <v/>
      </c>
      <c r="N872">
        <f>IF($A872="","",IF($D872="V01",$R$2,IF($D872="V02",$R$3,$R$4)))</f>
        <v/>
      </c>
      <c r="O872">
        <f>IF($A872="","",IF(OR($B872="7062",$B872="706",$B872="708"),$N872,IF($B872="6231",1+$G872,IF($B872="6236",1+$H872,IF(OR($B872="621",$B872="604",$B872="6063"),$N872*(1-$L872),IF(OR($B872="6411",$B872="6413",$B872="6414",$B872="645"),(1+$J872)*(1+$K872),IF(OR($B872="613",$B872="615",$B872="616",$B872="6226",$B872="625",$B872="626",$B872="6281"),(1+$I872)*(1-$L872)*(1+$M872),IF(OR($B872="6331",$B872="63511",$B872="6333"),(1+$I872)*(1-$L872),IF($B872="6811",1+$I872,1)))))))))</f>
        <v/>
      </c>
      <c r="P872">
        <f>IF($A872="","",IF($E872=1,$F872*$O872,PNL!G872))</f>
        <v/>
      </c>
      <c r="T872">
        <f>IF($A872="","",IF($E872=1,IF(OR($B872="7062",$B872="706",$B872="708"),$P872,IF(AND(LEFT($B872,1)="6",$B872&lt;&gt;"6811"),-$P872,0)),0))</f>
        <v/>
      </c>
    </row>
    <row r="873">
      <c r="A873">
        <f>IF(PNL!A873="","",PNL!A873)</f>
        <v/>
      </c>
      <c r="B873">
        <f>IF(PNL!B873="","",PNL!B873)</f>
        <v/>
      </c>
      <c r="C873">
        <f>IF(PNL!C873="","",PNL!C873)</f>
        <v/>
      </c>
      <c r="D873">
        <f>IF(PNL!D873="","",PNL!D873)</f>
        <v/>
      </c>
      <c r="E873">
        <f>IF($A873="","",IF(AND($C873="2027",OR($D873="V01",$D873="V02",$D873="V03")),1,0))</f>
        <v/>
      </c>
      <c r="F873">
        <f>IF($A873="","",IF($E873=1,SUMIFS(Comptabilité!$F$1:$F$675,Comptabilité!$A$1:$A$675,$A873,Comptabilité!$B$1:$B$675,$B873,Comptabilité!$C$1:$C$675,"2026"),0))</f>
        <v/>
      </c>
      <c r="G873">
        <f>IF($A873="","",IF($D873="V01",Cadrage!$C$22,IF($D873="V02",Cadrage!$D$22,Cadrage!$E$22)))</f>
        <v/>
      </c>
      <c r="H873">
        <f>IF($A873="","",IF($D873="V01",Cadrage!$C$23,IF($D873="V02",Cadrage!$D$23,Cadrage!$E$23)))</f>
        <v/>
      </c>
      <c r="I873">
        <f>IF($A873="","",IF($D873="V01",Cadrage!$C$31,IF($D873="V02",Cadrage!$D$31,Cadrage!$E$31)))</f>
        <v/>
      </c>
      <c r="J873">
        <f>IF($A873="","",IF($D873="V01",Cadrage!$C$32,IF($D873="V02",Cadrage!$D$32,Cadrage!$E$32)))</f>
        <v/>
      </c>
      <c r="K873">
        <f>IF($A873="","",IF($D873="V01",Cadrage!$C$33,IF($D873="V02",Cadrage!$D$33,Cadrage!$E$33)))</f>
        <v/>
      </c>
      <c r="L873">
        <f>IF($A873="","",IF($D873="V01",Cadrage!$C$34,IF($D873="V02",Cadrage!$D$34,Cadrage!$E$34)))</f>
        <v/>
      </c>
      <c r="M873">
        <f>IF($A873="","",IF($D873="V01",Cadrage!$C$35,IF($D873="V02",Cadrage!$D$35,Cadrage!$E$35)))</f>
        <v/>
      </c>
      <c r="N873">
        <f>IF($A873="","",IF($D873="V01",$R$2,IF($D873="V02",$R$3,$R$4)))</f>
        <v/>
      </c>
      <c r="O873">
        <f>IF($A873="","",IF(OR($B873="7062",$B873="706",$B873="708"),$N873,IF($B873="6231",1+$G873,IF($B873="6236",1+$H873,IF(OR($B873="621",$B873="604",$B873="6063"),$N873*(1-$L873),IF(OR($B873="6411",$B873="6413",$B873="6414",$B873="645"),(1+$J873)*(1+$K873),IF(OR($B873="613",$B873="615",$B873="616",$B873="6226",$B873="625",$B873="626",$B873="6281"),(1+$I873)*(1-$L873)*(1+$M873),IF(OR($B873="6331",$B873="63511",$B873="6333"),(1+$I873)*(1-$L873),IF($B873="6811",1+$I873,1)))))))))</f>
        <v/>
      </c>
      <c r="P873">
        <f>IF($A873="","",IF($E873=1,$F873*$O873,PNL!G873))</f>
        <v/>
      </c>
      <c r="T873">
        <f>IF($A873="","",IF($E873=1,IF(OR($B873="7062",$B873="706",$B873="708"),$P873,IF(AND(LEFT($B873,1)="6",$B873&lt;&gt;"6811"),-$P873,0)),0))</f>
        <v/>
      </c>
    </row>
    <row r="874">
      <c r="A874">
        <f>IF(PNL!A874="","",PNL!A874)</f>
        <v/>
      </c>
      <c r="B874">
        <f>IF(PNL!B874="","",PNL!B874)</f>
        <v/>
      </c>
      <c r="C874">
        <f>IF(PNL!C874="","",PNL!C874)</f>
        <v/>
      </c>
      <c r="D874">
        <f>IF(PNL!D874="","",PNL!D874)</f>
        <v/>
      </c>
      <c r="E874">
        <f>IF($A874="","",IF(AND($C874="2027",OR($D874="V01",$D874="V02",$D874="V03")),1,0))</f>
        <v/>
      </c>
      <c r="F874">
        <f>IF($A874="","",IF($E874=1,SUMIFS(Comptabilité!$F$1:$F$675,Comptabilité!$A$1:$A$675,$A874,Comptabilité!$B$1:$B$675,$B874,Comptabilité!$C$1:$C$675,"2026"),0))</f>
        <v/>
      </c>
      <c r="G874">
        <f>IF($A874="","",IF($D874="V01",Cadrage!$C$22,IF($D874="V02",Cadrage!$D$22,Cadrage!$E$22)))</f>
        <v/>
      </c>
      <c r="H874">
        <f>IF($A874="","",IF($D874="V01",Cadrage!$C$23,IF($D874="V02",Cadrage!$D$23,Cadrage!$E$23)))</f>
        <v/>
      </c>
      <c r="I874">
        <f>IF($A874="","",IF($D874="V01",Cadrage!$C$31,IF($D874="V02",Cadrage!$D$31,Cadrage!$E$31)))</f>
        <v/>
      </c>
      <c r="J874">
        <f>IF($A874="","",IF($D874="V01",Cadrage!$C$32,IF($D874="V02",Cadrage!$D$32,Cadrage!$E$32)))</f>
        <v/>
      </c>
      <c r="K874">
        <f>IF($A874="","",IF($D874="V01",Cadrage!$C$33,IF($D874="V02",Cadrage!$D$33,Cadrage!$E$33)))</f>
        <v/>
      </c>
      <c r="L874">
        <f>IF($A874="","",IF($D874="V01",Cadrage!$C$34,IF($D874="V02",Cadrage!$D$34,Cadrage!$E$34)))</f>
        <v/>
      </c>
      <c r="M874">
        <f>IF($A874="","",IF($D874="V01",Cadrage!$C$35,IF($D874="V02",Cadrage!$D$35,Cadrage!$E$35)))</f>
        <v/>
      </c>
      <c r="N874">
        <f>IF($A874="","",IF($D874="V01",$R$2,IF($D874="V02",$R$3,$R$4)))</f>
        <v/>
      </c>
      <c r="O874">
        <f>IF($A874="","",IF(OR($B874="7062",$B874="706",$B874="708"),$N874,IF($B874="6231",1+$G874,IF($B874="6236",1+$H874,IF(OR($B874="621",$B874="604",$B874="6063"),$N874*(1-$L874),IF(OR($B874="6411",$B874="6413",$B874="6414",$B874="645"),(1+$J874)*(1+$K874),IF(OR($B874="613",$B874="615",$B874="616",$B874="6226",$B874="625",$B874="626",$B874="6281"),(1+$I874)*(1-$L874)*(1+$M874),IF(OR($B874="6331",$B874="63511",$B874="6333"),(1+$I874)*(1-$L874),IF($B874="6811",1+$I874,1)))))))))</f>
        <v/>
      </c>
      <c r="P874">
        <f>IF($A874="","",IF($E874=1,$F874*$O874,PNL!G874))</f>
        <v/>
      </c>
      <c r="T874">
        <f>IF($A874="","",IF($E874=1,IF(OR($B874="7062",$B874="706",$B874="708"),$P874,IF(AND(LEFT($B874,1)="6",$B874&lt;&gt;"6811"),-$P874,0)),0))</f>
        <v/>
      </c>
    </row>
    <row r="875">
      <c r="A875">
        <f>IF(PNL!A875="","",PNL!A875)</f>
        <v/>
      </c>
      <c r="B875">
        <f>IF(PNL!B875="","",PNL!B875)</f>
        <v/>
      </c>
      <c r="C875">
        <f>IF(PNL!C875="","",PNL!C875)</f>
        <v/>
      </c>
      <c r="D875">
        <f>IF(PNL!D875="","",PNL!D875)</f>
        <v/>
      </c>
      <c r="E875">
        <f>IF($A875="","",IF(AND($C875="2027",OR($D875="V01",$D875="V02",$D875="V03")),1,0))</f>
        <v/>
      </c>
      <c r="F875">
        <f>IF($A875="","",IF($E875=1,SUMIFS(Comptabilité!$F$1:$F$675,Comptabilité!$A$1:$A$675,$A875,Comptabilité!$B$1:$B$675,$B875,Comptabilité!$C$1:$C$675,"2026"),0))</f>
        <v/>
      </c>
      <c r="G875">
        <f>IF($A875="","",IF($D875="V01",Cadrage!$C$22,IF($D875="V02",Cadrage!$D$22,Cadrage!$E$22)))</f>
        <v/>
      </c>
      <c r="H875">
        <f>IF($A875="","",IF($D875="V01",Cadrage!$C$23,IF($D875="V02",Cadrage!$D$23,Cadrage!$E$23)))</f>
        <v/>
      </c>
      <c r="I875">
        <f>IF($A875="","",IF($D875="V01",Cadrage!$C$31,IF($D875="V02",Cadrage!$D$31,Cadrage!$E$31)))</f>
        <v/>
      </c>
      <c r="J875">
        <f>IF($A875="","",IF($D875="V01",Cadrage!$C$32,IF($D875="V02",Cadrage!$D$32,Cadrage!$E$32)))</f>
        <v/>
      </c>
      <c r="K875">
        <f>IF($A875="","",IF($D875="V01",Cadrage!$C$33,IF($D875="V02",Cadrage!$D$33,Cadrage!$E$33)))</f>
        <v/>
      </c>
      <c r="L875">
        <f>IF($A875="","",IF($D875="V01",Cadrage!$C$34,IF($D875="V02",Cadrage!$D$34,Cadrage!$E$34)))</f>
        <v/>
      </c>
      <c r="M875">
        <f>IF($A875="","",IF($D875="V01",Cadrage!$C$35,IF($D875="V02",Cadrage!$D$35,Cadrage!$E$35)))</f>
        <v/>
      </c>
      <c r="N875">
        <f>IF($A875="","",IF($D875="V01",$R$2,IF($D875="V02",$R$3,$R$4)))</f>
        <v/>
      </c>
      <c r="O875">
        <f>IF($A875="","",IF(OR($B875="7062",$B875="706",$B875="708"),$N875,IF($B875="6231",1+$G875,IF($B875="6236",1+$H875,IF(OR($B875="621",$B875="604",$B875="6063"),$N875*(1-$L875),IF(OR($B875="6411",$B875="6413",$B875="6414",$B875="645"),(1+$J875)*(1+$K875),IF(OR($B875="613",$B875="615",$B875="616",$B875="6226",$B875="625",$B875="626",$B875="6281"),(1+$I875)*(1-$L875)*(1+$M875),IF(OR($B875="6331",$B875="63511",$B875="6333"),(1+$I875)*(1-$L875),IF($B875="6811",1+$I875,1)))))))))</f>
        <v/>
      </c>
      <c r="P875">
        <f>IF($A875="","",IF($E875=1,$F875*$O875,PNL!G875))</f>
        <v/>
      </c>
      <c r="T875">
        <f>IF($A875="","",IF($E875=1,IF(OR($B875="7062",$B875="706",$B875="708"),$P875,IF(AND(LEFT($B875,1)="6",$B875&lt;&gt;"6811"),-$P875,0)),0))</f>
        <v/>
      </c>
    </row>
    <row r="876">
      <c r="A876">
        <f>IF(PNL!A876="","",PNL!A876)</f>
        <v/>
      </c>
      <c r="B876">
        <f>IF(PNL!B876="","",PNL!B876)</f>
        <v/>
      </c>
      <c r="C876">
        <f>IF(PNL!C876="","",PNL!C876)</f>
        <v/>
      </c>
      <c r="D876">
        <f>IF(PNL!D876="","",PNL!D876)</f>
        <v/>
      </c>
      <c r="E876">
        <f>IF($A876="","",IF(AND($C876="2027",OR($D876="V01",$D876="V02",$D876="V03")),1,0))</f>
        <v/>
      </c>
      <c r="F876">
        <f>IF($A876="","",IF($E876=1,SUMIFS(Comptabilité!$F$1:$F$675,Comptabilité!$A$1:$A$675,$A876,Comptabilité!$B$1:$B$675,$B876,Comptabilité!$C$1:$C$675,"2026"),0))</f>
        <v/>
      </c>
      <c r="G876">
        <f>IF($A876="","",IF($D876="V01",Cadrage!$C$22,IF($D876="V02",Cadrage!$D$22,Cadrage!$E$22)))</f>
        <v/>
      </c>
      <c r="H876">
        <f>IF($A876="","",IF($D876="V01",Cadrage!$C$23,IF($D876="V02",Cadrage!$D$23,Cadrage!$E$23)))</f>
        <v/>
      </c>
      <c r="I876">
        <f>IF($A876="","",IF($D876="V01",Cadrage!$C$31,IF($D876="V02",Cadrage!$D$31,Cadrage!$E$31)))</f>
        <v/>
      </c>
      <c r="J876">
        <f>IF($A876="","",IF($D876="V01",Cadrage!$C$32,IF($D876="V02",Cadrage!$D$32,Cadrage!$E$32)))</f>
        <v/>
      </c>
      <c r="K876">
        <f>IF($A876="","",IF($D876="V01",Cadrage!$C$33,IF($D876="V02",Cadrage!$D$33,Cadrage!$E$33)))</f>
        <v/>
      </c>
      <c r="L876">
        <f>IF($A876="","",IF($D876="V01",Cadrage!$C$34,IF($D876="V02",Cadrage!$D$34,Cadrage!$E$34)))</f>
        <v/>
      </c>
      <c r="M876">
        <f>IF($A876="","",IF($D876="V01",Cadrage!$C$35,IF($D876="V02",Cadrage!$D$35,Cadrage!$E$35)))</f>
        <v/>
      </c>
      <c r="N876">
        <f>IF($A876="","",IF($D876="V01",$R$2,IF($D876="V02",$R$3,$R$4)))</f>
        <v/>
      </c>
      <c r="O876">
        <f>IF($A876="","",IF(OR($B876="7062",$B876="706",$B876="708"),$N876,IF($B876="6231",1+$G876,IF($B876="6236",1+$H876,IF(OR($B876="621",$B876="604",$B876="6063"),$N876*(1-$L876),IF(OR($B876="6411",$B876="6413",$B876="6414",$B876="645"),(1+$J876)*(1+$K876),IF(OR($B876="613",$B876="615",$B876="616",$B876="6226",$B876="625",$B876="626",$B876="6281"),(1+$I876)*(1-$L876)*(1+$M876),IF(OR($B876="6331",$B876="63511",$B876="6333"),(1+$I876)*(1-$L876),IF($B876="6811",1+$I876,1)))))))))</f>
        <v/>
      </c>
      <c r="P876">
        <f>IF($A876="","",IF($E876=1,$F876*$O876,PNL!G876))</f>
        <v/>
      </c>
      <c r="T876">
        <f>IF($A876="","",IF($E876=1,IF(OR($B876="7062",$B876="706",$B876="708"),$P876,IF(AND(LEFT($B876,1)="6",$B876&lt;&gt;"6811"),-$P876,0)),0))</f>
        <v/>
      </c>
    </row>
    <row r="877">
      <c r="A877">
        <f>IF(PNL!A877="","",PNL!A877)</f>
        <v/>
      </c>
      <c r="B877">
        <f>IF(PNL!B877="","",PNL!B877)</f>
        <v/>
      </c>
      <c r="C877">
        <f>IF(PNL!C877="","",PNL!C877)</f>
        <v/>
      </c>
      <c r="D877">
        <f>IF(PNL!D877="","",PNL!D877)</f>
        <v/>
      </c>
      <c r="E877">
        <f>IF($A877="","",IF(AND($C877="2027",OR($D877="V01",$D877="V02",$D877="V03")),1,0))</f>
        <v/>
      </c>
      <c r="F877">
        <f>IF($A877="","",IF($E877=1,SUMIFS(Comptabilité!$F$1:$F$675,Comptabilité!$A$1:$A$675,$A877,Comptabilité!$B$1:$B$675,$B877,Comptabilité!$C$1:$C$675,"2026"),0))</f>
        <v/>
      </c>
      <c r="G877">
        <f>IF($A877="","",IF($D877="V01",Cadrage!$C$22,IF($D877="V02",Cadrage!$D$22,Cadrage!$E$22)))</f>
        <v/>
      </c>
      <c r="H877">
        <f>IF($A877="","",IF($D877="V01",Cadrage!$C$23,IF($D877="V02",Cadrage!$D$23,Cadrage!$E$23)))</f>
        <v/>
      </c>
      <c r="I877">
        <f>IF($A877="","",IF($D877="V01",Cadrage!$C$31,IF($D877="V02",Cadrage!$D$31,Cadrage!$E$31)))</f>
        <v/>
      </c>
      <c r="J877">
        <f>IF($A877="","",IF($D877="V01",Cadrage!$C$32,IF($D877="V02",Cadrage!$D$32,Cadrage!$E$32)))</f>
        <v/>
      </c>
      <c r="K877">
        <f>IF($A877="","",IF($D877="V01",Cadrage!$C$33,IF($D877="V02",Cadrage!$D$33,Cadrage!$E$33)))</f>
        <v/>
      </c>
      <c r="L877">
        <f>IF($A877="","",IF($D877="V01",Cadrage!$C$34,IF($D877="V02",Cadrage!$D$34,Cadrage!$E$34)))</f>
        <v/>
      </c>
      <c r="M877">
        <f>IF($A877="","",IF($D877="V01",Cadrage!$C$35,IF($D877="V02",Cadrage!$D$35,Cadrage!$E$35)))</f>
        <v/>
      </c>
      <c r="N877">
        <f>IF($A877="","",IF($D877="V01",$R$2,IF($D877="V02",$R$3,$R$4)))</f>
        <v/>
      </c>
      <c r="O877">
        <f>IF($A877="","",IF(OR($B877="7062",$B877="706",$B877="708"),$N877,IF($B877="6231",1+$G877,IF($B877="6236",1+$H877,IF(OR($B877="621",$B877="604",$B877="6063"),$N877*(1-$L877),IF(OR($B877="6411",$B877="6413",$B877="6414",$B877="645"),(1+$J877)*(1+$K877),IF(OR($B877="613",$B877="615",$B877="616",$B877="6226",$B877="625",$B877="626",$B877="6281"),(1+$I877)*(1-$L877)*(1+$M877),IF(OR($B877="6331",$B877="63511",$B877="6333"),(1+$I877)*(1-$L877),IF($B877="6811",1+$I877,1)))))))))</f>
        <v/>
      </c>
      <c r="P877">
        <f>IF($A877="","",IF($E877=1,$F877*$O877,PNL!G877))</f>
        <v/>
      </c>
      <c r="T877">
        <f>IF($A877="","",IF($E877=1,IF(OR($B877="7062",$B877="706",$B877="708"),$P877,IF(AND(LEFT($B877,1)="6",$B877&lt;&gt;"6811"),-$P877,0)),0))</f>
        <v/>
      </c>
    </row>
    <row r="878">
      <c r="A878">
        <f>IF(PNL!A878="","",PNL!A878)</f>
        <v/>
      </c>
      <c r="B878">
        <f>IF(PNL!B878="","",PNL!B878)</f>
        <v/>
      </c>
      <c r="C878">
        <f>IF(PNL!C878="","",PNL!C878)</f>
        <v/>
      </c>
      <c r="D878">
        <f>IF(PNL!D878="","",PNL!D878)</f>
        <v/>
      </c>
      <c r="E878">
        <f>IF($A878="","",IF(AND($C878="2027",OR($D878="V01",$D878="V02",$D878="V03")),1,0))</f>
        <v/>
      </c>
      <c r="F878">
        <f>IF($A878="","",IF($E878=1,SUMIFS(Comptabilité!$F$1:$F$675,Comptabilité!$A$1:$A$675,$A878,Comptabilité!$B$1:$B$675,$B878,Comptabilité!$C$1:$C$675,"2026"),0))</f>
        <v/>
      </c>
      <c r="G878">
        <f>IF($A878="","",IF($D878="V01",Cadrage!$C$22,IF($D878="V02",Cadrage!$D$22,Cadrage!$E$22)))</f>
        <v/>
      </c>
      <c r="H878">
        <f>IF($A878="","",IF($D878="V01",Cadrage!$C$23,IF($D878="V02",Cadrage!$D$23,Cadrage!$E$23)))</f>
        <v/>
      </c>
      <c r="I878">
        <f>IF($A878="","",IF($D878="V01",Cadrage!$C$31,IF($D878="V02",Cadrage!$D$31,Cadrage!$E$31)))</f>
        <v/>
      </c>
      <c r="J878">
        <f>IF($A878="","",IF($D878="V01",Cadrage!$C$32,IF($D878="V02",Cadrage!$D$32,Cadrage!$E$32)))</f>
        <v/>
      </c>
      <c r="K878">
        <f>IF($A878="","",IF($D878="V01",Cadrage!$C$33,IF($D878="V02",Cadrage!$D$33,Cadrage!$E$33)))</f>
        <v/>
      </c>
      <c r="L878">
        <f>IF($A878="","",IF($D878="V01",Cadrage!$C$34,IF($D878="V02",Cadrage!$D$34,Cadrage!$E$34)))</f>
        <v/>
      </c>
      <c r="M878">
        <f>IF($A878="","",IF($D878="V01",Cadrage!$C$35,IF($D878="V02",Cadrage!$D$35,Cadrage!$E$35)))</f>
        <v/>
      </c>
      <c r="N878">
        <f>IF($A878="","",IF($D878="V01",$R$2,IF($D878="V02",$R$3,$R$4)))</f>
        <v/>
      </c>
      <c r="O878">
        <f>IF($A878="","",IF(OR($B878="7062",$B878="706",$B878="708"),$N878,IF($B878="6231",1+$G878,IF($B878="6236",1+$H878,IF(OR($B878="621",$B878="604",$B878="6063"),$N878*(1-$L878),IF(OR($B878="6411",$B878="6413",$B878="6414",$B878="645"),(1+$J878)*(1+$K878),IF(OR($B878="613",$B878="615",$B878="616",$B878="6226",$B878="625",$B878="626",$B878="6281"),(1+$I878)*(1-$L878)*(1+$M878),IF(OR($B878="6331",$B878="63511",$B878="6333"),(1+$I878)*(1-$L878),IF($B878="6811",1+$I878,1)))))))))</f>
        <v/>
      </c>
      <c r="P878">
        <f>IF($A878="","",IF($E878=1,$F878*$O878,PNL!G878))</f>
        <v/>
      </c>
      <c r="T878">
        <f>IF($A878="","",IF($E878=1,IF(OR($B878="7062",$B878="706",$B878="708"),$P878,IF(AND(LEFT($B878,1)="6",$B878&lt;&gt;"6811"),-$P878,0)),0))</f>
        <v/>
      </c>
    </row>
    <row r="879">
      <c r="A879">
        <f>IF(PNL!A879="","",PNL!A879)</f>
        <v/>
      </c>
      <c r="B879">
        <f>IF(PNL!B879="","",PNL!B879)</f>
        <v/>
      </c>
      <c r="C879">
        <f>IF(PNL!C879="","",PNL!C879)</f>
        <v/>
      </c>
      <c r="D879">
        <f>IF(PNL!D879="","",PNL!D879)</f>
        <v/>
      </c>
      <c r="E879">
        <f>IF($A879="","",IF(AND($C879="2027",OR($D879="V01",$D879="V02",$D879="V03")),1,0))</f>
        <v/>
      </c>
      <c r="F879">
        <f>IF($A879="","",IF($E879=1,SUMIFS(Comptabilité!$F$1:$F$675,Comptabilité!$A$1:$A$675,$A879,Comptabilité!$B$1:$B$675,$B879,Comptabilité!$C$1:$C$675,"2026"),0))</f>
        <v/>
      </c>
      <c r="G879">
        <f>IF($A879="","",IF($D879="V01",Cadrage!$C$22,IF($D879="V02",Cadrage!$D$22,Cadrage!$E$22)))</f>
        <v/>
      </c>
      <c r="H879">
        <f>IF($A879="","",IF($D879="V01",Cadrage!$C$23,IF($D879="V02",Cadrage!$D$23,Cadrage!$E$23)))</f>
        <v/>
      </c>
      <c r="I879">
        <f>IF($A879="","",IF($D879="V01",Cadrage!$C$31,IF($D879="V02",Cadrage!$D$31,Cadrage!$E$31)))</f>
        <v/>
      </c>
      <c r="J879">
        <f>IF($A879="","",IF($D879="V01",Cadrage!$C$32,IF($D879="V02",Cadrage!$D$32,Cadrage!$E$32)))</f>
        <v/>
      </c>
      <c r="K879">
        <f>IF($A879="","",IF($D879="V01",Cadrage!$C$33,IF($D879="V02",Cadrage!$D$33,Cadrage!$E$33)))</f>
        <v/>
      </c>
      <c r="L879">
        <f>IF($A879="","",IF($D879="V01",Cadrage!$C$34,IF($D879="V02",Cadrage!$D$34,Cadrage!$E$34)))</f>
        <v/>
      </c>
      <c r="M879">
        <f>IF($A879="","",IF($D879="V01",Cadrage!$C$35,IF($D879="V02",Cadrage!$D$35,Cadrage!$E$35)))</f>
        <v/>
      </c>
      <c r="N879">
        <f>IF($A879="","",IF($D879="V01",$R$2,IF($D879="V02",$R$3,$R$4)))</f>
        <v/>
      </c>
      <c r="O879">
        <f>IF($A879="","",IF(OR($B879="7062",$B879="706",$B879="708"),$N879,IF($B879="6231",1+$G879,IF($B879="6236",1+$H879,IF(OR($B879="621",$B879="604",$B879="6063"),$N879*(1-$L879),IF(OR($B879="6411",$B879="6413",$B879="6414",$B879="645"),(1+$J879)*(1+$K879),IF(OR($B879="613",$B879="615",$B879="616",$B879="6226",$B879="625",$B879="626",$B879="6281"),(1+$I879)*(1-$L879)*(1+$M879),IF(OR($B879="6331",$B879="63511",$B879="6333"),(1+$I879)*(1-$L879),IF($B879="6811",1+$I879,1)))))))))</f>
        <v/>
      </c>
      <c r="P879">
        <f>IF($A879="","",IF($E879=1,$F879*$O879,PNL!G879))</f>
        <v/>
      </c>
      <c r="T879">
        <f>IF($A879="","",IF($E879=1,IF(OR($B879="7062",$B879="706",$B879="708"),$P879,IF(AND(LEFT($B879,1)="6",$B879&lt;&gt;"6811"),-$P879,0)),0))</f>
        <v/>
      </c>
    </row>
    <row r="880">
      <c r="A880">
        <f>IF(PNL!A880="","",PNL!A880)</f>
        <v/>
      </c>
      <c r="B880">
        <f>IF(PNL!B880="","",PNL!B880)</f>
        <v/>
      </c>
      <c r="C880">
        <f>IF(PNL!C880="","",PNL!C880)</f>
        <v/>
      </c>
      <c r="D880">
        <f>IF(PNL!D880="","",PNL!D880)</f>
        <v/>
      </c>
      <c r="E880">
        <f>IF($A880="","",IF(AND($C880="2027",OR($D880="V01",$D880="V02",$D880="V03")),1,0))</f>
        <v/>
      </c>
      <c r="F880">
        <f>IF($A880="","",IF($E880=1,SUMIFS(Comptabilité!$F$1:$F$675,Comptabilité!$A$1:$A$675,$A880,Comptabilité!$B$1:$B$675,$B880,Comptabilité!$C$1:$C$675,"2026"),0))</f>
        <v/>
      </c>
      <c r="G880">
        <f>IF($A880="","",IF($D880="V01",Cadrage!$C$22,IF($D880="V02",Cadrage!$D$22,Cadrage!$E$22)))</f>
        <v/>
      </c>
      <c r="H880">
        <f>IF($A880="","",IF($D880="V01",Cadrage!$C$23,IF($D880="V02",Cadrage!$D$23,Cadrage!$E$23)))</f>
        <v/>
      </c>
      <c r="I880">
        <f>IF($A880="","",IF($D880="V01",Cadrage!$C$31,IF($D880="V02",Cadrage!$D$31,Cadrage!$E$31)))</f>
        <v/>
      </c>
      <c r="J880">
        <f>IF($A880="","",IF($D880="V01",Cadrage!$C$32,IF($D880="V02",Cadrage!$D$32,Cadrage!$E$32)))</f>
        <v/>
      </c>
      <c r="K880">
        <f>IF($A880="","",IF($D880="V01",Cadrage!$C$33,IF($D880="V02",Cadrage!$D$33,Cadrage!$E$33)))</f>
        <v/>
      </c>
      <c r="L880">
        <f>IF($A880="","",IF($D880="V01",Cadrage!$C$34,IF($D880="V02",Cadrage!$D$34,Cadrage!$E$34)))</f>
        <v/>
      </c>
      <c r="M880">
        <f>IF($A880="","",IF($D880="V01",Cadrage!$C$35,IF($D880="V02",Cadrage!$D$35,Cadrage!$E$35)))</f>
        <v/>
      </c>
      <c r="N880">
        <f>IF($A880="","",IF($D880="V01",$R$2,IF($D880="V02",$R$3,$R$4)))</f>
        <v/>
      </c>
      <c r="O880">
        <f>IF($A880="","",IF(OR($B880="7062",$B880="706",$B880="708"),$N880,IF($B880="6231",1+$G880,IF($B880="6236",1+$H880,IF(OR($B880="621",$B880="604",$B880="6063"),$N880*(1-$L880),IF(OR($B880="6411",$B880="6413",$B880="6414",$B880="645"),(1+$J880)*(1+$K880),IF(OR($B880="613",$B880="615",$B880="616",$B880="6226",$B880="625",$B880="626",$B880="6281"),(1+$I880)*(1-$L880)*(1+$M880),IF(OR($B880="6331",$B880="63511",$B880="6333"),(1+$I880)*(1-$L880),IF($B880="6811",1+$I880,1)))))))))</f>
        <v/>
      </c>
      <c r="P880">
        <f>IF($A880="","",IF($E880=1,$F880*$O880,PNL!G880))</f>
        <v/>
      </c>
      <c r="T880">
        <f>IF($A880="","",IF($E880=1,IF(OR($B880="7062",$B880="706",$B880="708"),$P880,IF(AND(LEFT($B880,1)="6",$B880&lt;&gt;"6811"),-$P880,0)),0))</f>
        <v/>
      </c>
    </row>
    <row r="881">
      <c r="A881">
        <f>IF(PNL!A881="","",PNL!A881)</f>
        <v/>
      </c>
      <c r="B881">
        <f>IF(PNL!B881="","",PNL!B881)</f>
        <v/>
      </c>
      <c r="C881">
        <f>IF(PNL!C881="","",PNL!C881)</f>
        <v/>
      </c>
      <c r="D881">
        <f>IF(PNL!D881="","",PNL!D881)</f>
        <v/>
      </c>
      <c r="E881">
        <f>IF($A881="","",IF(AND($C881="2027",OR($D881="V01",$D881="V02",$D881="V03")),1,0))</f>
        <v/>
      </c>
      <c r="F881">
        <f>IF($A881="","",IF($E881=1,SUMIFS(Comptabilité!$F$1:$F$675,Comptabilité!$A$1:$A$675,$A881,Comptabilité!$B$1:$B$675,$B881,Comptabilité!$C$1:$C$675,"2026"),0))</f>
        <v/>
      </c>
      <c r="G881">
        <f>IF($A881="","",IF($D881="V01",Cadrage!$C$22,IF($D881="V02",Cadrage!$D$22,Cadrage!$E$22)))</f>
        <v/>
      </c>
      <c r="H881">
        <f>IF($A881="","",IF($D881="V01",Cadrage!$C$23,IF($D881="V02",Cadrage!$D$23,Cadrage!$E$23)))</f>
        <v/>
      </c>
      <c r="I881">
        <f>IF($A881="","",IF($D881="V01",Cadrage!$C$31,IF($D881="V02",Cadrage!$D$31,Cadrage!$E$31)))</f>
        <v/>
      </c>
      <c r="J881">
        <f>IF($A881="","",IF($D881="V01",Cadrage!$C$32,IF($D881="V02",Cadrage!$D$32,Cadrage!$E$32)))</f>
        <v/>
      </c>
      <c r="K881">
        <f>IF($A881="","",IF($D881="V01",Cadrage!$C$33,IF($D881="V02",Cadrage!$D$33,Cadrage!$E$33)))</f>
        <v/>
      </c>
      <c r="L881">
        <f>IF($A881="","",IF($D881="V01",Cadrage!$C$34,IF($D881="V02",Cadrage!$D$34,Cadrage!$E$34)))</f>
        <v/>
      </c>
      <c r="M881">
        <f>IF($A881="","",IF($D881="V01",Cadrage!$C$35,IF($D881="V02",Cadrage!$D$35,Cadrage!$E$35)))</f>
        <v/>
      </c>
      <c r="N881">
        <f>IF($A881="","",IF($D881="V01",$R$2,IF($D881="V02",$R$3,$R$4)))</f>
        <v/>
      </c>
      <c r="O881">
        <f>IF($A881="","",IF(OR($B881="7062",$B881="706",$B881="708"),$N881,IF($B881="6231",1+$G881,IF($B881="6236",1+$H881,IF(OR($B881="621",$B881="604",$B881="6063"),$N881*(1-$L881),IF(OR($B881="6411",$B881="6413",$B881="6414",$B881="645"),(1+$J881)*(1+$K881),IF(OR($B881="613",$B881="615",$B881="616",$B881="6226",$B881="625",$B881="626",$B881="6281"),(1+$I881)*(1-$L881)*(1+$M881),IF(OR($B881="6331",$B881="63511",$B881="6333"),(1+$I881)*(1-$L881),IF($B881="6811",1+$I881,1)))))))))</f>
        <v/>
      </c>
      <c r="P881">
        <f>IF($A881="","",IF($E881=1,$F881*$O881,PNL!G881))</f>
        <v/>
      </c>
      <c r="T881">
        <f>IF($A881="","",IF($E881=1,IF(OR($B881="7062",$B881="706",$B881="708"),$P881,IF(AND(LEFT($B881,1)="6",$B881&lt;&gt;"6811"),-$P881,0)),0))</f>
        <v/>
      </c>
    </row>
    <row r="882">
      <c r="A882">
        <f>IF(PNL!A882="","",PNL!A882)</f>
        <v/>
      </c>
      <c r="B882">
        <f>IF(PNL!B882="","",PNL!B882)</f>
        <v/>
      </c>
      <c r="C882">
        <f>IF(PNL!C882="","",PNL!C882)</f>
        <v/>
      </c>
      <c r="D882">
        <f>IF(PNL!D882="","",PNL!D882)</f>
        <v/>
      </c>
      <c r="E882">
        <f>IF($A882="","",IF(AND($C882="2027",OR($D882="V01",$D882="V02",$D882="V03")),1,0))</f>
        <v/>
      </c>
      <c r="F882">
        <f>IF($A882="","",IF($E882=1,SUMIFS(Comptabilité!$F$1:$F$675,Comptabilité!$A$1:$A$675,$A882,Comptabilité!$B$1:$B$675,$B882,Comptabilité!$C$1:$C$675,"2026"),0))</f>
        <v/>
      </c>
      <c r="G882">
        <f>IF($A882="","",IF($D882="V01",Cadrage!$C$22,IF($D882="V02",Cadrage!$D$22,Cadrage!$E$22)))</f>
        <v/>
      </c>
      <c r="H882">
        <f>IF($A882="","",IF($D882="V01",Cadrage!$C$23,IF($D882="V02",Cadrage!$D$23,Cadrage!$E$23)))</f>
        <v/>
      </c>
      <c r="I882">
        <f>IF($A882="","",IF($D882="V01",Cadrage!$C$31,IF($D882="V02",Cadrage!$D$31,Cadrage!$E$31)))</f>
        <v/>
      </c>
      <c r="J882">
        <f>IF($A882="","",IF($D882="V01",Cadrage!$C$32,IF($D882="V02",Cadrage!$D$32,Cadrage!$E$32)))</f>
        <v/>
      </c>
      <c r="K882">
        <f>IF($A882="","",IF($D882="V01",Cadrage!$C$33,IF($D882="V02",Cadrage!$D$33,Cadrage!$E$33)))</f>
        <v/>
      </c>
      <c r="L882">
        <f>IF($A882="","",IF($D882="V01",Cadrage!$C$34,IF($D882="V02",Cadrage!$D$34,Cadrage!$E$34)))</f>
        <v/>
      </c>
      <c r="M882">
        <f>IF($A882="","",IF($D882="V01",Cadrage!$C$35,IF($D882="V02",Cadrage!$D$35,Cadrage!$E$35)))</f>
        <v/>
      </c>
      <c r="N882">
        <f>IF($A882="","",IF($D882="V01",$R$2,IF($D882="V02",$R$3,$R$4)))</f>
        <v/>
      </c>
      <c r="O882">
        <f>IF($A882="","",IF(OR($B882="7062",$B882="706",$B882="708"),$N882,IF($B882="6231",1+$G882,IF($B882="6236",1+$H882,IF(OR($B882="621",$B882="604",$B882="6063"),$N882*(1-$L882),IF(OR($B882="6411",$B882="6413",$B882="6414",$B882="645"),(1+$J882)*(1+$K882),IF(OR($B882="613",$B882="615",$B882="616",$B882="6226",$B882="625",$B882="626",$B882="6281"),(1+$I882)*(1-$L882)*(1+$M882),IF(OR($B882="6331",$B882="63511",$B882="6333"),(1+$I882)*(1-$L882),IF($B882="6811",1+$I882,1)))))))))</f>
        <v/>
      </c>
      <c r="P882">
        <f>IF($A882="","",IF($E882=1,$F882*$O882,PNL!G882))</f>
        <v/>
      </c>
      <c r="T882">
        <f>IF($A882="","",IF($E882=1,IF(OR($B882="7062",$B882="706",$B882="708"),$P882,IF(AND(LEFT($B882,1)="6",$B882&lt;&gt;"6811"),-$P882,0)),0))</f>
        <v/>
      </c>
    </row>
    <row r="883">
      <c r="A883">
        <f>IF(PNL!A883="","",PNL!A883)</f>
        <v/>
      </c>
      <c r="B883">
        <f>IF(PNL!B883="","",PNL!B883)</f>
        <v/>
      </c>
      <c r="C883">
        <f>IF(PNL!C883="","",PNL!C883)</f>
        <v/>
      </c>
      <c r="D883">
        <f>IF(PNL!D883="","",PNL!D883)</f>
        <v/>
      </c>
      <c r="E883">
        <f>IF($A883="","",IF(AND($C883="2027",OR($D883="V01",$D883="V02",$D883="V03")),1,0))</f>
        <v/>
      </c>
      <c r="F883">
        <f>IF($A883="","",IF($E883=1,SUMIFS(Comptabilité!$F$1:$F$675,Comptabilité!$A$1:$A$675,$A883,Comptabilité!$B$1:$B$675,$B883,Comptabilité!$C$1:$C$675,"2026"),0))</f>
        <v/>
      </c>
      <c r="G883">
        <f>IF($A883="","",IF($D883="V01",Cadrage!$C$22,IF($D883="V02",Cadrage!$D$22,Cadrage!$E$22)))</f>
        <v/>
      </c>
      <c r="H883">
        <f>IF($A883="","",IF($D883="V01",Cadrage!$C$23,IF($D883="V02",Cadrage!$D$23,Cadrage!$E$23)))</f>
        <v/>
      </c>
      <c r="I883">
        <f>IF($A883="","",IF($D883="V01",Cadrage!$C$31,IF($D883="V02",Cadrage!$D$31,Cadrage!$E$31)))</f>
        <v/>
      </c>
      <c r="J883">
        <f>IF($A883="","",IF($D883="V01",Cadrage!$C$32,IF($D883="V02",Cadrage!$D$32,Cadrage!$E$32)))</f>
        <v/>
      </c>
      <c r="K883">
        <f>IF($A883="","",IF($D883="V01",Cadrage!$C$33,IF($D883="V02",Cadrage!$D$33,Cadrage!$E$33)))</f>
        <v/>
      </c>
      <c r="L883">
        <f>IF($A883="","",IF($D883="V01",Cadrage!$C$34,IF($D883="V02",Cadrage!$D$34,Cadrage!$E$34)))</f>
        <v/>
      </c>
      <c r="M883">
        <f>IF($A883="","",IF($D883="V01",Cadrage!$C$35,IF($D883="V02",Cadrage!$D$35,Cadrage!$E$35)))</f>
        <v/>
      </c>
      <c r="N883">
        <f>IF($A883="","",IF($D883="V01",$R$2,IF($D883="V02",$R$3,$R$4)))</f>
        <v/>
      </c>
      <c r="O883">
        <f>IF($A883="","",IF(OR($B883="7062",$B883="706",$B883="708"),$N883,IF($B883="6231",1+$G883,IF($B883="6236",1+$H883,IF(OR($B883="621",$B883="604",$B883="6063"),$N883*(1-$L883),IF(OR($B883="6411",$B883="6413",$B883="6414",$B883="645"),(1+$J883)*(1+$K883),IF(OR($B883="613",$B883="615",$B883="616",$B883="6226",$B883="625",$B883="626",$B883="6281"),(1+$I883)*(1-$L883)*(1+$M883),IF(OR($B883="6331",$B883="63511",$B883="6333"),(1+$I883)*(1-$L883),IF($B883="6811",1+$I883,1)))))))))</f>
        <v/>
      </c>
      <c r="P883">
        <f>IF($A883="","",IF($E883=1,$F883*$O883,PNL!G883))</f>
        <v/>
      </c>
      <c r="T883">
        <f>IF($A883="","",IF($E883=1,IF(OR($B883="7062",$B883="706",$B883="708"),$P883,IF(AND(LEFT($B883,1)="6",$B883&lt;&gt;"6811"),-$P883,0)),0))</f>
        <v/>
      </c>
    </row>
    <row r="884">
      <c r="A884">
        <f>IF(PNL!A884="","",PNL!A884)</f>
        <v/>
      </c>
      <c r="B884">
        <f>IF(PNL!B884="","",PNL!B884)</f>
        <v/>
      </c>
      <c r="C884">
        <f>IF(PNL!C884="","",PNL!C884)</f>
        <v/>
      </c>
      <c r="D884">
        <f>IF(PNL!D884="","",PNL!D884)</f>
        <v/>
      </c>
      <c r="E884">
        <f>IF($A884="","",IF(AND($C884="2027",OR($D884="V01",$D884="V02",$D884="V03")),1,0))</f>
        <v/>
      </c>
      <c r="F884">
        <f>IF($A884="","",IF($E884=1,SUMIFS(Comptabilité!$F$1:$F$675,Comptabilité!$A$1:$A$675,$A884,Comptabilité!$B$1:$B$675,$B884,Comptabilité!$C$1:$C$675,"2026"),0))</f>
        <v/>
      </c>
      <c r="G884">
        <f>IF($A884="","",IF($D884="V01",Cadrage!$C$22,IF($D884="V02",Cadrage!$D$22,Cadrage!$E$22)))</f>
        <v/>
      </c>
      <c r="H884">
        <f>IF($A884="","",IF($D884="V01",Cadrage!$C$23,IF($D884="V02",Cadrage!$D$23,Cadrage!$E$23)))</f>
        <v/>
      </c>
      <c r="I884">
        <f>IF($A884="","",IF($D884="V01",Cadrage!$C$31,IF($D884="V02",Cadrage!$D$31,Cadrage!$E$31)))</f>
        <v/>
      </c>
      <c r="J884">
        <f>IF($A884="","",IF($D884="V01",Cadrage!$C$32,IF($D884="V02",Cadrage!$D$32,Cadrage!$E$32)))</f>
        <v/>
      </c>
      <c r="K884">
        <f>IF($A884="","",IF($D884="V01",Cadrage!$C$33,IF($D884="V02",Cadrage!$D$33,Cadrage!$E$33)))</f>
        <v/>
      </c>
      <c r="L884">
        <f>IF($A884="","",IF($D884="V01",Cadrage!$C$34,IF($D884="V02",Cadrage!$D$34,Cadrage!$E$34)))</f>
        <v/>
      </c>
      <c r="M884">
        <f>IF($A884="","",IF($D884="V01",Cadrage!$C$35,IF($D884="V02",Cadrage!$D$35,Cadrage!$E$35)))</f>
        <v/>
      </c>
      <c r="N884">
        <f>IF($A884="","",IF($D884="V01",$R$2,IF($D884="V02",$R$3,$R$4)))</f>
        <v/>
      </c>
      <c r="O884">
        <f>IF($A884="","",IF(OR($B884="7062",$B884="706",$B884="708"),$N884,IF($B884="6231",1+$G884,IF($B884="6236",1+$H884,IF(OR($B884="621",$B884="604",$B884="6063"),$N884*(1-$L884),IF(OR($B884="6411",$B884="6413",$B884="6414",$B884="645"),(1+$J884)*(1+$K884),IF(OR($B884="613",$B884="615",$B884="616",$B884="6226",$B884="625",$B884="626",$B884="6281"),(1+$I884)*(1-$L884)*(1+$M884),IF(OR($B884="6331",$B884="63511",$B884="6333"),(1+$I884)*(1-$L884),IF($B884="6811",1+$I884,1)))))))))</f>
        <v/>
      </c>
      <c r="P884">
        <f>IF($A884="","",IF($E884=1,$F884*$O884,PNL!G884))</f>
        <v/>
      </c>
      <c r="T884">
        <f>IF($A884="","",IF($E884=1,IF(OR($B884="7062",$B884="706",$B884="708"),$P884,IF(AND(LEFT($B884,1)="6",$B884&lt;&gt;"6811"),-$P884,0)),0))</f>
        <v/>
      </c>
    </row>
    <row r="885">
      <c r="A885">
        <f>IF(PNL!A885="","",PNL!A885)</f>
        <v/>
      </c>
      <c r="B885">
        <f>IF(PNL!B885="","",PNL!B885)</f>
        <v/>
      </c>
      <c r="C885">
        <f>IF(PNL!C885="","",PNL!C885)</f>
        <v/>
      </c>
      <c r="D885">
        <f>IF(PNL!D885="","",PNL!D885)</f>
        <v/>
      </c>
      <c r="E885">
        <f>IF($A885="","",IF(AND($C885="2027",OR($D885="V01",$D885="V02",$D885="V03")),1,0))</f>
        <v/>
      </c>
      <c r="F885">
        <f>IF($A885="","",IF($E885=1,SUMIFS(Comptabilité!$F$1:$F$675,Comptabilité!$A$1:$A$675,$A885,Comptabilité!$B$1:$B$675,$B885,Comptabilité!$C$1:$C$675,"2026"),0))</f>
        <v/>
      </c>
      <c r="G885">
        <f>IF($A885="","",IF($D885="V01",Cadrage!$C$22,IF($D885="V02",Cadrage!$D$22,Cadrage!$E$22)))</f>
        <v/>
      </c>
      <c r="H885">
        <f>IF($A885="","",IF($D885="V01",Cadrage!$C$23,IF($D885="V02",Cadrage!$D$23,Cadrage!$E$23)))</f>
        <v/>
      </c>
      <c r="I885">
        <f>IF($A885="","",IF($D885="V01",Cadrage!$C$31,IF($D885="V02",Cadrage!$D$31,Cadrage!$E$31)))</f>
        <v/>
      </c>
      <c r="J885">
        <f>IF($A885="","",IF($D885="V01",Cadrage!$C$32,IF($D885="V02",Cadrage!$D$32,Cadrage!$E$32)))</f>
        <v/>
      </c>
      <c r="K885">
        <f>IF($A885="","",IF($D885="V01",Cadrage!$C$33,IF($D885="V02",Cadrage!$D$33,Cadrage!$E$33)))</f>
        <v/>
      </c>
      <c r="L885">
        <f>IF($A885="","",IF($D885="V01",Cadrage!$C$34,IF($D885="V02",Cadrage!$D$34,Cadrage!$E$34)))</f>
        <v/>
      </c>
      <c r="M885">
        <f>IF($A885="","",IF($D885="V01",Cadrage!$C$35,IF($D885="V02",Cadrage!$D$35,Cadrage!$E$35)))</f>
        <v/>
      </c>
      <c r="N885">
        <f>IF($A885="","",IF($D885="V01",$R$2,IF($D885="V02",$R$3,$R$4)))</f>
        <v/>
      </c>
      <c r="O885">
        <f>IF($A885="","",IF(OR($B885="7062",$B885="706",$B885="708"),$N885,IF($B885="6231",1+$G885,IF($B885="6236",1+$H885,IF(OR($B885="621",$B885="604",$B885="6063"),$N885*(1-$L885),IF(OR($B885="6411",$B885="6413",$B885="6414",$B885="645"),(1+$J885)*(1+$K885),IF(OR($B885="613",$B885="615",$B885="616",$B885="6226",$B885="625",$B885="626",$B885="6281"),(1+$I885)*(1-$L885)*(1+$M885),IF(OR($B885="6331",$B885="63511",$B885="6333"),(1+$I885)*(1-$L885),IF($B885="6811",1+$I885,1)))))))))</f>
        <v/>
      </c>
      <c r="P885">
        <f>IF($A885="","",IF($E885=1,$F885*$O885,PNL!G885))</f>
        <v/>
      </c>
      <c r="T885">
        <f>IF($A885="","",IF($E885=1,IF(OR($B885="7062",$B885="706",$B885="708"),$P885,IF(AND(LEFT($B885,1)="6",$B885&lt;&gt;"6811"),-$P885,0)),0))</f>
        <v/>
      </c>
    </row>
    <row r="886">
      <c r="A886">
        <f>IF(PNL!A886="","",PNL!A886)</f>
        <v/>
      </c>
      <c r="B886">
        <f>IF(PNL!B886="","",PNL!B886)</f>
        <v/>
      </c>
      <c r="C886">
        <f>IF(PNL!C886="","",PNL!C886)</f>
        <v/>
      </c>
      <c r="D886">
        <f>IF(PNL!D886="","",PNL!D886)</f>
        <v/>
      </c>
      <c r="E886">
        <f>IF($A886="","",IF(AND($C886="2027",OR($D886="V01",$D886="V02",$D886="V03")),1,0))</f>
        <v/>
      </c>
      <c r="F886">
        <f>IF($A886="","",IF($E886=1,SUMIFS(Comptabilité!$F$1:$F$675,Comptabilité!$A$1:$A$675,$A886,Comptabilité!$B$1:$B$675,$B886,Comptabilité!$C$1:$C$675,"2026"),0))</f>
        <v/>
      </c>
      <c r="G886">
        <f>IF($A886="","",IF($D886="V01",Cadrage!$C$22,IF($D886="V02",Cadrage!$D$22,Cadrage!$E$22)))</f>
        <v/>
      </c>
      <c r="H886">
        <f>IF($A886="","",IF($D886="V01",Cadrage!$C$23,IF($D886="V02",Cadrage!$D$23,Cadrage!$E$23)))</f>
        <v/>
      </c>
      <c r="I886">
        <f>IF($A886="","",IF($D886="V01",Cadrage!$C$31,IF($D886="V02",Cadrage!$D$31,Cadrage!$E$31)))</f>
        <v/>
      </c>
      <c r="J886">
        <f>IF($A886="","",IF($D886="V01",Cadrage!$C$32,IF($D886="V02",Cadrage!$D$32,Cadrage!$E$32)))</f>
        <v/>
      </c>
      <c r="K886">
        <f>IF($A886="","",IF($D886="V01",Cadrage!$C$33,IF($D886="V02",Cadrage!$D$33,Cadrage!$E$33)))</f>
        <v/>
      </c>
      <c r="L886">
        <f>IF($A886="","",IF($D886="V01",Cadrage!$C$34,IF($D886="V02",Cadrage!$D$34,Cadrage!$E$34)))</f>
        <v/>
      </c>
      <c r="M886">
        <f>IF($A886="","",IF($D886="V01",Cadrage!$C$35,IF($D886="V02",Cadrage!$D$35,Cadrage!$E$35)))</f>
        <v/>
      </c>
      <c r="N886">
        <f>IF($A886="","",IF($D886="V01",$R$2,IF($D886="V02",$R$3,$R$4)))</f>
        <v/>
      </c>
      <c r="O886">
        <f>IF($A886="","",IF(OR($B886="7062",$B886="706",$B886="708"),$N886,IF($B886="6231",1+$G886,IF($B886="6236",1+$H886,IF(OR($B886="621",$B886="604",$B886="6063"),$N886*(1-$L886),IF(OR($B886="6411",$B886="6413",$B886="6414",$B886="645"),(1+$J886)*(1+$K886),IF(OR($B886="613",$B886="615",$B886="616",$B886="6226",$B886="625",$B886="626",$B886="6281"),(1+$I886)*(1-$L886)*(1+$M886),IF(OR($B886="6331",$B886="63511",$B886="6333"),(1+$I886)*(1-$L886),IF($B886="6811",1+$I886,1)))))))))</f>
        <v/>
      </c>
      <c r="P886">
        <f>IF($A886="","",IF($E886=1,$F886*$O886,PNL!G886))</f>
        <v/>
      </c>
      <c r="T886">
        <f>IF($A886="","",IF($E886=1,IF(OR($B886="7062",$B886="706",$B886="708"),$P886,IF(AND(LEFT($B886,1)="6",$B886&lt;&gt;"6811"),-$P886,0)),0))</f>
        <v/>
      </c>
    </row>
    <row r="887">
      <c r="A887">
        <f>IF(PNL!A887="","",PNL!A887)</f>
        <v/>
      </c>
      <c r="B887">
        <f>IF(PNL!B887="","",PNL!B887)</f>
        <v/>
      </c>
      <c r="C887">
        <f>IF(PNL!C887="","",PNL!C887)</f>
        <v/>
      </c>
      <c r="D887">
        <f>IF(PNL!D887="","",PNL!D887)</f>
        <v/>
      </c>
      <c r="E887">
        <f>IF($A887="","",IF(AND($C887="2027",OR($D887="V01",$D887="V02",$D887="V03")),1,0))</f>
        <v/>
      </c>
      <c r="F887">
        <f>IF($A887="","",IF($E887=1,SUMIFS(Comptabilité!$F$1:$F$675,Comptabilité!$A$1:$A$675,$A887,Comptabilité!$B$1:$B$675,$B887,Comptabilité!$C$1:$C$675,"2026"),0))</f>
        <v/>
      </c>
      <c r="G887">
        <f>IF($A887="","",IF($D887="V01",Cadrage!$C$22,IF($D887="V02",Cadrage!$D$22,Cadrage!$E$22)))</f>
        <v/>
      </c>
      <c r="H887">
        <f>IF($A887="","",IF($D887="V01",Cadrage!$C$23,IF($D887="V02",Cadrage!$D$23,Cadrage!$E$23)))</f>
        <v/>
      </c>
      <c r="I887">
        <f>IF($A887="","",IF($D887="V01",Cadrage!$C$31,IF($D887="V02",Cadrage!$D$31,Cadrage!$E$31)))</f>
        <v/>
      </c>
      <c r="J887">
        <f>IF($A887="","",IF($D887="V01",Cadrage!$C$32,IF($D887="V02",Cadrage!$D$32,Cadrage!$E$32)))</f>
        <v/>
      </c>
      <c r="K887">
        <f>IF($A887="","",IF($D887="V01",Cadrage!$C$33,IF($D887="V02",Cadrage!$D$33,Cadrage!$E$33)))</f>
        <v/>
      </c>
      <c r="L887">
        <f>IF($A887="","",IF($D887="V01",Cadrage!$C$34,IF($D887="V02",Cadrage!$D$34,Cadrage!$E$34)))</f>
        <v/>
      </c>
      <c r="M887">
        <f>IF($A887="","",IF($D887="V01",Cadrage!$C$35,IF($D887="V02",Cadrage!$D$35,Cadrage!$E$35)))</f>
        <v/>
      </c>
      <c r="N887">
        <f>IF($A887="","",IF($D887="V01",$R$2,IF($D887="V02",$R$3,$R$4)))</f>
        <v/>
      </c>
      <c r="O887">
        <f>IF($A887="","",IF(OR($B887="7062",$B887="706",$B887="708"),$N887,IF($B887="6231",1+$G887,IF($B887="6236",1+$H887,IF(OR($B887="621",$B887="604",$B887="6063"),$N887*(1-$L887),IF(OR($B887="6411",$B887="6413",$B887="6414",$B887="645"),(1+$J887)*(1+$K887),IF(OR($B887="613",$B887="615",$B887="616",$B887="6226",$B887="625",$B887="626",$B887="6281"),(1+$I887)*(1-$L887)*(1+$M887),IF(OR($B887="6331",$B887="63511",$B887="6333"),(1+$I887)*(1-$L887),IF($B887="6811",1+$I887,1)))))))))</f>
        <v/>
      </c>
      <c r="P887">
        <f>IF($A887="","",IF($E887=1,$F887*$O887,PNL!G887))</f>
        <v/>
      </c>
      <c r="T887">
        <f>IF($A887="","",IF($E887=1,IF(OR($B887="7062",$B887="706",$B887="708"),$P887,IF(AND(LEFT($B887,1)="6",$B887&lt;&gt;"6811"),-$P887,0)),0))</f>
        <v/>
      </c>
    </row>
    <row r="888">
      <c r="A888">
        <f>IF(PNL!A888="","",PNL!A888)</f>
        <v/>
      </c>
      <c r="B888">
        <f>IF(PNL!B888="","",PNL!B888)</f>
        <v/>
      </c>
      <c r="C888">
        <f>IF(PNL!C888="","",PNL!C888)</f>
        <v/>
      </c>
      <c r="D888">
        <f>IF(PNL!D888="","",PNL!D888)</f>
        <v/>
      </c>
      <c r="E888">
        <f>IF($A888="","",IF(AND($C888="2027",OR($D888="V01",$D888="V02",$D888="V03")),1,0))</f>
        <v/>
      </c>
      <c r="F888">
        <f>IF($A888="","",IF($E888=1,SUMIFS(Comptabilité!$F$1:$F$675,Comptabilité!$A$1:$A$675,$A888,Comptabilité!$B$1:$B$675,$B888,Comptabilité!$C$1:$C$675,"2026"),0))</f>
        <v/>
      </c>
      <c r="G888">
        <f>IF($A888="","",IF($D888="V01",Cadrage!$C$22,IF($D888="V02",Cadrage!$D$22,Cadrage!$E$22)))</f>
        <v/>
      </c>
      <c r="H888">
        <f>IF($A888="","",IF($D888="V01",Cadrage!$C$23,IF($D888="V02",Cadrage!$D$23,Cadrage!$E$23)))</f>
        <v/>
      </c>
      <c r="I888">
        <f>IF($A888="","",IF($D888="V01",Cadrage!$C$31,IF($D888="V02",Cadrage!$D$31,Cadrage!$E$31)))</f>
        <v/>
      </c>
      <c r="J888">
        <f>IF($A888="","",IF($D888="V01",Cadrage!$C$32,IF($D888="V02",Cadrage!$D$32,Cadrage!$E$32)))</f>
        <v/>
      </c>
      <c r="K888">
        <f>IF($A888="","",IF($D888="V01",Cadrage!$C$33,IF($D888="V02",Cadrage!$D$33,Cadrage!$E$33)))</f>
        <v/>
      </c>
      <c r="L888">
        <f>IF($A888="","",IF($D888="V01",Cadrage!$C$34,IF($D888="V02",Cadrage!$D$34,Cadrage!$E$34)))</f>
        <v/>
      </c>
      <c r="M888">
        <f>IF($A888="","",IF($D888="V01",Cadrage!$C$35,IF($D888="V02",Cadrage!$D$35,Cadrage!$E$35)))</f>
        <v/>
      </c>
      <c r="N888">
        <f>IF($A888="","",IF($D888="V01",$R$2,IF($D888="V02",$R$3,$R$4)))</f>
        <v/>
      </c>
      <c r="O888">
        <f>IF($A888="","",IF(OR($B888="7062",$B888="706",$B888="708"),$N888,IF($B888="6231",1+$G888,IF($B888="6236",1+$H888,IF(OR($B888="621",$B888="604",$B888="6063"),$N888*(1-$L888),IF(OR($B888="6411",$B888="6413",$B888="6414",$B888="645"),(1+$J888)*(1+$K888),IF(OR($B888="613",$B888="615",$B888="616",$B888="6226",$B888="625",$B888="626",$B888="6281"),(1+$I888)*(1-$L888)*(1+$M888),IF(OR($B888="6331",$B888="63511",$B888="6333"),(1+$I888)*(1-$L888),IF($B888="6811",1+$I888,1)))))))))</f>
        <v/>
      </c>
      <c r="P888">
        <f>IF($A888="","",IF($E888=1,$F888*$O888,PNL!G888))</f>
        <v/>
      </c>
      <c r="T888">
        <f>IF($A888="","",IF($E888=1,IF(OR($B888="7062",$B888="706",$B888="708"),$P888,IF(AND(LEFT($B888,1)="6",$B888&lt;&gt;"6811"),-$P888,0)),0))</f>
        <v/>
      </c>
    </row>
    <row r="889">
      <c r="A889">
        <f>IF(PNL!A889="","",PNL!A889)</f>
        <v/>
      </c>
      <c r="B889">
        <f>IF(PNL!B889="","",PNL!B889)</f>
        <v/>
      </c>
      <c r="C889">
        <f>IF(PNL!C889="","",PNL!C889)</f>
        <v/>
      </c>
      <c r="D889">
        <f>IF(PNL!D889="","",PNL!D889)</f>
        <v/>
      </c>
      <c r="E889">
        <f>IF($A889="","",IF(AND($C889="2027",OR($D889="V01",$D889="V02",$D889="V03")),1,0))</f>
        <v/>
      </c>
      <c r="F889">
        <f>IF($A889="","",IF($E889=1,SUMIFS(Comptabilité!$F$1:$F$675,Comptabilité!$A$1:$A$675,$A889,Comptabilité!$B$1:$B$675,$B889,Comptabilité!$C$1:$C$675,"2026"),0))</f>
        <v/>
      </c>
      <c r="G889">
        <f>IF($A889="","",IF($D889="V01",Cadrage!$C$22,IF($D889="V02",Cadrage!$D$22,Cadrage!$E$22)))</f>
        <v/>
      </c>
      <c r="H889">
        <f>IF($A889="","",IF($D889="V01",Cadrage!$C$23,IF($D889="V02",Cadrage!$D$23,Cadrage!$E$23)))</f>
        <v/>
      </c>
      <c r="I889">
        <f>IF($A889="","",IF($D889="V01",Cadrage!$C$31,IF($D889="V02",Cadrage!$D$31,Cadrage!$E$31)))</f>
        <v/>
      </c>
      <c r="J889">
        <f>IF($A889="","",IF($D889="V01",Cadrage!$C$32,IF($D889="V02",Cadrage!$D$32,Cadrage!$E$32)))</f>
        <v/>
      </c>
      <c r="K889">
        <f>IF($A889="","",IF($D889="V01",Cadrage!$C$33,IF($D889="V02",Cadrage!$D$33,Cadrage!$E$33)))</f>
        <v/>
      </c>
      <c r="L889">
        <f>IF($A889="","",IF($D889="V01",Cadrage!$C$34,IF($D889="V02",Cadrage!$D$34,Cadrage!$E$34)))</f>
        <v/>
      </c>
      <c r="M889">
        <f>IF($A889="","",IF($D889="V01",Cadrage!$C$35,IF($D889="V02",Cadrage!$D$35,Cadrage!$E$35)))</f>
        <v/>
      </c>
      <c r="N889">
        <f>IF($A889="","",IF($D889="V01",$R$2,IF($D889="V02",$R$3,$R$4)))</f>
        <v/>
      </c>
      <c r="O889">
        <f>IF($A889="","",IF(OR($B889="7062",$B889="706",$B889="708"),$N889,IF($B889="6231",1+$G889,IF($B889="6236",1+$H889,IF(OR($B889="621",$B889="604",$B889="6063"),$N889*(1-$L889),IF(OR($B889="6411",$B889="6413",$B889="6414",$B889="645"),(1+$J889)*(1+$K889),IF(OR($B889="613",$B889="615",$B889="616",$B889="6226",$B889="625",$B889="626",$B889="6281"),(1+$I889)*(1-$L889)*(1+$M889),IF(OR($B889="6331",$B889="63511",$B889="6333"),(1+$I889)*(1-$L889),IF($B889="6811",1+$I889,1)))))))))</f>
        <v/>
      </c>
      <c r="P889">
        <f>IF($A889="","",IF($E889=1,$F889*$O889,PNL!G889))</f>
        <v/>
      </c>
      <c r="T889">
        <f>IF($A889="","",IF($E889=1,IF(OR($B889="7062",$B889="706",$B889="708"),$P889,IF(AND(LEFT($B889,1)="6",$B889&lt;&gt;"6811"),-$P889,0)),0))</f>
        <v/>
      </c>
    </row>
    <row r="890">
      <c r="A890">
        <f>IF(PNL!A890="","",PNL!A890)</f>
        <v/>
      </c>
      <c r="B890">
        <f>IF(PNL!B890="","",PNL!B890)</f>
        <v/>
      </c>
      <c r="C890">
        <f>IF(PNL!C890="","",PNL!C890)</f>
        <v/>
      </c>
      <c r="D890">
        <f>IF(PNL!D890="","",PNL!D890)</f>
        <v/>
      </c>
      <c r="E890">
        <f>IF($A890="","",IF(AND($C890="2027",OR($D890="V01",$D890="V02",$D890="V03")),1,0))</f>
        <v/>
      </c>
      <c r="F890">
        <f>IF($A890="","",IF($E890=1,SUMIFS(Comptabilité!$F$1:$F$675,Comptabilité!$A$1:$A$675,$A890,Comptabilité!$B$1:$B$675,$B890,Comptabilité!$C$1:$C$675,"2026"),0))</f>
        <v/>
      </c>
      <c r="G890">
        <f>IF($A890="","",IF($D890="V01",Cadrage!$C$22,IF($D890="V02",Cadrage!$D$22,Cadrage!$E$22)))</f>
        <v/>
      </c>
      <c r="H890">
        <f>IF($A890="","",IF($D890="V01",Cadrage!$C$23,IF($D890="V02",Cadrage!$D$23,Cadrage!$E$23)))</f>
        <v/>
      </c>
      <c r="I890">
        <f>IF($A890="","",IF($D890="V01",Cadrage!$C$31,IF($D890="V02",Cadrage!$D$31,Cadrage!$E$31)))</f>
        <v/>
      </c>
      <c r="J890">
        <f>IF($A890="","",IF($D890="V01",Cadrage!$C$32,IF($D890="V02",Cadrage!$D$32,Cadrage!$E$32)))</f>
        <v/>
      </c>
      <c r="K890">
        <f>IF($A890="","",IF($D890="V01",Cadrage!$C$33,IF($D890="V02",Cadrage!$D$33,Cadrage!$E$33)))</f>
        <v/>
      </c>
      <c r="L890">
        <f>IF($A890="","",IF($D890="V01",Cadrage!$C$34,IF($D890="V02",Cadrage!$D$34,Cadrage!$E$34)))</f>
        <v/>
      </c>
      <c r="M890">
        <f>IF($A890="","",IF($D890="V01",Cadrage!$C$35,IF($D890="V02",Cadrage!$D$35,Cadrage!$E$35)))</f>
        <v/>
      </c>
      <c r="N890">
        <f>IF($A890="","",IF($D890="V01",$R$2,IF($D890="V02",$R$3,$R$4)))</f>
        <v/>
      </c>
      <c r="O890">
        <f>IF($A890="","",IF(OR($B890="7062",$B890="706",$B890="708"),$N890,IF($B890="6231",1+$G890,IF($B890="6236",1+$H890,IF(OR($B890="621",$B890="604",$B890="6063"),$N890*(1-$L890),IF(OR($B890="6411",$B890="6413",$B890="6414",$B890="645"),(1+$J890)*(1+$K890),IF(OR($B890="613",$B890="615",$B890="616",$B890="6226",$B890="625",$B890="626",$B890="6281"),(1+$I890)*(1-$L890)*(1+$M890),IF(OR($B890="6331",$B890="63511",$B890="6333"),(1+$I890)*(1-$L890),IF($B890="6811",1+$I890,1)))))))))</f>
        <v/>
      </c>
      <c r="P890">
        <f>IF($A890="","",IF($E890=1,$F890*$O890,PNL!G890))</f>
        <v/>
      </c>
      <c r="T890">
        <f>IF($A890="","",IF($E890=1,IF(OR($B890="7062",$B890="706",$B890="708"),$P890,IF(AND(LEFT($B890,1)="6",$B890&lt;&gt;"6811"),-$P890,0)),0))</f>
        <v/>
      </c>
    </row>
    <row r="891">
      <c r="A891">
        <f>IF(PNL!A891="","",PNL!A891)</f>
        <v/>
      </c>
      <c r="B891">
        <f>IF(PNL!B891="","",PNL!B891)</f>
        <v/>
      </c>
      <c r="C891">
        <f>IF(PNL!C891="","",PNL!C891)</f>
        <v/>
      </c>
      <c r="D891">
        <f>IF(PNL!D891="","",PNL!D891)</f>
        <v/>
      </c>
      <c r="E891">
        <f>IF($A891="","",IF(AND($C891="2027",OR($D891="V01",$D891="V02",$D891="V03")),1,0))</f>
        <v/>
      </c>
      <c r="F891">
        <f>IF($A891="","",IF($E891=1,SUMIFS(Comptabilité!$F$1:$F$675,Comptabilité!$A$1:$A$675,$A891,Comptabilité!$B$1:$B$675,$B891,Comptabilité!$C$1:$C$675,"2026"),0))</f>
        <v/>
      </c>
      <c r="G891">
        <f>IF($A891="","",IF($D891="V01",Cadrage!$C$22,IF($D891="V02",Cadrage!$D$22,Cadrage!$E$22)))</f>
        <v/>
      </c>
      <c r="H891">
        <f>IF($A891="","",IF($D891="V01",Cadrage!$C$23,IF($D891="V02",Cadrage!$D$23,Cadrage!$E$23)))</f>
        <v/>
      </c>
      <c r="I891">
        <f>IF($A891="","",IF($D891="V01",Cadrage!$C$31,IF($D891="V02",Cadrage!$D$31,Cadrage!$E$31)))</f>
        <v/>
      </c>
      <c r="J891">
        <f>IF($A891="","",IF($D891="V01",Cadrage!$C$32,IF($D891="V02",Cadrage!$D$32,Cadrage!$E$32)))</f>
        <v/>
      </c>
      <c r="K891">
        <f>IF($A891="","",IF($D891="V01",Cadrage!$C$33,IF($D891="V02",Cadrage!$D$33,Cadrage!$E$33)))</f>
        <v/>
      </c>
      <c r="L891">
        <f>IF($A891="","",IF($D891="V01",Cadrage!$C$34,IF($D891="V02",Cadrage!$D$34,Cadrage!$E$34)))</f>
        <v/>
      </c>
      <c r="M891">
        <f>IF($A891="","",IF($D891="V01",Cadrage!$C$35,IF($D891="V02",Cadrage!$D$35,Cadrage!$E$35)))</f>
        <v/>
      </c>
      <c r="N891">
        <f>IF($A891="","",IF($D891="V01",$R$2,IF($D891="V02",$R$3,$R$4)))</f>
        <v/>
      </c>
      <c r="O891">
        <f>IF($A891="","",IF(OR($B891="7062",$B891="706",$B891="708"),$N891,IF($B891="6231",1+$G891,IF($B891="6236",1+$H891,IF(OR($B891="621",$B891="604",$B891="6063"),$N891*(1-$L891),IF(OR($B891="6411",$B891="6413",$B891="6414",$B891="645"),(1+$J891)*(1+$K891),IF(OR($B891="613",$B891="615",$B891="616",$B891="6226",$B891="625",$B891="626",$B891="6281"),(1+$I891)*(1-$L891)*(1+$M891),IF(OR($B891="6331",$B891="63511",$B891="6333"),(1+$I891)*(1-$L891),IF($B891="6811",1+$I891,1)))))))))</f>
        <v/>
      </c>
      <c r="P891">
        <f>IF($A891="","",IF($E891=1,$F891*$O891,PNL!G891))</f>
        <v/>
      </c>
      <c r="T891">
        <f>IF($A891="","",IF($E891=1,IF(OR($B891="7062",$B891="706",$B891="708"),$P891,IF(AND(LEFT($B891,1)="6",$B891&lt;&gt;"6811"),-$P891,0)),0))</f>
        <v/>
      </c>
    </row>
    <row r="892">
      <c r="A892">
        <f>IF(PNL!A892="","",PNL!A892)</f>
        <v/>
      </c>
      <c r="B892">
        <f>IF(PNL!B892="","",PNL!B892)</f>
        <v/>
      </c>
      <c r="C892">
        <f>IF(PNL!C892="","",PNL!C892)</f>
        <v/>
      </c>
      <c r="D892">
        <f>IF(PNL!D892="","",PNL!D892)</f>
        <v/>
      </c>
      <c r="E892">
        <f>IF($A892="","",IF(AND($C892="2027",OR($D892="V01",$D892="V02",$D892="V03")),1,0))</f>
        <v/>
      </c>
      <c r="F892">
        <f>IF($A892="","",IF($E892=1,SUMIFS(Comptabilité!$F$1:$F$675,Comptabilité!$A$1:$A$675,$A892,Comptabilité!$B$1:$B$675,$B892,Comptabilité!$C$1:$C$675,"2026"),0))</f>
        <v/>
      </c>
      <c r="G892">
        <f>IF($A892="","",IF($D892="V01",Cadrage!$C$22,IF($D892="V02",Cadrage!$D$22,Cadrage!$E$22)))</f>
        <v/>
      </c>
      <c r="H892">
        <f>IF($A892="","",IF($D892="V01",Cadrage!$C$23,IF($D892="V02",Cadrage!$D$23,Cadrage!$E$23)))</f>
        <v/>
      </c>
      <c r="I892">
        <f>IF($A892="","",IF($D892="V01",Cadrage!$C$31,IF($D892="V02",Cadrage!$D$31,Cadrage!$E$31)))</f>
        <v/>
      </c>
      <c r="J892">
        <f>IF($A892="","",IF($D892="V01",Cadrage!$C$32,IF($D892="V02",Cadrage!$D$32,Cadrage!$E$32)))</f>
        <v/>
      </c>
      <c r="K892">
        <f>IF($A892="","",IF($D892="V01",Cadrage!$C$33,IF($D892="V02",Cadrage!$D$33,Cadrage!$E$33)))</f>
        <v/>
      </c>
      <c r="L892">
        <f>IF($A892="","",IF($D892="V01",Cadrage!$C$34,IF($D892="V02",Cadrage!$D$34,Cadrage!$E$34)))</f>
        <v/>
      </c>
      <c r="M892">
        <f>IF($A892="","",IF($D892="V01",Cadrage!$C$35,IF($D892="V02",Cadrage!$D$35,Cadrage!$E$35)))</f>
        <v/>
      </c>
      <c r="N892">
        <f>IF($A892="","",IF($D892="V01",$R$2,IF($D892="V02",$R$3,$R$4)))</f>
        <v/>
      </c>
      <c r="O892">
        <f>IF($A892="","",IF(OR($B892="7062",$B892="706",$B892="708"),$N892,IF($B892="6231",1+$G892,IF($B892="6236",1+$H892,IF(OR($B892="621",$B892="604",$B892="6063"),$N892*(1-$L892),IF(OR($B892="6411",$B892="6413",$B892="6414",$B892="645"),(1+$J892)*(1+$K892),IF(OR($B892="613",$B892="615",$B892="616",$B892="6226",$B892="625",$B892="626",$B892="6281"),(1+$I892)*(1-$L892)*(1+$M892),IF(OR($B892="6331",$B892="63511",$B892="6333"),(1+$I892)*(1-$L892),IF($B892="6811",1+$I892,1)))))))))</f>
        <v/>
      </c>
      <c r="P892">
        <f>IF($A892="","",IF($E892=1,$F892*$O892,PNL!G892))</f>
        <v/>
      </c>
      <c r="T892">
        <f>IF($A892="","",IF($E892=1,IF(OR($B892="7062",$B892="706",$B892="708"),$P892,IF(AND(LEFT($B892,1)="6",$B892&lt;&gt;"6811"),-$P892,0)),0))</f>
        <v/>
      </c>
    </row>
    <row r="893">
      <c r="A893">
        <f>IF(PNL!A893="","",PNL!A893)</f>
        <v/>
      </c>
      <c r="B893">
        <f>IF(PNL!B893="","",PNL!B893)</f>
        <v/>
      </c>
      <c r="C893">
        <f>IF(PNL!C893="","",PNL!C893)</f>
        <v/>
      </c>
      <c r="D893">
        <f>IF(PNL!D893="","",PNL!D893)</f>
        <v/>
      </c>
      <c r="E893">
        <f>IF($A893="","",IF(AND($C893="2027",OR($D893="V01",$D893="V02",$D893="V03")),1,0))</f>
        <v/>
      </c>
      <c r="F893">
        <f>IF($A893="","",IF($E893=1,SUMIFS(Comptabilité!$F$1:$F$675,Comptabilité!$A$1:$A$675,$A893,Comptabilité!$B$1:$B$675,$B893,Comptabilité!$C$1:$C$675,"2026"),0))</f>
        <v/>
      </c>
      <c r="G893">
        <f>IF($A893="","",IF($D893="V01",Cadrage!$C$22,IF($D893="V02",Cadrage!$D$22,Cadrage!$E$22)))</f>
        <v/>
      </c>
      <c r="H893">
        <f>IF($A893="","",IF($D893="V01",Cadrage!$C$23,IF($D893="V02",Cadrage!$D$23,Cadrage!$E$23)))</f>
        <v/>
      </c>
      <c r="I893">
        <f>IF($A893="","",IF($D893="V01",Cadrage!$C$31,IF($D893="V02",Cadrage!$D$31,Cadrage!$E$31)))</f>
        <v/>
      </c>
      <c r="J893">
        <f>IF($A893="","",IF($D893="V01",Cadrage!$C$32,IF($D893="V02",Cadrage!$D$32,Cadrage!$E$32)))</f>
        <v/>
      </c>
      <c r="K893">
        <f>IF($A893="","",IF($D893="V01",Cadrage!$C$33,IF($D893="V02",Cadrage!$D$33,Cadrage!$E$33)))</f>
        <v/>
      </c>
      <c r="L893">
        <f>IF($A893="","",IF($D893="V01",Cadrage!$C$34,IF($D893="V02",Cadrage!$D$34,Cadrage!$E$34)))</f>
        <v/>
      </c>
      <c r="M893">
        <f>IF($A893="","",IF($D893="V01",Cadrage!$C$35,IF($D893="V02",Cadrage!$D$35,Cadrage!$E$35)))</f>
        <v/>
      </c>
      <c r="N893">
        <f>IF($A893="","",IF($D893="V01",$R$2,IF($D893="V02",$R$3,$R$4)))</f>
        <v/>
      </c>
      <c r="O893">
        <f>IF($A893="","",IF(OR($B893="7062",$B893="706",$B893="708"),$N893,IF($B893="6231",1+$G893,IF($B893="6236",1+$H893,IF(OR($B893="621",$B893="604",$B893="6063"),$N893*(1-$L893),IF(OR($B893="6411",$B893="6413",$B893="6414",$B893="645"),(1+$J893)*(1+$K893),IF(OR($B893="613",$B893="615",$B893="616",$B893="6226",$B893="625",$B893="626",$B893="6281"),(1+$I893)*(1-$L893)*(1+$M893),IF(OR($B893="6331",$B893="63511",$B893="6333"),(1+$I893)*(1-$L893),IF($B893="6811",1+$I893,1)))))))))</f>
        <v/>
      </c>
      <c r="P893">
        <f>IF($A893="","",IF($E893=1,$F893*$O893,PNL!G893))</f>
        <v/>
      </c>
      <c r="T893">
        <f>IF($A893="","",IF($E893=1,IF(OR($B893="7062",$B893="706",$B893="708"),$P893,IF(AND(LEFT($B893,1)="6",$B893&lt;&gt;"6811"),-$P893,0)),0))</f>
        <v/>
      </c>
    </row>
    <row r="894">
      <c r="A894">
        <f>IF(PNL!A894="","",PNL!A894)</f>
        <v/>
      </c>
      <c r="B894">
        <f>IF(PNL!B894="","",PNL!B894)</f>
        <v/>
      </c>
      <c r="C894">
        <f>IF(PNL!C894="","",PNL!C894)</f>
        <v/>
      </c>
      <c r="D894">
        <f>IF(PNL!D894="","",PNL!D894)</f>
        <v/>
      </c>
      <c r="E894">
        <f>IF($A894="","",IF(AND($C894="2027",OR($D894="V01",$D894="V02",$D894="V03")),1,0))</f>
        <v/>
      </c>
      <c r="F894">
        <f>IF($A894="","",IF($E894=1,SUMIFS(Comptabilité!$F$1:$F$675,Comptabilité!$A$1:$A$675,$A894,Comptabilité!$B$1:$B$675,$B894,Comptabilité!$C$1:$C$675,"2026"),0))</f>
        <v/>
      </c>
      <c r="G894">
        <f>IF($A894="","",IF($D894="V01",Cadrage!$C$22,IF($D894="V02",Cadrage!$D$22,Cadrage!$E$22)))</f>
        <v/>
      </c>
      <c r="H894">
        <f>IF($A894="","",IF($D894="V01",Cadrage!$C$23,IF($D894="V02",Cadrage!$D$23,Cadrage!$E$23)))</f>
        <v/>
      </c>
      <c r="I894">
        <f>IF($A894="","",IF($D894="V01",Cadrage!$C$31,IF($D894="V02",Cadrage!$D$31,Cadrage!$E$31)))</f>
        <v/>
      </c>
      <c r="J894">
        <f>IF($A894="","",IF($D894="V01",Cadrage!$C$32,IF($D894="V02",Cadrage!$D$32,Cadrage!$E$32)))</f>
        <v/>
      </c>
      <c r="K894">
        <f>IF($A894="","",IF($D894="V01",Cadrage!$C$33,IF($D894="V02",Cadrage!$D$33,Cadrage!$E$33)))</f>
        <v/>
      </c>
      <c r="L894">
        <f>IF($A894="","",IF($D894="V01",Cadrage!$C$34,IF($D894="V02",Cadrage!$D$34,Cadrage!$E$34)))</f>
        <v/>
      </c>
      <c r="M894">
        <f>IF($A894="","",IF($D894="V01",Cadrage!$C$35,IF($D894="V02",Cadrage!$D$35,Cadrage!$E$35)))</f>
        <v/>
      </c>
      <c r="N894">
        <f>IF($A894="","",IF($D894="V01",$R$2,IF($D894="V02",$R$3,$R$4)))</f>
        <v/>
      </c>
      <c r="O894">
        <f>IF($A894="","",IF(OR($B894="7062",$B894="706",$B894="708"),$N894,IF($B894="6231",1+$G894,IF($B894="6236",1+$H894,IF(OR($B894="621",$B894="604",$B894="6063"),$N894*(1-$L894),IF(OR($B894="6411",$B894="6413",$B894="6414",$B894="645"),(1+$J894)*(1+$K894),IF(OR($B894="613",$B894="615",$B894="616",$B894="6226",$B894="625",$B894="626",$B894="6281"),(1+$I894)*(1-$L894)*(1+$M894),IF(OR($B894="6331",$B894="63511",$B894="6333"),(1+$I894)*(1-$L894),IF($B894="6811",1+$I894,1)))))))))</f>
        <v/>
      </c>
      <c r="P894">
        <f>IF($A894="","",IF($E894=1,$F894*$O894,PNL!G894))</f>
        <v/>
      </c>
      <c r="T894">
        <f>IF($A894="","",IF($E894=1,IF(OR($B894="7062",$B894="706",$B894="708"),$P894,IF(AND(LEFT($B894,1)="6",$B894&lt;&gt;"6811"),-$P894,0)),0))</f>
        <v/>
      </c>
    </row>
    <row r="895">
      <c r="A895">
        <f>IF(PNL!A895="","",PNL!A895)</f>
        <v/>
      </c>
      <c r="B895">
        <f>IF(PNL!B895="","",PNL!B895)</f>
        <v/>
      </c>
      <c r="C895">
        <f>IF(PNL!C895="","",PNL!C895)</f>
        <v/>
      </c>
      <c r="D895">
        <f>IF(PNL!D895="","",PNL!D895)</f>
        <v/>
      </c>
      <c r="E895">
        <f>IF($A895="","",IF(AND($C895="2027",OR($D895="V01",$D895="V02",$D895="V03")),1,0))</f>
        <v/>
      </c>
      <c r="F895">
        <f>IF($A895="","",IF($E895=1,SUMIFS(Comptabilité!$F$1:$F$675,Comptabilité!$A$1:$A$675,$A895,Comptabilité!$B$1:$B$675,$B895,Comptabilité!$C$1:$C$675,"2026"),0))</f>
        <v/>
      </c>
      <c r="G895">
        <f>IF($A895="","",IF($D895="V01",Cadrage!$C$22,IF($D895="V02",Cadrage!$D$22,Cadrage!$E$22)))</f>
        <v/>
      </c>
      <c r="H895">
        <f>IF($A895="","",IF($D895="V01",Cadrage!$C$23,IF($D895="V02",Cadrage!$D$23,Cadrage!$E$23)))</f>
        <v/>
      </c>
      <c r="I895">
        <f>IF($A895="","",IF($D895="V01",Cadrage!$C$31,IF($D895="V02",Cadrage!$D$31,Cadrage!$E$31)))</f>
        <v/>
      </c>
      <c r="J895">
        <f>IF($A895="","",IF($D895="V01",Cadrage!$C$32,IF($D895="V02",Cadrage!$D$32,Cadrage!$E$32)))</f>
        <v/>
      </c>
      <c r="K895">
        <f>IF($A895="","",IF($D895="V01",Cadrage!$C$33,IF($D895="V02",Cadrage!$D$33,Cadrage!$E$33)))</f>
        <v/>
      </c>
      <c r="L895">
        <f>IF($A895="","",IF($D895="V01",Cadrage!$C$34,IF($D895="V02",Cadrage!$D$34,Cadrage!$E$34)))</f>
        <v/>
      </c>
      <c r="M895">
        <f>IF($A895="","",IF($D895="V01",Cadrage!$C$35,IF($D895="V02",Cadrage!$D$35,Cadrage!$E$35)))</f>
        <v/>
      </c>
      <c r="N895">
        <f>IF($A895="","",IF($D895="V01",$R$2,IF($D895="V02",$R$3,$R$4)))</f>
        <v/>
      </c>
      <c r="O895">
        <f>IF($A895="","",IF(OR($B895="7062",$B895="706",$B895="708"),$N895,IF($B895="6231",1+$G895,IF($B895="6236",1+$H895,IF(OR($B895="621",$B895="604",$B895="6063"),$N895*(1-$L895),IF(OR($B895="6411",$B895="6413",$B895="6414",$B895="645"),(1+$J895)*(1+$K895),IF(OR($B895="613",$B895="615",$B895="616",$B895="6226",$B895="625",$B895="626",$B895="6281"),(1+$I895)*(1-$L895)*(1+$M895),IF(OR($B895="6331",$B895="63511",$B895="6333"),(1+$I895)*(1-$L895),IF($B895="6811",1+$I895,1)))))))))</f>
        <v/>
      </c>
      <c r="P895">
        <f>IF($A895="","",IF($E895=1,$F895*$O895,PNL!G895))</f>
        <v/>
      </c>
      <c r="T895">
        <f>IF($A895="","",IF($E895=1,IF(OR($B895="7062",$B895="706",$B895="708"),$P895,IF(AND(LEFT($B895,1)="6",$B895&lt;&gt;"6811"),-$P895,0)),0))</f>
        <v/>
      </c>
    </row>
    <row r="896">
      <c r="A896">
        <f>IF(PNL!A896="","",PNL!A896)</f>
        <v/>
      </c>
      <c r="B896">
        <f>IF(PNL!B896="","",PNL!B896)</f>
        <v/>
      </c>
      <c r="C896">
        <f>IF(PNL!C896="","",PNL!C896)</f>
        <v/>
      </c>
      <c r="D896">
        <f>IF(PNL!D896="","",PNL!D896)</f>
        <v/>
      </c>
      <c r="E896">
        <f>IF($A896="","",IF(AND($C896="2027",OR($D896="V01",$D896="V02",$D896="V03")),1,0))</f>
        <v/>
      </c>
      <c r="F896">
        <f>IF($A896="","",IF($E896=1,SUMIFS(Comptabilité!$F$1:$F$675,Comptabilité!$A$1:$A$675,$A896,Comptabilité!$B$1:$B$675,$B896,Comptabilité!$C$1:$C$675,"2026"),0))</f>
        <v/>
      </c>
      <c r="G896">
        <f>IF($A896="","",IF($D896="V01",Cadrage!$C$22,IF($D896="V02",Cadrage!$D$22,Cadrage!$E$22)))</f>
        <v/>
      </c>
      <c r="H896">
        <f>IF($A896="","",IF($D896="V01",Cadrage!$C$23,IF($D896="V02",Cadrage!$D$23,Cadrage!$E$23)))</f>
        <v/>
      </c>
      <c r="I896">
        <f>IF($A896="","",IF($D896="V01",Cadrage!$C$31,IF($D896="V02",Cadrage!$D$31,Cadrage!$E$31)))</f>
        <v/>
      </c>
      <c r="J896">
        <f>IF($A896="","",IF($D896="V01",Cadrage!$C$32,IF($D896="V02",Cadrage!$D$32,Cadrage!$E$32)))</f>
        <v/>
      </c>
      <c r="K896">
        <f>IF($A896="","",IF($D896="V01",Cadrage!$C$33,IF($D896="V02",Cadrage!$D$33,Cadrage!$E$33)))</f>
        <v/>
      </c>
      <c r="L896">
        <f>IF($A896="","",IF($D896="V01",Cadrage!$C$34,IF($D896="V02",Cadrage!$D$34,Cadrage!$E$34)))</f>
        <v/>
      </c>
      <c r="M896">
        <f>IF($A896="","",IF($D896="V01",Cadrage!$C$35,IF($D896="V02",Cadrage!$D$35,Cadrage!$E$35)))</f>
        <v/>
      </c>
      <c r="N896">
        <f>IF($A896="","",IF($D896="V01",$R$2,IF($D896="V02",$R$3,$R$4)))</f>
        <v/>
      </c>
      <c r="O896">
        <f>IF($A896="","",IF(OR($B896="7062",$B896="706",$B896="708"),$N896,IF($B896="6231",1+$G896,IF($B896="6236",1+$H896,IF(OR($B896="621",$B896="604",$B896="6063"),$N896*(1-$L896),IF(OR($B896="6411",$B896="6413",$B896="6414",$B896="645"),(1+$J896)*(1+$K896),IF(OR($B896="613",$B896="615",$B896="616",$B896="6226",$B896="625",$B896="626",$B896="6281"),(1+$I896)*(1-$L896)*(1+$M896),IF(OR($B896="6331",$B896="63511",$B896="6333"),(1+$I896)*(1-$L896),IF($B896="6811",1+$I896,1)))))))))</f>
        <v/>
      </c>
      <c r="P896">
        <f>IF($A896="","",IF($E896=1,$F896*$O896,PNL!G896))</f>
        <v/>
      </c>
      <c r="T896">
        <f>IF($A896="","",IF($E896=1,IF(OR($B896="7062",$B896="706",$B896="708"),$P896,IF(AND(LEFT($B896,1)="6",$B896&lt;&gt;"6811"),-$P896,0)),0))</f>
        <v/>
      </c>
    </row>
    <row r="897">
      <c r="A897">
        <f>IF(PNL!A897="","",PNL!A897)</f>
        <v/>
      </c>
      <c r="B897">
        <f>IF(PNL!B897="","",PNL!B897)</f>
        <v/>
      </c>
      <c r="C897">
        <f>IF(PNL!C897="","",PNL!C897)</f>
        <v/>
      </c>
      <c r="D897">
        <f>IF(PNL!D897="","",PNL!D897)</f>
        <v/>
      </c>
      <c r="E897">
        <f>IF($A897="","",IF(AND($C897="2027",OR($D897="V01",$D897="V02",$D897="V03")),1,0))</f>
        <v/>
      </c>
      <c r="F897">
        <f>IF($A897="","",IF($E897=1,SUMIFS(Comptabilité!$F$1:$F$675,Comptabilité!$A$1:$A$675,$A897,Comptabilité!$B$1:$B$675,$B897,Comptabilité!$C$1:$C$675,"2026"),0))</f>
        <v/>
      </c>
      <c r="G897">
        <f>IF($A897="","",IF($D897="V01",Cadrage!$C$22,IF($D897="V02",Cadrage!$D$22,Cadrage!$E$22)))</f>
        <v/>
      </c>
      <c r="H897">
        <f>IF($A897="","",IF($D897="V01",Cadrage!$C$23,IF($D897="V02",Cadrage!$D$23,Cadrage!$E$23)))</f>
        <v/>
      </c>
      <c r="I897">
        <f>IF($A897="","",IF($D897="V01",Cadrage!$C$31,IF($D897="V02",Cadrage!$D$31,Cadrage!$E$31)))</f>
        <v/>
      </c>
      <c r="J897">
        <f>IF($A897="","",IF($D897="V01",Cadrage!$C$32,IF($D897="V02",Cadrage!$D$32,Cadrage!$E$32)))</f>
        <v/>
      </c>
      <c r="K897">
        <f>IF($A897="","",IF($D897="V01",Cadrage!$C$33,IF($D897="V02",Cadrage!$D$33,Cadrage!$E$33)))</f>
        <v/>
      </c>
      <c r="L897">
        <f>IF($A897="","",IF($D897="V01",Cadrage!$C$34,IF($D897="V02",Cadrage!$D$34,Cadrage!$E$34)))</f>
        <v/>
      </c>
      <c r="M897">
        <f>IF($A897="","",IF($D897="V01",Cadrage!$C$35,IF($D897="V02",Cadrage!$D$35,Cadrage!$E$35)))</f>
        <v/>
      </c>
      <c r="N897">
        <f>IF($A897="","",IF($D897="V01",$R$2,IF($D897="V02",$R$3,$R$4)))</f>
        <v/>
      </c>
      <c r="O897">
        <f>IF($A897="","",IF(OR($B897="7062",$B897="706",$B897="708"),$N897,IF($B897="6231",1+$G897,IF($B897="6236",1+$H897,IF(OR($B897="621",$B897="604",$B897="6063"),$N897*(1-$L897),IF(OR($B897="6411",$B897="6413",$B897="6414",$B897="645"),(1+$J897)*(1+$K897),IF(OR($B897="613",$B897="615",$B897="616",$B897="6226",$B897="625",$B897="626",$B897="6281"),(1+$I897)*(1-$L897)*(1+$M897),IF(OR($B897="6331",$B897="63511",$B897="6333"),(1+$I897)*(1-$L897),IF($B897="6811",1+$I897,1)))))))))</f>
        <v/>
      </c>
      <c r="P897">
        <f>IF($A897="","",IF($E897=1,$F897*$O897,PNL!G897))</f>
        <v/>
      </c>
      <c r="T897">
        <f>IF($A897="","",IF($E897=1,IF(OR($B897="7062",$B897="706",$B897="708"),$P897,IF(AND(LEFT($B897,1)="6",$B897&lt;&gt;"6811"),-$P897,0)),0))</f>
        <v/>
      </c>
    </row>
    <row r="898">
      <c r="A898">
        <f>IF(PNL!A898="","",PNL!A898)</f>
        <v/>
      </c>
      <c r="B898">
        <f>IF(PNL!B898="","",PNL!B898)</f>
        <v/>
      </c>
      <c r="C898">
        <f>IF(PNL!C898="","",PNL!C898)</f>
        <v/>
      </c>
      <c r="D898">
        <f>IF(PNL!D898="","",PNL!D898)</f>
        <v/>
      </c>
      <c r="E898">
        <f>IF($A898="","",IF(AND($C898="2027",OR($D898="V01",$D898="V02",$D898="V03")),1,0))</f>
        <v/>
      </c>
      <c r="F898">
        <f>IF($A898="","",IF($E898=1,SUMIFS(Comptabilité!$F$1:$F$675,Comptabilité!$A$1:$A$675,$A898,Comptabilité!$B$1:$B$675,$B898,Comptabilité!$C$1:$C$675,"2026"),0))</f>
        <v/>
      </c>
      <c r="G898">
        <f>IF($A898="","",IF($D898="V01",Cadrage!$C$22,IF($D898="V02",Cadrage!$D$22,Cadrage!$E$22)))</f>
        <v/>
      </c>
      <c r="H898">
        <f>IF($A898="","",IF($D898="V01",Cadrage!$C$23,IF($D898="V02",Cadrage!$D$23,Cadrage!$E$23)))</f>
        <v/>
      </c>
      <c r="I898">
        <f>IF($A898="","",IF($D898="V01",Cadrage!$C$31,IF($D898="V02",Cadrage!$D$31,Cadrage!$E$31)))</f>
        <v/>
      </c>
      <c r="J898">
        <f>IF($A898="","",IF($D898="V01",Cadrage!$C$32,IF($D898="V02",Cadrage!$D$32,Cadrage!$E$32)))</f>
        <v/>
      </c>
      <c r="K898">
        <f>IF($A898="","",IF($D898="V01",Cadrage!$C$33,IF($D898="V02",Cadrage!$D$33,Cadrage!$E$33)))</f>
        <v/>
      </c>
      <c r="L898">
        <f>IF($A898="","",IF($D898="V01",Cadrage!$C$34,IF($D898="V02",Cadrage!$D$34,Cadrage!$E$34)))</f>
        <v/>
      </c>
      <c r="M898">
        <f>IF($A898="","",IF($D898="V01",Cadrage!$C$35,IF($D898="V02",Cadrage!$D$35,Cadrage!$E$35)))</f>
        <v/>
      </c>
      <c r="N898">
        <f>IF($A898="","",IF($D898="V01",$R$2,IF($D898="V02",$R$3,$R$4)))</f>
        <v/>
      </c>
      <c r="O898">
        <f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>
        <f>IF($A898="","",IF($E898=1,$F898*$O898,PNL!G898))</f>
        <v/>
      </c>
      <c r="T898">
        <f>IF($A898="","",IF($E898=1,IF(OR($B898="7062",$B898="706",$B898="708"),$P898,IF(AND(LEFT($B898,1)="6",$B898&lt;&gt;"6811"),-$P898,0)),0))</f>
        <v/>
      </c>
    </row>
    <row r="899">
      <c r="A899">
        <f>IF(PNL!A899="","",PNL!A899)</f>
        <v/>
      </c>
      <c r="B899">
        <f>IF(PNL!B899="","",PNL!B899)</f>
        <v/>
      </c>
      <c r="C899">
        <f>IF(PNL!C899="","",PNL!C899)</f>
        <v/>
      </c>
      <c r="D899">
        <f>IF(PNL!D899="","",PNL!D899)</f>
        <v/>
      </c>
      <c r="E899">
        <f>IF($A899="","",IF(AND($C899="2027",OR($D899="V01",$D899="V02",$D899="V03")),1,0))</f>
        <v/>
      </c>
      <c r="F899">
        <f>IF($A899="","",IF($E899=1,SUMIFS(Comptabilité!$F$1:$F$675,Comptabilité!$A$1:$A$675,$A899,Comptabilité!$B$1:$B$675,$B899,Comptabilité!$C$1:$C$675,"2026"),0))</f>
        <v/>
      </c>
      <c r="G899">
        <f>IF($A899="","",IF($D899="V01",Cadrage!$C$22,IF($D899="V02",Cadrage!$D$22,Cadrage!$E$22)))</f>
        <v/>
      </c>
      <c r="H899">
        <f>IF($A899="","",IF($D899="V01",Cadrage!$C$23,IF($D899="V02",Cadrage!$D$23,Cadrage!$E$23)))</f>
        <v/>
      </c>
      <c r="I899">
        <f>IF($A899="","",IF($D899="V01",Cadrage!$C$31,IF($D899="V02",Cadrage!$D$31,Cadrage!$E$31)))</f>
        <v/>
      </c>
      <c r="J899">
        <f>IF($A899="","",IF($D899="V01",Cadrage!$C$32,IF($D899="V02",Cadrage!$D$32,Cadrage!$E$32)))</f>
        <v/>
      </c>
      <c r="K899">
        <f>IF($A899="","",IF($D899="V01",Cadrage!$C$33,IF($D899="V02",Cadrage!$D$33,Cadrage!$E$33)))</f>
        <v/>
      </c>
      <c r="L899">
        <f>IF($A899="","",IF($D899="V01",Cadrage!$C$34,IF($D899="V02",Cadrage!$D$34,Cadrage!$E$34)))</f>
        <v/>
      </c>
      <c r="M899">
        <f>IF($A899="","",IF($D899="V01",Cadrage!$C$35,IF($D899="V02",Cadrage!$D$35,Cadrage!$E$35)))</f>
        <v/>
      </c>
      <c r="N899">
        <f>IF($A899="","",IF($D899="V01",$R$2,IF($D899="V02",$R$3,$R$4)))</f>
        <v/>
      </c>
      <c r="O899">
        <f>IF($A899="","",IF(OR($B899="7062",$B899="706",$B899="708"),$N899,IF($B899="6231",1+$G899,IF($B899="6236",1+$H899,IF(OR($B899="621",$B899="604",$B899="6063"),$N899*(1-$L899),IF(OR($B899="6411",$B899="6413",$B899="6414",$B899="645"),(1+$J899)*(1+$K899),IF(OR($B899="613",$B899="615",$B899="616",$B899="6226",$B899="625",$B899="626",$B899="6281"),(1+$I899)*(1-$L899)*(1+$M899),IF(OR($B899="6331",$B899="63511",$B899="6333"),(1+$I899)*(1-$L899),IF($B899="6811",1+$I899,1)))))))))</f>
        <v/>
      </c>
      <c r="P899">
        <f>IF($A899="","",IF($E899=1,$F899*$O899,PNL!G899))</f>
        <v/>
      </c>
      <c r="T899">
        <f>IF($A899="","",IF($E899=1,IF(OR($B899="7062",$B899="706",$B899="708"),$P899,IF(AND(LEFT($B899,1)="6",$B899&lt;&gt;"6811"),-$P899,0)),0))</f>
        <v/>
      </c>
    </row>
    <row r="900">
      <c r="A900">
        <f>IF(PNL!A900="","",PNL!A900)</f>
        <v/>
      </c>
      <c r="B900">
        <f>IF(PNL!B900="","",PNL!B900)</f>
        <v/>
      </c>
      <c r="C900">
        <f>IF(PNL!C900="","",PNL!C900)</f>
        <v/>
      </c>
      <c r="D900">
        <f>IF(PNL!D900="","",PNL!D900)</f>
        <v/>
      </c>
      <c r="E900">
        <f>IF($A900="","",IF(AND($C900="2027",OR($D900="V01",$D900="V02",$D900="V03")),1,0))</f>
        <v/>
      </c>
      <c r="F900">
        <f>IF($A900="","",IF($E900=1,SUMIFS(Comptabilité!$F$1:$F$675,Comptabilité!$A$1:$A$675,$A900,Comptabilité!$B$1:$B$675,$B900,Comptabilité!$C$1:$C$675,"2026"),0))</f>
        <v/>
      </c>
      <c r="G900">
        <f>IF($A900="","",IF($D900="V01",Cadrage!$C$22,IF($D900="V02",Cadrage!$D$22,Cadrage!$E$22)))</f>
        <v/>
      </c>
      <c r="H900">
        <f>IF($A900="","",IF($D900="V01",Cadrage!$C$23,IF($D900="V02",Cadrage!$D$23,Cadrage!$E$23)))</f>
        <v/>
      </c>
      <c r="I900">
        <f>IF($A900="","",IF($D900="V01",Cadrage!$C$31,IF($D900="V02",Cadrage!$D$31,Cadrage!$E$31)))</f>
        <v/>
      </c>
      <c r="J900">
        <f>IF($A900="","",IF($D900="V01",Cadrage!$C$32,IF($D900="V02",Cadrage!$D$32,Cadrage!$E$32)))</f>
        <v/>
      </c>
      <c r="K900">
        <f>IF($A900="","",IF($D900="V01",Cadrage!$C$33,IF($D900="V02",Cadrage!$D$33,Cadrage!$E$33)))</f>
        <v/>
      </c>
      <c r="L900">
        <f>IF($A900="","",IF($D900="V01",Cadrage!$C$34,IF($D900="V02",Cadrage!$D$34,Cadrage!$E$34)))</f>
        <v/>
      </c>
      <c r="M900">
        <f>IF($A900="","",IF($D900="V01",Cadrage!$C$35,IF($D900="V02",Cadrage!$D$35,Cadrage!$E$35)))</f>
        <v/>
      </c>
      <c r="N900">
        <f>IF($A900="","",IF($D900="V01",$R$2,IF($D900="V02",$R$3,$R$4)))</f>
        <v/>
      </c>
      <c r="O900">
        <f>IF($A900="","",IF(OR($B900="7062",$B900="706",$B900="708"),$N900,IF($B900="6231",1+$G900,IF($B900="6236",1+$H900,IF(OR($B900="621",$B900="604",$B900="6063"),$N900*(1-$L900),IF(OR($B900="6411",$B900="6413",$B900="6414",$B900="645"),(1+$J900)*(1+$K900),IF(OR($B900="613",$B900="615",$B900="616",$B900="6226",$B900="625",$B900="626",$B900="6281"),(1+$I900)*(1-$L900)*(1+$M900),IF(OR($B900="6331",$B900="63511",$B900="6333"),(1+$I900)*(1-$L900),IF($B900="6811",1+$I900,1)))))))))</f>
        <v/>
      </c>
      <c r="P900">
        <f>IF($A900="","",IF($E900=1,$F900*$O900,PNL!G900))</f>
        <v/>
      </c>
      <c r="T900">
        <f>IF($A900="","",IF($E900=1,IF(OR($B900="7062",$B900="706",$B900="708"),$P900,IF(AND(LEFT($B900,1)="6",$B900&lt;&gt;"6811"),-$P900,0)),0))</f>
        <v/>
      </c>
    </row>
    <row r="901">
      <c r="A901">
        <f>IF(PNL!A901="","",PNL!A901)</f>
        <v/>
      </c>
      <c r="B901">
        <f>IF(PNL!B901="","",PNL!B901)</f>
        <v/>
      </c>
      <c r="C901">
        <f>IF(PNL!C901="","",PNL!C901)</f>
        <v/>
      </c>
      <c r="D901">
        <f>IF(PNL!D901="","",PNL!D901)</f>
        <v/>
      </c>
      <c r="E901">
        <f>IF($A901="","",IF(AND($C901="2027",OR($D901="V01",$D901="V02",$D901="V03")),1,0))</f>
        <v/>
      </c>
      <c r="F901">
        <f>IF($A901="","",IF($E901=1,SUMIFS(Comptabilité!$F$1:$F$675,Comptabilité!$A$1:$A$675,$A901,Comptabilité!$B$1:$B$675,$B901,Comptabilité!$C$1:$C$675,"2026"),0))</f>
        <v/>
      </c>
      <c r="G901">
        <f>IF($A901="","",IF($D901="V01",Cadrage!$C$22,IF($D901="V02",Cadrage!$D$22,Cadrage!$E$22)))</f>
        <v/>
      </c>
      <c r="H901">
        <f>IF($A901="","",IF($D901="V01",Cadrage!$C$23,IF($D901="V02",Cadrage!$D$23,Cadrage!$E$23)))</f>
        <v/>
      </c>
      <c r="I901">
        <f>IF($A901="","",IF($D901="V01",Cadrage!$C$31,IF($D901="V02",Cadrage!$D$31,Cadrage!$E$31)))</f>
        <v/>
      </c>
      <c r="J901">
        <f>IF($A901="","",IF($D901="V01",Cadrage!$C$32,IF($D901="V02",Cadrage!$D$32,Cadrage!$E$32)))</f>
        <v/>
      </c>
      <c r="K901">
        <f>IF($A901="","",IF($D901="V01",Cadrage!$C$33,IF($D901="V02",Cadrage!$D$33,Cadrage!$E$33)))</f>
        <v/>
      </c>
      <c r="L901">
        <f>IF($A901="","",IF($D901="V01",Cadrage!$C$34,IF($D901="V02",Cadrage!$D$34,Cadrage!$E$34)))</f>
        <v/>
      </c>
      <c r="M901">
        <f>IF($A901="","",IF($D901="V01",Cadrage!$C$35,IF($D901="V02",Cadrage!$D$35,Cadrage!$E$35)))</f>
        <v/>
      </c>
      <c r="N901">
        <f>IF($A901="","",IF($D901="V01",$R$2,IF($D901="V02",$R$3,$R$4)))</f>
        <v/>
      </c>
      <c r="O901">
        <f>IF($A901="","",IF(OR($B901="7062",$B901="706",$B901="708"),$N901,IF($B901="6231",1+$G901,IF($B901="6236",1+$H901,IF(OR($B901="621",$B901="604",$B901="6063"),$N901*(1-$L901),IF(OR($B901="6411",$B901="6413",$B901="6414",$B901="645"),(1+$J901)*(1+$K901),IF(OR($B901="613",$B901="615",$B901="616",$B901="6226",$B901="625",$B901="626",$B901="6281"),(1+$I901)*(1-$L901)*(1+$M901),IF(OR($B901="6331",$B901="63511",$B901="6333"),(1+$I901)*(1-$L901),IF($B901="6811",1+$I901,1)))))))))</f>
        <v/>
      </c>
      <c r="P901">
        <f>IF($A901="","",IF($E901=1,$F901*$O901,PNL!G901))</f>
        <v/>
      </c>
      <c r="T901">
        <f>IF($A901="","",IF($E901=1,IF(OR($B901="7062",$B901="706",$B901="708"),$P901,IF(AND(LEFT($B901,1)="6",$B901&lt;&gt;"6811"),-$P901,0)),0))</f>
        <v/>
      </c>
    </row>
    <row r="902">
      <c r="A902">
        <f>IF(PNL!A902="","",PNL!A902)</f>
        <v/>
      </c>
      <c r="B902">
        <f>IF(PNL!B902="","",PNL!B902)</f>
        <v/>
      </c>
      <c r="C902">
        <f>IF(PNL!C902="","",PNL!C902)</f>
        <v/>
      </c>
      <c r="D902">
        <f>IF(PNL!D902="","",PNL!D902)</f>
        <v/>
      </c>
      <c r="E902">
        <f>IF($A902="","",IF(AND($C902="2027",OR($D902="V01",$D902="V02",$D902="V03")),1,0))</f>
        <v/>
      </c>
      <c r="F902">
        <f>IF($A902="","",IF($E902=1,SUMIFS(Comptabilité!$F$1:$F$675,Comptabilité!$A$1:$A$675,$A902,Comptabilité!$B$1:$B$675,$B902,Comptabilité!$C$1:$C$675,"2026"),0))</f>
        <v/>
      </c>
      <c r="G902">
        <f>IF($A902="","",IF($D902="V01",Cadrage!$C$22,IF($D902="V02",Cadrage!$D$22,Cadrage!$E$22)))</f>
        <v/>
      </c>
      <c r="H902">
        <f>IF($A902="","",IF($D902="V01",Cadrage!$C$23,IF($D902="V02",Cadrage!$D$23,Cadrage!$E$23)))</f>
        <v/>
      </c>
      <c r="I902">
        <f>IF($A902="","",IF($D902="V01",Cadrage!$C$31,IF($D902="V02",Cadrage!$D$31,Cadrage!$E$31)))</f>
        <v/>
      </c>
      <c r="J902">
        <f>IF($A902="","",IF($D902="V01",Cadrage!$C$32,IF($D902="V02",Cadrage!$D$32,Cadrage!$E$32)))</f>
        <v/>
      </c>
      <c r="K902">
        <f>IF($A902="","",IF($D902="V01",Cadrage!$C$33,IF($D902="V02",Cadrage!$D$33,Cadrage!$E$33)))</f>
        <v/>
      </c>
      <c r="L902">
        <f>IF($A902="","",IF($D902="V01",Cadrage!$C$34,IF($D902="V02",Cadrage!$D$34,Cadrage!$E$34)))</f>
        <v/>
      </c>
      <c r="M902">
        <f>IF($A902="","",IF($D902="V01",Cadrage!$C$35,IF($D902="V02",Cadrage!$D$35,Cadrage!$E$35)))</f>
        <v/>
      </c>
      <c r="N902">
        <f>IF($A902="","",IF($D902="V01",$R$2,IF($D902="V02",$R$3,$R$4)))</f>
        <v/>
      </c>
      <c r="O902">
        <f>IF($A902="","",IF(OR($B902="7062",$B902="706",$B902="708"),$N902,IF($B902="6231",1+$G902,IF($B902="6236",1+$H902,IF(OR($B902="621",$B902="604",$B902="6063"),$N902*(1-$L902),IF(OR($B902="6411",$B902="6413",$B902="6414",$B902="645"),(1+$J902)*(1+$K902),IF(OR($B902="613",$B902="615",$B902="616",$B902="6226",$B902="625",$B902="626",$B902="6281"),(1+$I902)*(1-$L902)*(1+$M902),IF(OR($B902="6331",$B902="63511",$B902="6333"),(1+$I902)*(1-$L902),IF($B902="6811",1+$I902,1)))))))))</f>
        <v/>
      </c>
      <c r="P902">
        <f>IF($A902="","",IF($E902=1,$F902*$O902,PNL!G902))</f>
        <v/>
      </c>
      <c r="T902">
        <f>IF($A902="","",IF($E902=1,IF(OR($B902="7062",$B902="706",$B902="708"),$P902,IF(AND(LEFT($B902,1)="6",$B902&lt;&gt;"6811"),-$P902,0)),0))</f>
        <v/>
      </c>
    </row>
    <row r="903">
      <c r="A903">
        <f>IF(PNL!A903="","",PNL!A903)</f>
        <v/>
      </c>
      <c r="B903">
        <f>IF(PNL!B903="","",PNL!B903)</f>
        <v/>
      </c>
      <c r="C903">
        <f>IF(PNL!C903="","",PNL!C903)</f>
        <v/>
      </c>
      <c r="D903">
        <f>IF(PNL!D903="","",PNL!D903)</f>
        <v/>
      </c>
      <c r="E903">
        <f>IF($A903="","",IF(AND($C903="2027",OR($D903="V01",$D903="V02",$D903="V03")),1,0))</f>
        <v/>
      </c>
      <c r="F903">
        <f>IF($A903="","",IF($E903=1,SUMIFS(Comptabilité!$F$1:$F$675,Comptabilité!$A$1:$A$675,$A903,Comptabilité!$B$1:$B$675,$B903,Comptabilité!$C$1:$C$675,"2026"),0))</f>
        <v/>
      </c>
      <c r="G903">
        <f>IF($A903="","",IF($D903="V01",Cadrage!$C$22,IF($D903="V02",Cadrage!$D$22,Cadrage!$E$22)))</f>
        <v/>
      </c>
      <c r="H903">
        <f>IF($A903="","",IF($D903="V01",Cadrage!$C$23,IF($D903="V02",Cadrage!$D$23,Cadrage!$E$23)))</f>
        <v/>
      </c>
      <c r="I903">
        <f>IF($A903="","",IF($D903="V01",Cadrage!$C$31,IF($D903="V02",Cadrage!$D$31,Cadrage!$E$31)))</f>
        <v/>
      </c>
      <c r="J903">
        <f>IF($A903="","",IF($D903="V01",Cadrage!$C$32,IF($D903="V02",Cadrage!$D$32,Cadrage!$E$32)))</f>
        <v/>
      </c>
      <c r="K903">
        <f>IF($A903="","",IF($D903="V01",Cadrage!$C$33,IF($D903="V02",Cadrage!$D$33,Cadrage!$E$33)))</f>
        <v/>
      </c>
      <c r="L903">
        <f>IF($A903="","",IF($D903="V01",Cadrage!$C$34,IF($D903="V02",Cadrage!$D$34,Cadrage!$E$34)))</f>
        <v/>
      </c>
      <c r="M903">
        <f>IF($A903="","",IF($D903="V01",Cadrage!$C$35,IF($D903="V02",Cadrage!$D$35,Cadrage!$E$35)))</f>
        <v/>
      </c>
      <c r="N903">
        <f>IF($A903="","",IF($D903="V01",$R$2,IF($D903="V02",$R$3,$R$4)))</f>
        <v/>
      </c>
      <c r="O903">
        <f>IF($A903="","",IF(OR($B903="7062",$B903="706",$B903="708"),$N903,IF($B903="6231",1+$G903,IF($B903="6236",1+$H903,IF(OR($B903="621",$B903="604",$B903="6063"),$N903*(1-$L903),IF(OR($B903="6411",$B903="6413",$B903="6414",$B903="645"),(1+$J903)*(1+$K903),IF(OR($B903="613",$B903="615",$B903="616",$B903="6226",$B903="625",$B903="626",$B903="6281"),(1+$I903)*(1-$L903)*(1+$M903),IF(OR($B903="6331",$B903="63511",$B903="6333"),(1+$I903)*(1-$L903),IF($B903="6811",1+$I903,1)))))))))</f>
        <v/>
      </c>
      <c r="P903">
        <f>IF($A903="","",IF($E903=1,$F903*$O903,PNL!G903))</f>
        <v/>
      </c>
      <c r="T903">
        <f>IF($A903="","",IF($E903=1,IF(OR($B903="7062",$B903="706",$B903="708"),$P903,IF(AND(LEFT($B903,1)="6",$B903&lt;&gt;"6811"),-$P903,0)),0))</f>
        <v/>
      </c>
    </row>
    <row r="904">
      <c r="A904">
        <f>IF(PNL!A904="","",PNL!A904)</f>
        <v/>
      </c>
      <c r="B904">
        <f>IF(PNL!B904="","",PNL!B904)</f>
        <v/>
      </c>
      <c r="C904">
        <f>IF(PNL!C904="","",PNL!C904)</f>
        <v/>
      </c>
      <c r="D904">
        <f>IF(PNL!D904="","",PNL!D904)</f>
        <v/>
      </c>
      <c r="E904">
        <f>IF($A904="","",IF(AND($C904="2027",OR($D904="V01",$D904="V02",$D904="V03")),1,0))</f>
        <v/>
      </c>
      <c r="F904">
        <f>IF($A904="","",IF($E904=1,SUMIFS(Comptabilité!$F$1:$F$675,Comptabilité!$A$1:$A$675,$A904,Comptabilité!$B$1:$B$675,$B904,Comptabilité!$C$1:$C$675,"2026"),0))</f>
        <v/>
      </c>
      <c r="G904">
        <f>IF($A904="","",IF($D904="V01",Cadrage!$C$22,IF($D904="V02",Cadrage!$D$22,Cadrage!$E$22)))</f>
        <v/>
      </c>
      <c r="H904">
        <f>IF($A904="","",IF($D904="V01",Cadrage!$C$23,IF($D904="V02",Cadrage!$D$23,Cadrage!$E$23)))</f>
        <v/>
      </c>
      <c r="I904">
        <f>IF($A904="","",IF($D904="V01",Cadrage!$C$31,IF($D904="V02",Cadrage!$D$31,Cadrage!$E$31)))</f>
        <v/>
      </c>
      <c r="J904">
        <f>IF($A904="","",IF($D904="V01",Cadrage!$C$32,IF($D904="V02",Cadrage!$D$32,Cadrage!$E$32)))</f>
        <v/>
      </c>
      <c r="K904">
        <f>IF($A904="","",IF($D904="V01",Cadrage!$C$33,IF($D904="V02",Cadrage!$D$33,Cadrage!$E$33)))</f>
        <v/>
      </c>
      <c r="L904">
        <f>IF($A904="","",IF($D904="V01",Cadrage!$C$34,IF($D904="V02",Cadrage!$D$34,Cadrage!$E$34)))</f>
        <v/>
      </c>
      <c r="M904">
        <f>IF($A904="","",IF($D904="V01",Cadrage!$C$35,IF($D904="V02",Cadrage!$D$35,Cadrage!$E$35)))</f>
        <v/>
      </c>
      <c r="N904">
        <f>IF($A904="","",IF($D904="V01",$R$2,IF($D904="V02",$R$3,$R$4)))</f>
        <v/>
      </c>
      <c r="O904">
        <f>IF($A904="","",IF(OR($B904="7062",$B904="706",$B904="708"),$N904,IF($B904="6231",1+$G904,IF($B904="6236",1+$H904,IF(OR($B904="621",$B904="604",$B904="6063"),$N904*(1-$L904),IF(OR($B904="6411",$B904="6413",$B904="6414",$B904="645"),(1+$J904)*(1+$K904),IF(OR($B904="613",$B904="615",$B904="616",$B904="6226",$B904="625",$B904="626",$B904="6281"),(1+$I904)*(1-$L904)*(1+$M904),IF(OR($B904="6331",$B904="63511",$B904="6333"),(1+$I904)*(1-$L904),IF($B904="6811",1+$I904,1)))))))))</f>
        <v/>
      </c>
      <c r="P904">
        <f>IF($A904="","",IF($E904=1,$F904*$O904,PNL!G904))</f>
        <v/>
      </c>
      <c r="T904">
        <f>IF($A904="","",IF($E904=1,IF(OR($B904="7062",$B904="706",$B904="708"),$P904,IF(AND(LEFT($B904,1)="6",$B904&lt;&gt;"6811"),-$P904,0)),0))</f>
        <v/>
      </c>
    </row>
    <row r="905">
      <c r="A905">
        <f>IF(PNL!A905="","",PNL!A905)</f>
        <v/>
      </c>
      <c r="B905">
        <f>IF(PNL!B905="","",PNL!B905)</f>
        <v/>
      </c>
      <c r="C905">
        <f>IF(PNL!C905="","",PNL!C905)</f>
        <v/>
      </c>
      <c r="D905">
        <f>IF(PNL!D905="","",PNL!D905)</f>
        <v/>
      </c>
      <c r="E905">
        <f>IF($A905="","",IF(AND($C905="2027",OR($D905="V01",$D905="V02",$D905="V03")),1,0))</f>
        <v/>
      </c>
      <c r="F905">
        <f>IF($A905="","",IF($E905=1,SUMIFS(Comptabilité!$F$1:$F$675,Comptabilité!$A$1:$A$675,$A905,Comptabilité!$B$1:$B$675,$B905,Comptabilité!$C$1:$C$675,"2026"),0))</f>
        <v/>
      </c>
      <c r="G905">
        <f>IF($A905="","",IF($D905="V01",Cadrage!$C$22,IF($D905="V02",Cadrage!$D$22,Cadrage!$E$22)))</f>
        <v/>
      </c>
      <c r="H905">
        <f>IF($A905="","",IF($D905="V01",Cadrage!$C$23,IF($D905="V02",Cadrage!$D$23,Cadrage!$E$23)))</f>
        <v/>
      </c>
      <c r="I905">
        <f>IF($A905="","",IF($D905="V01",Cadrage!$C$31,IF($D905="V02",Cadrage!$D$31,Cadrage!$E$31)))</f>
        <v/>
      </c>
      <c r="J905">
        <f>IF($A905="","",IF($D905="V01",Cadrage!$C$32,IF($D905="V02",Cadrage!$D$32,Cadrage!$E$32)))</f>
        <v/>
      </c>
      <c r="K905">
        <f>IF($A905="","",IF($D905="V01",Cadrage!$C$33,IF($D905="V02",Cadrage!$D$33,Cadrage!$E$33)))</f>
        <v/>
      </c>
      <c r="L905">
        <f>IF($A905="","",IF($D905="V01",Cadrage!$C$34,IF($D905="V02",Cadrage!$D$34,Cadrage!$E$34)))</f>
        <v/>
      </c>
      <c r="M905">
        <f>IF($A905="","",IF($D905="V01",Cadrage!$C$35,IF($D905="V02",Cadrage!$D$35,Cadrage!$E$35)))</f>
        <v/>
      </c>
      <c r="N905">
        <f>IF($A905="","",IF($D905="V01",$R$2,IF($D905="V02",$R$3,$R$4)))</f>
        <v/>
      </c>
      <c r="O905">
        <f>IF($A905="","",IF(OR($B905="7062",$B905="706",$B905="708"),$N905,IF($B905="6231",1+$G905,IF($B905="6236",1+$H905,IF(OR($B905="621",$B905="604",$B905="6063"),$N905*(1-$L905),IF(OR($B905="6411",$B905="6413",$B905="6414",$B905="645"),(1+$J905)*(1+$K905),IF(OR($B905="613",$B905="615",$B905="616",$B905="6226",$B905="625",$B905="626",$B905="6281"),(1+$I905)*(1-$L905)*(1+$M905),IF(OR($B905="6331",$B905="63511",$B905="6333"),(1+$I905)*(1-$L905),IF($B905="6811",1+$I905,1)))))))))</f>
        <v/>
      </c>
      <c r="P905">
        <f>IF($A905="","",IF($E905=1,$F905*$O905,PNL!G905))</f>
        <v/>
      </c>
      <c r="T905">
        <f>IF($A905="","",IF($E905=1,IF(OR($B905="7062",$B905="706",$B905="708"),$P905,IF(AND(LEFT($B905,1)="6",$B905&lt;&gt;"6811"),-$P905,0)),0))</f>
        <v/>
      </c>
    </row>
    <row r="906">
      <c r="A906">
        <f>IF(PNL!A906="","",PNL!A906)</f>
        <v/>
      </c>
      <c r="B906">
        <f>IF(PNL!B906="","",PNL!B906)</f>
        <v/>
      </c>
      <c r="C906">
        <f>IF(PNL!C906="","",PNL!C906)</f>
        <v/>
      </c>
      <c r="D906">
        <f>IF(PNL!D906="","",PNL!D906)</f>
        <v/>
      </c>
      <c r="E906">
        <f>IF($A906="","",IF(AND($C906="2027",OR($D906="V01",$D906="V02",$D906="V03")),1,0))</f>
        <v/>
      </c>
      <c r="F906">
        <f>IF($A906="","",IF($E906=1,SUMIFS(Comptabilité!$F$1:$F$675,Comptabilité!$A$1:$A$675,$A906,Comptabilité!$B$1:$B$675,$B906,Comptabilité!$C$1:$C$675,"2026"),0))</f>
        <v/>
      </c>
      <c r="G906">
        <f>IF($A906="","",IF($D906="V01",Cadrage!$C$22,IF($D906="V02",Cadrage!$D$22,Cadrage!$E$22)))</f>
        <v/>
      </c>
      <c r="H906">
        <f>IF($A906="","",IF($D906="V01",Cadrage!$C$23,IF($D906="V02",Cadrage!$D$23,Cadrage!$E$23)))</f>
        <v/>
      </c>
      <c r="I906">
        <f>IF($A906="","",IF($D906="V01",Cadrage!$C$31,IF($D906="V02",Cadrage!$D$31,Cadrage!$E$31)))</f>
        <v/>
      </c>
      <c r="J906">
        <f>IF($A906="","",IF($D906="V01",Cadrage!$C$32,IF($D906="V02",Cadrage!$D$32,Cadrage!$E$32)))</f>
        <v/>
      </c>
      <c r="K906">
        <f>IF($A906="","",IF($D906="V01",Cadrage!$C$33,IF($D906="V02",Cadrage!$D$33,Cadrage!$E$33)))</f>
        <v/>
      </c>
      <c r="L906">
        <f>IF($A906="","",IF($D906="V01",Cadrage!$C$34,IF($D906="V02",Cadrage!$D$34,Cadrage!$E$34)))</f>
        <v/>
      </c>
      <c r="M906">
        <f>IF($A906="","",IF($D906="V01",Cadrage!$C$35,IF($D906="V02",Cadrage!$D$35,Cadrage!$E$35)))</f>
        <v/>
      </c>
      <c r="N906">
        <f>IF($A906="","",IF($D906="V01",$R$2,IF($D906="V02",$R$3,$R$4)))</f>
        <v/>
      </c>
      <c r="O906">
        <f>IF($A906="","",IF(OR($B906="7062",$B906="706",$B906="708"),$N906,IF($B906="6231",1+$G906,IF($B906="6236",1+$H906,IF(OR($B906="621",$B906="604",$B906="6063"),$N906*(1-$L906),IF(OR($B906="6411",$B906="6413",$B906="6414",$B906="645"),(1+$J906)*(1+$K906),IF(OR($B906="613",$B906="615",$B906="616",$B906="6226",$B906="625",$B906="626",$B906="6281"),(1+$I906)*(1-$L906)*(1+$M906),IF(OR($B906="6331",$B906="63511",$B906="6333"),(1+$I906)*(1-$L906),IF($B906="6811",1+$I906,1)))))))))</f>
        <v/>
      </c>
      <c r="P906">
        <f>IF($A906="","",IF($E906=1,$F906*$O906,PNL!G906))</f>
        <v/>
      </c>
      <c r="T906">
        <f>IF($A906="","",IF($E906=1,IF(OR($B906="7062",$B906="706",$B906="708"),$P906,IF(AND(LEFT($B906,1)="6",$B906&lt;&gt;"6811"),-$P906,0)),0))</f>
        <v/>
      </c>
    </row>
    <row r="907">
      <c r="A907">
        <f>IF(PNL!A907="","",PNL!A907)</f>
        <v/>
      </c>
      <c r="B907">
        <f>IF(PNL!B907="","",PNL!B907)</f>
        <v/>
      </c>
      <c r="C907">
        <f>IF(PNL!C907="","",PNL!C907)</f>
        <v/>
      </c>
      <c r="D907">
        <f>IF(PNL!D907="","",PNL!D907)</f>
        <v/>
      </c>
      <c r="E907">
        <f>IF($A907="","",IF(AND($C907="2027",OR($D907="V01",$D907="V02",$D907="V03")),1,0))</f>
        <v/>
      </c>
      <c r="F907">
        <f>IF($A907="","",IF($E907=1,SUMIFS(Comptabilité!$F$1:$F$675,Comptabilité!$A$1:$A$675,$A907,Comptabilité!$B$1:$B$675,$B907,Comptabilité!$C$1:$C$675,"2026"),0))</f>
        <v/>
      </c>
      <c r="G907">
        <f>IF($A907="","",IF($D907="V01",Cadrage!$C$22,IF($D907="V02",Cadrage!$D$22,Cadrage!$E$22)))</f>
        <v/>
      </c>
      <c r="H907">
        <f>IF($A907="","",IF($D907="V01",Cadrage!$C$23,IF($D907="V02",Cadrage!$D$23,Cadrage!$E$23)))</f>
        <v/>
      </c>
      <c r="I907">
        <f>IF($A907="","",IF($D907="V01",Cadrage!$C$31,IF($D907="V02",Cadrage!$D$31,Cadrage!$E$31)))</f>
        <v/>
      </c>
      <c r="J907">
        <f>IF($A907="","",IF($D907="V01",Cadrage!$C$32,IF($D907="V02",Cadrage!$D$32,Cadrage!$E$32)))</f>
        <v/>
      </c>
      <c r="K907">
        <f>IF($A907="","",IF($D907="V01",Cadrage!$C$33,IF($D907="V02",Cadrage!$D$33,Cadrage!$E$33)))</f>
        <v/>
      </c>
      <c r="L907">
        <f>IF($A907="","",IF($D907="V01",Cadrage!$C$34,IF($D907="V02",Cadrage!$D$34,Cadrage!$E$34)))</f>
        <v/>
      </c>
      <c r="M907">
        <f>IF($A907="","",IF($D907="V01",Cadrage!$C$35,IF($D907="V02",Cadrage!$D$35,Cadrage!$E$35)))</f>
        <v/>
      </c>
      <c r="N907">
        <f>IF($A907="","",IF($D907="V01",$R$2,IF($D907="V02",$R$3,$R$4)))</f>
        <v/>
      </c>
      <c r="O907">
        <f>IF($A907="","",IF(OR($B907="7062",$B907="706",$B907="708"),$N907,IF($B907="6231",1+$G907,IF($B907="6236",1+$H907,IF(OR($B907="621",$B907="604",$B907="6063"),$N907*(1-$L907),IF(OR($B907="6411",$B907="6413",$B907="6414",$B907="645"),(1+$J907)*(1+$K907),IF(OR($B907="613",$B907="615",$B907="616",$B907="6226",$B907="625",$B907="626",$B907="6281"),(1+$I907)*(1-$L907)*(1+$M907),IF(OR($B907="6331",$B907="63511",$B907="6333"),(1+$I907)*(1-$L907),IF($B907="6811",1+$I907,1)))))))))</f>
        <v/>
      </c>
      <c r="P907">
        <f>IF($A907="","",IF($E907=1,$F907*$O907,PNL!G907))</f>
        <v/>
      </c>
      <c r="T907">
        <f>IF($A907="","",IF($E907=1,IF(OR($B907="7062",$B907="706",$B907="708"),$P907,IF(AND(LEFT($B907,1)="6",$B907&lt;&gt;"6811"),-$P907,0)),0))</f>
        <v/>
      </c>
    </row>
    <row r="908">
      <c r="A908">
        <f>IF(PNL!A908="","",PNL!A908)</f>
        <v/>
      </c>
      <c r="B908">
        <f>IF(PNL!B908="","",PNL!B908)</f>
        <v/>
      </c>
      <c r="C908">
        <f>IF(PNL!C908="","",PNL!C908)</f>
        <v/>
      </c>
      <c r="D908">
        <f>IF(PNL!D908="","",PNL!D908)</f>
        <v/>
      </c>
      <c r="E908">
        <f>IF($A908="","",IF(AND($C908="2027",OR($D908="V01",$D908="V02",$D908="V03")),1,0))</f>
        <v/>
      </c>
      <c r="F908">
        <f>IF($A908="","",IF($E908=1,SUMIFS(Comptabilité!$F$1:$F$675,Comptabilité!$A$1:$A$675,$A908,Comptabilité!$B$1:$B$675,$B908,Comptabilité!$C$1:$C$675,"2026"),0))</f>
        <v/>
      </c>
      <c r="G908">
        <f>IF($A908="","",IF($D908="V01",Cadrage!$C$22,IF($D908="V02",Cadrage!$D$22,Cadrage!$E$22)))</f>
        <v/>
      </c>
      <c r="H908">
        <f>IF($A908="","",IF($D908="V01",Cadrage!$C$23,IF($D908="V02",Cadrage!$D$23,Cadrage!$E$23)))</f>
        <v/>
      </c>
      <c r="I908">
        <f>IF($A908="","",IF($D908="V01",Cadrage!$C$31,IF($D908="V02",Cadrage!$D$31,Cadrage!$E$31)))</f>
        <v/>
      </c>
      <c r="J908">
        <f>IF($A908="","",IF($D908="V01",Cadrage!$C$32,IF($D908="V02",Cadrage!$D$32,Cadrage!$E$32)))</f>
        <v/>
      </c>
      <c r="K908">
        <f>IF($A908="","",IF($D908="V01",Cadrage!$C$33,IF($D908="V02",Cadrage!$D$33,Cadrage!$E$33)))</f>
        <v/>
      </c>
      <c r="L908">
        <f>IF($A908="","",IF($D908="V01",Cadrage!$C$34,IF($D908="V02",Cadrage!$D$34,Cadrage!$E$34)))</f>
        <v/>
      </c>
      <c r="M908">
        <f>IF($A908="","",IF($D908="V01",Cadrage!$C$35,IF($D908="V02",Cadrage!$D$35,Cadrage!$E$35)))</f>
        <v/>
      </c>
      <c r="N908">
        <f>IF($A908="","",IF($D908="V01",$R$2,IF($D908="V02",$R$3,$R$4)))</f>
        <v/>
      </c>
      <c r="O908">
        <f>IF($A908="","",IF(OR($B908="7062",$B908="706",$B908="708"),$N908,IF($B908="6231",1+$G908,IF($B908="6236",1+$H908,IF(OR($B908="621",$B908="604",$B908="6063"),$N908*(1-$L908),IF(OR($B908="6411",$B908="6413",$B908="6414",$B908="645"),(1+$J908)*(1+$K908),IF(OR($B908="613",$B908="615",$B908="616",$B908="6226",$B908="625",$B908="626",$B908="6281"),(1+$I908)*(1-$L908)*(1+$M908),IF(OR($B908="6331",$B908="63511",$B908="6333"),(1+$I908)*(1-$L908),IF($B908="6811",1+$I908,1)))))))))</f>
        <v/>
      </c>
      <c r="P908">
        <f>IF($A908="","",IF($E908=1,$F908*$O908,PNL!G908))</f>
        <v/>
      </c>
      <c r="T908">
        <f>IF($A908="","",IF($E908=1,IF(OR($B908="7062",$B908="706",$B908="708"),$P908,IF(AND(LEFT($B908,1)="6",$B908&lt;&gt;"6811"),-$P908,0)),0))</f>
        <v/>
      </c>
    </row>
    <row r="909">
      <c r="A909">
        <f>IF(PNL!A909="","",PNL!A909)</f>
        <v/>
      </c>
      <c r="B909">
        <f>IF(PNL!B909="","",PNL!B909)</f>
        <v/>
      </c>
      <c r="C909">
        <f>IF(PNL!C909="","",PNL!C909)</f>
        <v/>
      </c>
      <c r="D909">
        <f>IF(PNL!D909="","",PNL!D909)</f>
        <v/>
      </c>
      <c r="E909">
        <f>IF($A909="","",IF(AND($C909="2027",OR($D909="V01",$D909="V02",$D909="V03")),1,0))</f>
        <v/>
      </c>
      <c r="F909">
        <f>IF($A909="","",IF($E909=1,SUMIFS(Comptabilité!$F$1:$F$675,Comptabilité!$A$1:$A$675,$A909,Comptabilité!$B$1:$B$675,$B909,Comptabilité!$C$1:$C$675,"2026"),0))</f>
        <v/>
      </c>
      <c r="G909">
        <f>IF($A909="","",IF($D909="V01",Cadrage!$C$22,IF($D909="V02",Cadrage!$D$22,Cadrage!$E$22)))</f>
        <v/>
      </c>
      <c r="H909">
        <f>IF($A909="","",IF($D909="V01",Cadrage!$C$23,IF($D909="V02",Cadrage!$D$23,Cadrage!$E$23)))</f>
        <v/>
      </c>
      <c r="I909">
        <f>IF($A909="","",IF($D909="V01",Cadrage!$C$31,IF($D909="V02",Cadrage!$D$31,Cadrage!$E$31)))</f>
        <v/>
      </c>
      <c r="J909">
        <f>IF($A909="","",IF($D909="V01",Cadrage!$C$32,IF($D909="V02",Cadrage!$D$32,Cadrage!$E$32)))</f>
        <v/>
      </c>
      <c r="K909">
        <f>IF($A909="","",IF($D909="V01",Cadrage!$C$33,IF($D909="V02",Cadrage!$D$33,Cadrage!$E$33)))</f>
        <v/>
      </c>
      <c r="L909">
        <f>IF($A909="","",IF($D909="V01",Cadrage!$C$34,IF($D909="V02",Cadrage!$D$34,Cadrage!$E$34)))</f>
        <v/>
      </c>
      <c r="M909">
        <f>IF($A909="","",IF($D909="V01",Cadrage!$C$35,IF($D909="V02",Cadrage!$D$35,Cadrage!$E$35)))</f>
        <v/>
      </c>
      <c r="N909">
        <f>IF($A909="","",IF($D909="V01",$R$2,IF($D909="V02",$R$3,$R$4)))</f>
        <v/>
      </c>
      <c r="O909">
        <f>IF($A909="","",IF(OR($B909="7062",$B909="706",$B909="708"),$N909,IF($B909="6231",1+$G909,IF($B909="6236",1+$H909,IF(OR($B909="621",$B909="604",$B909="6063"),$N909*(1-$L909),IF(OR($B909="6411",$B909="6413",$B909="6414",$B909="645"),(1+$J909)*(1+$K909),IF(OR($B909="613",$B909="615",$B909="616",$B909="6226",$B909="625",$B909="626",$B909="6281"),(1+$I909)*(1-$L909)*(1+$M909),IF(OR($B909="6331",$B909="63511",$B909="6333"),(1+$I909)*(1-$L909),IF($B909="6811",1+$I909,1)))))))))</f>
        <v/>
      </c>
      <c r="P909">
        <f>IF($A909="","",IF($E909=1,$F909*$O909,PNL!G909))</f>
        <v/>
      </c>
      <c r="T909">
        <f>IF($A909="","",IF($E909=1,IF(OR($B909="7062",$B909="706",$B909="708"),$P909,IF(AND(LEFT($B909,1)="6",$B909&lt;&gt;"6811"),-$P909,0)),0))</f>
        <v/>
      </c>
    </row>
    <row r="910">
      <c r="A910">
        <f>IF(PNL!A910="","",PNL!A910)</f>
        <v/>
      </c>
      <c r="B910">
        <f>IF(PNL!B910="","",PNL!B910)</f>
        <v/>
      </c>
      <c r="C910">
        <f>IF(PNL!C910="","",PNL!C910)</f>
        <v/>
      </c>
      <c r="D910">
        <f>IF(PNL!D910="","",PNL!D910)</f>
        <v/>
      </c>
      <c r="E910">
        <f>IF($A910="","",IF(AND($C910="2027",OR($D910="V01",$D910="V02",$D910="V03")),1,0))</f>
        <v/>
      </c>
      <c r="F910">
        <f>IF($A910="","",IF($E910=1,SUMIFS(Comptabilité!$F$1:$F$675,Comptabilité!$A$1:$A$675,$A910,Comptabilité!$B$1:$B$675,$B910,Comptabilité!$C$1:$C$675,"2026"),0))</f>
        <v/>
      </c>
      <c r="G910">
        <f>IF($A910="","",IF($D910="V01",Cadrage!$C$22,IF($D910="V02",Cadrage!$D$22,Cadrage!$E$22)))</f>
        <v/>
      </c>
      <c r="H910">
        <f>IF($A910="","",IF($D910="V01",Cadrage!$C$23,IF($D910="V02",Cadrage!$D$23,Cadrage!$E$23)))</f>
        <v/>
      </c>
      <c r="I910">
        <f>IF($A910="","",IF($D910="V01",Cadrage!$C$31,IF($D910="V02",Cadrage!$D$31,Cadrage!$E$31)))</f>
        <v/>
      </c>
      <c r="J910">
        <f>IF($A910="","",IF($D910="V01",Cadrage!$C$32,IF($D910="V02",Cadrage!$D$32,Cadrage!$E$32)))</f>
        <v/>
      </c>
      <c r="K910">
        <f>IF($A910="","",IF($D910="V01",Cadrage!$C$33,IF($D910="V02",Cadrage!$D$33,Cadrage!$E$33)))</f>
        <v/>
      </c>
      <c r="L910">
        <f>IF($A910="","",IF($D910="V01",Cadrage!$C$34,IF($D910="V02",Cadrage!$D$34,Cadrage!$E$34)))</f>
        <v/>
      </c>
      <c r="M910">
        <f>IF($A910="","",IF($D910="V01",Cadrage!$C$35,IF($D910="V02",Cadrage!$D$35,Cadrage!$E$35)))</f>
        <v/>
      </c>
      <c r="N910">
        <f>IF($A910="","",IF($D910="V01",$R$2,IF($D910="V02",$R$3,$R$4)))</f>
        <v/>
      </c>
      <c r="O910">
        <f>IF($A910="","",IF(OR($B910="7062",$B910="706",$B910="708"),$N910,IF($B910="6231",1+$G910,IF($B910="6236",1+$H910,IF(OR($B910="621",$B910="604",$B910="6063"),$N910*(1-$L910),IF(OR($B910="6411",$B910="6413",$B910="6414",$B910="645"),(1+$J910)*(1+$K910),IF(OR($B910="613",$B910="615",$B910="616",$B910="6226",$B910="625",$B910="626",$B910="6281"),(1+$I910)*(1-$L910)*(1+$M910),IF(OR($B910="6331",$B910="63511",$B910="6333"),(1+$I910)*(1-$L910),IF($B910="6811",1+$I910,1)))))))))</f>
        <v/>
      </c>
      <c r="P910">
        <f>IF($A910="","",IF($E910=1,$F910*$O910,PNL!G910))</f>
        <v/>
      </c>
      <c r="T910">
        <f>IF($A910="","",IF($E910=1,IF(OR($B910="7062",$B910="706",$B910="708"),$P910,IF(AND(LEFT($B910,1)="6",$B910&lt;&gt;"6811"),-$P910,0)),0))</f>
        <v/>
      </c>
    </row>
    <row r="911">
      <c r="A911">
        <f>IF(PNL!A911="","",PNL!A911)</f>
        <v/>
      </c>
      <c r="B911">
        <f>IF(PNL!B911="","",PNL!B911)</f>
        <v/>
      </c>
      <c r="C911">
        <f>IF(PNL!C911="","",PNL!C911)</f>
        <v/>
      </c>
      <c r="D911">
        <f>IF(PNL!D911="","",PNL!D911)</f>
        <v/>
      </c>
      <c r="E911">
        <f>IF($A911="","",IF(AND($C911="2027",OR($D911="V01",$D911="V02",$D911="V03")),1,0))</f>
        <v/>
      </c>
      <c r="F911">
        <f>IF($A911="","",IF($E911=1,SUMIFS(Comptabilité!$F$1:$F$675,Comptabilité!$A$1:$A$675,$A911,Comptabilité!$B$1:$B$675,$B911,Comptabilité!$C$1:$C$675,"2026"),0))</f>
        <v/>
      </c>
      <c r="G911">
        <f>IF($A911="","",IF($D911="V01",Cadrage!$C$22,IF($D911="V02",Cadrage!$D$22,Cadrage!$E$22)))</f>
        <v/>
      </c>
      <c r="H911">
        <f>IF($A911="","",IF($D911="V01",Cadrage!$C$23,IF($D911="V02",Cadrage!$D$23,Cadrage!$E$23)))</f>
        <v/>
      </c>
      <c r="I911">
        <f>IF($A911="","",IF($D911="V01",Cadrage!$C$31,IF($D911="V02",Cadrage!$D$31,Cadrage!$E$31)))</f>
        <v/>
      </c>
      <c r="J911">
        <f>IF($A911="","",IF($D911="V01",Cadrage!$C$32,IF($D911="V02",Cadrage!$D$32,Cadrage!$E$32)))</f>
        <v/>
      </c>
      <c r="K911">
        <f>IF($A911="","",IF($D911="V01",Cadrage!$C$33,IF($D911="V02",Cadrage!$D$33,Cadrage!$E$33)))</f>
        <v/>
      </c>
      <c r="L911">
        <f>IF($A911="","",IF($D911="V01",Cadrage!$C$34,IF($D911="V02",Cadrage!$D$34,Cadrage!$E$34)))</f>
        <v/>
      </c>
      <c r="M911">
        <f>IF($A911="","",IF($D911="V01",Cadrage!$C$35,IF($D911="V02",Cadrage!$D$35,Cadrage!$E$35)))</f>
        <v/>
      </c>
      <c r="N911">
        <f>IF($A911="","",IF($D911="V01",$R$2,IF($D911="V02",$R$3,$R$4)))</f>
        <v/>
      </c>
      <c r="O911">
        <f>IF($A911="","",IF(OR($B911="7062",$B911="706",$B911="708"),$N911,IF($B911="6231",1+$G911,IF($B911="6236",1+$H911,IF(OR($B911="621",$B911="604",$B911="6063"),$N911*(1-$L911),IF(OR($B911="6411",$B911="6413",$B911="6414",$B911="645"),(1+$J911)*(1+$K911),IF(OR($B911="613",$B911="615",$B911="616",$B911="6226",$B911="625",$B911="626",$B911="6281"),(1+$I911)*(1-$L911)*(1+$M911),IF(OR($B911="6331",$B911="63511",$B911="6333"),(1+$I911)*(1-$L911),IF($B911="6811",1+$I911,1)))))))))</f>
        <v/>
      </c>
      <c r="P911">
        <f>IF($A911="","",IF($E911=1,$F911*$O911,PNL!G911))</f>
        <v/>
      </c>
      <c r="T911">
        <f>IF($A911="","",IF($E911=1,IF(OR($B911="7062",$B911="706",$B911="708"),$P911,IF(AND(LEFT($B911,1)="6",$B911&lt;&gt;"6811"),-$P911,0)),0))</f>
        <v/>
      </c>
    </row>
    <row r="912">
      <c r="A912">
        <f>IF(PNL!A912="","",PNL!A912)</f>
        <v/>
      </c>
      <c r="B912">
        <f>IF(PNL!B912="","",PNL!B912)</f>
        <v/>
      </c>
      <c r="C912">
        <f>IF(PNL!C912="","",PNL!C912)</f>
        <v/>
      </c>
      <c r="D912">
        <f>IF(PNL!D912="","",PNL!D912)</f>
        <v/>
      </c>
      <c r="E912">
        <f>IF($A912="","",IF(AND($C912="2027",OR($D912="V01",$D912="V02",$D912="V03")),1,0))</f>
        <v/>
      </c>
      <c r="F912">
        <f>IF($A912="","",IF($E912=1,SUMIFS(Comptabilité!$F$1:$F$675,Comptabilité!$A$1:$A$675,$A912,Comptabilité!$B$1:$B$675,$B912,Comptabilité!$C$1:$C$675,"2026"),0))</f>
        <v/>
      </c>
      <c r="G912">
        <f>IF($A912="","",IF($D912="V01",Cadrage!$C$22,IF($D912="V02",Cadrage!$D$22,Cadrage!$E$22)))</f>
        <v/>
      </c>
      <c r="H912">
        <f>IF($A912="","",IF($D912="V01",Cadrage!$C$23,IF($D912="V02",Cadrage!$D$23,Cadrage!$E$23)))</f>
        <v/>
      </c>
      <c r="I912">
        <f>IF($A912="","",IF($D912="V01",Cadrage!$C$31,IF($D912="V02",Cadrage!$D$31,Cadrage!$E$31)))</f>
        <v/>
      </c>
      <c r="J912">
        <f>IF($A912="","",IF($D912="V01",Cadrage!$C$32,IF($D912="V02",Cadrage!$D$32,Cadrage!$E$32)))</f>
        <v/>
      </c>
      <c r="K912">
        <f>IF($A912="","",IF($D912="V01",Cadrage!$C$33,IF($D912="V02",Cadrage!$D$33,Cadrage!$E$33)))</f>
        <v/>
      </c>
      <c r="L912">
        <f>IF($A912="","",IF($D912="V01",Cadrage!$C$34,IF($D912="V02",Cadrage!$D$34,Cadrage!$E$34)))</f>
        <v/>
      </c>
      <c r="M912">
        <f>IF($A912="","",IF($D912="V01",Cadrage!$C$35,IF($D912="V02",Cadrage!$D$35,Cadrage!$E$35)))</f>
        <v/>
      </c>
      <c r="N912">
        <f>IF($A912="","",IF($D912="V01",$R$2,IF($D912="V02",$R$3,$R$4)))</f>
        <v/>
      </c>
      <c r="O912">
        <f>IF($A912="","",IF(OR($B912="7062",$B912="706",$B912="708"),$N912,IF($B912="6231",1+$G912,IF($B912="6236",1+$H912,IF(OR($B912="621",$B912="604",$B912="6063"),$N912*(1-$L912),IF(OR($B912="6411",$B912="6413",$B912="6414",$B912="645"),(1+$J912)*(1+$K912),IF(OR($B912="613",$B912="615",$B912="616",$B912="6226",$B912="625",$B912="626",$B912="6281"),(1+$I912)*(1-$L912)*(1+$M912),IF(OR($B912="6331",$B912="63511",$B912="6333"),(1+$I912)*(1-$L912),IF($B912="6811",1+$I912,1)))))))))</f>
        <v/>
      </c>
      <c r="P912">
        <f>IF($A912="","",IF($E912=1,$F912*$O912,PNL!G912))</f>
        <v/>
      </c>
      <c r="T912">
        <f>IF($A912="","",IF($E912=1,IF(OR($B912="7062",$B912="706",$B912="708"),$P912,IF(AND(LEFT($B912,1)="6",$B912&lt;&gt;"6811"),-$P912,0)),0))</f>
        <v/>
      </c>
    </row>
    <row r="913">
      <c r="A913">
        <f>IF(PNL!A913="","",PNL!A913)</f>
        <v/>
      </c>
      <c r="B913">
        <f>IF(PNL!B913="","",PNL!B913)</f>
        <v/>
      </c>
      <c r="C913">
        <f>IF(PNL!C913="","",PNL!C913)</f>
        <v/>
      </c>
      <c r="D913">
        <f>IF(PNL!D913="","",PNL!D913)</f>
        <v/>
      </c>
      <c r="E913">
        <f>IF($A913="","",IF(AND($C913="2027",OR($D913="V01",$D913="V02",$D913="V03")),1,0))</f>
        <v/>
      </c>
      <c r="F913">
        <f>IF($A913="","",IF($E913=1,SUMIFS(Comptabilité!$F$1:$F$675,Comptabilité!$A$1:$A$675,$A913,Comptabilité!$B$1:$B$675,$B913,Comptabilité!$C$1:$C$675,"2026"),0))</f>
        <v/>
      </c>
      <c r="G913">
        <f>IF($A913="","",IF($D913="V01",Cadrage!$C$22,IF($D913="V02",Cadrage!$D$22,Cadrage!$E$22)))</f>
        <v/>
      </c>
      <c r="H913">
        <f>IF($A913="","",IF($D913="V01",Cadrage!$C$23,IF($D913="V02",Cadrage!$D$23,Cadrage!$E$23)))</f>
        <v/>
      </c>
      <c r="I913">
        <f>IF($A913="","",IF($D913="V01",Cadrage!$C$31,IF($D913="V02",Cadrage!$D$31,Cadrage!$E$31)))</f>
        <v/>
      </c>
      <c r="J913">
        <f>IF($A913="","",IF($D913="V01",Cadrage!$C$32,IF($D913="V02",Cadrage!$D$32,Cadrage!$E$32)))</f>
        <v/>
      </c>
      <c r="K913">
        <f>IF($A913="","",IF($D913="V01",Cadrage!$C$33,IF($D913="V02",Cadrage!$D$33,Cadrage!$E$33)))</f>
        <v/>
      </c>
      <c r="L913">
        <f>IF($A913="","",IF($D913="V01",Cadrage!$C$34,IF($D913="V02",Cadrage!$D$34,Cadrage!$E$34)))</f>
        <v/>
      </c>
      <c r="M913">
        <f>IF($A913="","",IF($D913="V01",Cadrage!$C$35,IF($D913="V02",Cadrage!$D$35,Cadrage!$E$35)))</f>
        <v/>
      </c>
      <c r="N913">
        <f>IF($A913="","",IF($D913="V01",$R$2,IF($D913="V02",$R$3,$R$4)))</f>
        <v/>
      </c>
      <c r="O913">
        <f>IF($A913="","",IF(OR($B913="7062",$B913="706",$B913="708"),$N913,IF($B913="6231",1+$G913,IF($B913="6236",1+$H913,IF(OR($B913="621",$B913="604",$B913="6063"),$N913*(1-$L913),IF(OR($B913="6411",$B913="6413",$B913="6414",$B913="645"),(1+$J913)*(1+$K913),IF(OR($B913="613",$B913="615",$B913="616",$B913="6226",$B913="625",$B913="626",$B913="6281"),(1+$I913)*(1-$L913)*(1+$M913),IF(OR($B913="6331",$B913="63511",$B913="6333"),(1+$I913)*(1-$L913),IF($B913="6811",1+$I913,1)))))))))</f>
        <v/>
      </c>
      <c r="P913">
        <f>IF($A913="","",IF($E913=1,$F913*$O913,PNL!G913))</f>
        <v/>
      </c>
      <c r="T913">
        <f>IF($A913="","",IF($E913=1,IF(OR($B913="7062",$B913="706",$B913="708"),$P913,IF(AND(LEFT($B913,1)="6",$B913&lt;&gt;"6811"),-$P913,0)),0))</f>
        <v/>
      </c>
    </row>
    <row r="914">
      <c r="A914">
        <f>IF(PNL!A914="","",PNL!A914)</f>
        <v/>
      </c>
      <c r="B914">
        <f>IF(PNL!B914="","",PNL!B914)</f>
        <v/>
      </c>
      <c r="C914">
        <f>IF(PNL!C914="","",PNL!C914)</f>
        <v/>
      </c>
      <c r="D914">
        <f>IF(PNL!D914="","",PNL!D914)</f>
        <v/>
      </c>
      <c r="E914">
        <f>IF($A914="","",IF(AND($C914="2027",OR($D914="V01",$D914="V02",$D914="V03")),1,0))</f>
        <v/>
      </c>
      <c r="F914">
        <f>IF($A914="","",IF($E914=1,SUMIFS(Comptabilité!$F$1:$F$675,Comptabilité!$A$1:$A$675,$A914,Comptabilité!$B$1:$B$675,$B914,Comptabilité!$C$1:$C$675,"2026"),0))</f>
        <v/>
      </c>
      <c r="G914">
        <f>IF($A914="","",IF($D914="V01",Cadrage!$C$22,IF($D914="V02",Cadrage!$D$22,Cadrage!$E$22)))</f>
        <v/>
      </c>
      <c r="H914">
        <f>IF($A914="","",IF($D914="V01",Cadrage!$C$23,IF($D914="V02",Cadrage!$D$23,Cadrage!$E$23)))</f>
        <v/>
      </c>
      <c r="I914">
        <f>IF($A914="","",IF($D914="V01",Cadrage!$C$31,IF($D914="V02",Cadrage!$D$31,Cadrage!$E$31)))</f>
        <v/>
      </c>
      <c r="J914">
        <f>IF($A914="","",IF($D914="V01",Cadrage!$C$32,IF($D914="V02",Cadrage!$D$32,Cadrage!$E$32)))</f>
        <v/>
      </c>
      <c r="K914">
        <f>IF($A914="","",IF($D914="V01",Cadrage!$C$33,IF($D914="V02",Cadrage!$D$33,Cadrage!$E$33)))</f>
        <v/>
      </c>
      <c r="L914">
        <f>IF($A914="","",IF($D914="V01",Cadrage!$C$34,IF($D914="V02",Cadrage!$D$34,Cadrage!$E$34)))</f>
        <v/>
      </c>
      <c r="M914">
        <f>IF($A914="","",IF($D914="V01",Cadrage!$C$35,IF($D914="V02",Cadrage!$D$35,Cadrage!$E$35)))</f>
        <v/>
      </c>
      <c r="N914">
        <f>IF($A914="","",IF($D914="V01",$R$2,IF($D914="V02",$R$3,$R$4)))</f>
        <v/>
      </c>
      <c r="O914">
        <f>IF($A914="","",IF(OR($B914="7062",$B914="706",$B914="708"),$N914,IF($B914="6231",1+$G914,IF($B914="6236",1+$H914,IF(OR($B914="621",$B914="604",$B914="6063"),$N914*(1-$L914),IF(OR($B914="6411",$B914="6413",$B914="6414",$B914="645"),(1+$J914)*(1+$K914),IF(OR($B914="613",$B914="615",$B914="616",$B914="6226",$B914="625",$B914="626",$B914="6281"),(1+$I914)*(1-$L914)*(1+$M914),IF(OR($B914="6331",$B914="63511",$B914="6333"),(1+$I914)*(1-$L914),IF($B914="6811",1+$I914,1)))))))))</f>
        <v/>
      </c>
      <c r="P914">
        <f>IF($A914="","",IF($E914=1,$F914*$O914,PNL!G914))</f>
        <v/>
      </c>
      <c r="T914">
        <f>IF($A914="","",IF($E914=1,IF(OR($B914="7062",$B914="706",$B914="708"),$P914,IF(AND(LEFT($B914,1)="6",$B914&lt;&gt;"6811"),-$P914,0)),0))</f>
        <v/>
      </c>
    </row>
    <row r="915">
      <c r="A915">
        <f>IF(PNL!A915="","",PNL!A915)</f>
        <v/>
      </c>
      <c r="B915">
        <f>IF(PNL!B915="","",PNL!B915)</f>
        <v/>
      </c>
      <c r="C915">
        <f>IF(PNL!C915="","",PNL!C915)</f>
        <v/>
      </c>
      <c r="D915">
        <f>IF(PNL!D915="","",PNL!D915)</f>
        <v/>
      </c>
      <c r="E915">
        <f>IF($A915="","",IF(AND($C915="2027",OR($D915="V01",$D915="V02",$D915="V03")),1,0))</f>
        <v/>
      </c>
      <c r="F915">
        <f>IF($A915="","",IF($E915=1,SUMIFS(Comptabilité!$F$1:$F$675,Comptabilité!$A$1:$A$675,$A915,Comptabilité!$B$1:$B$675,$B915,Comptabilité!$C$1:$C$675,"2026"),0))</f>
        <v/>
      </c>
      <c r="G915">
        <f>IF($A915="","",IF($D915="V01",Cadrage!$C$22,IF($D915="V02",Cadrage!$D$22,Cadrage!$E$22)))</f>
        <v/>
      </c>
      <c r="H915">
        <f>IF($A915="","",IF($D915="V01",Cadrage!$C$23,IF($D915="V02",Cadrage!$D$23,Cadrage!$E$23)))</f>
        <v/>
      </c>
      <c r="I915">
        <f>IF($A915="","",IF($D915="V01",Cadrage!$C$31,IF($D915="V02",Cadrage!$D$31,Cadrage!$E$31)))</f>
        <v/>
      </c>
      <c r="J915">
        <f>IF($A915="","",IF($D915="V01",Cadrage!$C$32,IF($D915="V02",Cadrage!$D$32,Cadrage!$E$32)))</f>
        <v/>
      </c>
      <c r="K915">
        <f>IF($A915="","",IF($D915="V01",Cadrage!$C$33,IF($D915="V02",Cadrage!$D$33,Cadrage!$E$33)))</f>
        <v/>
      </c>
      <c r="L915">
        <f>IF($A915="","",IF($D915="V01",Cadrage!$C$34,IF($D915="V02",Cadrage!$D$34,Cadrage!$E$34)))</f>
        <v/>
      </c>
      <c r="M915">
        <f>IF($A915="","",IF($D915="V01",Cadrage!$C$35,IF($D915="V02",Cadrage!$D$35,Cadrage!$E$35)))</f>
        <v/>
      </c>
      <c r="N915">
        <f>IF($A915="","",IF($D915="V01",$R$2,IF($D915="V02",$R$3,$R$4)))</f>
        <v/>
      </c>
      <c r="O915">
        <f>IF($A915="","",IF(OR($B915="7062",$B915="706",$B915="708"),$N915,IF($B915="6231",1+$G915,IF($B915="6236",1+$H915,IF(OR($B915="621",$B915="604",$B915="6063"),$N915*(1-$L915),IF(OR($B915="6411",$B915="6413",$B915="6414",$B915="645"),(1+$J915)*(1+$K915),IF(OR($B915="613",$B915="615",$B915="616",$B915="6226",$B915="625",$B915="626",$B915="6281"),(1+$I915)*(1-$L915)*(1+$M915),IF(OR($B915="6331",$B915="63511",$B915="6333"),(1+$I915)*(1-$L915),IF($B915="6811",1+$I915,1)))))))))</f>
        <v/>
      </c>
      <c r="P915">
        <f>IF($A915="","",IF($E915=1,$F915*$O915,PNL!G915))</f>
        <v/>
      </c>
      <c r="T915">
        <f>IF($A915="","",IF($E915=1,IF(OR($B915="7062",$B915="706",$B915="708"),$P915,IF(AND(LEFT($B915,1)="6",$B915&lt;&gt;"6811"),-$P915,0)),0))</f>
        <v/>
      </c>
    </row>
    <row r="916">
      <c r="A916">
        <f>IF(PNL!A916="","",PNL!A916)</f>
        <v/>
      </c>
      <c r="B916">
        <f>IF(PNL!B916="","",PNL!B916)</f>
        <v/>
      </c>
      <c r="C916">
        <f>IF(PNL!C916="","",PNL!C916)</f>
        <v/>
      </c>
      <c r="D916">
        <f>IF(PNL!D916="","",PNL!D916)</f>
        <v/>
      </c>
      <c r="E916">
        <f>IF($A916="","",IF(AND($C916="2027",OR($D916="V01",$D916="V02",$D916="V03")),1,0))</f>
        <v/>
      </c>
      <c r="F916">
        <f>IF($A916="","",IF($E916=1,SUMIFS(Comptabilité!$F$1:$F$675,Comptabilité!$A$1:$A$675,$A916,Comptabilité!$B$1:$B$675,$B916,Comptabilité!$C$1:$C$675,"2026"),0))</f>
        <v/>
      </c>
      <c r="G916">
        <f>IF($A916="","",IF($D916="V01",Cadrage!$C$22,IF($D916="V02",Cadrage!$D$22,Cadrage!$E$22)))</f>
        <v/>
      </c>
      <c r="H916">
        <f>IF($A916="","",IF($D916="V01",Cadrage!$C$23,IF($D916="V02",Cadrage!$D$23,Cadrage!$E$23)))</f>
        <v/>
      </c>
      <c r="I916">
        <f>IF($A916="","",IF($D916="V01",Cadrage!$C$31,IF($D916="V02",Cadrage!$D$31,Cadrage!$E$31)))</f>
        <v/>
      </c>
      <c r="J916">
        <f>IF($A916="","",IF($D916="V01",Cadrage!$C$32,IF($D916="V02",Cadrage!$D$32,Cadrage!$E$32)))</f>
        <v/>
      </c>
      <c r="K916">
        <f>IF($A916="","",IF($D916="V01",Cadrage!$C$33,IF($D916="V02",Cadrage!$D$33,Cadrage!$E$33)))</f>
        <v/>
      </c>
      <c r="L916">
        <f>IF($A916="","",IF($D916="V01",Cadrage!$C$34,IF($D916="V02",Cadrage!$D$34,Cadrage!$E$34)))</f>
        <v/>
      </c>
      <c r="M916">
        <f>IF($A916="","",IF($D916="V01",Cadrage!$C$35,IF($D916="V02",Cadrage!$D$35,Cadrage!$E$35)))</f>
        <v/>
      </c>
      <c r="N916">
        <f>IF($A916="","",IF($D916="V01",$R$2,IF($D916="V02",$R$3,$R$4)))</f>
        <v/>
      </c>
      <c r="O916">
        <f>IF($A916="","",IF(OR($B916="7062",$B916="706",$B916="708"),$N916,IF($B916="6231",1+$G916,IF($B916="6236",1+$H916,IF(OR($B916="621",$B916="604",$B916="6063"),$N916*(1-$L916),IF(OR($B916="6411",$B916="6413",$B916="6414",$B916="645"),(1+$J916)*(1+$K916),IF(OR($B916="613",$B916="615",$B916="616",$B916="6226",$B916="625",$B916="626",$B916="6281"),(1+$I916)*(1-$L916)*(1+$M916),IF(OR($B916="6331",$B916="63511",$B916="6333"),(1+$I916)*(1-$L916),IF($B916="6811",1+$I916,1)))))))))</f>
        <v/>
      </c>
      <c r="P916">
        <f>IF($A916="","",IF($E916=1,$F916*$O916,PNL!G916))</f>
        <v/>
      </c>
      <c r="T916">
        <f>IF($A916="","",IF($E916=1,IF(OR($B916="7062",$B916="706",$B916="708"),$P916,IF(AND(LEFT($B916,1)="6",$B916&lt;&gt;"6811"),-$P916,0)),0))</f>
        <v/>
      </c>
    </row>
    <row r="917">
      <c r="A917">
        <f>IF(PNL!A917="","",PNL!A917)</f>
        <v/>
      </c>
      <c r="B917">
        <f>IF(PNL!B917="","",PNL!B917)</f>
        <v/>
      </c>
      <c r="C917">
        <f>IF(PNL!C917="","",PNL!C917)</f>
        <v/>
      </c>
      <c r="D917">
        <f>IF(PNL!D917="","",PNL!D917)</f>
        <v/>
      </c>
      <c r="E917">
        <f>IF($A917="","",IF(AND($C917="2027",OR($D917="V01",$D917="V02",$D917="V03")),1,0))</f>
        <v/>
      </c>
      <c r="F917">
        <f>IF($A917="","",IF($E917=1,SUMIFS(Comptabilité!$F$1:$F$675,Comptabilité!$A$1:$A$675,$A917,Comptabilité!$B$1:$B$675,$B917,Comptabilité!$C$1:$C$675,"2026"),0))</f>
        <v/>
      </c>
      <c r="G917">
        <f>IF($A917="","",IF($D917="V01",Cadrage!$C$22,IF($D917="V02",Cadrage!$D$22,Cadrage!$E$22)))</f>
        <v/>
      </c>
      <c r="H917">
        <f>IF($A917="","",IF($D917="V01",Cadrage!$C$23,IF($D917="V02",Cadrage!$D$23,Cadrage!$E$23)))</f>
        <v/>
      </c>
      <c r="I917">
        <f>IF($A917="","",IF($D917="V01",Cadrage!$C$31,IF($D917="V02",Cadrage!$D$31,Cadrage!$E$31)))</f>
        <v/>
      </c>
      <c r="J917">
        <f>IF($A917="","",IF($D917="V01",Cadrage!$C$32,IF($D917="V02",Cadrage!$D$32,Cadrage!$E$32)))</f>
        <v/>
      </c>
      <c r="K917">
        <f>IF($A917="","",IF($D917="V01",Cadrage!$C$33,IF($D917="V02",Cadrage!$D$33,Cadrage!$E$33)))</f>
        <v/>
      </c>
      <c r="L917">
        <f>IF($A917="","",IF($D917="V01",Cadrage!$C$34,IF($D917="V02",Cadrage!$D$34,Cadrage!$E$34)))</f>
        <v/>
      </c>
      <c r="M917">
        <f>IF($A917="","",IF($D917="V01",Cadrage!$C$35,IF($D917="V02",Cadrage!$D$35,Cadrage!$E$35)))</f>
        <v/>
      </c>
      <c r="N917">
        <f>IF($A917="","",IF($D917="V01",$R$2,IF($D917="V02",$R$3,$R$4)))</f>
        <v/>
      </c>
      <c r="O917">
        <f>IF($A917="","",IF(OR($B917="7062",$B917="706",$B917="708"),$N917,IF($B917="6231",1+$G917,IF($B917="6236",1+$H917,IF(OR($B917="621",$B917="604",$B917="6063"),$N917*(1-$L917),IF(OR($B917="6411",$B917="6413",$B917="6414",$B917="645"),(1+$J917)*(1+$K917),IF(OR($B917="613",$B917="615",$B917="616",$B917="6226",$B917="625",$B917="626",$B917="6281"),(1+$I917)*(1-$L917)*(1+$M917),IF(OR($B917="6331",$B917="63511",$B917="6333"),(1+$I917)*(1-$L917),IF($B917="6811",1+$I917,1)))))))))</f>
        <v/>
      </c>
      <c r="P917">
        <f>IF($A917="","",IF($E917=1,$F917*$O917,PNL!G917))</f>
        <v/>
      </c>
      <c r="T917">
        <f>IF($A917="","",IF($E917=1,IF(OR($B917="7062",$B917="706",$B917="708"),$P917,IF(AND(LEFT($B917,1)="6",$B917&lt;&gt;"6811"),-$P917,0)),0))</f>
        <v/>
      </c>
    </row>
    <row r="918">
      <c r="A918">
        <f>IF(PNL!A918="","",PNL!A918)</f>
        <v/>
      </c>
      <c r="B918">
        <f>IF(PNL!B918="","",PNL!B918)</f>
        <v/>
      </c>
      <c r="C918">
        <f>IF(PNL!C918="","",PNL!C918)</f>
        <v/>
      </c>
      <c r="D918">
        <f>IF(PNL!D918="","",PNL!D918)</f>
        <v/>
      </c>
      <c r="E918">
        <f>IF($A918="","",IF(AND($C918="2027",OR($D918="V01",$D918="V02",$D918="V03")),1,0))</f>
        <v/>
      </c>
      <c r="F918">
        <f>IF($A918="","",IF($E918=1,SUMIFS(Comptabilité!$F$1:$F$675,Comptabilité!$A$1:$A$675,$A918,Comptabilité!$B$1:$B$675,$B918,Comptabilité!$C$1:$C$675,"2026"),0))</f>
        <v/>
      </c>
      <c r="G918">
        <f>IF($A918="","",IF($D918="V01",Cadrage!$C$22,IF($D918="V02",Cadrage!$D$22,Cadrage!$E$22)))</f>
        <v/>
      </c>
      <c r="H918">
        <f>IF($A918="","",IF($D918="V01",Cadrage!$C$23,IF($D918="V02",Cadrage!$D$23,Cadrage!$E$23)))</f>
        <v/>
      </c>
      <c r="I918">
        <f>IF($A918="","",IF($D918="V01",Cadrage!$C$31,IF($D918="V02",Cadrage!$D$31,Cadrage!$E$31)))</f>
        <v/>
      </c>
      <c r="J918">
        <f>IF($A918="","",IF($D918="V01",Cadrage!$C$32,IF($D918="V02",Cadrage!$D$32,Cadrage!$E$32)))</f>
        <v/>
      </c>
      <c r="K918">
        <f>IF($A918="","",IF($D918="V01",Cadrage!$C$33,IF($D918="V02",Cadrage!$D$33,Cadrage!$E$33)))</f>
        <v/>
      </c>
      <c r="L918">
        <f>IF($A918="","",IF($D918="V01",Cadrage!$C$34,IF($D918="V02",Cadrage!$D$34,Cadrage!$E$34)))</f>
        <v/>
      </c>
      <c r="M918">
        <f>IF($A918="","",IF($D918="V01",Cadrage!$C$35,IF($D918="V02",Cadrage!$D$35,Cadrage!$E$35)))</f>
        <v/>
      </c>
      <c r="N918">
        <f>IF($A918="","",IF($D918="V01",$R$2,IF($D918="V02",$R$3,$R$4)))</f>
        <v/>
      </c>
      <c r="O918">
        <f>IF($A918="","",IF(OR($B918="7062",$B918="706",$B918="708"),$N918,IF($B918="6231",1+$G918,IF($B918="6236",1+$H918,IF(OR($B918="621",$B918="604",$B918="6063"),$N918*(1-$L918),IF(OR($B918="6411",$B918="6413",$B918="6414",$B918="645"),(1+$J918)*(1+$K918),IF(OR($B918="613",$B918="615",$B918="616",$B918="6226",$B918="625",$B918="626",$B918="6281"),(1+$I918)*(1-$L918)*(1+$M918),IF(OR($B918="6331",$B918="63511",$B918="6333"),(1+$I918)*(1-$L918),IF($B918="6811",1+$I918,1)))))))))</f>
        <v/>
      </c>
      <c r="P918">
        <f>IF($A918="","",IF($E918=1,$F918*$O918,PNL!G918))</f>
        <v/>
      </c>
      <c r="T918">
        <f>IF($A918="","",IF($E918=1,IF(OR($B918="7062",$B918="706",$B918="708"),$P918,IF(AND(LEFT($B918,1)="6",$B918&lt;&gt;"6811"),-$P918,0)),0))</f>
        <v/>
      </c>
    </row>
    <row r="919">
      <c r="A919">
        <f>IF(PNL!A919="","",PNL!A919)</f>
        <v/>
      </c>
      <c r="B919">
        <f>IF(PNL!B919="","",PNL!B919)</f>
        <v/>
      </c>
      <c r="C919">
        <f>IF(PNL!C919="","",PNL!C919)</f>
        <v/>
      </c>
      <c r="D919">
        <f>IF(PNL!D919="","",PNL!D919)</f>
        <v/>
      </c>
      <c r="E919">
        <f>IF($A919="","",IF(AND($C919="2027",OR($D919="V01",$D919="V02",$D919="V03")),1,0))</f>
        <v/>
      </c>
      <c r="F919">
        <f>IF($A919="","",IF($E919=1,SUMIFS(Comptabilité!$F$1:$F$675,Comptabilité!$A$1:$A$675,$A919,Comptabilité!$B$1:$B$675,$B919,Comptabilité!$C$1:$C$675,"2026"),0))</f>
        <v/>
      </c>
      <c r="G919">
        <f>IF($A919="","",IF($D919="V01",Cadrage!$C$22,IF($D919="V02",Cadrage!$D$22,Cadrage!$E$22)))</f>
        <v/>
      </c>
      <c r="H919">
        <f>IF($A919="","",IF($D919="V01",Cadrage!$C$23,IF($D919="V02",Cadrage!$D$23,Cadrage!$E$23)))</f>
        <v/>
      </c>
      <c r="I919">
        <f>IF($A919="","",IF($D919="V01",Cadrage!$C$31,IF($D919="V02",Cadrage!$D$31,Cadrage!$E$31)))</f>
        <v/>
      </c>
      <c r="J919">
        <f>IF($A919="","",IF($D919="V01",Cadrage!$C$32,IF($D919="V02",Cadrage!$D$32,Cadrage!$E$32)))</f>
        <v/>
      </c>
      <c r="K919">
        <f>IF($A919="","",IF($D919="V01",Cadrage!$C$33,IF($D919="V02",Cadrage!$D$33,Cadrage!$E$33)))</f>
        <v/>
      </c>
      <c r="L919">
        <f>IF($A919="","",IF($D919="V01",Cadrage!$C$34,IF($D919="V02",Cadrage!$D$34,Cadrage!$E$34)))</f>
        <v/>
      </c>
      <c r="M919">
        <f>IF($A919="","",IF($D919="V01",Cadrage!$C$35,IF($D919="V02",Cadrage!$D$35,Cadrage!$E$35)))</f>
        <v/>
      </c>
      <c r="N919">
        <f>IF($A919="","",IF($D919="V01",$R$2,IF($D919="V02",$R$3,$R$4)))</f>
        <v/>
      </c>
      <c r="O919">
        <f>IF($A919="","",IF(OR($B919="7062",$B919="706",$B919="708"),$N919,IF($B919="6231",1+$G919,IF($B919="6236",1+$H919,IF(OR($B919="621",$B919="604",$B919="6063"),$N919*(1-$L919),IF(OR($B919="6411",$B919="6413",$B919="6414",$B919="645"),(1+$J919)*(1+$K919),IF(OR($B919="613",$B919="615",$B919="616",$B919="6226",$B919="625",$B919="626",$B919="6281"),(1+$I919)*(1-$L919)*(1+$M919),IF(OR($B919="6331",$B919="63511",$B919="6333"),(1+$I919)*(1-$L919),IF($B919="6811",1+$I919,1)))))))))</f>
        <v/>
      </c>
      <c r="P919">
        <f>IF($A919="","",IF($E919=1,$F919*$O919,PNL!G919))</f>
        <v/>
      </c>
      <c r="T919">
        <f>IF($A919="","",IF($E919=1,IF(OR($B919="7062",$B919="706",$B919="708"),$P919,IF(AND(LEFT($B919,1)="6",$B919&lt;&gt;"6811"),-$P919,0)),0))</f>
        <v/>
      </c>
    </row>
    <row r="920">
      <c r="A920">
        <f>IF(PNL!A920="","",PNL!A920)</f>
        <v/>
      </c>
      <c r="B920">
        <f>IF(PNL!B920="","",PNL!B920)</f>
        <v/>
      </c>
      <c r="C920">
        <f>IF(PNL!C920="","",PNL!C920)</f>
        <v/>
      </c>
      <c r="D920">
        <f>IF(PNL!D920="","",PNL!D920)</f>
        <v/>
      </c>
      <c r="E920">
        <f>IF($A920="","",IF(AND($C920="2027",OR($D920="V01",$D920="V02",$D920="V03")),1,0))</f>
        <v/>
      </c>
      <c r="F920">
        <f>IF($A920="","",IF($E920=1,SUMIFS(Comptabilité!$F$1:$F$675,Comptabilité!$A$1:$A$675,$A920,Comptabilité!$B$1:$B$675,$B920,Comptabilité!$C$1:$C$675,"2026"),0))</f>
        <v/>
      </c>
      <c r="G920">
        <f>IF($A920="","",IF($D920="V01",Cadrage!$C$22,IF($D920="V02",Cadrage!$D$22,Cadrage!$E$22)))</f>
        <v/>
      </c>
      <c r="H920">
        <f>IF($A920="","",IF($D920="V01",Cadrage!$C$23,IF($D920="V02",Cadrage!$D$23,Cadrage!$E$23)))</f>
        <v/>
      </c>
      <c r="I920">
        <f>IF($A920="","",IF($D920="V01",Cadrage!$C$31,IF($D920="V02",Cadrage!$D$31,Cadrage!$E$31)))</f>
        <v/>
      </c>
      <c r="J920">
        <f>IF($A920="","",IF($D920="V01",Cadrage!$C$32,IF($D920="V02",Cadrage!$D$32,Cadrage!$E$32)))</f>
        <v/>
      </c>
      <c r="K920">
        <f>IF($A920="","",IF($D920="V01",Cadrage!$C$33,IF($D920="V02",Cadrage!$D$33,Cadrage!$E$33)))</f>
        <v/>
      </c>
      <c r="L920">
        <f>IF($A920="","",IF($D920="V01",Cadrage!$C$34,IF($D920="V02",Cadrage!$D$34,Cadrage!$E$34)))</f>
        <v/>
      </c>
      <c r="M920">
        <f>IF($A920="","",IF($D920="V01",Cadrage!$C$35,IF($D920="V02",Cadrage!$D$35,Cadrage!$E$35)))</f>
        <v/>
      </c>
      <c r="N920">
        <f>IF($A920="","",IF($D920="V01",$R$2,IF($D920="V02",$R$3,$R$4)))</f>
        <v/>
      </c>
      <c r="O920">
        <f>IF($A920="","",IF(OR($B920="7062",$B920="706",$B920="708"),$N920,IF($B920="6231",1+$G920,IF($B920="6236",1+$H920,IF(OR($B920="621",$B920="604",$B920="6063"),$N920*(1-$L920),IF(OR($B920="6411",$B920="6413",$B920="6414",$B920="645"),(1+$J920)*(1+$K920),IF(OR($B920="613",$B920="615",$B920="616",$B920="6226",$B920="625",$B920="626",$B920="6281"),(1+$I920)*(1-$L920)*(1+$M920),IF(OR($B920="6331",$B920="63511",$B920="6333"),(1+$I920)*(1-$L920),IF($B920="6811",1+$I920,1)))))))))</f>
        <v/>
      </c>
      <c r="P920">
        <f>IF($A920="","",IF($E920=1,$F920*$O920,PNL!G920))</f>
        <v/>
      </c>
      <c r="T920">
        <f>IF($A920="","",IF($E920=1,IF(OR($B920="7062",$B920="706",$B920="708"),$P920,IF(AND(LEFT($B920,1)="6",$B920&lt;&gt;"6811"),-$P920,0)),0))</f>
        <v/>
      </c>
    </row>
    <row r="921">
      <c r="A921">
        <f>IF(PNL!A921="","",PNL!A921)</f>
        <v/>
      </c>
      <c r="B921">
        <f>IF(PNL!B921="","",PNL!B921)</f>
        <v/>
      </c>
      <c r="C921">
        <f>IF(PNL!C921="","",PNL!C921)</f>
        <v/>
      </c>
      <c r="D921">
        <f>IF(PNL!D921="","",PNL!D921)</f>
        <v/>
      </c>
      <c r="E921">
        <f>IF($A921="","",IF(AND($C921="2027",OR($D921="V01",$D921="V02",$D921="V03")),1,0))</f>
        <v/>
      </c>
      <c r="F921">
        <f>IF($A921="","",IF($E921=1,SUMIFS(Comptabilité!$F$1:$F$675,Comptabilité!$A$1:$A$675,$A921,Comptabilité!$B$1:$B$675,$B921,Comptabilité!$C$1:$C$675,"2026"),0))</f>
        <v/>
      </c>
      <c r="G921">
        <f>IF($A921="","",IF($D921="V01",Cadrage!$C$22,IF($D921="V02",Cadrage!$D$22,Cadrage!$E$22)))</f>
        <v/>
      </c>
      <c r="H921">
        <f>IF($A921="","",IF($D921="V01",Cadrage!$C$23,IF($D921="V02",Cadrage!$D$23,Cadrage!$E$23)))</f>
        <v/>
      </c>
      <c r="I921">
        <f>IF($A921="","",IF($D921="V01",Cadrage!$C$31,IF($D921="V02",Cadrage!$D$31,Cadrage!$E$31)))</f>
        <v/>
      </c>
      <c r="J921">
        <f>IF($A921="","",IF($D921="V01",Cadrage!$C$32,IF($D921="V02",Cadrage!$D$32,Cadrage!$E$32)))</f>
        <v/>
      </c>
      <c r="K921">
        <f>IF($A921="","",IF($D921="V01",Cadrage!$C$33,IF($D921="V02",Cadrage!$D$33,Cadrage!$E$33)))</f>
        <v/>
      </c>
      <c r="L921">
        <f>IF($A921="","",IF($D921="V01",Cadrage!$C$34,IF($D921="V02",Cadrage!$D$34,Cadrage!$E$34)))</f>
        <v/>
      </c>
      <c r="M921">
        <f>IF($A921="","",IF($D921="V01",Cadrage!$C$35,IF($D921="V02",Cadrage!$D$35,Cadrage!$E$35)))</f>
        <v/>
      </c>
      <c r="N921">
        <f>IF($A921="","",IF($D921="V01",$R$2,IF($D921="V02",$R$3,$R$4)))</f>
        <v/>
      </c>
      <c r="O921">
        <f>IF($A921="","",IF(OR($B921="7062",$B921="706",$B921="708"),$N921,IF($B921="6231",1+$G921,IF($B921="6236",1+$H921,IF(OR($B921="621",$B921="604",$B921="6063"),$N921*(1-$L921),IF(OR($B921="6411",$B921="6413",$B921="6414",$B921="645"),(1+$J921)*(1+$K921),IF(OR($B921="613",$B921="615",$B921="616",$B921="6226",$B921="625",$B921="626",$B921="6281"),(1+$I921)*(1-$L921)*(1+$M921),IF(OR($B921="6331",$B921="63511",$B921="6333"),(1+$I921)*(1-$L921),IF($B921="6811",1+$I921,1)))))))))</f>
        <v/>
      </c>
      <c r="P921">
        <f>IF($A921="","",IF($E921=1,$F921*$O921,PNL!G921))</f>
        <v/>
      </c>
      <c r="T921">
        <f>IF($A921="","",IF($E921=1,IF(OR($B921="7062",$B921="706",$B921="708"),$P921,IF(AND(LEFT($B921,1)="6",$B921&lt;&gt;"6811"),-$P921,0)),0))</f>
        <v/>
      </c>
    </row>
    <row r="922">
      <c r="A922">
        <f>IF(PNL!A922="","",PNL!A922)</f>
        <v/>
      </c>
      <c r="B922">
        <f>IF(PNL!B922="","",PNL!B922)</f>
        <v/>
      </c>
      <c r="C922">
        <f>IF(PNL!C922="","",PNL!C922)</f>
        <v/>
      </c>
      <c r="D922">
        <f>IF(PNL!D922="","",PNL!D922)</f>
        <v/>
      </c>
      <c r="E922">
        <f>IF($A922="","",IF(AND($C922="2027",OR($D922="V01",$D922="V02",$D922="V03")),1,0))</f>
        <v/>
      </c>
      <c r="F922">
        <f>IF($A922="","",IF($E922=1,SUMIFS(Comptabilité!$F$1:$F$675,Comptabilité!$A$1:$A$675,$A922,Comptabilité!$B$1:$B$675,$B922,Comptabilité!$C$1:$C$675,"2026"),0))</f>
        <v/>
      </c>
      <c r="G922">
        <f>IF($A922="","",IF($D922="V01",Cadrage!$C$22,IF($D922="V02",Cadrage!$D$22,Cadrage!$E$22)))</f>
        <v/>
      </c>
      <c r="H922">
        <f>IF($A922="","",IF($D922="V01",Cadrage!$C$23,IF($D922="V02",Cadrage!$D$23,Cadrage!$E$23)))</f>
        <v/>
      </c>
      <c r="I922">
        <f>IF($A922="","",IF($D922="V01",Cadrage!$C$31,IF($D922="V02",Cadrage!$D$31,Cadrage!$E$31)))</f>
        <v/>
      </c>
      <c r="J922">
        <f>IF($A922="","",IF($D922="V01",Cadrage!$C$32,IF($D922="V02",Cadrage!$D$32,Cadrage!$E$32)))</f>
        <v/>
      </c>
      <c r="K922">
        <f>IF($A922="","",IF($D922="V01",Cadrage!$C$33,IF($D922="V02",Cadrage!$D$33,Cadrage!$E$33)))</f>
        <v/>
      </c>
      <c r="L922">
        <f>IF($A922="","",IF($D922="V01",Cadrage!$C$34,IF($D922="V02",Cadrage!$D$34,Cadrage!$E$34)))</f>
        <v/>
      </c>
      <c r="M922">
        <f>IF($A922="","",IF($D922="V01",Cadrage!$C$35,IF($D922="V02",Cadrage!$D$35,Cadrage!$E$35)))</f>
        <v/>
      </c>
      <c r="N922">
        <f>IF($A922="","",IF($D922="V01",$R$2,IF($D922="V02",$R$3,$R$4)))</f>
        <v/>
      </c>
      <c r="O922">
        <f>IF($A922="","",IF(OR($B922="7062",$B922="706",$B922="708"),$N922,IF($B922="6231",1+$G922,IF($B922="6236",1+$H922,IF(OR($B922="621",$B922="604",$B922="6063"),$N922*(1-$L922),IF(OR($B922="6411",$B922="6413",$B922="6414",$B922="645"),(1+$J922)*(1+$K922),IF(OR($B922="613",$B922="615",$B922="616",$B922="6226",$B922="625",$B922="626",$B922="6281"),(1+$I922)*(1-$L922)*(1+$M922),IF(OR($B922="6331",$B922="63511",$B922="6333"),(1+$I922)*(1-$L922),IF($B922="6811",1+$I922,1)))))))))</f>
        <v/>
      </c>
      <c r="P922">
        <f>IF($A922="","",IF($E922=1,$F922*$O922,PNL!G922))</f>
        <v/>
      </c>
      <c r="T922">
        <f>IF($A922="","",IF($E922=1,IF(OR($B922="7062",$B922="706",$B922="708"),$P922,IF(AND(LEFT($B922,1)="6",$B922&lt;&gt;"6811"),-$P922,0)),0))</f>
        <v/>
      </c>
    </row>
    <row r="923">
      <c r="A923">
        <f>IF(PNL!A923="","",PNL!A923)</f>
        <v/>
      </c>
      <c r="B923">
        <f>IF(PNL!B923="","",PNL!B923)</f>
        <v/>
      </c>
      <c r="C923">
        <f>IF(PNL!C923="","",PNL!C923)</f>
        <v/>
      </c>
      <c r="D923">
        <f>IF(PNL!D923="","",PNL!D923)</f>
        <v/>
      </c>
      <c r="E923">
        <f>IF($A923="","",IF(AND($C923="2027",OR($D923="V01",$D923="V02",$D923="V03")),1,0))</f>
        <v/>
      </c>
      <c r="F923">
        <f>IF($A923="","",IF($E923=1,SUMIFS(Comptabilité!$F$1:$F$675,Comptabilité!$A$1:$A$675,$A923,Comptabilité!$B$1:$B$675,$B923,Comptabilité!$C$1:$C$675,"2026"),0))</f>
        <v/>
      </c>
      <c r="G923">
        <f>IF($A923="","",IF($D923="V01",Cadrage!$C$22,IF($D923="V02",Cadrage!$D$22,Cadrage!$E$22)))</f>
        <v/>
      </c>
      <c r="H923">
        <f>IF($A923="","",IF($D923="V01",Cadrage!$C$23,IF($D923="V02",Cadrage!$D$23,Cadrage!$E$23)))</f>
        <v/>
      </c>
      <c r="I923">
        <f>IF($A923="","",IF($D923="V01",Cadrage!$C$31,IF($D923="V02",Cadrage!$D$31,Cadrage!$E$31)))</f>
        <v/>
      </c>
      <c r="J923">
        <f>IF($A923="","",IF($D923="V01",Cadrage!$C$32,IF($D923="V02",Cadrage!$D$32,Cadrage!$E$32)))</f>
        <v/>
      </c>
      <c r="K923">
        <f>IF($A923="","",IF($D923="V01",Cadrage!$C$33,IF($D923="V02",Cadrage!$D$33,Cadrage!$E$33)))</f>
        <v/>
      </c>
      <c r="L923">
        <f>IF($A923="","",IF($D923="V01",Cadrage!$C$34,IF($D923="V02",Cadrage!$D$34,Cadrage!$E$34)))</f>
        <v/>
      </c>
      <c r="M923">
        <f>IF($A923="","",IF($D923="V01",Cadrage!$C$35,IF($D923="V02",Cadrage!$D$35,Cadrage!$E$35)))</f>
        <v/>
      </c>
      <c r="N923">
        <f>IF($A923="","",IF($D923="V01",$R$2,IF($D923="V02",$R$3,$R$4)))</f>
        <v/>
      </c>
      <c r="O923">
        <f>IF($A923="","",IF(OR($B923="7062",$B923="706",$B923="708"),$N923,IF($B923="6231",1+$G923,IF($B923="6236",1+$H923,IF(OR($B923="621",$B923="604",$B923="6063"),$N923*(1-$L923),IF(OR($B923="6411",$B923="6413",$B923="6414",$B923="645"),(1+$J923)*(1+$K923),IF(OR($B923="613",$B923="615",$B923="616",$B923="6226",$B923="625",$B923="626",$B923="6281"),(1+$I923)*(1-$L923)*(1+$M923),IF(OR($B923="6331",$B923="63511",$B923="6333"),(1+$I923)*(1-$L923),IF($B923="6811",1+$I923,1)))))))))</f>
        <v/>
      </c>
      <c r="P923">
        <f>IF($A923="","",IF($E923=1,$F923*$O923,PNL!G923))</f>
        <v/>
      </c>
      <c r="T923">
        <f>IF($A923="","",IF($E923=1,IF(OR($B923="7062",$B923="706",$B923="708"),$P923,IF(AND(LEFT($B923,1)="6",$B923&lt;&gt;"6811"),-$P923,0)),0))</f>
        <v/>
      </c>
    </row>
    <row r="924">
      <c r="A924">
        <f>IF(PNL!A924="","",PNL!A924)</f>
        <v/>
      </c>
      <c r="B924">
        <f>IF(PNL!B924="","",PNL!B924)</f>
        <v/>
      </c>
      <c r="C924">
        <f>IF(PNL!C924="","",PNL!C924)</f>
        <v/>
      </c>
      <c r="D924">
        <f>IF(PNL!D924="","",PNL!D924)</f>
        <v/>
      </c>
      <c r="E924">
        <f>IF($A924="","",IF(AND($C924="2027",OR($D924="V01",$D924="V02",$D924="V03")),1,0))</f>
        <v/>
      </c>
      <c r="F924">
        <f>IF($A924="","",IF($E924=1,SUMIFS(Comptabilité!$F$1:$F$675,Comptabilité!$A$1:$A$675,$A924,Comptabilité!$B$1:$B$675,$B924,Comptabilité!$C$1:$C$675,"2026"),0))</f>
        <v/>
      </c>
      <c r="G924">
        <f>IF($A924="","",IF($D924="V01",Cadrage!$C$22,IF($D924="V02",Cadrage!$D$22,Cadrage!$E$22)))</f>
        <v/>
      </c>
      <c r="H924">
        <f>IF($A924="","",IF($D924="V01",Cadrage!$C$23,IF($D924="V02",Cadrage!$D$23,Cadrage!$E$23)))</f>
        <v/>
      </c>
      <c r="I924">
        <f>IF($A924="","",IF($D924="V01",Cadrage!$C$31,IF($D924="V02",Cadrage!$D$31,Cadrage!$E$31)))</f>
        <v/>
      </c>
      <c r="J924">
        <f>IF($A924="","",IF($D924="V01",Cadrage!$C$32,IF($D924="V02",Cadrage!$D$32,Cadrage!$E$32)))</f>
        <v/>
      </c>
      <c r="K924">
        <f>IF($A924="","",IF($D924="V01",Cadrage!$C$33,IF($D924="V02",Cadrage!$D$33,Cadrage!$E$33)))</f>
        <v/>
      </c>
      <c r="L924">
        <f>IF($A924="","",IF($D924="V01",Cadrage!$C$34,IF($D924="V02",Cadrage!$D$34,Cadrage!$E$34)))</f>
        <v/>
      </c>
      <c r="M924">
        <f>IF($A924="","",IF($D924="V01",Cadrage!$C$35,IF($D924="V02",Cadrage!$D$35,Cadrage!$E$35)))</f>
        <v/>
      </c>
      <c r="N924">
        <f>IF($A924="","",IF($D924="V01",$R$2,IF($D924="V02",$R$3,$R$4)))</f>
        <v/>
      </c>
      <c r="O924">
        <f>IF($A924="","",IF(OR($B924="7062",$B924="706",$B924="708"),$N924,IF($B924="6231",1+$G924,IF($B924="6236",1+$H924,IF(OR($B924="621",$B924="604",$B924="6063"),$N924*(1-$L924),IF(OR($B924="6411",$B924="6413",$B924="6414",$B924="645"),(1+$J924)*(1+$K924),IF(OR($B924="613",$B924="615",$B924="616",$B924="6226",$B924="625",$B924="626",$B924="6281"),(1+$I924)*(1-$L924)*(1+$M924),IF(OR($B924="6331",$B924="63511",$B924="6333"),(1+$I924)*(1-$L924),IF($B924="6811",1+$I924,1)))))))))</f>
        <v/>
      </c>
      <c r="P924">
        <f>IF($A924="","",IF($E924=1,$F924*$O924,PNL!G924))</f>
        <v/>
      </c>
      <c r="T924">
        <f>IF($A924="","",IF($E924=1,IF(OR($B924="7062",$B924="706",$B924="708"),$P924,IF(AND(LEFT($B924,1)="6",$B924&lt;&gt;"6811"),-$P924,0)),0))</f>
        <v/>
      </c>
    </row>
    <row r="925">
      <c r="A925">
        <f>IF(PNL!A925="","",PNL!A925)</f>
        <v/>
      </c>
      <c r="B925">
        <f>IF(PNL!B925="","",PNL!B925)</f>
        <v/>
      </c>
      <c r="C925">
        <f>IF(PNL!C925="","",PNL!C925)</f>
        <v/>
      </c>
      <c r="D925">
        <f>IF(PNL!D925="","",PNL!D925)</f>
        <v/>
      </c>
      <c r="E925">
        <f>IF($A925="","",IF(AND($C925="2027",OR($D925="V01",$D925="V02",$D925="V03")),1,0))</f>
        <v/>
      </c>
      <c r="F925">
        <f>IF($A925="","",IF($E925=1,SUMIFS(Comptabilité!$F$1:$F$675,Comptabilité!$A$1:$A$675,$A925,Comptabilité!$B$1:$B$675,$B925,Comptabilité!$C$1:$C$675,"2026"),0))</f>
        <v/>
      </c>
      <c r="G925">
        <f>IF($A925="","",IF($D925="V01",Cadrage!$C$22,IF($D925="V02",Cadrage!$D$22,Cadrage!$E$22)))</f>
        <v/>
      </c>
      <c r="H925">
        <f>IF($A925="","",IF($D925="V01",Cadrage!$C$23,IF($D925="V02",Cadrage!$D$23,Cadrage!$E$23)))</f>
        <v/>
      </c>
      <c r="I925">
        <f>IF($A925="","",IF($D925="V01",Cadrage!$C$31,IF($D925="V02",Cadrage!$D$31,Cadrage!$E$31)))</f>
        <v/>
      </c>
      <c r="J925">
        <f>IF($A925="","",IF($D925="V01",Cadrage!$C$32,IF($D925="V02",Cadrage!$D$32,Cadrage!$E$32)))</f>
        <v/>
      </c>
      <c r="K925">
        <f>IF($A925="","",IF($D925="V01",Cadrage!$C$33,IF($D925="V02",Cadrage!$D$33,Cadrage!$E$33)))</f>
        <v/>
      </c>
      <c r="L925">
        <f>IF($A925="","",IF($D925="V01",Cadrage!$C$34,IF($D925="V02",Cadrage!$D$34,Cadrage!$E$34)))</f>
        <v/>
      </c>
      <c r="M925">
        <f>IF($A925="","",IF($D925="V01",Cadrage!$C$35,IF($D925="V02",Cadrage!$D$35,Cadrage!$E$35)))</f>
        <v/>
      </c>
      <c r="N925">
        <f>IF($A925="","",IF($D925="V01",$R$2,IF($D925="V02",$R$3,$R$4)))</f>
        <v/>
      </c>
      <c r="O925">
        <f>IF($A925="","",IF(OR($B925="7062",$B925="706",$B925="708"),$N925,IF($B925="6231",1+$G925,IF($B925="6236",1+$H925,IF(OR($B925="621",$B925="604",$B925="6063"),$N925*(1-$L925),IF(OR($B925="6411",$B925="6413",$B925="6414",$B925="645"),(1+$J925)*(1+$K925),IF(OR($B925="613",$B925="615",$B925="616",$B925="6226",$B925="625",$B925="626",$B925="6281"),(1+$I925)*(1-$L925)*(1+$M925),IF(OR($B925="6331",$B925="63511",$B925="6333"),(1+$I925)*(1-$L925),IF($B925="6811",1+$I925,1)))))))))</f>
        <v/>
      </c>
      <c r="P925">
        <f>IF($A925="","",IF($E925=1,$F925*$O925,PNL!G925))</f>
        <v/>
      </c>
      <c r="T925">
        <f>IF($A925="","",IF($E925=1,IF(OR($B925="7062",$B925="706",$B925="708"),$P925,IF(AND(LEFT($B925,1)="6",$B925&lt;&gt;"6811"),-$P925,0)),0))</f>
        <v/>
      </c>
    </row>
    <row r="926">
      <c r="A926">
        <f>IF(PNL!A926="","",PNL!A926)</f>
        <v/>
      </c>
      <c r="B926">
        <f>IF(PNL!B926="","",PNL!B926)</f>
        <v/>
      </c>
      <c r="C926">
        <f>IF(PNL!C926="","",PNL!C926)</f>
        <v/>
      </c>
      <c r="D926">
        <f>IF(PNL!D926="","",PNL!D926)</f>
        <v/>
      </c>
      <c r="E926">
        <f>IF($A926="","",IF(AND($C926="2027",OR($D926="V01",$D926="V02",$D926="V03")),1,0))</f>
        <v/>
      </c>
      <c r="F926">
        <f>IF($A926="","",IF($E926=1,SUMIFS(Comptabilité!$F$1:$F$675,Comptabilité!$A$1:$A$675,$A926,Comptabilité!$B$1:$B$675,$B926,Comptabilité!$C$1:$C$675,"2026"),0))</f>
        <v/>
      </c>
      <c r="G926">
        <f>IF($A926="","",IF($D926="V01",Cadrage!$C$22,IF($D926="V02",Cadrage!$D$22,Cadrage!$E$22)))</f>
        <v/>
      </c>
      <c r="H926">
        <f>IF($A926="","",IF($D926="V01",Cadrage!$C$23,IF($D926="V02",Cadrage!$D$23,Cadrage!$E$23)))</f>
        <v/>
      </c>
      <c r="I926">
        <f>IF($A926="","",IF($D926="V01",Cadrage!$C$31,IF($D926="V02",Cadrage!$D$31,Cadrage!$E$31)))</f>
        <v/>
      </c>
      <c r="J926">
        <f>IF($A926="","",IF($D926="V01",Cadrage!$C$32,IF($D926="V02",Cadrage!$D$32,Cadrage!$E$32)))</f>
        <v/>
      </c>
      <c r="K926">
        <f>IF($A926="","",IF($D926="V01",Cadrage!$C$33,IF($D926="V02",Cadrage!$D$33,Cadrage!$E$33)))</f>
        <v/>
      </c>
      <c r="L926">
        <f>IF($A926="","",IF($D926="V01",Cadrage!$C$34,IF($D926="V02",Cadrage!$D$34,Cadrage!$E$34)))</f>
        <v/>
      </c>
      <c r="M926">
        <f>IF($A926="","",IF($D926="V01",Cadrage!$C$35,IF($D926="V02",Cadrage!$D$35,Cadrage!$E$35)))</f>
        <v/>
      </c>
      <c r="N926">
        <f>IF($A926="","",IF($D926="V01",$R$2,IF($D926="V02",$R$3,$R$4)))</f>
        <v/>
      </c>
      <c r="O926">
        <f>IF($A926="","",IF(OR($B926="7062",$B926="706",$B926="708"),$N926,IF($B926="6231",1+$G926,IF($B926="6236",1+$H926,IF(OR($B926="621",$B926="604",$B926="6063"),$N926*(1-$L926),IF(OR($B926="6411",$B926="6413",$B926="6414",$B926="645"),(1+$J926)*(1+$K926),IF(OR($B926="613",$B926="615",$B926="616",$B926="6226",$B926="625",$B926="626",$B926="6281"),(1+$I926)*(1-$L926)*(1+$M926),IF(OR($B926="6331",$B926="63511",$B926="6333"),(1+$I926)*(1-$L926),IF($B926="6811",1+$I926,1)))))))))</f>
        <v/>
      </c>
      <c r="P926">
        <f>IF($A926="","",IF($E926=1,$F926*$O926,PNL!G926))</f>
        <v/>
      </c>
      <c r="T926">
        <f>IF($A926="","",IF($E926=1,IF(OR($B926="7062",$B926="706",$B926="708"),$P926,IF(AND(LEFT($B926,1)="6",$B926&lt;&gt;"6811"),-$P926,0)),0))</f>
        <v/>
      </c>
    </row>
    <row r="927">
      <c r="A927">
        <f>IF(PNL!A927="","",PNL!A927)</f>
        <v/>
      </c>
      <c r="B927">
        <f>IF(PNL!B927="","",PNL!B927)</f>
        <v/>
      </c>
      <c r="C927">
        <f>IF(PNL!C927="","",PNL!C927)</f>
        <v/>
      </c>
      <c r="D927">
        <f>IF(PNL!D927="","",PNL!D927)</f>
        <v/>
      </c>
      <c r="E927">
        <f>IF($A927="","",IF(AND($C927="2027",OR($D927="V01",$D927="V02",$D927="V03")),1,0))</f>
        <v/>
      </c>
      <c r="F927">
        <f>IF($A927="","",IF($E927=1,SUMIFS(Comptabilité!$F$1:$F$675,Comptabilité!$A$1:$A$675,$A927,Comptabilité!$B$1:$B$675,$B927,Comptabilité!$C$1:$C$675,"2026"),0))</f>
        <v/>
      </c>
      <c r="G927">
        <f>IF($A927="","",IF($D927="V01",Cadrage!$C$22,IF($D927="V02",Cadrage!$D$22,Cadrage!$E$22)))</f>
        <v/>
      </c>
      <c r="H927">
        <f>IF($A927="","",IF($D927="V01",Cadrage!$C$23,IF($D927="V02",Cadrage!$D$23,Cadrage!$E$23)))</f>
        <v/>
      </c>
      <c r="I927">
        <f>IF($A927="","",IF($D927="V01",Cadrage!$C$31,IF($D927="V02",Cadrage!$D$31,Cadrage!$E$31)))</f>
        <v/>
      </c>
      <c r="J927">
        <f>IF($A927="","",IF($D927="V01",Cadrage!$C$32,IF($D927="V02",Cadrage!$D$32,Cadrage!$E$32)))</f>
        <v/>
      </c>
      <c r="K927">
        <f>IF($A927="","",IF($D927="V01",Cadrage!$C$33,IF($D927="V02",Cadrage!$D$33,Cadrage!$E$33)))</f>
        <v/>
      </c>
      <c r="L927">
        <f>IF($A927="","",IF($D927="V01",Cadrage!$C$34,IF($D927="V02",Cadrage!$D$34,Cadrage!$E$34)))</f>
        <v/>
      </c>
      <c r="M927">
        <f>IF($A927="","",IF($D927="V01",Cadrage!$C$35,IF($D927="V02",Cadrage!$D$35,Cadrage!$E$35)))</f>
        <v/>
      </c>
      <c r="N927">
        <f>IF($A927="","",IF($D927="V01",$R$2,IF($D927="V02",$R$3,$R$4)))</f>
        <v/>
      </c>
      <c r="O927">
        <f>IF($A927="","",IF(OR($B927="7062",$B927="706",$B927="708"),$N927,IF($B927="6231",1+$G927,IF($B927="6236",1+$H927,IF(OR($B927="621",$B927="604",$B927="6063"),$N927*(1-$L927),IF(OR($B927="6411",$B927="6413",$B927="6414",$B927="645"),(1+$J927)*(1+$K927),IF(OR($B927="613",$B927="615",$B927="616",$B927="6226",$B927="625",$B927="626",$B927="6281"),(1+$I927)*(1-$L927)*(1+$M927),IF(OR($B927="6331",$B927="63511",$B927="6333"),(1+$I927)*(1-$L927),IF($B927="6811",1+$I927,1)))))))))</f>
        <v/>
      </c>
      <c r="P927">
        <f>IF($A927="","",IF($E927=1,$F927*$O927,PNL!G927))</f>
        <v/>
      </c>
      <c r="T927">
        <f>IF($A927="","",IF($E927=1,IF(OR($B927="7062",$B927="706",$B927="708"),$P927,IF(AND(LEFT($B927,1)="6",$B927&lt;&gt;"6811"),-$P927,0)),0))</f>
        <v/>
      </c>
    </row>
    <row r="928">
      <c r="A928">
        <f>IF(PNL!A928="","",PNL!A928)</f>
        <v/>
      </c>
      <c r="B928">
        <f>IF(PNL!B928="","",PNL!B928)</f>
        <v/>
      </c>
      <c r="C928">
        <f>IF(PNL!C928="","",PNL!C928)</f>
        <v/>
      </c>
      <c r="D928">
        <f>IF(PNL!D928="","",PNL!D928)</f>
        <v/>
      </c>
      <c r="E928">
        <f>IF($A928="","",IF(AND($C928="2027",OR($D928="V01",$D928="V02",$D928="V03")),1,0))</f>
        <v/>
      </c>
      <c r="F928">
        <f>IF($A928="","",IF($E928=1,SUMIFS(Comptabilité!$F$1:$F$675,Comptabilité!$A$1:$A$675,$A928,Comptabilité!$B$1:$B$675,$B928,Comptabilité!$C$1:$C$675,"2026"),0))</f>
        <v/>
      </c>
      <c r="G928">
        <f>IF($A928="","",IF($D928="V01",Cadrage!$C$22,IF($D928="V02",Cadrage!$D$22,Cadrage!$E$22)))</f>
        <v/>
      </c>
      <c r="H928">
        <f>IF($A928="","",IF($D928="V01",Cadrage!$C$23,IF($D928="V02",Cadrage!$D$23,Cadrage!$E$23)))</f>
        <v/>
      </c>
      <c r="I928">
        <f>IF($A928="","",IF($D928="V01",Cadrage!$C$31,IF($D928="V02",Cadrage!$D$31,Cadrage!$E$31)))</f>
        <v/>
      </c>
      <c r="J928">
        <f>IF($A928="","",IF($D928="V01",Cadrage!$C$32,IF($D928="V02",Cadrage!$D$32,Cadrage!$E$32)))</f>
        <v/>
      </c>
      <c r="K928">
        <f>IF($A928="","",IF($D928="V01",Cadrage!$C$33,IF($D928="V02",Cadrage!$D$33,Cadrage!$E$33)))</f>
        <v/>
      </c>
      <c r="L928">
        <f>IF($A928="","",IF($D928="V01",Cadrage!$C$34,IF($D928="V02",Cadrage!$D$34,Cadrage!$E$34)))</f>
        <v/>
      </c>
      <c r="M928">
        <f>IF($A928="","",IF($D928="V01",Cadrage!$C$35,IF($D928="V02",Cadrage!$D$35,Cadrage!$E$35)))</f>
        <v/>
      </c>
      <c r="N928">
        <f>IF($A928="","",IF($D928="V01",$R$2,IF($D928="V02",$R$3,$R$4)))</f>
        <v/>
      </c>
      <c r="O928">
        <f>IF($A928="","",IF(OR($B928="7062",$B928="706",$B928="708"),$N928,IF($B928="6231",1+$G928,IF($B928="6236",1+$H928,IF(OR($B928="621",$B928="604",$B928="6063"),$N928*(1-$L928),IF(OR($B928="6411",$B928="6413",$B928="6414",$B928="645"),(1+$J928)*(1+$K928),IF(OR($B928="613",$B928="615",$B928="616",$B928="6226",$B928="625",$B928="626",$B928="6281"),(1+$I928)*(1-$L928)*(1+$M928),IF(OR($B928="6331",$B928="63511",$B928="6333"),(1+$I928)*(1-$L928),IF($B928="6811",1+$I928,1)))))))))</f>
        <v/>
      </c>
      <c r="P928">
        <f>IF($A928="","",IF($E928=1,$F928*$O928,PNL!G928))</f>
        <v/>
      </c>
      <c r="T928">
        <f>IF($A928="","",IF($E928=1,IF(OR($B928="7062",$B928="706",$B928="708"),$P928,IF(AND(LEFT($B928,1)="6",$B928&lt;&gt;"6811"),-$P928,0)),0))</f>
        <v/>
      </c>
    </row>
    <row r="929">
      <c r="A929">
        <f>IF(PNL!A929="","",PNL!A929)</f>
        <v/>
      </c>
      <c r="B929">
        <f>IF(PNL!B929="","",PNL!B929)</f>
        <v/>
      </c>
      <c r="C929">
        <f>IF(PNL!C929="","",PNL!C929)</f>
        <v/>
      </c>
      <c r="D929">
        <f>IF(PNL!D929="","",PNL!D929)</f>
        <v/>
      </c>
      <c r="E929">
        <f>IF($A929="","",IF(AND($C929="2027",OR($D929="V01",$D929="V02",$D929="V03")),1,0))</f>
        <v/>
      </c>
      <c r="F929">
        <f>IF($A929="","",IF($E929=1,SUMIFS(Comptabilité!$F$1:$F$675,Comptabilité!$A$1:$A$675,$A929,Comptabilité!$B$1:$B$675,$B929,Comptabilité!$C$1:$C$675,"2026"),0))</f>
        <v/>
      </c>
      <c r="G929">
        <f>IF($A929="","",IF($D929="V01",Cadrage!$C$22,IF($D929="V02",Cadrage!$D$22,Cadrage!$E$22)))</f>
        <v/>
      </c>
      <c r="H929">
        <f>IF($A929="","",IF($D929="V01",Cadrage!$C$23,IF($D929="V02",Cadrage!$D$23,Cadrage!$E$23)))</f>
        <v/>
      </c>
      <c r="I929">
        <f>IF($A929="","",IF($D929="V01",Cadrage!$C$31,IF($D929="V02",Cadrage!$D$31,Cadrage!$E$31)))</f>
        <v/>
      </c>
      <c r="J929">
        <f>IF($A929="","",IF($D929="V01",Cadrage!$C$32,IF($D929="V02",Cadrage!$D$32,Cadrage!$E$32)))</f>
        <v/>
      </c>
      <c r="K929">
        <f>IF($A929="","",IF($D929="V01",Cadrage!$C$33,IF($D929="V02",Cadrage!$D$33,Cadrage!$E$33)))</f>
        <v/>
      </c>
      <c r="L929">
        <f>IF($A929="","",IF($D929="V01",Cadrage!$C$34,IF($D929="V02",Cadrage!$D$34,Cadrage!$E$34)))</f>
        <v/>
      </c>
      <c r="M929">
        <f>IF($A929="","",IF($D929="V01",Cadrage!$C$35,IF($D929="V02",Cadrage!$D$35,Cadrage!$E$35)))</f>
        <v/>
      </c>
      <c r="N929">
        <f>IF($A929="","",IF($D929="V01",$R$2,IF($D929="V02",$R$3,$R$4)))</f>
        <v/>
      </c>
      <c r="O929">
        <f>IF($A929="","",IF(OR($B929="7062",$B929="706",$B929="708"),$N929,IF($B929="6231",1+$G929,IF($B929="6236",1+$H929,IF(OR($B929="621",$B929="604",$B929="6063"),$N929*(1-$L929),IF(OR($B929="6411",$B929="6413",$B929="6414",$B929="645"),(1+$J929)*(1+$K929),IF(OR($B929="613",$B929="615",$B929="616",$B929="6226",$B929="625",$B929="626",$B929="6281"),(1+$I929)*(1-$L929)*(1+$M929),IF(OR($B929="6331",$B929="63511",$B929="6333"),(1+$I929)*(1-$L929),IF($B929="6811",1+$I929,1)))))))))</f>
        <v/>
      </c>
      <c r="P929">
        <f>IF($A929="","",IF($E929=1,$F929*$O929,PNL!G929))</f>
        <v/>
      </c>
      <c r="T929">
        <f>IF($A929="","",IF($E929=1,IF(OR($B929="7062",$B929="706",$B929="708"),$P929,IF(AND(LEFT($B929,1)="6",$B929&lt;&gt;"6811"),-$P929,0)),0))</f>
        <v/>
      </c>
    </row>
    <row r="930">
      <c r="A930">
        <f>IF(PNL!A930="","",PNL!A930)</f>
        <v/>
      </c>
      <c r="B930">
        <f>IF(PNL!B930="","",PNL!B930)</f>
        <v/>
      </c>
      <c r="C930">
        <f>IF(PNL!C930="","",PNL!C930)</f>
        <v/>
      </c>
      <c r="D930">
        <f>IF(PNL!D930="","",PNL!D930)</f>
        <v/>
      </c>
      <c r="E930">
        <f>IF($A930="","",IF(AND($C930="2027",OR($D930="V01",$D930="V02",$D930="V03")),1,0))</f>
        <v/>
      </c>
      <c r="F930">
        <f>IF($A930="","",IF($E930=1,SUMIFS(Comptabilité!$F$1:$F$675,Comptabilité!$A$1:$A$675,$A930,Comptabilité!$B$1:$B$675,$B930,Comptabilité!$C$1:$C$675,"2026"),0))</f>
        <v/>
      </c>
      <c r="G930">
        <f>IF($A930="","",IF($D930="V01",Cadrage!$C$22,IF($D930="V02",Cadrage!$D$22,Cadrage!$E$22)))</f>
        <v/>
      </c>
      <c r="H930">
        <f>IF($A930="","",IF($D930="V01",Cadrage!$C$23,IF($D930="V02",Cadrage!$D$23,Cadrage!$E$23)))</f>
        <v/>
      </c>
      <c r="I930">
        <f>IF($A930="","",IF($D930="V01",Cadrage!$C$31,IF($D930="V02",Cadrage!$D$31,Cadrage!$E$31)))</f>
        <v/>
      </c>
      <c r="J930">
        <f>IF($A930="","",IF($D930="V01",Cadrage!$C$32,IF($D930="V02",Cadrage!$D$32,Cadrage!$E$32)))</f>
        <v/>
      </c>
      <c r="K930">
        <f>IF($A930="","",IF($D930="V01",Cadrage!$C$33,IF($D930="V02",Cadrage!$D$33,Cadrage!$E$33)))</f>
        <v/>
      </c>
      <c r="L930">
        <f>IF($A930="","",IF($D930="V01",Cadrage!$C$34,IF($D930="V02",Cadrage!$D$34,Cadrage!$E$34)))</f>
        <v/>
      </c>
      <c r="M930">
        <f>IF($A930="","",IF($D930="V01",Cadrage!$C$35,IF($D930="V02",Cadrage!$D$35,Cadrage!$E$35)))</f>
        <v/>
      </c>
      <c r="N930">
        <f>IF($A930="","",IF($D930="V01",$R$2,IF($D930="V02",$R$3,$R$4)))</f>
        <v/>
      </c>
      <c r="O930">
        <f>IF($A930="","",IF(OR($B930="7062",$B930="706",$B930="708"),$N930,IF($B930="6231",1+$G930,IF($B930="6236",1+$H930,IF(OR($B930="621",$B930="604",$B930="6063"),$N930*(1-$L930),IF(OR($B930="6411",$B930="6413",$B930="6414",$B930="645"),(1+$J930)*(1+$K930),IF(OR($B930="613",$B930="615",$B930="616",$B930="6226",$B930="625",$B930="626",$B930="6281"),(1+$I930)*(1-$L930)*(1+$M930),IF(OR($B930="6331",$B930="63511",$B930="6333"),(1+$I930)*(1-$L930),IF($B930="6811",1+$I930,1)))))))))</f>
        <v/>
      </c>
      <c r="P930">
        <f>IF($A930="","",IF($E930=1,$F930*$O930,PNL!G930))</f>
        <v/>
      </c>
      <c r="T930">
        <f>IF($A930="","",IF($E930=1,IF(OR($B930="7062",$B930="706",$B930="708"),$P930,IF(AND(LEFT($B930,1)="6",$B930&lt;&gt;"6811"),-$P930,0)),0))</f>
        <v/>
      </c>
    </row>
    <row r="931">
      <c r="A931">
        <f>IF(PNL!A931="","",PNL!A931)</f>
        <v/>
      </c>
      <c r="B931">
        <f>IF(PNL!B931="","",PNL!B931)</f>
        <v/>
      </c>
      <c r="C931">
        <f>IF(PNL!C931="","",PNL!C931)</f>
        <v/>
      </c>
      <c r="D931">
        <f>IF(PNL!D931="","",PNL!D931)</f>
        <v/>
      </c>
      <c r="E931">
        <f>IF($A931="","",IF(AND($C931="2027",OR($D931="V01",$D931="V02",$D931="V03")),1,0))</f>
        <v/>
      </c>
      <c r="F931">
        <f>IF($A931="","",IF($E931=1,SUMIFS(Comptabilité!$F$1:$F$675,Comptabilité!$A$1:$A$675,$A931,Comptabilité!$B$1:$B$675,$B931,Comptabilité!$C$1:$C$675,"2026"),0))</f>
        <v/>
      </c>
      <c r="G931">
        <f>IF($A931="","",IF($D931="V01",Cadrage!$C$22,IF($D931="V02",Cadrage!$D$22,Cadrage!$E$22)))</f>
        <v/>
      </c>
      <c r="H931">
        <f>IF($A931="","",IF($D931="V01",Cadrage!$C$23,IF($D931="V02",Cadrage!$D$23,Cadrage!$E$23)))</f>
        <v/>
      </c>
      <c r="I931">
        <f>IF($A931="","",IF($D931="V01",Cadrage!$C$31,IF($D931="V02",Cadrage!$D$31,Cadrage!$E$31)))</f>
        <v/>
      </c>
      <c r="J931">
        <f>IF($A931="","",IF($D931="V01",Cadrage!$C$32,IF($D931="V02",Cadrage!$D$32,Cadrage!$E$32)))</f>
        <v/>
      </c>
      <c r="K931">
        <f>IF($A931="","",IF($D931="V01",Cadrage!$C$33,IF($D931="V02",Cadrage!$D$33,Cadrage!$E$33)))</f>
        <v/>
      </c>
      <c r="L931">
        <f>IF($A931="","",IF($D931="V01",Cadrage!$C$34,IF($D931="V02",Cadrage!$D$34,Cadrage!$E$34)))</f>
        <v/>
      </c>
      <c r="M931">
        <f>IF($A931="","",IF($D931="V01",Cadrage!$C$35,IF($D931="V02",Cadrage!$D$35,Cadrage!$E$35)))</f>
        <v/>
      </c>
      <c r="N931">
        <f>IF($A931="","",IF($D931="V01",$R$2,IF($D931="V02",$R$3,$R$4)))</f>
        <v/>
      </c>
      <c r="O931">
        <f>IF($A931="","",IF(OR($B931="7062",$B931="706",$B931="708"),$N931,IF($B931="6231",1+$G931,IF($B931="6236",1+$H931,IF(OR($B931="621",$B931="604",$B931="6063"),$N931*(1-$L931),IF(OR($B931="6411",$B931="6413",$B931="6414",$B931="645"),(1+$J931)*(1+$K931),IF(OR($B931="613",$B931="615",$B931="616",$B931="6226",$B931="625",$B931="626",$B931="6281"),(1+$I931)*(1-$L931)*(1+$M931),IF(OR($B931="6331",$B931="63511",$B931="6333"),(1+$I931)*(1-$L931),IF($B931="6811",1+$I931,1)))))))))</f>
        <v/>
      </c>
      <c r="P931">
        <f>IF($A931="","",IF($E931=1,$F931*$O931,PNL!G931))</f>
        <v/>
      </c>
      <c r="T931">
        <f>IF($A931="","",IF($E931=1,IF(OR($B931="7062",$B931="706",$B931="708"),$P931,IF(AND(LEFT($B931,1)="6",$B931&lt;&gt;"6811"),-$P931,0)),0))</f>
        <v/>
      </c>
    </row>
    <row r="932">
      <c r="A932">
        <f>IF(PNL!A932="","",PNL!A932)</f>
        <v/>
      </c>
      <c r="B932">
        <f>IF(PNL!B932="","",PNL!B932)</f>
        <v/>
      </c>
      <c r="C932">
        <f>IF(PNL!C932="","",PNL!C932)</f>
        <v/>
      </c>
      <c r="D932">
        <f>IF(PNL!D932="","",PNL!D932)</f>
        <v/>
      </c>
      <c r="E932">
        <f>IF($A932="","",IF(AND($C932="2027",OR($D932="V01",$D932="V02",$D932="V03")),1,0))</f>
        <v/>
      </c>
      <c r="F932">
        <f>IF($A932="","",IF($E932=1,SUMIFS(Comptabilité!$F$1:$F$675,Comptabilité!$A$1:$A$675,$A932,Comptabilité!$B$1:$B$675,$B932,Comptabilité!$C$1:$C$675,"2026"),0))</f>
        <v/>
      </c>
      <c r="G932">
        <f>IF($A932="","",IF($D932="V01",Cadrage!$C$22,IF($D932="V02",Cadrage!$D$22,Cadrage!$E$22)))</f>
        <v/>
      </c>
      <c r="H932">
        <f>IF($A932="","",IF($D932="V01",Cadrage!$C$23,IF($D932="V02",Cadrage!$D$23,Cadrage!$E$23)))</f>
        <v/>
      </c>
      <c r="I932">
        <f>IF($A932="","",IF($D932="V01",Cadrage!$C$31,IF($D932="V02",Cadrage!$D$31,Cadrage!$E$31)))</f>
        <v/>
      </c>
      <c r="J932">
        <f>IF($A932="","",IF($D932="V01",Cadrage!$C$32,IF($D932="V02",Cadrage!$D$32,Cadrage!$E$32)))</f>
        <v/>
      </c>
      <c r="K932">
        <f>IF($A932="","",IF($D932="V01",Cadrage!$C$33,IF($D932="V02",Cadrage!$D$33,Cadrage!$E$33)))</f>
        <v/>
      </c>
      <c r="L932">
        <f>IF($A932="","",IF($D932="V01",Cadrage!$C$34,IF($D932="V02",Cadrage!$D$34,Cadrage!$E$34)))</f>
        <v/>
      </c>
      <c r="M932">
        <f>IF($A932="","",IF($D932="V01",Cadrage!$C$35,IF($D932="V02",Cadrage!$D$35,Cadrage!$E$35)))</f>
        <v/>
      </c>
      <c r="N932">
        <f>IF($A932="","",IF($D932="V01",$R$2,IF($D932="V02",$R$3,$R$4)))</f>
        <v/>
      </c>
      <c r="O932">
        <f>IF($A932="","",IF(OR($B932="7062",$B932="706",$B932="708"),$N932,IF($B932="6231",1+$G932,IF($B932="6236",1+$H932,IF(OR($B932="621",$B932="604",$B932="6063"),$N932*(1-$L932),IF(OR($B932="6411",$B932="6413",$B932="6414",$B932="645"),(1+$J932)*(1+$K932),IF(OR($B932="613",$B932="615",$B932="616",$B932="6226",$B932="625",$B932="626",$B932="6281"),(1+$I932)*(1-$L932)*(1+$M932),IF(OR($B932="6331",$B932="63511",$B932="6333"),(1+$I932)*(1-$L932),IF($B932="6811",1+$I932,1)))))))))</f>
        <v/>
      </c>
      <c r="P932">
        <f>IF($A932="","",IF($E932=1,$F932*$O932,PNL!G932))</f>
        <v/>
      </c>
      <c r="T932">
        <f>IF($A932="","",IF($E932=1,IF(OR($B932="7062",$B932="706",$B932="708"),$P932,IF(AND(LEFT($B932,1)="6",$B932&lt;&gt;"6811"),-$P932,0)),0))</f>
        <v/>
      </c>
    </row>
    <row r="933">
      <c r="A933">
        <f>IF(PNL!A933="","",PNL!A933)</f>
        <v/>
      </c>
      <c r="B933">
        <f>IF(PNL!B933="","",PNL!B933)</f>
        <v/>
      </c>
      <c r="C933">
        <f>IF(PNL!C933="","",PNL!C933)</f>
        <v/>
      </c>
      <c r="D933">
        <f>IF(PNL!D933="","",PNL!D933)</f>
        <v/>
      </c>
      <c r="E933">
        <f>IF($A933="","",IF(AND($C933="2027",OR($D933="V01",$D933="V02",$D933="V03")),1,0))</f>
        <v/>
      </c>
      <c r="F933">
        <f>IF($A933="","",IF($E933=1,SUMIFS(Comptabilité!$F$1:$F$675,Comptabilité!$A$1:$A$675,$A933,Comptabilité!$B$1:$B$675,$B933,Comptabilité!$C$1:$C$675,"2026"),0))</f>
        <v/>
      </c>
      <c r="G933">
        <f>IF($A933="","",IF($D933="V01",Cadrage!$C$22,IF($D933="V02",Cadrage!$D$22,Cadrage!$E$22)))</f>
        <v/>
      </c>
      <c r="H933">
        <f>IF($A933="","",IF($D933="V01",Cadrage!$C$23,IF($D933="V02",Cadrage!$D$23,Cadrage!$E$23)))</f>
        <v/>
      </c>
      <c r="I933">
        <f>IF($A933="","",IF($D933="V01",Cadrage!$C$31,IF($D933="V02",Cadrage!$D$31,Cadrage!$E$31)))</f>
        <v/>
      </c>
      <c r="J933">
        <f>IF($A933="","",IF($D933="V01",Cadrage!$C$32,IF($D933="V02",Cadrage!$D$32,Cadrage!$E$32)))</f>
        <v/>
      </c>
      <c r="K933">
        <f>IF($A933="","",IF($D933="V01",Cadrage!$C$33,IF($D933="V02",Cadrage!$D$33,Cadrage!$E$33)))</f>
        <v/>
      </c>
      <c r="L933">
        <f>IF($A933="","",IF($D933="V01",Cadrage!$C$34,IF($D933="V02",Cadrage!$D$34,Cadrage!$E$34)))</f>
        <v/>
      </c>
      <c r="M933">
        <f>IF($A933="","",IF($D933="V01",Cadrage!$C$35,IF($D933="V02",Cadrage!$D$35,Cadrage!$E$35)))</f>
        <v/>
      </c>
      <c r="N933">
        <f>IF($A933="","",IF($D933="V01",$R$2,IF($D933="V02",$R$3,$R$4)))</f>
        <v/>
      </c>
      <c r="O933">
        <f>IF($A933="","",IF(OR($B933="7062",$B933="706",$B933="708"),$N933,IF($B933="6231",1+$G933,IF($B933="6236",1+$H933,IF(OR($B933="621",$B933="604",$B933="6063"),$N933*(1-$L933),IF(OR($B933="6411",$B933="6413",$B933="6414",$B933="645"),(1+$J933)*(1+$K933),IF(OR($B933="613",$B933="615",$B933="616",$B933="6226",$B933="625",$B933="626",$B933="6281"),(1+$I933)*(1-$L933)*(1+$M933),IF(OR($B933="6331",$B933="63511",$B933="6333"),(1+$I933)*(1-$L933),IF($B933="6811",1+$I933,1)))))))))</f>
        <v/>
      </c>
      <c r="P933">
        <f>IF($A933="","",IF($E933=1,$F933*$O933,PNL!G933))</f>
        <v/>
      </c>
      <c r="T933">
        <f>IF($A933="","",IF($E933=1,IF(OR($B933="7062",$B933="706",$B933="708"),$P933,IF(AND(LEFT($B933,1)="6",$B933&lt;&gt;"6811"),-$P933,0)),0))</f>
        <v/>
      </c>
    </row>
    <row r="934">
      <c r="A934">
        <f>IF(PNL!A934="","",PNL!A934)</f>
        <v/>
      </c>
      <c r="B934">
        <f>IF(PNL!B934="","",PNL!B934)</f>
        <v/>
      </c>
      <c r="C934">
        <f>IF(PNL!C934="","",PNL!C934)</f>
        <v/>
      </c>
      <c r="D934">
        <f>IF(PNL!D934="","",PNL!D934)</f>
        <v/>
      </c>
      <c r="E934">
        <f>IF($A934="","",IF(AND($C934="2027",OR($D934="V01",$D934="V02",$D934="V03")),1,0))</f>
        <v/>
      </c>
      <c r="F934">
        <f>IF($A934="","",IF($E934=1,SUMIFS(Comptabilité!$F$1:$F$675,Comptabilité!$A$1:$A$675,$A934,Comptabilité!$B$1:$B$675,$B934,Comptabilité!$C$1:$C$675,"2026"),0))</f>
        <v/>
      </c>
      <c r="G934">
        <f>IF($A934="","",IF($D934="V01",Cadrage!$C$22,IF($D934="V02",Cadrage!$D$22,Cadrage!$E$22)))</f>
        <v/>
      </c>
      <c r="H934">
        <f>IF($A934="","",IF($D934="V01",Cadrage!$C$23,IF($D934="V02",Cadrage!$D$23,Cadrage!$E$23)))</f>
        <v/>
      </c>
      <c r="I934">
        <f>IF($A934="","",IF($D934="V01",Cadrage!$C$31,IF($D934="V02",Cadrage!$D$31,Cadrage!$E$31)))</f>
        <v/>
      </c>
      <c r="J934">
        <f>IF($A934="","",IF($D934="V01",Cadrage!$C$32,IF($D934="V02",Cadrage!$D$32,Cadrage!$E$32)))</f>
        <v/>
      </c>
      <c r="K934">
        <f>IF($A934="","",IF($D934="V01",Cadrage!$C$33,IF($D934="V02",Cadrage!$D$33,Cadrage!$E$33)))</f>
        <v/>
      </c>
      <c r="L934">
        <f>IF($A934="","",IF($D934="V01",Cadrage!$C$34,IF($D934="V02",Cadrage!$D$34,Cadrage!$E$34)))</f>
        <v/>
      </c>
      <c r="M934">
        <f>IF($A934="","",IF($D934="V01",Cadrage!$C$35,IF($D934="V02",Cadrage!$D$35,Cadrage!$E$35)))</f>
        <v/>
      </c>
      <c r="N934">
        <f>IF($A934="","",IF($D934="V01",$R$2,IF($D934="V02",$R$3,$R$4)))</f>
        <v/>
      </c>
      <c r="O934">
        <f>IF($A934="","",IF(OR($B934="7062",$B934="706",$B934="708"),$N934,IF($B934="6231",1+$G934,IF($B934="6236",1+$H934,IF(OR($B934="621",$B934="604",$B934="6063"),$N934*(1-$L934),IF(OR($B934="6411",$B934="6413",$B934="6414",$B934="645"),(1+$J934)*(1+$K934),IF(OR($B934="613",$B934="615",$B934="616",$B934="6226",$B934="625",$B934="626",$B934="6281"),(1+$I934)*(1-$L934)*(1+$M934),IF(OR($B934="6331",$B934="63511",$B934="6333"),(1+$I934)*(1-$L934),IF($B934="6811",1+$I934,1)))))))))</f>
        <v/>
      </c>
      <c r="P934">
        <f>IF($A934="","",IF($E934=1,$F934*$O934,PNL!G934))</f>
        <v/>
      </c>
      <c r="T934">
        <f>IF($A934="","",IF($E934=1,IF(OR($B934="7062",$B934="706",$B934="708"),$P934,IF(AND(LEFT($B934,1)="6",$B934&lt;&gt;"6811"),-$P934,0)),0))</f>
        <v/>
      </c>
    </row>
    <row r="935">
      <c r="A935">
        <f>IF(PNL!A935="","",PNL!A935)</f>
        <v/>
      </c>
      <c r="B935">
        <f>IF(PNL!B935="","",PNL!B935)</f>
        <v/>
      </c>
      <c r="C935">
        <f>IF(PNL!C935="","",PNL!C935)</f>
        <v/>
      </c>
      <c r="D935">
        <f>IF(PNL!D935="","",PNL!D935)</f>
        <v/>
      </c>
      <c r="E935">
        <f>IF($A935="","",IF(AND($C935="2027",OR($D935="V01",$D935="V02",$D935="V03")),1,0))</f>
        <v/>
      </c>
      <c r="F935">
        <f>IF($A935="","",IF($E935=1,SUMIFS(Comptabilité!$F$1:$F$675,Comptabilité!$A$1:$A$675,$A935,Comptabilité!$B$1:$B$675,$B935,Comptabilité!$C$1:$C$675,"2026"),0))</f>
        <v/>
      </c>
      <c r="G935">
        <f>IF($A935="","",IF($D935="V01",Cadrage!$C$22,IF($D935="V02",Cadrage!$D$22,Cadrage!$E$22)))</f>
        <v/>
      </c>
      <c r="H935">
        <f>IF($A935="","",IF($D935="V01",Cadrage!$C$23,IF($D935="V02",Cadrage!$D$23,Cadrage!$E$23)))</f>
        <v/>
      </c>
      <c r="I935">
        <f>IF($A935="","",IF($D935="V01",Cadrage!$C$31,IF($D935="V02",Cadrage!$D$31,Cadrage!$E$31)))</f>
        <v/>
      </c>
      <c r="J935">
        <f>IF($A935="","",IF($D935="V01",Cadrage!$C$32,IF($D935="V02",Cadrage!$D$32,Cadrage!$E$32)))</f>
        <v/>
      </c>
      <c r="K935">
        <f>IF($A935="","",IF($D935="V01",Cadrage!$C$33,IF($D935="V02",Cadrage!$D$33,Cadrage!$E$33)))</f>
        <v/>
      </c>
      <c r="L935">
        <f>IF($A935="","",IF($D935="V01",Cadrage!$C$34,IF($D935="V02",Cadrage!$D$34,Cadrage!$E$34)))</f>
        <v/>
      </c>
      <c r="M935">
        <f>IF($A935="","",IF($D935="V01",Cadrage!$C$35,IF($D935="V02",Cadrage!$D$35,Cadrage!$E$35)))</f>
        <v/>
      </c>
      <c r="N935">
        <f>IF($A935="","",IF($D935="V01",$R$2,IF($D935="V02",$R$3,$R$4)))</f>
        <v/>
      </c>
      <c r="O935">
        <f>IF($A935="","",IF(OR($B935="7062",$B935="706",$B935="708"),$N935,IF($B935="6231",1+$G935,IF($B935="6236",1+$H935,IF(OR($B935="621",$B935="604",$B935="6063"),$N935*(1-$L935),IF(OR($B935="6411",$B935="6413",$B935="6414",$B935="645"),(1+$J935)*(1+$K935),IF(OR($B935="613",$B935="615",$B935="616",$B935="6226",$B935="625",$B935="626",$B935="6281"),(1+$I935)*(1-$L935)*(1+$M935),IF(OR($B935="6331",$B935="63511",$B935="6333"),(1+$I935)*(1-$L935),IF($B935="6811",1+$I935,1)))))))))</f>
        <v/>
      </c>
      <c r="P935">
        <f>IF($A935="","",IF($E935=1,$F935*$O935,PNL!G935))</f>
        <v/>
      </c>
      <c r="T935">
        <f>IF($A935="","",IF($E935=1,IF(OR($B935="7062",$B935="706",$B935="708"),$P935,IF(AND(LEFT($B935,1)="6",$B935&lt;&gt;"6811"),-$P935,0)),0))</f>
        <v/>
      </c>
    </row>
    <row r="936">
      <c r="A936">
        <f>IF(PNL!A936="","",PNL!A936)</f>
        <v/>
      </c>
      <c r="B936">
        <f>IF(PNL!B936="","",PNL!B936)</f>
        <v/>
      </c>
      <c r="C936">
        <f>IF(PNL!C936="","",PNL!C936)</f>
        <v/>
      </c>
      <c r="D936">
        <f>IF(PNL!D936="","",PNL!D936)</f>
        <v/>
      </c>
      <c r="E936">
        <f>IF($A936="","",IF(AND($C936="2027",OR($D936="V01",$D936="V02",$D936="V03")),1,0))</f>
        <v/>
      </c>
      <c r="F936">
        <f>IF($A936="","",IF($E936=1,SUMIFS(Comptabilité!$F$1:$F$675,Comptabilité!$A$1:$A$675,$A936,Comptabilité!$B$1:$B$675,$B936,Comptabilité!$C$1:$C$675,"2026"),0))</f>
        <v/>
      </c>
      <c r="G936">
        <f>IF($A936="","",IF($D936="V01",Cadrage!$C$22,IF($D936="V02",Cadrage!$D$22,Cadrage!$E$22)))</f>
        <v/>
      </c>
      <c r="H936">
        <f>IF($A936="","",IF($D936="V01",Cadrage!$C$23,IF($D936="V02",Cadrage!$D$23,Cadrage!$E$23)))</f>
        <v/>
      </c>
      <c r="I936">
        <f>IF($A936="","",IF($D936="V01",Cadrage!$C$31,IF($D936="V02",Cadrage!$D$31,Cadrage!$E$31)))</f>
        <v/>
      </c>
      <c r="J936">
        <f>IF($A936="","",IF($D936="V01",Cadrage!$C$32,IF($D936="V02",Cadrage!$D$32,Cadrage!$E$32)))</f>
        <v/>
      </c>
      <c r="K936">
        <f>IF($A936="","",IF($D936="V01",Cadrage!$C$33,IF($D936="V02",Cadrage!$D$33,Cadrage!$E$33)))</f>
        <v/>
      </c>
      <c r="L936">
        <f>IF($A936="","",IF($D936="V01",Cadrage!$C$34,IF($D936="V02",Cadrage!$D$34,Cadrage!$E$34)))</f>
        <v/>
      </c>
      <c r="M936">
        <f>IF($A936="","",IF($D936="V01",Cadrage!$C$35,IF($D936="V02",Cadrage!$D$35,Cadrage!$E$35)))</f>
        <v/>
      </c>
      <c r="N936">
        <f>IF($A936="","",IF($D936="V01",$R$2,IF($D936="V02",$R$3,$R$4)))</f>
        <v/>
      </c>
      <c r="O936">
        <f>IF($A936="","",IF(OR($B936="7062",$B936="706",$B936="708"),$N936,IF($B936="6231",1+$G936,IF($B936="6236",1+$H936,IF(OR($B936="621",$B936="604",$B936="6063"),$N936*(1-$L936),IF(OR($B936="6411",$B936="6413",$B936="6414",$B936="645"),(1+$J936)*(1+$K936),IF(OR($B936="613",$B936="615",$B936="616",$B936="6226",$B936="625",$B936="626",$B936="6281"),(1+$I936)*(1-$L936)*(1+$M936),IF(OR($B936="6331",$B936="63511",$B936="6333"),(1+$I936)*(1-$L936),IF($B936="6811",1+$I936,1)))))))))</f>
        <v/>
      </c>
      <c r="P936">
        <f>IF($A936="","",IF($E936=1,$F936*$O936,PNL!G936))</f>
        <v/>
      </c>
      <c r="T936">
        <f>IF($A936="","",IF($E936=1,IF(OR($B936="7062",$B936="706",$B936="708"),$P936,IF(AND(LEFT($B936,1)="6",$B936&lt;&gt;"6811"),-$P936,0)),0))</f>
        <v/>
      </c>
    </row>
    <row r="937">
      <c r="A937">
        <f>IF(PNL!A937="","",PNL!A937)</f>
        <v/>
      </c>
      <c r="B937">
        <f>IF(PNL!B937="","",PNL!B937)</f>
        <v/>
      </c>
      <c r="C937">
        <f>IF(PNL!C937="","",PNL!C937)</f>
        <v/>
      </c>
      <c r="D937">
        <f>IF(PNL!D937="","",PNL!D937)</f>
        <v/>
      </c>
      <c r="E937">
        <f>IF($A937="","",IF(AND($C937="2027",OR($D937="V01",$D937="V02",$D937="V03")),1,0))</f>
        <v/>
      </c>
      <c r="F937">
        <f>IF($A937="","",IF($E937=1,SUMIFS(Comptabilité!$F$1:$F$675,Comptabilité!$A$1:$A$675,$A937,Comptabilité!$B$1:$B$675,$B937,Comptabilité!$C$1:$C$675,"2026"),0))</f>
        <v/>
      </c>
      <c r="G937">
        <f>IF($A937="","",IF($D937="V01",Cadrage!$C$22,IF($D937="V02",Cadrage!$D$22,Cadrage!$E$22)))</f>
        <v/>
      </c>
      <c r="H937">
        <f>IF($A937="","",IF($D937="V01",Cadrage!$C$23,IF($D937="V02",Cadrage!$D$23,Cadrage!$E$23)))</f>
        <v/>
      </c>
      <c r="I937">
        <f>IF($A937="","",IF($D937="V01",Cadrage!$C$31,IF($D937="V02",Cadrage!$D$31,Cadrage!$E$31)))</f>
        <v/>
      </c>
      <c r="J937">
        <f>IF($A937="","",IF($D937="V01",Cadrage!$C$32,IF($D937="V02",Cadrage!$D$32,Cadrage!$E$32)))</f>
        <v/>
      </c>
      <c r="K937">
        <f>IF($A937="","",IF($D937="V01",Cadrage!$C$33,IF($D937="V02",Cadrage!$D$33,Cadrage!$E$33)))</f>
        <v/>
      </c>
      <c r="L937">
        <f>IF($A937="","",IF($D937="V01",Cadrage!$C$34,IF($D937="V02",Cadrage!$D$34,Cadrage!$E$34)))</f>
        <v/>
      </c>
      <c r="M937">
        <f>IF($A937="","",IF($D937="V01",Cadrage!$C$35,IF($D937="V02",Cadrage!$D$35,Cadrage!$E$35)))</f>
        <v/>
      </c>
      <c r="N937">
        <f>IF($A937="","",IF($D937="V01",$R$2,IF($D937="V02",$R$3,$R$4)))</f>
        <v/>
      </c>
      <c r="O937">
        <f>IF($A937="","",IF(OR($B937="7062",$B937="706",$B937="708"),$N937,IF($B937="6231",1+$G937,IF($B937="6236",1+$H937,IF(OR($B937="621",$B937="604",$B937="6063"),$N937*(1-$L937),IF(OR($B937="6411",$B937="6413",$B937="6414",$B937="645"),(1+$J937)*(1+$K937),IF(OR($B937="613",$B937="615",$B937="616",$B937="6226",$B937="625",$B937="626",$B937="6281"),(1+$I937)*(1-$L937)*(1+$M937),IF(OR($B937="6331",$B937="63511",$B937="6333"),(1+$I937)*(1-$L937),IF($B937="6811",1+$I937,1)))))))))</f>
        <v/>
      </c>
      <c r="P937">
        <f>IF($A937="","",IF($E937=1,$F937*$O937,PNL!G937))</f>
        <v/>
      </c>
      <c r="T937">
        <f>IF($A937="","",IF($E937=1,IF(OR($B937="7062",$B937="706",$B937="708"),$P937,IF(AND(LEFT($B937,1)="6",$B937&lt;&gt;"6811"),-$P937,0)),0))</f>
        <v/>
      </c>
    </row>
    <row r="938">
      <c r="A938">
        <f>IF(PNL!A938="","",PNL!A938)</f>
        <v/>
      </c>
      <c r="B938">
        <f>IF(PNL!B938="","",PNL!B938)</f>
        <v/>
      </c>
      <c r="C938">
        <f>IF(PNL!C938="","",PNL!C938)</f>
        <v/>
      </c>
      <c r="D938">
        <f>IF(PNL!D938="","",PNL!D938)</f>
        <v/>
      </c>
      <c r="E938">
        <f>IF($A938="","",IF(AND($C938="2027",OR($D938="V01",$D938="V02",$D938="V03")),1,0))</f>
        <v/>
      </c>
      <c r="F938">
        <f>IF($A938="","",IF($E938=1,SUMIFS(Comptabilité!$F$1:$F$675,Comptabilité!$A$1:$A$675,$A938,Comptabilité!$B$1:$B$675,$B938,Comptabilité!$C$1:$C$675,"2026"),0))</f>
        <v/>
      </c>
      <c r="G938">
        <f>IF($A938="","",IF($D938="V01",Cadrage!$C$22,IF($D938="V02",Cadrage!$D$22,Cadrage!$E$22)))</f>
        <v/>
      </c>
      <c r="H938">
        <f>IF($A938="","",IF($D938="V01",Cadrage!$C$23,IF($D938="V02",Cadrage!$D$23,Cadrage!$E$23)))</f>
        <v/>
      </c>
      <c r="I938">
        <f>IF($A938="","",IF($D938="V01",Cadrage!$C$31,IF($D938="V02",Cadrage!$D$31,Cadrage!$E$31)))</f>
        <v/>
      </c>
      <c r="J938">
        <f>IF($A938="","",IF($D938="V01",Cadrage!$C$32,IF($D938="V02",Cadrage!$D$32,Cadrage!$E$32)))</f>
        <v/>
      </c>
      <c r="K938">
        <f>IF($A938="","",IF($D938="V01",Cadrage!$C$33,IF($D938="V02",Cadrage!$D$33,Cadrage!$E$33)))</f>
        <v/>
      </c>
      <c r="L938">
        <f>IF($A938="","",IF($D938="V01",Cadrage!$C$34,IF($D938="V02",Cadrage!$D$34,Cadrage!$E$34)))</f>
        <v/>
      </c>
      <c r="M938">
        <f>IF($A938="","",IF($D938="V01",Cadrage!$C$35,IF($D938="V02",Cadrage!$D$35,Cadrage!$E$35)))</f>
        <v/>
      </c>
      <c r="N938">
        <f>IF($A938="","",IF($D938="V01",$R$2,IF($D938="V02",$R$3,$R$4)))</f>
        <v/>
      </c>
      <c r="O938">
        <f>IF($A938="","",IF(OR($B938="7062",$B938="706",$B938="708"),$N938,IF($B938="6231",1+$G938,IF($B938="6236",1+$H938,IF(OR($B938="621",$B938="604",$B938="6063"),$N938*(1-$L938),IF(OR($B938="6411",$B938="6413",$B938="6414",$B938="645"),(1+$J938)*(1+$K938),IF(OR($B938="613",$B938="615",$B938="616",$B938="6226",$B938="625",$B938="626",$B938="6281"),(1+$I938)*(1-$L938)*(1+$M938),IF(OR($B938="6331",$B938="63511",$B938="6333"),(1+$I938)*(1-$L938),IF($B938="6811",1+$I938,1)))))))))</f>
        <v/>
      </c>
      <c r="P938">
        <f>IF($A938="","",IF($E938=1,$F938*$O938,PNL!G938))</f>
        <v/>
      </c>
      <c r="T938">
        <f>IF($A938="","",IF($E938=1,IF(OR($B938="7062",$B938="706",$B938="708"),$P938,IF(AND(LEFT($B938,1)="6",$B938&lt;&gt;"6811"),-$P938,0)),0))</f>
        <v/>
      </c>
    </row>
    <row r="939">
      <c r="A939">
        <f>IF(PNL!A939="","",PNL!A939)</f>
        <v/>
      </c>
      <c r="B939">
        <f>IF(PNL!B939="","",PNL!B939)</f>
        <v/>
      </c>
      <c r="C939">
        <f>IF(PNL!C939="","",PNL!C939)</f>
        <v/>
      </c>
      <c r="D939">
        <f>IF(PNL!D939="","",PNL!D939)</f>
        <v/>
      </c>
      <c r="E939">
        <f>IF($A939="","",IF(AND($C939="2027",OR($D939="V01",$D939="V02",$D939="V03")),1,0))</f>
        <v/>
      </c>
      <c r="F939">
        <f>IF($A939="","",IF($E939=1,SUMIFS(Comptabilité!$F$1:$F$675,Comptabilité!$A$1:$A$675,$A939,Comptabilité!$B$1:$B$675,$B939,Comptabilité!$C$1:$C$675,"2026"),0))</f>
        <v/>
      </c>
      <c r="G939">
        <f>IF($A939="","",IF($D939="V01",Cadrage!$C$22,IF($D939="V02",Cadrage!$D$22,Cadrage!$E$22)))</f>
        <v/>
      </c>
      <c r="H939">
        <f>IF($A939="","",IF($D939="V01",Cadrage!$C$23,IF($D939="V02",Cadrage!$D$23,Cadrage!$E$23)))</f>
        <v/>
      </c>
      <c r="I939">
        <f>IF($A939="","",IF($D939="V01",Cadrage!$C$31,IF($D939="V02",Cadrage!$D$31,Cadrage!$E$31)))</f>
        <v/>
      </c>
      <c r="J939">
        <f>IF($A939="","",IF($D939="V01",Cadrage!$C$32,IF($D939="V02",Cadrage!$D$32,Cadrage!$E$32)))</f>
        <v/>
      </c>
      <c r="K939">
        <f>IF($A939="","",IF($D939="V01",Cadrage!$C$33,IF($D939="V02",Cadrage!$D$33,Cadrage!$E$33)))</f>
        <v/>
      </c>
      <c r="L939">
        <f>IF($A939="","",IF($D939="V01",Cadrage!$C$34,IF($D939="V02",Cadrage!$D$34,Cadrage!$E$34)))</f>
        <v/>
      </c>
      <c r="M939">
        <f>IF($A939="","",IF($D939="V01",Cadrage!$C$35,IF($D939="V02",Cadrage!$D$35,Cadrage!$E$35)))</f>
        <v/>
      </c>
      <c r="N939">
        <f>IF($A939="","",IF($D939="V01",$R$2,IF($D939="V02",$R$3,$R$4)))</f>
        <v/>
      </c>
      <c r="O939">
        <f>IF($A939="","",IF(OR($B939="7062",$B939="706",$B939="708"),$N939,IF($B939="6231",1+$G939,IF($B939="6236",1+$H939,IF(OR($B939="621",$B939="604",$B939="6063"),$N939*(1-$L939),IF(OR($B939="6411",$B939="6413",$B939="6414",$B939="645"),(1+$J939)*(1+$K939),IF(OR($B939="613",$B939="615",$B939="616",$B939="6226",$B939="625",$B939="626",$B939="6281"),(1+$I939)*(1-$L939)*(1+$M939),IF(OR($B939="6331",$B939="63511",$B939="6333"),(1+$I939)*(1-$L939),IF($B939="6811",1+$I939,1)))))))))</f>
        <v/>
      </c>
      <c r="P939">
        <f>IF($A939="","",IF($E939=1,$F939*$O939,PNL!G939))</f>
        <v/>
      </c>
      <c r="T939">
        <f>IF($A939="","",IF($E939=1,IF(OR($B939="7062",$B939="706",$B939="708"),$P939,IF(AND(LEFT($B939,1)="6",$B939&lt;&gt;"6811"),-$P939,0)),0))</f>
        <v/>
      </c>
    </row>
    <row r="940">
      <c r="A940">
        <f>IF(PNL!A940="","",PNL!A940)</f>
        <v/>
      </c>
      <c r="B940">
        <f>IF(PNL!B940="","",PNL!B940)</f>
        <v/>
      </c>
      <c r="C940">
        <f>IF(PNL!C940="","",PNL!C940)</f>
        <v/>
      </c>
      <c r="D940">
        <f>IF(PNL!D940="","",PNL!D940)</f>
        <v/>
      </c>
      <c r="E940">
        <f>IF($A940="","",IF(AND($C940="2027",OR($D940="V01",$D940="V02",$D940="V03")),1,0))</f>
        <v/>
      </c>
      <c r="F940">
        <f>IF($A940="","",IF($E940=1,SUMIFS(Comptabilité!$F$1:$F$675,Comptabilité!$A$1:$A$675,$A940,Comptabilité!$B$1:$B$675,$B940,Comptabilité!$C$1:$C$675,"2026"),0))</f>
        <v/>
      </c>
      <c r="G940">
        <f>IF($A940="","",IF($D940="V01",Cadrage!$C$22,IF($D940="V02",Cadrage!$D$22,Cadrage!$E$22)))</f>
        <v/>
      </c>
      <c r="H940">
        <f>IF($A940="","",IF($D940="V01",Cadrage!$C$23,IF($D940="V02",Cadrage!$D$23,Cadrage!$E$23)))</f>
        <v/>
      </c>
      <c r="I940">
        <f>IF($A940="","",IF($D940="V01",Cadrage!$C$31,IF($D940="V02",Cadrage!$D$31,Cadrage!$E$31)))</f>
        <v/>
      </c>
      <c r="J940">
        <f>IF($A940="","",IF($D940="V01",Cadrage!$C$32,IF($D940="V02",Cadrage!$D$32,Cadrage!$E$32)))</f>
        <v/>
      </c>
      <c r="K940">
        <f>IF($A940="","",IF($D940="V01",Cadrage!$C$33,IF($D940="V02",Cadrage!$D$33,Cadrage!$E$33)))</f>
        <v/>
      </c>
      <c r="L940">
        <f>IF($A940="","",IF($D940="V01",Cadrage!$C$34,IF($D940="V02",Cadrage!$D$34,Cadrage!$E$34)))</f>
        <v/>
      </c>
      <c r="M940">
        <f>IF($A940="","",IF($D940="V01",Cadrage!$C$35,IF($D940="V02",Cadrage!$D$35,Cadrage!$E$35)))</f>
        <v/>
      </c>
      <c r="N940">
        <f>IF($A940="","",IF($D940="V01",$R$2,IF($D940="V02",$R$3,$R$4)))</f>
        <v/>
      </c>
      <c r="O940">
        <f>IF($A940="","",IF(OR($B940="7062",$B940="706",$B940="708"),$N940,IF($B940="6231",1+$G940,IF($B940="6236",1+$H940,IF(OR($B940="621",$B940="604",$B940="6063"),$N940*(1-$L940),IF(OR($B940="6411",$B940="6413",$B940="6414",$B940="645"),(1+$J940)*(1+$K940),IF(OR($B940="613",$B940="615",$B940="616",$B940="6226",$B940="625",$B940="626",$B940="6281"),(1+$I940)*(1-$L940)*(1+$M940),IF(OR($B940="6331",$B940="63511",$B940="6333"),(1+$I940)*(1-$L940),IF($B940="6811",1+$I940,1)))))))))</f>
        <v/>
      </c>
      <c r="P940">
        <f>IF($A940="","",IF($E940=1,$F940*$O940,PNL!G940))</f>
        <v/>
      </c>
      <c r="T940">
        <f>IF($A940="","",IF($E940=1,IF(OR($B940="7062",$B940="706",$B940="708"),$P940,IF(AND(LEFT($B940,1)="6",$B940&lt;&gt;"6811"),-$P940,0)),0))</f>
        <v/>
      </c>
    </row>
    <row r="941">
      <c r="A941">
        <f>IF(PNL!A941="","",PNL!A941)</f>
        <v/>
      </c>
      <c r="B941">
        <f>IF(PNL!B941="","",PNL!B941)</f>
        <v/>
      </c>
      <c r="C941">
        <f>IF(PNL!C941="","",PNL!C941)</f>
        <v/>
      </c>
      <c r="D941">
        <f>IF(PNL!D941="","",PNL!D941)</f>
        <v/>
      </c>
      <c r="E941">
        <f>IF($A941="","",IF(AND($C941="2027",OR($D941="V01",$D941="V02",$D941="V03")),1,0))</f>
        <v/>
      </c>
      <c r="F941">
        <f>IF($A941="","",IF($E941=1,SUMIFS(Comptabilité!$F$1:$F$675,Comptabilité!$A$1:$A$675,$A941,Comptabilité!$B$1:$B$675,$B941,Comptabilité!$C$1:$C$675,"2026"),0))</f>
        <v/>
      </c>
      <c r="G941">
        <f>IF($A941="","",IF($D941="V01",Cadrage!$C$22,IF($D941="V02",Cadrage!$D$22,Cadrage!$E$22)))</f>
        <v/>
      </c>
      <c r="H941">
        <f>IF($A941="","",IF($D941="V01",Cadrage!$C$23,IF($D941="V02",Cadrage!$D$23,Cadrage!$E$23)))</f>
        <v/>
      </c>
      <c r="I941">
        <f>IF($A941="","",IF($D941="V01",Cadrage!$C$31,IF($D941="V02",Cadrage!$D$31,Cadrage!$E$31)))</f>
        <v/>
      </c>
      <c r="J941">
        <f>IF($A941="","",IF($D941="V01",Cadrage!$C$32,IF($D941="V02",Cadrage!$D$32,Cadrage!$E$32)))</f>
        <v/>
      </c>
      <c r="K941">
        <f>IF($A941="","",IF($D941="V01",Cadrage!$C$33,IF($D941="V02",Cadrage!$D$33,Cadrage!$E$33)))</f>
        <v/>
      </c>
      <c r="L941">
        <f>IF($A941="","",IF($D941="V01",Cadrage!$C$34,IF($D941="V02",Cadrage!$D$34,Cadrage!$E$34)))</f>
        <v/>
      </c>
      <c r="M941">
        <f>IF($A941="","",IF($D941="V01",Cadrage!$C$35,IF($D941="V02",Cadrage!$D$35,Cadrage!$E$35)))</f>
        <v/>
      </c>
      <c r="N941">
        <f>IF($A941="","",IF($D941="V01",$R$2,IF($D941="V02",$R$3,$R$4)))</f>
        <v/>
      </c>
      <c r="O941">
        <f>IF($A941="","",IF(OR($B941="7062",$B941="706",$B941="708"),$N941,IF($B941="6231",1+$G941,IF($B941="6236",1+$H941,IF(OR($B941="621",$B941="604",$B941="6063"),$N941*(1-$L941),IF(OR($B941="6411",$B941="6413",$B941="6414",$B941="645"),(1+$J941)*(1+$K941),IF(OR($B941="613",$B941="615",$B941="616",$B941="6226",$B941="625",$B941="626",$B941="6281"),(1+$I941)*(1-$L941)*(1+$M941),IF(OR($B941="6331",$B941="63511",$B941="6333"),(1+$I941)*(1-$L941),IF($B941="6811",1+$I941,1)))))))))</f>
        <v/>
      </c>
      <c r="P941">
        <f>IF($A941="","",IF($E941=1,$F941*$O941,PNL!G941))</f>
        <v/>
      </c>
      <c r="T941">
        <f>IF($A941="","",IF($E941=1,IF(OR($B941="7062",$B941="706",$B941="708"),$P941,IF(AND(LEFT($B941,1)="6",$B941&lt;&gt;"6811"),-$P941,0)),0))</f>
        <v/>
      </c>
    </row>
    <row r="942">
      <c r="A942">
        <f>IF(PNL!A942="","",PNL!A942)</f>
        <v/>
      </c>
      <c r="B942">
        <f>IF(PNL!B942="","",PNL!B942)</f>
        <v/>
      </c>
      <c r="C942">
        <f>IF(PNL!C942="","",PNL!C942)</f>
        <v/>
      </c>
      <c r="D942">
        <f>IF(PNL!D942="","",PNL!D942)</f>
        <v/>
      </c>
      <c r="E942">
        <f>IF($A942="","",IF(AND($C942="2027",OR($D942="V01",$D942="V02",$D942="V03")),1,0))</f>
        <v/>
      </c>
      <c r="F942">
        <f>IF($A942="","",IF($E942=1,SUMIFS(Comptabilité!$F$1:$F$675,Comptabilité!$A$1:$A$675,$A942,Comptabilité!$B$1:$B$675,$B942,Comptabilité!$C$1:$C$675,"2026"),0))</f>
        <v/>
      </c>
      <c r="G942">
        <f>IF($A942="","",IF($D942="V01",Cadrage!$C$22,IF($D942="V02",Cadrage!$D$22,Cadrage!$E$22)))</f>
        <v/>
      </c>
      <c r="H942">
        <f>IF($A942="","",IF($D942="V01",Cadrage!$C$23,IF($D942="V02",Cadrage!$D$23,Cadrage!$E$23)))</f>
        <v/>
      </c>
      <c r="I942">
        <f>IF($A942="","",IF($D942="V01",Cadrage!$C$31,IF($D942="V02",Cadrage!$D$31,Cadrage!$E$31)))</f>
        <v/>
      </c>
      <c r="J942">
        <f>IF($A942="","",IF($D942="V01",Cadrage!$C$32,IF($D942="V02",Cadrage!$D$32,Cadrage!$E$32)))</f>
        <v/>
      </c>
      <c r="K942">
        <f>IF($A942="","",IF($D942="V01",Cadrage!$C$33,IF($D942="V02",Cadrage!$D$33,Cadrage!$E$33)))</f>
        <v/>
      </c>
      <c r="L942">
        <f>IF($A942="","",IF($D942="V01",Cadrage!$C$34,IF($D942="V02",Cadrage!$D$34,Cadrage!$E$34)))</f>
        <v/>
      </c>
      <c r="M942">
        <f>IF($A942="","",IF($D942="V01",Cadrage!$C$35,IF($D942="V02",Cadrage!$D$35,Cadrage!$E$35)))</f>
        <v/>
      </c>
      <c r="N942">
        <f>IF($A942="","",IF($D942="V01",$R$2,IF($D942="V02",$R$3,$R$4)))</f>
        <v/>
      </c>
      <c r="O942">
        <f>IF($A942="","",IF(OR($B942="7062",$B942="706",$B942="708"),$N942,IF($B942="6231",1+$G942,IF($B942="6236",1+$H942,IF(OR($B942="621",$B942="604",$B942="6063"),$N942*(1-$L942),IF(OR($B942="6411",$B942="6413",$B942="6414",$B942="645"),(1+$J942)*(1+$K942),IF(OR($B942="613",$B942="615",$B942="616",$B942="6226",$B942="625",$B942="626",$B942="6281"),(1+$I942)*(1-$L942)*(1+$M942),IF(OR($B942="6331",$B942="63511",$B942="6333"),(1+$I942)*(1-$L942),IF($B942="6811",1+$I942,1)))))))))</f>
        <v/>
      </c>
      <c r="P942">
        <f>IF($A942="","",IF($E942=1,$F942*$O942,PNL!G942))</f>
        <v/>
      </c>
      <c r="T942">
        <f>IF($A942="","",IF($E942=1,IF(OR($B942="7062",$B942="706",$B942="708"),$P942,IF(AND(LEFT($B942,1)="6",$B942&lt;&gt;"6811"),-$P942,0)),0))</f>
        <v/>
      </c>
    </row>
    <row r="943">
      <c r="A943">
        <f>IF(PNL!A943="","",PNL!A943)</f>
        <v/>
      </c>
      <c r="B943">
        <f>IF(PNL!B943="","",PNL!B943)</f>
        <v/>
      </c>
      <c r="C943">
        <f>IF(PNL!C943="","",PNL!C943)</f>
        <v/>
      </c>
      <c r="D943">
        <f>IF(PNL!D943="","",PNL!D943)</f>
        <v/>
      </c>
      <c r="E943">
        <f>IF($A943="","",IF(AND($C943="2027",OR($D943="V01",$D943="V02",$D943="V03")),1,0))</f>
        <v/>
      </c>
      <c r="F943">
        <f>IF($A943="","",IF($E943=1,SUMIFS(Comptabilité!$F$1:$F$675,Comptabilité!$A$1:$A$675,$A943,Comptabilité!$B$1:$B$675,$B943,Comptabilité!$C$1:$C$675,"2026"),0))</f>
        <v/>
      </c>
      <c r="G943">
        <f>IF($A943="","",IF($D943="V01",Cadrage!$C$22,IF($D943="V02",Cadrage!$D$22,Cadrage!$E$22)))</f>
        <v/>
      </c>
      <c r="H943">
        <f>IF($A943="","",IF($D943="V01",Cadrage!$C$23,IF($D943="V02",Cadrage!$D$23,Cadrage!$E$23)))</f>
        <v/>
      </c>
      <c r="I943">
        <f>IF($A943="","",IF($D943="V01",Cadrage!$C$31,IF($D943="V02",Cadrage!$D$31,Cadrage!$E$31)))</f>
        <v/>
      </c>
      <c r="J943">
        <f>IF($A943="","",IF($D943="V01",Cadrage!$C$32,IF($D943="V02",Cadrage!$D$32,Cadrage!$E$32)))</f>
        <v/>
      </c>
      <c r="K943">
        <f>IF($A943="","",IF($D943="V01",Cadrage!$C$33,IF($D943="V02",Cadrage!$D$33,Cadrage!$E$33)))</f>
        <v/>
      </c>
      <c r="L943">
        <f>IF($A943="","",IF($D943="V01",Cadrage!$C$34,IF($D943="V02",Cadrage!$D$34,Cadrage!$E$34)))</f>
        <v/>
      </c>
      <c r="M943">
        <f>IF($A943="","",IF($D943="V01",Cadrage!$C$35,IF($D943="V02",Cadrage!$D$35,Cadrage!$E$35)))</f>
        <v/>
      </c>
      <c r="N943">
        <f>IF($A943="","",IF($D943="V01",$R$2,IF($D943="V02",$R$3,$R$4)))</f>
        <v/>
      </c>
      <c r="O943">
        <f>IF($A943="","",IF(OR($B943="7062",$B943="706",$B943="708"),$N943,IF($B943="6231",1+$G943,IF($B943="6236",1+$H943,IF(OR($B943="621",$B943="604",$B943="6063"),$N943*(1-$L943),IF(OR($B943="6411",$B943="6413",$B943="6414",$B943="645"),(1+$J943)*(1+$K943),IF(OR($B943="613",$B943="615",$B943="616",$B943="6226",$B943="625",$B943="626",$B943="6281"),(1+$I943)*(1-$L943)*(1+$M943),IF(OR($B943="6331",$B943="63511",$B943="6333"),(1+$I943)*(1-$L943),IF($B943="6811",1+$I943,1)))))))))</f>
        <v/>
      </c>
      <c r="P943">
        <f>IF($A943="","",IF($E943=1,$F943*$O943,PNL!G943))</f>
        <v/>
      </c>
      <c r="T943">
        <f>IF($A943="","",IF($E943=1,IF(OR($B943="7062",$B943="706",$B943="708"),$P943,IF(AND(LEFT($B943,1)="6",$B943&lt;&gt;"6811"),-$P943,0)),0))</f>
        <v/>
      </c>
    </row>
    <row r="944">
      <c r="A944">
        <f>IF(PNL!A944="","",PNL!A944)</f>
        <v/>
      </c>
      <c r="B944">
        <f>IF(PNL!B944="","",PNL!B944)</f>
        <v/>
      </c>
      <c r="C944">
        <f>IF(PNL!C944="","",PNL!C944)</f>
        <v/>
      </c>
      <c r="D944">
        <f>IF(PNL!D944="","",PNL!D944)</f>
        <v/>
      </c>
      <c r="E944">
        <f>IF($A944="","",IF(AND($C944="2027",OR($D944="V01",$D944="V02",$D944="V03")),1,0))</f>
        <v/>
      </c>
      <c r="F944">
        <f>IF($A944="","",IF($E944=1,SUMIFS(Comptabilité!$F$1:$F$675,Comptabilité!$A$1:$A$675,$A944,Comptabilité!$B$1:$B$675,$B944,Comptabilité!$C$1:$C$675,"2026"),0))</f>
        <v/>
      </c>
      <c r="G944">
        <f>IF($A944="","",IF($D944="V01",Cadrage!$C$22,IF($D944="V02",Cadrage!$D$22,Cadrage!$E$22)))</f>
        <v/>
      </c>
      <c r="H944">
        <f>IF($A944="","",IF($D944="V01",Cadrage!$C$23,IF($D944="V02",Cadrage!$D$23,Cadrage!$E$23)))</f>
        <v/>
      </c>
      <c r="I944">
        <f>IF($A944="","",IF($D944="V01",Cadrage!$C$31,IF($D944="V02",Cadrage!$D$31,Cadrage!$E$31)))</f>
        <v/>
      </c>
      <c r="J944">
        <f>IF($A944="","",IF($D944="V01",Cadrage!$C$32,IF($D944="V02",Cadrage!$D$32,Cadrage!$E$32)))</f>
        <v/>
      </c>
      <c r="K944">
        <f>IF($A944="","",IF($D944="V01",Cadrage!$C$33,IF($D944="V02",Cadrage!$D$33,Cadrage!$E$33)))</f>
        <v/>
      </c>
      <c r="L944">
        <f>IF($A944="","",IF($D944="V01",Cadrage!$C$34,IF($D944="V02",Cadrage!$D$34,Cadrage!$E$34)))</f>
        <v/>
      </c>
      <c r="M944">
        <f>IF($A944="","",IF($D944="V01",Cadrage!$C$35,IF($D944="V02",Cadrage!$D$35,Cadrage!$E$35)))</f>
        <v/>
      </c>
      <c r="N944">
        <f>IF($A944="","",IF($D944="V01",$R$2,IF($D944="V02",$R$3,$R$4)))</f>
        <v/>
      </c>
      <c r="O944">
        <f>IF($A944="","",IF(OR($B944="7062",$B944="706",$B944="708"),$N944,IF($B944="6231",1+$G944,IF($B944="6236",1+$H944,IF(OR($B944="621",$B944="604",$B944="6063"),$N944*(1-$L944),IF(OR($B944="6411",$B944="6413",$B944="6414",$B944="645"),(1+$J944)*(1+$K944),IF(OR($B944="613",$B944="615",$B944="616",$B944="6226",$B944="625",$B944="626",$B944="6281"),(1+$I944)*(1-$L944)*(1+$M944),IF(OR($B944="6331",$B944="63511",$B944="6333"),(1+$I944)*(1-$L944),IF($B944="6811",1+$I944,1)))))))))</f>
        <v/>
      </c>
      <c r="P944">
        <f>IF($A944="","",IF($E944=1,$F944*$O944,PNL!G944))</f>
        <v/>
      </c>
      <c r="T944">
        <f>IF($A944="","",IF($E944=1,IF(OR($B944="7062",$B944="706",$B944="708"),$P944,IF(AND(LEFT($B944,1)="6",$B944&lt;&gt;"6811"),-$P944,0)),0))</f>
        <v/>
      </c>
    </row>
    <row r="945">
      <c r="A945">
        <f>IF(PNL!A945="","",PNL!A945)</f>
        <v/>
      </c>
      <c r="B945">
        <f>IF(PNL!B945="","",PNL!B945)</f>
        <v/>
      </c>
      <c r="C945">
        <f>IF(PNL!C945="","",PNL!C945)</f>
        <v/>
      </c>
      <c r="D945">
        <f>IF(PNL!D945="","",PNL!D945)</f>
        <v/>
      </c>
      <c r="E945">
        <f>IF($A945="","",IF(AND($C945="2027",OR($D945="V01",$D945="V02",$D945="V03")),1,0))</f>
        <v/>
      </c>
      <c r="F945">
        <f>IF($A945="","",IF($E945=1,SUMIFS(Comptabilité!$F$1:$F$675,Comptabilité!$A$1:$A$675,$A945,Comptabilité!$B$1:$B$675,$B945,Comptabilité!$C$1:$C$675,"2026"),0))</f>
        <v/>
      </c>
      <c r="G945">
        <f>IF($A945="","",IF($D945="V01",Cadrage!$C$22,IF($D945="V02",Cadrage!$D$22,Cadrage!$E$22)))</f>
        <v/>
      </c>
      <c r="H945">
        <f>IF($A945="","",IF($D945="V01",Cadrage!$C$23,IF($D945="V02",Cadrage!$D$23,Cadrage!$E$23)))</f>
        <v/>
      </c>
      <c r="I945">
        <f>IF($A945="","",IF($D945="V01",Cadrage!$C$31,IF($D945="V02",Cadrage!$D$31,Cadrage!$E$31)))</f>
        <v/>
      </c>
      <c r="J945">
        <f>IF($A945="","",IF($D945="V01",Cadrage!$C$32,IF($D945="V02",Cadrage!$D$32,Cadrage!$E$32)))</f>
        <v/>
      </c>
      <c r="K945">
        <f>IF($A945="","",IF($D945="V01",Cadrage!$C$33,IF($D945="V02",Cadrage!$D$33,Cadrage!$E$33)))</f>
        <v/>
      </c>
      <c r="L945">
        <f>IF($A945="","",IF($D945="V01",Cadrage!$C$34,IF($D945="V02",Cadrage!$D$34,Cadrage!$E$34)))</f>
        <v/>
      </c>
      <c r="M945">
        <f>IF($A945="","",IF($D945="V01",Cadrage!$C$35,IF($D945="V02",Cadrage!$D$35,Cadrage!$E$35)))</f>
        <v/>
      </c>
      <c r="N945">
        <f>IF($A945="","",IF($D945="V01",$R$2,IF($D945="V02",$R$3,$R$4)))</f>
        <v/>
      </c>
      <c r="O945">
        <f>IF($A945="","",IF(OR($B945="7062",$B945="706",$B945="708"),$N945,IF($B945="6231",1+$G945,IF($B945="6236",1+$H945,IF(OR($B945="621",$B945="604",$B945="6063"),$N945*(1-$L945),IF(OR($B945="6411",$B945="6413",$B945="6414",$B945="645"),(1+$J945)*(1+$K945),IF(OR($B945="613",$B945="615",$B945="616",$B945="6226",$B945="625",$B945="626",$B945="6281"),(1+$I945)*(1-$L945)*(1+$M945),IF(OR($B945="6331",$B945="63511",$B945="6333"),(1+$I945)*(1-$L945),IF($B945="6811",1+$I945,1)))))))))</f>
        <v/>
      </c>
      <c r="P945">
        <f>IF($A945="","",IF($E945=1,$F945*$O945,PNL!G945))</f>
        <v/>
      </c>
      <c r="T945">
        <f>IF($A945="","",IF($E945=1,IF(OR($B945="7062",$B945="706",$B945="708"),$P945,IF(AND(LEFT($B945,1)="6",$B945&lt;&gt;"6811"),-$P945,0)),0))</f>
        <v/>
      </c>
    </row>
    <row r="946">
      <c r="A946">
        <f>IF(PNL!A946="","",PNL!A946)</f>
        <v/>
      </c>
      <c r="B946">
        <f>IF(PNL!B946="","",PNL!B946)</f>
        <v/>
      </c>
      <c r="C946">
        <f>IF(PNL!C946="","",PNL!C946)</f>
        <v/>
      </c>
      <c r="D946">
        <f>IF(PNL!D946="","",PNL!D946)</f>
        <v/>
      </c>
      <c r="E946">
        <f>IF($A946="","",IF(AND($C946="2027",OR($D946="V01",$D946="V02",$D946="V03")),1,0))</f>
        <v/>
      </c>
      <c r="F946">
        <f>IF($A946="","",IF($E946=1,SUMIFS(Comptabilité!$F$1:$F$675,Comptabilité!$A$1:$A$675,$A946,Comptabilité!$B$1:$B$675,$B946,Comptabilité!$C$1:$C$675,"2026"),0))</f>
        <v/>
      </c>
      <c r="G946">
        <f>IF($A946="","",IF($D946="V01",Cadrage!$C$22,IF($D946="V02",Cadrage!$D$22,Cadrage!$E$22)))</f>
        <v/>
      </c>
      <c r="H946">
        <f>IF($A946="","",IF($D946="V01",Cadrage!$C$23,IF($D946="V02",Cadrage!$D$23,Cadrage!$E$23)))</f>
        <v/>
      </c>
      <c r="I946">
        <f>IF($A946="","",IF($D946="V01",Cadrage!$C$31,IF($D946="V02",Cadrage!$D$31,Cadrage!$E$31)))</f>
        <v/>
      </c>
      <c r="J946">
        <f>IF($A946="","",IF($D946="V01",Cadrage!$C$32,IF($D946="V02",Cadrage!$D$32,Cadrage!$E$32)))</f>
        <v/>
      </c>
      <c r="K946">
        <f>IF($A946="","",IF($D946="V01",Cadrage!$C$33,IF($D946="V02",Cadrage!$D$33,Cadrage!$E$33)))</f>
        <v/>
      </c>
      <c r="L946">
        <f>IF($A946="","",IF($D946="V01",Cadrage!$C$34,IF($D946="V02",Cadrage!$D$34,Cadrage!$E$34)))</f>
        <v/>
      </c>
      <c r="M946">
        <f>IF($A946="","",IF($D946="V01",Cadrage!$C$35,IF($D946="V02",Cadrage!$D$35,Cadrage!$E$35)))</f>
        <v/>
      </c>
      <c r="N946">
        <f>IF($A946="","",IF($D946="V01",$R$2,IF($D946="V02",$R$3,$R$4)))</f>
        <v/>
      </c>
      <c r="O946">
        <f>IF($A946="","",IF(OR($B946="7062",$B946="706",$B946="708"),$N946,IF($B946="6231",1+$G946,IF($B946="6236",1+$H946,IF(OR($B946="621",$B946="604",$B946="6063"),$N946*(1-$L946),IF(OR($B946="6411",$B946="6413",$B946="6414",$B946="645"),(1+$J946)*(1+$K946),IF(OR($B946="613",$B946="615",$B946="616",$B946="6226",$B946="625",$B946="626",$B946="6281"),(1+$I946)*(1-$L946)*(1+$M946),IF(OR($B946="6331",$B946="63511",$B946="6333"),(1+$I946)*(1-$L946),IF($B946="6811",1+$I946,1)))))))))</f>
        <v/>
      </c>
      <c r="P946">
        <f>IF($A946="","",IF($E946=1,$F946*$O946,PNL!G946))</f>
        <v/>
      </c>
      <c r="T946">
        <f>IF($A946="","",IF($E946=1,IF(OR($B946="7062",$B946="706",$B946="708"),$P946,IF(AND(LEFT($B946,1)="6",$B946&lt;&gt;"6811"),-$P946,0)),0))</f>
        <v/>
      </c>
    </row>
    <row r="947">
      <c r="A947">
        <f>IF(PNL!A947="","",PNL!A947)</f>
        <v/>
      </c>
      <c r="B947">
        <f>IF(PNL!B947="","",PNL!B947)</f>
        <v/>
      </c>
      <c r="C947">
        <f>IF(PNL!C947="","",PNL!C947)</f>
        <v/>
      </c>
      <c r="D947">
        <f>IF(PNL!D947="","",PNL!D947)</f>
        <v/>
      </c>
      <c r="E947">
        <f>IF($A947="","",IF(AND($C947="2027",OR($D947="V01",$D947="V02",$D947="V03")),1,0))</f>
        <v/>
      </c>
      <c r="F947">
        <f>IF($A947="","",IF($E947=1,SUMIFS(Comptabilité!$F$1:$F$675,Comptabilité!$A$1:$A$675,$A947,Comptabilité!$B$1:$B$675,$B947,Comptabilité!$C$1:$C$675,"2026"),0))</f>
        <v/>
      </c>
      <c r="G947">
        <f>IF($A947="","",IF($D947="V01",Cadrage!$C$22,IF($D947="V02",Cadrage!$D$22,Cadrage!$E$22)))</f>
        <v/>
      </c>
      <c r="H947">
        <f>IF($A947="","",IF($D947="V01",Cadrage!$C$23,IF($D947="V02",Cadrage!$D$23,Cadrage!$E$23)))</f>
        <v/>
      </c>
      <c r="I947">
        <f>IF($A947="","",IF($D947="V01",Cadrage!$C$31,IF($D947="V02",Cadrage!$D$31,Cadrage!$E$31)))</f>
        <v/>
      </c>
      <c r="J947">
        <f>IF($A947="","",IF($D947="V01",Cadrage!$C$32,IF($D947="V02",Cadrage!$D$32,Cadrage!$E$32)))</f>
        <v/>
      </c>
      <c r="K947">
        <f>IF($A947="","",IF($D947="V01",Cadrage!$C$33,IF($D947="V02",Cadrage!$D$33,Cadrage!$E$33)))</f>
        <v/>
      </c>
      <c r="L947">
        <f>IF($A947="","",IF($D947="V01",Cadrage!$C$34,IF($D947="V02",Cadrage!$D$34,Cadrage!$E$34)))</f>
        <v/>
      </c>
      <c r="M947">
        <f>IF($A947="","",IF($D947="V01",Cadrage!$C$35,IF($D947="V02",Cadrage!$D$35,Cadrage!$E$35)))</f>
        <v/>
      </c>
      <c r="N947">
        <f>IF($A947="","",IF($D947="V01",$R$2,IF($D947="V02",$R$3,$R$4)))</f>
        <v/>
      </c>
      <c r="O947">
        <f>IF($A947="","",IF(OR($B947="7062",$B947="706",$B947="708"),$N947,IF($B947="6231",1+$G947,IF($B947="6236",1+$H947,IF(OR($B947="621",$B947="604",$B947="6063"),$N947*(1-$L947),IF(OR($B947="6411",$B947="6413",$B947="6414",$B947="645"),(1+$J947)*(1+$K947),IF(OR($B947="613",$B947="615",$B947="616",$B947="6226",$B947="625",$B947="626",$B947="6281"),(1+$I947)*(1-$L947)*(1+$M947),IF(OR($B947="6331",$B947="63511",$B947="6333"),(1+$I947)*(1-$L947),IF($B947="6811",1+$I947,1)))))))))</f>
        <v/>
      </c>
      <c r="P947">
        <f>IF($A947="","",IF($E947=1,$F947*$O947,PNL!G947))</f>
        <v/>
      </c>
      <c r="T947">
        <f>IF($A947="","",IF($E947=1,IF(OR($B947="7062",$B947="706",$B947="708"),$P947,IF(AND(LEFT($B947,1)="6",$B947&lt;&gt;"6811"),-$P947,0)),0))</f>
        <v/>
      </c>
    </row>
    <row r="948">
      <c r="A948">
        <f>IF(PNL!A948="","",PNL!A948)</f>
        <v/>
      </c>
      <c r="B948">
        <f>IF(PNL!B948="","",PNL!B948)</f>
        <v/>
      </c>
      <c r="C948">
        <f>IF(PNL!C948="","",PNL!C948)</f>
        <v/>
      </c>
      <c r="D948">
        <f>IF(PNL!D948="","",PNL!D948)</f>
        <v/>
      </c>
      <c r="E948">
        <f>IF($A948="","",IF(AND($C948="2027",OR($D948="V01",$D948="V02",$D948="V03")),1,0))</f>
        <v/>
      </c>
      <c r="F948">
        <f>IF($A948="","",IF($E948=1,SUMIFS(Comptabilité!$F$1:$F$675,Comptabilité!$A$1:$A$675,$A948,Comptabilité!$B$1:$B$675,$B948,Comptabilité!$C$1:$C$675,"2026"),0))</f>
        <v/>
      </c>
      <c r="G948">
        <f>IF($A948="","",IF($D948="V01",Cadrage!$C$22,IF($D948="V02",Cadrage!$D$22,Cadrage!$E$22)))</f>
        <v/>
      </c>
      <c r="H948">
        <f>IF($A948="","",IF($D948="V01",Cadrage!$C$23,IF($D948="V02",Cadrage!$D$23,Cadrage!$E$23)))</f>
        <v/>
      </c>
      <c r="I948">
        <f>IF($A948="","",IF($D948="V01",Cadrage!$C$31,IF($D948="V02",Cadrage!$D$31,Cadrage!$E$31)))</f>
        <v/>
      </c>
      <c r="J948">
        <f>IF($A948="","",IF($D948="V01",Cadrage!$C$32,IF($D948="V02",Cadrage!$D$32,Cadrage!$E$32)))</f>
        <v/>
      </c>
      <c r="K948">
        <f>IF($A948="","",IF($D948="V01",Cadrage!$C$33,IF($D948="V02",Cadrage!$D$33,Cadrage!$E$33)))</f>
        <v/>
      </c>
      <c r="L948">
        <f>IF($A948="","",IF($D948="V01",Cadrage!$C$34,IF($D948="V02",Cadrage!$D$34,Cadrage!$E$34)))</f>
        <v/>
      </c>
      <c r="M948">
        <f>IF($A948="","",IF($D948="V01",Cadrage!$C$35,IF($D948="V02",Cadrage!$D$35,Cadrage!$E$35)))</f>
        <v/>
      </c>
      <c r="N948">
        <f>IF($A948="","",IF($D948="V01",$R$2,IF($D948="V02",$R$3,$R$4)))</f>
        <v/>
      </c>
      <c r="O948">
        <f>IF($A948="","",IF(OR($B948="7062",$B948="706",$B948="708"),$N948,IF($B948="6231",1+$G948,IF($B948="6236",1+$H948,IF(OR($B948="621",$B948="604",$B948="6063"),$N948*(1-$L948),IF(OR($B948="6411",$B948="6413",$B948="6414",$B948="645"),(1+$J948)*(1+$K948),IF(OR($B948="613",$B948="615",$B948="616",$B948="6226",$B948="625",$B948="626",$B948="6281"),(1+$I948)*(1-$L948)*(1+$M948),IF(OR($B948="6331",$B948="63511",$B948="6333"),(1+$I948)*(1-$L948),IF($B948="6811",1+$I948,1)))))))))</f>
        <v/>
      </c>
      <c r="P948">
        <f>IF($A948="","",IF($E948=1,$F948*$O948,PNL!G948))</f>
        <v/>
      </c>
      <c r="T948">
        <f>IF($A948="","",IF($E948=1,IF(OR($B948="7062",$B948="706",$B948="708"),$P948,IF(AND(LEFT($B948,1)="6",$B948&lt;&gt;"6811"),-$P948,0)),0))</f>
        <v/>
      </c>
    </row>
    <row r="949">
      <c r="A949">
        <f>IF(PNL!A949="","",PNL!A949)</f>
        <v/>
      </c>
      <c r="B949">
        <f>IF(PNL!B949="","",PNL!B949)</f>
        <v/>
      </c>
      <c r="C949">
        <f>IF(PNL!C949="","",PNL!C949)</f>
        <v/>
      </c>
      <c r="D949">
        <f>IF(PNL!D949="","",PNL!D949)</f>
        <v/>
      </c>
      <c r="E949">
        <f>IF($A949="","",IF(AND($C949="2027",OR($D949="V01",$D949="V02",$D949="V03")),1,0))</f>
        <v/>
      </c>
      <c r="F949">
        <f>IF($A949="","",IF($E949=1,SUMIFS(Comptabilité!$F$1:$F$675,Comptabilité!$A$1:$A$675,$A949,Comptabilité!$B$1:$B$675,$B949,Comptabilité!$C$1:$C$675,"2026"),0))</f>
        <v/>
      </c>
      <c r="G949">
        <f>IF($A949="","",IF($D949="V01",Cadrage!$C$22,IF($D949="V02",Cadrage!$D$22,Cadrage!$E$22)))</f>
        <v/>
      </c>
      <c r="H949">
        <f>IF($A949="","",IF($D949="V01",Cadrage!$C$23,IF($D949="V02",Cadrage!$D$23,Cadrage!$E$23)))</f>
        <v/>
      </c>
      <c r="I949">
        <f>IF($A949="","",IF($D949="V01",Cadrage!$C$31,IF($D949="V02",Cadrage!$D$31,Cadrage!$E$31)))</f>
        <v/>
      </c>
      <c r="J949">
        <f>IF($A949="","",IF($D949="V01",Cadrage!$C$32,IF($D949="V02",Cadrage!$D$32,Cadrage!$E$32)))</f>
        <v/>
      </c>
      <c r="K949">
        <f>IF($A949="","",IF($D949="V01",Cadrage!$C$33,IF($D949="V02",Cadrage!$D$33,Cadrage!$E$33)))</f>
        <v/>
      </c>
      <c r="L949">
        <f>IF($A949="","",IF($D949="V01",Cadrage!$C$34,IF($D949="V02",Cadrage!$D$34,Cadrage!$E$34)))</f>
        <v/>
      </c>
      <c r="M949">
        <f>IF($A949="","",IF($D949="V01",Cadrage!$C$35,IF($D949="V02",Cadrage!$D$35,Cadrage!$E$35)))</f>
        <v/>
      </c>
      <c r="N949">
        <f>IF($A949="","",IF($D949="V01",$R$2,IF($D949="V02",$R$3,$R$4)))</f>
        <v/>
      </c>
      <c r="O949">
        <f>IF($A949="","",IF(OR($B949="7062",$B949="706",$B949="708"),$N949,IF($B949="6231",1+$G949,IF($B949="6236",1+$H949,IF(OR($B949="621",$B949="604",$B949="6063"),$N949*(1-$L949),IF(OR($B949="6411",$B949="6413",$B949="6414",$B949="645"),(1+$J949)*(1+$K949),IF(OR($B949="613",$B949="615",$B949="616",$B949="6226",$B949="625",$B949="626",$B949="6281"),(1+$I949)*(1-$L949)*(1+$M949),IF(OR($B949="6331",$B949="63511",$B949="6333"),(1+$I949)*(1-$L949),IF($B949="6811",1+$I949,1)))))))))</f>
        <v/>
      </c>
      <c r="P949">
        <f>IF($A949="","",IF($E949=1,$F949*$O949,PNL!G949))</f>
        <v/>
      </c>
      <c r="T949">
        <f>IF($A949="","",IF($E949=1,IF(OR($B949="7062",$B949="706",$B949="708"),$P949,IF(AND(LEFT($B949,1)="6",$B949&lt;&gt;"6811"),-$P949,0)),0))</f>
        <v/>
      </c>
    </row>
    <row r="950">
      <c r="A950">
        <f>IF(PNL!A950="","",PNL!A950)</f>
        <v/>
      </c>
      <c r="B950">
        <f>IF(PNL!B950="","",PNL!B950)</f>
        <v/>
      </c>
      <c r="C950">
        <f>IF(PNL!C950="","",PNL!C950)</f>
        <v/>
      </c>
      <c r="D950">
        <f>IF(PNL!D950="","",PNL!D950)</f>
        <v/>
      </c>
      <c r="E950">
        <f>IF($A950="","",IF(AND($C950="2027",OR($D950="V01",$D950="V02",$D950="V03")),1,0))</f>
        <v/>
      </c>
      <c r="F950">
        <f>IF($A950="","",IF($E950=1,SUMIFS(Comptabilité!$F$1:$F$675,Comptabilité!$A$1:$A$675,$A950,Comptabilité!$B$1:$B$675,$B950,Comptabilité!$C$1:$C$675,"2026"),0))</f>
        <v/>
      </c>
      <c r="G950">
        <f>IF($A950="","",IF($D950="V01",Cadrage!$C$22,IF($D950="V02",Cadrage!$D$22,Cadrage!$E$22)))</f>
        <v/>
      </c>
      <c r="H950">
        <f>IF($A950="","",IF($D950="V01",Cadrage!$C$23,IF($D950="V02",Cadrage!$D$23,Cadrage!$E$23)))</f>
        <v/>
      </c>
      <c r="I950">
        <f>IF($A950="","",IF($D950="V01",Cadrage!$C$31,IF($D950="V02",Cadrage!$D$31,Cadrage!$E$31)))</f>
        <v/>
      </c>
      <c r="J950">
        <f>IF($A950="","",IF($D950="V01",Cadrage!$C$32,IF($D950="V02",Cadrage!$D$32,Cadrage!$E$32)))</f>
        <v/>
      </c>
      <c r="K950">
        <f>IF($A950="","",IF($D950="V01",Cadrage!$C$33,IF($D950="V02",Cadrage!$D$33,Cadrage!$E$33)))</f>
        <v/>
      </c>
      <c r="L950">
        <f>IF($A950="","",IF($D950="V01",Cadrage!$C$34,IF($D950="V02",Cadrage!$D$34,Cadrage!$E$34)))</f>
        <v/>
      </c>
      <c r="M950">
        <f>IF($A950="","",IF($D950="V01",Cadrage!$C$35,IF($D950="V02",Cadrage!$D$35,Cadrage!$E$35)))</f>
        <v/>
      </c>
      <c r="N950">
        <f>IF($A950="","",IF($D950="V01",$R$2,IF($D950="V02",$R$3,$R$4)))</f>
        <v/>
      </c>
      <c r="O950">
        <f>IF($A950="","",IF(OR($B950="7062",$B950="706",$B950="708"),$N950,IF($B950="6231",1+$G950,IF($B950="6236",1+$H950,IF(OR($B950="621",$B950="604",$B950="6063"),$N950*(1-$L950),IF(OR($B950="6411",$B950="6413",$B950="6414",$B950="645"),(1+$J950)*(1+$K950),IF(OR($B950="613",$B950="615",$B950="616",$B950="6226",$B950="625",$B950="626",$B950="6281"),(1+$I950)*(1-$L950)*(1+$M950),IF(OR($B950="6331",$B950="63511",$B950="6333"),(1+$I950)*(1-$L950),IF($B950="6811",1+$I950,1)))))))))</f>
        <v/>
      </c>
      <c r="P950">
        <f>IF($A950="","",IF($E950=1,$F950*$O950,PNL!G950))</f>
        <v/>
      </c>
      <c r="T950">
        <f>IF($A950="","",IF($E950=1,IF(OR($B950="7062",$B950="706",$B950="708"),$P950,IF(AND(LEFT($B950,1)="6",$B950&lt;&gt;"6811"),-$P950,0)),0))</f>
        <v/>
      </c>
    </row>
    <row r="951">
      <c r="A951">
        <f>IF(PNL!A951="","",PNL!A951)</f>
        <v/>
      </c>
      <c r="B951">
        <f>IF(PNL!B951="","",PNL!B951)</f>
        <v/>
      </c>
      <c r="C951">
        <f>IF(PNL!C951="","",PNL!C951)</f>
        <v/>
      </c>
      <c r="D951">
        <f>IF(PNL!D951="","",PNL!D951)</f>
        <v/>
      </c>
      <c r="E951">
        <f>IF($A951="","",IF(AND($C951="2027",OR($D951="V01",$D951="V02",$D951="V03")),1,0))</f>
        <v/>
      </c>
      <c r="F951">
        <f>IF($A951="","",IF($E951=1,SUMIFS(Comptabilité!$F$1:$F$675,Comptabilité!$A$1:$A$675,$A951,Comptabilité!$B$1:$B$675,$B951,Comptabilité!$C$1:$C$675,"2026"),0))</f>
        <v/>
      </c>
      <c r="G951">
        <f>IF($A951="","",IF($D951="V01",Cadrage!$C$22,IF($D951="V02",Cadrage!$D$22,Cadrage!$E$22)))</f>
        <v/>
      </c>
      <c r="H951">
        <f>IF($A951="","",IF($D951="V01",Cadrage!$C$23,IF($D951="V02",Cadrage!$D$23,Cadrage!$E$23)))</f>
        <v/>
      </c>
      <c r="I951">
        <f>IF($A951="","",IF($D951="V01",Cadrage!$C$31,IF($D951="V02",Cadrage!$D$31,Cadrage!$E$31)))</f>
        <v/>
      </c>
      <c r="J951">
        <f>IF($A951="","",IF($D951="V01",Cadrage!$C$32,IF($D951="V02",Cadrage!$D$32,Cadrage!$E$32)))</f>
        <v/>
      </c>
      <c r="K951">
        <f>IF($A951="","",IF($D951="V01",Cadrage!$C$33,IF($D951="V02",Cadrage!$D$33,Cadrage!$E$33)))</f>
        <v/>
      </c>
      <c r="L951">
        <f>IF($A951="","",IF($D951="V01",Cadrage!$C$34,IF($D951="V02",Cadrage!$D$34,Cadrage!$E$34)))</f>
        <v/>
      </c>
      <c r="M951">
        <f>IF($A951="","",IF($D951="V01",Cadrage!$C$35,IF($D951="V02",Cadrage!$D$35,Cadrage!$E$35)))</f>
        <v/>
      </c>
      <c r="N951">
        <f>IF($A951="","",IF($D951="V01",$R$2,IF($D951="V02",$R$3,$R$4)))</f>
        <v/>
      </c>
      <c r="O951">
        <f>IF($A951="","",IF(OR($B951="7062",$B951="706",$B951="708"),$N951,IF($B951="6231",1+$G951,IF($B951="6236",1+$H951,IF(OR($B951="621",$B951="604",$B951="6063"),$N951*(1-$L951),IF(OR($B951="6411",$B951="6413",$B951="6414",$B951="645"),(1+$J951)*(1+$K951),IF(OR($B951="613",$B951="615",$B951="616",$B951="6226",$B951="625",$B951="626",$B951="6281"),(1+$I951)*(1-$L951)*(1+$M951),IF(OR($B951="6331",$B951="63511",$B951="6333"),(1+$I951)*(1-$L951),IF($B951="6811",1+$I951,1)))))))))</f>
        <v/>
      </c>
      <c r="P951">
        <f>IF($A951="","",IF($E951=1,$F951*$O951,PNL!G951))</f>
        <v/>
      </c>
      <c r="T951">
        <f>IF($A951="","",IF($E951=1,IF(OR($B951="7062",$B951="706",$B951="708"),$P951,IF(AND(LEFT($B951,1)="6",$B951&lt;&gt;"6811"),-$P951,0)),0))</f>
        <v/>
      </c>
    </row>
    <row r="952">
      <c r="A952">
        <f>IF(PNL!A952="","",PNL!A952)</f>
        <v/>
      </c>
      <c r="B952">
        <f>IF(PNL!B952="","",PNL!B952)</f>
        <v/>
      </c>
      <c r="C952">
        <f>IF(PNL!C952="","",PNL!C952)</f>
        <v/>
      </c>
      <c r="D952">
        <f>IF(PNL!D952="","",PNL!D952)</f>
        <v/>
      </c>
      <c r="E952">
        <f>IF($A952="","",IF(AND($C952="2027",OR($D952="V01",$D952="V02",$D952="V03")),1,0))</f>
        <v/>
      </c>
      <c r="F952">
        <f>IF($A952="","",IF($E952=1,SUMIFS(Comptabilité!$F$1:$F$675,Comptabilité!$A$1:$A$675,$A952,Comptabilité!$B$1:$B$675,$B952,Comptabilité!$C$1:$C$675,"2026"),0))</f>
        <v/>
      </c>
      <c r="G952">
        <f>IF($A952="","",IF($D952="V01",Cadrage!$C$22,IF($D952="V02",Cadrage!$D$22,Cadrage!$E$22)))</f>
        <v/>
      </c>
      <c r="H952">
        <f>IF($A952="","",IF($D952="V01",Cadrage!$C$23,IF($D952="V02",Cadrage!$D$23,Cadrage!$E$23)))</f>
        <v/>
      </c>
      <c r="I952">
        <f>IF($A952="","",IF($D952="V01",Cadrage!$C$31,IF($D952="V02",Cadrage!$D$31,Cadrage!$E$31)))</f>
        <v/>
      </c>
      <c r="J952">
        <f>IF($A952="","",IF($D952="V01",Cadrage!$C$32,IF($D952="V02",Cadrage!$D$32,Cadrage!$E$32)))</f>
        <v/>
      </c>
      <c r="K952">
        <f>IF($A952="","",IF($D952="V01",Cadrage!$C$33,IF($D952="V02",Cadrage!$D$33,Cadrage!$E$33)))</f>
        <v/>
      </c>
      <c r="L952">
        <f>IF($A952="","",IF($D952="V01",Cadrage!$C$34,IF($D952="V02",Cadrage!$D$34,Cadrage!$E$34)))</f>
        <v/>
      </c>
      <c r="M952">
        <f>IF($A952="","",IF($D952="V01",Cadrage!$C$35,IF($D952="V02",Cadrage!$D$35,Cadrage!$E$35)))</f>
        <v/>
      </c>
      <c r="N952">
        <f>IF($A952="","",IF($D952="V01",$R$2,IF($D952="V02",$R$3,$R$4)))</f>
        <v/>
      </c>
      <c r="O952">
        <f>IF($A952="","",IF(OR($B952="7062",$B952="706",$B952="708"),$N952,IF($B952="6231",1+$G952,IF($B952="6236",1+$H952,IF(OR($B952="621",$B952="604",$B952="6063"),$N952*(1-$L952),IF(OR($B952="6411",$B952="6413",$B952="6414",$B952="645"),(1+$J952)*(1+$K952),IF(OR($B952="613",$B952="615",$B952="616",$B952="6226",$B952="625",$B952="626",$B952="6281"),(1+$I952)*(1-$L952)*(1+$M952),IF(OR($B952="6331",$B952="63511",$B952="6333"),(1+$I952)*(1-$L952),IF($B952="6811",1+$I952,1)))))))))</f>
        <v/>
      </c>
      <c r="P952">
        <f>IF($A952="","",IF($E952=1,$F952*$O952,PNL!G952))</f>
        <v/>
      </c>
      <c r="T952">
        <f>IF($A952="","",IF($E952=1,IF(OR($B952="7062",$B952="706",$B952="708"),$P952,IF(AND(LEFT($B952,1)="6",$B952&lt;&gt;"6811"),-$P952,0)),0))</f>
        <v/>
      </c>
    </row>
    <row r="953">
      <c r="A953">
        <f>IF(PNL!A953="","",PNL!A953)</f>
        <v/>
      </c>
      <c r="B953">
        <f>IF(PNL!B953="","",PNL!B953)</f>
        <v/>
      </c>
      <c r="C953">
        <f>IF(PNL!C953="","",PNL!C953)</f>
        <v/>
      </c>
      <c r="D953">
        <f>IF(PNL!D953="","",PNL!D953)</f>
        <v/>
      </c>
      <c r="E953">
        <f>IF($A953="","",IF(AND($C953="2027",OR($D953="V01",$D953="V02",$D953="V03")),1,0))</f>
        <v/>
      </c>
      <c r="F953">
        <f>IF($A953="","",IF($E953=1,SUMIFS(Comptabilité!$F$1:$F$675,Comptabilité!$A$1:$A$675,$A953,Comptabilité!$B$1:$B$675,$B953,Comptabilité!$C$1:$C$675,"2026"),0))</f>
        <v/>
      </c>
      <c r="G953">
        <f>IF($A953="","",IF($D953="V01",Cadrage!$C$22,IF($D953="V02",Cadrage!$D$22,Cadrage!$E$22)))</f>
        <v/>
      </c>
      <c r="H953">
        <f>IF($A953="","",IF($D953="V01",Cadrage!$C$23,IF($D953="V02",Cadrage!$D$23,Cadrage!$E$23)))</f>
        <v/>
      </c>
      <c r="I953">
        <f>IF($A953="","",IF($D953="V01",Cadrage!$C$31,IF($D953="V02",Cadrage!$D$31,Cadrage!$E$31)))</f>
        <v/>
      </c>
      <c r="J953">
        <f>IF($A953="","",IF($D953="V01",Cadrage!$C$32,IF($D953="V02",Cadrage!$D$32,Cadrage!$E$32)))</f>
        <v/>
      </c>
      <c r="K953">
        <f>IF($A953="","",IF($D953="V01",Cadrage!$C$33,IF($D953="V02",Cadrage!$D$33,Cadrage!$E$33)))</f>
        <v/>
      </c>
      <c r="L953">
        <f>IF($A953="","",IF($D953="V01",Cadrage!$C$34,IF($D953="V02",Cadrage!$D$34,Cadrage!$E$34)))</f>
        <v/>
      </c>
      <c r="M953">
        <f>IF($A953="","",IF($D953="V01",Cadrage!$C$35,IF($D953="V02",Cadrage!$D$35,Cadrage!$E$35)))</f>
        <v/>
      </c>
      <c r="N953">
        <f>IF($A953="","",IF($D953="V01",$R$2,IF($D953="V02",$R$3,$R$4)))</f>
        <v/>
      </c>
      <c r="O953">
        <f>IF($A953="","",IF(OR($B953="7062",$B953="706",$B953="708"),$N953,IF($B953="6231",1+$G953,IF($B953="6236",1+$H953,IF(OR($B953="621",$B953="604",$B953="6063"),$N953*(1-$L953),IF(OR($B953="6411",$B953="6413",$B953="6414",$B953="645"),(1+$J953)*(1+$K953),IF(OR($B953="613",$B953="615",$B953="616",$B953="6226",$B953="625",$B953="626",$B953="6281"),(1+$I953)*(1-$L953)*(1+$M953),IF(OR($B953="6331",$B953="63511",$B953="6333"),(1+$I953)*(1-$L953),IF($B953="6811",1+$I953,1)))))))))</f>
        <v/>
      </c>
      <c r="P953">
        <f>IF($A953="","",IF($E953=1,$F953*$O953,PNL!G953))</f>
        <v/>
      </c>
      <c r="T953">
        <f>IF($A953="","",IF($E953=1,IF(OR($B953="7062",$B953="706",$B953="708"),$P953,IF(AND(LEFT($B953,1)="6",$B953&lt;&gt;"6811"),-$P953,0)),0))</f>
        <v/>
      </c>
    </row>
    <row r="954">
      <c r="A954">
        <f>IF(PNL!A954="","",PNL!A954)</f>
        <v/>
      </c>
      <c r="B954">
        <f>IF(PNL!B954="","",PNL!B954)</f>
        <v/>
      </c>
      <c r="C954">
        <f>IF(PNL!C954="","",PNL!C954)</f>
        <v/>
      </c>
      <c r="D954">
        <f>IF(PNL!D954="","",PNL!D954)</f>
        <v/>
      </c>
      <c r="E954">
        <f>IF($A954="","",IF(AND($C954="2027",OR($D954="V01",$D954="V02",$D954="V03")),1,0))</f>
        <v/>
      </c>
      <c r="F954">
        <f>IF($A954="","",IF($E954=1,SUMIFS(Comptabilité!$F$1:$F$675,Comptabilité!$A$1:$A$675,$A954,Comptabilité!$B$1:$B$675,$B954,Comptabilité!$C$1:$C$675,"2026"),0))</f>
        <v/>
      </c>
      <c r="G954">
        <f>IF($A954="","",IF($D954="V01",Cadrage!$C$22,IF($D954="V02",Cadrage!$D$22,Cadrage!$E$22)))</f>
        <v/>
      </c>
      <c r="H954">
        <f>IF($A954="","",IF($D954="V01",Cadrage!$C$23,IF($D954="V02",Cadrage!$D$23,Cadrage!$E$23)))</f>
        <v/>
      </c>
      <c r="I954">
        <f>IF($A954="","",IF($D954="V01",Cadrage!$C$31,IF($D954="V02",Cadrage!$D$31,Cadrage!$E$31)))</f>
        <v/>
      </c>
      <c r="J954">
        <f>IF($A954="","",IF($D954="V01",Cadrage!$C$32,IF($D954="V02",Cadrage!$D$32,Cadrage!$E$32)))</f>
        <v/>
      </c>
      <c r="K954">
        <f>IF($A954="","",IF($D954="V01",Cadrage!$C$33,IF($D954="V02",Cadrage!$D$33,Cadrage!$E$33)))</f>
        <v/>
      </c>
      <c r="L954">
        <f>IF($A954="","",IF($D954="V01",Cadrage!$C$34,IF($D954="V02",Cadrage!$D$34,Cadrage!$E$34)))</f>
        <v/>
      </c>
      <c r="M954">
        <f>IF($A954="","",IF($D954="V01",Cadrage!$C$35,IF($D954="V02",Cadrage!$D$35,Cadrage!$E$35)))</f>
        <v/>
      </c>
      <c r="N954">
        <f>IF($A954="","",IF($D954="V01",$R$2,IF($D954="V02",$R$3,$R$4)))</f>
        <v/>
      </c>
      <c r="O954">
        <f>IF($A954="","",IF(OR($B954="7062",$B954="706",$B954="708"),$N954,IF($B954="6231",1+$G954,IF($B954="6236",1+$H954,IF(OR($B954="621",$B954="604",$B954="6063"),$N954*(1-$L954),IF(OR($B954="6411",$B954="6413",$B954="6414",$B954="645"),(1+$J954)*(1+$K954),IF(OR($B954="613",$B954="615",$B954="616",$B954="6226",$B954="625",$B954="626",$B954="6281"),(1+$I954)*(1-$L954)*(1+$M954),IF(OR($B954="6331",$B954="63511",$B954="6333"),(1+$I954)*(1-$L954),IF($B954="6811",1+$I954,1)))))))))</f>
        <v/>
      </c>
      <c r="P954">
        <f>IF($A954="","",IF($E954=1,$F954*$O954,PNL!G954))</f>
        <v/>
      </c>
      <c r="T954">
        <f>IF($A954="","",IF($E954=1,IF(OR($B954="7062",$B954="706",$B954="708"),$P954,IF(AND(LEFT($B954,1)="6",$B954&lt;&gt;"6811"),-$P954,0)),0))</f>
        <v/>
      </c>
    </row>
    <row r="955">
      <c r="A955">
        <f>IF(PNL!A955="","",PNL!A955)</f>
        <v/>
      </c>
      <c r="B955">
        <f>IF(PNL!B955="","",PNL!B955)</f>
        <v/>
      </c>
      <c r="C955">
        <f>IF(PNL!C955="","",PNL!C955)</f>
        <v/>
      </c>
      <c r="D955">
        <f>IF(PNL!D955="","",PNL!D955)</f>
        <v/>
      </c>
      <c r="E955">
        <f>IF($A955="","",IF(AND($C955="2027",OR($D955="V01",$D955="V02",$D955="V03")),1,0))</f>
        <v/>
      </c>
      <c r="F955">
        <f>IF($A955="","",IF($E955=1,SUMIFS(Comptabilité!$F$1:$F$675,Comptabilité!$A$1:$A$675,$A955,Comptabilité!$B$1:$B$675,$B955,Comptabilité!$C$1:$C$675,"2026"),0))</f>
        <v/>
      </c>
      <c r="G955">
        <f>IF($A955="","",IF($D955="V01",Cadrage!$C$22,IF($D955="V02",Cadrage!$D$22,Cadrage!$E$22)))</f>
        <v/>
      </c>
      <c r="H955">
        <f>IF($A955="","",IF($D955="V01",Cadrage!$C$23,IF($D955="V02",Cadrage!$D$23,Cadrage!$E$23)))</f>
        <v/>
      </c>
      <c r="I955">
        <f>IF($A955="","",IF($D955="V01",Cadrage!$C$31,IF($D955="V02",Cadrage!$D$31,Cadrage!$E$31)))</f>
        <v/>
      </c>
      <c r="J955">
        <f>IF($A955="","",IF($D955="V01",Cadrage!$C$32,IF($D955="V02",Cadrage!$D$32,Cadrage!$E$32)))</f>
        <v/>
      </c>
      <c r="K955">
        <f>IF($A955="","",IF($D955="V01",Cadrage!$C$33,IF($D955="V02",Cadrage!$D$33,Cadrage!$E$33)))</f>
        <v/>
      </c>
      <c r="L955">
        <f>IF($A955="","",IF($D955="V01",Cadrage!$C$34,IF($D955="V02",Cadrage!$D$34,Cadrage!$E$34)))</f>
        <v/>
      </c>
      <c r="M955">
        <f>IF($A955="","",IF($D955="V01",Cadrage!$C$35,IF($D955="V02",Cadrage!$D$35,Cadrage!$E$35)))</f>
        <v/>
      </c>
      <c r="N955">
        <f>IF($A955="","",IF($D955="V01",$R$2,IF($D955="V02",$R$3,$R$4)))</f>
        <v/>
      </c>
      <c r="O955">
        <f>IF($A955="","",IF(OR($B955="7062",$B955="706",$B955="708"),$N955,IF($B955="6231",1+$G955,IF($B955="6236",1+$H955,IF(OR($B955="621",$B955="604",$B955="6063"),$N955*(1-$L955),IF(OR($B955="6411",$B955="6413",$B955="6414",$B955="645"),(1+$J955)*(1+$K955),IF(OR($B955="613",$B955="615",$B955="616",$B955="6226",$B955="625",$B955="626",$B955="6281"),(1+$I955)*(1-$L955)*(1+$M955),IF(OR($B955="6331",$B955="63511",$B955="6333"),(1+$I955)*(1-$L955),IF($B955="6811",1+$I955,1)))))))))</f>
        <v/>
      </c>
      <c r="P955">
        <f>IF($A955="","",IF($E955=1,$F955*$O955,PNL!G955))</f>
        <v/>
      </c>
      <c r="T955">
        <f>IF($A955="","",IF($E955=1,IF(OR($B955="7062",$B955="706",$B955="708"),$P955,IF(AND(LEFT($B955,1)="6",$B955&lt;&gt;"6811"),-$P955,0)),0))</f>
        <v/>
      </c>
    </row>
    <row r="956">
      <c r="A956">
        <f>IF(PNL!A956="","",PNL!A956)</f>
        <v/>
      </c>
      <c r="B956">
        <f>IF(PNL!B956="","",PNL!B956)</f>
        <v/>
      </c>
      <c r="C956">
        <f>IF(PNL!C956="","",PNL!C956)</f>
        <v/>
      </c>
      <c r="D956">
        <f>IF(PNL!D956="","",PNL!D956)</f>
        <v/>
      </c>
      <c r="E956">
        <f>IF($A956="","",IF(AND($C956="2027",OR($D956="V01",$D956="V02",$D956="V03")),1,0))</f>
        <v/>
      </c>
      <c r="F956">
        <f>IF($A956="","",IF($E956=1,SUMIFS(Comptabilité!$F$1:$F$675,Comptabilité!$A$1:$A$675,$A956,Comptabilité!$B$1:$B$675,$B956,Comptabilité!$C$1:$C$675,"2026"),0))</f>
        <v/>
      </c>
      <c r="G956">
        <f>IF($A956="","",IF($D956="V01",Cadrage!$C$22,IF($D956="V02",Cadrage!$D$22,Cadrage!$E$22)))</f>
        <v/>
      </c>
      <c r="H956">
        <f>IF($A956="","",IF($D956="V01",Cadrage!$C$23,IF($D956="V02",Cadrage!$D$23,Cadrage!$E$23)))</f>
        <v/>
      </c>
      <c r="I956">
        <f>IF($A956="","",IF($D956="V01",Cadrage!$C$31,IF($D956="V02",Cadrage!$D$31,Cadrage!$E$31)))</f>
        <v/>
      </c>
      <c r="J956">
        <f>IF($A956="","",IF($D956="V01",Cadrage!$C$32,IF($D956="V02",Cadrage!$D$32,Cadrage!$E$32)))</f>
        <v/>
      </c>
      <c r="K956">
        <f>IF($A956="","",IF($D956="V01",Cadrage!$C$33,IF($D956="V02",Cadrage!$D$33,Cadrage!$E$33)))</f>
        <v/>
      </c>
      <c r="L956">
        <f>IF($A956="","",IF($D956="V01",Cadrage!$C$34,IF($D956="V02",Cadrage!$D$34,Cadrage!$E$34)))</f>
        <v/>
      </c>
      <c r="M956">
        <f>IF($A956="","",IF($D956="V01",Cadrage!$C$35,IF($D956="V02",Cadrage!$D$35,Cadrage!$E$35)))</f>
        <v/>
      </c>
      <c r="N956">
        <f>IF($A956="","",IF($D956="V01",$R$2,IF($D956="V02",$R$3,$R$4)))</f>
        <v/>
      </c>
      <c r="O956">
        <f>IF($A956="","",IF(OR($B956="7062",$B956="706",$B956="708"),$N956,IF($B956="6231",1+$G956,IF($B956="6236",1+$H956,IF(OR($B956="621",$B956="604",$B956="6063"),$N956*(1-$L956),IF(OR($B956="6411",$B956="6413",$B956="6414",$B956="645"),(1+$J956)*(1+$K956),IF(OR($B956="613",$B956="615",$B956="616",$B956="6226",$B956="625",$B956="626",$B956="6281"),(1+$I956)*(1-$L956)*(1+$M956),IF(OR($B956="6331",$B956="63511",$B956="6333"),(1+$I956)*(1-$L956),IF($B956="6811",1+$I956,1)))))))))</f>
        <v/>
      </c>
      <c r="P956">
        <f>IF($A956="","",IF($E956=1,$F956*$O956,PNL!G956))</f>
        <v/>
      </c>
      <c r="T956">
        <f>IF($A956="","",IF($E956=1,IF(OR($B956="7062",$B956="706",$B956="708"),$P956,IF(AND(LEFT($B956,1)="6",$B956&lt;&gt;"6811"),-$P956,0)),0))</f>
        <v/>
      </c>
    </row>
    <row r="957">
      <c r="A957">
        <f>IF(PNL!A957="","",PNL!A957)</f>
        <v/>
      </c>
      <c r="B957">
        <f>IF(PNL!B957="","",PNL!B957)</f>
        <v/>
      </c>
      <c r="C957">
        <f>IF(PNL!C957="","",PNL!C957)</f>
        <v/>
      </c>
      <c r="D957">
        <f>IF(PNL!D957="","",PNL!D957)</f>
        <v/>
      </c>
      <c r="E957">
        <f>IF($A957="","",IF(AND($C957="2027",OR($D957="V01",$D957="V02",$D957="V03")),1,0))</f>
        <v/>
      </c>
      <c r="F957">
        <f>IF($A957="","",IF($E957=1,SUMIFS(Comptabilité!$F$1:$F$675,Comptabilité!$A$1:$A$675,$A957,Comptabilité!$B$1:$B$675,$B957,Comptabilité!$C$1:$C$675,"2026"),0))</f>
        <v/>
      </c>
      <c r="G957">
        <f>IF($A957="","",IF($D957="V01",Cadrage!$C$22,IF($D957="V02",Cadrage!$D$22,Cadrage!$E$22)))</f>
        <v/>
      </c>
      <c r="H957">
        <f>IF($A957="","",IF($D957="V01",Cadrage!$C$23,IF($D957="V02",Cadrage!$D$23,Cadrage!$E$23)))</f>
        <v/>
      </c>
      <c r="I957">
        <f>IF($A957="","",IF($D957="V01",Cadrage!$C$31,IF($D957="V02",Cadrage!$D$31,Cadrage!$E$31)))</f>
        <v/>
      </c>
      <c r="J957">
        <f>IF($A957="","",IF($D957="V01",Cadrage!$C$32,IF($D957="V02",Cadrage!$D$32,Cadrage!$E$32)))</f>
        <v/>
      </c>
      <c r="K957">
        <f>IF($A957="","",IF($D957="V01",Cadrage!$C$33,IF($D957="V02",Cadrage!$D$33,Cadrage!$E$33)))</f>
        <v/>
      </c>
      <c r="L957">
        <f>IF($A957="","",IF($D957="V01",Cadrage!$C$34,IF($D957="V02",Cadrage!$D$34,Cadrage!$E$34)))</f>
        <v/>
      </c>
      <c r="M957">
        <f>IF($A957="","",IF($D957="V01",Cadrage!$C$35,IF($D957="V02",Cadrage!$D$35,Cadrage!$E$35)))</f>
        <v/>
      </c>
      <c r="N957">
        <f>IF($A957="","",IF($D957="V01",$R$2,IF($D957="V02",$R$3,$R$4)))</f>
        <v/>
      </c>
      <c r="O957">
        <f>IF($A957="","",IF(OR($B957="7062",$B957="706",$B957="708"),$N957,IF($B957="6231",1+$G957,IF($B957="6236",1+$H957,IF(OR($B957="621",$B957="604",$B957="6063"),$N957*(1-$L957),IF(OR($B957="6411",$B957="6413",$B957="6414",$B957="645"),(1+$J957)*(1+$K957),IF(OR($B957="613",$B957="615",$B957="616",$B957="6226",$B957="625",$B957="626",$B957="6281"),(1+$I957)*(1-$L957)*(1+$M957),IF(OR($B957="6331",$B957="63511",$B957="6333"),(1+$I957)*(1-$L957),IF($B957="6811",1+$I957,1)))))))))</f>
        <v/>
      </c>
      <c r="P957">
        <f>IF($A957="","",IF($E957=1,$F957*$O957,PNL!G957))</f>
        <v/>
      </c>
      <c r="T957">
        <f>IF($A957="","",IF($E957=1,IF(OR($B957="7062",$B957="706",$B957="708"),$P957,IF(AND(LEFT($B957,1)="6",$B957&lt;&gt;"6811"),-$P957,0)),0))</f>
        <v/>
      </c>
    </row>
    <row r="958">
      <c r="A958">
        <f>IF(PNL!A958="","",PNL!A958)</f>
        <v/>
      </c>
      <c r="B958">
        <f>IF(PNL!B958="","",PNL!B958)</f>
        <v/>
      </c>
      <c r="C958">
        <f>IF(PNL!C958="","",PNL!C958)</f>
        <v/>
      </c>
      <c r="D958">
        <f>IF(PNL!D958="","",PNL!D958)</f>
        <v/>
      </c>
      <c r="E958">
        <f>IF($A958="","",IF(AND($C958="2027",OR($D958="V01",$D958="V02",$D958="V03")),1,0))</f>
        <v/>
      </c>
      <c r="F958">
        <f>IF($A958="","",IF($E958=1,SUMIFS(Comptabilité!$F$1:$F$675,Comptabilité!$A$1:$A$675,$A958,Comptabilité!$B$1:$B$675,$B958,Comptabilité!$C$1:$C$675,"2026"),0))</f>
        <v/>
      </c>
      <c r="G958">
        <f>IF($A958="","",IF($D958="V01",Cadrage!$C$22,IF($D958="V02",Cadrage!$D$22,Cadrage!$E$22)))</f>
        <v/>
      </c>
      <c r="H958">
        <f>IF($A958="","",IF($D958="V01",Cadrage!$C$23,IF($D958="V02",Cadrage!$D$23,Cadrage!$E$23)))</f>
        <v/>
      </c>
      <c r="I958">
        <f>IF($A958="","",IF($D958="V01",Cadrage!$C$31,IF($D958="V02",Cadrage!$D$31,Cadrage!$E$31)))</f>
        <v/>
      </c>
      <c r="J958">
        <f>IF($A958="","",IF($D958="V01",Cadrage!$C$32,IF($D958="V02",Cadrage!$D$32,Cadrage!$E$32)))</f>
        <v/>
      </c>
      <c r="K958">
        <f>IF($A958="","",IF($D958="V01",Cadrage!$C$33,IF($D958="V02",Cadrage!$D$33,Cadrage!$E$33)))</f>
        <v/>
      </c>
      <c r="L958">
        <f>IF($A958="","",IF($D958="V01",Cadrage!$C$34,IF($D958="V02",Cadrage!$D$34,Cadrage!$E$34)))</f>
        <v/>
      </c>
      <c r="M958">
        <f>IF($A958="","",IF($D958="V01",Cadrage!$C$35,IF($D958="V02",Cadrage!$D$35,Cadrage!$E$35)))</f>
        <v/>
      </c>
      <c r="N958">
        <f>IF($A958="","",IF($D958="V01",$R$2,IF($D958="V02",$R$3,$R$4)))</f>
        <v/>
      </c>
      <c r="O958">
        <f>IF($A958="","",IF(OR($B958="7062",$B958="706",$B958="708"),$N958,IF($B958="6231",1+$G958,IF($B958="6236",1+$H958,IF(OR($B958="621",$B958="604",$B958="6063"),$N958*(1-$L958),IF(OR($B958="6411",$B958="6413",$B958="6414",$B958="645"),(1+$J958)*(1+$K958),IF(OR($B958="613",$B958="615",$B958="616",$B958="6226",$B958="625",$B958="626",$B958="6281"),(1+$I958)*(1-$L958)*(1+$M958),IF(OR($B958="6331",$B958="63511",$B958="6333"),(1+$I958)*(1-$L958),IF($B958="6811",1+$I958,1)))))))))</f>
        <v/>
      </c>
      <c r="P958">
        <f>IF($A958="","",IF($E958=1,$F958*$O958,PNL!G958))</f>
        <v/>
      </c>
      <c r="T958">
        <f>IF($A958="","",IF($E958=1,IF(OR($B958="7062",$B958="706",$B958="708"),$P958,IF(AND(LEFT($B958,1)="6",$B958&lt;&gt;"6811"),-$P958,0)),0))</f>
        <v/>
      </c>
    </row>
    <row r="959">
      <c r="A959">
        <f>IF(PNL!A959="","",PNL!A959)</f>
        <v/>
      </c>
      <c r="B959">
        <f>IF(PNL!B959="","",PNL!B959)</f>
        <v/>
      </c>
      <c r="C959">
        <f>IF(PNL!C959="","",PNL!C959)</f>
        <v/>
      </c>
      <c r="D959">
        <f>IF(PNL!D959="","",PNL!D959)</f>
        <v/>
      </c>
      <c r="E959">
        <f>IF($A959="","",IF(AND($C959="2027",OR($D959="V01",$D959="V02",$D959="V03")),1,0))</f>
        <v/>
      </c>
      <c r="F959">
        <f>IF($A959="","",IF($E959=1,SUMIFS(Comptabilité!$F$1:$F$675,Comptabilité!$A$1:$A$675,$A959,Comptabilité!$B$1:$B$675,$B959,Comptabilité!$C$1:$C$675,"2026"),0))</f>
        <v/>
      </c>
      <c r="G959">
        <f>IF($A959="","",IF($D959="V01",Cadrage!$C$22,IF($D959="V02",Cadrage!$D$22,Cadrage!$E$22)))</f>
        <v/>
      </c>
      <c r="H959">
        <f>IF($A959="","",IF($D959="V01",Cadrage!$C$23,IF($D959="V02",Cadrage!$D$23,Cadrage!$E$23)))</f>
        <v/>
      </c>
      <c r="I959">
        <f>IF($A959="","",IF($D959="V01",Cadrage!$C$31,IF($D959="V02",Cadrage!$D$31,Cadrage!$E$31)))</f>
        <v/>
      </c>
      <c r="J959">
        <f>IF($A959="","",IF($D959="V01",Cadrage!$C$32,IF($D959="V02",Cadrage!$D$32,Cadrage!$E$32)))</f>
        <v/>
      </c>
      <c r="K959">
        <f>IF($A959="","",IF($D959="V01",Cadrage!$C$33,IF($D959="V02",Cadrage!$D$33,Cadrage!$E$33)))</f>
        <v/>
      </c>
      <c r="L959">
        <f>IF($A959="","",IF($D959="V01",Cadrage!$C$34,IF($D959="V02",Cadrage!$D$34,Cadrage!$E$34)))</f>
        <v/>
      </c>
      <c r="M959">
        <f>IF($A959="","",IF($D959="V01",Cadrage!$C$35,IF($D959="V02",Cadrage!$D$35,Cadrage!$E$35)))</f>
        <v/>
      </c>
      <c r="N959">
        <f>IF($A959="","",IF($D959="V01",$R$2,IF($D959="V02",$R$3,$R$4)))</f>
        <v/>
      </c>
      <c r="O959">
        <f>IF($A959="","",IF(OR($B959="7062",$B959="706",$B959="708"),$N959,IF($B959="6231",1+$G959,IF($B959="6236",1+$H959,IF(OR($B959="621",$B959="604",$B959="6063"),$N959*(1-$L959),IF(OR($B959="6411",$B959="6413",$B959="6414",$B959="645"),(1+$J959)*(1+$K959),IF(OR($B959="613",$B959="615",$B959="616",$B959="6226",$B959="625",$B959="626",$B959="6281"),(1+$I959)*(1-$L959)*(1+$M959),IF(OR($B959="6331",$B959="63511",$B959="6333"),(1+$I959)*(1-$L959),IF($B959="6811",1+$I959,1)))))))))</f>
        <v/>
      </c>
      <c r="P959">
        <f>IF($A959="","",IF($E959=1,$F959*$O959,PNL!G959))</f>
        <v/>
      </c>
      <c r="T959">
        <f>IF($A959="","",IF($E959=1,IF(OR($B959="7062",$B959="706",$B959="708"),$P959,IF(AND(LEFT($B959,1)="6",$B959&lt;&gt;"6811"),-$P959,0)),0))</f>
        <v/>
      </c>
    </row>
    <row r="960">
      <c r="A960">
        <f>IF(PNL!A960="","",PNL!A960)</f>
        <v/>
      </c>
      <c r="B960">
        <f>IF(PNL!B960="","",PNL!B960)</f>
        <v/>
      </c>
      <c r="C960">
        <f>IF(PNL!C960="","",PNL!C960)</f>
        <v/>
      </c>
      <c r="D960">
        <f>IF(PNL!D960="","",PNL!D960)</f>
        <v/>
      </c>
      <c r="E960">
        <f>IF($A960="","",IF(AND($C960="2027",OR($D960="V01",$D960="V02",$D960="V03")),1,0))</f>
        <v/>
      </c>
      <c r="F960">
        <f>IF($A960="","",IF($E960=1,SUMIFS(Comptabilité!$F$1:$F$675,Comptabilité!$A$1:$A$675,$A960,Comptabilité!$B$1:$B$675,$B960,Comptabilité!$C$1:$C$675,"2026"),0))</f>
        <v/>
      </c>
      <c r="G960">
        <f>IF($A960="","",IF($D960="V01",Cadrage!$C$22,IF($D960="V02",Cadrage!$D$22,Cadrage!$E$22)))</f>
        <v/>
      </c>
      <c r="H960">
        <f>IF($A960="","",IF($D960="V01",Cadrage!$C$23,IF($D960="V02",Cadrage!$D$23,Cadrage!$E$23)))</f>
        <v/>
      </c>
      <c r="I960">
        <f>IF($A960="","",IF($D960="V01",Cadrage!$C$31,IF($D960="V02",Cadrage!$D$31,Cadrage!$E$31)))</f>
        <v/>
      </c>
      <c r="J960">
        <f>IF($A960="","",IF($D960="V01",Cadrage!$C$32,IF($D960="V02",Cadrage!$D$32,Cadrage!$E$32)))</f>
        <v/>
      </c>
      <c r="K960">
        <f>IF($A960="","",IF($D960="V01",Cadrage!$C$33,IF($D960="V02",Cadrage!$D$33,Cadrage!$E$33)))</f>
        <v/>
      </c>
      <c r="L960">
        <f>IF($A960="","",IF($D960="V01",Cadrage!$C$34,IF($D960="V02",Cadrage!$D$34,Cadrage!$E$34)))</f>
        <v/>
      </c>
      <c r="M960">
        <f>IF($A960="","",IF($D960="V01",Cadrage!$C$35,IF($D960="V02",Cadrage!$D$35,Cadrage!$E$35)))</f>
        <v/>
      </c>
      <c r="N960">
        <f>IF($A960="","",IF($D960="V01",$R$2,IF($D960="V02",$R$3,$R$4)))</f>
        <v/>
      </c>
      <c r="O960">
        <f>IF($A960="","",IF(OR($B960="7062",$B960="706",$B960="708"),$N960,IF($B960="6231",1+$G960,IF($B960="6236",1+$H960,IF(OR($B960="621",$B960="604",$B960="6063"),$N960*(1-$L960),IF(OR($B960="6411",$B960="6413",$B960="6414",$B960="645"),(1+$J960)*(1+$K960),IF(OR($B960="613",$B960="615",$B960="616",$B960="6226",$B960="625",$B960="626",$B960="6281"),(1+$I960)*(1-$L960)*(1+$M960),IF(OR($B960="6331",$B960="63511",$B960="6333"),(1+$I960)*(1-$L960),IF($B960="6811",1+$I960,1)))))))))</f>
        <v/>
      </c>
      <c r="P960">
        <f>IF($A960="","",IF($E960=1,$F960*$O960,PNL!G960))</f>
        <v/>
      </c>
      <c r="T960">
        <f>IF($A960="","",IF($E960=1,IF(OR($B960="7062",$B960="706",$B960="708"),$P960,IF(AND(LEFT($B960,1)="6",$B960&lt;&gt;"6811"),-$P960,0)),0))</f>
        <v/>
      </c>
    </row>
    <row r="961">
      <c r="A961">
        <f>IF(PNL!A961="","",PNL!A961)</f>
        <v/>
      </c>
      <c r="B961">
        <f>IF(PNL!B961="","",PNL!B961)</f>
        <v/>
      </c>
      <c r="C961">
        <f>IF(PNL!C961="","",PNL!C961)</f>
        <v/>
      </c>
      <c r="D961">
        <f>IF(PNL!D961="","",PNL!D961)</f>
        <v/>
      </c>
      <c r="E961">
        <f>IF($A961="","",IF(AND($C961="2027",OR($D961="V01",$D961="V02",$D961="V03")),1,0))</f>
        <v/>
      </c>
      <c r="F961">
        <f>IF($A961="","",IF($E961=1,SUMIFS(Comptabilité!$F$1:$F$675,Comptabilité!$A$1:$A$675,$A961,Comptabilité!$B$1:$B$675,$B961,Comptabilité!$C$1:$C$675,"2026"),0))</f>
        <v/>
      </c>
      <c r="G961">
        <f>IF($A961="","",IF($D961="V01",Cadrage!$C$22,IF($D961="V02",Cadrage!$D$22,Cadrage!$E$22)))</f>
        <v/>
      </c>
      <c r="H961">
        <f>IF($A961="","",IF($D961="V01",Cadrage!$C$23,IF($D961="V02",Cadrage!$D$23,Cadrage!$E$23)))</f>
        <v/>
      </c>
      <c r="I961">
        <f>IF($A961="","",IF($D961="V01",Cadrage!$C$31,IF($D961="V02",Cadrage!$D$31,Cadrage!$E$31)))</f>
        <v/>
      </c>
      <c r="J961">
        <f>IF($A961="","",IF($D961="V01",Cadrage!$C$32,IF($D961="V02",Cadrage!$D$32,Cadrage!$E$32)))</f>
        <v/>
      </c>
      <c r="K961">
        <f>IF($A961="","",IF($D961="V01",Cadrage!$C$33,IF($D961="V02",Cadrage!$D$33,Cadrage!$E$33)))</f>
        <v/>
      </c>
      <c r="L961">
        <f>IF($A961="","",IF($D961="V01",Cadrage!$C$34,IF($D961="V02",Cadrage!$D$34,Cadrage!$E$34)))</f>
        <v/>
      </c>
      <c r="M961">
        <f>IF($A961="","",IF($D961="V01",Cadrage!$C$35,IF($D961="V02",Cadrage!$D$35,Cadrage!$E$35)))</f>
        <v/>
      </c>
      <c r="N961">
        <f>IF($A961="","",IF($D961="V01",$R$2,IF($D961="V02",$R$3,$R$4)))</f>
        <v/>
      </c>
      <c r="O961">
        <f>IF($A961="","",IF(OR($B961="7062",$B961="706",$B961="708"),$N961,IF($B961="6231",1+$G961,IF($B961="6236",1+$H961,IF(OR($B961="621",$B961="604",$B961="6063"),$N961*(1-$L961),IF(OR($B961="6411",$B961="6413",$B961="6414",$B961="645"),(1+$J961)*(1+$K961),IF(OR($B961="613",$B961="615",$B961="616",$B961="6226",$B961="625",$B961="626",$B961="6281"),(1+$I961)*(1-$L961)*(1+$M961),IF(OR($B961="6331",$B961="63511",$B961="6333"),(1+$I961)*(1-$L961),IF($B961="6811",1+$I961,1)))))))))</f>
        <v/>
      </c>
      <c r="P961">
        <f>IF($A961="","",IF($E961=1,$F961*$O961,PNL!G961))</f>
        <v/>
      </c>
      <c r="T961">
        <f>IF($A961="","",IF($E961=1,IF(OR($B961="7062",$B961="706",$B961="708"),$P961,IF(AND(LEFT($B961,1)="6",$B961&lt;&gt;"6811"),-$P961,0)),0))</f>
        <v/>
      </c>
    </row>
    <row r="962">
      <c r="A962">
        <f>IF(PNL!A962="","",PNL!A962)</f>
        <v/>
      </c>
      <c r="B962">
        <f>IF(PNL!B962="","",PNL!B962)</f>
        <v/>
      </c>
      <c r="C962">
        <f>IF(PNL!C962="","",PNL!C962)</f>
        <v/>
      </c>
      <c r="D962">
        <f>IF(PNL!D962="","",PNL!D962)</f>
        <v/>
      </c>
      <c r="E962">
        <f>IF($A962="","",IF(AND($C962="2027",OR($D962="V01",$D962="V02",$D962="V03")),1,0))</f>
        <v/>
      </c>
      <c r="F962">
        <f>IF($A962="","",IF($E962=1,SUMIFS(Comptabilité!$F$1:$F$675,Comptabilité!$A$1:$A$675,$A962,Comptabilité!$B$1:$B$675,$B962,Comptabilité!$C$1:$C$675,"2026"),0))</f>
        <v/>
      </c>
      <c r="G962">
        <f>IF($A962="","",IF($D962="V01",Cadrage!$C$22,IF($D962="V02",Cadrage!$D$22,Cadrage!$E$22)))</f>
        <v/>
      </c>
      <c r="H962">
        <f>IF($A962="","",IF($D962="V01",Cadrage!$C$23,IF($D962="V02",Cadrage!$D$23,Cadrage!$E$23)))</f>
        <v/>
      </c>
      <c r="I962">
        <f>IF($A962="","",IF($D962="V01",Cadrage!$C$31,IF($D962="V02",Cadrage!$D$31,Cadrage!$E$31)))</f>
        <v/>
      </c>
      <c r="J962">
        <f>IF($A962="","",IF($D962="V01",Cadrage!$C$32,IF($D962="V02",Cadrage!$D$32,Cadrage!$E$32)))</f>
        <v/>
      </c>
      <c r="K962">
        <f>IF($A962="","",IF($D962="V01",Cadrage!$C$33,IF($D962="V02",Cadrage!$D$33,Cadrage!$E$33)))</f>
        <v/>
      </c>
      <c r="L962">
        <f>IF($A962="","",IF($D962="V01",Cadrage!$C$34,IF($D962="V02",Cadrage!$D$34,Cadrage!$E$34)))</f>
        <v/>
      </c>
      <c r="M962">
        <f>IF($A962="","",IF($D962="V01",Cadrage!$C$35,IF($D962="V02",Cadrage!$D$35,Cadrage!$E$35)))</f>
        <v/>
      </c>
      <c r="N962">
        <f>IF($A962="","",IF($D962="V01",$R$2,IF($D962="V02",$R$3,$R$4)))</f>
        <v/>
      </c>
      <c r="O962">
        <f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>
        <f>IF($A962="","",IF($E962=1,$F962*$O962,PNL!G962))</f>
        <v/>
      </c>
      <c r="T962">
        <f>IF($A962="","",IF($E962=1,IF(OR($B962="7062",$B962="706",$B962="708"),$P962,IF(AND(LEFT($B962,1)="6",$B962&lt;&gt;"6811"),-$P962,0)),0))</f>
        <v/>
      </c>
    </row>
    <row r="963">
      <c r="A963">
        <f>IF(PNL!A963="","",PNL!A963)</f>
        <v/>
      </c>
      <c r="B963">
        <f>IF(PNL!B963="","",PNL!B963)</f>
        <v/>
      </c>
      <c r="C963">
        <f>IF(PNL!C963="","",PNL!C963)</f>
        <v/>
      </c>
      <c r="D963">
        <f>IF(PNL!D963="","",PNL!D963)</f>
        <v/>
      </c>
      <c r="E963">
        <f>IF($A963="","",IF(AND($C963="2027",OR($D963="V01",$D963="V02",$D963="V03")),1,0))</f>
        <v/>
      </c>
      <c r="F963">
        <f>IF($A963="","",IF($E963=1,SUMIFS(Comptabilité!$F$1:$F$675,Comptabilité!$A$1:$A$675,$A963,Comptabilité!$B$1:$B$675,$B963,Comptabilité!$C$1:$C$675,"2026"),0))</f>
        <v/>
      </c>
      <c r="G963">
        <f>IF($A963="","",IF($D963="V01",Cadrage!$C$22,IF($D963="V02",Cadrage!$D$22,Cadrage!$E$22)))</f>
        <v/>
      </c>
      <c r="H963">
        <f>IF($A963="","",IF($D963="V01",Cadrage!$C$23,IF($D963="V02",Cadrage!$D$23,Cadrage!$E$23)))</f>
        <v/>
      </c>
      <c r="I963">
        <f>IF($A963="","",IF($D963="V01",Cadrage!$C$31,IF($D963="V02",Cadrage!$D$31,Cadrage!$E$31)))</f>
        <v/>
      </c>
      <c r="J963">
        <f>IF($A963="","",IF($D963="V01",Cadrage!$C$32,IF($D963="V02",Cadrage!$D$32,Cadrage!$E$32)))</f>
        <v/>
      </c>
      <c r="K963">
        <f>IF($A963="","",IF($D963="V01",Cadrage!$C$33,IF($D963="V02",Cadrage!$D$33,Cadrage!$E$33)))</f>
        <v/>
      </c>
      <c r="L963">
        <f>IF($A963="","",IF($D963="V01",Cadrage!$C$34,IF($D963="V02",Cadrage!$D$34,Cadrage!$E$34)))</f>
        <v/>
      </c>
      <c r="M963">
        <f>IF($A963="","",IF($D963="V01",Cadrage!$C$35,IF($D963="V02",Cadrage!$D$35,Cadrage!$E$35)))</f>
        <v/>
      </c>
      <c r="N963">
        <f>IF($A963="","",IF($D963="V01",$R$2,IF($D963="V02",$R$3,$R$4)))</f>
        <v/>
      </c>
      <c r="O963">
        <f>IF($A963="","",IF(OR($B963="7062",$B963="706",$B963="708"),$N963,IF($B963="6231",1+$G963,IF($B963="6236",1+$H963,IF(OR($B963="621",$B963="604",$B963="6063"),$N963*(1-$L963),IF(OR($B963="6411",$B963="6413",$B963="6414",$B963="645"),(1+$J963)*(1+$K963),IF(OR($B963="613",$B963="615",$B963="616",$B963="6226",$B963="625",$B963="626",$B963="6281"),(1+$I963)*(1-$L963)*(1+$M963),IF(OR($B963="6331",$B963="63511",$B963="6333"),(1+$I963)*(1-$L963),IF($B963="6811",1+$I963,1)))))))))</f>
        <v/>
      </c>
      <c r="P963">
        <f>IF($A963="","",IF($E963=1,$F963*$O963,PNL!G963))</f>
        <v/>
      </c>
      <c r="T963">
        <f>IF($A963="","",IF($E963=1,IF(OR($B963="7062",$B963="706",$B963="708"),$P963,IF(AND(LEFT($B963,1)="6",$B963&lt;&gt;"6811"),-$P963,0)),0))</f>
        <v/>
      </c>
    </row>
    <row r="964">
      <c r="A964">
        <f>IF(PNL!A964="","",PNL!A964)</f>
        <v/>
      </c>
      <c r="B964">
        <f>IF(PNL!B964="","",PNL!B964)</f>
        <v/>
      </c>
      <c r="C964">
        <f>IF(PNL!C964="","",PNL!C964)</f>
        <v/>
      </c>
      <c r="D964">
        <f>IF(PNL!D964="","",PNL!D964)</f>
        <v/>
      </c>
      <c r="E964">
        <f>IF($A964="","",IF(AND($C964="2027",OR($D964="V01",$D964="V02",$D964="V03")),1,0))</f>
        <v/>
      </c>
      <c r="F964">
        <f>IF($A964="","",IF($E964=1,SUMIFS(Comptabilité!$F$1:$F$675,Comptabilité!$A$1:$A$675,$A964,Comptabilité!$B$1:$B$675,$B964,Comptabilité!$C$1:$C$675,"2026"),0))</f>
        <v/>
      </c>
      <c r="G964">
        <f>IF($A964="","",IF($D964="V01",Cadrage!$C$22,IF($D964="V02",Cadrage!$D$22,Cadrage!$E$22)))</f>
        <v/>
      </c>
      <c r="H964">
        <f>IF($A964="","",IF($D964="V01",Cadrage!$C$23,IF($D964="V02",Cadrage!$D$23,Cadrage!$E$23)))</f>
        <v/>
      </c>
      <c r="I964">
        <f>IF($A964="","",IF($D964="V01",Cadrage!$C$31,IF($D964="V02",Cadrage!$D$31,Cadrage!$E$31)))</f>
        <v/>
      </c>
      <c r="J964">
        <f>IF($A964="","",IF($D964="V01",Cadrage!$C$32,IF($D964="V02",Cadrage!$D$32,Cadrage!$E$32)))</f>
        <v/>
      </c>
      <c r="K964">
        <f>IF($A964="","",IF($D964="V01",Cadrage!$C$33,IF($D964="V02",Cadrage!$D$33,Cadrage!$E$33)))</f>
        <v/>
      </c>
      <c r="L964">
        <f>IF($A964="","",IF($D964="V01",Cadrage!$C$34,IF($D964="V02",Cadrage!$D$34,Cadrage!$E$34)))</f>
        <v/>
      </c>
      <c r="M964">
        <f>IF($A964="","",IF($D964="V01",Cadrage!$C$35,IF($D964="V02",Cadrage!$D$35,Cadrage!$E$35)))</f>
        <v/>
      </c>
      <c r="N964">
        <f>IF($A964="","",IF($D964="V01",$R$2,IF($D964="V02",$R$3,$R$4)))</f>
        <v/>
      </c>
      <c r="O964">
        <f>IF($A964="","",IF(OR($B964="7062",$B964="706",$B964="708"),$N964,IF($B964="6231",1+$G964,IF($B964="6236",1+$H964,IF(OR($B964="621",$B964="604",$B964="6063"),$N964*(1-$L964),IF(OR($B964="6411",$B964="6413",$B964="6414",$B964="645"),(1+$J964)*(1+$K964),IF(OR($B964="613",$B964="615",$B964="616",$B964="6226",$B964="625",$B964="626",$B964="6281"),(1+$I964)*(1-$L964)*(1+$M964),IF(OR($B964="6331",$B964="63511",$B964="6333"),(1+$I964)*(1-$L964),IF($B964="6811",1+$I964,1)))))))))</f>
        <v/>
      </c>
      <c r="P964">
        <f>IF($A964="","",IF($E964=1,$F964*$O964,PNL!G964))</f>
        <v/>
      </c>
      <c r="T964">
        <f>IF($A964="","",IF($E964=1,IF(OR($B964="7062",$B964="706",$B964="708"),$P964,IF(AND(LEFT($B964,1)="6",$B964&lt;&gt;"6811"),-$P964,0)),0))</f>
        <v/>
      </c>
    </row>
    <row r="965">
      <c r="A965">
        <f>IF(PNL!A965="","",PNL!A965)</f>
        <v/>
      </c>
      <c r="B965">
        <f>IF(PNL!B965="","",PNL!B965)</f>
        <v/>
      </c>
      <c r="C965">
        <f>IF(PNL!C965="","",PNL!C965)</f>
        <v/>
      </c>
      <c r="D965">
        <f>IF(PNL!D965="","",PNL!D965)</f>
        <v/>
      </c>
      <c r="E965">
        <f>IF($A965="","",IF(AND($C965="2027",OR($D965="V01",$D965="V02",$D965="V03")),1,0))</f>
        <v/>
      </c>
      <c r="F965">
        <f>IF($A965="","",IF($E965=1,SUMIFS(Comptabilité!$F$1:$F$675,Comptabilité!$A$1:$A$675,$A965,Comptabilité!$B$1:$B$675,$B965,Comptabilité!$C$1:$C$675,"2026"),0))</f>
        <v/>
      </c>
      <c r="G965">
        <f>IF($A965="","",IF($D965="V01",Cadrage!$C$22,IF($D965="V02",Cadrage!$D$22,Cadrage!$E$22)))</f>
        <v/>
      </c>
      <c r="H965">
        <f>IF($A965="","",IF($D965="V01",Cadrage!$C$23,IF($D965="V02",Cadrage!$D$23,Cadrage!$E$23)))</f>
        <v/>
      </c>
      <c r="I965">
        <f>IF($A965="","",IF($D965="V01",Cadrage!$C$31,IF($D965="V02",Cadrage!$D$31,Cadrage!$E$31)))</f>
        <v/>
      </c>
      <c r="J965">
        <f>IF($A965="","",IF($D965="V01",Cadrage!$C$32,IF($D965="V02",Cadrage!$D$32,Cadrage!$E$32)))</f>
        <v/>
      </c>
      <c r="K965">
        <f>IF($A965="","",IF($D965="V01",Cadrage!$C$33,IF($D965="V02",Cadrage!$D$33,Cadrage!$E$33)))</f>
        <v/>
      </c>
      <c r="L965">
        <f>IF($A965="","",IF($D965="V01",Cadrage!$C$34,IF($D965="V02",Cadrage!$D$34,Cadrage!$E$34)))</f>
        <v/>
      </c>
      <c r="M965">
        <f>IF($A965="","",IF($D965="V01",Cadrage!$C$35,IF($D965="V02",Cadrage!$D$35,Cadrage!$E$35)))</f>
        <v/>
      </c>
      <c r="N965">
        <f>IF($A965="","",IF($D965="V01",$R$2,IF($D965="V02",$R$3,$R$4)))</f>
        <v/>
      </c>
      <c r="O965">
        <f>IF($A965="","",IF(OR($B965="7062",$B965="706",$B965="708"),$N965,IF($B965="6231",1+$G965,IF($B965="6236",1+$H965,IF(OR($B965="621",$B965="604",$B965="6063"),$N965*(1-$L965),IF(OR($B965="6411",$B965="6413",$B965="6414",$B965="645"),(1+$J965)*(1+$K965),IF(OR($B965="613",$B965="615",$B965="616",$B965="6226",$B965="625",$B965="626",$B965="6281"),(1+$I965)*(1-$L965)*(1+$M965),IF(OR($B965="6331",$B965="63511",$B965="6333"),(1+$I965)*(1-$L965),IF($B965="6811",1+$I965,1)))))))))</f>
        <v/>
      </c>
      <c r="P965">
        <f>IF($A965="","",IF($E965=1,$F965*$O965,PNL!G965))</f>
        <v/>
      </c>
      <c r="T965">
        <f>IF($A965="","",IF($E965=1,IF(OR($B965="7062",$B965="706",$B965="708"),$P965,IF(AND(LEFT($B965,1)="6",$B965&lt;&gt;"6811"),-$P965,0)),0))</f>
        <v/>
      </c>
    </row>
    <row r="966">
      <c r="A966">
        <f>IF(PNL!A966="","",PNL!A966)</f>
        <v/>
      </c>
      <c r="B966">
        <f>IF(PNL!B966="","",PNL!B966)</f>
        <v/>
      </c>
      <c r="C966">
        <f>IF(PNL!C966="","",PNL!C966)</f>
        <v/>
      </c>
      <c r="D966">
        <f>IF(PNL!D966="","",PNL!D966)</f>
        <v/>
      </c>
      <c r="E966">
        <f>IF($A966="","",IF(AND($C966="2027",OR($D966="V01",$D966="V02",$D966="V03")),1,0))</f>
        <v/>
      </c>
      <c r="F966">
        <f>IF($A966="","",IF($E966=1,SUMIFS(Comptabilité!$F$1:$F$675,Comptabilité!$A$1:$A$675,$A966,Comptabilité!$B$1:$B$675,$B966,Comptabilité!$C$1:$C$675,"2026"),0))</f>
        <v/>
      </c>
      <c r="G966">
        <f>IF($A966="","",IF($D966="V01",Cadrage!$C$22,IF($D966="V02",Cadrage!$D$22,Cadrage!$E$22)))</f>
        <v/>
      </c>
      <c r="H966">
        <f>IF($A966="","",IF($D966="V01",Cadrage!$C$23,IF($D966="V02",Cadrage!$D$23,Cadrage!$E$23)))</f>
        <v/>
      </c>
      <c r="I966">
        <f>IF($A966="","",IF($D966="V01",Cadrage!$C$31,IF($D966="V02",Cadrage!$D$31,Cadrage!$E$31)))</f>
        <v/>
      </c>
      <c r="J966">
        <f>IF($A966="","",IF($D966="V01",Cadrage!$C$32,IF($D966="V02",Cadrage!$D$32,Cadrage!$E$32)))</f>
        <v/>
      </c>
      <c r="K966">
        <f>IF($A966="","",IF($D966="V01",Cadrage!$C$33,IF($D966="V02",Cadrage!$D$33,Cadrage!$E$33)))</f>
        <v/>
      </c>
      <c r="L966">
        <f>IF($A966="","",IF($D966="V01",Cadrage!$C$34,IF($D966="V02",Cadrage!$D$34,Cadrage!$E$34)))</f>
        <v/>
      </c>
      <c r="M966">
        <f>IF($A966="","",IF($D966="V01",Cadrage!$C$35,IF($D966="V02",Cadrage!$D$35,Cadrage!$E$35)))</f>
        <v/>
      </c>
      <c r="N966">
        <f>IF($A966="","",IF($D966="V01",$R$2,IF($D966="V02",$R$3,$R$4)))</f>
        <v/>
      </c>
      <c r="O966">
        <f>IF($A966="","",IF(OR($B966="7062",$B966="706",$B966="708"),$N966,IF($B966="6231",1+$G966,IF($B966="6236",1+$H966,IF(OR($B966="621",$B966="604",$B966="6063"),$N966*(1-$L966),IF(OR($B966="6411",$B966="6413",$B966="6414",$B966="645"),(1+$J966)*(1+$K966),IF(OR($B966="613",$B966="615",$B966="616",$B966="6226",$B966="625",$B966="626",$B966="6281"),(1+$I966)*(1-$L966)*(1+$M966),IF(OR($B966="6331",$B966="63511",$B966="6333"),(1+$I966)*(1-$L966),IF($B966="6811",1+$I966,1)))))))))</f>
        <v/>
      </c>
      <c r="P966">
        <f>IF($A966="","",IF($E966=1,$F966*$O966,PNL!G966))</f>
        <v/>
      </c>
      <c r="T966">
        <f>IF($A966="","",IF($E966=1,IF(OR($B966="7062",$B966="706",$B966="708"),$P966,IF(AND(LEFT($B966,1)="6",$B966&lt;&gt;"6811"),-$P966,0)),0))</f>
        <v/>
      </c>
    </row>
    <row r="967">
      <c r="A967">
        <f>IF(PNL!A967="","",PNL!A967)</f>
        <v/>
      </c>
      <c r="B967">
        <f>IF(PNL!B967="","",PNL!B967)</f>
        <v/>
      </c>
      <c r="C967">
        <f>IF(PNL!C967="","",PNL!C967)</f>
        <v/>
      </c>
      <c r="D967">
        <f>IF(PNL!D967="","",PNL!D967)</f>
        <v/>
      </c>
      <c r="E967">
        <f>IF($A967="","",IF(AND($C967="2027",OR($D967="V01",$D967="V02",$D967="V03")),1,0))</f>
        <v/>
      </c>
      <c r="F967">
        <f>IF($A967="","",IF($E967=1,SUMIFS(Comptabilité!$F$1:$F$675,Comptabilité!$A$1:$A$675,$A967,Comptabilité!$B$1:$B$675,$B967,Comptabilité!$C$1:$C$675,"2026"),0))</f>
        <v/>
      </c>
      <c r="G967">
        <f>IF($A967="","",IF($D967="V01",Cadrage!$C$22,IF($D967="V02",Cadrage!$D$22,Cadrage!$E$22)))</f>
        <v/>
      </c>
      <c r="H967">
        <f>IF($A967="","",IF($D967="V01",Cadrage!$C$23,IF($D967="V02",Cadrage!$D$23,Cadrage!$E$23)))</f>
        <v/>
      </c>
      <c r="I967">
        <f>IF($A967="","",IF($D967="V01",Cadrage!$C$31,IF($D967="V02",Cadrage!$D$31,Cadrage!$E$31)))</f>
        <v/>
      </c>
      <c r="J967">
        <f>IF($A967="","",IF($D967="V01",Cadrage!$C$32,IF($D967="V02",Cadrage!$D$32,Cadrage!$E$32)))</f>
        <v/>
      </c>
      <c r="K967">
        <f>IF($A967="","",IF($D967="V01",Cadrage!$C$33,IF($D967="V02",Cadrage!$D$33,Cadrage!$E$33)))</f>
        <v/>
      </c>
      <c r="L967">
        <f>IF($A967="","",IF($D967="V01",Cadrage!$C$34,IF($D967="V02",Cadrage!$D$34,Cadrage!$E$34)))</f>
        <v/>
      </c>
      <c r="M967">
        <f>IF($A967="","",IF($D967="V01",Cadrage!$C$35,IF($D967="V02",Cadrage!$D$35,Cadrage!$E$35)))</f>
        <v/>
      </c>
      <c r="N967">
        <f>IF($A967="","",IF($D967="V01",$R$2,IF($D967="V02",$R$3,$R$4)))</f>
        <v/>
      </c>
      <c r="O967">
        <f>IF($A967="","",IF(OR($B967="7062",$B967="706",$B967="708"),$N967,IF($B967="6231",1+$G967,IF($B967="6236",1+$H967,IF(OR($B967="621",$B967="604",$B967="6063"),$N967*(1-$L967),IF(OR($B967="6411",$B967="6413",$B967="6414",$B967="645"),(1+$J967)*(1+$K967),IF(OR($B967="613",$B967="615",$B967="616",$B967="6226",$B967="625",$B967="626",$B967="6281"),(1+$I967)*(1-$L967)*(1+$M967),IF(OR($B967="6331",$B967="63511",$B967="6333"),(1+$I967)*(1-$L967),IF($B967="6811",1+$I967,1)))))))))</f>
        <v/>
      </c>
      <c r="P967">
        <f>IF($A967="","",IF($E967=1,$F967*$O967,PNL!G967))</f>
        <v/>
      </c>
      <c r="T967">
        <f>IF($A967="","",IF($E967=1,IF(OR($B967="7062",$B967="706",$B967="708"),$P967,IF(AND(LEFT($B967,1)="6",$B967&lt;&gt;"6811"),-$P967,0)),0))</f>
        <v/>
      </c>
    </row>
    <row r="968">
      <c r="A968">
        <f>IF(PNL!A968="","",PNL!A968)</f>
        <v/>
      </c>
      <c r="B968">
        <f>IF(PNL!B968="","",PNL!B968)</f>
        <v/>
      </c>
      <c r="C968">
        <f>IF(PNL!C968="","",PNL!C968)</f>
        <v/>
      </c>
      <c r="D968">
        <f>IF(PNL!D968="","",PNL!D968)</f>
        <v/>
      </c>
      <c r="E968">
        <f>IF($A968="","",IF(AND($C968="2027",OR($D968="V01",$D968="V02",$D968="V03")),1,0))</f>
        <v/>
      </c>
      <c r="F968">
        <f>IF($A968="","",IF($E968=1,SUMIFS(Comptabilité!$F$1:$F$675,Comptabilité!$A$1:$A$675,$A968,Comptabilité!$B$1:$B$675,$B968,Comptabilité!$C$1:$C$675,"2026"),0))</f>
        <v/>
      </c>
      <c r="G968">
        <f>IF($A968="","",IF($D968="V01",Cadrage!$C$22,IF($D968="V02",Cadrage!$D$22,Cadrage!$E$22)))</f>
        <v/>
      </c>
      <c r="H968">
        <f>IF($A968="","",IF($D968="V01",Cadrage!$C$23,IF($D968="V02",Cadrage!$D$23,Cadrage!$E$23)))</f>
        <v/>
      </c>
      <c r="I968">
        <f>IF($A968="","",IF($D968="V01",Cadrage!$C$31,IF($D968="V02",Cadrage!$D$31,Cadrage!$E$31)))</f>
        <v/>
      </c>
      <c r="J968">
        <f>IF($A968="","",IF($D968="V01",Cadrage!$C$32,IF($D968="V02",Cadrage!$D$32,Cadrage!$E$32)))</f>
        <v/>
      </c>
      <c r="K968">
        <f>IF($A968="","",IF($D968="V01",Cadrage!$C$33,IF($D968="V02",Cadrage!$D$33,Cadrage!$E$33)))</f>
        <v/>
      </c>
      <c r="L968">
        <f>IF($A968="","",IF($D968="V01",Cadrage!$C$34,IF($D968="V02",Cadrage!$D$34,Cadrage!$E$34)))</f>
        <v/>
      </c>
      <c r="M968">
        <f>IF($A968="","",IF($D968="V01",Cadrage!$C$35,IF($D968="V02",Cadrage!$D$35,Cadrage!$E$35)))</f>
        <v/>
      </c>
      <c r="N968">
        <f>IF($A968="","",IF($D968="V01",$R$2,IF($D968="V02",$R$3,$R$4)))</f>
        <v/>
      </c>
      <c r="O968">
        <f>IF($A968="","",IF(OR($B968="7062",$B968="706",$B968="708"),$N968,IF($B968="6231",1+$G968,IF($B968="6236",1+$H968,IF(OR($B968="621",$B968="604",$B968="6063"),$N968*(1-$L968),IF(OR($B968="6411",$B968="6413",$B968="6414",$B968="645"),(1+$J968)*(1+$K968),IF(OR($B968="613",$B968="615",$B968="616",$B968="6226",$B968="625",$B968="626",$B968="6281"),(1+$I968)*(1-$L968)*(1+$M968),IF(OR($B968="6331",$B968="63511",$B968="6333"),(1+$I968)*(1-$L968),IF($B968="6811",1+$I968,1)))))))))</f>
        <v/>
      </c>
      <c r="P968">
        <f>IF($A968="","",IF($E968=1,$F968*$O968,PNL!G968))</f>
        <v/>
      </c>
      <c r="T968">
        <f>IF($A968="","",IF($E968=1,IF(OR($B968="7062",$B968="706",$B968="708"),$P968,IF(AND(LEFT($B968,1)="6",$B968&lt;&gt;"6811"),-$P968,0)),0))</f>
        <v/>
      </c>
    </row>
    <row r="969">
      <c r="A969">
        <f>IF(PNL!A969="","",PNL!A969)</f>
        <v/>
      </c>
      <c r="B969">
        <f>IF(PNL!B969="","",PNL!B969)</f>
        <v/>
      </c>
      <c r="C969">
        <f>IF(PNL!C969="","",PNL!C969)</f>
        <v/>
      </c>
      <c r="D969">
        <f>IF(PNL!D969="","",PNL!D969)</f>
        <v/>
      </c>
      <c r="E969">
        <f>IF($A969="","",IF(AND($C969="2027",OR($D969="V01",$D969="V02",$D969="V03")),1,0))</f>
        <v/>
      </c>
      <c r="F969">
        <f>IF($A969="","",IF($E969=1,SUMIFS(Comptabilité!$F$1:$F$675,Comptabilité!$A$1:$A$675,$A969,Comptabilité!$B$1:$B$675,$B969,Comptabilité!$C$1:$C$675,"2026"),0))</f>
        <v/>
      </c>
      <c r="G969">
        <f>IF($A969="","",IF($D969="V01",Cadrage!$C$22,IF($D969="V02",Cadrage!$D$22,Cadrage!$E$22)))</f>
        <v/>
      </c>
      <c r="H969">
        <f>IF($A969="","",IF($D969="V01",Cadrage!$C$23,IF($D969="V02",Cadrage!$D$23,Cadrage!$E$23)))</f>
        <v/>
      </c>
      <c r="I969">
        <f>IF($A969="","",IF($D969="V01",Cadrage!$C$31,IF($D969="V02",Cadrage!$D$31,Cadrage!$E$31)))</f>
        <v/>
      </c>
      <c r="J969">
        <f>IF($A969="","",IF($D969="V01",Cadrage!$C$32,IF($D969="V02",Cadrage!$D$32,Cadrage!$E$32)))</f>
        <v/>
      </c>
      <c r="K969">
        <f>IF($A969="","",IF($D969="V01",Cadrage!$C$33,IF($D969="V02",Cadrage!$D$33,Cadrage!$E$33)))</f>
        <v/>
      </c>
      <c r="L969">
        <f>IF($A969="","",IF($D969="V01",Cadrage!$C$34,IF($D969="V02",Cadrage!$D$34,Cadrage!$E$34)))</f>
        <v/>
      </c>
      <c r="M969">
        <f>IF($A969="","",IF($D969="V01",Cadrage!$C$35,IF($D969="V02",Cadrage!$D$35,Cadrage!$E$35)))</f>
        <v/>
      </c>
      <c r="N969">
        <f>IF($A969="","",IF($D969="V01",$R$2,IF($D969="V02",$R$3,$R$4)))</f>
        <v/>
      </c>
      <c r="O969">
        <f>IF($A969="","",IF(OR($B969="7062",$B969="706",$B969="708"),$N969,IF($B969="6231",1+$G969,IF($B969="6236",1+$H969,IF(OR($B969="621",$B969="604",$B969="6063"),$N969*(1-$L969),IF(OR($B969="6411",$B969="6413",$B969="6414",$B969="645"),(1+$J969)*(1+$K969),IF(OR($B969="613",$B969="615",$B969="616",$B969="6226",$B969="625",$B969="626",$B969="6281"),(1+$I969)*(1-$L969)*(1+$M969),IF(OR($B969="6331",$B969="63511",$B969="6333"),(1+$I969)*(1-$L969),IF($B969="6811",1+$I969,1)))))))))</f>
        <v/>
      </c>
      <c r="P969">
        <f>IF($A969="","",IF($E969=1,$F969*$O969,PNL!G969))</f>
        <v/>
      </c>
      <c r="T969">
        <f>IF($A969="","",IF($E969=1,IF(OR($B969="7062",$B969="706",$B969="708"),$P969,IF(AND(LEFT($B969,1)="6",$B969&lt;&gt;"6811"),-$P969,0)),0))</f>
        <v/>
      </c>
    </row>
    <row r="970">
      <c r="A970">
        <f>IF(PNL!A970="","",PNL!A970)</f>
        <v/>
      </c>
      <c r="B970">
        <f>IF(PNL!B970="","",PNL!B970)</f>
        <v/>
      </c>
      <c r="C970">
        <f>IF(PNL!C970="","",PNL!C970)</f>
        <v/>
      </c>
      <c r="D970">
        <f>IF(PNL!D970="","",PNL!D970)</f>
        <v/>
      </c>
      <c r="E970">
        <f>IF($A970="","",IF(AND($C970="2027",OR($D970="V01",$D970="V02",$D970="V03")),1,0))</f>
        <v/>
      </c>
      <c r="F970">
        <f>IF($A970="","",IF($E970=1,SUMIFS(Comptabilité!$F$1:$F$675,Comptabilité!$A$1:$A$675,$A970,Comptabilité!$B$1:$B$675,$B970,Comptabilité!$C$1:$C$675,"2026"),0))</f>
        <v/>
      </c>
      <c r="G970">
        <f>IF($A970="","",IF($D970="V01",Cadrage!$C$22,IF($D970="V02",Cadrage!$D$22,Cadrage!$E$22)))</f>
        <v/>
      </c>
      <c r="H970">
        <f>IF($A970="","",IF($D970="V01",Cadrage!$C$23,IF($D970="V02",Cadrage!$D$23,Cadrage!$E$23)))</f>
        <v/>
      </c>
      <c r="I970">
        <f>IF($A970="","",IF($D970="V01",Cadrage!$C$31,IF($D970="V02",Cadrage!$D$31,Cadrage!$E$31)))</f>
        <v/>
      </c>
      <c r="J970">
        <f>IF($A970="","",IF($D970="V01",Cadrage!$C$32,IF($D970="V02",Cadrage!$D$32,Cadrage!$E$32)))</f>
        <v/>
      </c>
      <c r="K970">
        <f>IF($A970="","",IF($D970="V01",Cadrage!$C$33,IF($D970="V02",Cadrage!$D$33,Cadrage!$E$33)))</f>
        <v/>
      </c>
      <c r="L970">
        <f>IF($A970="","",IF($D970="V01",Cadrage!$C$34,IF($D970="V02",Cadrage!$D$34,Cadrage!$E$34)))</f>
        <v/>
      </c>
      <c r="M970">
        <f>IF($A970="","",IF($D970="V01",Cadrage!$C$35,IF($D970="V02",Cadrage!$D$35,Cadrage!$E$35)))</f>
        <v/>
      </c>
      <c r="N970">
        <f>IF($A970="","",IF($D970="V01",$R$2,IF($D970="V02",$R$3,$R$4)))</f>
        <v/>
      </c>
      <c r="O970">
        <f>IF($A970="","",IF(OR($B970="7062",$B970="706",$B970="708"),$N970,IF($B970="6231",1+$G970,IF($B970="6236",1+$H970,IF(OR($B970="621",$B970="604",$B970="6063"),$N970*(1-$L970),IF(OR($B970="6411",$B970="6413",$B970="6414",$B970="645"),(1+$J970)*(1+$K970),IF(OR($B970="613",$B970="615",$B970="616",$B970="6226",$B970="625",$B970="626",$B970="6281"),(1+$I970)*(1-$L970)*(1+$M970),IF(OR($B970="6331",$B970="63511",$B970="6333"),(1+$I970)*(1-$L970),IF($B970="6811",1+$I970,1)))))))))</f>
        <v/>
      </c>
      <c r="P970">
        <f>IF($A970="","",IF($E970=1,$F970*$O970,PNL!G970))</f>
        <v/>
      </c>
      <c r="T970">
        <f>IF($A970="","",IF($E970=1,IF(OR($B970="7062",$B970="706",$B970="708"),$P970,IF(AND(LEFT($B970,1)="6",$B970&lt;&gt;"6811"),-$P970,0)),0))</f>
        <v/>
      </c>
    </row>
    <row r="971">
      <c r="A971">
        <f>IF(PNL!A971="","",PNL!A971)</f>
        <v/>
      </c>
      <c r="B971">
        <f>IF(PNL!B971="","",PNL!B971)</f>
        <v/>
      </c>
      <c r="C971">
        <f>IF(PNL!C971="","",PNL!C971)</f>
        <v/>
      </c>
      <c r="D971">
        <f>IF(PNL!D971="","",PNL!D971)</f>
        <v/>
      </c>
      <c r="E971">
        <f>IF($A971="","",IF(AND($C971="2027",OR($D971="V01",$D971="V02",$D971="V03")),1,0))</f>
        <v/>
      </c>
      <c r="F971">
        <f>IF($A971="","",IF($E971=1,SUMIFS(Comptabilité!$F$1:$F$675,Comptabilité!$A$1:$A$675,$A971,Comptabilité!$B$1:$B$675,$B971,Comptabilité!$C$1:$C$675,"2026"),0))</f>
        <v/>
      </c>
      <c r="G971">
        <f>IF($A971="","",IF($D971="V01",Cadrage!$C$22,IF($D971="V02",Cadrage!$D$22,Cadrage!$E$22)))</f>
        <v/>
      </c>
      <c r="H971">
        <f>IF($A971="","",IF($D971="V01",Cadrage!$C$23,IF($D971="V02",Cadrage!$D$23,Cadrage!$E$23)))</f>
        <v/>
      </c>
      <c r="I971">
        <f>IF($A971="","",IF($D971="V01",Cadrage!$C$31,IF($D971="V02",Cadrage!$D$31,Cadrage!$E$31)))</f>
        <v/>
      </c>
      <c r="J971">
        <f>IF($A971="","",IF($D971="V01",Cadrage!$C$32,IF($D971="V02",Cadrage!$D$32,Cadrage!$E$32)))</f>
        <v/>
      </c>
      <c r="K971">
        <f>IF($A971="","",IF($D971="V01",Cadrage!$C$33,IF($D971="V02",Cadrage!$D$33,Cadrage!$E$33)))</f>
        <v/>
      </c>
      <c r="L971">
        <f>IF($A971="","",IF($D971="V01",Cadrage!$C$34,IF($D971="V02",Cadrage!$D$34,Cadrage!$E$34)))</f>
        <v/>
      </c>
      <c r="M971">
        <f>IF($A971="","",IF($D971="V01",Cadrage!$C$35,IF($D971="V02",Cadrage!$D$35,Cadrage!$E$35)))</f>
        <v/>
      </c>
      <c r="N971">
        <f>IF($A971="","",IF($D971="V01",$R$2,IF($D971="V02",$R$3,$R$4)))</f>
        <v/>
      </c>
      <c r="O971">
        <f>IF($A971="","",IF(OR($B971="7062",$B971="706",$B971="708"),$N971,IF($B971="6231",1+$G971,IF($B971="6236",1+$H971,IF(OR($B971="621",$B971="604",$B971="6063"),$N971*(1-$L971),IF(OR($B971="6411",$B971="6413",$B971="6414",$B971="645"),(1+$J971)*(1+$K971),IF(OR($B971="613",$B971="615",$B971="616",$B971="6226",$B971="625",$B971="626",$B971="6281"),(1+$I971)*(1-$L971)*(1+$M971),IF(OR($B971="6331",$B971="63511",$B971="6333"),(1+$I971)*(1-$L971),IF($B971="6811",1+$I971,1)))))))))</f>
        <v/>
      </c>
      <c r="P971">
        <f>IF($A971="","",IF($E971=1,$F971*$O971,PNL!G971))</f>
        <v/>
      </c>
      <c r="T971">
        <f>IF($A971="","",IF($E971=1,IF(OR($B971="7062",$B971="706",$B971="708"),$P971,IF(AND(LEFT($B971,1)="6",$B971&lt;&gt;"6811"),-$P971,0)),0))</f>
        <v/>
      </c>
    </row>
    <row r="972">
      <c r="A972">
        <f>IF(PNL!A972="","",PNL!A972)</f>
        <v/>
      </c>
      <c r="B972">
        <f>IF(PNL!B972="","",PNL!B972)</f>
        <v/>
      </c>
      <c r="C972">
        <f>IF(PNL!C972="","",PNL!C972)</f>
        <v/>
      </c>
      <c r="D972">
        <f>IF(PNL!D972="","",PNL!D972)</f>
        <v/>
      </c>
      <c r="E972">
        <f>IF($A972="","",IF(AND($C972="2027",OR($D972="V01",$D972="V02",$D972="V03")),1,0))</f>
        <v/>
      </c>
      <c r="F972">
        <f>IF($A972="","",IF($E972=1,SUMIFS(Comptabilité!$F$1:$F$675,Comptabilité!$A$1:$A$675,$A972,Comptabilité!$B$1:$B$675,$B972,Comptabilité!$C$1:$C$675,"2026"),0))</f>
        <v/>
      </c>
      <c r="G972">
        <f>IF($A972="","",IF($D972="V01",Cadrage!$C$22,IF($D972="V02",Cadrage!$D$22,Cadrage!$E$22)))</f>
        <v/>
      </c>
      <c r="H972">
        <f>IF($A972="","",IF($D972="V01",Cadrage!$C$23,IF($D972="V02",Cadrage!$D$23,Cadrage!$E$23)))</f>
        <v/>
      </c>
      <c r="I972">
        <f>IF($A972="","",IF($D972="V01",Cadrage!$C$31,IF($D972="V02",Cadrage!$D$31,Cadrage!$E$31)))</f>
        <v/>
      </c>
      <c r="J972">
        <f>IF($A972="","",IF($D972="V01",Cadrage!$C$32,IF($D972="V02",Cadrage!$D$32,Cadrage!$E$32)))</f>
        <v/>
      </c>
      <c r="K972">
        <f>IF($A972="","",IF($D972="V01",Cadrage!$C$33,IF($D972="V02",Cadrage!$D$33,Cadrage!$E$33)))</f>
        <v/>
      </c>
      <c r="L972">
        <f>IF($A972="","",IF($D972="V01",Cadrage!$C$34,IF($D972="V02",Cadrage!$D$34,Cadrage!$E$34)))</f>
        <v/>
      </c>
      <c r="M972">
        <f>IF($A972="","",IF($D972="V01",Cadrage!$C$35,IF($D972="V02",Cadrage!$D$35,Cadrage!$E$35)))</f>
        <v/>
      </c>
      <c r="N972">
        <f>IF($A972="","",IF($D972="V01",$R$2,IF($D972="V02",$R$3,$R$4)))</f>
        <v/>
      </c>
      <c r="O972">
        <f>IF($A972="","",IF(OR($B972="7062",$B972="706",$B972="708"),$N972,IF($B972="6231",1+$G972,IF($B972="6236",1+$H972,IF(OR($B972="621",$B972="604",$B972="6063"),$N972*(1-$L972),IF(OR($B972="6411",$B972="6413",$B972="6414",$B972="645"),(1+$J972)*(1+$K972),IF(OR($B972="613",$B972="615",$B972="616",$B972="6226",$B972="625",$B972="626",$B972="6281"),(1+$I972)*(1-$L972)*(1+$M972),IF(OR($B972="6331",$B972="63511",$B972="6333"),(1+$I972)*(1-$L972),IF($B972="6811",1+$I972,1)))))))))</f>
        <v/>
      </c>
      <c r="P972">
        <f>IF($A972="","",IF($E972=1,$F972*$O972,PNL!G972))</f>
        <v/>
      </c>
      <c r="T972">
        <f>IF($A972="","",IF($E972=1,IF(OR($B972="7062",$B972="706",$B972="708"),$P972,IF(AND(LEFT($B972,1)="6",$B972&lt;&gt;"6811"),-$P972,0)),0))</f>
        <v/>
      </c>
    </row>
    <row r="973">
      <c r="A973">
        <f>IF(PNL!A973="","",PNL!A973)</f>
        <v/>
      </c>
      <c r="B973">
        <f>IF(PNL!B973="","",PNL!B973)</f>
        <v/>
      </c>
      <c r="C973">
        <f>IF(PNL!C973="","",PNL!C973)</f>
        <v/>
      </c>
      <c r="D973">
        <f>IF(PNL!D973="","",PNL!D973)</f>
        <v/>
      </c>
      <c r="E973">
        <f>IF($A973="","",IF(AND($C973="2027",OR($D973="V01",$D973="V02",$D973="V03")),1,0))</f>
        <v/>
      </c>
      <c r="F973">
        <f>IF($A973="","",IF($E973=1,SUMIFS(Comptabilité!$F$1:$F$675,Comptabilité!$A$1:$A$675,$A973,Comptabilité!$B$1:$B$675,$B973,Comptabilité!$C$1:$C$675,"2026"),0))</f>
        <v/>
      </c>
      <c r="G973">
        <f>IF($A973="","",IF($D973="V01",Cadrage!$C$22,IF($D973="V02",Cadrage!$D$22,Cadrage!$E$22)))</f>
        <v/>
      </c>
      <c r="H973">
        <f>IF($A973="","",IF($D973="V01",Cadrage!$C$23,IF($D973="V02",Cadrage!$D$23,Cadrage!$E$23)))</f>
        <v/>
      </c>
      <c r="I973">
        <f>IF($A973="","",IF($D973="V01",Cadrage!$C$31,IF($D973="V02",Cadrage!$D$31,Cadrage!$E$31)))</f>
        <v/>
      </c>
      <c r="J973">
        <f>IF($A973="","",IF($D973="V01",Cadrage!$C$32,IF($D973="V02",Cadrage!$D$32,Cadrage!$E$32)))</f>
        <v/>
      </c>
      <c r="K973">
        <f>IF($A973="","",IF($D973="V01",Cadrage!$C$33,IF($D973="V02",Cadrage!$D$33,Cadrage!$E$33)))</f>
        <v/>
      </c>
      <c r="L973">
        <f>IF($A973="","",IF($D973="V01",Cadrage!$C$34,IF($D973="V02",Cadrage!$D$34,Cadrage!$E$34)))</f>
        <v/>
      </c>
      <c r="M973">
        <f>IF($A973="","",IF($D973="V01",Cadrage!$C$35,IF($D973="V02",Cadrage!$D$35,Cadrage!$E$35)))</f>
        <v/>
      </c>
      <c r="N973">
        <f>IF($A973="","",IF($D973="V01",$R$2,IF($D973="V02",$R$3,$R$4)))</f>
        <v/>
      </c>
      <c r="O973">
        <f>IF($A973="","",IF(OR($B973="7062",$B973="706",$B973="708"),$N973,IF($B973="6231",1+$G973,IF($B973="6236",1+$H973,IF(OR($B973="621",$B973="604",$B973="6063"),$N973*(1-$L973),IF(OR($B973="6411",$B973="6413",$B973="6414",$B973="645"),(1+$J973)*(1+$K973),IF(OR($B973="613",$B973="615",$B973="616",$B973="6226",$B973="625",$B973="626",$B973="6281"),(1+$I973)*(1-$L973)*(1+$M973),IF(OR($B973="6331",$B973="63511",$B973="6333"),(1+$I973)*(1-$L973),IF($B973="6811",1+$I973,1)))))))))</f>
        <v/>
      </c>
      <c r="P973">
        <f>IF($A973="","",IF($E973=1,$F973*$O973,PNL!G973))</f>
        <v/>
      </c>
      <c r="T973">
        <f>IF($A973="","",IF($E973=1,IF(OR($B973="7062",$B973="706",$B973="708"),$P973,IF(AND(LEFT($B973,1)="6",$B973&lt;&gt;"6811"),-$P973,0)),0))</f>
        <v/>
      </c>
    </row>
    <row r="974">
      <c r="A974">
        <f>IF(PNL!A974="","",PNL!A974)</f>
        <v/>
      </c>
      <c r="B974">
        <f>IF(PNL!B974="","",PNL!B974)</f>
        <v/>
      </c>
      <c r="C974">
        <f>IF(PNL!C974="","",PNL!C974)</f>
        <v/>
      </c>
      <c r="D974">
        <f>IF(PNL!D974="","",PNL!D974)</f>
        <v/>
      </c>
      <c r="E974">
        <f>IF($A974="","",IF(AND($C974="2027",OR($D974="V01",$D974="V02",$D974="V03")),1,0))</f>
        <v/>
      </c>
      <c r="F974">
        <f>IF($A974="","",IF($E974=1,SUMIFS(Comptabilité!$F$1:$F$675,Comptabilité!$A$1:$A$675,$A974,Comptabilité!$B$1:$B$675,$B974,Comptabilité!$C$1:$C$675,"2026"),0))</f>
        <v/>
      </c>
      <c r="G974">
        <f>IF($A974="","",IF($D974="V01",Cadrage!$C$22,IF($D974="V02",Cadrage!$D$22,Cadrage!$E$22)))</f>
        <v/>
      </c>
      <c r="H974">
        <f>IF($A974="","",IF($D974="V01",Cadrage!$C$23,IF($D974="V02",Cadrage!$D$23,Cadrage!$E$23)))</f>
        <v/>
      </c>
      <c r="I974">
        <f>IF($A974="","",IF($D974="V01",Cadrage!$C$31,IF($D974="V02",Cadrage!$D$31,Cadrage!$E$31)))</f>
        <v/>
      </c>
      <c r="J974">
        <f>IF($A974="","",IF($D974="V01",Cadrage!$C$32,IF($D974="V02",Cadrage!$D$32,Cadrage!$E$32)))</f>
        <v/>
      </c>
      <c r="K974">
        <f>IF($A974="","",IF($D974="V01",Cadrage!$C$33,IF($D974="V02",Cadrage!$D$33,Cadrage!$E$33)))</f>
        <v/>
      </c>
      <c r="L974">
        <f>IF($A974="","",IF($D974="V01",Cadrage!$C$34,IF($D974="V02",Cadrage!$D$34,Cadrage!$E$34)))</f>
        <v/>
      </c>
      <c r="M974">
        <f>IF($A974="","",IF($D974="V01",Cadrage!$C$35,IF($D974="V02",Cadrage!$D$35,Cadrage!$E$35)))</f>
        <v/>
      </c>
      <c r="N974">
        <f>IF($A974="","",IF($D974="V01",$R$2,IF($D974="V02",$R$3,$R$4)))</f>
        <v/>
      </c>
      <c r="O974">
        <f>IF($A974="","",IF(OR($B974="7062",$B974="706",$B974="708"),$N974,IF($B974="6231",1+$G974,IF($B974="6236",1+$H974,IF(OR($B974="621",$B974="604",$B974="6063"),$N974*(1-$L974),IF(OR($B974="6411",$B974="6413",$B974="6414",$B974="645"),(1+$J974)*(1+$K974),IF(OR($B974="613",$B974="615",$B974="616",$B974="6226",$B974="625",$B974="626",$B974="6281"),(1+$I974)*(1-$L974)*(1+$M974),IF(OR($B974="6331",$B974="63511",$B974="6333"),(1+$I974)*(1-$L974),IF($B974="6811",1+$I974,1)))))))))</f>
        <v/>
      </c>
      <c r="P974">
        <f>IF($A974="","",IF($E974=1,$F974*$O974,PNL!G974))</f>
        <v/>
      </c>
      <c r="T974">
        <f>IF($A974="","",IF($E974=1,IF(OR($B974="7062",$B974="706",$B974="708"),$P974,IF(AND(LEFT($B974,1)="6",$B974&lt;&gt;"6811"),-$P974,0)),0))</f>
        <v/>
      </c>
    </row>
    <row r="975">
      <c r="A975">
        <f>IF(PNL!A975="","",PNL!A975)</f>
        <v/>
      </c>
      <c r="B975">
        <f>IF(PNL!B975="","",PNL!B975)</f>
        <v/>
      </c>
      <c r="C975">
        <f>IF(PNL!C975="","",PNL!C975)</f>
        <v/>
      </c>
      <c r="D975">
        <f>IF(PNL!D975="","",PNL!D975)</f>
        <v/>
      </c>
      <c r="E975">
        <f>IF($A975="","",IF(AND($C975="2027",OR($D975="V01",$D975="V02",$D975="V03")),1,0))</f>
        <v/>
      </c>
      <c r="F975">
        <f>IF($A975="","",IF($E975=1,SUMIFS(Comptabilité!$F$1:$F$675,Comptabilité!$A$1:$A$675,$A975,Comptabilité!$B$1:$B$675,$B975,Comptabilité!$C$1:$C$675,"2026"),0))</f>
        <v/>
      </c>
      <c r="G975">
        <f>IF($A975="","",IF($D975="V01",Cadrage!$C$22,IF($D975="V02",Cadrage!$D$22,Cadrage!$E$22)))</f>
        <v/>
      </c>
      <c r="H975">
        <f>IF($A975="","",IF($D975="V01",Cadrage!$C$23,IF($D975="V02",Cadrage!$D$23,Cadrage!$E$23)))</f>
        <v/>
      </c>
      <c r="I975">
        <f>IF($A975="","",IF($D975="V01",Cadrage!$C$31,IF($D975="V02",Cadrage!$D$31,Cadrage!$E$31)))</f>
        <v/>
      </c>
      <c r="J975">
        <f>IF($A975="","",IF($D975="V01",Cadrage!$C$32,IF($D975="V02",Cadrage!$D$32,Cadrage!$E$32)))</f>
        <v/>
      </c>
      <c r="K975">
        <f>IF($A975="","",IF($D975="V01",Cadrage!$C$33,IF($D975="V02",Cadrage!$D$33,Cadrage!$E$33)))</f>
        <v/>
      </c>
      <c r="L975">
        <f>IF($A975="","",IF($D975="V01",Cadrage!$C$34,IF($D975="V02",Cadrage!$D$34,Cadrage!$E$34)))</f>
        <v/>
      </c>
      <c r="M975">
        <f>IF($A975="","",IF($D975="V01",Cadrage!$C$35,IF($D975="V02",Cadrage!$D$35,Cadrage!$E$35)))</f>
        <v/>
      </c>
      <c r="N975">
        <f>IF($A975="","",IF($D975="V01",$R$2,IF($D975="V02",$R$3,$R$4)))</f>
        <v/>
      </c>
      <c r="O975">
        <f>IF($A975="","",IF(OR($B975="7062",$B975="706",$B975="708"),$N975,IF($B975="6231",1+$G975,IF($B975="6236",1+$H975,IF(OR($B975="621",$B975="604",$B975="6063"),$N975*(1-$L975),IF(OR($B975="6411",$B975="6413",$B975="6414",$B975="645"),(1+$J975)*(1+$K975),IF(OR($B975="613",$B975="615",$B975="616",$B975="6226",$B975="625",$B975="626",$B975="6281"),(1+$I975)*(1-$L975)*(1+$M975),IF(OR($B975="6331",$B975="63511",$B975="6333"),(1+$I975)*(1-$L975),IF($B975="6811",1+$I975,1)))))))))</f>
        <v/>
      </c>
      <c r="P975">
        <f>IF($A975="","",IF($E975=1,$F975*$O975,PNL!G975))</f>
        <v/>
      </c>
      <c r="T975">
        <f>IF($A975="","",IF($E975=1,IF(OR($B975="7062",$B975="706",$B975="708"),$P975,IF(AND(LEFT($B975,1)="6",$B975&lt;&gt;"6811"),-$P975,0)),0))</f>
        <v/>
      </c>
    </row>
    <row r="976">
      <c r="A976">
        <f>IF(PNL!A976="","",PNL!A976)</f>
        <v/>
      </c>
      <c r="B976">
        <f>IF(PNL!B976="","",PNL!B976)</f>
        <v/>
      </c>
      <c r="C976">
        <f>IF(PNL!C976="","",PNL!C976)</f>
        <v/>
      </c>
      <c r="D976">
        <f>IF(PNL!D976="","",PNL!D976)</f>
        <v/>
      </c>
      <c r="E976">
        <f>IF($A976="","",IF(AND($C976="2027",OR($D976="V01",$D976="V02",$D976="V03")),1,0))</f>
        <v/>
      </c>
      <c r="F976">
        <f>IF($A976="","",IF($E976=1,SUMIFS(Comptabilité!$F$1:$F$675,Comptabilité!$A$1:$A$675,$A976,Comptabilité!$B$1:$B$675,$B976,Comptabilité!$C$1:$C$675,"2026"),0))</f>
        <v/>
      </c>
      <c r="G976">
        <f>IF($A976="","",IF($D976="V01",Cadrage!$C$22,IF($D976="V02",Cadrage!$D$22,Cadrage!$E$22)))</f>
        <v/>
      </c>
      <c r="H976">
        <f>IF($A976="","",IF($D976="V01",Cadrage!$C$23,IF($D976="V02",Cadrage!$D$23,Cadrage!$E$23)))</f>
        <v/>
      </c>
      <c r="I976">
        <f>IF($A976="","",IF($D976="V01",Cadrage!$C$31,IF($D976="V02",Cadrage!$D$31,Cadrage!$E$31)))</f>
        <v/>
      </c>
      <c r="J976">
        <f>IF($A976="","",IF($D976="V01",Cadrage!$C$32,IF($D976="V02",Cadrage!$D$32,Cadrage!$E$32)))</f>
        <v/>
      </c>
      <c r="K976">
        <f>IF($A976="","",IF($D976="V01",Cadrage!$C$33,IF($D976="V02",Cadrage!$D$33,Cadrage!$E$33)))</f>
        <v/>
      </c>
      <c r="L976">
        <f>IF($A976="","",IF($D976="V01",Cadrage!$C$34,IF($D976="V02",Cadrage!$D$34,Cadrage!$E$34)))</f>
        <v/>
      </c>
      <c r="M976">
        <f>IF($A976="","",IF($D976="V01",Cadrage!$C$35,IF($D976="V02",Cadrage!$D$35,Cadrage!$E$35)))</f>
        <v/>
      </c>
      <c r="N976">
        <f>IF($A976="","",IF($D976="V01",$R$2,IF($D976="V02",$R$3,$R$4)))</f>
        <v/>
      </c>
      <c r="O976">
        <f>IF($A976="","",IF(OR($B976="7062",$B976="706",$B976="708"),$N976,IF($B976="6231",1+$G976,IF($B976="6236",1+$H976,IF(OR($B976="621",$B976="604",$B976="6063"),$N976*(1-$L976),IF(OR($B976="6411",$B976="6413",$B976="6414",$B976="645"),(1+$J976)*(1+$K976),IF(OR($B976="613",$B976="615",$B976="616",$B976="6226",$B976="625",$B976="626",$B976="6281"),(1+$I976)*(1-$L976)*(1+$M976),IF(OR($B976="6331",$B976="63511",$B976="6333"),(1+$I976)*(1-$L976),IF($B976="6811",1+$I976,1)))))))))</f>
        <v/>
      </c>
      <c r="P976">
        <f>IF($A976="","",IF($E976=1,$F976*$O976,PNL!G976))</f>
        <v/>
      </c>
      <c r="T976">
        <f>IF($A976="","",IF($E976=1,IF(OR($B976="7062",$B976="706",$B976="708"),$P976,IF(AND(LEFT($B976,1)="6",$B976&lt;&gt;"6811"),-$P976,0)),0))</f>
        <v/>
      </c>
    </row>
    <row r="977">
      <c r="A977">
        <f>IF(PNL!A977="","",PNL!A977)</f>
        <v/>
      </c>
      <c r="B977">
        <f>IF(PNL!B977="","",PNL!B977)</f>
        <v/>
      </c>
      <c r="C977">
        <f>IF(PNL!C977="","",PNL!C977)</f>
        <v/>
      </c>
      <c r="D977">
        <f>IF(PNL!D977="","",PNL!D977)</f>
        <v/>
      </c>
      <c r="E977">
        <f>IF($A977="","",IF(AND($C977="2027",OR($D977="V01",$D977="V02",$D977="V03")),1,0))</f>
        <v/>
      </c>
      <c r="F977">
        <f>IF($A977="","",IF($E977=1,SUMIFS(Comptabilité!$F$1:$F$675,Comptabilité!$A$1:$A$675,$A977,Comptabilité!$B$1:$B$675,$B977,Comptabilité!$C$1:$C$675,"2026"),0))</f>
        <v/>
      </c>
      <c r="G977">
        <f>IF($A977="","",IF($D977="V01",Cadrage!$C$22,IF($D977="V02",Cadrage!$D$22,Cadrage!$E$22)))</f>
        <v/>
      </c>
      <c r="H977">
        <f>IF($A977="","",IF($D977="V01",Cadrage!$C$23,IF($D977="V02",Cadrage!$D$23,Cadrage!$E$23)))</f>
        <v/>
      </c>
      <c r="I977">
        <f>IF($A977="","",IF($D977="V01",Cadrage!$C$31,IF($D977="V02",Cadrage!$D$31,Cadrage!$E$31)))</f>
        <v/>
      </c>
      <c r="J977">
        <f>IF($A977="","",IF($D977="V01",Cadrage!$C$32,IF($D977="V02",Cadrage!$D$32,Cadrage!$E$32)))</f>
        <v/>
      </c>
      <c r="K977">
        <f>IF($A977="","",IF($D977="V01",Cadrage!$C$33,IF($D977="V02",Cadrage!$D$33,Cadrage!$E$33)))</f>
        <v/>
      </c>
      <c r="L977">
        <f>IF($A977="","",IF($D977="V01",Cadrage!$C$34,IF($D977="V02",Cadrage!$D$34,Cadrage!$E$34)))</f>
        <v/>
      </c>
      <c r="M977">
        <f>IF($A977="","",IF($D977="V01",Cadrage!$C$35,IF($D977="V02",Cadrage!$D$35,Cadrage!$E$35)))</f>
        <v/>
      </c>
      <c r="N977">
        <f>IF($A977="","",IF($D977="V01",$R$2,IF($D977="V02",$R$3,$R$4)))</f>
        <v/>
      </c>
      <c r="O977">
        <f>IF($A977="","",IF(OR($B977="7062",$B977="706",$B977="708"),$N977,IF($B977="6231",1+$G977,IF($B977="6236",1+$H977,IF(OR($B977="621",$B977="604",$B977="6063"),$N977*(1-$L977),IF(OR($B977="6411",$B977="6413",$B977="6414",$B977="645"),(1+$J977)*(1+$K977),IF(OR($B977="613",$B977="615",$B977="616",$B977="6226",$B977="625",$B977="626",$B977="6281"),(1+$I977)*(1-$L977)*(1+$M977),IF(OR($B977="6331",$B977="63511",$B977="6333"),(1+$I977)*(1-$L977),IF($B977="6811",1+$I977,1)))))))))</f>
        <v/>
      </c>
      <c r="P977">
        <f>IF($A977="","",IF($E977=1,$F977*$O977,PNL!G977))</f>
        <v/>
      </c>
      <c r="T977">
        <f>IF($A977="","",IF($E977=1,IF(OR($B977="7062",$B977="706",$B977="708"),$P977,IF(AND(LEFT($B977,1)="6",$B977&lt;&gt;"6811"),-$P977,0)),0))</f>
        <v/>
      </c>
    </row>
    <row r="978">
      <c r="A978">
        <f>IF(PNL!A978="","",PNL!A978)</f>
        <v/>
      </c>
      <c r="B978">
        <f>IF(PNL!B978="","",PNL!B978)</f>
        <v/>
      </c>
      <c r="C978">
        <f>IF(PNL!C978="","",PNL!C978)</f>
        <v/>
      </c>
      <c r="D978">
        <f>IF(PNL!D978="","",PNL!D978)</f>
        <v/>
      </c>
      <c r="E978">
        <f>IF($A978="","",IF(AND($C978="2027",OR($D978="V01",$D978="V02",$D978="V03")),1,0))</f>
        <v/>
      </c>
      <c r="F978">
        <f>IF($A978="","",IF($E978=1,SUMIFS(Comptabilité!$F$1:$F$675,Comptabilité!$A$1:$A$675,$A978,Comptabilité!$B$1:$B$675,$B978,Comptabilité!$C$1:$C$675,"2026"),0))</f>
        <v/>
      </c>
      <c r="G978">
        <f>IF($A978="","",IF($D978="V01",Cadrage!$C$22,IF($D978="V02",Cadrage!$D$22,Cadrage!$E$22)))</f>
        <v/>
      </c>
      <c r="H978">
        <f>IF($A978="","",IF($D978="V01",Cadrage!$C$23,IF($D978="V02",Cadrage!$D$23,Cadrage!$E$23)))</f>
        <v/>
      </c>
      <c r="I978">
        <f>IF($A978="","",IF($D978="V01",Cadrage!$C$31,IF($D978="V02",Cadrage!$D$31,Cadrage!$E$31)))</f>
        <v/>
      </c>
      <c r="J978">
        <f>IF($A978="","",IF($D978="V01",Cadrage!$C$32,IF($D978="V02",Cadrage!$D$32,Cadrage!$E$32)))</f>
        <v/>
      </c>
      <c r="K978">
        <f>IF($A978="","",IF($D978="V01",Cadrage!$C$33,IF($D978="V02",Cadrage!$D$33,Cadrage!$E$33)))</f>
        <v/>
      </c>
      <c r="L978">
        <f>IF($A978="","",IF($D978="V01",Cadrage!$C$34,IF($D978="V02",Cadrage!$D$34,Cadrage!$E$34)))</f>
        <v/>
      </c>
      <c r="M978">
        <f>IF($A978="","",IF($D978="V01",Cadrage!$C$35,IF($D978="V02",Cadrage!$D$35,Cadrage!$E$35)))</f>
        <v/>
      </c>
      <c r="N978">
        <f>IF($A978="","",IF($D978="V01",$R$2,IF($D978="V02",$R$3,$R$4)))</f>
        <v/>
      </c>
      <c r="O978">
        <f>IF($A978="","",IF(OR($B978="7062",$B978="706",$B978="708"),$N978,IF($B978="6231",1+$G978,IF($B978="6236",1+$H978,IF(OR($B978="621",$B978="604",$B978="6063"),$N978*(1-$L978),IF(OR($B978="6411",$B978="6413",$B978="6414",$B978="645"),(1+$J978)*(1+$K978),IF(OR($B978="613",$B978="615",$B978="616",$B978="6226",$B978="625",$B978="626",$B978="6281"),(1+$I978)*(1-$L978)*(1+$M978),IF(OR($B978="6331",$B978="63511",$B978="6333"),(1+$I978)*(1-$L978),IF($B978="6811",1+$I978,1)))))))))</f>
        <v/>
      </c>
      <c r="P978">
        <f>IF($A978="","",IF($E978=1,$F978*$O978,PNL!G978))</f>
        <v/>
      </c>
      <c r="T978">
        <f>IF($A978="","",IF($E978=1,IF(OR($B978="7062",$B978="706",$B978="708"),$P978,IF(AND(LEFT($B978,1)="6",$B978&lt;&gt;"6811"),-$P978,0)),0))</f>
        <v/>
      </c>
    </row>
    <row r="979">
      <c r="A979">
        <f>IF(PNL!A979="","",PNL!A979)</f>
        <v/>
      </c>
      <c r="B979">
        <f>IF(PNL!B979="","",PNL!B979)</f>
        <v/>
      </c>
      <c r="C979">
        <f>IF(PNL!C979="","",PNL!C979)</f>
        <v/>
      </c>
      <c r="D979">
        <f>IF(PNL!D979="","",PNL!D979)</f>
        <v/>
      </c>
      <c r="E979">
        <f>IF($A979="","",IF(AND($C979="2027",OR($D979="V01",$D979="V02",$D979="V03")),1,0))</f>
        <v/>
      </c>
      <c r="F979">
        <f>IF($A979="","",IF($E979=1,SUMIFS(Comptabilité!$F$1:$F$675,Comptabilité!$A$1:$A$675,$A979,Comptabilité!$B$1:$B$675,$B979,Comptabilité!$C$1:$C$675,"2026"),0))</f>
        <v/>
      </c>
      <c r="G979">
        <f>IF($A979="","",IF($D979="V01",Cadrage!$C$22,IF($D979="V02",Cadrage!$D$22,Cadrage!$E$22)))</f>
        <v/>
      </c>
      <c r="H979">
        <f>IF($A979="","",IF($D979="V01",Cadrage!$C$23,IF($D979="V02",Cadrage!$D$23,Cadrage!$E$23)))</f>
        <v/>
      </c>
      <c r="I979">
        <f>IF($A979="","",IF($D979="V01",Cadrage!$C$31,IF($D979="V02",Cadrage!$D$31,Cadrage!$E$31)))</f>
        <v/>
      </c>
      <c r="J979">
        <f>IF($A979="","",IF($D979="V01",Cadrage!$C$32,IF($D979="V02",Cadrage!$D$32,Cadrage!$E$32)))</f>
        <v/>
      </c>
      <c r="K979">
        <f>IF($A979="","",IF($D979="V01",Cadrage!$C$33,IF($D979="V02",Cadrage!$D$33,Cadrage!$E$33)))</f>
        <v/>
      </c>
      <c r="L979">
        <f>IF($A979="","",IF($D979="V01",Cadrage!$C$34,IF($D979="V02",Cadrage!$D$34,Cadrage!$E$34)))</f>
        <v/>
      </c>
      <c r="M979">
        <f>IF($A979="","",IF($D979="V01",Cadrage!$C$35,IF($D979="V02",Cadrage!$D$35,Cadrage!$E$35)))</f>
        <v/>
      </c>
      <c r="N979">
        <f>IF($A979="","",IF($D979="V01",$R$2,IF($D979="V02",$R$3,$R$4)))</f>
        <v/>
      </c>
      <c r="O979">
        <f>IF($A979="","",IF(OR($B979="7062",$B979="706",$B979="708"),$N979,IF($B979="6231",1+$G979,IF($B979="6236",1+$H979,IF(OR($B979="621",$B979="604",$B979="6063"),$N979*(1-$L979),IF(OR($B979="6411",$B979="6413",$B979="6414",$B979="645"),(1+$J979)*(1+$K979),IF(OR($B979="613",$B979="615",$B979="616",$B979="6226",$B979="625",$B979="626",$B979="6281"),(1+$I979)*(1-$L979)*(1+$M979),IF(OR($B979="6331",$B979="63511",$B979="6333"),(1+$I979)*(1-$L979),IF($B979="6811",1+$I979,1)))))))))</f>
        <v/>
      </c>
      <c r="P979">
        <f>IF($A979="","",IF($E979=1,$F979*$O979,PNL!G979))</f>
        <v/>
      </c>
      <c r="T979">
        <f>IF($A979="","",IF($E979=1,IF(OR($B979="7062",$B979="706",$B979="708"),$P979,IF(AND(LEFT($B979,1)="6",$B979&lt;&gt;"6811"),-$P979,0)),0))</f>
        <v/>
      </c>
    </row>
    <row r="980">
      <c r="A980">
        <f>IF(PNL!A980="","",PNL!A980)</f>
        <v/>
      </c>
      <c r="B980">
        <f>IF(PNL!B980="","",PNL!B980)</f>
        <v/>
      </c>
      <c r="C980">
        <f>IF(PNL!C980="","",PNL!C980)</f>
        <v/>
      </c>
      <c r="D980">
        <f>IF(PNL!D980="","",PNL!D980)</f>
        <v/>
      </c>
      <c r="E980">
        <f>IF($A980="","",IF(AND($C980="2027",OR($D980="V01",$D980="V02",$D980="V03")),1,0))</f>
        <v/>
      </c>
      <c r="F980">
        <f>IF($A980="","",IF($E980=1,SUMIFS(Comptabilité!$F$1:$F$675,Comptabilité!$A$1:$A$675,$A980,Comptabilité!$B$1:$B$675,$B980,Comptabilité!$C$1:$C$675,"2026"),0))</f>
        <v/>
      </c>
      <c r="G980">
        <f>IF($A980="","",IF($D980="V01",Cadrage!$C$22,IF($D980="V02",Cadrage!$D$22,Cadrage!$E$22)))</f>
        <v/>
      </c>
      <c r="H980">
        <f>IF($A980="","",IF($D980="V01",Cadrage!$C$23,IF($D980="V02",Cadrage!$D$23,Cadrage!$E$23)))</f>
        <v/>
      </c>
      <c r="I980">
        <f>IF($A980="","",IF($D980="V01",Cadrage!$C$31,IF($D980="V02",Cadrage!$D$31,Cadrage!$E$31)))</f>
        <v/>
      </c>
      <c r="J980">
        <f>IF($A980="","",IF($D980="V01",Cadrage!$C$32,IF($D980="V02",Cadrage!$D$32,Cadrage!$E$32)))</f>
        <v/>
      </c>
      <c r="K980">
        <f>IF($A980="","",IF($D980="V01",Cadrage!$C$33,IF($D980="V02",Cadrage!$D$33,Cadrage!$E$33)))</f>
        <v/>
      </c>
      <c r="L980">
        <f>IF($A980="","",IF($D980="V01",Cadrage!$C$34,IF($D980="V02",Cadrage!$D$34,Cadrage!$E$34)))</f>
        <v/>
      </c>
      <c r="M980">
        <f>IF($A980="","",IF($D980="V01",Cadrage!$C$35,IF($D980="V02",Cadrage!$D$35,Cadrage!$E$35)))</f>
        <v/>
      </c>
      <c r="N980">
        <f>IF($A980="","",IF($D980="V01",$R$2,IF($D980="V02",$R$3,$R$4)))</f>
        <v/>
      </c>
      <c r="O980">
        <f>IF($A980="","",IF(OR($B980="7062",$B980="706",$B980="708"),$N980,IF($B980="6231",1+$G980,IF($B980="6236",1+$H980,IF(OR($B980="621",$B980="604",$B980="6063"),$N980*(1-$L980),IF(OR($B980="6411",$B980="6413",$B980="6414",$B980="645"),(1+$J980)*(1+$K980),IF(OR($B980="613",$B980="615",$B980="616",$B980="6226",$B980="625",$B980="626",$B980="6281"),(1+$I980)*(1-$L980)*(1+$M980),IF(OR($B980="6331",$B980="63511",$B980="6333"),(1+$I980)*(1-$L980),IF($B980="6811",1+$I980,1)))))))))</f>
        <v/>
      </c>
      <c r="P980">
        <f>IF($A980="","",IF($E980=1,$F980*$O980,PNL!G980))</f>
        <v/>
      </c>
      <c r="T980">
        <f>IF($A980="","",IF($E980=1,IF(OR($B980="7062",$B980="706",$B980="708"),$P980,IF(AND(LEFT($B980,1)="6",$B980&lt;&gt;"6811"),-$P980,0)),0))</f>
        <v/>
      </c>
    </row>
    <row r="981">
      <c r="A981">
        <f>IF(PNL!A981="","",PNL!A981)</f>
        <v/>
      </c>
      <c r="B981">
        <f>IF(PNL!B981="","",PNL!B981)</f>
        <v/>
      </c>
      <c r="C981">
        <f>IF(PNL!C981="","",PNL!C981)</f>
        <v/>
      </c>
      <c r="D981">
        <f>IF(PNL!D981="","",PNL!D981)</f>
        <v/>
      </c>
      <c r="E981">
        <f>IF($A981="","",IF(AND($C981="2027",OR($D981="V01",$D981="V02",$D981="V03")),1,0))</f>
        <v/>
      </c>
      <c r="F981">
        <f>IF($A981="","",IF($E981=1,SUMIFS(Comptabilité!$F$1:$F$675,Comptabilité!$A$1:$A$675,$A981,Comptabilité!$B$1:$B$675,$B981,Comptabilité!$C$1:$C$675,"2026"),0))</f>
        <v/>
      </c>
      <c r="G981">
        <f>IF($A981="","",IF($D981="V01",Cadrage!$C$22,IF($D981="V02",Cadrage!$D$22,Cadrage!$E$22)))</f>
        <v/>
      </c>
      <c r="H981">
        <f>IF($A981="","",IF($D981="V01",Cadrage!$C$23,IF($D981="V02",Cadrage!$D$23,Cadrage!$E$23)))</f>
        <v/>
      </c>
      <c r="I981">
        <f>IF($A981="","",IF($D981="V01",Cadrage!$C$31,IF($D981="V02",Cadrage!$D$31,Cadrage!$E$31)))</f>
        <v/>
      </c>
      <c r="J981">
        <f>IF($A981="","",IF($D981="V01",Cadrage!$C$32,IF($D981="V02",Cadrage!$D$32,Cadrage!$E$32)))</f>
        <v/>
      </c>
      <c r="K981">
        <f>IF($A981="","",IF($D981="V01",Cadrage!$C$33,IF($D981="V02",Cadrage!$D$33,Cadrage!$E$33)))</f>
        <v/>
      </c>
      <c r="L981">
        <f>IF($A981="","",IF($D981="V01",Cadrage!$C$34,IF($D981="V02",Cadrage!$D$34,Cadrage!$E$34)))</f>
        <v/>
      </c>
      <c r="M981">
        <f>IF($A981="","",IF($D981="V01",Cadrage!$C$35,IF($D981="V02",Cadrage!$D$35,Cadrage!$E$35)))</f>
        <v/>
      </c>
      <c r="N981">
        <f>IF($A981="","",IF($D981="V01",$R$2,IF($D981="V02",$R$3,$R$4)))</f>
        <v/>
      </c>
      <c r="O981">
        <f>IF($A981="","",IF(OR($B981="7062",$B981="706",$B981="708"),$N981,IF($B981="6231",1+$G981,IF($B981="6236",1+$H981,IF(OR($B981="621",$B981="604",$B981="6063"),$N981*(1-$L981),IF(OR($B981="6411",$B981="6413",$B981="6414",$B981="645"),(1+$J981)*(1+$K981),IF(OR($B981="613",$B981="615",$B981="616",$B981="6226",$B981="625",$B981="626",$B981="6281"),(1+$I981)*(1-$L981)*(1+$M981),IF(OR($B981="6331",$B981="63511",$B981="6333"),(1+$I981)*(1-$L981),IF($B981="6811",1+$I981,1)))))))))</f>
        <v/>
      </c>
      <c r="P981">
        <f>IF($A981="","",IF($E981=1,$F981*$O981,PNL!G981))</f>
        <v/>
      </c>
      <c r="T981">
        <f>IF($A981="","",IF($E981=1,IF(OR($B981="7062",$B981="706",$B981="708"),$P981,IF(AND(LEFT($B981,1)="6",$B981&lt;&gt;"6811"),-$P981,0)),0))</f>
        <v/>
      </c>
    </row>
    <row r="982">
      <c r="A982">
        <f>IF(PNL!A982="","",PNL!A982)</f>
        <v/>
      </c>
      <c r="B982">
        <f>IF(PNL!B982="","",PNL!B982)</f>
        <v/>
      </c>
      <c r="C982">
        <f>IF(PNL!C982="","",PNL!C982)</f>
        <v/>
      </c>
      <c r="D982">
        <f>IF(PNL!D982="","",PNL!D982)</f>
        <v/>
      </c>
      <c r="E982">
        <f>IF($A982="","",IF(AND($C982="2027",OR($D982="V01",$D982="V02",$D982="V03")),1,0))</f>
        <v/>
      </c>
      <c r="F982">
        <f>IF($A982="","",IF($E982=1,SUMIFS(Comptabilité!$F$1:$F$675,Comptabilité!$A$1:$A$675,$A982,Comptabilité!$B$1:$B$675,$B982,Comptabilité!$C$1:$C$675,"2026"),0))</f>
        <v/>
      </c>
      <c r="G982">
        <f>IF($A982="","",IF($D982="V01",Cadrage!$C$22,IF($D982="V02",Cadrage!$D$22,Cadrage!$E$22)))</f>
        <v/>
      </c>
      <c r="H982">
        <f>IF($A982="","",IF($D982="V01",Cadrage!$C$23,IF($D982="V02",Cadrage!$D$23,Cadrage!$E$23)))</f>
        <v/>
      </c>
      <c r="I982">
        <f>IF($A982="","",IF($D982="V01",Cadrage!$C$31,IF($D982="V02",Cadrage!$D$31,Cadrage!$E$31)))</f>
        <v/>
      </c>
      <c r="J982">
        <f>IF($A982="","",IF($D982="V01",Cadrage!$C$32,IF($D982="V02",Cadrage!$D$32,Cadrage!$E$32)))</f>
        <v/>
      </c>
      <c r="K982">
        <f>IF($A982="","",IF($D982="V01",Cadrage!$C$33,IF($D982="V02",Cadrage!$D$33,Cadrage!$E$33)))</f>
        <v/>
      </c>
      <c r="L982">
        <f>IF($A982="","",IF($D982="V01",Cadrage!$C$34,IF($D982="V02",Cadrage!$D$34,Cadrage!$E$34)))</f>
        <v/>
      </c>
      <c r="M982">
        <f>IF($A982="","",IF($D982="V01",Cadrage!$C$35,IF($D982="V02",Cadrage!$D$35,Cadrage!$E$35)))</f>
        <v/>
      </c>
      <c r="N982">
        <f>IF($A982="","",IF($D982="V01",$R$2,IF($D982="V02",$R$3,$R$4)))</f>
        <v/>
      </c>
      <c r="O982">
        <f>IF($A982="","",IF(OR($B982="7062",$B982="706",$B982="708"),$N982,IF($B982="6231",1+$G982,IF($B982="6236",1+$H982,IF(OR($B982="621",$B982="604",$B982="6063"),$N982*(1-$L982),IF(OR($B982="6411",$B982="6413",$B982="6414",$B982="645"),(1+$J982)*(1+$K982),IF(OR($B982="613",$B982="615",$B982="616",$B982="6226",$B982="625",$B982="626",$B982="6281"),(1+$I982)*(1-$L982)*(1+$M982),IF(OR($B982="6331",$B982="63511",$B982="6333"),(1+$I982)*(1-$L982),IF($B982="6811",1+$I982,1)))))))))</f>
        <v/>
      </c>
      <c r="P982">
        <f>IF($A982="","",IF($E982=1,$F982*$O982,PNL!G982))</f>
        <v/>
      </c>
      <c r="T982">
        <f>IF($A982="","",IF($E982=1,IF(OR($B982="7062",$B982="706",$B982="708"),$P982,IF(AND(LEFT($B982,1)="6",$B982&lt;&gt;"6811"),-$P982,0)),0))</f>
        <v/>
      </c>
    </row>
    <row r="983">
      <c r="A983">
        <f>IF(PNL!A983="","",PNL!A983)</f>
        <v/>
      </c>
      <c r="B983">
        <f>IF(PNL!B983="","",PNL!B983)</f>
        <v/>
      </c>
      <c r="C983">
        <f>IF(PNL!C983="","",PNL!C983)</f>
        <v/>
      </c>
      <c r="D983">
        <f>IF(PNL!D983="","",PNL!D983)</f>
        <v/>
      </c>
      <c r="E983">
        <f>IF($A983="","",IF(AND($C983="2027",OR($D983="V01",$D983="V02",$D983="V03")),1,0))</f>
        <v/>
      </c>
      <c r="F983">
        <f>IF($A983="","",IF($E983=1,SUMIFS(Comptabilité!$F$1:$F$675,Comptabilité!$A$1:$A$675,$A983,Comptabilité!$B$1:$B$675,$B983,Comptabilité!$C$1:$C$675,"2026"),0))</f>
        <v/>
      </c>
      <c r="G983">
        <f>IF($A983="","",IF($D983="V01",Cadrage!$C$22,IF($D983="V02",Cadrage!$D$22,Cadrage!$E$22)))</f>
        <v/>
      </c>
      <c r="H983">
        <f>IF($A983="","",IF($D983="V01",Cadrage!$C$23,IF($D983="V02",Cadrage!$D$23,Cadrage!$E$23)))</f>
        <v/>
      </c>
      <c r="I983">
        <f>IF($A983="","",IF($D983="V01",Cadrage!$C$31,IF($D983="V02",Cadrage!$D$31,Cadrage!$E$31)))</f>
        <v/>
      </c>
      <c r="J983">
        <f>IF($A983="","",IF($D983="V01",Cadrage!$C$32,IF($D983="V02",Cadrage!$D$32,Cadrage!$E$32)))</f>
        <v/>
      </c>
      <c r="K983">
        <f>IF($A983="","",IF($D983="V01",Cadrage!$C$33,IF($D983="V02",Cadrage!$D$33,Cadrage!$E$33)))</f>
        <v/>
      </c>
      <c r="L983">
        <f>IF($A983="","",IF($D983="V01",Cadrage!$C$34,IF($D983="V02",Cadrage!$D$34,Cadrage!$E$34)))</f>
        <v/>
      </c>
      <c r="M983">
        <f>IF($A983="","",IF($D983="V01",Cadrage!$C$35,IF($D983="V02",Cadrage!$D$35,Cadrage!$E$35)))</f>
        <v/>
      </c>
      <c r="N983">
        <f>IF($A983="","",IF($D983="V01",$R$2,IF($D983="V02",$R$3,$R$4)))</f>
        <v/>
      </c>
      <c r="O983">
        <f>IF($A983="","",IF(OR($B983="7062",$B983="706",$B983="708"),$N983,IF($B983="6231",1+$G983,IF($B983="6236",1+$H983,IF(OR($B983="621",$B983="604",$B983="6063"),$N983*(1-$L983),IF(OR($B983="6411",$B983="6413",$B983="6414",$B983="645"),(1+$J983)*(1+$K983),IF(OR($B983="613",$B983="615",$B983="616",$B983="6226",$B983="625",$B983="626",$B983="6281"),(1+$I983)*(1-$L983)*(1+$M983),IF(OR($B983="6331",$B983="63511",$B983="6333"),(1+$I983)*(1-$L983),IF($B983="6811",1+$I983,1)))))))))</f>
        <v/>
      </c>
      <c r="P983">
        <f>IF($A983="","",IF($E983=1,$F983*$O983,PNL!G983))</f>
        <v/>
      </c>
      <c r="T983">
        <f>IF($A983="","",IF($E983=1,IF(OR($B983="7062",$B983="706",$B983="708"),$P983,IF(AND(LEFT($B983,1)="6",$B983&lt;&gt;"6811"),-$P983,0)),0))</f>
        <v/>
      </c>
    </row>
    <row r="984">
      <c r="A984">
        <f>IF(PNL!A984="","",PNL!A984)</f>
        <v/>
      </c>
      <c r="B984">
        <f>IF(PNL!B984="","",PNL!B984)</f>
        <v/>
      </c>
      <c r="C984">
        <f>IF(PNL!C984="","",PNL!C984)</f>
        <v/>
      </c>
      <c r="D984">
        <f>IF(PNL!D984="","",PNL!D984)</f>
        <v/>
      </c>
      <c r="E984">
        <f>IF($A984="","",IF(AND($C984="2027",OR($D984="V01",$D984="V02",$D984="V03")),1,0))</f>
        <v/>
      </c>
      <c r="F984">
        <f>IF($A984="","",IF($E984=1,SUMIFS(Comptabilité!$F$1:$F$675,Comptabilité!$A$1:$A$675,$A984,Comptabilité!$B$1:$B$675,$B984,Comptabilité!$C$1:$C$675,"2026"),0))</f>
        <v/>
      </c>
      <c r="G984">
        <f>IF($A984="","",IF($D984="V01",Cadrage!$C$22,IF($D984="V02",Cadrage!$D$22,Cadrage!$E$22)))</f>
        <v/>
      </c>
      <c r="H984">
        <f>IF($A984="","",IF($D984="V01",Cadrage!$C$23,IF($D984="V02",Cadrage!$D$23,Cadrage!$E$23)))</f>
        <v/>
      </c>
      <c r="I984">
        <f>IF($A984="","",IF($D984="V01",Cadrage!$C$31,IF($D984="V02",Cadrage!$D$31,Cadrage!$E$31)))</f>
        <v/>
      </c>
      <c r="J984">
        <f>IF($A984="","",IF($D984="V01",Cadrage!$C$32,IF($D984="V02",Cadrage!$D$32,Cadrage!$E$32)))</f>
        <v/>
      </c>
      <c r="K984">
        <f>IF($A984="","",IF($D984="V01",Cadrage!$C$33,IF($D984="V02",Cadrage!$D$33,Cadrage!$E$33)))</f>
        <v/>
      </c>
      <c r="L984">
        <f>IF($A984="","",IF($D984="V01",Cadrage!$C$34,IF($D984="V02",Cadrage!$D$34,Cadrage!$E$34)))</f>
        <v/>
      </c>
      <c r="M984">
        <f>IF($A984="","",IF($D984="V01",Cadrage!$C$35,IF($D984="V02",Cadrage!$D$35,Cadrage!$E$35)))</f>
        <v/>
      </c>
      <c r="N984">
        <f>IF($A984="","",IF($D984="V01",$R$2,IF($D984="V02",$R$3,$R$4)))</f>
        <v/>
      </c>
      <c r="O984">
        <f>IF($A984="","",IF(OR($B984="7062",$B984="706",$B984="708"),$N984,IF($B984="6231",1+$G984,IF($B984="6236",1+$H984,IF(OR($B984="621",$B984="604",$B984="6063"),$N984*(1-$L984),IF(OR($B984="6411",$B984="6413",$B984="6414",$B984="645"),(1+$J984)*(1+$K984),IF(OR($B984="613",$B984="615",$B984="616",$B984="6226",$B984="625",$B984="626",$B984="6281"),(1+$I984)*(1-$L984)*(1+$M984),IF(OR($B984="6331",$B984="63511",$B984="6333"),(1+$I984)*(1-$L984),IF($B984="6811",1+$I984,1)))))))))</f>
        <v/>
      </c>
      <c r="P984">
        <f>IF($A984="","",IF($E984=1,$F984*$O984,PNL!G984))</f>
        <v/>
      </c>
      <c r="T984">
        <f>IF($A984="","",IF($E984=1,IF(OR($B984="7062",$B984="706",$B984="708"),$P984,IF(AND(LEFT($B984,1)="6",$B984&lt;&gt;"6811"),-$P984,0)),0))</f>
        <v/>
      </c>
    </row>
    <row r="985">
      <c r="A985">
        <f>IF(PNL!A985="","",PNL!A985)</f>
        <v/>
      </c>
      <c r="B985">
        <f>IF(PNL!B985="","",PNL!B985)</f>
        <v/>
      </c>
      <c r="C985">
        <f>IF(PNL!C985="","",PNL!C985)</f>
        <v/>
      </c>
      <c r="D985">
        <f>IF(PNL!D985="","",PNL!D985)</f>
        <v/>
      </c>
      <c r="E985">
        <f>IF($A985="","",IF(AND($C985="2027",OR($D985="V01",$D985="V02",$D985="V03")),1,0))</f>
        <v/>
      </c>
      <c r="F985">
        <f>IF($A985="","",IF($E985=1,SUMIFS(Comptabilité!$F$1:$F$675,Comptabilité!$A$1:$A$675,$A985,Comptabilité!$B$1:$B$675,$B985,Comptabilité!$C$1:$C$675,"2026"),0))</f>
        <v/>
      </c>
      <c r="G985">
        <f>IF($A985="","",IF($D985="V01",Cadrage!$C$22,IF($D985="V02",Cadrage!$D$22,Cadrage!$E$22)))</f>
        <v/>
      </c>
      <c r="H985">
        <f>IF($A985="","",IF($D985="V01",Cadrage!$C$23,IF($D985="V02",Cadrage!$D$23,Cadrage!$E$23)))</f>
        <v/>
      </c>
      <c r="I985">
        <f>IF($A985="","",IF($D985="V01",Cadrage!$C$31,IF($D985="V02",Cadrage!$D$31,Cadrage!$E$31)))</f>
        <v/>
      </c>
      <c r="J985">
        <f>IF($A985="","",IF($D985="V01",Cadrage!$C$32,IF($D985="V02",Cadrage!$D$32,Cadrage!$E$32)))</f>
        <v/>
      </c>
      <c r="K985">
        <f>IF($A985="","",IF($D985="V01",Cadrage!$C$33,IF($D985="V02",Cadrage!$D$33,Cadrage!$E$33)))</f>
        <v/>
      </c>
      <c r="L985">
        <f>IF($A985="","",IF($D985="V01",Cadrage!$C$34,IF($D985="V02",Cadrage!$D$34,Cadrage!$E$34)))</f>
        <v/>
      </c>
      <c r="M985">
        <f>IF($A985="","",IF($D985="V01",Cadrage!$C$35,IF($D985="V02",Cadrage!$D$35,Cadrage!$E$35)))</f>
        <v/>
      </c>
      <c r="N985">
        <f>IF($A985="","",IF($D985="V01",$R$2,IF($D985="V02",$R$3,$R$4)))</f>
        <v/>
      </c>
      <c r="O985">
        <f>IF($A985="","",IF(OR($B985="7062",$B985="706",$B985="708"),$N985,IF($B985="6231",1+$G985,IF($B985="6236",1+$H985,IF(OR($B985="621",$B985="604",$B985="6063"),$N985*(1-$L985),IF(OR($B985="6411",$B985="6413",$B985="6414",$B985="645"),(1+$J985)*(1+$K985),IF(OR($B985="613",$B985="615",$B985="616",$B985="6226",$B985="625",$B985="626",$B985="6281"),(1+$I985)*(1-$L985)*(1+$M985),IF(OR($B985="6331",$B985="63511",$B985="6333"),(1+$I985)*(1-$L985),IF($B985="6811",1+$I985,1)))))))))</f>
        <v/>
      </c>
      <c r="P985">
        <f>IF($A985="","",IF($E985=1,$F985*$O985,PNL!G985))</f>
        <v/>
      </c>
      <c r="T985">
        <f>IF($A985="","",IF($E985=1,IF(OR($B985="7062",$B985="706",$B985="708"),$P985,IF(AND(LEFT($B985,1)="6",$B985&lt;&gt;"6811"),-$P985,0)),0))</f>
        <v/>
      </c>
    </row>
    <row r="986">
      <c r="A986">
        <f>IF(PNL!A986="","",PNL!A986)</f>
        <v/>
      </c>
      <c r="B986">
        <f>IF(PNL!B986="","",PNL!B986)</f>
        <v/>
      </c>
      <c r="C986">
        <f>IF(PNL!C986="","",PNL!C986)</f>
        <v/>
      </c>
      <c r="D986">
        <f>IF(PNL!D986="","",PNL!D986)</f>
        <v/>
      </c>
      <c r="E986">
        <f>IF($A986="","",IF(AND($C986="2027",OR($D986="V01",$D986="V02",$D986="V03")),1,0))</f>
        <v/>
      </c>
      <c r="F986">
        <f>IF($A986="","",IF($E986=1,SUMIFS(Comptabilité!$F$1:$F$675,Comptabilité!$A$1:$A$675,$A986,Comptabilité!$B$1:$B$675,$B986,Comptabilité!$C$1:$C$675,"2026"),0))</f>
        <v/>
      </c>
      <c r="G986">
        <f>IF($A986="","",IF($D986="V01",Cadrage!$C$22,IF($D986="V02",Cadrage!$D$22,Cadrage!$E$22)))</f>
        <v/>
      </c>
      <c r="H986">
        <f>IF($A986="","",IF($D986="V01",Cadrage!$C$23,IF($D986="V02",Cadrage!$D$23,Cadrage!$E$23)))</f>
        <v/>
      </c>
      <c r="I986">
        <f>IF($A986="","",IF($D986="V01",Cadrage!$C$31,IF($D986="V02",Cadrage!$D$31,Cadrage!$E$31)))</f>
        <v/>
      </c>
      <c r="J986">
        <f>IF($A986="","",IF($D986="V01",Cadrage!$C$32,IF($D986="V02",Cadrage!$D$32,Cadrage!$E$32)))</f>
        <v/>
      </c>
      <c r="K986">
        <f>IF($A986="","",IF($D986="V01",Cadrage!$C$33,IF($D986="V02",Cadrage!$D$33,Cadrage!$E$33)))</f>
        <v/>
      </c>
      <c r="L986">
        <f>IF($A986="","",IF($D986="V01",Cadrage!$C$34,IF($D986="V02",Cadrage!$D$34,Cadrage!$E$34)))</f>
        <v/>
      </c>
      <c r="M986">
        <f>IF($A986="","",IF($D986="V01",Cadrage!$C$35,IF($D986="V02",Cadrage!$D$35,Cadrage!$E$35)))</f>
        <v/>
      </c>
      <c r="N986">
        <f>IF($A986="","",IF($D986="V01",$R$2,IF($D986="V02",$R$3,$R$4)))</f>
        <v/>
      </c>
      <c r="O986">
        <f>IF($A986="","",IF(OR($B986="7062",$B986="706",$B986="708"),$N986,IF($B986="6231",1+$G986,IF($B986="6236",1+$H986,IF(OR($B986="621",$B986="604",$B986="6063"),$N986*(1-$L986),IF(OR($B986="6411",$B986="6413",$B986="6414",$B986="645"),(1+$J986)*(1+$K986),IF(OR($B986="613",$B986="615",$B986="616",$B986="6226",$B986="625",$B986="626",$B986="6281"),(1+$I986)*(1-$L986)*(1+$M986),IF(OR($B986="6331",$B986="63511",$B986="6333"),(1+$I986)*(1-$L986),IF($B986="6811",1+$I986,1)))))))))</f>
        <v/>
      </c>
      <c r="P986">
        <f>IF($A986="","",IF($E986=1,$F986*$O986,PNL!G986))</f>
        <v/>
      </c>
      <c r="T986">
        <f>IF($A986="","",IF($E986=1,IF(OR($B986="7062",$B986="706",$B986="708"),$P986,IF(AND(LEFT($B986,1)="6",$B986&lt;&gt;"6811"),-$P986,0)),0))</f>
        <v/>
      </c>
    </row>
    <row r="987">
      <c r="A987">
        <f>IF(PNL!A987="","",PNL!A987)</f>
        <v/>
      </c>
      <c r="B987">
        <f>IF(PNL!B987="","",PNL!B987)</f>
        <v/>
      </c>
      <c r="C987">
        <f>IF(PNL!C987="","",PNL!C987)</f>
        <v/>
      </c>
      <c r="D987">
        <f>IF(PNL!D987="","",PNL!D987)</f>
        <v/>
      </c>
      <c r="E987">
        <f>IF($A987="","",IF(AND($C987="2027",OR($D987="V01",$D987="V02",$D987="V03")),1,0))</f>
        <v/>
      </c>
      <c r="F987">
        <f>IF($A987="","",IF($E987=1,SUMIFS(Comptabilité!$F$1:$F$675,Comptabilité!$A$1:$A$675,$A987,Comptabilité!$B$1:$B$675,$B987,Comptabilité!$C$1:$C$675,"2026"),0))</f>
        <v/>
      </c>
      <c r="G987">
        <f>IF($A987="","",IF($D987="V01",Cadrage!$C$22,IF($D987="V02",Cadrage!$D$22,Cadrage!$E$22)))</f>
        <v/>
      </c>
      <c r="H987">
        <f>IF($A987="","",IF($D987="V01",Cadrage!$C$23,IF($D987="V02",Cadrage!$D$23,Cadrage!$E$23)))</f>
        <v/>
      </c>
      <c r="I987">
        <f>IF($A987="","",IF($D987="V01",Cadrage!$C$31,IF($D987="V02",Cadrage!$D$31,Cadrage!$E$31)))</f>
        <v/>
      </c>
      <c r="J987">
        <f>IF($A987="","",IF($D987="V01",Cadrage!$C$32,IF($D987="V02",Cadrage!$D$32,Cadrage!$E$32)))</f>
        <v/>
      </c>
      <c r="K987">
        <f>IF($A987="","",IF($D987="V01",Cadrage!$C$33,IF($D987="V02",Cadrage!$D$33,Cadrage!$E$33)))</f>
        <v/>
      </c>
      <c r="L987">
        <f>IF($A987="","",IF($D987="V01",Cadrage!$C$34,IF($D987="V02",Cadrage!$D$34,Cadrage!$E$34)))</f>
        <v/>
      </c>
      <c r="M987">
        <f>IF($A987="","",IF($D987="V01",Cadrage!$C$35,IF($D987="V02",Cadrage!$D$35,Cadrage!$E$35)))</f>
        <v/>
      </c>
      <c r="N987">
        <f>IF($A987="","",IF($D987="V01",$R$2,IF($D987="V02",$R$3,$R$4)))</f>
        <v/>
      </c>
      <c r="O987">
        <f>IF($A987="","",IF(OR($B987="7062",$B987="706",$B987="708"),$N987,IF($B987="6231",1+$G987,IF($B987="6236",1+$H987,IF(OR($B987="621",$B987="604",$B987="6063"),$N987*(1-$L987),IF(OR($B987="6411",$B987="6413",$B987="6414",$B987="645"),(1+$J987)*(1+$K987),IF(OR($B987="613",$B987="615",$B987="616",$B987="6226",$B987="625",$B987="626",$B987="6281"),(1+$I987)*(1-$L987)*(1+$M987),IF(OR($B987="6331",$B987="63511",$B987="6333"),(1+$I987)*(1-$L987),IF($B987="6811",1+$I987,1)))))))))</f>
        <v/>
      </c>
      <c r="P987">
        <f>IF($A987="","",IF($E987=1,$F987*$O987,PNL!G987))</f>
        <v/>
      </c>
      <c r="T987">
        <f>IF($A987="","",IF($E987=1,IF(OR($B987="7062",$B987="706",$B987="708"),$P987,IF(AND(LEFT($B987,1)="6",$B987&lt;&gt;"6811"),-$P987,0)),0))</f>
        <v/>
      </c>
    </row>
    <row r="988">
      <c r="A988">
        <f>IF(PNL!A988="","",PNL!A988)</f>
        <v/>
      </c>
      <c r="B988">
        <f>IF(PNL!B988="","",PNL!B988)</f>
        <v/>
      </c>
      <c r="C988">
        <f>IF(PNL!C988="","",PNL!C988)</f>
        <v/>
      </c>
      <c r="D988">
        <f>IF(PNL!D988="","",PNL!D988)</f>
        <v/>
      </c>
      <c r="E988">
        <f>IF($A988="","",IF(AND($C988="2027",OR($D988="V01",$D988="V02",$D988="V03")),1,0))</f>
        <v/>
      </c>
      <c r="F988">
        <f>IF($A988="","",IF($E988=1,SUMIFS(Comptabilité!$F$1:$F$675,Comptabilité!$A$1:$A$675,$A988,Comptabilité!$B$1:$B$675,$B988,Comptabilité!$C$1:$C$675,"2026"),0))</f>
        <v/>
      </c>
      <c r="G988">
        <f>IF($A988="","",IF($D988="V01",Cadrage!$C$22,IF($D988="V02",Cadrage!$D$22,Cadrage!$E$22)))</f>
        <v/>
      </c>
      <c r="H988">
        <f>IF($A988="","",IF($D988="V01",Cadrage!$C$23,IF($D988="V02",Cadrage!$D$23,Cadrage!$E$23)))</f>
        <v/>
      </c>
      <c r="I988">
        <f>IF($A988="","",IF($D988="V01",Cadrage!$C$31,IF($D988="V02",Cadrage!$D$31,Cadrage!$E$31)))</f>
        <v/>
      </c>
      <c r="J988">
        <f>IF($A988="","",IF($D988="V01",Cadrage!$C$32,IF($D988="V02",Cadrage!$D$32,Cadrage!$E$32)))</f>
        <v/>
      </c>
      <c r="K988">
        <f>IF($A988="","",IF($D988="V01",Cadrage!$C$33,IF($D988="V02",Cadrage!$D$33,Cadrage!$E$33)))</f>
        <v/>
      </c>
      <c r="L988">
        <f>IF($A988="","",IF($D988="V01",Cadrage!$C$34,IF($D988="V02",Cadrage!$D$34,Cadrage!$E$34)))</f>
        <v/>
      </c>
      <c r="M988">
        <f>IF($A988="","",IF($D988="V01",Cadrage!$C$35,IF($D988="V02",Cadrage!$D$35,Cadrage!$E$35)))</f>
        <v/>
      </c>
      <c r="N988">
        <f>IF($A988="","",IF($D988="V01",$R$2,IF($D988="V02",$R$3,$R$4)))</f>
        <v/>
      </c>
      <c r="O988">
        <f>IF($A988="","",IF(OR($B988="7062",$B988="706",$B988="708"),$N988,IF($B988="6231",1+$G988,IF($B988="6236",1+$H988,IF(OR($B988="621",$B988="604",$B988="6063"),$N988*(1-$L988),IF(OR($B988="6411",$B988="6413",$B988="6414",$B988="645"),(1+$J988)*(1+$K988),IF(OR($B988="613",$B988="615",$B988="616",$B988="6226",$B988="625",$B988="626",$B988="6281"),(1+$I988)*(1-$L988)*(1+$M988),IF(OR($B988="6331",$B988="63511",$B988="6333"),(1+$I988)*(1-$L988),IF($B988="6811",1+$I988,1)))))))))</f>
        <v/>
      </c>
      <c r="P988">
        <f>IF($A988="","",IF($E988=1,$F988*$O988,PNL!G988))</f>
        <v/>
      </c>
      <c r="T988">
        <f>IF($A988="","",IF($E988=1,IF(OR($B988="7062",$B988="706",$B988="708"),$P988,IF(AND(LEFT($B988,1)="6",$B988&lt;&gt;"6811"),-$P988,0)),0))</f>
        <v/>
      </c>
    </row>
    <row r="989">
      <c r="A989">
        <f>IF(PNL!A989="","",PNL!A989)</f>
        <v/>
      </c>
      <c r="B989">
        <f>IF(PNL!B989="","",PNL!B989)</f>
        <v/>
      </c>
      <c r="C989">
        <f>IF(PNL!C989="","",PNL!C989)</f>
        <v/>
      </c>
      <c r="D989">
        <f>IF(PNL!D989="","",PNL!D989)</f>
        <v/>
      </c>
      <c r="E989">
        <f>IF($A989="","",IF(AND($C989="2027",OR($D989="V01",$D989="V02",$D989="V03")),1,0))</f>
        <v/>
      </c>
      <c r="F989">
        <f>IF($A989="","",IF($E989=1,SUMIFS(Comptabilité!$F$1:$F$675,Comptabilité!$A$1:$A$675,$A989,Comptabilité!$B$1:$B$675,$B989,Comptabilité!$C$1:$C$675,"2026"),0))</f>
        <v/>
      </c>
      <c r="G989">
        <f>IF($A989="","",IF($D989="V01",Cadrage!$C$22,IF($D989="V02",Cadrage!$D$22,Cadrage!$E$22)))</f>
        <v/>
      </c>
      <c r="H989">
        <f>IF($A989="","",IF($D989="V01",Cadrage!$C$23,IF($D989="V02",Cadrage!$D$23,Cadrage!$E$23)))</f>
        <v/>
      </c>
      <c r="I989">
        <f>IF($A989="","",IF($D989="V01",Cadrage!$C$31,IF($D989="V02",Cadrage!$D$31,Cadrage!$E$31)))</f>
        <v/>
      </c>
      <c r="J989">
        <f>IF($A989="","",IF($D989="V01",Cadrage!$C$32,IF($D989="V02",Cadrage!$D$32,Cadrage!$E$32)))</f>
        <v/>
      </c>
      <c r="K989">
        <f>IF($A989="","",IF($D989="V01",Cadrage!$C$33,IF($D989="V02",Cadrage!$D$33,Cadrage!$E$33)))</f>
        <v/>
      </c>
      <c r="L989">
        <f>IF($A989="","",IF($D989="V01",Cadrage!$C$34,IF($D989="V02",Cadrage!$D$34,Cadrage!$E$34)))</f>
        <v/>
      </c>
      <c r="M989">
        <f>IF($A989="","",IF($D989="V01",Cadrage!$C$35,IF($D989="V02",Cadrage!$D$35,Cadrage!$E$35)))</f>
        <v/>
      </c>
      <c r="N989">
        <f>IF($A989="","",IF($D989="V01",$R$2,IF($D989="V02",$R$3,$R$4)))</f>
        <v/>
      </c>
      <c r="O989">
        <f>IF($A989="","",IF(OR($B989="7062",$B989="706",$B989="708"),$N989,IF($B989="6231",1+$G989,IF($B989="6236",1+$H989,IF(OR($B989="621",$B989="604",$B989="6063"),$N989*(1-$L989),IF(OR($B989="6411",$B989="6413",$B989="6414",$B989="645"),(1+$J989)*(1+$K989),IF(OR($B989="613",$B989="615",$B989="616",$B989="6226",$B989="625",$B989="626",$B989="6281"),(1+$I989)*(1-$L989)*(1+$M989),IF(OR($B989="6331",$B989="63511",$B989="6333"),(1+$I989)*(1-$L989),IF($B989="6811",1+$I989,1)))))))))</f>
        <v/>
      </c>
      <c r="P989">
        <f>IF($A989="","",IF($E989=1,$F989*$O989,PNL!G989))</f>
        <v/>
      </c>
      <c r="T989">
        <f>IF($A989="","",IF($E989=1,IF(OR($B989="7062",$B989="706",$B989="708"),$P989,IF(AND(LEFT($B989,1)="6",$B989&lt;&gt;"6811"),-$P989,0)),0))</f>
        <v/>
      </c>
    </row>
    <row r="990">
      <c r="A990">
        <f>IF(PNL!A990="","",PNL!A990)</f>
        <v/>
      </c>
      <c r="B990">
        <f>IF(PNL!B990="","",PNL!B990)</f>
        <v/>
      </c>
      <c r="C990">
        <f>IF(PNL!C990="","",PNL!C990)</f>
        <v/>
      </c>
      <c r="D990">
        <f>IF(PNL!D990="","",PNL!D990)</f>
        <v/>
      </c>
      <c r="E990">
        <f>IF($A990="","",IF(AND($C990="2027",OR($D990="V01",$D990="V02",$D990="V03")),1,0))</f>
        <v/>
      </c>
      <c r="F990">
        <f>IF($A990="","",IF($E990=1,SUMIFS(Comptabilité!$F$1:$F$675,Comptabilité!$A$1:$A$675,$A990,Comptabilité!$B$1:$B$675,$B990,Comptabilité!$C$1:$C$675,"2026"),0))</f>
        <v/>
      </c>
      <c r="G990">
        <f>IF($A990="","",IF($D990="V01",Cadrage!$C$22,IF($D990="V02",Cadrage!$D$22,Cadrage!$E$22)))</f>
        <v/>
      </c>
      <c r="H990">
        <f>IF($A990="","",IF($D990="V01",Cadrage!$C$23,IF($D990="V02",Cadrage!$D$23,Cadrage!$E$23)))</f>
        <v/>
      </c>
      <c r="I990">
        <f>IF($A990="","",IF($D990="V01",Cadrage!$C$31,IF($D990="V02",Cadrage!$D$31,Cadrage!$E$31)))</f>
        <v/>
      </c>
      <c r="J990">
        <f>IF($A990="","",IF($D990="V01",Cadrage!$C$32,IF($D990="V02",Cadrage!$D$32,Cadrage!$E$32)))</f>
        <v/>
      </c>
      <c r="K990">
        <f>IF($A990="","",IF($D990="V01",Cadrage!$C$33,IF($D990="V02",Cadrage!$D$33,Cadrage!$E$33)))</f>
        <v/>
      </c>
      <c r="L990">
        <f>IF($A990="","",IF($D990="V01",Cadrage!$C$34,IF($D990="V02",Cadrage!$D$34,Cadrage!$E$34)))</f>
        <v/>
      </c>
      <c r="M990">
        <f>IF($A990="","",IF($D990="V01",Cadrage!$C$35,IF($D990="V02",Cadrage!$D$35,Cadrage!$E$35)))</f>
        <v/>
      </c>
      <c r="N990">
        <f>IF($A990="","",IF($D990="V01",$R$2,IF($D990="V02",$R$3,$R$4)))</f>
        <v/>
      </c>
      <c r="O990">
        <f>IF($A990="","",IF(OR($B990="7062",$B990="706",$B990="708"),$N990,IF($B990="6231",1+$G990,IF($B990="6236",1+$H990,IF(OR($B990="621",$B990="604",$B990="6063"),$N990*(1-$L990),IF(OR($B990="6411",$B990="6413",$B990="6414",$B990="645"),(1+$J990)*(1+$K990),IF(OR($B990="613",$B990="615",$B990="616",$B990="6226",$B990="625",$B990="626",$B990="6281"),(1+$I990)*(1-$L990)*(1+$M990),IF(OR($B990="6331",$B990="63511",$B990="6333"),(1+$I990)*(1-$L990),IF($B990="6811",1+$I990,1)))))))))</f>
        <v/>
      </c>
      <c r="P990">
        <f>IF($A990="","",IF($E990=1,$F990*$O990,PNL!G990))</f>
        <v/>
      </c>
      <c r="T990">
        <f>IF($A990="","",IF($E990=1,IF(OR($B990="7062",$B990="706",$B990="708"),$P990,IF(AND(LEFT($B990,1)="6",$B990&lt;&gt;"6811"),-$P990,0)),0))</f>
        <v/>
      </c>
    </row>
    <row r="991">
      <c r="A991">
        <f>IF(PNL!A991="","",PNL!A991)</f>
        <v/>
      </c>
      <c r="B991">
        <f>IF(PNL!B991="","",PNL!B991)</f>
        <v/>
      </c>
      <c r="C991">
        <f>IF(PNL!C991="","",PNL!C991)</f>
        <v/>
      </c>
      <c r="D991">
        <f>IF(PNL!D991="","",PNL!D991)</f>
        <v/>
      </c>
      <c r="E991">
        <f>IF($A991="","",IF(AND($C991="2027",OR($D991="V01",$D991="V02",$D991="V03")),1,0))</f>
        <v/>
      </c>
      <c r="F991">
        <f>IF($A991="","",IF($E991=1,SUMIFS(Comptabilité!$F$1:$F$675,Comptabilité!$A$1:$A$675,$A991,Comptabilité!$B$1:$B$675,$B991,Comptabilité!$C$1:$C$675,"2026"),0))</f>
        <v/>
      </c>
      <c r="G991">
        <f>IF($A991="","",IF($D991="V01",Cadrage!$C$22,IF($D991="V02",Cadrage!$D$22,Cadrage!$E$22)))</f>
        <v/>
      </c>
      <c r="H991">
        <f>IF($A991="","",IF($D991="V01",Cadrage!$C$23,IF($D991="V02",Cadrage!$D$23,Cadrage!$E$23)))</f>
        <v/>
      </c>
      <c r="I991">
        <f>IF($A991="","",IF($D991="V01",Cadrage!$C$31,IF($D991="V02",Cadrage!$D$31,Cadrage!$E$31)))</f>
        <v/>
      </c>
      <c r="J991">
        <f>IF($A991="","",IF($D991="V01",Cadrage!$C$32,IF($D991="V02",Cadrage!$D$32,Cadrage!$E$32)))</f>
        <v/>
      </c>
      <c r="K991">
        <f>IF($A991="","",IF($D991="V01",Cadrage!$C$33,IF($D991="V02",Cadrage!$D$33,Cadrage!$E$33)))</f>
        <v/>
      </c>
      <c r="L991">
        <f>IF($A991="","",IF($D991="V01",Cadrage!$C$34,IF($D991="V02",Cadrage!$D$34,Cadrage!$E$34)))</f>
        <v/>
      </c>
      <c r="M991">
        <f>IF($A991="","",IF($D991="V01",Cadrage!$C$35,IF($D991="V02",Cadrage!$D$35,Cadrage!$E$35)))</f>
        <v/>
      </c>
      <c r="N991">
        <f>IF($A991="","",IF($D991="V01",$R$2,IF($D991="V02",$R$3,$R$4)))</f>
        <v/>
      </c>
      <c r="O991">
        <f>IF($A991="","",IF(OR($B991="7062",$B991="706",$B991="708"),$N991,IF($B991="6231",1+$G991,IF($B991="6236",1+$H991,IF(OR($B991="621",$B991="604",$B991="6063"),$N991*(1-$L991),IF(OR($B991="6411",$B991="6413",$B991="6414",$B991="645"),(1+$J991)*(1+$K991),IF(OR($B991="613",$B991="615",$B991="616",$B991="6226",$B991="625",$B991="626",$B991="6281"),(1+$I991)*(1-$L991)*(1+$M991),IF(OR($B991="6331",$B991="63511",$B991="6333"),(1+$I991)*(1-$L991),IF($B991="6811",1+$I991,1)))))))))</f>
        <v/>
      </c>
      <c r="P991">
        <f>IF($A991="","",IF($E991=1,$F991*$O991,PNL!G991))</f>
        <v/>
      </c>
      <c r="T991">
        <f>IF($A991="","",IF($E991=1,IF(OR($B991="7062",$B991="706",$B991="708"),$P991,IF(AND(LEFT($B991,1)="6",$B991&lt;&gt;"6811"),-$P991,0)),0))</f>
        <v/>
      </c>
    </row>
    <row r="992">
      <c r="A992">
        <f>IF(PNL!A992="","",PNL!A992)</f>
        <v/>
      </c>
      <c r="B992">
        <f>IF(PNL!B992="","",PNL!B992)</f>
        <v/>
      </c>
      <c r="C992">
        <f>IF(PNL!C992="","",PNL!C992)</f>
        <v/>
      </c>
      <c r="D992">
        <f>IF(PNL!D992="","",PNL!D992)</f>
        <v/>
      </c>
      <c r="E992">
        <f>IF($A992="","",IF(AND($C992="2027",OR($D992="V01",$D992="V02",$D992="V03")),1,0))</f>
        <v/>
      </c>
      <c r="F992">
        <f>IF($A992="","",IF($E992=1,SUMIFS(Comptabilité!$F$1:$F$675,Comptabilité!$A$1:$A$675,$A992,Comptabilité!$B$1:$B$675,$B992,Comptabilité!$C$1:$C$675,"2026"),0))</f>
        <v/>
      </c>
      <c r="G992">
        <f>IF($A992="","",IF($D992="V01",Cadrage!$C$22,IF($D992="V02",Cadrage!$D$22,Cadrage!$E$22)))</f>
        <v/>
      </c>
      <c r="H992">
        <f>IF($A992="","",IF($D992="V01",Cadrage!$C$23,IF($D992="V02",Cadrage!$D$23,Cadrage!$E$23)))</f>
        <v/>
      </c>
      <c r="I992">
        <f>IF($A992="","",IF($D992="V01",Cadrage!$C$31,IF($D992="V02",Cadrage!$D$31,Cadrage!$E$31)))</f>
        <v/>
      </c>
      <c r="J992">
        <f>IF($A992="","",IF($D992="V01",Cadrage!$C$32,IF($D992="V02",Cadrage!$D$32,Cadrage!$E$32)))</f>
        <v/>
      </c>
      <c r="K992">
        <f>IF($A992="","",IF($D992="V01",Cadrage!$C$33,IF($D992="V02",Cadrage!$D$33,Cadrage!$E$33)))</f>
        <v/>
      </c>
      <c r="L992">
        <f>IF($A992="","",IF($D992="V01",Cadrage!$C$34,IF($D992="V02",Cadrage!$D$34,Cadrage!$E$34)))</f>
        <v/>
      </c>
      <c r="M992">
        <f>IF($A992="","",IF($D992="V01",Cadrage!$C$35,IF($D992="V02",Cadrage!$D$35,Cadrage!$E$35)))</f>
        <v/>
      </c>
      <c r="N992">
        <f>IF($A992="","",IF($D992="V01",$R$2,IF($D992="V02",$R$3,$R$4)))</f>
        <v/>
      </c>
      <c r="O992">
        <f>IF($A992="","",IF(OR($B992="7062",$B992="706",$B992="708"),$N992,IF($B992="6231",1+$G992,IF($B992="6236",1+$H992,IF(OR($B992="621",$B992="604",$B992="6063"),$N992*(1-$L992),IF(OR($B992="6411",$B992="6413",$B992="6414",$B992="645"),(1+$J992)*(1+$K992),IF(OR($B992="613",$B992="615",$B992="616",$B992="6226",$B992="625",$B992="626",$B992="6281"),(1+$I992)*(1-$L992)*(1+$M992),IF(OR($B992="6331",$B992="63511",$B992="6333"),(1+$I992)*(1-$L992),IF($B992="6811",1+$I992,1)))))))))</f>
        <v/>
      </c>
      <c r="P992">
        <f>IF($A992="","",IF($E992=1,$F992*$O992,PNL!G992))</f>
        <v/>
      </c>
      <c r="T992">
        <f>IF($A992="","",IF($E992=1,IF(OR($B992="7062",$B992="706",$B992="708"),$P992,IF(AND(LEFT($B992,1)="6",$B992&lt;&gt;"6811"),-$P992,0)),0))</f>
        <v/>
      </c>
    </row>
    <row r="993">
      <c r="A993">
        <f>IF(PNL!A993="","",PNL!A993)</f>
        <v/>
      </c>
      <c r="B993">
        <f>IF(PNL!B993="","",PNL!B993)</f>
        <v/>
      </c>
      <c r="C993">
        <f>IF(PNL!C993="","",PNL!C993)</f>
        <v/>
      </c>
      <c r="D993">
        <f>IF(PNL!D993="","",PNL!D993)</f>
        <v/>
      </c>
      <c r="E993">
        <f>IF($A993="","",IF(AND($C993="2027",OR($D993="V01",$D993="V02",$D993="V03")),1,0))</f>
        <v/>
      </c>
      <c r="F993">
        <f>IF($A993="","",IF($E993=1,SUMIFS(Comptabilité!$F$1:$F$675,Comptabilité!$A$1:$A$675,$A993,Comptabilité!$B$1:$B$675,$B993,Comptabilité!$C$1:$C$675,"2026"),0))</f>
        <v/>
      </c>
      <c r="G993">
        <f>IF($A993="","",IF($D993="V01",Cadrage!$C$22,IF($D993="V02",Cadrage!$D$22,Cadrage!$E$22)))</f>
        <v/>
      </c>
      <c r="H993">
        <f>IF($A993="","",IF($D993="V01",Cadrage!$C$23,IF($D993="V02",Cadrage!$D$23,Cadrage!$E$23)))</f>
        <v/>
      </c>
      <c r="I993">
        <f>IF($A993="","",IF($D993="V01",Cadrage!$C$31,IF($D993="V02",Cadrage!$D$31,Cadrage!$E$31)))</f>
        <v/>
      </c>
      <c r="J993">
        <f>IF($A993="","",IF($D993="V01",Cadrage!$C$32,IF($D993="V02",Cadrage!$D$32,Cadrage!$E$32)))</f>
        <v/>
      </c>
      <c r="K993">
        <f>IF($A993="","",IF($D993="V01",Cadrage!$C$33,IF($D993="V02",Cadrage!$D$33,Cadrage!$E$33)))</f>
        <v/>
      </c>
      <c r="L993">
        <f>IF($A993="","",IF($D993="V01",Cadrage!$C$34,IF($D993="V02",Cadrage!$D$34,Cadrage!$E$34)))</f>
        <v/>
      </c>
      <c r="M993">
        <f>IF($A993="","",IF($D993="V01",Cadrage!$C$35,IF($D993="V02",Cadrage!$D$35,Cadrage!$E$35)))</f>
        <v/>
      </c>
      <c r="N993">
        <f>IF($A993="","",IF($D993="V01",$R$2,IF($D993="V02",$R$3,$R$4)))</f>
        <v/>
      </c>
      <c r="O993">
        <f>IF($A993="","",IF(OR($B993="7062",$B993="706",$B993="708"),$N993,IF($B993="6231",1+$G993,IF($B993="6236",1+$H993,IF(OR($B993="621",$B993="604",$B993="6063"),$N993*(1-$L993),IF(OR($B993="6411",$B993="6413",$B993="6414",$B993="645"),(1+$J993)*(1+$K993),IF(OR($B993="613",$B993="615",$B993="616",$B993="6226",$B993="625",$B993="626",$B993="6281"),(1+$I993)*(1-$L993)*(1+$M993),IF(OR($B993="6331",$B993="63511",$B993="6333"),(1+$I993)*(1-$L993),IF($B993="6811",1+$I993,1)))))))))</f>
        <v/>
      </c>
      <c r="P993">
        <f>IF($A993="","",IF($E993=1,$F993*$O993,PNL!G993))</f>
        <v/>
      </c>
      <c r="T993">
        <f>IF($A993="","",IF($E993=1,IF(OR($B993="7062",$B993="706",$B993="708"),$P993,IF(AND(LEFT($B993,1)="6",$B993&lt;&gt;"6811"),-$P993,0)),0))</f>
        <v/>
      </c>
    </row>
    <row r="994">
      <c r="A994">
        <f>IF(PNL!A994="","",PNL!A994)</f>
        <v/>
      </c>
      <c r="B994">
        <f>IF(PNL!B994="","",PNL!B994)</f>
        <v/>
      </c>
      <c r="C994">
        <f>IF(PNL!C994="","",PNL!C994)</f>
        <v/>
      </c>
      <c r="D994">
        <f>IF(PNL!D994="","",PNL!D994)</f>
        <v/>
      </c>
      <c r="E994">
        <f>IF($A994="","",IF(AND($C994="2027",OR($D994="V01",$D994="V02",$D994="V03")),1,0))</f>
        <v/>
      </c>
      <c r="F994">
        <f>IF($A994="","",IF($E994=1,SUMIFS(Comptabilité!$F$1:$F$675,Comptabilité!$A$1:$A$675,$A994,Comptabilité!$B$1:$B$675,$B994,Comptabilité!$C$1:$C$675,"2026"),0))</f>
        <v/>
      </c>
      <c r="G994">
        <f>IF($A994="","",IF($D994="V01",Cadrage!$C$22,IF($D994="V02",Cadrage!$D$22,Cadrage!$E$22)))</f>
        <v/>
      </c>
      <c r="H994">
        <f>IF($A994="","",IF($D994="V01",Cadrage!$C$23,IF($D994="V02",Cadrage!$D$23,Cadrage!$E$23)))</f>
        <v/>
      </c>
      <c r="I994">
        <f>IF($A994="","",IF($D994="V01",Cadrage!$C$31,IF($D994="V02",Cadrage!$D$31,Cadrage!$E$31)))</f>
        <v/>
      </c>
      <c r="J994">
        <f>IF($A994="","",IF($D994="V01",Cadrage!$C$32,IF($D994="V02",Cadrage!$D$32,Cadrage!$E$32)))</f>
        <v/>
      </c>
      <c r="K994">
        <f>IF($A994="","",IF($D994="V01",Cadrage!$C$33,IF($D994="V02",Cadrage!$D$33,Cadrage!$E$33)))</f>
        <v/>
      </c>
      <c r="L994">
        <f>IF($A994="","",IF($D994="V01",Cadrage!$C$34,IF($D994="V02",Cadrage!$D$34,Cadrage!$E$34)))</f>
        <v/>
      </c>
      <c r="M994">
        <f>IF($A994="","",IF($D994="V01",Cadrage!$C$35,IF($D994="V02",Cadrage!$D$35,Cadrage!$E$35)))</f>
        <v/>
      </c>
      <c r="N994">
        <f>IF($A994="","",IF($D994="V01",$R$2,IF($D994="V02",$R$3,$R$4)))</f>
        <v/>
      </c>
      <c r="O994">
        <f>IF($A994="","",IF(OR($B994="7062",$B994="706",$B994="708"),$N994,IF($B994="6231",1+$G994,IF($B994="6236",1+$H994,IF(OR($B994="621",$B994="604",$B994="6063"),$N994*(1-$L994),IF(OR($B994="6411",$B994="6413",$B994="6414",$B994="645"),(1+$J994)*(1+$K994),IF(OR($B994="613",$B994="615",$B994="616",$B994="6226",$B994="625",$B994="626",$B994="6281"),(1+$I994)*(1-$L994)*(1+$M994),IF(OR($B994="6331",$B994="63511",$B994="6333"),(1+$I994)*(1-$L994),IF($B994="6811",1+$I994,1)))))))))</f>
        <v/>
      </c>
      <c r="P994">
        <f>IF($A994="","",IF($E994=1,$F994*$O994,PNL!G994))</f>
        <v/>
      </c>
      <c r="T994">
        <f>IF($A994="","",IF($E994=1,IF(OR($B994="7062",$B994="706",$B994="708"),$P994,IF(AND(LEFT($B994,1)="6",$B994&lt;&gt;"6811"),-$P994,0)),0))</f>
        <v/>
      </c>
    </row>
    <row r="995">
      <c r="A995">
        <f>IF(PNL!A995="","",PNL!A995)</f>
        <v/>
      </c>
      <c r="B995">
        <f>IF(PNL!B995="","",PNL!B995)</f>
        <v/>
      </c>
      <c r="C995">
        <f>IF(PNL!C995="","",PNL!C995)</f>
        <v/>
      </c>
      <c r="D995">
        <f>IF(PNL!D995="","",PNL!D995)</f>
        <v/>
      </c>
      <c r="E995">
        <f>IF($A995="","",IF(AND($C995="2027",OR($D995="V01",$D995="V02",$D995="V03")),1,0))</f>
        <v/>
      </c>
      <c r="F995">
        <f>IF($A995="","",IF($E995=1,SUMIFS(Comptabilité!$F$1:$F$675,Comptabilité!$A$1:$A$675,$A995,Comptabilité!$B$1:$B$675,$B995,Comptabilité!$C$1:$C$675,"2026"),0))</f>
        <v/>
      </c>
      <c r="G995">
        <f>IF($A995="","",IF($D995="V01",Cadrage!$C$22,IF($D995="V02",Cadrage!$D$22,Cadrage!$E$22)))</f>
        <v/>
      </c>
      <c r="H995">
        <f>IF($A995="","",IF($D995="V01",Cadrage!$C$23,IF($D995="V02",Cadrage!$D$23,Cadrage!$E$23)))</f>
        <v/>
      </c>
      <c r="I995">
        <f>IF($A995="","",IF($D995="V01",Cadrage!$C$31,IF($D995="V02",Cadrage!$D$31,Cadrage!$E$31)))</f>
        <v/>
      </c>
      <c r="J995">
        <f>IF($A995="","",IF($D995="V01",Cadrage!$C$32,IF($D995="V02",Cadrage!$D$32,Cadrage!$E$32)))</f>
        <v/>
      </c>
      <c r="K995">
        <f>IF($A995="","",IF($D995="V01",Cadrage!$C$33,IF($D995="V02",Cadrage!$D$33,Cadrage!$E$33)))</f>
        <v/>
      </c>
      <c r="L995">
        <f>IF($A995="","",IF($D995="V01",Cadrage!$C$34,IF($D995="V02",Cadrage!$D$34,Cadrage!$E$34)))</f>
        <v/>
      </c>
      <c r="M995">
        <f>IF($A995="","",IF($D995="V01",Cadrage!$C$35,IF($D995="V02",Cadrage!$D$35,Cadrage!$E$35)))</f>
        <v/>
      </c>
      <c r="N995">
        <f>IF($A995="","",IF($D995="V01",$R$2,IF($D995="V02",$R$3,$R$4)))</f>
        <v/>
      </c>
      <c r="O995">
        <f>IF($A995="","",IF(OR($B995="7062",$B995="706",$B995="708"),$N995,IF($B995="6231",1+$G995,IF($B995="6236",1+$H995,IF(OR($B995="621",$B995="604",$B995="6063"),$N995*(1-$L995),IF(OR($B995="6411",$B995="6413",$B995="6414",$B995="645"),(1+$J995)*(1+$K995),IF(OR($B995="613",$B995="615",$B995="616",$B995="6226",$B995="625",$B995="626",$B995="6281"),(1+$I995)*(1-$L995)*(1+$M995),IF(OR($B995="6331",$B995="63511",$B995="6333"),(1+$I995)*(1-$L995),IF($B995="6811",1+$I995,1)))))))))</f>
        <v/>
      </c>
      <c r="P995">
        <f>IF($A995="","",IF($E995=1,$F995*$O995,PNL!G995))</f>
        <v/>
      </c>
      <c r="T995">
        <f>IF($A995="","",IF($E995=1,IF(OR($B995="7062",$B995="706",$B995="708"),$P995,IF(AND(LEFT($B995,1)="6",$B995&lt;&gt;"6811"),-$P995,0)),0))</f>
        <v/>
      </c>
    </row>
    <row r="996">
      <c r="A996">
        <f>IF(PNL!A996="","",PNL!A996)</f>
        <v/>
      </c>
      <c r="B996">
        <f>IF(PNL!B996="","",PNL!B996)</f>
        <v/>
      </c>
      <c r="C996">
        <f>IF(PNL!C996="","",PNL!C996)</f>
        <v/>
      </c>
      <c r="D996">
        <f>IF(PNL!D996="","",PNL!D996)</f>
        <v/>
      </c>
      <c r="E996">
        <f>IF($A996="","",IF(AND($C996="2027",OR($D996="V01",$D996="V02",$D996="V03")),1,0))</f>
        <v/>
      </c>
      <c r="F996">
        <f>IF($A996="","",IF($E996=1,SUMIFS(Comptabilité!$F$1:$F$675,Comptabilité!$A$1:$A$675,$A996,Comptabilité!$B$1:$B$675,$B996,Comptabilité!$C$1:$C$675,"2026"),0))</f>
        <v/>
      </c>
      <c r="G996">
        <f>IF($A996="","",IF($D996="V01",Cadrage!$C$22,IF($D996="V02",Cadrage!$D$22,Cadrage!$E$22)))</f>
        <v/>
      </c>
      <c r="H996">
        <f>IF($A996="","",IF($D996="V01",Cadrage!$C$23,IF($D996="V02",Cadrage!$D$23,Cadrage!$E$23)))</f>
        <v/>
      </c>
      <c r="I996">
        <f>IF($A996="","",IF($D996="V01",Cadrage!$C$31,IF($D996="V02",Cadrage!$D$31,Cadrage!$E$31)))</f>
        <v/>
      </c>
      <c r="J996">
        <f>IF($A996="","",IF($D996="V01",Cadrage!$C$32,IF($D996="V02",Cadrage!$D$32,Cadrage!$E$32)))</f>
        <v/>
      </c>
      <c r="K996">
        <f>IF($A996="","",IF($D996="V01",Cadrage!$C$33,IF($D996="V02",Cadrage!$D$33,Cadrage!$E$33)))</f>
        <v/>
      </c>
      <c r="L996">
        <f>IF($A996="","",IF($D996="V01",Cadrage!$C$34,IF($D996="V02",Cadrage!$D$34,Cadrage!$E$34)))</f>
        <v/>
      </c>
      <c r="M996">
        <f>IF($A996="","",IF($D996="V01",Cadrage!$C$35,IF($D996="V02",Cadrage!$D$35,Cadrage!$E$35)))</f>
        <v/>
      </c>
      <c r="N996">
        <f>IF($A996="","",IF($D996="V01",$R$2,IF($D996="V02",$R$3,$R$4)))</f>
        <v/>
      </c>
      <c r="O996">
        <f>IF($A996="","",IF(OR($B996="7062",$B996="706",$B996="708"),$N996,IF($B996="6231",1+$G996,IF($B996="6236",1+$H996,IF(OR($B996="621",$B996="604",$B996="6063"),$N996*(1-$L996),IF(OR($B996="6411",$B996="6413",$B996="6414",$B996="645"),(1+$J996)*(1+$K996),IF(OR($B996="613",$B996="615",$B996="616",$B996="6226",$B996="625",$B996="626",$B996="6281"),(1+$I996)*(1-$L996)*(1+$M996),IF(OR($B996="6331",$B996="63511",$B996="6333"),(1+$I996)*(1-$L996),IF($B996="6811",1+$I996,1)))))))))</f>
        <v/>
      </c>
      <c r="P996">
        <f>IF($A996="","",IF($E996=1,$F996*$O996,PNL!G996))</f>
        <v/>
      </c>
      <c r="T996">
        <f>IF($A996="","",IF($E996=1,IF(OR($B996="7062",$B996="706",$B996="708"),$P996,IF(AND(LEFT($B996,1)="6",$B996&lt;&gt;"6811"),-$P996,0)),0))</f>
        <v/>
      </c>
    </row>
    <row r="997">
      <c r="A997">
        <f>IF(PNL!A997="","",PNL!A997)</f>
        <v/>
      </c>
      <c r="B997">
        <f>IF(PNL!B997="","",PNL!B997)</f>
        <v/>
      </c>
      <c r="C997">
        <f>IF(PNL!C997="","",PNL!C997)</f>
        <v/>
      </c>
      <c r="D997">
        <f>IF(PNL!D997="","",PNL!D997)</f>
        <v/>
      </c>
      <c r="E997">
        <f>IF($A997="","",IF(AND($C997="2027",OR($D997="V01",$D997="V02",$D997="V03")),1,0))</f>
        <v/>
      </c>
      <c r="F997">
        <f>IF($A997="","",IF($E997=1,SUMIFS(Comptabilité!$F$1:$F$675,Comptabilité!$A$1:$A$675,$A997,Comptabilité!$B$1:$B$675,$B997,Comptabilité!$C$1:$C$675,"2026"),0))</f>
        <v/>
      </c>
      <c r="G997">
        <f>IF($A997="","",IF($D997="V01",Cadrage!$C$22,IF($D997="V02",Cadrage!$D$22,Cadrage!$E$22)))</f>
        <v/>
      </c>
      <c r="H997">
        <f>IF($A997="","",IF($D997="V01",Cadrage!$C$23,IF($D997="V02",Cadrage!$D$23,Cadrage!$E$23)))</f>
        <v/>
      </c>
      <c r="I997">
        <f>IF($A997="","",IF($D997="V01",Cadrage!$C$31,IF($D997="V02",Cadrage!$D$31,Cadrage!$E$31)))</f>
        <v/>
      </c>
      <c r="J997">
        <f>IF($A997="","",IF($D997="V01",Cadrage!$C$32,IF($D997="V02",Cadrage!$D$32,Cadrage!$E$32)))</f>
        <v/>
      </c>
      <c r="K997">
        <f>IF($A997="","",IF($D997="V01",Cadrage!$C$33,IF($D997="V02",Cadrage!$D$33,Cadrage!$E$33)))</f>
        <v/>
      </c>
      <c r="L997">
        <f>IF($A997="","",IF($D997="V01",Cadrage!$C$34,IF($D997="V02",Cadrage!$D$34,Cadrage!$E$34)))</f>
        <v/>
      </c>
      <c r="M997">
        <f>IF($A997="","",IF($D997="V01",Cadrage!$C$35,IF($D997="V02",Cadrage!$D$35,Cadrage!$E$35)))</f>
        <v/>
      </c>
      <c r="N997">
        <f>IF($A997="","",IF($D997="V01",$R$2,IF($D997="V02",$R$3,$R$4)))</f>
        <v/>
      </c>
      <c r="O997">
        <f>IF($A997="","",IF(OR($B997="7062",$B997="706",$B997="708"),$N997,IF($B997="6231",1+$G997,IF($B997="6236",1+$H997,IF(OR($B997="621",$B997="604",$B997="6063"),$N997*(1-$L997),IF(OR($B997="6411",$B997="6413",$B997="6414",$B997="645"),(1+$J997)*(1+$K997),IF(OR($B997="613",$B997="615",$B997="616",$B997="6226",$B997="625",$B997="626",$B997="6281"),(1+$I997)*(1-$L997)*(1+$M997),IF(OR($B997="6331",$B997="63511",$B997="6333"),(1+$I997)*(1-$L997),IF($B997="6811",1+$I997,1)))))))))</f>
        <v/>
      </c>
      <c r="P997">
        <f>IF($A997="","",IF($E997=1,$F997*$O997,PNL!G997))</f>
        <v/>
      </c>
      <c r="T997">
        <f>IF($A997="","",IF($E997=1,IF(OR($B997="7062",$B997="706",$B997="708"),$P997,IF(AND(LEFT($B997,1)="6",$B997&lt;&gt;"6811"),-$P997,0)),0))</f>
        <v/>
      </c>
    </row>
    <row r="998">
      <c r="A998">
        <f>IF(PNL!A998="","",PNL!A998)</f>
        <v/>
      </c>
      <c r="B998">
        <f>IF(PNL!B998="","",PNL!B998)</f>
        <v/>
      </c>
      <c r="C998">
        <f>IF(PNL!C998="","",PNL!C998)</f>
        <v/>
      </c>
      <c r="D998">
        <f>IF(PNL!D998="","",PNL!D998)</f>
        <v/>
      </c>
      <c r="E998">
        <f>IF($A998="","",IF(AND($C998="2027",OR($D998="V01",$D998="V02",$D998="V03")),1,0))</f>
        <v/>
      </c>
      <c r="F998">
        <f>IF($A998="","",IF($E998=1,SUMIFS(Comptabilité!$F$1:$F$675,Comptabilité!$A$1:$A$675,$A998,Comptabilité!$B$1:$B$675,$B998,Comptabilité!$C$1:$C$675,"2026"),0))</f>
        <v/>
      </c>
      <c r="G998">
        <f>IF($A998="","",IF($D998="V01",Cadrage!$C$22,IF($D998="V02",Cadrage!$D$22,Cadrage!$E$22)))</f>
        <v/>
      </c>
      <c r="H998">
        <f>IF($A998="","",IF($D998="V01",Cadrage!$C$23,IF($D998="V02",Cadrage!$D$23,Cadrage!$E$23)))</f>
        <v/>
      </c>
      <c r="I998">
        <f>IF($A998="","",IF($D998="V01",Cadrage!$C$31,IF($D998="V02",Cadrage!$D$31,Cadrage!$E$31)))</f>
        <v/>
      </c>
      <c r="J998">
        <f>IF($A998="","",IF($D998="V01",Cadrage!$C$32,IF($D998="V02",Cadrage!$D$32,Cadrage!$E$32)))</f>
        <v/>
      </c>
      <c r="K998">
        <f>IF($A998="","",IF($D998="V01",Cadrage!$C$33,IF($D998="V02",Cadrage!$D$33,Cadrage!$E$33)))</f>
        <v/>
      </c>
      <c r="L998">
        <f>IF($A998="","",IF($D998="V01",Cadrage!$C$34,IF($D998="V02",Cadrage!$D$34,Cadrage!$E$34)))</f>
        <v/>
      </c>
      <c r="M998">
        <f>IF($A998="","",IF($D998="V01",Cadrage!$C$35,IF($D998="V02",Cadrage!$D$35,Cadrage!$E$35)))</f>
        <v/>
      </c>
      <c r="N998">
        <f>IF($A998="","",IF($D998="V01",$R$2,IF($D998="V02",$R$3,$R$4)))</f>
        <v/>
      </c>
      <c r="O998">
        <f>IF($A998="","",IF(OR($B998="7062",$B998="706",$B998="708"),$N998,IF($B998="6231",1+$G998,IF($B998="6236",1+$H998,IF(OR($B998="621",$B998="604",$B998="6063"),$N998*(1-$L998),IF(OR($B998="6411",$B998="6413",$B998="6414",$B998="645"),(1+$J998)*(1+$K998),IF(OR($B998="613",$B998="615",$B998="616",$B998="6226",$B998="625",$B998="626",$B998="6281"),(1+$I998)*(1-$L998)*(1+$M998),IF(OR($B998="6331",$B998="63511",$B998="6333"),(1+$I998)*(1-$L998),IF($B998="6811",1+$I998,1)))))))))</f>
        <v/>
      </c>
      <c r="P998">
        <f>IF($A998="","",IF($E998=1,$F998*$O998,PNL!G998))</f>
        <v/>
      </c>
      <c r="T998">
        <f>IF($A998="","",IF($E998=1,IF(OR($B998="7062",$B998="706",$B998="708"),$P998,IF(AND(LEFT($B998,1)="6",$B998&lt;&gt;"6811"),-$P998,0)),0))</f>
        <v/>
      </c>
    </row>
    <row r="999">
      <c r="A999">
        <f>IF(PNL!A999="","",PNL!A999)</f>
        <v/>
      </c>
      <c r="B999">
        <f>IF(PNL!B999="","",PNL!B999)</f>
        <v/>
      </c>
      <c r="C999">
        <f>IF(PNL!C999="","",PNL!C999)</f>
        <v/>
      </c>
      <c r="D999">
        <f>IF(PNL!D999="","",PNL!D999)</f>
        <v/>
      </c>
      <c r="E999">
        <f>IF($A999="","",IF(AND($C999="2027",OR($D999="V01",$D999="V02",$D999="V03")),1,0))</f>
        <v/>
      </c>
      <c r="F999">
        <f>IF($A999="","",IF($E999=1,SUMIFS(Comptabilité!$F$1:$F$675,Comptabilité!$A$1:$A$675,$A999,Comptabilité!$B$1:$B$675,$B999,Comptabilité!$C$1:$C$675,"2026"),0))</f>
        <v/>
      </c>
      <c r="G999">
        <f>IF($A999="","",IF($D999="V01",Cadrage!$C$22,IF($D999="V02",Cadrage!$D$22,Cadrage!$E$22)))</f>
        <v/>
      </c>
      <c r="H999">
        <f>IF($A999="","",IF($D999="V01",Cadrage!$C$23,IF($D999="V02",Cadrage!$D$23,Cadrage!$E$23)))</f>
        <v/>
      </c>
      <c r="I999">
        <f>IF($A999="","",IF($D999="V01",Cadrage!$C$31,IF($D999="V02",Cadrage!$D$31,Cadrage!$E$31)))</f>
        <v/>
      </c>
      <c r="J999">
        <f>IF($A999="","",IF($D999="V01",Cadrage!$C$32,IF($D999="V02",Cadrage!$D$32,Cadrage!$E$32)))</f>
        <v/>
      </c>
      <c r="K999">
        <f>IF($A999="","",IF($D999="V01",Cadrage!$C$33,IF($D999="V02",Cadrage!$D$33,Cadrage!$E$33)))</f>
        <v/>
      </c>
      <c r="L999">
        <f>IF($A999="","",IF($D999="V01",Cadrage!$C$34,IF($D999="V02",Cadrage!$D$34,Cadrage!$E$34)))</f>
        <v/>
      </c>
      <c r="M999">
        <f>IF($A999="","",IF($D999="V01",Cadrage!$C$35,IF($D999="V02",Cadrage!$D$35,Cadrage!$E$35)))</f>
        <v/>
      </c>
      <c r="N999">
        <f>IF($A999="","",IF($D999="V01",$R$2,IF($D999="V02",$R$3,$R$4)))</f>
        <v/>
      </c>
      <c r="O999">
        <f>IF($A999="","",IF(OR($B999="7062",$B999="706",$B999="708"),$N999,IF($B999="6231",1+$G999,IF($B999="6236",1+$H999,IF(OR($B999="621",$B999="604",$B999="6063"),$N999*(1-$L999),IF(OR($B999="6411",$B999="6413",$B999="6414",$B999="645"),(1+$J999)*(1+$K999),IF(OR($B999="613",$B999="615",$B999="616",$B999="6226",$B999="625",$B999="626",$B999="6281"),(1+$I999)*(1-$L999)*(1+$M999),IF(OR($B999="6331",$B999="63511",$B999="6333"),(1+$I999)*(1-$L999),IF($B999="6811",1+$I999,1)))))))))</f>
        <v/>
      </c>
      <c r="P999">
        <f>IF($A999="","",IF($E999=1,$F999*$O999,PNL!G999))</f>
        <v/>
      </c>
      <c r="T999">
        <f>IF($A999="","",IF($E999=1,IF(OR($B999="7062",$B999="706",$B999="708"),$P999,IF(AND(LEFT($B999,1)="6",$B999&lt;&gt;"6811"),-$P999,0)),0))</f>
        <v/>
      </c>
    </row>
    <row r="1000">
      <c r="A1000">
        <f>IF(PNL!A1000="","",PNL!A1000)</f>
        <v/>
      </c>
      <c r="B1000">
        <f>IF(PNL!B1000="","",PNL!B1000)</f>
        <v/>
      </c>
      <c r="C1000">
        <f>IF(PNL!C1000="","",PNL!C1000)</f>
        <v/>
      </c>
      <c r="D1000">
        <f>IF(PNL!D1000="","",PNL!D1000)</f>
        <v/>
      </c>
      <c r="E1000">
        <f>IF($A1000="","",IF(AND($C1000="2027",OR($D1000="V01",$D1000="V02",$D1000="V03")),1,0))</f>
        <v/>
      </c>
      <c r="F1000">
        <f>IF($A1000="","",IF($E1000=1,SUMIFS(Comptabilité!$F$1:$F$675,Comptabilité!$A$1:$A$675,$A1000,Comptabilité!$B$1:$B$675,$B1000,Comptabilité!$C$1:$C$675,"2026"),0))</f>
        <v/>
      </c>
      <c r="G1000">
        <f>IF($A1000="","",IF($D1000="V01",Cadrage!$C$22,IF($D1000="V02",Cadrage!$D$22,Cadrage!$E$22)))</f>
        <v/>
      </c>
      <c r="H1000">
        <f>IF($A1000="","",IF($D1000="V01",Cadrage!$C$23,IF($D1000="V02",Cadrage!$D$23,Cadrage!$E$23)))</f>
        <v/>
      </c>
      <c r="I1000">
        <f>IF($A1000="","",IF($D1000="V01",Cadrage!$C$31,IF($D1000="V02",Cadrage!$D$31,Cadrage!$E$31)))</f>
        <v/>
      </c>
      <c r="J1000">
        <f>IF($A1000="","",IF($D1000="V01",Cadrage!$C$32,IF($D1000="V02",Cadrage!$D$32,Cadrage!$E$32)))</f>
        <v/>
      </c>
      <c r="K1000">
        <f>IF($A1000="","",IF($D1000="V01",Cadrage!$C$33,IF($D1000="V02",Cadrage!$D$33,Cadrage!$E$33)))</f>
        <v/>
      </c>
      <c r="L1000">
        <f>IF($A1000="","",IF($D1000="V01",Cadrage!$C$34,IF($D1000="V02",Cadrage!$D$34,Cadrage!$E$34)))</f>
        <v/>
      </c>
      <c r="M1000">
        <f>IF($A1000="","",IF($D1000="V01",Cadrage!$C$35,IF($D1000="V02",Cadrage!$D$35,Cadrage!$E$35)))</f>
        <v/>
      </c>
      <c r="N1000">
        <f>IF($A1000="","",IF($D1000="V01",$R$2,IF($D1000="V02",$R$3,$R$4)))</f>
        <v/>
      </c>
      <c r="O1000">
        <f>IF($A1000="","",IF(OR($B1000="7062",$B1000="706",$B1000="708"),$N1000,IF($B1000="6231",1+$G1000,IF($B1000="6236",1+$H1000,IF(OR($B1000="621",$B1000="604",$B1000="6063"),$N1000*(1-$L1000),IF(OR($B1000="6411",$B1000="6413",$B1000="6414",$B1000="645"),(1+$J1000)*(1+$K1000),IF(OR($B1000="613",$B1000="615",$B1000="616",$B1000="6226",$B1000="625",$B1000="626",$B1000="6281"),(1+$I1000)*(1-$L1000)*(1+$M1000),IF(OR($B1000="6331",$B1000="63511",$B1000="6333"),(1+$I1000)*(1-$L1000),IF($B1000="6811",1+$I1000,1)))))))))</f>
        <v/>
      </c>
      <c r="P1000">
        <f>IF($A1000="","",IF($E1000=1,$F1000*$O1000,PNL!G1000))</f>
        <v/>
      </c>
      <c r="T1000">
        <f>IF($A1000="","",IF($E1000=1,IF(OR($B1000="7062",$B1000="706",$B1000="708"),$P1000,IF(AND(LEFT($B1000,1)="6",$B1000&lt;&gt;"6811"),-$P1000,0)),0))</f>
        <v/>
      </c>
    </row>
    <row r="1001">
      <c r="A1001">
        <f>IF(PNL!A1001="","",PNL!A1001)</f>
        <v/>
      </c>
      <c r="B1001">
        <f>IF(PNL!B1001="","",PNL!B1001)</f>
        <v/>
      </c>
      <c r="C1001">
        <f>IF(PNL!C1001="","",PNL!C1001)</f>
        <v/>
      </c>
      <c r="D1001">
        <f>IF(PNL!D1001="","",PNL!D1001)</f>
        <v/>
      </c>
      <c r="E1001">
        <f>IF($A1001="","",IF(AND($C1001="2027",OR($D1001="V01",$D1001="V02",$D1001="V03")),1,0))</f>
        <v/>
      </c>
      <c r="F1001">
        <f>IF($A1001="","",IF($E1001=1,SUMIFS(Comptabilité!$F$1:$F$675,Comptabilité!$A$1:$A$675,$A1001,Comptabilité!$B$1:$B$675,$B1001,Comptabilité!$C$1:$C$675,"2026"),0))</f>
        <v/>
      </c>
      <c r="G1001">
        <f>IF($A1001="","",IF($D1001="V01",Cadrage!$C$22,IF($D1001="V02",Cadrage!$D$22,Cadrage!$E$22)))</f>
        <v/>
      </c>
      <c r="H1001">
        <f>IF($A1001="","",IF($D1001="V01",Cadrage!$C$23,IF($D1001="V02",Cadrage!$D$23,Cadrage!$E$23)))</f>
        <v/>
      </c>
      <c r="I1001">
        <f>IF($A1001="","",IF($D1001="V01",Cadrage!$C$31,IF($D1001="V02",Cadrage!$D$31,Cadrage!$E$31)))</f>
        <v/>
      </c>
      <c r="J1001">
        <f>IF($A1001="","",IF($D1001="V01",Cadrage!$C$32,IF($D1001="V02",Cadrage!$D$32,Cadrage!$E$32)))</f>
        <v/>
      </c>
      <c r="K1001">
        <f>IF($A1001="","",IF($D1001="V01",Cadrage!$C$33,IF($D1001="V02",Cadrage!$D$33,Cadrage!$E$33)))</f>
        <v/>
      </c>
      <c r="L1001">
        <f>IF($A1001="","",IF($D1001="V01",Cadrage!$C$34,IF($D1001="V02",Cadrage!$D$34,Cadrage!$E$34)))</f>
        <v/>
      </c>
      <c r="M1001">
        <f>IF($A1001="","",IF($D1001="V01",Cadrage!$C$35,IF($D1001="V02",Cadrage!$D$35,Cadrage!$E$35)))</f>
        <v/>
      </c>
      <c r="N1001">
        <f>IF($A1001="","",IF($D1001="V01",$R$2,IF($D1001="V02",$R$3,$R$4)))</f>
        <v/>
      </c>
      <c r="O1001">
        <f>IF($A1001="","",IF(OR($B1001="7062",$B1001="706",$B1001="708"),$N1001,IF($B1001="6231",1+$G1001,IF($B1001="6236",1+$H1001,IF(OR($B1001="621",$B1001="604",$B1001="6063"),$N1001*(1-$L1001),IF(OR($B1001="6411",$B1001="6413",$B1001="6414",$B1001="645"),(1+$J1001)*(1+$K1001),IF(OR($B1001="613",$B1001="615",$B1001="616",$B1001="6226",$B1001="625",$B1001="626",$B1001="6281"),(1+$I1001)*(1-$L1001)*(1+$M1001),IF(OR($B1001="6331",$B1001="63511",$B1001="6333"),(1+$I1001)*(1-$L1001),IF($B1001="6811",1+$I1001,1)))))))))</f>
        <v/>
      </c>
      <c r="P1001">
        <f>IF($A1001="","",IF($E1001=1,$F1001*$O1001,PNL!G1001))</f>
        <v/>
      </c>
      <c r="T1001">
        <f>IF($A1001="","",IF($E1001=1,IF(OR($B1001="7062",$B1001="706",$B1001="708"),$P1001,IF(AND(LEFT($B1001,1)="6",$B1001&lt;&gt;"6811"),-$P1001,0)),0))</f>
        <v/>
      </c>
    </row>
    <row r="1002">
      <c r="A1002">
        <f>IF(PNL!A1002="","",PNL!A1002)</f>
        <v/>
      </c>
      <c r="B1002">
        <f>IF(PNL!B1002="","",PNL!B1002)</f>
        <v/>
      </c>
      <c r="C1002">
        <f>IF(PNL!C1002="","",PNL!C1002)</f>
        <v/>
      </c>
      <c r="D1002">
        <f>IF(PNL!D1002="","",PNL!D1002)</f>
        <v/>
      </c>
      <c r="E1002">
        <f>IF($A1002="","",IF(AND($C1002="2027",OR($D1002="V01",$D1002="V02",$D1002="V03")),1,0))</f>
        <v/>
      </c>
      <c r="F1002">
        <f>IF($A1002="","",IF($E1002=1,SUMIFS(Comptabilité!$F$1:$F$675,Comptabilité!$A$1:$A$675,$A1002,Comptabilité!$B$1:$B$675,$B1002,Comptabilité!$C$1:$C$675,"2026"),0))</f>
        <v/>
      </c>
      <c r="G1002">
        <f>IF($A1002="","",IF($D1002="V01",Cadrage!$C$22,IF($D1002="V02",Cadrage!$D$22,Cadrage!$E$22)))</f>
        <v/>
      </c>
      <c r="H1002">
        <f>IF($A1002="","",IF($D1002="V01",Cadrage!$C$23,IF($D1002="V02",Cadrage!$D$23,Cadrage!$E$23)))</f>
        <v/>
      </c>
      <c r="I1002">
        <f>IF($A1002="","",IF($D1002="V01",Cadrage!$C$31,IF($D1002="V02",Cadrage!$D$31,Cadrage!$E$31)))</f>
        <v/>
      </c>
      <c r="J1002">
        <f>IF($A1002="","",IF($D1002="V01",Cadrage!$C$32,IF($D1002="V02",Cadrage!$D$32,Cadrage!$E$32)))</f>
        <v/>
      </c>
      <c r="K1002">
        <f>IF($A1002="","",IF($D1002="V01",Cadrage!$C$33,IF($D1002="V02",Cadrage!$D$33,Cadrage!$E$33)))</f>
        <v/>
      </c>
      <c r="L1002">
        <f>IF($A1002="","",IF($D1002="V01",Cadrage!$C$34,IF($D1002="V02",Cadrage!$D$34,Cadrage!$E$34)))</f>
        <v/>
      </c>
      <c r="M1002">
        <f>IF($A1002="","",IF($D1002="V01",Cadrage!$C$35,IF($D1002="V02",Cadrage!$D$35,Cadrage!$E$35)))</f>
        <v/>
      </c>
      <c r="N1002">
        <f>IF($A1002="","",IF($D1002="V01",$R$2,IF($D1002="V02",$R$3,$R$4)))</f>
        <v/>
      </c>
      <c r="O1002">
        <f>IF($A1002="","",IF(OR($B1002="7062",$B1002="706",$B1002="708"),$N1002,IF($B1002="6231",1+$G1002,IF($B1002="6236",1+$H1002,IF(OR($B1002="621",$B1002="604",$B1002="6063"),$N1002*(1-$L1002),IF(OR($B1002="6411",$B1002="6413",$B1002="6414",$B1002="645"),(1+$J1002)*(1+$K1002),IF(OR($B1002="613",$B1002="615",$B1002="616",$B1002="6226",$B1002="625",$B1002="626",$B1002="6281"),(1+$I1002)*(1-$L1002)*(1+$M1002),IF(OR($B1002="6331",$B1002="63511",$B1002="6333"),(1+$I1002)*(1-$L1002),IF($B1002="6811",1+$I1002,1)))))))))</f>
        <v/>
      </c>
      <c r="P1002">
        <f>IF($A1002="","",IF($E1002=1,$F1002*$O1002,PNL!G1002))</f>
        <v/>
      </c>
      <c r="T1002">
        <f>IF($A1002="","",IF($E1002=1,IF(OR($B1002="7062",$B1002="706",$B1002="708"),$P1002,IF(AND(LEFT($B1002,1)="6",$B1002&lt;&gt;"6811"),-$P1002,0)),0))</f>
        <v/>
      </c>
    </row>
    <row r="1003">
      <c r="A1003">
        <f>IF(PNL!A1003="","",PNL!A1003)</f>
        <v/>
      </c>
      <c r="B1003">
        <f>IF(PNL!B1003="","",PNL!B1003)</f>
        <v/>
      </c>
      <c r="C1003">
        <f>IF(PNL!C1003="","",PNL!C1003)</f>
        <v/>
      </c>
      <c r="D1003">
        <f>IF(PNL!D1003="","",PNL!D1003)</f>
        <v/>
      </c>
      <c r="E1003">
        <f>IF($A1003="","",IF(AND($C1003="2027",OR($D1003="V01",$D1003="V02",$D1003="V03")),1,0))</f>
        <v/>
      </c>
      <c r="F1003">
        <f>IF($A1003="","",IF($E1003=1,SUMIFS(Comptabilité!$F$1:$F$675,Comptabilité!$A$1:$A$675,$A1003,Comptabilité!$B$1:$B$675,$B1003,Comptabilité!$C$1:$C$675,"2026"),0))</f>
        <v/>
      </c>
      <c r="G1003">
        <f>IF($A1003="","",IF($D1003="V01",Cadrage!$C$22,IF($D1003="V02",Cadrage!$D$22,Cadrage!$E$22)))</f>
        <v/>
      </c>
      <c r="H1003">
        <f>IF($A1003="","",IF($D1003="V01",Cadrage!$C$23,IF($D1003="V02",Cadrage!$D$23,Cadrage!$E$23)))</f>
        <v/>
      </c>
      <c r="I1003">
        <f>IF($A1003="","",IF($D1003="V01",Cadrage!$C$31,IF($D1003="V02",Cadrage!$D$31,Cadrage!$E$31)))</f>
        <v/>
      </c>
      <c r="J1003">
        <f>IF($A1003="","",IF($D1003="V01",Cadrage!$C$32,IF($D1003="V02",Cadrage!$D$32,Cadrage!$E$32)))</f>
        <v/>
      </c>
      <c r="K1003">
        <f>IF($A1003="","",IF($D1003="V01",Cadrage!$C$33,IF($D1003="V02",Cadrage!$D$33,Cadrage!$E$33)))</f>
        <v/>
      </c>
      <c r="L1003">
        <f>IF($A1003="","",IF($D1003="V01",Cadrage!$C$34,IF($D1003="V02",Cadrage!$D$34,Cadrage!$E$34)))</f>
        <v/>
      </c>
      <c r="M1003">
        <f>IF($A1003="","",IF($D1003="V01",Cadrage!$C$35,IF($D1003="V02",Cadrage!$D$35,Cadrage!$E$35)))</f>
        <v/>
      </c>
      <c r="N1003">
        <f>IF($A1003="","",IF($D1003="V01",$R$2,IF($D1003="V02",$R$3,$R$4)))</f>
        <v/>
      </c>
      <c r="O1003">
        <f>IF($A1003="","",IF(OR($B1003="7062",$B1003="706",$B1003="708"),$N1003,IF($B1003="6231",1+$G1003,IF($B1003="6236",1+$H1003,IF(OR($B1003="621",$B1003="604",$B1003="6063"),$N1003*(1-$L1003),IF(OR($B1003="6411",$B1003="6413",$B1003="6414",$B1003="645"),(1+$J1003)*(1+$K1003),IF(OR($B1003="613",$B1003="615",$B1003="616",$B1003="6226",$B1003="625",$B1003="626",$B1003="6281"),(1+$I1003)*(1-$L1003)*(1+$M1003),IF(OR($B1003="6331",$B1003="63511",$B1003="6333"),(1+$I1003)*(1-$L1003),IF($B1003="6811",1+$I1003,1)))))))))</f>
        <v/>
      </c>
      <c r="P1003">
        <f>IF($A1003="","",IF($E1003=1,$F1003*$O1003,PNL!G1003))</f>
        <v/>
      </c>
      <c r="T1003">
        <f>IF($A1003="","",IF($E1003=1,IF(OR($B1003="7062",$B1003="706",$B1003="708"),$P1003,IF(AND(LEFT($B1003,1)="6",$B1003&lt;&gt;"6811"),-$P1003,0)),0))</f>
        <v/>
      </c>
    </row>
    <row r="1004">
      <c r="A1004">
        <f>IF(PNL!A1004="","",PNL!A1004)</f>
        <v/>
      </c>
      <c r="B1004">
        <f>IF(PNL!B1004="","",PNL!B1004)</f>
        <v/>
      </c>
      <c r="C1004">
        <f>IF(PNL!C1004="","",PNL!C1004)</f>
        <v/>
      </c>
      <c r="D1004">
        <f>IF(PNL!D1004="","",PNL!D1004)</f>
        <v/>
      </c>
      <c r="E1004">
        <f>IF($A1004="","",IF(AND($C1004="2027",OR($D1004="V01",$D1004="V02",$D1004="V03")),1,0))</f>
        <v/>
      </c>
      <c r="F1004">
        <f>IF($A1004="","",IF($E1004=1,SUMIFS(Comptabilité!$F$1:$F$675,Comptabilité!$A$1:$A$675,$A1004,Comptabilité!$B$1:$B$675,$B1004,Comptabilité!$C$1:$C$675,"2026"),0))</f>
        <v/>
      </c>
      <c r="G1004">
        <f>IF($A1004="","",IF($D1004="V01",Cadrage!$C$22,IF($D1004="V02",Cadrage!$D$22,Cadrage!$E$22)))</f>
        <v/>
      </c>
      <c r="H1004">
        <f>IF($A1004="","",IF($D1004="V01",Cadrage!$C$23,IF($D1004="V02",Cadrage!$D$23,Cadrage!$E$23)))</f>
        <v/>
      </c>
      <c r="I1004">
        <f>IF($A1004="","",IF($D1004="V01",Cadrage!$C$31,IF($D1004="V02",Cadrage!$D$31,Cadrage!$E$31)))</f>
        <v/>
      </c>
      <c r="J1004">
        <f>IF($A1004="","",IF($D1004="V01",Cadrage!$C$32,IF($D1004="V02",Cadrage!$D$32,Cadrage!$E$32)))</f>
        <v/>
      </c>
      <c r="K1004">
        <f>IF($A1004="","",IF($D1004="V01",Cadrage!$C$33,IF($D1004="V02",Cadrage!$D$33,Cadrage!$E$33)))</f>
        <v/>
      </c>
      <c r="L1004">
        <f>IF($A1004="","",IF($D1004="V01",Cadrage!$C$34,IF($D1004="V02",Cadrage!$D$34,Cadrage!$E$34)))</f>
        <v/>
      </c>
      <c r="M1004">
        <f>IF($A1004="","",IF($D1004="V01",Cadrage!$C$35,IF($D1004="V02",Cadrage!$D$35,Cadrage!$E$35)))</f>
        <v/>
      </c>
      <c r="N1004">
        <f>IF($A1004="","",IF($D1004="V01",$R$2,IF($D1004="V02",$R$3,$R$4)))</f>
        <v/>
      </c>
      <c r="O1004">
        <f>IF($A1004="","",IF(OR($B1004="7062",$B1004="706",$B1004="708"),$N1004,IF($B1004="6231",1+$G1004,IF($B1004="6236",1+$H1004,IF(OR($B1004="621",$B1004="604",$B1004="6063"),$N1004*(1-$L1004),IF(OR($B1004="6411",$B1004="6413",$B1004="6414",$B1004="645"),(1+$J1004)*(1+$K1004),IF(OR($B1004="613",$B1004="615",$B1004="616",$B1004="6226",$B1004="625",$B1004="626",$B1004="6281"),(1+$I1004)*(1-$L1004)*(1+$M1004),IF(OR($B1004="6331",$B1004="63511",$B1004="6333"),(1+$I1004)*(1-$L1004),IF($B1004="6811",1+$I1004,1)))))))))</f>
        <v/>
      </c>
      <c r="P1004">
        <f>IF($A1004="","",IF($E1004=1,$F1004*$O1004,PNL!G1004))</f>
        <v/>
      </c>
      <c r="T1004">
        <f>IF($A1004="","",IF($E1004=1,IF(OR($B1004="7062",$B1004="706",$B1004="708"),$P1004,IF(AND(LEFT($B1004,1)="6",$B1004&lt;&gt;"6811"),-$P1004,0)),0))</f>
        <v/>
      </c>
    </row>
    <row r="1005">
      <c r="A1005">
        <f>IF(PNL!A1005="","",PNL!A1005)</f>
        <v/>
      </c>
      <c r="B1005">
        <f>IF(PNL!B1005="","",PNL!B1005)</f>
        <v/>
      </c>
      <c r="C1005">
        <f>IF(PNL!C1005="","",PNL!C1005)</f>
        <v/>
      </c>
      <c r="D1005">
        <f>IF(PNL!D1005="","",PNL!D1005)</f>
        <v/>
      </c>
      <c r="E1005">
        <f>IF($A1005="","",IF(AND($C1005="2027",OR($D1005="V01",$D1005="V02",$D1005="V03")),1,0))</f>
        <v/>
      </c>
      <c r="F1005">
        <f>IF($A1005="","",IF($E1005=1,SUMIFS(Comptabilité!$F$1:$F$675,Comptabilité!$A$1:$A$675,$A1005,Comptabilité!$B$1:$B$675,$B1005,Comptabilité!$C$1:$C$675,"2026"),0))</f>
        <v/>
      </c>
      <c r="G1005">
        <f>IF($A1005="","",IF($D1005="V01",Cadrage!$C$22,IF($D1005="V02",Cadrage!$D$22,Cadrage!$E$22)))</f>
        <v/>
      </c>
      <c r="H1005">
        <f>IF($A1005="","",IF($D1005="V01",Cadrage!$C$23,IF($D1005="V02",Cadrage!$D$23,Cadrage!$E$23)))</f>
        <v/>
      </c>
      <c r="I1005">
        <f>IF($A1005="","",IF($D1005="V01",Cadrage!$C$31,IF($D1005="V02",Cadrage!$D$31,Cadrage!$E$31)))</f>
        <v/>
      </c>
      <c r="J1005">
        <f>IF($A1005="","",IF($D1005="V01",Cadrage!$C$32,IF($D1005="V02",Cadrage!$D$32,Cadrage!$E$32)))</f>
        <v/>
      </c>
      <c r="K1005">
        <f>IF($A1005="","",IF($D1005="V01",Cadrage!$C$33,IF($D1005="V02",Cadrage!$D$33,Cadrage!$E$33)))</f>
        <v/>
      </c>
      <c r="L1005">
        <f>IF($A1005="","",IF($D1005="V01",Cadrage!$C$34,IF($D1005="V02",Cadrage!$D$34,Cadrage!$E$34)))</f>
        <v/>
      </c>
      <c r="M1005">
        <f>IF($A1005="","",IF($D1005="V01",Cadrage!$C$35,IF($D1005="V02",Cadrage!$D$35,Cadrage!$E$35)))</f>
        <v/>
      </c>
      <c r="N1005">
        <f>IF($A1005="","",IF($D1005="V01",$R$2,IF($D1005="V02",$R$3,$R$4)))</f>
        <v/>
      </c>
      <c r="O1005">
        <f>IF($A1005="","",IF(OR($B1005="7062",$B1005="706",$B1005="708"),$N1005,IF($B1005="6231",1+$G1005,IF($B1005="6236",1+$H1005,IF(OR($B1005="621",$B1005="604",$B1005="6063"),$N1005*(1-$L1005),IF(OR($B1005="6411",$B1005="6413",$B1005="6414",$B1005="645"),(1+$J1005)*(1+$K1005),IF(OR($B1005="613",$B1005="615",$B1005="616",$B1005="6226",$B1005="625",$B1005="626",$B1005="6281"),(1+$I1005)*(1-$L1005)*(1+$M1005),IF(OR($B1005="6331",$B1005="63511",$B1005="6333"),(1+$I1005)*(1-$L1005),IF($B1005="6811",1+$I1005,1)))))))))</f>
        <v/>
      </c>
      <c r="P1005">
        <f>IF($A1005="","",IF($E1005=1,$F1005*$O1005,PNL!G1005))</f>
        <v/>
      </c>
      <c r="T1005">
        <f>IF($A1005="","",IF($E1005=1,IF(OR($B1005="7062",$B1005="706",$B1005="708"),$P1005,IF(AND(LEFT($B1005,1)="6",$B1005&lt;&gt;"6811"),-$P1005,0)),0))</f>
        <v/>
      </c>
    </row>
    <row r="1006">
      <c r="A1006">
        <f>IF(PNL!A1006="","",PNL!A1006)</f>
        <v/>
      </c>
      <c r="B1006">
        <f>IF(PNL!B1006="","",PNL!B1006)</f>
        <v/>
      </c>
      <c r="C1006">
        <f>IF(PNL!C1006="","",PNL!C1006)</f>
        <v/>
      </c>
      <c r="D1006">
        <f>IF(PNL!D1006="","",PNL!D1006)</f>
        <v/>
      </c>
      <c r="E1006">
        <f>IF($A1006="","",IF(AND($C1006="2027",OR($D1006="V01",$D1006="V02",$D1006="V03")),1,0))</f>
        <v/>
      </c>
      <c r="F1006">
        <f>IF($A1006="","",IF($E1006=1,SUMIFS(Comptabilité!$F$1:$F$675,Comptabilité!$A$1:$A$675,$A1006,Comptabilité!$B$1:$B$675,$B1006,Comptabilité!$C$1:$C$675,"2026"),0))</f>
        <v/>
      </c>
      <c r="G1006">
        <f>IF($A1006="","",IF($D1006="V01",Cadrage!$C$22,IF($D1006="V02",Cadrage!$D$22,Cadrage!$E$22)))</f>
        <v/>
      </c>
      <c r="H1006">
        <f>IF($A1006="","",IF($D1006="V01",Cadrage!$C$23,IF($D1006="V02",Cadrage!$D$23,Cadrage!$E$23)))</f>
        <v/>
      </c>
      <c r="I1006">
        <f>IF($A1006="","",IF($D1006="V01",Cadrage!$C$31,IF($D1006="V02",Cadrage!$D$31,Cadrage!$E$31)))</f>
        <v/>
      </c>
      <c r="J1006">
        <f>IF($A1006="","",IF($D1006="V01",Cadrage!$C$32,IF($D1006="V02",Cadrage!$D$32,Cadrage!$E$32)))</f>
        <v/>
      </c>
      <c r="K1006">
        <f>IF($A1006="","",IF($D1006="V01",Cadrage!$C$33,IF($D1006="V02",Cadrage!$D$33,Cadrage!$E$33)))</f>
        <v/>
      </c>
      <c r="L1006">
        <f>IF($A1006="","",IF($D1006="V01",Cadrage!$C$34,IF($D1006="V02",Cadrage!$D$34,Cadrage!$E$34)))</f>
        <v/>
      </c>
      <c r="M1006">
        <f>IF($A1006="","",IF($D1006="V01",Cadrage!$C$35,IF($D1006="V02",Cadrage!$D$35,Cadrage!$E$35)))</f>
        <v/>
      </c>
      <c r="N1006">
        <f>IF($A1006="","",IF($D1006="V01",$R$2,IF($D1006="V02",$R$3,$R$4)))</f>
        <v/>
      </c>
      <c r="O1006">
        <f>IF($A1006="","",IF(OR($B1006="7062",$B1006="706",$B1006="708"),$N1006,IF($B1006="6231",1+$G1006,IF($B1006="6236",1+$H1006,IF(OR($B1006="621",$B1006="604",$B1006="6063"),$N1006*(1-$L1006),IF(OR($B1006="6411",$B1006="6413",$B1006="6414",$B1006="645"),(1+$J1006)*(1+$K1006),IF(OR($B1006="613",$B1006="615",$B1006="616",$B1006="6226",$B1006="625",$B1006="626",$B1006="6281"),(1+$I1006)*(1-$L1006)*(1+$M1006),IF(OR($B1006="6331",$B1006="63511",$B1006="6333"),(1+$I1006)*(1-$L1006),IF($B1006="6811",1+$I1006,1)))))))))</f>
        <v/>
      </c>
      <c r="P1006">
        <f>IF($A1006="","",IF($E1006=1,$F1006*$O1006,PNL!G1006))</f>
        <v/>
      </c>
      <c r="T1006">
        <f>IF($A1006="","",IF($E1006=1,IF(OR($B1006="7062",$B1006="706",$B1006="708"),$P1006,IF(AND(LEFT($B1006,1)="6",$B1006&lt;&gt;"6811"),-$P1006,0)),0))</f>
        <v/>
      </c>
    </row>
    <row r="1007">
      <c r="A1007">
        <f>IF(PNL!A1007="","",PNL!A1007)</f>
        <v/>
      </c>
      <c r="B1007">
        <f>IF(PNL!B1007="","",PNL!B1007)</f>
        <v/>
      </c>
      <c r="C1007">
        <f>IF(PNL!C1007="","",PNL!C1007)</f>
        <v/>
      </c>
      <c r="D1007">
        <f>IF(PNL!D1007="","",PNL!D1007)</f>
        <v/>
      </c>
      <c r="E1007">
        <f>IF($A1007="","",IF(AND($C1007="2027",OR($D1007="V01",$D1007="V02",$D1007="V03")),1,0))</f>
        <v/>
      </c>
      <c r="F1007">
        <f>IF($A1007="","",IF($E1007=1,SUMIFS(Comptabilité!$F$1:$F$675,Comptabilité!$A$1:$A$675,$A1007,Comptabilité!$B$1:$B$675,$B1007,Comptabilité!$C$1:$C$675,"2026"),0))</f>
        <v/>
      </c>
      <c r="G1007">
        <f>IF($A1007="","",IF($D1007="V01",Cadrage!$C$22,IF($D1007="V02",Cadrage!$D$22,Cadrage!$E$22)))</f>
        <v/>
      </c>
      <c r="H1007">
        <f>IF($A1007="","",IF($D1007="V01",Cadrage!$C$23,IF($D1007="V02",Cadrage!$D$23,Cadrage!$E$23)))</f>
        <v/>
      </c>
      <c r="I1007">
        <f>IF($A1007="","",IF($D1007="V01",Cadrage!$C$31,IF($D1007="V02",Cadrage!$D$31,Cadrage!$E$31)))</f>
        <v/>
      </c>
      <c r="J1007">
        <f>IF($A1007="","",IF($D1007="V01",Cadrage!$C$32,IF($D1007="V02",Cadrage!$D$32,Cadrage!$E$32)))</f>
        <v/>
      </c>
      <c r="K1007">
        <f>IF($A1007="","",IF($D1007="V01",Cadrage!$C$33,IF($D1007="V02",Cadrage!$D$33,Cadrage!$E$33)))</f>
        <v/>
      </c>
      <c r="L1007">
        <f>IF($A1007="","",IF($D1007="V01",Cadrage!$C$34,IF($D1007="V02",Cadrage!$D$34,Cadrage!$E$34)))</f>
        <v/>
      </c>
      <c r="M1007">
        <f>IF($A1007="","",IF($D1007="V01",Cadrage!$C$35,IF($D1007="V02",Cadrage!$D$35,Cadrage!$E$35)))</f>
        <v/>
      </c>
      <c r="N1007">
        <f>IF($A1007="","",IF($D1007="V01",$R$2,IF($D1007="V02",$R$3,$R$4)))</f>
        <v/>
      </c>
      <c r="O1007">
        <f>IF($A1007="","",IF(OR($B1007="7062",$B1007="706",$B1007="708"),$N1007,IF($B1007="6231",1+$G1007,IF($B1007="6236",1+$H1007,IF(OR($B1007="621",$B1007="604",$B1007="6063"),$N1007*(1-$L1007),IF(OR($B1007="6411",$B1007="6413",$B1007="6414",$B1007="645"),(1+$J1007)*(1+$K1007),IF(OR($B1007="613",$B1007="615",$B1007="616",$B1007="6226",$B1007="625",$B1007="626",$B1007="6281"),(1+$I1007)*(1-$L1007)*(1+$M1007),IF(OR($B1007="6331",$B1007="63511",$B1007="6333"),(1+$I1007)*(1-$L1007),IF($B1007="6811",1+$I1007,1)))))))))</f>
        <v/>
      </c>
      <c r="P1007">
        <f>IF($A1007="","",IF($E1007=1,$F1007*$O1007,PNL!G1007))</f>
        <v/>
      </c>
      <c r="T1007">
        <f>IF($A1007="","",IF($E1007=1,IF(OR($B1007="7062",$B1007="706",$B1007="708"),$P1007,IF(AND(LEFT($B1007,1)="6",$B1007&lt;&gt;"6811"),-$P1007,0)),0))</f>
        <v/>
      </c>
    </row>
    <row r="1008">
      <c r="A1008">
        <f>IF(PNL!A1008="","",PNL!A1008)</f>
        <v/>
      </c>
      <c r="B1008">
        <f>IF(PNL!B1008="","",PNL!B1008)</f>
        <v/>
      </c>
      <c r="C1008">
        <f>IF(PNL!C1008="","",PNL!C1008)</f>
        <v/>
      </c>
      <c r="D1008">
        <f>IF(PNL!D1008="","",PNL!D1008)</f>
        <v/>
      </c>
      <c r="E1008">
        <f>IF($A1008="","",IF(AND($C1008="2027",OR($D1008="V01",$D1008="V02",$D1008="V03")),1,0))</f>
        <v/>
      </c>
      <c r="F1008">
        <f>IF($A1008="","",IF($E1008=1,SUMIFS(Comptabilité!$F$1:$F$675,Comptabilité!$A$1:$A$675,$A1008,Comptabilité!$B$1:$B$675,$B1008,Comptabilité!$C$1:$C$675,"2026"),0))</f>
        <v/>
      </c>
      <c r="G1008">
        <f>IF($A1008="","",IF($D1008="V01",Cadrage!$C$22,IF($D1008="V02",Cadrage!$D$22,Cadrage!$E$22)))</f>
        <v/>
      </c>
      <c r="H1008">
        <f>IF($A1008="","",IF($D1008="V01",Cadrage!$C$23,IF($D1008="V02",Cadrage!$D$23,Cadrage!$E$23)))</f>
        <v/>
      </c>
      <c r="I1008">
        <f>IF($A1008="","",IF($D1008="V01",Cadrage!$C$31,IF($D1008="V02",Cadrage!$D$31,Cadrage!$E$31)))</f>
        <v/>
      </c>
      <c r="J1008">
        <f>IF($A1008="","",IF($D1008="V01",Cadrage!$C$32,IF($D1008="V02",Cadrage!$D$32,Cadrage!$E$32)))</f>
        <v/>
      </c>
      <c r="K1008">
        <f>IF($A1008="","",IF($D1008="V01",Cadrage!$C$33,IF($D1008="V02",Cadrage!$D$33,Cadrage!$E$33)))</f>
        <v/>
      </c>
      <c r="L1008">
        <f>IF($A1008="","",IF($D1008="V01",Cadrage!$C$34,IF($D1008="V02",Cadrage!$D$34,Cadrage!$E$34)))</f>
        <v/>
      </c>
      <c r="M1008">
        <f>IF($A1008="","",IF($D1008="V01",Cadrage!$C$35,IF($D1008="V02",Cadrage!$D$35,Cadrage!$E$35)))</f>
        <v/>
      </c>
      <c r="N1008">
        <f>IF($A1008="","",IF($D1008="V01",$R$2,IF($D1008="V02",$R$3,$R$4)))</f>
        <v/>
      </c>
      <c r="O1008">
        <f>IF($A1008="","",IF(OR($B1008="7062",$B1008="706",$B1008="708"),$N1008,IF($B1008="6231",1+$G1008,IF($B1008="6236",1+$H1008,IF(OR($B1008="621",$B1008="604",$B1008="6063"),$N1008*(1-$L1008),IF(OR($B1008="6411",$B1008="6413",$B1008="6414",$B1008="645"),(1+$J1008)*(1+$K1008),IF(OR($B1008="613",$B1008="615",$B1008="616",$B1008="6226",$B1008="625",$B1008="626",$B1008="6281"),(1+$I1008)*(1-$L1008)*(1+$M1008),IF(OR($B1008="6331",$B1008="63511",$B1008="6333"),(1+$I1008)*(1-$L1008),IF($B1008="6811",1+$I1008,1)))))))))</f>
        <v/>
      </c>
      <c r="P1008">
        <f>IF($A1008="","",IF($E1008=1,$F1008*$O1008,PNL!G1008))</f>
        <v/>
      </c>
      <c r="T1008">
        <f>IF($A1008="","",IF($E1008=1,IF(OR($B1008="7062",$B1008="706",$B1008="708"),$P1008,IF(AND(LEFT($B1008,1)="6",$B1008&lt;&gt;"6811"),-$P1008,0)),0))</f>
        <v/>
      </c>
    </row>
    <row r="1009">
      <c r="A1009">
        <f>IF(PNL!A1009="","",PNL!A1009)</f>
        <v/>
      </c>
      <c r="B1009">
        <f>IF(PNL!B1009="","",PNL!B1009)</f>
        <v/>
      </c>
      <c r="C1009">
        <f>IF(PNL!C1009="","",PNL!C1009)</f>
        <v/>
      </c>
      <c r="D1009">
        <f>IF(PNL!D1009="","",PNL!D1009)</f>
        <v/>
      </c>
      <c r="E1009">
        <f>IF($A1009="","",IF(AND($C1009="2027",OR($D1009="V01",$D1009="V02",$D1009="V03")),1,0))</f>
        <v/>
      </c>
      <c r="F1009">
        <f>IF($A1009="","",IF($E1009=1,SUMIFS(Comptabilité!$F$1:$F$675,Comptabilité!$A$1:$A$675,$A1009,Comptabilité!$B$1:$B$675,$B1009,Comptabilité!$C$1:$C$675,"2026"),0))</f>
        <v/>
      </c>
      <c r="G1009">
        <f>IF($A1009="","",IF($D1009="V01",Cadrage!$C$22,IF($D1009="V02",Cadrage!$D$22,Cadrage!$E$22)))</f>
        <v/>
      </c>
      <c r="H1009">
        <f>IF($A1009="","",IF($D1009="V01",Cadrage!$C$23,IF($D1009="V02",Cadrage!$D$23,Cadrage!$E$23)))</f>
        <v/>
      </c>
      <c r="I1009">
        <f>IF($A1009="","",IF($D1009="V01",Cadrage!$C$31,IF($D1009="V02",Cadrage!$D$31,Cadrage!$E$31)))</f>
        <v/>
      </c>
      <c r="J1009">
        <f>IF($A1009="","",IF($D1009="V01",Cadrage!$C$32,IF($D1009="V02",Cadrage!$D$32,Cadrage!$E$32)))</f>
        <v/>
      </c>
      <c r="K1009">
        <f>IF($A1009="","",IF($D1009="V01",Cadrage!$C$33,IF($D1009="V02",Cadrage!$D$33,Cadrage!$E$33)))</f>
        <v/>
      </c>
      <c r="L1009">
        <f>IF($A1009="","",IF($D1009="V01",Cadrage!$C$34,IF($D1009="V02",Cadrage!$D$34,Cadrage!$E$34)))</f>
        <v/>
      </c>
      <c r="M1009">
        <f>IF($A1009="","",IF($D1009="V01",Cadrage!$C$35,IF($D1009="V02",Cadrage!$D$35,Cadrage!$E$35)))</f>
        <v/>
      </c>
      <c r="N1009">
        <f>IF($A1009="","",IF($D1009="V01",$R$2,IF($D1009="V02",$R$3,$R$4)))</f>
        <v/>
      </c>
      <c r="O1009">
        <f>IF($A1009="","",IF(OR($B1009="7062",$B1009="706",$B1009="708"),$N1009,IF($B1009="6231",1+$G1009,IF($B1009="6236",1+$H1009,IF(OR($B1009="621",$B1009="604",$B1009="6063"),$N1009*(1-$L1009),IF(OR($B1009="6411",$B1009="6413",$B1009="6414",$B1009="645"),(1+$J1009)*(1+$K1009),IF(OR($B1009="613",$B1009="615",$B1009="616",$B1009="6226",$B1009="625",$B1009="626",$B1009="6281"),(1+$I1009)*(1-$L1009)*(1+$M1009),IF(OR($B1009="6331",$B1009="63511",$B1009="6333"),(1+$I1009)*(1-$L1009),IF($B1009="6811",1+$I1009,1)))))))))</f>
        <v/>
      </c>
      <c r="P1009">
        <f>IF($A1009="","",IF($E1009=1,$F1009*$O1009,PNL!G1009))</f>
        <v/>
      </c>
      <c r="T1009">
        <f>IF($A1009="","",IF($E1009=1,IF(OR($B1009="7062",$B1009="706",$B1009="708"),$P1009,IF(AND(LEFT($B1009,1)="6",$B1009&lt;&gt;"6811"),-$P1009,0)),0))</f>
        <v/>
      </c>
    </row>
    <row r="1010">
      <c r="A1010">
        <f>IF(PNL!A1010="","",PNL!A1010)</f>
        <v/>
      </c>
      <c r="B1010">
        <f>IF(PNL!B1010="","",PNL!B1010)</f>
        <v/>
      </c>
      <c r="C1010">
        <f>IF(PNL!C1010="","",PNL!C1010)</f>
        <v/>
      </c>
      <c r="D1010">
        <f>IF(PNL!D1010="","",PNL!D1010)</f>
        <v/>
      </c>
      <c r="E1010">
        <f>IF($A1010="","",IF(AND($C1010="2027",OR($D1010="V01",$D1010="V02",$D1010="V03")),1,0))</f>
        <v/>
      </c>
      <c r="F1010">
        <f>IF($A1010="","",IF($E1010=1,SUMIFS(Comptabilité!$F$1:$F$675,Comptabilité!$A$1:$A$675,$A1010,Comptabilité!$B$1:$B$675,$B1010,Comptabilité!$C$1:$C$675,"2026"),0))</f>
        <v/>
      </c>
      <c r="G1010">
        <f>IF($A1010="","",IF($D1010="V01",Cadrage!$C$22,IF($D1010="V02",Cadrage!$D$22,Cadrage!$E$22)))</f>
        <v/>
      </c>
      <c r="H1010">
        <f>IF($A1010="","",IF($D1010="V01",Cadrage!$C$23,IF($D1010="V02",Cadrage!$D$23,Cadrage!$E$23)))</f>
        <v/>
      </c>
      <c r="I1010">
        <f>IF($A1010="","",IF($D1010="V01",Cadrage!$C$31,IF($D1010="V02",Cadrage!$D$31,Cadrage!$E$31)))</f>
        <v/>
      </c>
      <c r="J1010">
        <f>IF($A1010="","",IF($D1010="V01",Cadrage!$C$32,IF($D1010="V02",Cadrage!$D$32,Cadrage!$E$32)))</f>
        <v/>
      </c>
      <c r="K1010">
        <f>IF($A1010="","",IF($D1010="V01",Cadrage!$C$33,IF($D1010="V02",Cadrage!$D$33,Cadrage!$E$33)))</f>
        <v/>
      </c>
      <c r="L1010">
        <f>IF($A1010="","",IF($D1010="V01",Cadrage!$C$34,IF($D1010="V02",Cadrage!$D$34,Cadrage!$E$34)))</f>
        <v/>
      </c>
      <c r="M1010">
        <f>IF($A1010="","",IF($D1010="V01",Cadrage!$C$35,IF($D1010="V02",Cadrage!$D$35,Cadrage!$E$35)))</f>
        <v/>
      </c>
      <c r="N1010">
        <f>IF($A1010="","",IF($D1010="V01",$R$2,IF($D1010="V02",$R$3,$R$4)))</f>
        <v/>
      </c>
      <c r="O1010">
        <f>IF($A1010="","",IF(OR($B1010="7062",$B1010="706",$B1010="708"),$N1010,IF($B1010="6231",1+$G1010,IF($B1010="6236",1+$H1010,IF(OR($B1010="621",$B1010="604",$B1010="6063"),$N1010*(1-$L1010),IF(OR($B1010="6411",$B1010="6413",$B1010="6414",$B1010="645"),(1+$J1010)*(1+$K1010),IF(OR($B1010="613",$B1010="615",$B1010="616",$B1010="6226",$B1010="625",$B1010="626",$B1010="6281"),(1+$I1010)*(1-$L1010)*(1+$M1010),IF(OR($B1010="6331",$B1010="63511",$B1010="6333"),(1+$I1010)*(1-$L1010),IF($B1010="6811",1+$I1010,1)))))))))</f>
        <v/>
      </c>
      <c r="P1010">
        <f>IF($A1010="","",IF($E1010=1,$F1010*$O1010,PNL!G1010))</f>
        <v/>
      </c>
      <c r="T1010">
        <f>IF($A1010="","",IF($E1010=1,IF(OR($B1010="7062",$B1010="706",$B1010="708"),$P1010,IF(AND(LEFT($B1010,1)="6",$B1010&lt;&gt;"6811"),-$P1010,0)),0))</f>
        <v/>
      </c>
    </row>
    <row r="1011">
      <c r="A1011">
        <f>IF(PNL!A1011="","",PNL!A1011)</f>
        <v/>
      </c>
      <c r="B1011">
        <f>IF(PNL!B1011="","",PNL!B1011)</f>
        <v/>
      </c>
      <c r="C1011">
        <f>IF(PNL!C1011="","",PNL!C1011)</f>
        <v/>
      </c>
      <c r="D1011">
        <f>IF(PNL!D1011="","",PNL!D1011)</f>
        <v/>
      </c>
      <c r="E1011">
        <f>IF($A1011="","",IF(AND($C1011="2027",OR($D1011="V01",$D1011="V02",$D1011="V03")),1,0))</f>
        <v/>
      </c>
      <c r="F1011">
        <f>IF($A1011="","",IF($E1011=1,SUMIFS(Comptabilité!$F$1:$F$675,Comptabilité!$A$1:$A$675,$A1011,Comptabilité!$B$1:$B$675,$B1011,Comptabilité!$C$1:$C$675,"2026"),0))</f>
        <v/>
      </c>
      <c r="G1011">
        <f>IF($A1011="","",IF($D1011="V01",Cadrage!$C$22,IF($D1011="V02",Cadrage!$D$22,Cadrage!$E$22)))</f>
        <v/>
      </c>
      <c r="H1011">
        <f>IF($A1011="","",IF($D1011="V01",Cadrage!$C$23,IF($D1011="V02",Cadrage!$D$23,Cadrage!$E$23)))</f>
        <v/>
      </c>
      <c r="I1011">
        <f>IF($A1011="","",IF($D1011="V01",Cadrage!$C$31,IF($D1011="V02",Cadrage!$D$31,Cadrage!$E$31)))</f>
        <v/>
      </c>
      <c r="J1011">
        <f>IF($A1011="","",IF($D1011="V01",Cadrage!$C$32,IF($D1011="V02",Cadrage!$D$32,Cadrage!$E$32)))</f>
        <v/>
      </c>
      <c r="K1011">
        <f>IF($A1011="","",IF($D1011="V01",Cadrage!$C$33,IF($D1011="V02",Cadrage!$D$33,Cadrage!$E$33)))</f>
        <v/>
      </c>
      <c r="L1011">
        <f>IF($A1011="","",IF($D1011="V01",Cadrage!$C$34,IF($D1011="V02",Cadrage!$D$34,Cadrage!$E$34)))</f>
        <v/>
      </c>
      <c r="M1011">
        <f>IF($A1011="","",IF($D1011="V01",Cadrage!$C$35,IF($D1011="V02",Cadrage!$D$35,Cadrage!$E$35)))</f>
        <v/>
      </c>
      <c r="N1011">
        <f>IF($A1011="","",IF($D1011="V01",$R$2,IF($D1011="V02",$R$3,$R$4)))</f>
        <v/>
      </c>
      <c r="O1011">
        <f>IF($A1011="","",IF(OR($B1011="7062",$B1011="706",$B1011="708"),$N1011,IF($B1011="6231",1+$G1011,IF($B1011="6236",1+$H1011,IF(OR($B1011="621",$B1011="604",$B1011="6063"),$N1011*(1-$L1011),IF(OR($B1011="6411",$B1011="6413",$B1011="6414",$B1011="645"),(1+$J1011)*(1+$K1011),IF(OR($B1011="613",$B1011="615",$B1011="616",$B1011="6226",$B1011="625",$B1011="626",$B1011="6281"),(1+$I1011)*(1-$L1011)*(1+$M1011),IF(OR($B1011="6331",$B1011="63511",$B1011="6333"),(1+$I1011)*(1-$L1011),IF($B1011="6811",1+$I1011,1)))))))))</f>
        <v/>
      </c>
      <c r="P1011">
        <f>IF($A1011="","",IF($E1011=1,$F1011*$O1011,PNL!G1011))</f>
        <v/>
      </c>
      <c r="T1011">
        <f>IF($A1011="","",IF($E1011=1,IF(OR($B1011="7062",$B1011="706",$B1011="708"),$P1011,IF(AND(LEFT($B1011,1)="6",$B1011&lt;&gt;"6811"),-$P1011,0)),0))</f>
        <v/>
      </c>
    </row>
    <row r="1012">
      <c r="A1012">
        <f>IF(PNL!A1012="","",PNL!A1012)</f>
        <v/>
      </c>
      <c r="B1012">
        <f>IF(PNL!B1012="","",PNL!B1012)</f>
        <v/>
      </c>
      <c r="C1012">
        <f>IF(PNL!C1012="","",PNL!C1012)</f>
        <v/>
      </c>
      <c r="D1012">
        <f>IF(PNL!D1012="","",PNL!D1012)</f>
        <v/>
      </c>
      <c r="E1012">
        <f>IF($A1012="","",IF(AND($C1012="2027",OR($D1012="V01",$D1012="V02",$D1012="V03")),1,0))</f>
        <v/>
      </c>
      <c r="F1012">
        <f>IF($A1012="","",IF($E1012=1,SUMIFS(Comptabilité!$F$1:$F$675,Comptabilité!$A$1:$A$675,$A1012,Comptabilité!$B$1:$B$675,$B1012,Comptabilité!$C$1:$C$675,"2026"),0))</f>
        <v/>
      </c>
      <c r="G1012">
        <f>IF($A1012="","",IF($D1012="V01",Cadrage!$C$22,IF($D1012="V02",Cadrage!$D$22,Cadrage!$E$22)))</f>
        <v/>
      </c>
      <c r="H1012">
        <f>IF($A1012="","",IF($D1012="V01",Cadrage!$C$23,IF($D1012="V02",Cadrage!$D$23,Cadrage!$E$23)))</f>
        <v/>
      </c>
      <c r="I1012">
        <f>IF($A1012="","",IF($D1012="V01",Cadrage!$C$31,IF($D1012="V02",Cadrage!$D$31,Cadrage!$E$31)))</f>
        <v/>
      </c>
      <c r="J1012">
        <f>IF($A1012="","",IF($D1012="V01",Cadrage!$C$32,IF($D1012="V02",Cadrage!$D$32,Cadrage!$E$32)))</f>
        <v/>
      </c>
      <c r="K1012">
        <f>IF($A1012="","",IF($D1012="V01",Cadrage!$C$33,IF($D1012="V02",Cadrage!$D$33,Cadrage!$E$33)))</f>
        <v/>
      </c>
      <c r="L1012">
        <f>IF($A1012="","",IF($D1012="V01",Cadrage!$C$34,IF($D1012="V02",Cadrage!$D$34,Cadrage!$E$34)))</f>
        <v/>
      </c>
      <c r="M1012">
        <f>IF($A1012="","",IF($D1012="V01",Cadrage!$C$35,IF($D1012="V02",Cadrage!$D$35,Cadrage!$E$35)))</f>
        <v/>
      </c>
      <c r="N1012">
        <f>IF($A1012="","",IF($D1012="V01",$R$2,IF($D1012="V02",$R$3,$R$4)))</f>
        <v/>
      </c>
      <c r="O1012">
        <f>IF($A1012="","",IF(OR($B1012="7062",$B1012="706",$B1012="708"),$N1012,IF($B1012="6231",1+$G1012,IF($B1012="6236",1+$H1012,IF(OR($B1012="621",$B1012="604",$B1012="6063"),$N1012*(1-$L1012),IF(OR($B1012="6411",$B1012="6413",$B1012="6414",$B1012="645"),(1+$J1012)*(1+$K1012),IF(OR($B1012="613",$B1012="615",$B1012="616",$B1012="6226",$B1012="625",$B1012="626",$B1012="6281"),(1+$I1012)*(1-$L1012)*(1+$M1012),IF(OR($B1012="6331",$B1012="63511",$B1012="6333"),(1+$I1012)*(1-$L1012),IF($B1012="6811",1+$I1012,1)))))))))</f>
        <v/>
      </c>
      <c r="P1012">
        <f>IF($A1012="","",IF($E1012=1,$F1012*$O1012,PNL!G1012))</f>
        <v/>
      </c>
      <c r="T1012">
        <f>IF($A1012="","",IF($E1012=1,IF(OR($B1012="7062",$B1012="706",$B1012="708"),$P1012,IF(AND(LEFT($B1012,1)="6",$B1012&lt;&gt;"6811"),-$P1012,0)),0))</f>
        <v/>
      </c>
    </row>
    <row r="1013">
      <c r="A1013">
        <f>IF(PNL!A1013="","",PNL!A1013)</f>
        <v/>
      </c>
      <c r="B1013">
        <f>IF(PNL!B1013="","",PNL!B1013)</f>
        <v/>
      </c>
      <c r="C1013">
        <f>IF(PNL!C1013="","",PNL!C1013)</f>
        <v/>
      </c>
      <c r="D1013">
        <f>IF(PNL!D1013="","",PNL!D1013)</f>
        <v/>
      </c>
      <c r="E1013">
        <f>IF($A1013="","",IF(AND($C1013="2027",OR($D1013="V01",$D1013="V02",$D1013="V03")),1,0))</f>
        <v/>
      </c>
      <c r="F1013">
        <f>IF($A1013="","",IF($E1013=1,SUMIFS(Comptabilité!$F$1:$F$675,Comptabilité!$A$1:$A$675,$A1013,Comptabilité!$B$1:$B$675,$B1013,Comptabilité!$C$1:$C$675,"2026"),0))</f>
        <v/>
      </c>
      <c r="G1013">
        <f>IF($A1013="","",IF($D1013="V01",Cadrage!$C$22,IF($D1013="V02",Cadrage!$D$22,Cadrage!$E$22)))</f>
        <v/>
      </c>
      <c r="H1013">
        <f>IF($A1013="","",IF($D1013="V01",Cadrage!$C$23,IF($D1013="V02",Cadrage!$D$23,Cadrage!$E$23)))</f>
        <v/>
      </c>
      <c r="I1013">
        <f>IF($A1013="","",IF($D1013="V01",Cadrage!$C$31,IF($D1013="V02",Cadrage!$D$31,Cadrage!$E$31)))</f>
        <v/>
      </c>
      <c r="J1013">
        <f>IF($A1013="","",IF($D1013="V01",Cadrage!$C$32,IF($D1013="V02",Cadrage!$D$32,Cadrage!$E$32)))</f>
        <v/>
      </c>
      <c r="K1013">
        <f>IF($A1013="","",IF($D1013="V01",Cadrage!$C$33,IF($D1013="V02",Cadrage!$D$33,Cadrage!$E$33)))</f>
        <v/>
      </c>
      <c r="L1013">
        <f>IF($A1013="","",IF($D1013="V01",Cadrage!$C$34,IF($D1013="V02",Cadrage!$D$34,Cadrage!$E$34)))</f>
        <v/>
      </c>
      <c r="M1013">
        <f>IF($A1013="","",IF($D1013="V01",Cadrage!$C$35,IF($D1013="V02",Cadrage!$D$35,Cadrage!$E$35)))</f>
        <v/>
      </c>
      <c r="N1013">
        <f>IF($A1013="","",IF($D1013="V01",$R$2,IF($D1013="V02",$R$3,$R$4)))</f>
        <v/>
      </c>
      <c r="O1013">
        <f>IF($A1013="","",IF(OR($B1013="7062",$B1013="706",$B1013="708"),$N1013,IF($B1013="6231",1+$G1013,IF($B1013="6236",1+$H1013,IF(OR($B1013="621",$B1013="604",$B1013="6063"),$N1013*(1-$L1013),IF(OR($B1013="6411",$B1013="6413",$B1013="6414",$B1013="645"),(1+$J1013)*(1+$K1013),IF(OR($B1013="613",$B1013="615",$B1013="616",$B1013="6226",$B1013="625",$B1013="626",$B1013="6281"),(1+$I1013)*(1-$L1013)*(1+$M1013),IF(OR($B1013="6331",$B1013="63511",$B1013="6333"),(1+$I1013)*(1-$L1013),IF($B1013="6811",1+$I1013,1)))))))))</f>
        <v/>
      </c>
      <c r="P1013">
        <f>IF($A1013="","",IF($E1013=1,$F1013*$O1013,PNL!G1013))</f>
        <v/>
      </c>
      <c r="T1013">
        <f>IF($A1013="","",IF($E1013=1,IF(OR($B1013="7062",$B1013="706",$B1013="708"),$P1013,IF(AND(LEFT($B1013,1)="6",$B1013&lt;&gt;"6811"),-$P1013,0)),0))</f>
        <v/>
      </c>
    </row>
    <row r="1014">
      <c r="A1014">
        <f>IF(PNL!A1014="","",PNL!A1014)</f>
        <v/>
      </c>
      <c r="B1014">
        <f>IF(PNL!B1014="","",PNL!B1014)</f>
        <v/>
      </c>
      <c r="C1014">
        <f>IF(PNL!C1014="","",PNL!C1014)</f>
        <v/>
      </c>
      <c r="D1014">
        <f>IF(PNL!D1014="","",PNL!D1014)</f>
        <v/>
      </c>
      <c r="E1014">
        <f>IF($A1014="","",IF(AND($C1014="2027",OR($D1014="V01",$D1014="V02",$D1014="V03")),1,0))</f>
        <v/>
      </c>
      <c r="F1014">
        <f>IF($A1014="","",IF($E1014=1,SUMIFS(Comptabilité!$F$1:$F$675,Comptabilité!$A$1:$A$675,$A1014,Comptabilité!$B$1:$B$675,$B1014,Comptabilité!$C$1:$C$675,"2026"),0))</f>
        <v/>
      </c>
      <c r="G1014">
        <f>IF($A1014="","",IF($D1014="V01",Cadrage!$C$22,IF($D1014="V02",Cadrage!$D$22,Cadrage!$E$22)))</f>
        <v/>
      </c>
      <c r="H1014">
        <f>IF($A1014="","",IF($D1014="V01",Cadrage!$C$23,IF($D1014="V02",Cadrage!$D$23,Cadrage!$E$23)))</f>
        <v/>
      </c>
      <c r="I1014">
        <f>IF($A1014="","",IF($D1014="V01",Cadrage!$C$31,IF($D1014="V02",Cadrage!$D$31,Cadrage!$E$31)))</f>
        <v/>
      </c>
      <c r="J1014">
        <f>IF($A1014="","",IF($D1014="V01",Cadrage!$C$32,IF($D1014="V02",Cadrage!$D$32,Cadrage!$E$32)))</f>
        <v/>
      </c>
      <c r="K1014">
        <f>IF($A1014="","",IF($D1014="V01",Cadrage!$C$33,IF($D1014="V02",Cadrage!$D$33,Cadrage!$E$33)))</f>
        <v/>
      </c>
      <c r="L1014">
        <f>IF($A1014="","",IF($D1014="V01",Cadrage!$C$34,IF($D1014="V02",Cadrage!$D$34,Cadrage!$E$34)))</f>
        <v/>
      </c>
      <c r="M1014">
        <f>IF($A1014="","",IF($D1014="V01",Cadrage!$C$35,IF($D1014="V02",Cadrage!$D$35,Cadrage!$E$35)))</f>
        <v/>
      </c>
      <c r="N1014">
        <f>IF($A1014="","",IF($D1014="V01",$R$2,IF($D1014="V02",$R$3,$R$4)))</f>
        <v/>
      </c>
      <c r="O1014">
        <f>IF($A1014="","",IF(OR($B1014="7062",$B1014="706",$B1014="708"),$N1014,IF($B1014="6231",1+$G1014,IF($B1014="6236",1+$H1014,IF(OR($B1014="621",$B1014="604",$B1014="6063"),$N1014*(1-$L1014),IF(OR($B1014="6411",$B1014="6413",$B1014="6414",$B1014="645"),(1+$J1014)*(1+$K1014),IF(OR($B1014="613",$B1014="615",$B1014="616",$B1014="6226",$B1014="625",$B1014="626",$B1014="6281"),(1+$I1014)*(1-$L1014)*(1+$M1014),IF(OR($B1014="6331",$B1014="63511",$B1014="6333"),(1+$I1014)*(1-$L1014),IF($B1014="6811",1+$I1014,1)))))))))</f>
        <v/>
      </c>
      <c r="P1014">
        <f>IF($A1014="","",IF($E1014=1,$F1014*$O1014,PNL!G1014))</f>
        <v/>
      </c>
      <c r="T1014">
        <f>IF($A1014="","",IF($E1014=1,IF(OR($B1014="7062",$B1014="706",$B1014="708"),$P1014,IF(AND(LEFT($B1014,1)="6",$B1014&lt;&gt;"6811"),-$P1014,0)),0))</f>
        <v/>
      </c>
    </row>
    <row r="1015">
      <c r="A1015">
        <f>IF(PNL!A1015="","",PNL!A1015)</f>
        <v/>
      </c>
      <c r="B1015">
        <f>IF(PNL!B1015="","",PNL!B1015)</f>
        <v/>
      </c>
      <c r="C1015">
        <f>IF(PNL!C1015="","",PNL!C1015)</f>
        <v/>
      </c>
      <c r="D1015">
        <f>IF(PNL!D1015="","",PNL!D1015)</f>
        <v/>
      </c>
      <c r="E1015">
        <f>IF($A1015="","",IF(AND($C1015="2027",OR($D1015="V01",$D1015="V02",$D1015="V03")),1,0))</f>
        <v/>
      </c>
      <c r="F1015">
        <f>IF($A1015="","",IF($E1015=1,SUMIFS(Comptabilité!$F$1:$F$675,Comptabilité!$A$1:$A$675,$A1015,Comptabilité!$B$1:$B$675,$B1015,Comptabilité!$C$1:$C$675,"2026"),0))</f>
        <v/>
      </c>
      <c r="G1015">
        <f>IF($A1015="","",IF($D1015="V01",Cadrage!$C$22,IF($D1015="V02",Cadrage!$D$22,Cadrage!$E$22)))</f>
        <v/>
      </c>
      <c r="H1015">
        <f>IF($A1015="","",IF($D1015="V01",Cadrage!$C$23,IF($D1015="V02",Cadrage!$D$23,Cadrage!$E$23)))</f>
        <v/>
      </c>
      <c r="I1015">
        <f>IF($A1015="","",IF($D1015="V01",Cadrage!$C$31,IF($D1015="V02",Cadrage!$D$31,Cadrage!$E$31)))</f>
        <v/>
      </c>
      <c r="J1015">
        <f>IF($A1015="","",IF($D1015="V01",Cadrage!$C$32,IF($D1015="V02",Cadrage!$D$32,Cadrage!$E$32)))</f>
        <v/>
      </c>
      <c r="K1015">
        <f>IF($A1015="","",IF($D1015="V01",Cadrage!$C$33,IF($D1015="V02",Cadrage!$D$33,Cadrage!$E$33)))</f>
        <v/>
      </c>
      <c r="L1015">
        <f>IF($A1015="","",IF($D1015="V01",Cadrage!$C$34,IF($D1015="V02",Cadrage!$D$34,Cadrage!$E$34)))</f>
        <v/>
      </c>
      <c r="M1015">
        <f>IF($A1015="","",IF($D1015="V01",Cadrage!$C$35,IF($D1015="V02",Cadrage!$D$35,Cadrage!$E$35)))</f>
        <v/>
      </c>
      <c r="N1015">
        <f>IF($A1015="","",IF($D1015="V01",$R$2,IF($D1015="V02",$R$3,$R$4)))</f>
        <v/>
      </c>
      <c r="O1015">
        <f>IF($A1015="","",IF(OR($B1015="7062",$B1015="706",$B1015="708"),$N1015,IF($B1015="6231",1+$G1015,IF($B1015="6236",1+$H1015,IF(OR($B1015="621",$B1015="604",$B1015="6063"),$N1015*(1-$L1015),IF(OR($B1015="6411",$B1015="6413",$B1015="6414",$B1015="645"),(1+$J1015)*(1+$K1015),IF(OR($B1015="613",$B1015="615",$B1015="616",$B1015="6226",$B1015="625",$B1015="626",$B1015="6281"),(1+$I1015)*(1-$L1015)*(1+$M1015),IF(OR($B1015="6331",$B1015="63511",$B1015="6333"),(1+$I1015)*(1-$L1015),IF($B1015="6811",1+$I1015,1)))))))))</f>
        <v/>
      </c>
      <c r="P1015">
        <f>IF($A1015="","",IF($E1015=1,$F1015*$O1015,PNL!G1015))</f>
        <v/>
      </c>
      <c r="T1015">
        <f>IF($A1015="","",IF($E1015=1,IF(OR($B1015="7062",$B1015="706",$B1015="708"),$P1015,IF(AND(LEFT($B1015,1)="6",$B1015&lt;&gt;"6811"),-$P1015,0)),0))</f>
        <v/>
      </c>
    </row>
    <row r="1016">
      <c r="A1016">
        <f>IF(PNL!A1016="","",PNL!A1016)</f>
        <v/>
      </c>
      <c r="B1016">
        <f>IF(PNL!B1016="","",PNL!B1016)</f>
        <v/>
      </c>
      <c r="C1016">
        <f>IF(PNL!C1016="","",PNL!C1016)</f>
        <v/>
      </c>
      <c r="D1016">
        <f>IF(PNL!D1016="","",PNL!D1016)</f>
        <v/>
      </c>
      <c r="E1016">
        <f>IF($A1016="","",IF(AND($C1016="2027",OR($D1016="V01",$D1016="V02",$D1016="V03")),1,0))</f>
        <v/>
      </c>
      <c r="F1016">
        <f>IF($A1016="","",IF($E1016=1,SUMIFS(Comptabilité!$F$1:$F$675,Comptabilité!$A$1:$A$675,$A1016,Comptabilité!$B$1:$B$675,$B1016,Comptabilité!$C$1:$C$675,"2026"),0))</f>
        <v/>
      </c>
      <c r="G1016">
        <f>IF($A1016="","",IF($D1016="V01",Cadrage!$C$22,IF($D1016="V02",Cadrage!$D$22,Cadrage!$E$22)))</f>
        <v/>
      </c>
      <c r="H1016">
        <f>IF($A1016="","",IF($D1016="V01",Cadrage!$C$23,IF($D1016="V02",Cadrage!$D$23,Cadrage!$E$23)))</f>
        <v/>
      </c>
      <c r="I1016">
        <f>IF($A1016="","",IF($D1016="V01",Cadrage!$C$31,IF($D1016="V02",Cadrage!$D$31,Cadrage!$E$31)))</f>
        <v/>
      </c>
      <c r="J1016">
        <f>IF($A1016="","",IF($D1016="V01",Cadrage!$C$32,IF($D1016="V02",Cadrage!$D$32,Cadrage!$E$32)))</f>
        <v/>
      </c>
      <c r="K1016">
        <f>IF($A1016="","",IF($D1016="V01",Cadrage!$C$33,IF($D1016="V02",Cadrage!$D$33,Cadrage!$E$33)))</f>
        <v/>
      </c>
      <c r="L1016">
        <f>IF($A1016="","",IF($D1016="V01",Cadrage!$C$34,IF($D1016="V02",Cadrage!$D$34,Cadrage!$E$34)))</f>
        <v/>
      </c>
      <c r="M1016">
        <f>IF($A1016="","",IF($D1016="V01",Cadrage!$C$35,IF($D1016="V02",Cadrage!$D$35,Cadrage!$E$35)))</f>
        <v/>
      </c>
      <c r="N1016">
        <f>IF($A1016="","",IF($D1016="V01",$R$2,IF($D1016="V02",$R$3,$R$4)))</f>
        <v/>
      </c>
      <c r="O1016">
        <f>IF($A1016="","",IF(OR($B1016="7062",$B1016="706",$B1016="708"),$N1016,IF($B1016="6231",1+$G1016,IF($B1016="6236",1+$H1016,IF(OR($B1016="621",$B1016="604",$B1016="6063"),$N1016*(1-$L1016),IF(OR($B1016="6411",$B1016="6413",$B1016="6414",$B1016="645"),(1+$J1016)*(1+$K1016),IF(OR($B1016="613",$B1016="615",$B1016="616",$B1016="6226",$B1016="625",$B1016="626",$B1016="6281"),(1+$I1016)*(1-$L1016)*(1+$M1016),IF(OR($B1016="6331",$B1016="63511",$B1016="6333"),(1+$I1016)*(1-$L1016),IF($B1016="6811",1+$I1016,1)))))))))</f>
        <v/>
      </c>
      <c r="P1016">
        <f>IF($A1016="","",IF($E1016=1,$F1016*$O1016,PNL!G1016))</f>
        <v/>
      </c>
      <c r="T1016">
        <f>IF($A1016="","",IF($E1016=1,IF(OR($B1016="7062",$B1016="706",$B1016="708"),$P1016,IF(AND(LEFT($B1016,1)="6",$B1016&lt;&gt;"6811"),-$P1016,0)),0))</f>
        <v/>
      </c>
    </row>
    <row r="1017">
      <c r="A1017">
        <f>IF(PNL!A1017="","",PNL!A1017)</f>
        <v/>
      </c>
      <c r="B1017">
        <f>IF(PNL!B1017="","",PNL!B1017)</f>
        <v/>
      </c>
      <c r="C1017">
        <f>IF(PNL!C1017="","",PNL!C1017)</f>
        <v/>
      </c>
      <c r="D1017">
        <f>IF(PNL!D1017="","",PNL!D1017)</f>
        <v/>
      </c>
      <c r="E1017">
        <f>IF($A1017="","",IF(AND($C1017="2027",OR($D1017="V01",$D1017="V02",$D1017="V03")),1,0))</f>
        <v/>
      </c>
      <c r="F1017">
        <f>IF($A1017="","",IF($E1017=1,SUMIFS(Comptabilité!$F$1:$F$675,Comptabilité!$A$1:$A$675,$A1017,Comptabilité!$B$1:$B$675,$B1017,Comptabilité!$C$1:$C$675,"2026"),0))</f>
        <v/>
      </c>
      <c r="G1017">
        <f>IF($A1017="","",IF($D1017="V01",Cadrage!$C$22,IF($D1017="V02",Cadrage!$D$22,Cadrage!$E$22)))</f>
        <v/>
      </c>
      <c r="H1017">
        <f>IF($A1017="","",IF($D1017="V01",Cadrage!$C$23,IF($D1017="V02",Cadrage!$D$23,Cadrage!$E$23)))</f>
        <v/>
      </c>
      <c r="I1017">
        <f>IF($A1017="","",IF($D1017="V01",Cadrage!$C$31,IF($D1017="V02",Cadrage!$D$31,Cadrage!$E$31)))</f>
        <v/>
      </c>
      <c r="J1017">
        <f>IF($A1017="","",IF($D1017="V01",Cadrage!$C$32,IF($D1017="V02",Cadrage!$D$32,Cadrage!$E$32)))</f>
        <v/>
      </c>
      <c r="K1017">
        <f>IF($A1017="","",IF($D1017="V01",Cadrage!$C$33,IF($D1017="V02",Cadrage!$D$33,Cadrage!$E$33)))</f>
        <v/>
      </c>
      <c r="L1017">
        <f>IF($A1017="","",IF($D1017="V01",Cadrage!$C$34,IF($D1017="V02",Cadrage!$D$34,Cadrage!$E$34)))</f>
        <v/>
      </c>
      <c r="M1017">
        <f>IF($A1017="","",IF($D1017="V01",Cadrage!$C$35,IF($D1017="V02",Cadrage!$D$35,Cadrage!$E$35)))</f>
        <v/>
      </c>
      <c r="N1017">
        <f>IF($A1017="","",IF($D1017="V01",$R$2,IF($D1017="V02",$R$3,$R$4)))</f>
        <v/>
      </c>
      <c r="O1017">
        <f>IF($A1017="","",IF(OR($B1017="7062",$B1017="706",$B1017="708"),$N1017,IF($B1017="6231",1+$G1017,IF($B1017="6236",1+$H1017,IF(OR($B1017="621",$B1017="604",$B1017="6063"),$N1017*(1-$L1017),IF(OR($B1017="6411",$B1017="6413",$B1017="6414",$B1017="645"),(1+$J1017)*(1+$K1017),IF(OR($B1017="613",$B1017="615",$B1017="616",$B1017="6226",$B1017="625",$B1017="626",$B1017="6281"),(1+$I1017)*(1-$L1017)*(1+$M1017),IF(OR($B1017="6331",$B1017="63511",$B1017="6333"),(1+$I1017)*(1-$L1017),IF($B1017="6811",1+$I1017,1)))))))))</f>
        <v/>
      </c>
      <c r="P1017">
        <f>IF($A1017="","",IF($E1017=1,$F1017*$O1017,PNL!G1017))</f>
        <v/>
      </c>
      <c r="T1017">
        <f>IF($A1017="","",IF($E1017=1,IF(OR($B1017="7062",$B1017="706",$B1017="708"),$P1017,IF(AND(LEFT($B1017,1)="6",$B1017&lt;&gt;"6811"),-$P1017,0)),0))</f>
        <v/>
      </c>
    </row>
    <row r="1018">
      <c r="A1018">
        <f>IF(PNL!A1018="","",PNL!A1018)</f>
        <v/>
      </c>
      <c r="B1018">
        <f>IF(PNL!B1018="","",PNL!B1018)</f>
        <v/>
      </c>
      <c r="C1018">
        <f>IF(PNL!C1018="","",PNL!C1018)</f>
        <v/>
      </c>
      <c r="D1018">
        <f>IF(PNL!D1018="","",PNL!D1018)</f>
        <v/>
      </c>
      <c r="E1018">
        <f>IF($A1018="","",IF(AND($C1018="2027",OR($D1018="V01",$D1018="V02",$D1018="V03")),1,0))</f>
        <v/>
      </c>
      <c r="F1018">
        <f>IF($A1018="","",IF($E1018=1,SUMIFS(Comptabilité!$F$1:$F$675,Comptabilité!$A$1:$A$675,$A1018,Comptabilité!$B$1:$B$675,$B1018,Comptabilité!$C$1:$C$675,"2026"),0))</f>
        <v/>
      </c>
      <c r="G1018">
        <f>IF($A1018="","",IF($D1018="V01",Cadrage!$C$22,IF($D1018="V02",Cadrage!$D$22,Cadrage!$E$22)))</f>
        <v/>
      </c>
      <c r="H1018">
        <f>IF($A1018="","",IF($D1018="V01",Cadrage!$C$23,IF($D1018="V02",Cadrage!$D$23,Cadrage!$E$23)))</f>
        <v/>
      </c>
      <c r="I1018">
        <f>IF($A1018="","",IF($D1018="V01",Cadrage!$C$31,IF($D1018="V02",Cadrage!$D$31,Cadrage!$E$31)))</f>
        <v/>
      </c>
      <c r="J1018">
        <f>IF($A1018="","",IF($D1018="V01",Cadrage!$C$32,IF($D1018="V02",Cadrage!$D$32,Cadrage!$E$32)))</f>
        <v/>
      </c>
      <c r="K1018">
        <f>IF($A1018="","",IF($D1018="V01",Cadrage!$C$33,IF($D1018="V02",Cadrage!$D$33,Cadrage!$E$33)))</f>
        <v/>
      </c>
      <c r="L1018">
        <f>IF($A1018="","",IF($D1018="V01",Cadrage!$C$34,IF($D1018="V02",Cadrage!$D$34,Cadrage!$E$34)))</f>
        <v/>
      </c>
      <c r="M1018">
        <f>IF($A1018="","",IF($D1018="V01",Cadrage!$C$35,IF($D1018="V02",Cadrage!$D$35,Cadrage!$E$35)))</f>
        <v/>
      </c>
      <c r="N1018">
        <f>IF($A1018="","",IF($D1018="V01",$R$2,IF($D1018="V02",$R$3,$R$4)))</f>
        <v/>
      </c>
      <c r="O1018">
        <f>IF($A1018="","",IF(OR($B1018="7062",$B1018="706",$B1018="708"),$N1018,IF($B1018="6231",1+$G1018,IF($B1018="6236",1+$H1018,IF(OR($B1018="621",$B1018="604",$B1018="6063"),$N1018*(1-$L1018),IF(OR($B1018="6411",$B1018="6413",$B1018="6414",$B1018="645"),(1+$J1018)*(1+$K1018),IF(OR($B1018="613",$B1018="615",$B1018="616",$B1018="6226",$B1018="625",$B1018="626",$B1018="6281"),(1+$I1018)*(1-$L1018)*(1+$M1018),IF(OR($B1018="6331",$B1018="63511",$B1018="6333"),(1+$I1018)*(1-$L1018),IF($B1018="6811",1+$I1018,1)))))))))</f>
        <v/>
      </c>
      <c r="P1018">
        <f>IF($A1018="","",IF($E1018=1,$F1018*$O1018,PNL!G1018))</f>
        <v/>
      </c>
      <c r="T1018">
        <f>IF($A1018="","",IF($E1018=1,IF(OR($B1018="7062",$B1018="706",$B1018="708"),$P1018,IF(AND(LEFT($B1018,1)="6",$B1018&lt;&gt;"6811"),-$P1018,0)),0))</f>
        <v/>
      </c>
    </row>
    <row r="1019">
      <c r="A1019">
        <f>IF(PNL!A1019="","",PNL!A1019)</f>
        <v/>
      </c>
      <c r="B1019">
        <f>IF(PNL!B1019="","",PNL!B1019)</f>
        <v/>
      </c>
      <c r="C1019">
        <f>IF(PNL!C1019="","",PNL!C1019)</f>
        <v/>
      </c>
      <c r="D1019">
        <f>IF(PNL!D1019="","",PNL!D1019)</f>
        <v/>
      </c>
      <c r="E1019">
        <f>IF($A1019="","",IF(AND($C1019="2027",OR($D1019="V01",$D1019="V02",$D1019="V03")),1,0))</f>
        <v/>
      </c>
      <c r="F1019">
        <f>IF($A1019="","",IF($E1019=1,SUMIFS(Comptabilité!$F$1:$F$675,Comptabilité!$A$1:$A$675,$A1019,Comptabilité!$B$1:$B$675,$B1019,Comptabilité!$C$1:$C$675,"2026"),0))</f>
        <v/>
      </c>
      <c r="G1019">
        <f>IF($A1019="","",IF($D1019="V01",Cadrage!$C$22,IF($D1019="V02",Cadrage!$D$22,Cadrage!$E$22)))</f>
        <v/>
      </c>
      <c r="H1019">
        <f>IF($A1019="","",IF($D1019="V01",Cadrage!$C$23,IF($D1019="V02",Cadrage!$D$23,Cadrage!$E$23)))</f>
        <v/>
      </c>
      <c r="I1019">
        <f>IF($A1019="","",IF($D1019="V01",Cadrage!$C$31,IF($D1019="V02",Cadrage!$D$31,Cadrage!$E$31)))</f>
        <v/>
      </c>
      <c r="J1019">
        <f>IF($A1019="","",IF($D1019="V01",Cadrage!$C$32,IF($D1019="V02",Cadrage!$D$32,Cadrage!$E$32)))</f>
        <v/>
      </c>
      <c r="K1019">
        <f>IF($A1019="","",IF($D1019="V01",Cadrage!$C$33,IF($D1019="V02",Cadrage!$D$33,Cadrage!$E$33)))</f>
        <v/>
      </c>
      <c r="L1019">
        <f>IF($A1019="","",IF($D1019="V01",Cadrage!$C$34,IF($D1019="V02",Cadrage!$D$34,Cadrage!$E$34)))</f>
        <v/>
      </c>
      <c r="M1019">
        <f>IF($A1019="","",IF($D1019="V01",Cadrage!$C$35,IF($D1019="V02",Cadrage!$D$35,Cadrage!$E$35)))</f>
        <v/>
      </c>
      <c r="N1019">
        <f>IF($A1019="","",IF($D1019="V01",$R$2,IF($D1019="V02",$R$3,$R$4)))</f>
        <v/>
      </c>
      <c r="O1019">
        <f>IF($A1019="","",IF(OR($B1019="7062",$B1019="706",$B1019="708"),$N1019,IF($B1019="6231",1+$G1019,IF($B1019="6236",1+$H1019,IF(OR($B1019="621",$B1019="604",$B1019="6063"),$N1019*(1-$L1019),IF(OR($B1019="6411",$B1019="6413",$B1019="6414",$B1019="645"),(1+$J1019)*(1+$K1019),IF(OR($B1019="613",$B1019="615",$B1019="616",$B1019="6226",$B1019="625",$B1019="626",$B1019="6281"),(1+$I1019)*(1-$L1019)*(1+$M1019),IF(OR($B1019="6331",$B1019="63511",$B1019="6333"),(1+$I1019)*(1-$L1019),IF($B1019="6811",1+$I1019,1)))))))))</f>
        <v/>
      </c>
      <c r="P1019">
        <f>IF($A1019="","",IF($E1019=1,$F1019*$O1019,PNL!G1019))</f>
        <v/>
      </c>
      <c r="T1019">
        <f>IF($A1019="","",IF($E1019=1,IF(OR($B1019="7062",$B1019="706",$B1019="708"),$P1019,IF(AND(LEFT($B1019,1)="6",$B1019&lt;&gt;"6811"),-$P1019,0)),0))</f>
        <v/>
      </c>
    </row>
    <row r="1020">
      <c r="A1020">
        <f>IF(PNL!A1020="","",PNL!A1020)</f>
        <v/>
      </c>
      <c r="B1020">
        <f>IF(PNL!B1020="","",PNL!B1020)</f>
        <v/>
      </c>
      <c r="C1020">
        <f>IF(PNL!C1020="","",PNL!C1020)</f>
        <v/>
      </c>
      <c r="D1020">
        <f>IF(PNL!D1020="","",PNL!D1020)</f>
        <v/>
      </c>
      <c r="E1020">
        <f>IF($A1020="","",IF(AND($C1020="2027",OR($D1020="V01",$D1020="V02",$D1020="V03")),1,0))</f>
        <v/>
      </c>
      <c r="F1020">
        <f>IF($A1020="","",IF($E1020=1,SUMIFS(Comptabilité!$F$1:$F$675,Comptabilité!$A$1:$A$675,$A1020,Comptabilité!$B$1:$B$675,$B1020,Comptabilité!$C$1:$C$675,"2026"),0))</f>
        <v/>
      </c>
      <c r="G1020">
        <f>IF($A1020="","",IF($D1020="V01",Cadrage!$C$22,IF($D1020="V02",Cadrage!$D$22,Cadrage!$E$22)))</f>
        <v/>
      </c>
      <c r="H1020">
        <f>IF($A1020="","",IF($D1020="V01",Cadrage!$C$23,IF($D1020="V02",Cadrage!$D$23,Cadrage!$E$23)))</f>
        <v/>
      </c>
      <c r="I1020">
        <f>IF($A1020="","",IF($D1020="V01",Cadrage!$C$31,IF($D1020="V02",Cadrage!$D$31,Cadrage!$E$31)))</f>
        <v/>
      </c>
      <c r="J1020">
        <f>IF($A1020="","",IF($D1020="V01",Cadrage!$C$32,IF($D1020="V02",Cadrage!$D$32,Cadrage!$E$32)))</f>
        <v/>
      </c>
      <c r="K1020">
        <f>IF($A1020="","",IF($D1020="V01",Cadrage!$C$33,IF($D1020="V02",Cadrage!$D$33,Cadrage!$E$33)))</f>
        <v/>
      </c>
      <c r="L1020">
        <f>IF($A1020="","",IF($D1020="V01",Cadrage!$C$34,IF($D1020="V02",Cadrage!$D$34,Cadrage!$E$34)))</f>
        <v/>
      </c>
      <c r="M1020">
        <f>IF($A1020="","",IF($D1020="V01",Cadrage!$C$35,IF($D1020="V02",Cadrage!$D$35,Cadrage!$E$35)))</f>
        <v/>
      </c>
      <c r="N1020">
        <f>IF($A1020="","",IF($D1020="V01",$R$2,IF($D1020="V02",$R$3,$R$4)))</f>
        <v/>
      </c>
      <c r="O1020">
        <f>IF($A1020="","",IF(OR($B1020="7062",$B1020="706",$B1020="708"),$N1020,IF($B1020="6231",1+$G1020,IF($B1020="6236",1+$H1020,IF(OR($B1020="621",$B1020="604",$B1020="6063"),$N1020*(1-$L1020),IF(OR($B1020="6411",$B1020="6413",$B1020="6414",$B1020="645"),(1+$J1020)*(1+$K1020),IF(OR($B1020="613",$B1020="615",$B1020="616",$B1020="6226",$B1020="625",$B1020="626",$B1020="6281"),(1+$I1020)*(1-$L1020)*(1+$M1020),IF(OR($B1020="6331",$B1020="63511",$B1020="6333"),(1+$I1020)*(1-$L1020),IF($B1020="6811",1+$I1020,1)))))))))</f>
        <v/>
      </c>
      <c r="P1020">
        <f>IF($A1020="","",IF($E1020=1,$F1020*$O1020,PNL!G1020))</f>
        <v/>
      </c>
      <c r="T1020">
        <f>IF($A1020="","",IF($E1020=1,IF(OR($B1020="7062",$B1020="706",$B1020="708"),$P1020,IF(AND(LEFT($B1020,1)="6",$B1020&lt;&gt;"6811"),-$P1020,0)),0))</f>
        <v/>
      </c>
    </row>
    <row r="1021">
      <c r="A1021">
        <f>IF(PNL!A1021="","",PNL!A1021)</f>
        <v/>
      </c>
      <c r="B1021">
        <f>IF(PNL!B1021="","",PNL!B1021)</f>
        <v/>
      </c>
      <c r="C1021">
        <f>IF(PNL!C1021="","",PNL!C1021)</f>
        <v/>
      </c>
      <c r="D1021">
        <f>IF(PNL!D1021="","",PNL!D1021)</f>
        <v/>
      </c>
      <c r="E1021">
        <f>IF($A1021="","",IF(AND($C1021="2027",OR($D1021="V01",$D1021="V02",$D1021="V03")),1,0))</f>
        <v/>
      </c>
      <c r="F1021">
        <f>IF($A1021="","",IF($E1021=1,SUMIFS(Comptabilité!$F$1:$F$675,Comptabilité!$A$1:$A$675,$A1021,Comptabilité!$B$1:$B$675,$B1021,Comptabilité!$C$1:$C$675,"2026"),0))</f>
        <v/>
      </c>
      <c r="G1021">
        <f>IF($A1021="","",IF($D1021="V01",Cadrage!$C$22,IF($D1021="V02",Cadrage!$D$22,Cadrage!$E$22)))</f>
        <v/>
      </c>
      <c r="H1021">
        <f>IF($A1021="","",IF($D1021="V01",Cadrage!$C$23,IF($D1021="V02",Cadrage!$D$23,Cadrage!$E$23)))</f>
        <v/>
      </c>
      <c r="I1021">
        <f>IF($A1021="","",IF($D1021="V01",Cadrage!$C$31,IF($D1021="V02",Cadrage!$D$31,Cadrage!$E$31)))</f>
        <v/>
      </c>
      <c r="J1021">
        <f>IF($A1021="","",IF($D1021="V01",Cadrage!$C$32,IF($D1021="V02",Cadrage!$D$32,Cadrage!$E$32)))</f>
        <v/>
      </c>
      <c r="K1021">
        <f>IF($A1021="","",IF($D1021="V01",Cadrage!$C$33,IF($D1021="V02",Cadrage!$D$33,Cadrage!$E$33)))</f>
        <v/>
      </c>
      <c r="L1021">
        <f>IF($A1021="","",IF($D1021="V01",Cadrage!$C$34,IF($D1021="V02",Cadrage!$D$34,Cadrage!$E$34)))</f>
        <v/>
      </c>
      <c r="M1021">
        <f>IF($A1021="","",IF($D1021="V01",Cadrage!$C$35,IF($D1021="V02",Cadrage!$D$35,Cadrage!$E$35)))</f>
        <v/>
      </c>
      <c r="N1021">
        <f>IF($A1021="","",IF($D1021="V01",$R$2,IF($D1021="V02",$R$3,$R$4)))</f>
        <v/>
      </c>
      <c r="O1021">
        <f>IF($A1021="","",IF(OR($B1021="7062",$B1021="706",$B1021="708"),$N1021,IF($B1021="6231",1+$G1021,IF($B1021="6236",1+$H1021,IF(OR($B1021="621",$B1021="604",$B1021="6063"),$N1021*(1-$L1021),IF(OR($B1021="6411",$B1021="6413",$B1021="6414",$B1021="645"),(1+$J1021)*(1+$K1021),IF(OR($B1021="613",$B1021="615",$B1021="616",$B1021="6226",$B1021="625",$B1021="626",$B1021="6281"),(1+$I1021)*(1-$L1021)*(1+$M1021),IF(OR($B1021="6331",$B1021="63511",$B1021="6333"),(1+$I1021)*(1-$L1021),IF($B1021="6811",1+$I1021,1)))))))))</f>
        <v/>
      </c>
      <c r="P1021">
        <f>IF($A1021="","",IF($E1021=1,$F1021*$O1021,PNL!G1021))</f>
        <v/>
      </c>
      <c r="T1021">
        <f>IF($A1021="","",IF($E1021=1,IF(OR($B1021="7062",$B1021="706",$B1021="708"),$P1021,IF(AND(LEFT($B1021,1)="6",$B1021&lt;&gt;"6811"),-$P1021,0)),0))</f>
        <v/>
      </c>
    </row>
    <row r="1022">
      <c r="A1022">
        <f>IF(PNL!A1022="","",PNL!A1022)</f>
        <v/>
      </c>
      <c r="B1022">
        <f>IF(PNL!B1022="","",PNL!B1022)</f>
        <v/>
      </c>
      <c r="C1022">
        <f>IF(PNL!C1022="","",PNL!C1022)</f>
        <v/>
      </c>
      <c r="D1022">
        <f>IF(PNL!D1022="","",PNL!D1022)</f>
        <v/>
      </c>
      <c r="E1022">
        <f>IF($A1022="","",IF(AND($C1022="2027",OR($D1022="V01",$D1022="V02",$D1022="V03")),1,0))</f>
        <v/>
      </c>
      <c r="F1022">
        <f>IF($A1022="","",IF($E1022=1,SUMIFS(Comptabilité!$F$1:$F$675,Comptabilité!$A$1:$A$675,$A1022,Comptabilité!$B$1:$B$675,$B1022,Comptabilité!$C$1:$C$675,"2026"),0))</f>
        <v/>
      </c>
      <c r="G1022">
        <f>IF($A1022="","",IF($D1022="V01",Cadrage!$C$22,IF($D1022="V02",Cadrage!$D$22,Cadrage!$E$22)))</f>
        <v/>
      </c>
      <c r="H1022">
        <f>IF($A1022="","",IF($D1022="V01",Cadrage!$C$23,IF($D1022="V02",Cadrage!$D$23,Cadrage!$E$23)))</f>
        <v/>
      </c>
      <c r="I1022">
        <f>IF($A1022="","",IF($D1022="V01",Cadrage!$C$31,IF($D1022="V02",Cadrage!$D$31,Cadrage!$E$31)))</f>
        <v/>
      </c>
      <c r="J1022">
        <f>IF($A1022="","",IF($D1022="V01",Cadrage!$C$32,IF($D1022="V02",Cadrage!$D$32,Cadrage!$E$32)))</f>
        <v/>
      </c>
      <c r="K1022">
        <f>IF($A1022="","",IF($D1022="V01",Cadrage!$C$33,IF($D1022="V02",Cadrage!$D$33,Cadrage!$E$33)))</f>
        <v/>
      </c>
      <c r="L1022">
        <f>IF($A1022="","",IF($D1022="V01",Cadrage!$C$34,IF($D1022="V02",Cadrage!$D$34,Cadrage!$E$34)))</f>
        <v/>
      </c>
      <c r="M1022">
        <f>IF($A1022="","",IF($D1022="V01",Cadrage!$C$35,IF($D1022="V02",Cadrage!$D$35,Cadrage!$E$35)))</f>
        <v/>
      </c>
      <c r="N1022">
        <f>IF($A1022="","",IF($D1022="V01",$R$2,IF($D1022="V02",$R$3,$R$4)))</f>
        <v/>
      </c>
      <c r="O1022">
        <f>IF($A1022="","",IF(OR($B1022="7062",$B1022="706",$B1022="708"),$N1022,IF($B1022="6231",1+$G1022,IF($B1022="6236",1+$H1022,IF(OR($B1022="621",$B1022="604",$B1022="6063"),$N1022*(1-$L1022),IF(OR($B1022="6411",$B1022="6413",$B1022="6414",$B1022="645"),(1+$J1022)*(1+$K1022),IF(OR($B1022="613",$B1022="615",$B1022="616",$B1022="6226",$B1022="625",$B1022="626",$B1022="6281"),(1+$I1022)*(1-$L1022)*(1+$M1022),IF(OR($B1022="6331",$B1022="63511",$B1022="6333"),(1+$I1022)*(1-$L1022),IF($B1022="6811",1+$I1022,1)))))))))</f>
        <v/>
      </c>
      <c r="P1022">
        <f>IF($A1022="","",IF($E1022=1,$F1022*$O1022,PNL!G1022))</f>
        <v/>
      </c>
      <c r="T1022">
        <f>IF($A1022="","",IF($E1022=1,IF(OR($B1022="7062",$B1022="706",$B1022="708"),$P1022,IF(AND(LEFT($B1022,1)="6",$B1022&lt;&gt;"6811"),-$P1022,0)),0))</f>
        <v/>
      </c>
    </row>
    <row r="1023">
      <c r="A1023">
        <f>IF(PNL!A1023="","",PNL!A1023)</f>
        <v/>
      </c>
      <c r="B1023">
        <f>IF(PNL!B1023="","",PNL!B1023)</f>
        <v/>
      </c>
      <c r="C1023">
        <f>IF(PNL!C1023="","",PNL!C1023)</f>
        <v/>
      </c>
      <c r="D1023">
        <f>IF(PNL!D1023="","",PNL!D1023)</f>
        <v/>
      </c>
      <c r="E1023">
        <f>IF($A1023="","",IF(AND($C1023="2027",OR($D1023="V01",$D1023="V02",$D1023="V03")),1,0))</f>
        <v/>
      </c>
      <c r="F1023">
        <f>IF($A1023="","",IF($E1023=1,SUMIFS(Comptabilité!$F$1:$F$675,Comptabilité!$A$1:$A$675,$A1023,Comptabilité!$B$1:$B$675,$B1023,Comptabilité!$C$1:$C$675,"2026"),0))</f>
        <v/>
      </c>
      <c r="G1023">
        <f>IF($A1023="","",IF($D1023="V01",Cadrage!$C$22,IF($D1023="V02",Cadrage!$D$22,Cadrage!$E$22)))</f>
        <v/>
      </c>
      <c r="H1023">
        <f>IF($A1023="","",IF($D1023="V01",Cadrage!$C$23,IF($D1023="V02",Cadrage!$D$23,Cadrage!$E$23)))</f>
        <v/>
      </c>
      <c r="I1023">
        <f>IF($A1023="","",IF($D1023="V01",Cadrage!$C$31,IF($D1023="V02",Cadrage!$D$31,Cadrage!$E$31)))</f>
        <v/>
      </c>
      <c r="J1023">
        <f>IF($A1023="","",IF($D1023="V01",Cadrage!$C$32,IF($D1023="V02",Cadrage!$D$32,Cadrage!$E$32)))</f>
        <v/>
      </c>
      <c r="K1023">
        <f>IF($A1023="","",IF($D1023="V01",Cadrage!$C$33,IF($D1023="V02",Cadrage!$D$33,Cadrage!$E$33)))</f>
        <v/>
      </c>
      <c r="L1023">
        <f>IF($A1023="","",IF($D1023="V01",Cadrage!$C$34,IF($D1023="V02",Cadrage!$D$34,Cadrage!$E$34)))</f>
        <v/>
      </c>
      <c r="M1023">
        <f>IF($A1023="","",IF($D1023="V01",Cadrage!$C$35,IF($D1023="V02",Cadrage!$D$35,Cadrage!$E$35)))</f>
        <v/>
      </c>
      <c r="N1023">
        <f>IF($A1023="","",IF($D1023="V01",$R$2,IF($D1023="V02",$R$3,$R$4)))</f>
        <v/>
      </c>
      <c r="O1023">
        <f>IF($A1023="","",IF(OR($B1023="7062",$B1023="706",$B1023="708"),$N1023,IF($B1023="6231",1+$G1023,IF($B1023="6236",1+$H1023,IF(OR($B1023="621",$B1023="604",$B1023="6063"),$N1023*(1-$L1023),IF(OR($B1023="6411",$B1023="6413",$B1023="6414",$B1023="645"),(1+$J1023)*(1+$K1023),IF(OR($B1023="613",$B1023="615",$B1023="616",$B1023="6226",$B1023="625",$B1023="626",$B1023="6281"),(1+$I1023)*(1-$L1023)*(1+$M1023),IF(OR($B1023="6331",$B1023="63511",$B1023="6333"),(1+$I1023)*(1-$L1023),IF($B1023="6811",1+$I1023,1)))))))))</f>
        <v/>
      </c>
      <c r="P1023">
        <f>IF($A1023="","",IF($E1023=1,$F1023*$O1023,PNL!G1023))</f>
        <v/>
      </c>
      <c r="T1023">
        <f>IF($A1023="","",IF($E1023=1,IF(OR($B1023="7062",$B1023="706",$B1023="708"),$P1023,IF(AND(LEFT($B1023,1)="6",$B1023&lt;&gt;"6811"),-$P1023,0)),0))</f>
        <v/>
      </c>
    </row>
    <row r="1024">
      <c r="A1024">
        <f>IF(PNL!A1024="","",PNL!A1024)</f>
        <v/>
      </c>
      <c r="B1024">
        <f>IF(PNL!B1024="","",PNL!B1024)</f>
        <v/>
      </c>
      <c r="C1024">
        <f>IF(PNL!C1024="","",PNL!C1024)</f>
        <v/>
      </c>
      <c r="D1024">
        <f>IF(PNL!D1024="","",PNL!D1024)</f>
        <v/>
      </c>
      <c r="E1024">
        <f>IF($A1024="","",IF(AND($C1024="2027",OR($D1024="V01",$D1024="V02",$D1024="V03")),1,0))</f>
        <v/>
      </c>
      <c r="F1024">
        <f>IF($A1024="","",IF($E1024=1,SUMIFS(Comptabilité!$F$1:$F$675,Comptabilité!$A$1:$A$675,$A1024,Comptabilité!$B$1:$B$675,$B1024,Comptabilité!$C$1:$C$675,"2026"),0))</f>
        <v/>
      </c>
      <c r="G1024">
        <f>IF($A1024="","",IF($D1024="V01",Cadrage!$C$22,IF($D1024="V02",Cadrage!$D$22,Cadrage!$E$22)))</f>
        <v/>
      </c>
      <c r="H1024">
        <f>IF($A1024="","",IF($D1024="V01",Cadrage!$C$23,IF($D1024="V02",Cadrage!$D$23,Cadrage!$E$23)))</f>
        <v/>
      </c>
      <c r="I1024">
        <f>IF($A1024="","",IF($D1024="V01",Cadrage!$C$31,IF($D1024="V02",Cadrage!$D$31,Cadrage!$E$31)))</f>
        <v/>
      </c>
      <c r="J1024">
        <f>IF($A1024="","",IF($D1024="V01",Cadrage!$C$32,IF($D1024="V02",Cadrage!$D$32,Cadrage!$E$32)))</f>
        <v/>
      </c>
      <c r="K1024">
        <f>IF($A1024="","",IF($D1024="V01",Cadrage!$C$33,IF($D1024="V02",Cadrage!$D$33,Cadrage!$E$33)))</f>
        <v/>
      </c>
      <c r="L1024">
        <f>IF($A1024="","",IF($D1024="V01",Cadrage!$C$34,IF($D1024="V02",Cadrage!$D$34,Cadrage!$E$34)))</f>
        <v/>
      </c>
      <c r="M1024">
        <f>IF($A1024="","",IF($D1024="V01",Cadrage!$C$35,IF($D1024="V02",Cadrage!$D$35,Cadrage!$E$35)))</f>
        <v/>
      </c>
      <c r="N1024">
        <f>IF($A1024="","",IF($D1024="V01",$R$2,IF($D1024="V02",$R$3,$R$4)))</f>
        <v/>
      </c>
      <c r="O1024">
        <f>IF($A1024="","",IF(OR($B1024="7062",$B1024="706",$B1024="708"),$N1024,IF($B1024="6231",1+$G1024,IF($B1024="6236",1+$H1024,IF(OR($B1024="621",$B1024="604",$B1024="6063"),$N1024*(1-$L1024),IF(OR($B1024="6411",$B1024="6413",$B1024="6414",$B1024="645"),(1+$J1024)*(1+$K1024),IF(OR($B1024="613",$B1024="615",$B1024="616",$B1024="6226",$B1024="625",$B1024="626",$B1024="6281"),(1+$I1024)*(1-$L1024)*(1+$M1024),IF(OR($B1024="6331",$B1024="63511",$B1024="6333"),(1+$I1024)*(1-$L1024),IF($B1024="6811",1+$I1024,1)))))))))</f>
        <v/>
      </c>
      <c r="P1024">
        <f>IF($A1024="","",IF($E1024=1,$F1024*$O1024,PNL!G1024))</f>
        <v/>
      </c>
      <c r="T1024">
        <f>IF($A1024="","",IF($E1024=1,IF(OR($B1024="7062",$B1024="706",$B1024="708"),$P1024,IF(AND(LEFT($B1024,1)="6",$B1024&lt;&gt;"6811"),-$P1024,0)),0))</f>
        <v/>
      </c>
    </row>
    <row r="1025">
      <c r="A1025">
        <f>IF(PNL!A1025="","",PNL!A1025)</f>
        <v/>
      </c>
      <c r="B1025">
        <f>IF(PNL!B1025="","",PNL!B1025)</f>
        <v/>
      </c>
      <c r="C1025">
        <f>IF(PNL!C1025="","",PNL!C1025)</f>
        <v/>
      </c>
      <c r="D1025">
        <f>IF(PNL!D1025="","",PNL!D1025)</f>
        <v/>
      </c>
      <c r="E1025">
        <f>IF($A1025="","",IF(AND($C1025="2027",OR($D1025="V01",$D1025="V02",$D1025="V03")),1,0))</f>
        <v/>
      </c>
      <c r="F1025">
        <f>IF($A1025="","",IF($E1025=1,SUMIFS(Comptabilité!$F$1:$F$675,Comptabilité!$A$1:$A$675,$A1025,Comptabilité!$B$1:$B$675,$B1025,Comptabilité!$C$1:$C$675,"2026"),0))</f>
        <v/>
      </c>
      <c r="G1025">
        <f>IF($A1025="","",IF($D1025="V01",Cadrage!$C$22,IF($D1025="V02",Cadrage!$D$22,Cadrage!$E$22)))</f>
        <v/>
      </c>
      <c r="H1025">
        <f>IF($A1025="","",IF($D1025="V01",Cadrage!$C$23,IF($D1025="V02",Cadrage!$D$23,Cadrage!$E$23)))</f>
        <v/>
      </c>
      <c r="I1025">
        <f>IF($A1025="","",IF($D1025="V01",Cadrage!$C$31,IF($D1025="V02",Cadrage!$D$31,Cadrage!$E$31)))</f>
        <v/>
      </c>
      <c r="J1025">
        <f>IF($A1025="","",IF($D1025="V01",Cadrage!$C$32,IF($D1025="V02",Cadrage!$D$32,Cadrage!$E$32)))</f>
        <v/>
      </c>
      <c r="K1025">
        <f>IF($A1025="","",IF($D1025="V01",Cadrage!$C$33,IF($D1025="V02",Cadrage!$D$33,Cadrage!$E$33)))</f>
        <v/>
      </c>
      <c r="L1025">
        <f>IF($A1025="","",IF($D1025="V01",Cadrage!$C$34,IF($D1025="V02",Cadrage!$D$34,Cadrage!$E$34)))</f>
        <v/>
      </c>
      <c r="M1025">
        <f>IF($A1025="","",IF($D1025="V01",Cadrage!$C$35,IF($D1025="V02",Cadrage!$D$35,Cadrage!$E$35)))</f>
        <v/>
      </c>
      <c r="N1025">
        <f>IF($A1025="","",IF($D1025="V01",$R$2,IF($D1025="V02",$R$3,$R$4)))</f>
        <v/>
      </c>
      <c r="O1025">
        <f>IF($A1025="","",IF(OR($B1025="7062",$B1025="706",$B1025="708"),$N1025,IF($B1025="6231",1+$G1025,IF($B1025="6236",1+$H1025,IF(OR($B1025="621",$B1025="604",$B1025="6063"),$N1025*(1-$L1025),IF(OR($B1025="6411",$B1025="6413",$B1025="6414",$B1025="645"),(1+$J1025)*(1+$K1025),IF(OR($B1025="613",$B1025="615",$B1025="616",$B1025="6226",$B1025="625",$B1025="626",$B1025="6281"),(1+$I1025)*(1-$L1025)*(1+$M1025),IF(OR($B1025="6331",$B1025="63511",$B1025="6333"),(1+$I1025)*(1-$L1025),IF($B1025="6811",1+$I1025,1)))))))))</f>
        <v/>
      </c>
      <c r="P1025">
        <f>IF($A1025="","",IF($E1025=1,$F1025*$O1025,PNL!G1025))</f>
        <v/>
      </c>
      <c r="T1025">
        <f>IF($A1025="","",IF($E1025=1,IF(OR($B1025="7062",$B1025="706",$B1025="708"),$P1025,IF(AND(LEFT($B1025,1)="6",$B1025&lt;&gt;"6811"),-$P1025,0)),0))</f>
        <v/>
      </c>
    </row>
    <row r="1026">
      <c r="A1026">
        <f>IF(PNL!A1026="","",PNL!A1026)</f>
        <v/>
      </c>
      <c r="B1026">
        <f>IF(PNL!B1026="","",PNL!B1026)</f>
        <v/>
      </c>
      <c r="C1026">
        <f>IF(PNL!C1026="","",PNL!C1026)</f>
        <v/>
      </c>
      <c r="D1026">
        <f>IF(PNL!D1026="","",PNL!D1026)</f>
        <v/>
      </c>
      <c r="E1026">
        <f>IF($A1026="","",IF(AND($C1026="2027",OR($D1026="V01",$D1026="V02",$D1026="V03")),1,0))</f>
        <v/>
      </c>
      <c r="F1026">
        <f>IF($A1026="","",IF($E1026=1,SUMIFS(Comptabilité!$F$1:$F$675,Comptabilité!$A$1:$A$675,$A1026,Comptabilité!$B$1:$B$675,$B1026,Comptabilité!$C$1:$C$675,"2026"),0))</f>
        <v/>
      </c>
      <c r="G1026">
        <f>IF($A1026="","",IF($D1026="V01",Cadrage!$C$22,IF($D1026="V02",Cadrage!$D$22,Cadrage!$E$22)))</f>
        <v/>
      </c>
      <c r="H1026">
        <f>IF($A1026="","",IF($D1026="V01",Cadrage!$C$23,IF($D1026="V02",Cadrage!$D$23,Cadrage!$E$23)))</f>
        <v/>
      </c>
      <c r="I1026">
        <f>IF($A1026="","",IF($D1026="V01",Cadrage!$C$31,IF($D1026="V02",Cadrage!$D$31,Cadrage!$E$31)))</f>
        <v/>
      </c>
      <c r="J1026">
        <f>IF($A1026="","",IF($D1026="V01",Cadrage!$C$32,IF($D1026="V02",Cadrage!$D$32,Cadrage!$E$32)))</f>
        <v/>
      </c>
      <c r="K1026">
        <f>IF($A1026="","",IF($D1026="V01",Cadrage!$C$33,IF($D1026="V02",Cadrage!$D$33,Cadrage!$E$33)))</f>
        <v/>
      </c>
      <c r="L1026">
        <f>IF($A1026="","",IF($D1026="V01",Cadrage!$C$34,IF($D1026="V02",Cadrage!$D$34,Cadrage!$E$34)))</f>
        <v/>
      </c>
      <c r="M1026">
        <f>IF($A1026="","",IF($D1026="V01",Cadrage!$C$35,IF($D1026="V02",Cadrage!$D$35,Cadrage!$E$35)))</f>
        <v/>
      </c>
      <c r="N1026">
        <f>IF($A1026="","",IF($D1026="V01",$R$2,IF($D1026="V02",$R$3,$R$4)))</f>
        <v/>
      </c>
      <c r="O1026">
        <f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>
        <f>IF($A1026="","",IF($E1026=1,$F1026*$O1026,PNL!G1026))</f>
        <v/>
      </c>
      <c r="T1026">
        <f>IF($A1026="","",IF($E1026=1,IF(OR($B1026="7062",$B1026="706",$B1026="708"),$P1026,IF(AND(LEFT($B1026,1)="6",$B1026&lt;&gt;"6811"),-$P1026,0)),0))</f>
        <v/>
      </c>
    </row>
    <row r="1027">
      <c r="A1027">
        <f>IF(PNL!A1027="","",PNL!A1027)</f>
        <v/>
      </c>
      <c r="B1027">
        <f>IF(PNL!B1027="","",PNL!B1027)</f>
        <v/>
      </c>
      <c r="C1027">
        <f>IF(PNL!C1027="","",PNL!C1027)</f>
        <v/>
      </c>
      <c r="D1027">
        <f>IF(PNL!D1027="","",PNL!D1027)</f>
        <v/>
      </c>
      <c r="E1027">
        <f>IF($A1027="","",IF(AND($C1027="2027",OR($D1027="V01",$D1027="V02",$D1027="V03")),1,0))</f>
        <v/>
      </c>
      <c r="F1027">
        <f>IF($A1027="","",IF($E1027=1,SUMIFS(Comptabilité!$F$1:$F$675,Comptabilité!$A$1:$A$675,$A1027,Comptabilité!$B$1:$B$675,$B1027,Comptabilité!$C$1:$C$675,"2026"),0))</f>
        <v/>
      </c>
      <c r="G1027">
        <f>IF($A1027="","",IF($D1027="V01",Cadrage!$C$22,IF($D1027="V02",Cadrage!$D$22,Cadrage!$E$22)))</f>
        <v/>
      </c>
      <c r="H1027">
        <f>IF($A1027="","",IF($D1027="V01",Cadrage!$C$23,IF($D1027="V02",Cadrage!$D$23,Cadrage!$E$23)))</f>
        <v/>
      </c>
      <c r="I1027">
        <f>IF($A1027="","",IF($D1027="V01",Cadrage!$C$31,IF($D1027="V02",Cadrage!$D$31,Cadrage!$E$31)))</f>
        <v/>
      </c>
      <c r="J1027">
        <f>IF($A1027="","",IF($D1027="V01",Cadrage!$C$32,IF($D1027="V02",Cadrage!$D$32,Cadrage!$E$32)))</f>
        <v/>
      </c>
      <c r="K1027">
        <f>IF($A1027="","",IF($D1027="V01",Cadrage!$C$33,IF($D1027="V02",Cadrage!$D$33,Cadrage!$E$33)))</f>
        <v/>
      </c>
      <c r="L1027">
        <f>IF($A1027="","",IF($D1027="V01",Cadrage!$C$34,IF($D1027="V02",Cadrage!$D$34,Cadrage!$E$34)))</f>
        <v/>
      </c>
      <c r="M1027">
        <f>IF($A1027="","",IF($D1027="V01",Cadrage!$C$35,IF($D1027="V02",Cadrage!$D$35,Cadrage!$E$35)))</f>
        <v/>
      </c>
      <c r="N1027">
        <f>IF($A1027="","",IF($D1027="V01",$R$2,IF($D1027="V02",$R$3,$R$4)))</f>
        <v/>
      </c>
      <c r="O1027">
        <f>IF($A1027="","",IF(OR($B1027="7062",$B1027="706",$B1027="708"),$N1027,IF($B1027="6231",1+$G1027,IF($B1027="6236",1+$H1027,IF(OR($B1027="621",$B1027="604",$B1027="6063"),$N1027*(1-$L1027),IF(OR($B1027="6411",$B1027="6413",$B1027="6414",$B1027="645"),(1+$J1027)*(1+$K1027),IF(OR($B1027="613",$B1027="615",$B1027="616",$B1027="6226",$B1027="625",$B1027="626",$B1027="6281"),(1+$I1027)*(1-$L1027)*(1+$M1027),IF(OR($B1027="6331",$B1027="63511",$B1027="6333"),(1+$I1027)*(1-$L1027),IF($B1027="6811",1+$I1027,1)))))))))</f>
        <v/>
      </c>
      <c r="P1027">
        <f>IF($A1027="","",IF($E1027=1,$F1027*$O1027,PNL!G1027))</f>
        <v/>
      </c>
      <c r="T1027">
        <f>IF($A1027="","",IF($E1027=1,IF(OR($B1027="7062",$B1027="706",$B1027="708"),$P1027,IF(AND(LEFT($B1027,1)="6",$B1027&lt;&gt;"6811"),-$P1027,0)),0))</f>
        <v/>
      </c>
    </row>
    <row r="1028">
      <c r="A1028">
        <f>IF(PNL!A1028="","",PNL!A1028)</f>
        <v/>
      </c>
      <c r="B1028">
        <f>IF(PNL!B1028="","",PNL!B1028)</f>
        <v/>
      </c>
      <c r="C1028">
        <f>IF(PNL!C1028="","",PNL!C1028)</f>
        <v/>
      </c>
      <c r="D1028">
        <f>IF(PNL!D1028="","",PNL!D1028)</f>
        <v/>
      </c>
      <c r="E1028">
        <f>IF($A1028="","",IF(AND($C1028="2027",OR($D1028="V01",$D1028="V02",$D1028="V03")),1,0))</f>
        <v/>
      </c>
      <c r="F1028">
        <f>IF($A1028="","",IF($E1028=1,SUMIFS(Comptabilité!$F$1:$F$675,Comptabilité!$A$1:$A$675,$A1028,Comptabilité!$B$1:$B$675,$B1028,Comptabilité!$C$1:$C$675,"2026"),0))</f>
        <v/>
      </c>
      <c r="G1028">
        <f>IF($A1028="","",IF($D1028="V01",Cadrage!$C$22,IF($D1028="V02",Cadrage!$D$22,Cadrage!$E$22)))</f>
        <v/>
      </c>
      <c r="H1028">
        <f>IF($A1028="","",IF($D1028="V01",Cadrage!$C$23,IF($D1028="V02",Cadrage!$D$23,Cadrage!$E$23)))</f>
        <v/>
      </c>
      <c r="I1028">
        <f>IF($A1028="","",IF($D1028="V01",Cadrage!$C$31,IF($D1028="V02",Cadrage!$D$31,Cadrage!$E$31)))</f>
        <v/>
      </c>
      <c r="J1028">
        <f>IF($A1028="","",IF($D1028="V01",Cadrage!$C$32,IF($D1028="V02",Cadrage!$D$32,Cadrage!$E$32)))</f>
        <v/>
      </c>
      <c r="K1028">
        <f>IF($A1028="","",IF($D1028="V01",Cadrage!$C$33,IF($D1028="V02",Cadrage!$D$33,Cadrage!$E$33)))</f>
        <v/>
      </c>
      <c r="L1028">
        <f>IF($A1028="","",IF($D1028="V01",Cadrage!$C$34,IF($D1028="V02",Cadrage!$D$34,Cadrage!$E$34)))</f>
        <v/>
      </c>
      <c r="M1028">
        <f>IF($A1028="","",IF($D1028="V01",Cadrage!$C$35,IF($D1028="V02",Cadrage!$D$35,Cadrage!$E$35)))</f>
        <v/>
      </c>
      <c r="N1028">
        <f>IF($A1028="","",IF($D1028="V01",$R$2,IF($D1028="V02",$R$3,$R$4)))</f>
        <v/>
      </c>
      <c r="O1028">
        <f>IF($A1028="","",IF(OR($B1028="7062",$B1028="706",$B1028="708"),$N1028,IF($B1028="6231",1+$G1028,IF($B1028="6236",1+$H1028,IF(OR($B1028="621",$B1028="604",$B1028="6063"),$N1028*(1-$L1028),IF(OR($B1028="6411",$B1028="6413",$B1028="6414",$B1028="645"),(1+$J1028)*(1+$K1028),IF(OR($B1028="613",$B1028="615",$B1028="616",$B1028="6226",$B1028="625",$B1028="626",$B1028="6281"),(1+$I1028)*(1-$L1028)*(1+$M1028),IF(OR($B1028="6331",$B1028="63511",$B1028="6333"),(1+$I1028)*(1-$L1028),IF($B1028="6811",1+$I1028,1)))))))))</f>
        <v/>
      </c>
      <c r="P1028">
        <f>IF($A1028="","",IF($E1028=1,$F1028*$O1028,PNL!G1028))</f>
        <v/>
      </c>
      <c r="T1028">
        <f>IF($A1028="","",IF($E1028=1,IF(OR($B1028="7062",$B1028="706",$B1028="708"),$P1028,IF(AND(LEFT($B1028,1)="6",$B1028&lt;&gt;"6811"),-$P1028,0)),0))</f>
        <v/>
      </c>
    </row>
    <row r="1029">
      <c r="A1029">
        <f>IF(PNL!A1029="","",PNL!A1029)</f>
        <v/>
      </c>
      <c r="B1029">
        <f>IF(PNL!B1029="","",PNL!B1029)</f>
        <v/>
      </c>
      <c r="C1029">
        <f>IF(PNL!C1029="","",PNL!C1029)</f>
        <v/>
      </c>
      <c r="D1029">
        <f>IF(PNL!D1029="","",PNL!D1029)</f>
        <v/>
      </c>
      <c r="E1029">
        <f>IF($A1029="","",IF(AND($C1029="2027",OR($D1029="V01",$D1029="V02",$D1029="V03")),1,0))</f>
        <v/>
      </c>
      <c r="F1029">
        <f>IF($A1029="","",IF($E1029=1,SUMIFS(Comptabilité!$F$1:$F$675,Comptabilité!$A$1:$A$675,$A1029,Comptabilité!$B$1:$B$675,$B1029,Comptabilité!$C$1:$C$675,"2026"),0))</f>
        <v/>
      </c>
      <c r="G1029">
        <f>IF($A1029="","",IF($D1029="V01",Cadrage!$C$22,IF($D1029="V02",Cadrage!$D$22,Cadrage!$E$22)))</f>
        <v/>
      </c>
      <c r="H1029">
        <f>IF($A1029="","",IF($D1029="V01",Cadrage!$C$23,IF($D1029="V02",Cadrage!$D$23,Cadrage!$E$23)))</f>
        <v/>
      </c>
      <c r="I1029">
        <f>IF($A1029="","",IF($D1029="V01",Cadrage!$C$31,IF($D1029="V02",Cadrage!$D$31,Cadrage!$E$31)))</f>
        <v/>
      </c>
      <c r="J1029">
        <f>IF($A1029="","",IF($D1029="V01",Cadrage!$C$32,IF($D1029="V02",Cadrage!$D$32,Cadrage!$E$32)))</f>
        <v/>
      </c>
      <c r="K1029">
        <f>IF($A1029="","",IF($D1029="V01",Cadrage!$C$33,IF($D1029="V02",Cadrage!$D$33,Cadrage!$E$33)))</f>
        <v/>
      </c>
      <c r="L1029">
        <f>IF($A1029="","",IF($D1029="V01",Cadrage!$C$34,IF($D1029="V02",Cadrage!$D$34,Cadrage!$E$34)))</f>
        <v/>
      </c>
      <c r="M1029">
        <f>IF($A1029="","",IF($D1029="V01",Cadrage!$C$35,IF($D1029="V02",Cadrage!$D$35,Cadrage!$E$35)))</f>
        <v/>
      </c>
      <c r="N1029">
        <f>IF($A1029="","",IF($D1029="V01",$R$2,IF($D1029="V02",$R$3,$R$4)))</f>
        <v/>
      </c>
      <c r="O1029">
        <f>IF($A1029="","",IF(OR($B1029="7062",$B1029="706",$B1029="708"),$N1029,IF($B1029="6231",1+$G1029,IF($B1029="6236",1+$H1029,IF(OR($B1029="621",$B1029="604",$B1029="6063"),$N1029*(1-$L1029),IF(OR($B1029="6411",$B1029="6413",$B1029="6414",$B1029="645"),(1+$J1029)*(1+$K1029),IF(OR($B1029="613",$B1029="615",$B1029="616",$B1029="6226",$B1029="625",$B1029="626",$B1029="6281"),(1+$I1029)*(1-$L1029)*(1+$M1029),IF(OR($B1029="6331",$B1029="63511",$B1029="6333"),(1+$I1029)*(1-$L1029),IF($B1029="6811",1+$I1029,1)))))))))</f>
        <v/>
      </c>
      <c r="P1029">
        <f>IF($A1029="","",IF($E1029=1,$F1029*$O1029,PNL!G1029))</f>
        <v/>
      </c>
      <c r="T1029">
        <f>IF($A1029="","",IF($E1029=1,IF(OR($B1029="7062",$B1029="706",$B1029="708"),$P1029,IF(AND(LEFT($B1029,1)="6",$B1029&lt;&gt;"6811"),-$P1029,0)),0))</f>
        <v/>
      </c>
    </row>
    <row r="1030">
      <c r="A1030">
        <f>IF(PNL!A1030="","",PNL!A1030)</f>
        <v/>
      </c>
      <c r="B1030">
        <f>IF(PNL!B1030="","",PNL!B1030)</f>
        <v/>
      </c>
      <c r="C1030">
        <f>IF(PNL!C1030="","",PNL!C1030)</f>
        <v/>
      </c>
      <c r="D1030">
        <f>IF(PNL!D1030="","",PNL!D1030)</f>
        <v/>
      </c>
      <c r="E1030">
        <f>IF($A1030="","",IF(AND($C1030="2027",OR($D1030="V01",$D1030="V02",$D1030="V03")),1,0))</f>
        <v/>
      </c>
      <c r="F1030">
        <f>IF($A1030="","",IF($E1030=1,SUMIFS(Comptabilité!$F$1:$F$675,Comptabilité!$A$1:$A$675,$A1030,Comptabilité!$B$1:$B$675,$B1030,Comptabilité!$C$1:$C$675,"2026"),0))</f>
        <v/>
      </c>
      <c r="G1030">
        <f>IF($A1030="","",IF($D1030="V01",Cadrage!$C$22,IF($D1030="V02",Cadrage!$D$22,Cadrage!$E$22)))</f>
        <v/>
      </c>
      <c r="H1030">
        <f>IF($A1030="","",IF($D1030="V01",Cadrage!$C$23,IF($D1030="V02",Cadrage!$D$23,Cadrage!$E$23)))</f>
        <v/>
      </c>
      <c r="I1030">
        <f>IF($A1030="","",IF($D1030="V01",Cadrage!$C$31,IF($D1030="V02",Cadrage!$D$31,Cadrage!$E$31)))</f>
        <v/>
      </c>
      <c r="J1030">
        <f>IF($A1030="","",IF($D1030="V01",Cadrage!$C$32,IF($D1030="V02",Cadrage!$D$32,Cadrage!$E$32)))</f>
        <v/>
      </c>
      <c r="K1030">
        <f>IF($A1030="","",IF($D1030="V01",Cadrage!$C$33,IF($D1030="V02",Cadrage!$D$33,Cadrage!$E$33)))</f>
        <v/>
      </c>
      <c r="L1030">
        <f>IF($A1030="","",IF($D1030="V01",Cadrage!$C$34,IF($D1030="V02",Cadrage!$D$34,Cadrage!$E$34)))</f>
        <v/>
      </c>
      <c r="M1030">
        <f>IF($A1030="","",IF($D1030="V01",Cadrage!$C$35,IF($D1030="V02",Cadrage!$D$35,Cadrage!$E$35)))</f>
        <v/>
      </c>
      <c r="N1030">
        <f>IF($A1030="","",IF($D1030="V01",$R$2,IF($D1030="V02",$R$3,$R$4)))</f>
        <v/>
      </c>
      <c r="O1030">
        <f>IF($A1030="","",IF(OR($B1030="7062",$B1030="706",$B1030="708"),$N1030,IF($B1030="6231",1+$G1030,IF($B1030="6236",1+$H1030,IF(OR($B1030="621",$B1030="604",$B1030="6063"),$N1030*(1-$L1030),IF(OR($B1030="6411",$B1030="6413",$B1030="6414",$B1030="645"),(1+$J1030)*(1+$K1030),IF(OR($B1030="613",$B1030="615",$B1030="616",$B1030="6226",$B1030="625",$B1030="626",$B1030="6281"),(1+$I1030)*(1-$L1030)*(1+$M1030),IF(OR($B1030="6331",$B1030="63511",$B1030="6333"),(1+$I1030)*(1-$L1030),IF($B1030="6811",1+$I1030,1)))))))))</f>
        <v/>
      </c>
      <c r="P1030">
        <f>IF($A1030="","",IF($E1030=1,$F1030*$O1030,PNL!G1030))</f>
        <v/>
      </c>
      <c r="T1030">
        <f>IF($A1030="","",IF($E1030=1,IF(OR($B1030="7062",$B1030="706",$B1030="708"),$P1030,IF(AND(LEFT($B1030,1)="6",$B1030&lt;&gt;"6811"),-$P1030,0)),0))</f>
        <v/>
      </c>
    </row>
    <row r="1031">
      <c r="A1031">
        <f>IF(PNL!A1031="","",PNL!A1031)</f>
        <v/>
      </c>
      <c r="B1031">
        <f>IF(PNL!B1031="","",PNL!B1031)</f>
        <v/>
      </c>
      <c r="C1031">
        <f>IF(PNL!C1031="","",PNL!C1031)</f>
        <v/>
      </c>
      <c r="D1031">
        <f>IF(PNL!D1031="","",PNL!D1031)</f>
        <v/>
      </c>
      <c r="E1031">
        <f>IF($A1031="","",IF(AND($C1031="2027",OR($D1031="V01",$D1031="V02",$D1031="V03")),1,0))</f>
        <v/>
      </c>
      <c r="F1031">
        <f>IF($A1031="","",IF($E1031=1,SUMIFS(Comptabilité!$F$1:$F$675,Comptabilité!$A$1:$A$675,$A1031,Comptabilité!$B$1:$B$675,$B1031,Comptabilité!$C$1:$C$675,"2026"),0))</f>
        <v/>
      </c>
      <c r="G1031">
        <f>IF($A1031="","",IF($D1031="V01",Cadrage!$C$22,IF($D1031="V02",Cadrage!$D$22,Cadrage!$E$22)))</f>
        <v/>
      </c>
      <c r="H1031">
        <f>IF($A1031="","",IF($D1031="V01",Cadrage!$C$23,IF($D1031="V02",Cadrage!$D$23,Cadrage!$E$23)))</f>
        <v/>
      </c>
      <c r="I1031">
        <f>IF($A1031="","",IF($D1031="V01",Cadrage!$C$31,IF($D1031="V02",Cadrage!$D$31,Cadrage!$E$31)))</f>
        <v/>
      </c>
      <c r="J1031">
        <f>IF($A1031="","",IF($D1031="V01",Cadrage!$C$32,IF($D1031="V02",Cadrage!$D$32,Cadrage!$E$32)))</f>
        <v/>
      </c>
      <c r="K1031">
        <f>IF($A1031="","",IF($D1031="V01",Cadrage!$C$33,IF($D1031="V02",Cadrage!$D$33,Cadrage!$E$33)))</f>
        <v/>
      </c>
      <c r="L1031">
        <f>IF($A1031="","",IF($D1031="V01",Cadrage!$C$34,IF($D1031="V02",Cadrage!$D$34,Cadrage!$E$34)))</f>
        <v/>
      </c>
      <c r="M1031">
        <f>IF($A1031="","",IF($D1031="V01",Cadrage!$C$35,IF($D1031="V02",Cadrage!$D$35,Cadrage!$E$35)))</f>
        <v/>
      </c>
      <c r="N1031">
        <f>IF($A1031="","",IF($D1031="V01",$R$2,IF($D1031="V02",$R$3,$R$4)))</f>
        <v/>
      </c>
      <c r="O1031">
        <f>IF($A1031="","",IF(OR($B1031="7062",$B1031="706",$B1031="708"),$N1031,IF($B1031="6231",1+$G1031,IF($B1031="6236",1+$H1031,IF(OR($B1031="621",$B1031="604",$B1031="6063"),$N1031*(1-$L1031),IF(OR($B1031="6411",$B1031="6413",$B1031="6414",$B1031="645"),(1+$J1031)*(1+$K1031),IF(OR($B1031="613",$B1031="615",$B1031="616",$B1031="6226",$B1031="625",$B1031="626",$B1031="6281"),(1+$I1031)*(1-$L1031)*(1+$M1031),IF(OR($B1031="6331",$B1031="63511",$B1031="6333"),(1+$I1031)*(1-$L1031),IF($B1031="6811",1+$I1031,1)))))))))</f>
        <v/>
      </c>
      <c r="P1031">
        <f>IF($A1031="","",IF($E1031=1,$F1031*$O1031,PNL!G1031))</f>
        <v/>
      </c>
      <c r="T1031">
        <f>IF($A1031="","",IF($E1031=1,IF(OR($B1031="7062",$B1031="706",$B1031="708"),$P1031,IF(AND(LEFT($B1031,1)="6",$B1031&lt;&gt;"6811"),-$P1031,0)),0))</f>
        <v/>
      </c>
    </row>
    <row r="1032">
      <c r="A1032">
        <f>IF(PNL!A1032="","",PNL!A1032)</f>
        <v/>
      </c>
      <c r="B1032">
        <f>IF(PNL!B1032="","",PNL!B1032)</f>
        <v/>
      </c>
      <c r="C1032">
        <f>IF(PNL!C1032="","",PNL!C1032)</f>
        <v/>
      </c>
      <c r="D1032">
        <f>IF(PNL!D1032="","",PNL!D1032)</f>
        <v/>
      </c>
      <c r="E1032">
        <f>IF($A1032="","",IF(AND($C1032="2027",OR($D1032="V01",$D1032="V02",$D1032="V03")),1,0))</f>
        <v/>
      </c>
      <c r="F1032">
        <f>IF($A1032="","",IF($E1032=1,SUMIFS(Comptabilité!$F$1:$F$675,Comptabilité!$A$1:$A$675,$A1032,Comptabilité!$B$1:$B$675,$B1032,Comptabilité!$C$1:$C$675,"2026"),0))</f>
        <v/>
      </c>
      <c r="G1032">
        <f>IF($A1032="","",IF($D1032="V01",Cadrage!$C$22,IF($D1032="V02",Cadrage!$D$22,Cadrage!$E$22)))</f>
        <v/>
      </c>
      <c r="H1032">
        <f>IF($A1032="","",IF($D1032="V01",Cadrage!$C$23,IF($D1032="V02",Cadrage!$D$23,Cadrage!$E$23)))</f>
        <v/>
      </c>
      <c r="I1032">
        <f>IF($A1032="","",IF($D1032="V01",Cadrage!$C$31,IF($D1032="V02",Cadrage!$D$31,Cadrage!$E$31)))</f>
        <v/>
      </c>
      <c r="J1032">
        <f>IF($A1032="","",IF($D1032="V01",Cadrage!$C$32,IF($D1032="V02",Cadrage!$D$32,Cadrage!$E$32)))</f>
        <v/>
      </c>
      <c r="K1032">
        <f>IF($A1032="","",IF($D1032="V01",Cadrage!$C$33,IF($D1032="V02",Cadrage!$D$33,Cadrage!$E$33)))</f>
        <v/>
      </c>
      <c r="L1032">
        <f>IF($A1032="","",IF($D1032="V01",Cadrage!$C$34,IF($D1032="V02",Cadrage!$D$34,Cadrage!$E$34)))</f>
        <v/>
      </c>
      <c r="M1032">
        <f>IF($A1032="","",IF($D1032="V01",Cadrage!$C$35,IF($D1032="V02",Cadrage!$D$35,Cadrage!$E$35)))</f>
        <v/>
      </c>
      <c r="N1032">
        <f>IF($A1032="","",IF($D1032="V01",$R$2,IF($D1032="V02",$R$3,$R$4)))</f>
        <v/>
      </c>
      <c r="O1032">
        <f>IF($A1032="","",IF(OR($B1032="7062",$B1032="706",$B1032="708"),$N1032,IF($B1032="6231",1+$G1032,IF($B1032="6236",1+$H1032,IF(OR($B1032="621",$B1032="604",$B1032="6063"),$N1032*(1-$L1032),IF(OR($B1032="6411",$B1032="6413",$B1032="6414",$B1032="645"),(1+$J1032)*(1+$K1032),IF(OR($B1032="613",$B1032="615",$B1032="616",$B1032="6226",$B1032="625",$B1032="626",$B1032="6281"),(1+$I1032)*(1-$L1032)*(1+$M1032),IF(OR($B1032="6331",$B1032="63511",$B1032="6333"),(1+$I1032)*(1-$L1032),IF($B1032="6811",1+$I1032,1)))))))))</f>
        <v/>
      </c>
      <c r="P1032">
        <f>IF($A1032="","",IF($E1032=1,$F1032*$O1032,PNL!G1032))</f>
        <v/>
      </c>
      <c r="T1032">
        <f>IF($A1032="","",IF($E1032=1,IF(OR($B1032="7062",$B1032="706",$B1032="708"),$P1032,IF(AND(LEFT($B1032,1)="6",$B1032&lt;&gt;"6811"),-$P1032,0)),0))</f>
        <v/>
      </c>
    </row>
    <row r="1033">
      <c r="A1033">
        <f>IF(PNL!A1033="","",PNL!A1033)</f>
        <v/>
      </c>
      <c r="B1033">
        <f>IF(PNL!B1033="","",PNL!B1033)</f>
        <v/>
      </c>
      <c r="C1033">
        <f>IF(PNL!C1033="","",PNL!C1033)</f>
        <v/>
      </c>
      <c r="D1033">
        <f>IF(PNL!D1033="","",PNL!D1033)</f>
        <v/>
      </c>
      <c r="E1033">
        <f>IF($A1033="","",IF(AND($C1033="2027",OR($D1033="V01",$D1033="V02",$D1033="V03")),1,0))</f>
        <v/>
      </c>
      <c r="F1033">
        <f>IF($A1033="","",IF($E1033=1,SUMIFS(Comptabilité!$F$1:$F$675,Comptabilité!$A$1:$A$675,$A1033,Comptabilité!$B$1:$B$675,$B1033,Comptabilité!$C$1:$C$675,"2026"),0))</f>
        <v/>
      </c>
      <c r="G1033">
        <f>IF($A1033="","",IF($D1033="V01",Cadrage!$C$22,IF($D1033="V02",Cadrage!$D$22,Cadrage!$E$22)))</f>
        <v/>
      </c>
      <c r="H1033">
        <f>IF($A1033="","",IF($D1033="V01",Cadrage!$C$23,IF($D1033="V02",Cadrage!$D$23,Cadrage!$E$23)))</f>
        <v/>
      </c>
      <c r="I1033">
        <f>IF($A1033="","",IF($D1033="V01",Cadrage!$C$31,IF($D1033="V02",Cadrage!$D$31,Cadrage!$E$31)))</f>
        <v/>
      </c>
      <c r="J1033">
        <f>IF($A1033="","",IF($D1033="V01",Cadrage!$C$32,IF($D1033="V02",Cadrage!$D$32,Cadrage!$E$32)))</f>
        <v/>
      </c>
      <c r="K1033">
        <f>IF($A1033="","",IF($D1033="V01",Cadrage!$C$33,IF($D1033="V02",Cadrage!$D$33,Cadrage!$E$33)))</f>
        <v/>
      </c>
      <c r="L1033">
        <f>IF($A1033="","",IF($D1033="V01",Cadrage!$C$34,IF($D1033="V02",Cadrage!$D$34,Cadrage!$E$34)))</f>
        <v/>
      </c>
      <c r="M1033">
        <f>IF($A1033="","",IF($D1033="V01",Cadrage!$C$35,IF($D1033="V02",Cadrage!$D$35,Cadrage!$E$35)))</f>
        <v/>
      </c>
      <c r="N1033">
        <f>IF($A1033="","",IF($D1033="V01",$R$2,IF($D1033="V02",$R$3,$R$4)))</f>
        <v/>
      </c>
      <c r="O1033">
        <f>IF($A1033="","",IF(OR($B1033="7062",$B1033="706",$B1033="708"),$N1033,IF($B1033="6231",1+$G1033,IF($B1033="6236",1+$H1033,IF(OR($B1033="621",$B1033="604",$B1033="6063"),$N1033*(1-$L1033),IF(OR($B1033="6411",$B1033="6413",$B1033="6414",$B1033="645"),(1+$J1033)*(1+$K1033),IF(OR($B1033="613",$B1033="615",$B1033="616",$B1033="6226",$B1033="625",$B1033="626",$B1033="6281"),(1+$I1033)*(1-$L1033)*(1+$M1033),IF(OR($B1033="6331",$B1033="63511",$B1033="6333"),(1+$I1033)*(1-$L1033),IF($B1033="6811",1+$I1033,1)))))))))</f>
        <v/>
      </c>
      <c r="P1033">
        <f>IF($A1033="","",IF($E1033=1,$F1033*$O1033,PNL!G1033))</f>
        <v/>
      </c>
      <c r="T1033">
        <f>IF($A1033="","",IF($E1033=1,IF(OR($B1033="7062",$B1033="706",$B1033="708"),$P1033,IF(AND(LEFT($B1033,1)="6",$B1033&lt;&gt;"6811"),-$P1033,0)),0))</f>
        <v/>
      </c>
    </row>
    <row r="1034">
      <c r="A1034">
        <f>IF(PNL!A1034="","",PNL!A1034)</f>
        <v/>
      </c>
      <c r="B1034">
        <f>IF(PNL!B1034="","",PNL!B1034)</f>
        <v/>
      </c>
      <c r="C1034">
        <f>IF(PNL!C1034="","",PNL!C1034)</f>
        <v/>
      </c>
      <c r="D1034">
        <f>IF(PNL!D1034="","",PNL!D1034)</f>
        <v/>
      </c>
      <c r="E1034">
        <f>IF($A1034="","",IF(AND($C1034="2027",OR($D1034="V01",$D1034="V02",$D1034="V03")),1,0))</f>
        <v/>
      </c>
      <c r="F1034">
        <f>IF($A1034="","",IF($E1034=1,SUMIFS(Comptabilité!$F$1:$F$675,Comptabilité!$A$1:$A$675,$A1034,Comptabilité!$B$1:$B$675,$B1034,Comptabilité!$C$1:$C$675,"2026"),0))</f>
        <v/>
      </c>
      <c r="G1034">
        <f>IF($A1034="","",IF($D1034="V01",Cadrage!$C$22,IF($D1034="V02",Cadrage!$D$22,Cadrage!$E$22)))</f>
        <v/>
      </c>
      <c r="H1034">
        <f>IF($A1034="","",IF($D1034="V01",Cadrage!$C$23,IF($D1034="V02",Cadrage!$D$23,Cadrage!$E$23)))</f>
        <v/>
      </c>
      <c r="I1034">
        <f>IF($A1034="","",IF($D1034="V01",Cadrage!$C$31,IF($D1034="V02",Cadrage!$D$31,Cadrage!$E$31)))</f>
        <v/>
      </c>
      <c r="J1034">
        <f>IF($A1034="","",IF($D1034="V01",Cadrage!$C$32,IF($D1034="V02",Cadrage!$D$32,Cadrage!$E$32)))</f>
        <v/>
      </c>
      <c r="K1034">
        <f>IF($A1034="","",IF($D1034="V01",Cadrage!$C$33,IF($D1034="V02",Cadrage!$D$33,Cadrage!$E$33)))</f>
        <v/>
      </c>
      <c r="L1034">
        <f>IF($A1034="","",IF($D1034="V01",Cadrage!$C$34,IF($D1034="V02",Cadrage!$D$34,Cadrage!$E$34)))</f>
        <v/>
      </c>
      <c r="M1034">
        <f>IF($A1034="","",IF($D1034="V01",Cadrage!$C$35,IF($D1034="V02",Cadrage!$D$35,Cadrage!$E$35)))</f>
        <v/>
      </c>
      <c r="N1034">
        <f>IF($A1034="","",IF($D1034="V01",$R$2,IF($D1034="V02",$R$3,$R$4)))</f>
        <v/>
      </c>
      <c r="O1034">
        <f>IF($A1034="","",IF(OR($B1034="7062",$B1034="706",$B1034="708"),$N1034,IF($B1034="6231",1+$G1034,IF($B1034="6236",1+$H1034,IF(OR($B1034="621",$B1034="604",$B1034="6063"),$N1034*(1-$L1034),IF(OR($B1034="6411",$B1034="6413",$B1034="6414",$B1034="645"),(1+$J1034)*(1+$K1034),IF(OR($B1034="613",$B1034="615",$B1034="616",$B1034="6226",$B1034="625",$B1034="626",$B1034="6281"),(1+$I1034)*(1-$L1034)*(1+$M1034),IF(OR($B1034="6331",$B1034="63511",$B1034="6333"),(1+$I1034)*(1-$L1034),IF($B1034="6811",1+$I1034,1)))))))))</f>
        <v/>
      </c>
      <c r="P1034">
        <f>IF($A1034="","",IF($E1034=1,$F1034*$O1034,PNL!G1034))</f>
        <v/>
      </c>
      <c r="T1034">
        <f>IF($A1034="","",IF($E1034=1,IF(OR($B1034="7062",$B1034="706",$B1034="708"),$P1034,IF(AND(LEFT($B1034,1)="6",$B1034&lt;&gt;"6811"),-$P1034,0)),0))</f>
        <v/>
      </c>
    </row>
    <row r="1035">
      <c r="A1035">
        <f>IF(PNL!A1035="","",PNL!A1035)</f>
        <v/>
      </c>
      <c r="B1035">
        <f>IF(PNL!B1035="","",PNL!B1035)</f>
        <v/>
      </c>
      <c r="C1035">
        <f>IF(PNL!C1035="","",PNL!C1035)</f>
        <v/>
      </c>
      <c r="D1035">
        <f>IF(PNL!D1035="","",PNL!D1035)</f>
        <v/>
      </c>
      <c r="E1035">
        <f>IF($A1035="","",IF(AND($C1035="2027",OR($D1035="V01",$D1035="V02",$D1035="V03")),1,0))</f>
        <v/>
      </c>
      <c r="F1035">
        <f>IF($A1035="","",IF($E1035=1,SUMIFS(Comptabilité!$F$1:$F$675,Comptabilité!$A$1:$A$675,$A1035,Comptabilité!$B$1:$B$675,$B1035,Comptabilité!$C$1:$C$675,"2026"),0))</f>
        <v/>
      </c>
      <c r="G1035">
        <f>IF($A1035="","",IF($D1035="V01",Cadrage!$C$22,IF($D1035="V02",Cadrage!$D$22,Cadrage!$E$22)))</f>
        <v/>
      </c>
      <c r="H1035">
        <f>IF($A1035="","",IF($D1035="V01",Cadrage!$C$23,IF($D1035="V02",Cadrage!$D$23,Cadrage!$E$23)))</f>
        <v/>
      </c>
      <c r="I1035">
        <f>IF($A1035="","",IF($D1035="V01",Cadrage!$C$31,IF($D1035="V02",Cadrage!$D$31,Cadrage!$E$31)))</f>
        <v/>
      </c>
      <c r="J1035">
        <f>IF($A1035="","",IF($D1035="V01",Cadrage!$C$32,IF($D1035="V02",Cadrage!$D$32,Cadrage!$E$32)))</f>
        <v/>
      </c>
      <c r="K1035">
        <f>IF($A1035="","",IF($D1035="V01",Cadrage!$C$33,IF($D1035="V02",Cadrage!$D$33,Cadrage!$E$33)))</f>
        <v/>
      </c>
      <c r="L1035">
        <f>IF($A1035="","",IF($D1035="V01",Cadrage!$C$34,IF($D1035="V02",Cadrage!$D$34,Cadrage!$E$34)))</f>
        <v/>
      </c>
      <c r="M1035">
        <f>IF($A1035="","",IF($D1035="V01",Cadrage!$C$35,IF($D1035="V02",Cadrage!$D$35,Cadrage!$E$35)))</f>
        <v/>
      </c>
      <c r="N1035">
        <f>IF($A1035="","",IF($D1035="V01",$R$2,IF($D1035="V02",$R$3,$R$4)))</f>
        <v/>
      </c>
      <c r="O1035">
        <f>IF($A1035="","",IF(OR($B1035="7062",$B1035="706",$B1035="708"),$N1035,IF($B1035="6231",1+$G1035,IF($B1035="6236",1+$H1035,IF(OR($B1035="621",$B1035="604",$B1035="6063"),$N1035*(1-$L1035),IF(OR($B1035="6411",$B1035="6413",$B1035="6414",$B1035="645"),(1+$J1035)*(1+$K1035),IF(OR($B1035="613",$B1035="615",$B1035="616",$B1035="6226",$B1035="625",$B1035="626",$B1035="6281"),(1+$I1035)*(1-$L1035)*(1+$M1035),IF(OR($B1035="6331",$B1035="63511",$B1035="6333"),(1+$I1035)*(1-$L1035),IF($B1035="6811",1+$I1035,1)))))))))</f>
        <v/>
      </c>
      <c r="P1035">
        <f>IF($A1035="","",IF($E1035=1,$F1035*$O1035,PNL!G1035))</f>
        <v/>
      </c>
      <c r="T1035">
        <f>IF($A1035="","",IF($E1035=1,IF(OR($B1035="7062",$B1035="706",$B1035="708"),$P1035,IF(AND(LEFT($B1035,1)="6",$B1035&lt;&gt;"6811"),-$P1035,0)),0))</f>
        <v/>
      </c>
    </row>
    <row r="1036">
      <c r="A1036">
        <f>IF(PNL!A1036="","",PNL!A1036)</f>
        <v/>
      </c>
      <c r="B1036">
        <f>IF(PNL!B1036="","",PNL!B1036)</f>
        <v/>
      </c>
      <c r="C1036">
        <f>IF(PNL!C1036="","",PNL!C1036)</f>
        <v/>
      </c>
      <c r="D1036">
        <f>IF(PNL!D1036="","",PNL!D1036)</f>
        <v/>
      </c>
      <c r="E1036">
        <f>IF($A1036="","",IF(AND($C1036="2027",OR($D1036="V01",$D1036="V02",$D1036="V03")),1,0))</f>
        <v/>
      </c>
      <c r="F1036">
        <f>IF($A1036="","",IF($E1036=1,SUMIFS(Comptabilité!$F$1:$F$675,Comptabilité!$A$1:$A$675,$A1036,Comptabilité!$B$1:$B$675,$B1036,Comptabilité!$C$1:$C$675,"2026"),0))</f>
        <v/>
      </c>
      <c r="G1036">
        <f>IF($A1036="","",IF($D1036="V01",Cadrage!$C$22,IF($D1036="V02",Cadrage!$D$22,Cadrage!$E$22)))</f>
        <v/>
      </c>
      <c r="H1036">
        <f>IF($A1036="","",IF($D1036="V01",Cadrage!$C$23,IF($D1036="V02",Cadrage!$D$23,Cadrage!$E$23)))</f>
        <v/>
      </c>
      <c r="I1036">
        <f>IF($A1036="","",IF($D1036="V01",Cadrage!$C$31,IF($D1036="V02",Cadrage!$D$31,Cadrage!$E$31)))</f>
        <v/>
      </c>
      <c r="J1036">
        <f>IF($A1036="","",IF($D1036="V01",Cadrage!$C$32,IF($D1036="V02",Cadrage!$D$32,Cadrage!$E$32)))</f>
        <v/>
      </c>
      <c r="K1036">
        <f>IF($A1036="","",IF($D1036="V01",Cadrage!$C$33,IF($D1036="V02",Cadrage!$D$33,Cadrage!$E$33)))</f>
        <v/>
      </c>
      <c r="L1036">
        <f>IF($A1036="","",IF($D1036="V01",Cadrage!$C$34,IF($D1036="V02",Cadrage!$D$34,Cadrage!$E$34)))</f>
        <v/>
      </c>
      <c r="M1036">
        <f>IF($A1036="","",IF($D1036="V01",Cadrage!$C$35,IF($D1036="V02",Cadrage!$D$35,Cadrage!$E$35)))</f>
        <v/>
      </c>
      <c r="N1036">
        <f>IF($A1036="","",IF($D1036="V01",$R$2,IF($D1036="V02",$R$3,$R$4)))</f>
        <v/>
      </c>
      <c r="O1036">
        <f>IF($A1036="","",IF(OR($B1036="7062",$B1036="706",$B1036="708"),$N1036,IF($B1036="6231",1+$G1036,IF($B1036="6236",1+$H1036,IF(OR($B1036="621",$B1036="604",$B1036="6063"),$N1036*(1-$L1036),IF(OR($B1036="6411",$B1036="6413",$B1036="6414",$B1036="645"),(1+$J1036)*(1+$K1036),IF(OR($B1036="613",$B1036="615",$B1036="616",$B1036="6226",$B1036="625",$B1036="626",$B1036="6281"),(1+$I1036)*(1-$L1036)*(1+$M1036),IF(OR($B1036="6331",$B1036="63511",$B1036="6333"),(1+$I1036)*(1-$L1036),IF($B1036="6811",1+$I1036,1)))))))))</f>
        <v/>
      </c>
      <c r="P1036">
        <f>IF($A1036="","",IF($E1036=1,$F1036*$O1036,PNL!G1036))</f>
        <v/>
      </c>
      <c r="T1036">
        <f>IF($A1036="","",IF($E1036=1,IF(OR($B1036="7062",$B1036="706",$B1036="708"),$P1036,IF(AND(LEFT($B1036,1)="6",$B1036&lt;&gt;"6811"),-$P1036,0)),0))</f>
        <v/>
      </c>
    </row>
    <row r="1037">
      <c r="A1037">
        <f>IF(PNL!A1037="","",PNL!A1037)</f>
        <v/>
      </c>
      <c r="B1037">
        <f>IF(PNL!B1037="","",PNL!B1037)</f>
        <v/>
      </c>
      <c r="C1037">
        <f>IF(PNL!C1037="","",PNL!C1037)</f>
        <v/>
      </c>
      <c r="D1037">
        <f>IF(PNL!D1037="","",PNL!D1037)</f>
        <v/>
      </c>
      <c r="E1037">
        <f>IF($A1037="","",IF(AND($C1037="2027",OR($D1037="V01",$D1037="V02",$D1037="V03")),1,0))</f>
        <v/>
      </c>
      <c r="F1037">
        <f>IF($A1037="","",IF($E1037=1,SUMIFS(Comptabilité!$F$1:$F$675,Comptabilité!$A$1:$A$675,$A1037,Comptabilité!$B$1:$B$675,$B1037,Comptabilité!$C$1:$C$675,"2026"),0))</f>
        <v/>
      </c>
      <c r="G1037">
        <f>IF($A1037="","",IF($D1037="V01",Cadrage!$C$22,IF($D1037="V02",Cadrage!$D$22,Cadrage!$E$22)))</f>
        <v/>
      </c>
      <c r="H1037">
        <f>IF($A1037="","",IF($D1037="V01",Cadrage!$C$23,IF($D1037="V02",Cadrage!$D$23,Cadrage!$E$23)))</f>
        <v/>
      </c>
      <c r="I1037">
        <f>IF($A1037="","",IF($D1037="V01",Cadrage!$C$31,IF($D1037="V02",Cadrage!$D$31,Cadrage!$E$31)))</f>
        <v/>
      </c>
      <c r="J1037">
        <f>IF($A1037="","",IF($D1037="V01",Cadrage!$C$32,IF($D1037="V02",Cadrage!$D$32,Cadrage!$E$32)))</f>
        <v/>
      </c>
      <c r="K1037">
        <f>IF($A1037="","",IF($D1037="V01",Cadrage!$C$33,IF($D1037="V02",Cadrage!$D$33,Cadrage!$E$33)))</f>
        <v/>
      </c>
      <c r="L1037">
        <f>IF($A1037="","",IF($D1037="V01",Cadrage!$C$34,IF($D1037="V02",Cadrage!$D$34,Cadrage!$E$34)))</f>
        <v/>
      </c>
      <c r="M1037">
        <f>IF($A1037="","",IF($D1037="V01",Cadrage!$C$35,IF($D1037="V02",Cadrage!$D$35,Cadrage!$E$35)))</f>
        <v/>
      </c>
      <c r="N1037">
        <f>IF($A1037="","",IF($D1037="V01",$R$2,IF($D1037="V02",$R$3,$R$4)))</f>
        <v/>
      </c>
      <c r="O1037">
        <f>IF($A1037="","",IF(OR($B1037="7062",$B1037="706",$B1037="708"),$N1037,IF($B1037="6231",1+$G1037,IF($B1037="6236",1+$H1037,IF(OR($B1037="621",$B1037="604",$B1037="6063"),$N1037*(1-$L1037),IF(OR($B1037="6411",$B1037="6413",$B1037="6414",$B1037="645"),(1+$J1037)*(1+$K1037),IF(OR($B1037="613",$B1037="615",$B1037="616",$B1037="6226",$B1037="625",$B1037="626",$B1037="6281"),(1+$I1037)*(1-$L1037)*(1+$M1037),IF(OR($B1037="6331",$B1037="63511",$B1037="6333"),(1+$I1037)*(1-$L1037),IF($B1037="6811",1+$I1037,1)))))))))</f>
        <v/>
      </c>
      <c r="P1037">
        <f>IF($A1037="","",IF($E1037=1,$F1037*$O1037,PNL!G1037))</f>
        <v/>
      </c>
      <c r="T1037">
        <f>IF($A1037="","",IF($E1037=1,IF(OR($B1037="7062",$B1037="706",$B1037="708"),$P1037,IF(AND(LEFT($B1037,1)="6",$B1037&lt;&gt;"6811"),-$P1037,0)),0))</f>
        <v/>
      </c>
    </row>
    <row r="1038">
      <c r="A1038">
        <f>IF(PNL!A1038="","",PNL!A1038)</f>
        <v/>
      </c>
      <c r="B1038">
        <f>IF(PNL!B1038="","",PNL!B1038)</f>
        <v/>
      </c>
      <c r="C1038">
        <f>IF(PNL!C1038="","",PNL!C1038)</f>
        <v/>
      </c>
      <c r="D1038">
        <f>IF(PNL!D1038="","",PNL!D1038)</f>
        <v/>
      </c>
      <c r="E1038">
        <f>IF($A1038="","",IF(AND($C1038="2027",OR($D1038="V01",$D1038="V02",$D1038="V03")),1,0))</f>
        <v/>
      </c>
      <c r="F1038">
        <f>IF($A1038="","",IF($E1038=1,SUMIFS(Comptabilité!$F$1:$F$675,Comptabilité!$A$1:$A$675,$A1038,Comptabilité!$B$1:$B$675,$B1038,Comptabilité!$C$1:$C$675,"2026"),0))</f>
        <v/>
      </c>
      <c r="G1038">
        <f>IF($A1038="","",IF($D1038="V01",Cadrage!$C$22,IF($D1038="V02",Cadrage!$D$22,Cadrage!$E$22)))</f>
        <v/>
      </c>
      <c r="H1038">
        <f>IF($A1038="","",IF($D1038="V01",Cadrage!$C$23,IF($D1038="V02",Cadrage!$D$23,Cadrage!$E$23)))</f>
        <v/>
      </c>
      <c r="I1038">
        <f>IF($A1038="","",IF($D1038="V01",Cadrage!$C$31,IF($D1038="V02",Cadrage!$D$31,Cadrage!$E$31)))</f>
        <v/>
      </c>
      <c r="J1038">
        <f>IF($A1038="","",IF($D1038="V01",Cadrage!$C$32,IF($D1038="V02",Cadrage!$D$32,Cadrage!$E$32)))</f>
        <v/>
      </c>
      <c r="K1038">
        <f>IF($A1038="","",IF($D1038="V01",Cadrage!$C$33,IF($D1038="V02",Cadrage!$D$33,Cadrage!$E$33)))</f>
        <v/>
      </c>
      <c r="L1038">
        <f>IF($A1038="","",IF($D1038="V01",Cadrage!$C$34,IF($D1038="V02",Cadrage!$D$34,Cadrage!$E$34)))</f>
        <v/>
      </c>
      <c r="M1038">
        <f>IF($A1038="","",IF($D1038="V01",Cadrage!$C$35,IF($D1038="V02",Cadrage!$D$35,Cadrage!$E$35)))</f>
        <v/>
      </c>
      <c r="N1038">
        <f>IF($A1038="","",IF($D1038="V01",$R$2,IF($D1038="V02",$R$3,$R$4)))</f>
        <v/>
      </c>
      <c r="O1038">
        <f>IF($A1038="","",IF(OR($B1038="7062",$B1038="706",$B1038="708"),$N1038,IF($B1038="6231",1+$G1038,IF($B1038="6236",1+$H1038,IF(OR($B1038="621",$B1038="604",$B1038="6063"),$N1038*(1-$L1038),IF(OR($B1038="6411",$B1038="6413",$B1038="6414",$B1038="645"),(1+$J1038)*(1+$K1038),IF(OR($B1038="613",$B1038="615",$B1038="616",$B1038="6226",$B1038="625",$B1038="626",$B1038="6281"),(1+$I1038)*(1-$L1038)*(1+$M1038),IF(OR($B1038="6331",$B1038="63511",$B1038="6333"),(1+$I1038)*(1-$L1038),IF($B1038="6811",1+$I1038,1)))))))))</f>
        <v/>
      </c>
      <c r="P1038">
        <f>IF($A1038="","",IF($E1038=1,$F1038*$O1038,PNL!G1038))</f>
        <v/>
      </c>
      <c r="T1038">
        <f>IF($A1038="","",IF($E1038=1,IF(OR($B1038="7062",$B1038="706",$B1038="708"),$P1038,IF(AND(LEFT($B1038,1)="6",$B1038&lt;&gt;"6811"),-$P1038,0)),0))</f>
        <v/>
      </c>
    </row>
    <row r="1039">
      <c r="A1039">
        <f>IF(PNL!A1039="","",PNL!A1039)</f>
        <v/>
      </c>
      <c r="B1039">
        <f>IF(PNL!B1039="","",PNL!B1039)</f>
        <v/>
      </c>
      <c r="C1039">
        <f>IF(PNL!C1039="","",PNL!C1039)</f>
        <v/>
      </c>
      <c r="D1039">
        <f>IF(PNL!D1039="","",PNL!D1039)</f>
        <v/>
      </c>
      <c r="E1039">
        <f>IF($A1039="","",IF(AND($C1039="2027",OR($D1039="V01",$D1039="V02",$D1039="V03")),1,0))</f>
        <v/>
      </c>
      <c r="F1039">
        <f>IF($A1039="","",IF($E1039=1,SUMIFS(Comptabilité!$F$1:$F$675,Comptabilité!$A$1:$A$675,$A1039,Comptabilité!$B$1:$B$675,$B1039,Comptabilité!$C$1:$C$675,"2026"),0))</f>
        <v/>
      </c>
      <c r="G1039">
        <f>IF($A1039="","",IF($D1039="V01",Cadrage!$C$22,IF($D1039="V02",Cadrage!$D$22,Cadrage!$E$22)))</f>
        <v/>
      </c>
      <c r="H1039">
        <f>IF($A1039="","",IF($D1039="V01",Cadrage!$C$23,IF($D1039="V02",Cadrage!$D$23,Cadrage!$E$23)))</f>
        <v/>
      </c>
      <c r="I1039">
        <f>IF($A1039="","",IF($D1039="V01",Cadrage!$C$31,IF($D1039="V02",Cadrage!$D$31,Cadrage!$E$31)))</f>
        <v/>
      </c>
      <c r="J1039">
        <f>IF($A1039="","",IF($D1039="V01",Cadrage!$C$32,IF($D1039="V02",Cadrage!$D$32,Cadrage!$E$32)))</f>
        <v/>
      </c>
      <c r="K1039">
        <f>IF($A1039="","",IF($D1039="V01",Cadrage!$C$33,IF($D1039="V02",Cadrage!$D$33,Cadrage!$E$33)))</f>
        <v/>
      </c>
      <c r="L1039">
        <f>IF($A1039="","",IF($D1039="V01",Cadrage!$C$34,IF($D1039="V02",Cadrage!$D$34,Cadrage!$E$34)))</f>
        <v/>
      </c>
      <c r="M1039">
        <f>IF($A1039="","",IF($D1039="V01",Cadrage!$C$35,IF($D1039="V02",Cadrage!$D$35,Cadrage!$E$35)))</f>
        <v/>
      </c>
      <c r="N1039">
        <f>IF($A1039="","",IF($D1039="V01",$R$2,IF($D1039="V02",$R$3,$R$4)))</f>
        <v/>
      </c>
      <c r="O1039">
        <f>IF($A1039="","",IF(OR($B1039="7062",$B1039="706",$B1039="708"),$N1039,IF($B1039="6231",1+$G1039,IF($B1039="6236",1+$H1039,IF(OR($B1039="621",$B1039="604",$B1039="6063"),$N1039*(1-$L1039),IF(OR($B1039="6411",$B1039="6413",$B1039="6414",$B1039="645"),(1+$J1039)*(1+$K1039),IF(OR($B1039="613",$B1039="615",$B1039="616",$B1039="6226",$B1039="625",$B1039="626",$B1039="6281"),(1+$I1039)*(1-$L1039)*(1+$M1039),IF(OR($B1039="6331",$B1039="63511",$B1039="6333"),(1+$I1039)*(1-$L1039),IF($B1039="6811",1+$I1039,1)))))))))</f>
        <v/>
      </c>
      <c r="P1039">
        <f>IF($A1039="","",IF($E1039=1,$F1039*$O1039,PNL!G1039))</f>
        <v/>
      </c>
      <c r="T1039">
        <f>IF($A1039="","",IF($E1039=1,IF(OR($B1039="7062",$B1039="706",$B1039="708"),$P1039,IF(AND(LEFT($B1039,1)="6",$B1039&lt;&gt;"6811"),-$P1039,0)),0))</f>
        <v/>
      </c>
    </row>
    <row r="1040">
      <c r="A1040">
        <f>IF(PNL!A1040="","",PNL!A1040)</f>
        <v/>
      </c>
      <c r="B1040">
        <f>IF(PNL!B1040="","",PNL!B1040)</f>
        <v/>
      </c>
      <c r="C1040">
        <f>IF(PNL!C1040="","",PNL!C1040)</f>
        <v/>
      </c>
      <c r="D1040">
        <f>IF(PNL!D1040="","",PNL!D1040)</f>
        <v/>
      </c>
      <c r="E1040">
        <f>IF($A1040="","",IF(AND($C1040="2027",OR($D1040="V01",$D1040="V02",$D1040="V03")),1,0))</f>
        <v/>
      </c>
      <c r="F1040">
        <f>IF($A1040="","",IF($E1040=1,SUMIFS(Comptabilité!$F$1:$F$675,Comptabilité!$A$1:$A$675,$A1040,Comptabilité!$B$1:$B$675,$B1040,Comptabilité!$C$1:$C$675,"2026"),0))</f>
        <v/>
      </c>
      <c r="G1040">
        <f>IF($A1040="","",IF($D1040="V01",Cadrage!$C$22,IF($D1040="V02",Cadrage!$D$22,Cadrage!$E$22)))</f>
        <v/>
      </c>
      <c r="H1040">
        <f>IF($A1040="","",IF($D1040="V01",Cadrage!$C$23,IF($D1040="V02",Cadrage!$D$23,Cadrage!$E$23)))</f>
        <v/>
      </c>
      <c r="I1040">
        <f>IF($A1040="","",IF($D1040="V01",Cadrage!$C$31,IF($D1040="V02",Cadrage!$D$31,Cadrage!$E$31)))</f>
        <v/>
      </c>
      <c r="J1040">
        <f>IF($A1040="","",IF($D1040="V01",Cadrage!$C$32,IF($D1040="V02",Cadrage!$D$32,Cadrage!$E$32)))</f>
        <v/>
      </c>
      <c r="K1040">
        <f>IF($A1040="","",IF($D1040="V01",Cadrage!$C$33,IF($D1040="V02",Cadrage!$D$33,Cadrage!$E$33)))</f>
        <v/>
      </c>
      <c r="L1040">
        <f>IF($A1040="","",IF($D1040="V01",Cadrage!$C$34,IF($D1040="V02",Cadrage!$D$34,Cadrage!$E$34)))</f>
        <v/>
      </c>
      <c r="M1040">
        <f>IF($A1040="","",IF($D1040="V01",Cadrage!$C$35,IF($D1040="V02",Cadrage!$D$35,Cadrage!$E$35)))</f>
        <v/>
      </c>
      <c r="N1040">
        <f>IF($A1040="","",IF($D1040="V01",$R$2,IF($D1040="V02",$R$3,$R$4)))</f>
        <v/>
      </c>
      <c r="O1040">
        <f>IF($A1040="","",IF(OR($B1040="7062",$B1040="706",$B1040="708"),$N1040,IF($B1040="6231",1+$G1040,IF($B1040="6236",1+$H1040,IF(OR($B1040="621",$B1040="604",$B1040="6063"),$N1040*(1-$L1040),IF(OR($B1040="6411",$B1040="6413",$B1040="6414",$B1040="645"),(1+$J1040)*(1+$K1040),IF(OR($B1040="613",$B1040="615",$B1040="616",$B1040="6226",$B1040="625",$B1040="626",$B1040="6281"),(1+$I1040)*(1-$L1040)*(1+$M1040),IF(OR($B1040="6331",$B1040="63511",$B1040="6333"),(1+$I1040)*(1-$L1040),IF($B1040="6811",1+$I1040,1)))))))))</f>
        <v/>
      </c>
      <c r="P1040">
        <f>IF($A1040="","",IF($E1040=1,$F1040*$O1040,PNL!G1040))</f>
        <v/>
      </c>
      <c r="T1040">
        <f>IF($A1040="","",IF($E1040=1,IF(OR($B1040="7062",$B1040="706",$B1040="708"),$P1040,IF(AND(LEFT($B1040,1)="6",$B1040&lt;&gt;"6811"),-$P1040,0)),0))</f>
        <v/>
      </c>
    </row>
    <row r="1041">
      <c r="A1041">
        <f>IF(PNL!A1041="","",PNL!A1041)</f>
        <v/>
      </c>
      <c r="B1041">
        <f>IF(PNL!B1041="","",PNL!B1041)</f>
        <v/>
      </c>
      <c r="C1041">
        <f>IF(PNL!C1041="","",PNL!C1041)</f>
        <v/>
      </c>
      <c r="D1041">
        <f>IF(PNL!D1041="","",PNL!D1041)</f>
        <v/>
      </c>
      <c r="E1041">
        <f>IF($A1041="","",IF(AND($C1041="2027",OR($D1041="V01",$D1041="V02",$D1041="V03")),1,0))</f>
        <v/>
      </c>
      <c r="F1041">
        <f>IF($A1041="","",IF($E1041=1,SUMIFS(Comptabilité!$F$1:$F$675,Comptabilité!$A$1:$A$675,$A1041,Comptabilité!$B$1:$B$675,$B1041,Comptabilité!$C$1:$C$675,"2026"),0))</f>
        <v/>
      </c>
      <c r="G1041">
        <f>IF($A1041="","",IF($D1041="V01",Cadrage!$C$22,IF($D1041="V02",Cadrage!$D$22,Cadrage!$E$22)))</f>
        <v/>
      </c>
      <c r="H1041">
        <f>IF($A1041="","",IF($D1041="V01",Cadrage!$C$23,IF($D1041="V02",Cadrage!$D$23,Cadrage!$E$23)))</f>
        <v/>
      </c>
      <c r="I1041">
        <f>IF($A1041="","",IF($D1041="V01",Cadrage!$C$31,IF($D1041="V02",Cadrage!$D$31,Cadrage!$E$31)))</f>
        <v/>
      </c>
      <c r="J1041">
        <f>IF($A1041="","",IF($D1041="V01",Cadrage!$C$32,IF($D1041="V02",Cadrage!$D$32,Cadrage!$E$32)))</f>
        <v/>
      </c>
      <c r="K1041">
        <f>IF($A1041="","",IF($D1041="V01",Cadrage!$C$33,IF($D1041="V02",Cadrage!$D$33,Cadrage!$E$33)))</f>
        <v/>
      </c>
      <c r="L1041">
        <f>IF($A1041="","",IF($D1041="V01",Cadrage!$C$34,IF($D1041="V02",Cadrage!$D$34,Cadrage!$E$34)))</f>
        <v/>
      </c>
      <c r="M1041">
        <f>IF($A1041="","",IF($D1041="V01",Cadrage!$C$35,IF($D1041="V02",Cadrage!$D$35,Cadrage!$E$35)))</f>
        <v/>
      </c>
      <c r="N1041">
        <f>IF($A1041="","",IF($D1041="V01",$R$2,IF($D1041="V02",$R$3,$R$4)))</f>
        <v/>
      </c>
      <c r="O1041">
        <f>IF($A1041="","",IF(OR($B1041="7062",$B1041="706",$B1041="708"),$N1041,IF($B1041="6231",1+$G1041,IF($B1041="6236",1+$H1041,IF(OR($B1041="621",$B1041="604",$B1041="6063"),$N1041*(1-$L1041),IF(OR($B1041="6411",$B1041="6413",$B1041="6414",$B1041="645"),(1+$J1041)*(1+$K1041),IF(OR($B1041="613",$B1041="615",$B1041="616",$B1041="6226",$B1041="625",$B1041="626",$B1041="6281"),(1+$I1041)*(1-$L1041)*(1+$M1041),IF(OR($B1041="6331",$B1041="63511",$B1041="6333"),(1+$I1041)*(1-$L1041),IF($B1041="6811",1+$I1041,1)))))))))</f>
        <v/>
      </c>
      <c r="P1041">
        <f>IF($A1041="","",IF($E1041=1,$F1041*$O1041,PNL!G1041))</f>
        <v/>
      </c>
      <c r="T1041">
        <f>IF($A1041="","",IF($E1041=1,IF(OR($B1041="7062",$B1041="706",$B1041="708"),$P1041,IF(AND(LEFT($B1041,1)="6",$B1041&lt;&gt;"6811"),-$P1041,0)),0))</f>
        <v/>
      </c>
    </row>
    <row r="1042">
      <c r="A1042">
        <f>IF(PNL!A1042="","",PNL!A1042)</f>
        <v/>
      </c>
      <c r="B1042">
        <f>IF(PNL!B1042="","",PNL!B1042)</f>
        <v/>
      </c>
      <c r="C1042">
        <f>IF(PNL!C1042="","",PNL!C1042)</f>
        <v/>
      </c>
      <c r="D1042">
        <f>IF(PNL!D1042="","",PNL!D1042)</f>
        <v/>
      </c>
      <c r="E1042">
        <f>IF($A1042="","",IF(AND($C1042="2027",OR($D1042="V01",$D1042="V02",$D1042="V03")),1,0))</f>
        <v/>
      </c>
      <c r="F1042">
        <f>IF($A1042="","",IF($E1042=1,SUMIFS(Comptabilité!$F$1:$F$675,Comptabilité!$A$1:$A$675,$A1042,Comptabilité!$B$1:$B$675,$B1042,Comptabilité!$C$1:$C$675,"2026"),0))</f>
        <v/>
      </c>
      <c r="G1042">
        <f>IF($A1042="","",IF($D1042="V01",Cadrage!$C$22,IF($D1042="V02",Cadrage!$D$22,Cadrage!$E$22)))</f>
        <v/>
      </c>
      <c r="H1042">
        <f>IF($A1042="","",IF($D1042="V01",Cadrage!$C$23,IF($D1042="V02",Cadrage!$D$23,Cadrage!$E$23)))</f>
        <v/>
      </c>
      <c r="I1042">
        <f>IF($A1042="","",IF($D1042="V01",Cadrage!$C$31,IF($D1042="V02",Cadrage!$D$31,Cadrage!$E$31)))</f>
        <v/>
      </c>
      <c r="J1042">
        <f>IF($A1042="","",IF($D1042="V01",Cadrage!$C$32,IF($D1042="V02",Cadrage!$D$32,Cadrage!$E$32)))</f>
        <v/>
      </c>
      <c r="K1042">
        <f>IF($A1042="","",IF($D1042="V01",Cadrage!$C$33,IF($D1042="V02",Cadrage!$D$33,Cadrage!$E$33)))</f>
        <v/>
      </c>
      <c r="L1042">
        <f>IF($A1042="","",IF($D1042="V01",Cadrage!$C$34,IF($D1042="V02",Cadrage!$D$34,Cadrage!$E$34)))</f>
        <v/>
      </c>
      <c r="M1042">
        <f>IF($A1042="","",IF($D1042="V01",Cadrage!$C$35,IF($D1042="V02",Cadrage!$D$35,Cadrage!$E$35)))</f>
        <v/>
      </c>
      <c r="N1042">
        <f>IF($A1042="","",IF($D1042="V01",$R$2,IF($D1042="V02",$R$3,$R$4)))</f>
        <v/>
      </c>
      <c r="O1042">
        <f>IF($A1042="","",IF(OR($B1042="7062",$B1042="706",$B1042="708"),$N1042,IF($B1042="6231",1+$G1042,IF($B1042="6236",1+$H1042,IF(OR($B1042="621",$B1042="604",$B1042="6063"),$N1042*(1-$L1042),IF(OR($B1042="6411",$B1042="6413",$B1042="6414",$B1042="645"),(1+$J1042)*(1+$K1042),IF(OR($B1042="613",$B1042="615",$B1042="616",$B1042="6226",$B1042="625",$B1042="626",$B1042="6281"),(1+$I1042)*(1-$L1042)*(1+$M1042),IF(OR($B1042="6331",$B1042="63511",$B1042="6333"),(1+$I1042)*(1-$L1042),IF($B1042="6811",1+$I1042,1)))))))))</f>
        <v/>
      </c>
      <c r="P1042">
        <f>IF($A1042="","",IF($E1042=1,$F1042*$O1042,PNL!G1042))</f>
        <v/>
      </c>
      <c r="T1042">
        <f>IF($A1042="","",IF($E1042=1,IF(OR($B1042="7062",$B1042="706",$B1042="708"),$P1042,IF(AND(LEFT($B1042,1)="6",$B1042&lt;&gt;"6811"),-$P1042,0)),0))</f>
        <v/>
      </c>
    </row>
    <row r="1043">
      <c r="A1043">
        <f>IF(PNL!A1043="","",PNL!A1043)</f>
        <v/>
      </c>
      <c r="B1043">
        <f>IF(PNL!B1043="","",PNL!B1043)</f>
        <v/>
      </c>
      <c r="C1043">
        <f>IF(PNL!C1043="","",PNL!C1043)</f>
        <v/>
      </c>
      <c r="D1043">
        <f>IF(PNL!D1043="","",PNL!D1043)</f>
        <v/>
      </c>
      <c r="E1043">
        <f>IF($A1043="","",IF(AND($C1043="2027",OR($D1043="V01",$D1043="V02",$D1043="V03")),1,0))</f>
        <v/>
      </c>
      <c r="F1043">
        <f>IF($A1043="","",IF($E1043=1,SUMIFS(Comptabilité!$F$1:$F$675,Comptabilité!$A$1:$A$675,$A1043,Comptabilité!$B$1:$B$675,$B1043,Comptabilité!$C$1:$C$675,"2026"),0))</f>
        <v/>
      </c>
      <c r="G1043">
        <f>IF($A1043="","",IF($D1043="V01",Cadrage!$C$22,IF($D1043="V02",Cadrage!$D$22,Cadrage!$E$22)))</f>
        <v/>
      </c>
      <c r="H1043">
        <f>IF($A1043="","",IF($D1043="V01",Cadrage!$C$23,IF($D1043="V02",Cadrage!$D$23,Cadrage!$E$23)))</f>
        <v/>
      </c>
      <c r="I1043">
        <f>IF($A1043="","",IF($D1043="V01",Cadrage!$C$31,IF($D1043="V02",Cadrage!$D$31,Cadrage!$E$31)))</f>
        <v/>
      </c>
      <c r="J1043">
        <f>IF($A1043="","",IF($D1043="V01",Cadrage!$C$32,IF($D1043="V02",Cadrage!$D$32,Cadrage!$E$32)))</f>
        <v/>
      </c>
      <c r="K1043">
        <f>IF($A1043="","",IF($D1043="V01",Cadrage!$C$33,IF($D1043="V02",Cadrage!$D$33,Cadrage!$E$33)))</f>
        <v/>
      </c>
      <c r="L1043">
        <f>IF($A1043="","",IF($D1043="V01",Cadrage!$C$34,IF($D1043="V02",Cadrage!$D$34,Cadrage!$E$34)))</f>
        <v/>
      </c>
      <c r="M1043">
        <f>IF($A1043="","",IF($D1043="V01",Cadrage!$C$35,IF($D1043="V02",Cadrage!$D$35,Cadrage!$E$35)))</f>
        <v/>
      </c>
      <c r="N1043">
        <f>IF($A1043="","",IF($D1043="V01",$R$2,IF($D1043="V02",$R$3,$R$4)))</f>
        <v/>
      </c>
      <c r="O1043">
        <f>IF($A1043="","",IF(OR($B1043="7062",$B1043="706",$B1043="708"),$N1043,IF($B1043="6231",1+$G1043,IF($B1043="6236",1+$H1043,IF(OR($B1043="621",$B1043="604",$B1043="6063"),$N1043*(1-$L1043),IF(OR($B1043="6411",$B1043="6413",$B1043="6414",$B1043="645"),(1+$J1043)*(1+$K1043),IF(OR($B1043="613",$B1043="615",$B1043="616",$B1043="6226",$B1043="625",$B1043="626",$B1043="6281"),(1+$I1043)*(1-$L1043)*(1+$M1043),IF(OR($B1043="6331",$B1043="63511",$B1043="6333"),(1+$I1043)*(1-$L1043),IF($B1043="6811",1+$I1043,1)))))))))</f>
        <v/>
      </c>
      <c r="P1043">
        <f>IF($A1043="","",IF($E1043=1,$F1043*$O1043,PNL!G1043))</f>
        <v/>
      </c>
      <c r="T1043">
        <f>IF($A1043="","",IF($E1043=1,IF(OR($B1043="7062",$B1043="706",$B1043="708"),$P1043,IF(AND(LEFT($B1043,1)="6",$B1043&lt;&gt;"6811"),-$P1043,0)),0))</f>
        <v/>
      </c>
    </row>
    <row r="1044">
      <c r="A1044">
        <f>IF(PNL!A1044="","",PNL!A1044)</f>
        <v/>
      </c>
      <c r="B1044">
        <f>IF(PNL!B1044="","",PNL!B1044)</f>
        <v/>
      </c>
      <c r="C1044">
        <f>IF(PNL!C1044="","",PNL!C1044)</f>
        <v/>
      </c>
      <c r="D1044">
        <f>IF(PNL!D1044="","",PNL!D1044)</f>
        <v/>
      </c>
      <c r="E1044">
        <f>IF($A1044="","",IF(AND($C1044="2027",OR($D1044="V01",$D1044="V02",$D1044="V03")),1,0))</f>
        <v/>
      </c>
      <c r="F1044">
        <f>IF($A1044="","",IF($E1044=1,SUMIFS(Comptabilité!$F$1:$F$675,Comptabilité!$A$1:$A$675,$A1044,Comptabilité!$B$1:$B$675,$B1044,Comptabilité!$C$1:$C$675,"2026"),0))</f>
        <v/>
      </c>
      <c r="G1044">
        <f>IF($A1044="","",IF($D1044="V01",Cadrage!$C$22,IF($D1044="V02",Cadrage!$D$22,Cadrage!$E$22)))</f>
        <v/>
      </c>
      <c r="H1044">
        <f>IF($A1044="","",IF($D1044="V01",Cadrage!$C$23,IF($D1044="V02",Cadrage!$D$23,Cadrage!$E$23)))</f>
        <v/>
      </c>
      <c r="I1044">
        <f>IF($A1044="","",IF($D1044="V01",Cadrage!$C$31,IF($D1044="V02",Cadrage!$D$31,Cadrage!$E$31)))</f>
        <v/>
      </c>
      <c r="J1044">
        <f>IF($A1044="","",IF($D1044="V01",Cadrage!$C$32,IF($D1044="V02",Cadrage!$D$32,Cadrage!$E$32)))</f>
        <v/>
      </c>
      <c r="K1044">
        <f>IF($A1044="","",IF($D1044="V01",Cadrage!$C$33,IF($D1044="V02",Cadrage!$D$33,Cadrage!$E$33)))</f>
        <v/>
      </c>
      <c r="L1044">
        <f>IF($A1044="","",IF($D1044="V01",Cadrage!$C$34,IF($D1044="V02",Cadrage!$D$34,Cadrage!$E$34)))</f>
        <v/>
      </c>
      <c r="M1044">
        <f>IF($A1044="","",IF($D1044="V01",Cadrage!$C$35,IF($D1044="V02",Cadrage!$D$35,Cadrage!$E$35)))</f>
        <v/>
      </c>
      <c r="N1044">
        <f>IF($A1044="","",IF($D1044="V01",$R$2,IF($D1044="V02",$R$3,$R$4)))</f>
        <v/>
      </c>
      <c r="O1044">
        <f>IF($A1044="","",IF(OR($B1044="7062",$B1044="706",$B1044="708"),$N1044,IF($B1044="6231",1+$G1044,IF($B1044="6236",1+$H1044,IF(OR($B1044="621",$B1044="604",$B1044="6063"),$N1044*(1-$L1044),IF(OR($B1044="6411",$B1044="6413",$B1044="6414",$B1044="645"),(1+$J1044)*(1+$K1044),IF(OR($B1044="613",$B1044="615",$B1044="616",$B1044="6226",$B1044="625",$B1044="626",$B1044="6281"),(1+$I1044)*(1-$L1044)*(1+$M1044),IF(OR($B1044="6331",$B1044="63511",$B1044="6333"),(1+$I1044)*(1-$L1044),IF($B1044="6811",1+$I1044,1)))))))))</f>
        <v/>
      </c>
      <c r="P1044">
        <f>IF($A1044="","",IF($E1044=1,$F1044*$O1044,PNL!G1044))</f>
        <v/>
      </c>
      <c r="T1044">
        <f>IF($A1044="","",IF($E1044=1,IF(OR($B1044="7062",$B1044="706",$B1044="708"),$P1044,IF(AND(LEFT($B1044,1)="6",$B1044&lt;&gt;"6811"),-$P1044,0)),0))</f>
        <v/>
      </c>
    </row>
    <row r="1045">
      <c r="A1045">
        <f>IF(PNL!A1045="","",PNL!A1045)</f>
        <v/>
      </c>
      <c r="B1045">
        <f>IF(PNL!B1045="","",PNL!B1045)</f>
        <v/>
      </c>
      <c r="C1045">
        <f>IF(PNL!C1045="","",PNL!C1045)</f>
        <v/>
      </c>
      <c r="D1045">
        <f>IF(PNL!D1045="","",PNL!D1045)</f>
        <v/>
      </c>
      <c r="E1045">
        <f>IF($A1045="","",IF(AND($C1045="2027",OR($D1045="V01",$D1045="V02",$D1045="V03")),1,0))</f>
        <v/>
      </c>
      <c r="F1045">
        <f>IF($A1045="","",IF($E1045=1,SUMIFS(Comptabilité!$F$1:$F$675,Comptabilité!$A$1:$A$675,$A1045,Comptabilité!$B$1:$B$675,$B1045,Comptabilité!$C$1:$C$675,"2026"),0))</f>
        <v/>
      </c>
      <c r="G1045">
        <f>IF($A1045="","",IF($D1045="V01",Cadrage!$C$22,IF($D1045="V02",Cadrage!$D$22,Cadrage!$E$22)))</f>
        <v/>
      </c>
      <c r="H1045">
        <f>IF($A1045="","",IF($D1045="V01",Cadrage!$C$23,IF($D1045="V02",Cadrage!$D$23,Cadrage!$E$23)))</f>
        <v/>
      </c>
      <c r="I1045">
        <f>IF($A1045="","",IF($D1045="V01",Cadrage!$C$31,IF($D1045="V02",Cadrage!$D$31,Cadrage!$E$31)))</f>
        <v/>
      </c>
      <c r="J1045">
        <f>IF($A1045="","",IF($D1045="V01",Cadrage!$C$32,IF($D1045="V02",Cadrage!$D$32,Cadrage!$E$32)))</f>
        <v/>
      </c>
      <c r="K1045">
        <f>IF($A1045="","",IF($D1045="V01",Cadrage!$C$33,IF($D1045="V02",Cadrage!$D$33,Cadrage!$E$33)))</f>
        <v/>
      </c>
      <c r="L1045">
        <f>IF($A1045="","",IF($D1045="V01",Cadrage!$C$34,IF($D1045="V02",Cadrage!$D$34,Cadrage!$E$34)))</f>
        <v/>
      </c>
      <c r="M1045">
        <f>IF($A1045="","",IF($D1045="V01",Cadrage!$C$35,IF($D1045="V02",Cadrage!$D$35,Cadrage!$E$35)))</f>
        <v/>
      </c>
      <c r="N1045">
        <f>IF($A1045="","",IF($D1045="V01",$R$2,IF($D1045="V02",$R$3,$R$4)))</f>
        <v/>
      </c>
      <c r="O1045">
        <f>IF($A1045="","",IF(OR($B1045="7062",$B1045="706",$B1045="708"),$N1045,IF($B1045="6231",1+$G1045,IF($B1045="6236",1+$H1045,IF(OR($B1045="621",$B1045="604",$B1045="6063"),$N1045*(1-$L1045),IF(OR($B1045="6411",$B1045="6413",$B1045="6414",$B1045="645"),(1+$J1045)*(1+$K1045),IF(OR($B1045="613",$B1045="615",$B1045="616",$B1045="6226",$B1045="625",$B1045="626",$B1045="6281"),(1+$I1045)*(1-$L1045)*(1+$M1045),IF(OR($B1045="6331",$B1045="63511",$B1045="6333"),(1+$I1045)*(1-$L1045),IF($B1045="6811",1+$I1045,1)))))))))</f>
        <v/>
      </c>
      <c r="P1045">
        <f>IF($A1045="","",IF($E1045=1,$F1045*$O1045,PNL!G1045))</f>
        <v/>
      </c>
      <c r="T1045">
        <f>IF($A1045="","",IF($E1045=1,IF(OR($B1045="7062",$B1045="706",$B1045="708"),$P1045,IF(AND(LEFT($B1045,1)="6",$B1045&lt;&gt;"6811"),-$P1045,0)),0))</f>
        <v/>
      </c>
    </row>
    <row r="1046">
      <c r="A1046">
        <f>IF(PNL!A1046="","",PNL!A1046)</f>
        <v/>
      </c>
      <c r="B1046">
        <f>IF(PNL!B1046="","",PNL!B1046)</f>
        <v/>
      </c>
      <c r="C1046">
        <f>IF(PNL!C1046="","",PNL!C1046)</f>
        <v/>
      </c>
      <c r="D1046">
        <f>IF(PNL!D1046="","",PNL!D1046)</f>
        <v/>
      </c>
      <c r="E1046">
        <f>IF($A1046="","",IF(AND($C1046="2027",OR($D1046="V01",$D1046="V02",$D1046="V03")),1,0))</f>
        <v/>
      </c>
      <c r="F1046">
        <f>IF($A1046="","",IF($E1046=1,SUMIFS(Comptabilité!$F$1:$F$675,Comptabilité!$A$1:$A$675,$A1046,Comptabilité!$B$1:$B$675,$B1046,Comptabilité!$C$1:$C$675,"2026"),0))</f>
        <v/>
      </c>
      <c r="G1046">
        <f>IF($A1046="","",IF($D1046="V01",Cadrage!$C$22,IF($D1046="V02",Cadrage!$D$22,Cadrage!$E$22)))</f>
        <v/>
      </c>
      <c r="H1046">
        <f>IF($A1046="","",IF($D1046="V01",Cadrage!$C$23,IF($D1046="V02",Cadrage!$D$23,Cadrage!$E$23)))</f>
        <v/>
      </c>
      <c r="I1046">
        <f>IF($A1046="","",IF($D1046="V01",Cadrage!$C$31,IF($D1046="V02",Cadrage!$D$31,Cadrage!$E$31)))</f>
        <v/>
      </c>
      <c r="J1046">
        <f>IF($A1046="","",IF($D1046="V01",Cadrage!$C$32,IF($D1046="V02",Cadrage!$D$32,Cadrage!$E$32)))</f>
        <v/>
      </c>
      <c r="K1046">
        <f>IF($A1046="","",IF($D1046="V01",Cadrage!$C$33,IF($D1046="V02",Cadrage!$D$33,Cadrage!$E$33)))</f>
        <v/>
      </c>
      <c r="L1046">
        <f>IF($A1046="","",IF($D1046="V01",Cadrage!$C$34,IF($D1046="V02",Cadrage!$D$34,Cadrage!$E$34)))</f>
        <v/>
      </c>
      <c r="M1046">
        <f>IF($A1046="","",IF($D1046="V01",Cadrage!$C$35,IF($D1046="V02",Cadrage!$D$35,Cadrage!$E$35)))</f>
        <v/>
      </c>
      <c r="N1046">
        <f>IF($A1046="","",IF($D1046="V01",$R$2,IF($D1046="V02",$R$3,$R$4)))</f>
        <v/>
      </c>
      <c r="O1046">
        <f>IF($A1046="","",IF(OR($B1046="7062",$B1046="706",$B1046="708"),$N1046,IF($B1046="6231",1+$G1046,IF($B1046="6236",1+$H1046,IF(OR($B1046="621",$B1046="604",$B1046="6063"),$N1046*(1-$L1046),IF(OR($B1046="6411",$B1046="6413",$B1046="6414",$B1046="645"),(1+$J1046)*(1+$K1046),IF(OR($B1046="613",$B1046="615",$B1046="616",$B1046="6226",$B1046="625",$B1046="626",$B1046="6281"),(1+$I1046)*(1-$L1046)*(1+$M1046),IF(OR($B1046="6331",$B1046="63511",$B1046="6333"),(1+$I1046)*(1-$L1046),IF($B1046="6811",1+$I1046,1)))))))))</f>
        <v/>
      </c>
      <c r="P1046">
        <f>IF($A1046="","",IF($E1046=1,$F1046*$O1046,PNL!G1046))</f>
        <v/>
      </c>
      <c r="T1046">
        <f>IF($A1046="","",IF($E1046=1,IF(OR($B1046="7062",$B1046="706",$B1046="708"),$P1046,IF(AND(LEFT($B1046,1)="6",$B1046&lt;&gt;"6811"),-$P1046,0)),0))</f>
        <v/>
      </c>
    </row>
    <row r="1047">
      <c r="A1047">
        <f>IF(PNL!A1047="","",PNL!A1047)</f>
        <v/>
      </c>
      <c r="B1047">
        <f>IF(PNL!B1047="","",PNL!B1047)</f>
        <v/>
      </c>
      <c r="C1047">
        <f>IF(PNL!C1047="","",PNL!C1047)</f>
        <v/>
      </c>
      <c r="D1047">
        <f>IF(PNL!D1047="","",PNL!D1047)</f>
        <v/>
      </c>
      <c r="E1047">
        <f>IF($A1047="","",IF(AND($C1047="2027",OR($D1047="V01",$D1047="V02",$D1047="V03")),1,0))</f>
        <v/>
      </c>
      <c r="F1047">
        <f>IF($A1047="","",IF($E1047=1,SUMIFS(Comptabilité!$F$1:$F$675,Comptabilité!$A$1:$A$675,$A1047,Comptabilité!$B$1:$B$675,$B1047,Comptabilité!$C$1:$C$675,"2026"),0))</f>
        <v/>
      </c>
      <c r="G1047">
        <f>IF($A1047="","",IF($D1047="V01",Cadrage!$C$22,IF($D1047="V02",Cadrage!$D$22,Cadrage!$E$22)))</f>
        <v/>
      </c>
      <c r="H1047">
        <f>IF($A1047="","",IF($D1047="V01",Cadrage!$C$23,IF($D1047="V02",Cadrage!$D$23,Cadrage!$E$23)))</f>
        <v/>
      </c>
      <c r="I1047">
        <f>IF($A1047="","",IF($D1047="V01",Cadrage!$C$31,IF($D1047="V02",Cadrage!$D$31,Cadrage!$E$31)))</f>
        <v/>
      </c>
      <c r="J1047">
        <f>IF($A1047="","",IF($D1047="V01",Cadrage!$C$32,IF($D1047="V02",Cadrage!$D$32,Cadrage!$E$32)))</f>
        <v/>
      </c>
      <c r="K1047">
        <f>IF($A1047="","",IF($D1047="V01",Cadrage!$C$33,IF($D1047="V02",Cadrage!$D$33,Cadrage!$E$33)))</f>
        <v/>
      </c>
      <c r="L1047">
        <f>IF($A1047="","",IF($D1047="V01",Cadrage!$C$34,IF($D1047="V02",Cadrage!$D$34,Cadrage!$E$34)))</f>
        <v/>
      </c>
      <c r="M1047">
        <f>IF($A1047="","",IF($D1047="V01",Cadrage!$C$35,IF($D1047="V02",Cadrage!$D$35,Cadrage!$E$35)))</f>
        <v/>
      </c>
      <c r="N1047">
        <f>IF($A1047="","",IF($D1047="V01",$R$2,IF($D1047="V02",$R$3,$R$4)))</f>
        <v/>
      </c>
      <c r="O1047">
        <f>IF($A1047="","",IF(OR($B1047="7062",$B1047="706",$B1047="708"),$N1047,IF($B1047="6231",1+$G1047,IF($B1047="6236",1+$H1047,IF(OR($B1047="621",$B1047="604",$B1047="6063"),$N1047*(1-$L1047),IF(OR($B1047="6411",$B1047="6413",$B1047="6414",$B1047="645"),(1+$J1047)*(1+$K1047),IF(OR($B1047="613",$B1047="615",$B1047="616",$B1047="6226",$B1047="625",$B1047="626",$B1047="6281"),(1+$I1047)*(1-$L1047)*(1+$M1047),IF(OR($B1047="6331",$B1047="63511",$B1047="6333"),(1+$I1047)*(1-$L1047),IF($B1047="6811",1+$I1047,1)))))))))</f>
        <v/>
      </c>
      <c r="P1047">
        <f>IF($A1047="","",IF($E1047=1,$F1047*$O1047,PNL!G1047))</f>
        <v/>
      </c>
      <c r="T1047">
        <f>IF($A1047="","",IF($E1047=1,IF(OR($B1047="7062",$B1047="706",$B1047="708"),$P1047,IF(AND(LEFT($B1047,1)="6",$B1047&lt;&gt;"6811"),-$P1047,0)),0))</f>
        <v/>
      </c>
    </row>
    <row r="1048">
      <c r="A1048">
        <f>IF(PNL!A1048="","",PNL!A1048)</f>
        <v/>
      </c>
      <c r="B1048">
        <f>IF(PNL!B1048="","",PNL!B1048)</f>
        <v/>
      </c>
      <c r="C1048">
        <f>IF(PNL!C1048="","",PNL!C1048)</f>
        <v/>
      </c>
      <c r="D1048">
        <f>IF(PNL!D1048="","",PNL!D1048)</f>
        <v/>
      </c>
      <c r="E1048">
        <f>IF($A1048="","",IF(AND($C1048="2027",OR($D1048="V01",$D1048="V02",$D1048="V03")),1,0))</f>
        <v/>
      </c>
      <c r="F1048">
        <f>IF($A1048="","",IF($E1048=1,SUMIFS(Comptabilité!$F$1:$F$675,Comptabilité!$A$1:$A$675,$A1048,Comptabilité!$B$1:$B$675,$B1048,Comptabilité!$C$1:$C$675,"2026"),0))</f>
        <v/>
      </c>
      <c r="G1048">
        <f>IF($A1048="","",IF($D1048="V01",Cadrage!$C$22,IF($D1048="V02",Cadrage!$D$22,Cadrage!$E$22)))</f>
        <v/>
      </c>
      <c r="H1048">
        <f>IF($A1048="","",IF($D1048="V01",Cadrage!$C$23,IF($D1048="V02",Cadrage!$D$23,Cadrage!$E$23)))</f>
        <v/>
      </c>
      <c r="I1048">
        <f>IF($A1048="","",IF($D1048="V01",Cadrage!$C$31,IF($D1048="V02",Cadrage!$D$31,Cadrage!$E$31)))</f>
        <v/>
      </c>
      <c r="J1048">
        <f>IF($A1048="","",IF($D1048="V01",Cadrage!$C$32,IF($D1048="V02",Cadrage!$D$32,Cadrage!$E$32)))</f>
        <v/>
      </c>
      <c r="K1048">
        <f>IF($A1048="","",IF($D1048="V01",Cadrage!$C$33,IF($D1048="V02",Cadrage!$D$33,Cadrage!$E$33)))</f>
        <v/>
      </c>
      <c r="L1048">
        <f>IF($A1048="","",IF($D1048="V01",Cadrage!$C$34,IF($D1048="V02",Cadrage!$D$34,Cadrage!$E$34)))</f>
        <v/>
      </c>
      <c r="M1048">
        <f>IF($A1048="","",IF($D1048="V01",Cadrage!$C$35,IF($D1048="V02",Cadrage!$D$35,Cadrage!$E$35)))</f>
        <v/>
      </c>
      <c r="N1048">
        <f>IF($A1048="","",IF($D1048="V01",$R$2,IF($D1048="V02",$R$3,$R$4)))</f>
        <v/>
      </c>
      <c r="O1048">
        <f>IF($A1048="","",IF(OR($B1048="7062",$B1048="706",$B1048="708"),$N1048,IF($B1048="6231",1+$G1048,IF($B1048="6236",1+$H1048,IF(OR($B1048="621",$B1048="604",$B1048="6063"),$N1048*(1-$L1048),IF(OR($B1048="6411",$B1048="6413",$B1048="6414",$B1048="645"),(1+$J1048)*(1+$K1048),IF(OR($B1048="613",$B1048="615",$B1048="616",$B1048="6226",$B1048="625",$B1048="626",$B1048="6281"),(1+$I1048)*(1-$L1048)*(1+$M1048),IF(OR($B1048="6331",$B1048="63511",$B1048="6333"),(1+$I1048)*(1-$L1048),IF($B1048="6811",1+$I1048,1)))))))))</f>
        <v/>
      </c>
      <c r="P1048">
        <f>IF($A1048="","",IF($E1048=1,$F1048*$O1048,PNL!G1048))</f>
        <v/>
      </c>
      <c r="T1048">
        <f>IF($A1048="","",IF($E1048=1,IF(OR($B1048="7062",$B1048="706",$B1048="708"),$P1048,IF(AND(LEFT($B1048,1)="6",$B1048&lt;&gt;"6811"),-$P1048,0)),0))</f>
        <v/>
      </c>
    </row>
    <row r="1049">
      <c r="A1049">
        <f>IF(PNL!A1049="","",PNL!A1049)</f>
        <v/>
      </c>
      <c r="B1049">
        <f>IF(PNL!B1049="","",PNL!B1049)</f>
        <v/>
      </c>
      <c r="C1049">
        <f>IF(PNL!C1049="","",PNL!C1049)</f>
        <v/>
      </c>
      <c r="D1049">
        <f>IF(PNL!D1049="","",PNL!D1049)</f>
        <v/>
      </c>
      <c r="E1049">
        <f>IF($A1049="","",IF(AND($C1049="2027",OR($D1049="V01",$D1049="V02",$D1049="V03")),1,0))</f>
        <v/>
      </c>
      <c r="F1049">
        <f>IF($A1049="","",IF($E1049=1,SUMIFS(Comptabilité!$F$1:$F$675,Comptabilité!$A$1:$A$675,$A1049,Comptabilité!$B$1:$B$675,$B1049,Comptabilité!$C$1:$C$675,"2026"),0))</f>
        <v/>
      </c>
      <c r="G1049">
        <f>IF($A1049="","",IF($D1049="V01",Cadrage!$C$22,IF($D1049="V02",Cadrage!$D$22,Cadrage!$E$22)))</f>
        <v/>
      </c>
      <c r="H1049">
        <f>IF($A1049="","",IF($D1049="V01",Cadrage!$C$23,IF($D1049="V02",Cadrage!$D$23,Cadrage!$E$23)))</f>
        <v/>
      </c>
      <c r="I1049">
        <f>IF($A1049="","",IF($D1049="V01",Cadrage!$C$31,IF($D1049="V02",Cadrage!$D$31,Cadrage!$E$31)))</f>
        <v/>
      </c>
      <c r="J1049">
        <f>IF($A1049="","",IF($D1049="V01",Cadrage!$C$32,IF($D1049="V02",Cadrage!$D$32,Cadrage!$E$32)))</f>
        <v/>
      </c>
      <c r="K1049">
        <f>IF($A1049="","",IF($D1049="V01",Cadrage!$C$33,IF($D1049="V02",Cadrage!$D$33,Cadrage!$E$33)))</f>
        <v/>
      </c>
      <c r="L1049">
        <f>IF($A1049="","",IF($D1049="V01",Cadrage!$C$34,IF($D1049="V02",Cadrage!$D$34,Cadrage!$E$34)))</f>
        <v/>
      </c>
      <c r="M1049">
        <f>IF($A1049="","",IF($D1049="V01",Cadrage!$C$35,IF($D1049="V02",Cadrage!$D$35,Cadrage!$E$35)))</f>
        <v/>
      </c>
      <c r="N1049">
        <f>IF($A1049="","",IF($D1049="V01",$R$2,IF($D1049="V02",$R$3,$R$4)))</f>
        <v/>
      </c>
      <c r="O1049">
        <f>IF($A1049="","",IF(OR($B1049="7062",$B1049="706",$B1049="708"),$N1049,IF($B1049="6231",1+$G1049,IF($B1049="6236",1+$H1049,IF(OR($B1049="621",$B1049="604",$B1049="6063"),$N1049*(1-$L1049),IF(OR($B1049="6411",$B1049="6413",$B1049="6414",$B1049="645"),(1+$J1049)*(1+$K1049),IF(OR($B1049="613",$B1049="615",$B1049="616",$B1049="6226",$B1049="625",$B1049="626",$B1049="6281"),(1+$I1049)*(1-$L1049)*(1+$M1049),IF(OR($B1049="6331",$B1049="63511",$B1049="6333"),(1+$I1049)*(1-$L1049),IF($B1049="6811",1+$I1049,1)))))))))</f>
        <v/>
      </c>
      <c r="P1049">
        <f>IF($A1049="","",IF($E1049=1,$F1049*$O1049,PNL!G1049))</f>
        <v/>
      </c>
      <c r="T1049">
        <f>IF($A1049="","",IF($E1049=1,IF(OR($B1049="7062",$B1049="706",$B1049="708"),$P1049,IF(AND(LEFT($B1049,1)="6",$B1049&lt;&gt;"6811"),-$P1049,0)),0))</f>
        <v/>
      </c>
    </row>
    <row r="1050">
      <c r="A1050">
        <f>IF(PNL!A1050="","",PNL!A1050)</f>
        <v/>
      </c>
      <c r="B1050">
        <f>IF(PNL!B1050="","",PNL!B1050)</f>
        <v/>
      </c>
      <c r="C1050">
        <f>IF(PNL!C1050="","",PNL!C1050)</f>
        <v/>
      </c>
      <c r="D1050">
        <f>IF(PNL!D1050="","",PNL!D1050)</f>
        <v/>
      </c>
      <c r="E1050">
        <f>IF($A1050="","",IF(AND($C1050="2027",OR($D1050="V01",$D1050="V02",$D1050="V03")),1,0))</f>
        <v/>
      </c>
      <c r="F1050">
        <f>IF($A1050="","",IF($E1050=1,SUMIFS(Comptabilité!$F$1:$F$675,Comptabilité!$A$1:$A$675,$A1050,Comptabilité!$B$1:$B$675,$B1050,Comptabilité!$C$1:$C$675,"2026"),0))</f>
        <v/>
      </c>
      <c r="G1050">
        <f>IF($A1050="","",IF($D1050="V01",Cadrage!$C$22,IF($D1050="V02",Cadrage!$D$22,Cadrage!$E$22)))</f>
        <v/>
      </c>
      <c r="H1050">
        <f>IF($A1050="","",IF($D1050="V01",Cadrage!$C$23,IF($D1050="V02",Cadrage!$D$23,Cadrage!$E$23)))</f>
        <v/>
      </c>
      <c r="I1050">
        <f>IF($A1050="","",IF($D1050="V01",Cadrage!$C$31,IF($D1050="V02",Cadrage!$D$31,Cadrage!$E$31)))</f>
        <v/>
      </c>
      <c r="J1050">
        <f>IF($A1050="","",IF($D1050="V01",Cadrage!$C$32,IF($D1050="V02",Cadrage!$D$32,Cadrage!$E$32)))</f>
        <v/>
      </c>
      <c r="K1050">
        <f>IF($A1050="","",IF($D1050="V01",Cadrage!$C$33,IF($D1050="V02",Cadrage!$D$33,Cadrage!$E$33)))</f>
        <v/>
      </c>
      <c r="L1050">
        <f>IF($A1050="","",IF($D1050="V01",Cadrage!$C$34,IF($D1050="V02",Cadrage!$D$34,Cadrage!$E$34)))</f>
        <v/>
      </c>
      <c r="M1050">
        <f>IF($A1050="","",IF($D1050="V01",Cadrage!$C$35,IF($D1050="V02",Cadrage!$D$35,Cadrage!$E$35)))</f>
        <v/>
      </c>
      <c r="N1050">
        <f>IF($A1050="","",IF($D1050="V01",$R$2,IF($D1050="V02",$R$3,$R$4)))</f>
        <v/>
      </c>
      <c r="O1050">
        <f>IF($A1050="","",IF(OR($B1050="7062",$B1050="706",$B1050="708"),$N1050,IF($B1050="6231",1+$G1050,IF($B1050="6236",1+$H1050,IF(OR($B1050="621",$B1050="604",$B1050="6063"),$N1050*(1-$L1050),IF(OR($B1050="6411",$B1050="6413",$B1050="6414",$B1050="645"),(1+$J1050)*(1+$K1050),IF(OR($B1050="613",$B1050="615",$B1050="616",$B1050="6226",$B1050="625",$B1050="626",$B1050="6281"),(1+$I1050)*(1-$L1050)*(1+$M1050),IF(OR($B1050="6331",$B1050="63511",$B1050="6333"),(1+$I1050)*(1-$L1050),IF($B1050="6811",1+$I1050,1)))))))))</f>
        <v/>
      </c>
      <c r="P1050">
        <f>IF($A1050="","",IF($E1050=1,$F1050*$O1050,PNL!G1050))</f>
        <v/>
      </c>
      <c r="T1050">
        <f>IF($A1050="","",IF($E1050=1,IF(OR($B1050="7062",$B1050="706",$B1050="708"),$P1050,IF(AND(LEFT($B1050,1)="6",$B1050&lt;&gt;"6811"),-$P1050,0)),0))</f>
        <v/>
      </c>
    </row>
    <row r="1051">
      <c r="A1051">
        <f>IF(PNL!A1051="","",PNL!A1051)</f>
        <v/>
      </c>
      <c r="B1051">
        <f>IF(PNL!B1051="","",PNL!B1051)</f>
        <v/>
      </c>
      <c r="C1051">
        <f>IF(PNL!C1051="","",PNL!C1051)</f>
        <v/>
      </c>
      <c r="D1051">
        <f>IF(PNL!D1051="","",PNL!D1051)</f>
        <v/>
      </c>
      <c r="E1051">
        <f>IF($A1051="","",IF(AND($C1051="2027",OR($D1051="V01",$D1051="V02",$D1051="V03")),1,0))</f>
        <v/>
      </c>
      <c r="F1051">
        <f>IF($A1051="","",IF($E1051=1,SUMIFS(Comptabilité!$F$1:$F$675,Comptabilité!$A$1:$A$675,$A1051,Comptabilité!$B$1:$B$675,$B1051,Comptabilité!$C$1:$C$675,"2026"),0))</f>
        <v/>
      </c>
      <c r="G1051">
        <f>IF($A1051="","",IF($D1051="V01",Cadrage!$C$22,IF($D1051="V02",Cadrage!$D$22,Cadrage!$E$22)))</f>
        <v/>
      </c>
      <c r="H1051">
        <f>IF($A1051="","",IF($D1051="V01",Cadrage!$C$23,IF($D1051="V02",Cadrage!$D$23,Cadrage!$E$23)))</f>
        <v/>
      </c>
      <c r="I1051">
        <f>IF($A1051="","",IF($D1051="V01",Cadrage!$C$31,IF($D1051="V02",Cadrage!$D$31,Cadrage!$E$31)))</f>
        <v/>
      </c>
      <c r="J1051">
        <f>IF($A1051="","",IF($D1051="V01",Cadrage!$C$32,IF($D1051="V02",Cadrage!$D$32,Cadrage!$E$32)))</f>
        <v/>
      </c>
      <c r="K1051">
        <f>IF($A1051="","",IF($D1051="V01",Cadrage!$C$33,IF($D1051="V02",Cadrage!$D$33,Cadrage!$E$33)))</f>
        <v/>
      </c>
      <c r="L1051">
        <f>IF($A1051="","",IF($D1051="V01",Cadrage!$C$34,IF($D1051="V02",Cadrage!$D$34,Cadrage!$E$34)))</f>
        <v/>
      </c>
      <c r="M1051">
        <f>IF($A1051="","",IF($D1051="V01",Cadrage!$C$35,IF($D1051="V02",Cadrage!$D$35,Cadrage!$E$35)))</f>
        <v/>
      </c>
      <c r="N1051">
        <f>IF($A1051="","",IF($D1051="V01",$R$2,IF($D1051="V02",$R$3,$R$4)))</f>
        <v/>
      </c>
      <c r="O1051">
        <f>IF($A1051="","",IF(OR($B1051="7062",$B1051="706",$B1051="708"),$N1051,IF($B1051="6231",1+$G1051,IF($B1051="6236",1+$H1051,IF(OR($B1051="621",$B1051="604",$B1051="6063"),$N1051*(1-$L1051),IF(OR($B1051="6411",$B1051="6413",$B1051="6414",$B1051="645"),(1+$J1051)*(1+$K1051),IF(OR($B1051="613",$B1051="615",$B1051="616",$B1051="6226",$B1051="625",$B1051="626",$B1051="6281"),(1+$I1051)*(1-$L1051)*(1+$M1051),IF(OR($B1051="6331",$B1051="63511",$B1051="6333"),(1+$I1051)*(1-$L1051),IF($B1051="6811",1+$I1051,1)))))))))</f>
        <v/>
      </c>
      <c r="P1051">
        <f>IF($A1051="","",IF($E1051=1,$F1051*$O1051,PNL!G1051))</f>
        <v/>
      </c>
      <c r="T1051">
        <f>IF($A1051="","",IF($E1051=1,IF(OR($B1051="7062",$B1051="706",$B1051="708"),$P1051,IF(AND(LEFT($B1051,1)="6",$B1051&lt;&gt;"6811"),-$P1051,0)),0))</f>
        <v/>
      </c>
    </row>
    <row r="1052">
      <c r="A1052">
        <f>IF(PNL!A1052="","",PNL!A1052)</f>
        <v/>
      </c>
      <c r="B1052">
        <f>IF(PNL!B1052="","",PNL!B1052)</f>
        <v/>
      </c>
      <c r="C1052">
        <f>IF(PNL!C1052="","",PNL!C1052)</f>
        <v/>
      </c>
      <c r="D1052">
        <f>IF(PNL!D1052="","",PNL!D1052)</f>
        <v/>
      </c>
      <c r="E1052">
        <f>IF($A1052="","",IF(AND($C1052="2027",OR($D1052="V01",$D1052="V02",$D1052="V03")),1,0))</f>
        <v/>
      </c>
      <c r="F1052">
        <f>IF($A1052="","",IF($E1052=1,SUMIFS(Comptabilité!$F$1:$F$675,Comptabilité!$A$1:$A$675,$A1052,Comptabilité!$B$1:$B$675,$B1052,Comptabilité!$C$1:$C$675,"2026"),0))</f>
        <v/>
      </c>
      <c r="G1052">
        <f>IF($A1052="","",IF($D1052="V01",Cadrage!$C$22,IF($D1052="V02",Cadrage!$D$22,Cadrage!$E$22)))</f>
        <v/>
      </c>
      <c r="H1052">
        <f>IF($A1052="","",IF($D1052="V01",Cadrage!$C$23,IF($D1052="V02",Cadrage!$D$23,Cadrage!$E$23)))</f>
        <v/>
      </c>
      <c r="I1052">
        <f>IF($A1052="","",IF($D1052="V01",Cadrage!$C$31,IF($D1052="V02",Cadrage!$D$31,Cadrage!$E$31)))</f>
        <v/>
      </c>
      <c r="J1052">
        <f>IF($A1052="","",IF($D1052="V01",Cadrage!$C$32,IF($D1052="V02",Cadrage!$D$32,Cadrage!$E$32)))</f>
        <v/>
      </c>
      <c r="K1052">
        <f>IF($A1052="","",IF($D1052="V01",Cadrage!$C$33,IF($D1052="V02",Cadrage!$D$33,Cadrage!$E$33)))</f>
        <v/>
      </c>
      <c r="L1052">
        <f>IF($A1052="","",IF($D1052="V01",Cadrage!$C$34,IF($D1052="V02",Cadrage!$D$34,Cadrage!$E$34)))</f>
        <v/>
      </c>
      <c r="M1052">
        <f>IF($A1052="","",IF($D1052="V01",Cadrage!$C$35,IF($D1052="V02",Cadrage!$D$35,Cadrage!$E$35)))</f>
        <v/>
      </c>
      <c r="N1052">
        <f>IF($A1052="","",IF($D1052="V01",$R$2,IF($D1052="V02",$R$3,$R$4)))</f>
        <v/>
      </c>
      <c r="O1052">
        <f>IF($A1052="","",IF(OR($B1052="7062",$B1052="706",$B1052="708"),$N1052,IF($B1052="6231",1+$G1052,IF($B1052="6236",1+$H1052,IF(OR($B1052="621",$B1052="604",$B1052="6063"),$N1052*(1-$L1052),IF(OR($B1052="6411",$B1052="6413",$B1052="6414",$B1052="645"),(1+$J1052)*(1+$K1052),IF(OR($B1052="613",$B1052="615",$B1052="616",$B1052="6226",$B1052="625",$B1052="626",$B1052="6281"),(1+$I1052)*(1-$L1052)*(1+$M1052),IF(OR($B1052="6331",$B1052="63511",$B1052="6333"),(1+$I1052)*(1-$L1052),IF($B1052="6811",1+$I1052,1)))))))))</f>
        <v/>
      </c>
      <c r="P1052">
        <f>IF($A1052="","",IF($E1052=1,$F1052*$O1052,PNL!G1052))</f>
        <v/>
      </c>
      <c r="T1052">
        <f>IF($A1052="","",IF($E1052=1,IF(OR($B1052="7062",$B1052="706",$B1052="708"),$P1052,IF(AND(LEFT($B1052,1)="6",$B1052&lt;&gt;"6811"),-$P1052,0)),0))</f>
        <v/>
      </c>
    </row>
    <row r="1053">
      <c r="A1053">
        <f>IF(PNL!A1053="","",PNL!A1053)</f>
        <v/>
      </c>
      <c r="B1053">
        <f>IF(PNL!B1053="","",PNL!B1053)</f>
        <v/>
      </c>
      <c r="C1053">
        <f>IF(PNL!C1053="","",PNL!C1053)</f>
        <v/>
      </c>
      <c r="D1053">
        <f>IF(PNL!D1053="","",PNL!D1053)</f>
        <v/>
      </c>
      <c r="E1053">
        <f>IF($A1053="","",IF(AND($C1053="2027",OR($D1053="V01",$D1053="V02",$D1053="V03")),1,0))</f>
        <v/>
      </c>
      <c r="F1053">
        <f>IF($A1053="","",IF($E1053=1,SUMIFS(Comptabilité!$F$1:$F$675,Comptabilité!$A$1:$A$675,$A1053,Comptabilité!$B$1:$B$675,$B1053,Comptabilité!$C$1:$C$675,"2026"),0))</f>
        <v/>
      </c>
      <c r="G1053">
        <f>IF($A1053="","",IF($D1053="V01",Cadrage!$C$22,IF($D1053="V02",Cadrage!$D$22,Cadrage!$E$22)))</f>
        <v/>
      </c>
      <c r="H1053">
        <f>IF($A1053="","",IF($D1053="V01",Cadrage!$C$23,IF($D1053="V02",Cadrage!$D$23,Cadrage!$E$23)))</f>
        <v/>
      </c>
      <c r="I1053">
        <f>IF($A1053="","",IF($D1053="V01",Cadrage!$C$31,IF($D1053="V02",Cadrage!$D$31,Cadrage!$E$31)))</f>
        <v/>
      </c>
      <c r="J1053">
        <f>IF($A1053="","",IF($D1053="V01",Cadrage!$C$32,IF($D1053="V02",Cadrage!$D$32,Cadrage!$E$32)))</f>
        <v/>
      </c>
      <c r="K1053">
        <f>IF($A1053="","",IF($D1053="V01",Cadrage!$C$33,IF($D1053="V02",Cadrage!$D$33,Cadrage!$E$33)))</f>
        <v/>
      </c>
      <c r="L1053">
        <f>IF($A1053="","",IF($D1053="V01",Cadrage!$C$34,IF($D1053="V02",Cadrage!$D$34,Cadrage!$E$34)))</f>
        <v/>
      </c>
      <c r="M1053">
        <f>IF($A1053="","",IF($D1053="V01",Cadrage!$C$35,IF($D1053="V02",Cadrage!$D$35,Cadrage!$E$35)))</f>
        <v/>
      </c>
      <c r="N1053">
        <f>IF($A1053="","",IF($D1053="V01",$R$2,IF($D1053="V02",$R$3,$R$4)))</f>
        <v/>
      </c>
      <c r="O1053">
        <f>IF($A1053="","",IF(OR($B1053="7062",$B1053="706",$B1053="708"),$N1053,IF($B1053="6231",1+$G1053,IF($B1053="6236",1+$H1053,IF(OR($B1053="621",$B1053="604",$B1053="6063"),$N1053*(1-$L1053),IF(OR($B1053="6411",$B1053="6413",$B1053="6414",$B1053="645"),(1+$J1053)*(1+$K1053),IF(OR($B1053="613",$B1053="615",$B1053="616",$B1053="6226",$B1053="625",$B1053="626",$B1053="6281"),(1+$I1053)*(1-$L1053)*(1+$M1053),IF(OR($B1053="6331",$B1053="63511",$B1053="6333"),(1+$I1053)*(1-$L1053),IF($B1053="6811",1+$I1053,1)))))))))</f>
        <v/>
      </c>
      <c r="P1053">
        <f>IF($A1053="","",IF($E1053=1,$F1053*$O1053,PNL!G1053))</f>
        <v/>
      </c>
      <c r="T1053">
        <f>IF($A1053="","",IF($E1053=1,IF(OR($B1053="7062",$B1053="706",$B1053="708"),$P1053,IF(AND(LEFT($B1053,1)="6",$B1053&lt;&gt;"6811"),-$P1053,0)),0))</f>
        <v/>
      </c>
    </row>
    <row r="1054">
      <c r="A1054">
        <f>IF(PNL!A1054="","",PNL!A1054)</f>
        <v/>
      </c>
      <c r="B1054">
        <f>IF(PNL!B1054="","",PNL!B1054)</f>
        <v/>
      </c>
      <c r="C1054">
        <f>IF(PNL!C1054="","",PNL!C1054)</f>
        <v/>
      </c>
      <c r="D1054">
        <f>IF(PNL!D1054="","",PNL!D1054)</f>
        <v/>
      </c>
      <c r="E1054">
        <f>IF($A1054="","",IF(AND($C1054="2027",OR($D1054="V01",$D1054="V02",$D1054="V03")),1,0))</f>
        <v/>
      </c>
      <c r="F1054">
        <f>IF($A1054="","",IF($E1054=1,SUMIFS(Comptabilité!$F$1:$F$675,Comptabilité!$A$1:$A$675,$A1054,Comptabilité!$B$1:$B$675,$B1054,Comptabilité!$C$1:$C$675,"2026"),0))</f>
        <v/>
      </c>
      <c r="G1054">
        <f>IF($A1054="","",IF($D1054="V01",Cadrage!$C$22,IF($D1054="V02",Cadrage!$D$22,Cadrage!$E$22)))</f>
        <v/>
      </c>
      <c r="H1054">
        <f>IF($A1054="","",IF($D1054="V01",Cadrage!$C$23,IF($D1054="V02",Cadrage!$D$23,Cadrage!$E$23)))</f>
        <v/>
      </c>
      <c r="I1054">
        <f>IF($A1054="","",IF($D1054="V01",Cadrage!$C$31,IF($D1054="V02",Cadrage!$D$31,Cadrage!$E$31)))</f>
        <v/>
      </c>
      <c r="J1054">
        <f>IF($A1054="","",IF($D1054="V01",Cadrage!$C$32,IF($D1054="V02",Cadrage!$D$32,Cadrage!$E$32)))</f>
        <v/>
      </c>
      <c r="K1054">
        <f>IF($A1054="","",IF($D1054="V01",Cadrage!$C$33,IF($D1054="V02",Cadrage!$D$33,Cadrage!$E$33)))</f>
        <v/>
      </c>
      <c r="L1054">
        <f>IF($A1054="","",IF($D1054="V01",Cadrage!$C$34,IF($D1054="V02",Cadrage!$D$34,Cadrage!$E$34)))</f>
        <v/>
      </c>
      <c r="M1054">
        <f>IF($A1054="","",IF($D1054="V01",Cadrage!$C$35,IF($D1054="V02",Cadrage!$D$35,Cadrage!$E$35)))</f>
        <v/>
      </c>
      <c r="N1054">
        <f>IF($A1054="","",IF($D1054="V01",$R$2,IF($D1054="V02",$R$3,$R$4)))</f>
        <v/>
      </c>
      <c r="O1054">
        <f>IF($A1054="","",IF(OR($B1054="7062",$B1054="706",$B1054="708"),$N1054,IF($B1054="6231",1+$G1054,IF($B1054="6236",1+$H1054,IF(OR($B1054="621",$B1054="604",$B1054="6063"),$N1054*(1-$L1054),IF(OR($B1054="6411",$B1054="6413",$B1054="6414",$B1054="645"),(1+$J1054)*(1+$K1054),IF(OR($B1054="613",$B1054="615",$B1054="616",$B1054="6226",$B1054="625",$B1054="626",$B1054="6281"),(1+$I1054)*(1-$L1054)*(1+$M1054),IF(OR($B1054="6331",$B1054="63511",$B1054="6333"),(1+$I1054)*(1-$L1054),IF($B1054="6811",1+$I1054,1)))))))))</f>
        <v/>
      </c>
      <c r="P1054">
        <f>IF($A1054="","",IF($E1054=1,$F1054*$O1054,PNL!G1054))</f>
        <v/>
      </c>
      <c r="T1054">
        <f>IF($A1054="","",IF($E1054=1,IF(OR($B1054="7062",$B1054="706",$B1054="708"),$P1054,IF(AND(LEFT($B1054,1)="6",$B1054&lt;&gt;"6811"),-$P1054,0)),0))</f>
        <v/>
      </c>
    </row>
    <row r="1055">
      <c r="A1055">
        <f>IF(PNL!A1055="","",PNL!A1055)</f>
        <v/>
      </c>
      <c r="B1055">
        <f>IF(PNL!B1055="","",PNL!B1055)</f>
        <v/>
      </c>
      <c r="C1055">
        <f>IF(PNL!C1055="","",PNL!C1055)</f>
        <v/>
      </c>
      <c r="D1055">
        <f>IF(PNL!D1055="","",PNL!D1055)</f>
        <v/>
      </c>
      <c r="E1055">
        <f>IF($A1055="","",IF(AND($C1055="2027",OR($D1055="V01",$D1055="V02",$D1055="V03")),1,0))</f>
        <v/>
      </c>
      <c r="F1055">
        <f>IF($A1055="","",IF($E1055=1,SUMIFS(Comptabilité!$F$1:$F$675,Comptabilité!$A$1:$A$675,$A1055,Comptabilité!$B$1:$B$675,$B1055,Comptabilité!$C$1:$C$675,"2026"),0))</f>
        <v/>
      </c>
      <c r="G1055">
        <f>IF($A1055="","",IF($D1055="V01",Cadrage!$C$22,IF($D1055="V02",Cadrage!$D$22,Cadrage!$E$22)))</f>
        <v/>
      </c>
      <c r="H1055">
        <f>IF($A1055="","",IF($D1055="V01",Cadrage!$C$23,IF($D1055="V02",Cadrage!$D$23,Cadrage!$E$23)))</f>
        <v/>
      </c>
      <c r="I1055">
        <f>IF($A1055="","",IF($D1055="V01",Cadrage!$C$31,IF($D1055="V02",Cadrage!$D$31,Cadrage!$E$31)))</f>
        <v/>
      </c>
      <c r="J1055">
        <f>IF($A1055="","",IF($D1055="V01",Cadrage!$C$32,IF($D1055="V02",Cadrage!$D$32,Cadrage!$E$32)))</f>
        <v/>
      </c>
      <c r="K1055">
        <f>IF($A1055="","",IF($D1055="V01",Cadrage!$C$33,IF($D1055="V02",Cadrage!$D$33,Cadrage!$E$33)))</f>
        <v/>
      </c>
      <c r="L1055">
        <f>IF($A1055="","",IF($D1055="V01",Cadrage!$C$34,IF($D1055="V02",Cadrage!$D$34,Cadrage!$E$34)))</f>
        <v/>
      </c>
      <c r="M1055">
        <f>IF($A1055="","",IF($D1055="V01",Cadrage!$C$35,IF($D1055="V02",Cadrage!$D$35,Cadrage!$E$35)))</f>
        <v/>
      </c>
      <c r="N1055">
        <f>IF($A1055="","",IF($D1055="V01",$R$2,IF($D1055="V02",$R$3,$R$4)))</f>
        <v/>
      </c>
      <c r="O1055">
        <f>IF($A1055="","",IF(OR($B1055="7062",$B1055="706",$B1055="708"),$N1055,IF($B1055="6231",1+$G1055,IF($B1055="6236",1+$H1055,IF(OR($B1055="621",$B1055="604",$B1055="6063"),$N1055*(1-$L1055),IF(OR($B1055="6411",$B1055="6413",$B1055="6414",$B1055="645"),(1+$J1055)*(1+$K1055),IF(OR($B1055="613",$B1055="615",$B1055="616",$B1055="6226",$B1055="625",$B1055="626",$B1055="6281"),(1+$I1055)*(1-$L1055)*(1+$M1055),IF(OR($B1055="6331",$B1055="63511",$B1055="6333"),(1+$I1055)*(1-$L1055),IF($B1055="6811",1+$I1055,1)))))))))</f>
        <v/>
      </c>
      <c r="P1055">
        <f>IF($A1055="","",IF($E1055=1,$F1055*$O1055,PNL!G1055))</f>
        <v/>
      </c>
      <c r="T1055">
        <f>IF($A1055="","",IF($E1055=1,IF(OR($B1055="7062",$B1055="706",$B1055="708"),$P1055,IF(AND(LEFT($B1055,1)="6",$B1055&lt;&gt;"6811"),-$P1055,0)),0))</f>
        <v/>
      </c>
    </row>
    <row r="1056">
      <c r="A1056">
        <f>IF(PNL!A1056="","",PNL!A1056)</f>
        <v/>
      </c>
      <c r="B1056">
        <f>IF(PNL!B1056="","",PNL!B1056)</f>
        <v/>
      </c>
      <c r="C1056">
        <f>IF(PNL!C1056="","",PNL!C1056)</f>
        <v/>
      </c>
      <c r="D1056">
        <f>IF(PNL!D1056="","",PNL!D1056)</f>
        <v/>
      </c>
      <c r="E1056">
        <f>IF($A1056="","",IF(AND($C1056="2027",OR($D1056="V01",$D1056="V02",$D1056="V03")),1,0))</f>
        <v/>
      </c>
      <c r="F1056">
        <f>IF($A1056="","",IF($E1056=1,SUMIFS(Comptabilité!$F$1:$F$675,Comptabilité!$A$1:$A$675,$A1056,Comptabilité!$B$1:$B$675,$B1056,Comptabilité!$C$1:$C$675,"2026"),0))</f>
        <v/>
      </c>
      <c r="G1056">
        <f>IF($A1056="","",IF($D1056="V01",Cadrage!$C$22,IF($D1056="V02",Cadrage!$D$22,Cadrage!$E$22)))</f>
        <v/>
      </c>
      <c r="H1056">
        <f>IF($A1056="","",IF($D1056="V01",Cadrage!$C$23,IF($D1056="V02",Cadrage!$D$23,Cadrage!$E$23)))</f>
        <v/>
      </c>
      <c r="I1056">
        <f>IF($A1056="","",IF($D1056="V01",Cadrage!$C$31,IF($D1056="V02",Cadrage!$D$31,Cadrage!$E$31)))</f>
        <v/>
      </c>
      <c r="J1056">
        <f>IF($A1056="","",IF($D1056="V01",Cadrage!$C$32,IF($D1056="V02",Cadrage!$D$32,Cadrage!$E$32)))</f>
        <v/>
      </c>
      <c r="K1056">
        <f>IF($A1056="","",IF($D1056="V01",Cadrage!$C$33,IF($D1056="V02",Cadrage!$D$33,Cadrage!$E$33)))</f>
        <v/>
      </c>
      <c r="L1056">
        <f>IF($A1056="","",IF($D1056="V01",Cadrage!$C$34,IF($D1056="V02",Cadrage!$D$34,Cadrage!$E$34)))</f>
        <v/>
      </c>
      <c r="M1056">
        <f>IF($A1056="","",IF($D1056="V01",Cadrage!$C$35,IF($D1056="V02",Cadrage!$D$35,Cadrage!$E$35)))</f>
        <v/>
      </c>
      <c r="N1056">
        <f>IF($A1056="","",IF($D1056="V01",$R$2,IF($D1056="V02",$R$3,$R$4)))</f>
        <v/>
      </c>
      <c r="O1056">
        <f>IF($A1056="","",IF(OR($B1056="7062",$B1056="706",$B1056="708"),$N1056,IF($B1056="6231",1+$G1056,IF($B1056="6236",1+$H1056,IF(OR($B1056="621",$B1056="604",$B1056="6063"),$N1056*(1-$L1056),IF(OR($B1056="6411",$B1056="6413",$B1056="6414",$B1056="645"),(1+$J1056)*(1+$K1056),IF(OR($B1056="613",$B1056="615",$B1056="616",$B1056="6226",$B1056="625",$B1056="626",$B1056="6281"),(1+$I1056)*(1-$L1056)*(1+$M1056),IF(OR($B1056="6331",$B1056="63511",$B1056="6333"),(1+$I1056)*(1-$L1056),IF($B1056="6811",1+$I1056,1)))))))))</f>
        <v/>
      </c>
      <c r="P1056">
        <f>IF($A1056="","",IF($E1056=1,$F1056*$O1056,PNL!G1056))</f>
        <v/>
      </c>
      <c r="T1056">
        <f>IF($A1056="","",IF($E1056=1,IF(OR($B1056="7062",$B1056="706",$B1056="708"),$P1056,IF(AND(LEFT($B1056,1)="6",$B1056&lt;&gt;"6811"),-$P1056,0)),0))</f>
        <v/>
      </c>
    </row>
    <row r="1057">
      <c r="A1057">
        <f>IF(PNL!A1057="","",PNL!A1057)</f>
        <v/>
      </c>
      <c r="B1057">
        <f>IF(PNL!B1057="","",PNL!B1057)</f>
        <v/>
      </c>
      <c r="C1057">
        <f>IF(PNL!C1057="","",PNL!C1057)</f>
        <v/>
      </c>
      <c r="D1057">
        <f>IF(PNL!D1057="","",PNL!D1057)</f>
        <v/>
      </c>
      <c r="E1057">
        <f>IF($A1057="","",IF(AND($C1057="2027",OR($D1057="V01",$D1057="V02",$D1057="V03")),1,0))</f>
        <v/>
      </c>
      <c r="F1057">
        <f>IF($A1057="","",IF($E1057=1,SUMIFS(Comptabilité!$F$1:$F$675,Comptabilité!$A$1:$A$675,$A1057,Comptabilité!$B$1:$B$675,$B1057,Comptabilité!$C$1:$C$675,"2026"),0))</f>
        <v/>
      </c>
      <c r="G1057">
        <f>IF($A1057="","",IF($D1057="V01",Cadrage!$C$22,IF($D1057="V02",Cadrage!$D$22,Cadrage!$E$22)))</f>
        <v/>
      </c>
      <c r="H1057">
        <f>IF($A1057="","",IF($D1057="V01",Cadrage!$C$23,IF($D1057="V02",Cadrage!$D$23,Cadrage!$E$23)))</f>
        <v/>
      </c>
      <c r="I1057">
        <f>IF($A1057="","",IF($D1057="V01",Cadrage!$C$31,IF($D1057="V02",Cadrage!$D$31,Cadrage!$E$31)))</f>
        <v/>
      </c>
      <c r="J1057">
        <f>IF($A1057="","",IF($D1057="V01",Cadrage!$C$32,IF($D1057="V02",Cadrage!$D$32,Cadrage!$E$32)))</f>
        <v/>
      </c>
      <c r="K1057">
        <f>IF($A1057="","",IF($D1057="V01",Cadrage!$C$33,IF($D1057="V02",Cadrage!$D$33,Cadrage!$E$33)))</f>
        <v/>
      </c>
      <c r="L1057">
        <f>IF($A1057="","",IF($D1057="V01",Cadrage!$C$34,IF($D1057="V02",Cadrage!$D$34,Cadrage!$E$34)))</f>
        <v/>
      </c>
      <c r="M1057">
        <f>IF($A1057="","",IF($D1057="V01",Cadrage!$C$35,IF($D1057="V02",Cadrage!$D$35,Cadrage!$E$35)))</f>
        <v/>
      </c>
      <c r="N1057">
        <f>IF($A1057="","",IF($D1057="V01",$R$2,IF($D1057="V02",$R$3,$R$4)))</f>
        <v/>
      </c>
      <c r="O1057">
        <f>IF($A1057="","",IF(OR($B1057="7062",$B1057="706",$B1057="708"),$N1057,IF($B1057="6231",1+$G1057,IF($B1057="6236",1+$H1057,IF(OR($B1057="621",$B1057="604",$B1057="6063"),$N1057*(1-$L1057),IF(OR($B1057="6411",$B1057="6413",$B1057="6414",$B1057="645"),(1+$J1057)*(1+$K1057),IF(OR($B1057="613",$B1057="615",$B1057="616",$B1057="6226",$B1057="625",$B1057="626",$B1057="6281"),(1+$I1057)*(1-$L1057)*(1+$M1057),IF(OR($B1057="6331",$B1057="63511",$B1057="6333"),(1+$I1057)*(1-$L1057),IF($B1057="6811",1+$I1057,1)))))))))</f>
        <v/>
      </c>
      <c r="P1057">
        <f>IF($A1057="","",IF($E1057=1,$F1057*$O1057,PNL!G1057))</f>
        <v/>
      </c>
      <c r="T1057">
        <f>IF($A1057="","",IF($E1057=1,IF(OR($B1057="7062",$B1057="706",$B1057="708"),$P1057,IF(AND(LEFT($B1057,1)="6",$B1057&lt;&gt;"6811"),-$P1057,0)),0))</f>
        <v/>
      </c>
    </row>
    <row r="1058">
      <c r="A1058">
        <f>IF(PNL!A1058="","",PNL!A1058)</f>
        <v/>
      </c>
      <c r="B1058">
        <f>IF(PNL!B1058="","",PNL!B1058)</f>
        <v/>
      </c>
      <c r="C1058">
        <f>IF(PNL!C1058="","",PNL!C1058)</f>
        <v/>
      </c>
      <c r="D1058">
        <f>IF(PNL!D1058="","",PNL!D1058)</f>
        <v/>
      </c>
      <c r="E1058">
        <f>IF($A1058="","",IF(AND($C1058="2027",OR($D1058="V01",$D1058="V02",$D1058="V03")),1,0))</f>
        <v/>
      </c>
      <c r="F1058">
        <f>IF($A1058="","",IF($E1058=1,SUMIFS(Comptabilité!$F$1:$F$675,Comptabilité!$A$1:$A$675,$A1058,Comptabilité!$B$1:$B$675,$B1058,Comptabilité!$C$1:$C$675,"2026"),0))</f>
        <v/>
      </c>
      <c r="G1058">
        <f>IF($A1058="","",IF($D1058="V01",Cadrage!$C$22,IF($D1058="V02",Cadrage!$D$22,Cadrage!$E$22)))</f>
        <v/>
      </c>
      <c r="H1058">
        <f>IF($A1058="","",IF($D1058="V01",Cadrage!$C$23,IF($D1058="V02",Cadrage!$D$23,Cadrage!$E$23)))</f>
        <v/>
      </c>
      <c r="I1058">
        <f>IF($A1058="","",IF($D1058="V01",Cadrage!$C$31,IF($D1058="V02",Cadrage!$D$31,Cadrage!$E$31)))</f>
        <v/>
      </c>
      <c r="J1058">
        <f>IF($A1058="","",IF($D1058="V01",Cadrage!$C$32,IF($D1058="V02",Cadrage!$D$32,Cadrage!$E$32)))</f>
        <v/>
      </c>
      <c r="K1058">
        <f>IF($A1058="","",IF($D1058="V01",Cadrage!$C$33,IF($D1058="V02",Cadrage!$D$33,Cadrage!$E$33)))</f>
        <v/>
      </c>
      <c r="L1058">
        <f>IF($A1058="","",IF($D1058="V01",Cadrage!$C$34,IF($D1058="V02",Cadrage!$D$34,Cadrage!$E$34)))</f>
        <v/>
      </c>
      <c r="M1058">
        <f>IF($A1058="","",IF($D1058="V01",Cadrage!$C$35,IF($D1058="V02",Cadrage!$D$35,Cadrage!$E$35)))</f>
        <v/>
      </c>
      <c r="N1058">
        <f>IF($A1058="","",IF($D1058="V01",$R$2,IF($D1058="V02",$R$3,$R$4)))</f>
        <v/>
      </c>
      <c r="O1058">
        <f>IF($A1058="","",IF(OR($B1058="7062",$B1058="706",$B1058="708"),$N1058,IF($B1058="6231",1+$G1058,IF($B1058="6236",1+$H1058,IF(OR($B1058="621",$B1058="604",$B1058="6063"),$N1058*(1-$L1058),IF(OR($B1058="6411",$B1058="6413",$B1058="6414",$B1058="645"),(1+$J1058)*(1+$K1058),IF(OR($B1058="613",$B1058="615",$B1058="616",$B1058="6226",$B1058="625",$B1058="626",$B1058="6281"),(1+$I1058)*(1-$L1058)*(1+$M1058),IF(OR($B1058="6331",$B1058="63511",$B1058="6333"),(1+$I1058)*(1-$L1058),IF($B1058="6811",1+$I1058,1)))))))))</f>
        <v/>
      </c>
      <c r="P1058">
        <f>IF($A1058="","",IF($E1058=1,$F1058*$O1058,PNL!G1058))</f>
        <v/>
      </c>
      <c r="T1058">
        <f>IF($A1058="","",IF($E1058=1,IF(OR($B1058="7062",$B1058="706",$B1058="708"),$P1058,IF(AND(LEFT($B1058,1)="6",$B1058&lt;&gt;"6811"),-$P1058,0)),0))</f>
        <v/>
      </c>
    </row>
    <row r="1059">
      <c r="A1059">
        <f>IF(PNL!A1059="","",PNL!A1059)</f>
        <v/>
      </c>
      <c r="B1059">
        <f>IF(PNL!B1059="","",PNL!B1059)</f>
        <v/>
      </c>
      <c r="C1059">
        <f>IF(PNL!C1059="","",PNL!C1059)</f>
        <v/>
      </c>
      <c r="D1059">
        <f>IF(PNL!D1059="","",PNL!D1059)</f>
        <v/>
      </c>
      <c r="E1059">
        <f>IF($A1059="","",IF(AND($C1059="2027",OR($D1059="V01",$D1059="V02",$D1059="V03")),1,0))</f>
        <v/>
      </c>
      <c r="F1059">
        <f>IF($A1059="","",IF($E1059=1,SUMIFS(Comptabilité!$F$1:$F$675,Comptabilité!$A$1:$A$675,$A1059,Comptabilité!$B$1:$B$675,$B1059,Comptabilité!$C$1:$C$675,"2026"),0))</f>
        <v/>
      </c>
      <c r="G1059">
        <f>IF($A1059="","",IF($D1059="V01",Cadrage!$C$22,IF($D1059="V02",Cadrage!$D$22,Cadrage!$E$22)))</f>
        <v/>
      </c>
      <c r="H1059">
        <f>IF($A1059="","",IF($D1059="V01",Cadrage!$C$23,IF($D1059="V02",Cadrage!$D$23,Cadrage!$E$23)))</f>
        <v/>
      </c>
      <c r="I1059">
        <f>IF($A1059="","",IF($D1059="V01",Cadrage!$C$31,IF($D1059="V02",Cadrage!$D$31,Cadrage!$E$31)))</f>
        <v/>
      </c>
      <c r="J1059">
        <f>IF($A1059="","",IF($D1059="V01",Cadrage!$C$32,IF($D1059="V02",Cadrage!$D$32,Cadrage!$E$32)))</f>
        <v/>
      </c>
      <c r="K1059">
        <f>IF($A1059="","",IF($D1059="V01",Cadrage!$C$33,IF($D1059="V02",Cadrage!$D$33,Cadrage!$E$33)))</f>
        <v/>
      </c>
      <c r="L1059">
        <f>IF($A1059="","",IF($D1059="V01",Cadrage!$C$34,IF($D1059="V02",Cadrage!$D$34,Cadrage!$E$34)))</f>
        <v/>
      </c>
      <c r="M1059">
        <f>IF($A1059="","",IF($D1059="V01",Cadrage!$C$35,IF($D1059="V02",Cadrage!$D$35,Cadrage!$E$35)))</f>
        <v/>
      </c>
      <c r="N1059">
        <f>IF($A1059="","",IF($D1059="V01",$R$2,IF($D1059="V02",$R$3,$R$4)))</f>
        <v/>
      </c>
      <c r="O1059">
        <f>IF($A1059="","",IF(OR($B1059="7062",$B1059="706",$B1059="708"),$N1059,IF($B1059="6231",1+$G1059,IF($B1059="6236",1+$H1059,IF(OR($B1059="621",$B1059="604",$B1059="6063"),$N1059*(1-$L1059),IF(OR($B1059="6411",$B1059="6413",$B1059="6414",$B1059="645"),(1+$J1059)*(1+$K1059),IF(OR($B1059="613",$B1059="615",$B1059="616",$B1059="6226",$B1059="625",$B1059="626",$B1059="6281"),(1+$I1059)*(1-$L1059)*(1+$M1059),IF(OR($B1059="6331",$B1059="63511",$B1059="6333"),(1+$I1059)*(1-$L1059),IF($B1059="6811",1+$I1059,1)))))))))</f>
        <v/>
      </c>
      <c r="P1059">
        <f>IF($A1059="","",IF($E1059=1,$F1059*$O1059,PNL!G1059))</f>
        <v/>
      </c>
      <c r="T1059">
        <f>IF($A1059="","",IF($E1059=1,IF(OR($B1059="7062",$B1059="706",$B1059="708"),$P1059,IF(AND(LEFT($B1059,1)="6",$B1059&lt;&gt;"6811"),-$P1059,0)),0))</f>
        <v/>
      </c>
    </row>
    <row r="1060">
      <c r="A1060">
        <f>IF(PNL!A1060="","",PNL!A1060)</f>
        <v/>
      </c>
      <c r="B1060">
        <f>IF(PNL!B1060="","",PNL!B1060)</f>
        <v/>
      </c>
      <c r="C1060">
        <f>IF(PNL!C1060="","",PNL!C1060)</f>
        <v/>
      </c>
      <c r="D1060">
        <f>IF(PNL!D1060="","",PNL!D1060)</f>
        <v/>
      </c>
      <c r="E1060">
        <f>IF($A1060="","",IF(AND($C1060="2027",OR($D1060="V01",$D1060="V02",$D1060="V03")),1,0))</f>
        <v/>
      </c>
      <c r="F1060">
        <f>IF($A1060="","",IF($E1060=1,SUMIFS(Comptabilité!$F$1:$F$675,Comptabilité!$A$1:$A$675,$A1060,Comptabilité!$B$1:$B$675,$B1060,Comptabilité!$C$1:$C$675,"2026"),0))</f>
        <v/>
      </c>
      <c r="G1060">
        <f>IF($A1060="","",IF($D1060="V01",Cadrage!$C$22,IF($D1060="V02",Cadrage!$D$22,Cadrage!$E$22)))</f>
        <v/>
      </c>
      <c r="H1060">
        <f>IF($A1060="","",IF($D1060="V01",Cadrage!$C$23,IF($D1060="V02",Cadrage!$D$23,Cadrage!$E$23)))</f>
        <v/>
      </c>
      <c r="I1060">
        <f>IF($A1060="","",IF($D1060="V01",Cadrage!$C$31,IF($D1060="V02",Cadrage!$D$31,Cadrage!$E$31)))</f>
        <v/>
      </c>
      <c r="J1060">
        <f>IF($A1060="","",IF($D1060="V01",Cadrage!$C$32,IF($D1060="V02",Cadrage!$D$32,Cadrage!$E$32)))</f>
        <v/>
      </c>
      <c r="K1060">
        <f>IF($A1060="","",IF($D1060="V01",Cadrage!$C$33,IF($D1060="V02",Cadrage!$D$33,Cadrage!$E$33)))</f>
        <v/>
      </c>
      <c r="L1060">
        <f>IF($A1060="","",IF($D1060="V01",Cadrage!$C$34,IF($D1060="V02",Cadrage!$D$34,Cadrage!$E$34)))</f>
        <v/>
      </c>
      <c r="M1060">
        <f>IF($A1060="","",IF($D1060="V01",Cadrage!$C$35,IF($D1060="V02",Cadrage!$D$35,Cadrage!$E$35)))</f>
        <v/>
      </c>
      <c r="N1060">
        <f>IF($A1060="","",IF($D1060="V01",$R$2,IF($D1060="V02",$R$3,$R$4)))</f>
        <v/>
      </c>
      <c r="O1060">
        <f>IF($A1060="","",IF(OR($B1060="7062",$B1060="706",$B1060="708"),$N1060,IF($B1060="6231",1+$G1060,IF($B1060="6236",1+$H1060,IF(OR($B1060="621",$B1060="604",$B1060="6063"),$N1060*(1-$L1060),IF(OR($B1060="6411",$B1060="6413",$B1060="6414",$B1060="645"),(1+$J1060)*(1+$K1060),IF(OR($B1060="613",$B1060="615",$B1060="616",$B1060="6226",$B1060="625",$B1060="626",$B1060="6281"),(1+$I1060)*(1-$L1060)*(1+$M1060),IF(OR($B1060="6331",$B1060="63511",$B1060="6333"),(1+$I1060)*(1-$L1060),IF($B1060="6811",1+$I1060,1)))))))))</f>
        <v/>
      </c>
      <c r="P1060">
        <f>IF($A1060="","",IF($E1060=1,$F1060*$O1060,PNL!G1060))</f>
        <v/>
      </c>
      <c r="T1060">
        <f>IF($A1060="","",IF($E1060=1,IF(OR($B1060="7062",$B1060="706",$B1060="708"),$P1060,IF(AND(LEFT($B1060,1)="6",$B1060&lt;&gt;"6811"),-$P1060,0)),0))</f>
        <v/>
      </c>
    </row>
    <row r="1061">
      <c r="A1061">
        <f>IF(PNL!A1061="","",PNL!A1061)</f>
        <v/>
      </c>
      <c r="B1061">
        <f>IF(PNL!B1061="","",PNL!B1061)</f>
        <v/>
      </c>
      <c r="C1061">
        <f>IF(PNL!C1061="","",PNL!C1061)</f>
        <v/>
      </c>
      <c r="D1061">
        <f>IF(PNL!D1061="","",PNL!D1061)</f>
        <v/>
      </c>
      <c r="E1061">
        <f>IF($A1061="","",IF(AND($C1061="2027",OR($D1061="V01",$D1061="V02",$D1061="V03")),1,0))</f>
        <v/>
      </c>
      <c r="F1061">
        <f>IF($A1061="","",IF($E1061=1,SUMIFS(Comptabilité!$F$1:$F$675,Comptabilité!$A$1:$A$675,$A1061,Comptabilité!$B$1:$B$675,$B1061,Comptabilité!$C$1:$C$675,"2026"),0))</f>
        <v/>
      </c>
      <c r="G1061">
        <f>IF($A1061="","",IF($D1061="V01",Cadrage!$C$22,IF($D1061="V02",Cadrage!$D$22,Cadrage!$E$22)))</f>
        <v/>
      </c>
      <c r="H1061">
        <f>IF($A1061="","",IF($D1061="V01",Cadrage!$C$23,IF($D1061="V02",Cadrage!$D$23,Cadrage!$E$23)))</f>
        <v/>
      </c>
      <c r="I1061">
        <f>IF($A1061="","",IF($D1061="V01",Cadrage!$C$31,IF($D1061="V02",Cadrage!$D$31,Cadrage!$E$31)))</f>
        <v/>
      </c>
      <c r="J1061">
        <f>IF($A1061="","",IF($D1061="V01",Cadrage!$C$32,IF($D1061="V02",Cadrage!$D$32,Cadrage!$E$32)))</f>
        <v/>
      </c>
      <c r="K1061">
        <f>IF($A1061="","",IF($D1061="V01",Cadrage!$C$33,IF($D1061="V02",Cadrage!$D$33,Cadrage!$E$33)))</f>
        <v/>
      </c>
      <c r="L1061">
        <f>IF($A1061="","",IF($D1061="V01",Cadrage!$C$34,IF($D1061="V02",Cadrage!$D$34,Cadrage!$E$34)))</f>
        <v/>
      </c>
      <c r="M1061">
        <f>IF($A1061="","",IF($D1061="V01",Cadrage!$C$35,IF($D1061="V02",Cadrage!$D$35,Cadrage!$E$35)))</f>
        <v/>
      </c>
      <c r="N1061">
        <f>IF($A1061="","",IF($D1061="V01",$R$2,IF($D1061="V02",$R$3,$R$4)))</f>
        <v/>
      </c>
      <c r="O1061">
        <f>IF($A1061="","",IF(OR($B1061="7062",$B1061="706",$B1061="708"),$N1061,IF($B1061="6231",1+$G1061,IF($B1061="6236",1+$H1061,IF(OR($B1061="621",$B1061="604",$B1061="6063"),$N1061*(1-$L1061),IF(OR($B1061="6411",$B1061="6413",$B1061="6414",$B1061="645"),(1+$J1061)*(1+$K1061),IF(OR($B1061="613",$B1061="615",$B1061="616",$B1061="6226",$B1061="625",$B1061="626",$B1061="6281"),(1+$I1061)*(1-$L1061)*(1+$M1061),IF(OR($B1061="6331",$B1061="63511",$B1061="6333"),(1+$I1061)*(1-$L1061),IF($B1061="6811",1+$I1061,1)))))))))</f>
        <v/>
      </c>
      <c r="P1061">
        <f>IF($A1061="","",IF($E1061=1,$F1061*$O1061,PNL!G1061))</f>
        <v/>
      </c>
      <c r="T1061">
        <f>IF($A1061="","",IF($E1061=1,IF(OR($B1061="7062",$B1061="706",$B1061="708"),$P1061,IF(AND(LEFT($B1061,1)="6",$B1061&lt;&gt;"6811"),-$P1061,0)),0))</f>
        <v/>
      </c>
    </row>
    <row r="1062">
      <c r="A1062">
        <f>IF(PNL!A1062="","",PNL!A1062)</f>
        <v/>
      </c>
      <c r="B1062">
        <f>IF(PNL!B1062="","",PNL!B1062)</f>
        <v/>
      </c>
      <c r="C1062">
        <f>IF(PNL!C1062="","",PNL!C1062)</f>
        <v/>
      </c>
      <c r="D1062">
        <f>IF(PNL!D1062="","",PNL!D1062)</f>
        <v/>
      </c>
      <c r="E1062">
        <f>IF($A1062="","",IF(AND($C1062="2027",OR($D1062="V01",$D1062="V02",$D1062="V03")),1,0))</f>
        <v/>
      </c>
      <c r="F1062">
        <f>IF($A1062="","",IF($E1062=1,SUMIFS(Comptabilité!$F$1:$F$675,Comptabilité!$A$1:$A$675,$A1062,Comptabilité!$B$1:$B$675,$B1062,Comptabilité!$C$1:$C$675,"2026"),0))</f>
        <v/>
      </c>
      <c r="G1062">
        <f>IF($A1062="","",IF($D1062="V01",Cadrage!$C$22,IF($D1062="V02",Cadrage!$D$22,Cadrage!$E$22)))</f>
        <v/>
      </c>
      <c r="H1062">
        <f>IF($A1062="","",IF($D1062="V01",Cadrage!$C$23,IF($D1062="V02",Cadrage!$D$23,Cadrage!$E$23)))</f>
        <v/>
      </c>
      <c r="I1062">
        <f>IF($A1062="","",IF($D1062="V01",Cadrage!$C$31,IF($D1062="V02",Cadrage!$D$31,Cadrage!$E$31)))</f>
        <v/>
      </c>
      <c r="J1062">
        <f>IF($A1062="","",IF($D1062="V01",Cadrage!$C$32,IF($D1062="V02",Cadrage!$D$32,Cadrage!$E$32)))</f>
        <v/>
      </c>
      <c r="K1062">
        <f>IF($A1062="","",IF($D1062="V01",Cadrage!$C$33,IF($D1062="V02",Cadrage!$D$33,Cadrage!$E$33)))</f>
        <v/>
      </c>
      <c r="L1062">
        <f>IF($A1062="","",IF($D1062="V01",Cadrage!$C$34,IF($D1062="V02",Cadrage!$D$34,Cadrage!$E$34)))</f>
        <v/>
      </c>
      <c r="M1062">
        <f>IF($A1062="","",IF($D1062="V01",Cadrage!$C$35,IF($D1062="V02",Cadrage!$D$35,Cadrage!$E$35)))</f>
        <v/>
      </c>
      <c r="N1062">
        <f>IF($A1062="","",IF($D1062="V01",$R$2,IF($D1062="V02",$R$3,$R$4)))</f>
        <v/>
      </c>
      <c r="O1062">
        <f>IF($A1062="","",IF(OR($B1062="7062",$B1062="706",$B1062="708"),$N1062,IF($B1062="6231",1+$G1062,IF($B1062="6236",1+$H1062,IF(OR($B1062="621",$B1062="604",$B1062="6063"),$N1062*(1-$L1062),IF(OR($B1062="6411",$B1062="6413",$B1062="6414",$B1062="645"),(1+$J1062)*(1+$K1062),IF(OR($B1062="613",$B1062="615",$B1062="616",$B1062="6226",$B1062="625",$B1062="626",$B1062="6281"),(1+$I1062)*(1-$L1062)*(1+$M1062),IF(OR($B1062="6331",$B1062="63511",$B1062="6333"),(1+$I1062)*(1-$L1062),IF($B1062="6811",1+$I1062,1)))))))))</f>
        <v/>
      </c>
      <c r="P1062">
        <f>IF($A1062="","",IF($E1062=1,$F1062*$O1062,PNL!G1062))</f>
        <v/>
      </c>
      <c r="T1062">
        <f>IF($A1062="","",IF($E1062=1,IF(OR($B1062="7062",$B1062="706",$B1062="708"),$P1062,IF(AND(LEFT($B1062,1)="6",$B1062&lt;&gt;"6811"),-$P1062,0)),0))</f>
        <v/>
      </c>
    </row>
    <row r="1063">
      <c r="A1063">
        <f>IF(PNL!A1063="","",PNL!A1063)</f>
        <v/>
      </c>
      <c r="B1063">
        <f>IF(PNL!B1063="","",PNL!B1063)</f>
        <v/>
      </c>
      <c r="C1063">
        <f>IF(PNL!C1063="","",PNL!C1063)</f>
        <v/>
      </c>
      <c r="D1063">
        <f>IF(PNL!D1063="","",PNL!D1063)</f>
        <v/>
      </c>
      <c r="E1063">
        <f>IF($A1063="","",IF(AND($C1063="2027",OR($D1063="V01",$D1063="V02",$D1063="V03")),1,0))</f>
        <v/>
      </c>
      <c r="F1063">
        <f>IF($A1063="","",IF($E1063=1,SUMIFS(Comptabilité!$F$1:$F$675,Comptabilité!$A$1:$A$675,$A1063,Comptabilité!$B$1:$B$675,$B1063,Comptabilité!$C$1:$C$675,"2026"),0))</f>
        <v/>
      </c>
      <c r="G1063">
        <f>IF($A1063="","",IF($D1063="V01",Cadrage!$C$22,IF($D1063="V02",Cadrage!$D$22,Cadrage!$E$22)))</f>
        <v/>
      </c>
      <c r="H1063">
        <f>IF($A1063="","",IF($D1063="V01",Cadrage!$C$23,IF($D1063="V02",Cadrage!$D$23,Cadrage!$E$23)))</f>
        <v/>
      </c>
      <c r="I1063">
        <f>IF($A1063="","",IF($D1063="V01",Cadrage!$C$31,IF($D1063="V02",Cadrage!$D$31,Cadrage!$E$31)))</f>
        <v/>
      </c>
      <c r="J1063">
        <f>IF($A1063="","",IF($D1063="V01",Cadrage!$C$32,IF($D1063="V02",Cadrage!$D$32,Cadrage!$E$32)))</f>
        <v/>
      </c>
      <c r="K1063">
        <f>IF($A1063="","",IF($D1063="V01",Cadrage!$C$33,IF($D1063="V02",Cadrage!$D$33,Cadrage!$E$33)))</f>
        <v/>
      </c>
      <c r="L1063">
        <f>IF($A1063="","",IF($D1063="V01",Cadrage!$C$34,IF($D1063="V02",Cadrage!$D$34,Cadrage!$E$34)))</f>
        <v/>
      </c>
      <c r="M1063">
        <f>IF($A1063="","",IF($D1063="V01",Cadrage!$C$35,IF($D1063="V02",Cadrage!$D$35,Cadrage!$E$35)))</f>
        <v/>
      </c>
      <c r="N1063">
        <f>IF($A1063="","",IF($D1063="V01",$R$2,IF($D1063="V02",$R$3,$R$4)))</f>
        <v/>
      </c>
      <c r="O1063">
        <f>IF($A1063="","",IF(OR($B1063="7062",$B1063="706",$B1063="708"),$N1063,IF($B1063="6231",1+$G1063,IF($B1063="6236",1+$H1063,IF(OR($B1063="621",$B1063="604",$B1063="6063"),$N1063*(1-$L1063),IF(OR($B1063="6411",$B1063="6413",$B1063="6414",$B1063="645"),(1+$J1063)*(1+$K1063),IF(OR($B1063="613",$B1063="615",$B1063="616",$B1063="6226",$B1063="625",$B1063="626",$B1063="6281"),(1+$I1063)*(1-$L1063)*(1+$M1063),IF(OR($B1063="6331",$B1063="63511",$B1063="6333"),(1+$I1063)*(1-$L1063),IF($B1063="6811",1+$I1063,1)))))))))</f>
        <v/>
      </c>
      <c r="P1063">
        <f>IF($A1063="","",IF($E1063=1,$F1063*$O1063,PNL!G1063))</f>
        <v/>
      </c>
      <c r="T1063">
        <f>IF($A1063="","",IF($E1063=1,IF(OR($B1063="7062",$B1063="706",$B1063="708"),$P1063,IF(AND(LEFT($B1063,1)="6",$B1063&lt;&gt;"6811"),-$P1063,0)),0))</f>
        <v/>
      </c>
    </row>
    <row r="1064">
      <c r="A1064">
        <f>IF(PNL!A1064="","",PNL!A1064)</f>
        <v/>
      </c>
      <c r="B1064">
        <f>IF(PNL!B1064="","",PNL!B1064)</f>
        <v/>
      </c>
      <c r="C1064">
        <f>IF(PNL!C1064="","",PNL!C1064)</f>
        <v/>
      </c>
      <c r="D1064">
        <f>IF(PNL!D1064="","",PNL!D1064)</f>
        <v/>
      </c>
      <c r="E1064">
        <f>IF($A1064="","",IF(AND($C1064="2027",OR($D1064="V01",$D1064="V02",$D1064="V03")),1,0))</f>
        <v/>
      </c>
      <c r="F1064">
        <f>IF($A1064="","",IF($E1064=1,SUMIFS(Comptabilité!$F$1:$F$675,Comptabilité!$A$1:$A$675,$A1064,Comptabilité!$B$1:$B$675,$B1064,Comptabilité!$C$1:$C$675,"2026"),0))</f>
        <v/>
      </c>
      <c r="G1064">
        <f>IF($A1064="","",IF($D1064="V01",Cadrage!$C$22,IF($D1064="V02",Cadrage!$D$22,Cadrage!$E$22)))</f>
        <v/>
      </c>
      <c r="H1064">
        <f>IF($A1064="","",IF($D1064="V01",Cadrage!$C$23,IF($D1064="V02",Cadrage!$D$23,Cadrage!$E$23)))</f>
        <v/>
      </c>
      <c r="I1064">
        <f>IF($A1064="","",IF($D1064="V01",Cadrage!$C$31,IF($D1064="V02",Cadrage!$D$31,Cadrage!$E$31)))</f>
        <v/>
      </c>
      <c r="J1064">
        <f>IF($A1064="","",IF($D1064="V01",Cadrage!$C$32,IF($D1064="V02",Cadrage!$D$32,Cadrage!$E$32)))</f>
        <v/>
      </c>
      <c r="K1064">
        <f>IF($A1064="","",IF($D1064="V01",Cadrage!$C$33,IF($D1064="V02",Cadrage!$D$33,Cadrage!$E$33)))</f>
        <v/>
      </c>
      <c r="L1064">
        <f>IF($A1064="","",IF($D1064="V01",Cadrage!$C$34,IF($D1064="V02",Cadrage!$D$34,Cadrage!$E$34)))</f>
        <v/>
      </c>
      <c r="M1064">
        <f>IF($A1064="","",IF($D1064="V01",Cadrage!$C$35,IF($D1064="V02",Cadrage!$D$35,Cadrage!$E$35)))</f>
        <v/>
      </c>
      <c r="N1064">
        <f>IF($A1064="","",IF($D1064="V01",$R$2,IF($D1064="V02",$R$3,$R$4)))</f>
        <v/>
      </c>
      <c r="O1064">
        <f>IF($A1064="","",IF(OR($B1064="7062",$B1064="706",$B1064="708"),$N1064,IF($B1064="6231",1+$G1064,IF($B1064="6236",1+$H1064,IF(OR($B1064="621",$B1064="604",$B1064="6063"),$N1064*(1-$L1064),IF(OR($B1064="6411",$B1064="6413",$B1064="6414",$B1064="645"),(1+$J1064)*(1+$K1064),IF(OR($B1064="613",$B1064="615",$B1064="616",$B1064="6226",$B1064="625",$B1064="626",$B1064="6281"),(1+$I1064)*(1-$L1064)*(1+$M1064),IF(OR($B1064="6331",$B1064="63511",$B1064="6333"),(1+$I1064)*(1-$L1064),IF($B1064="6811",1+$I1064,1)))))))))</f>
        <v/>
      </c>
      <c r="P1064">
        <f>IF($A1064="","",IF($E1064=1,$F1064*$O1064,PNL!G1064))</f>
        <v/>
      </c>
      <c r="T1064">
        <f>IF($A1064="","",IF($E1064=1,IF(OR($B1064="7062",$B1064="706",$B1064="708"),$P1064,IF(AND(LEFT($B1064,1)="6",$B1064&lt;&gt;"6811"),-$P1064,0)),0))</f>
        <v/>
      </c>
    </row>
    <row r="1065">
      <c r="A1065">
        <f>IF(PNL!A1065="","",PNL!A1065)</f>
        <v/>
      </c>
      <c r="B1065">
        <f>IF(PNL!B1065="","",PNL!B1065)</f>
        <v/>
      </c>
      <c r="C1065">
        <f>IF(PNL!C1065="","",PNL!C1065)</f>
        <v/>
      </c>
      <c r="D1065">
        <f>IF(PNL!D1065="","",PNL!D1065)</f>
        <v/>
      </c>
      <c r="E1065">
        <f>IF($A1065="","",IF(AND($C1065="2027",OR($D1065="V01",$D1065="V02",$D1065="V03")),1,0))</f>
        <v/>
      </c>
      <c r="F1065">
        <f>IF($A1065="","",IF($E1065=1,SUMIFS(Comptabilité!$F$1:$F$675,Comptabilité!$A$1:$A$675,$A1065,Comptabilité!$B$1:$B$675,$B1065,Comptabilité!$C$1:$C$675,"2026"),0))</f>
        <v/>
      </c>
      <c r="G1065">
        <f>IF($A1065="","",IF($D1065="V01",Cadrage!$C$22,IF($D1065="V02",Cadrage!$D$22,Cadrage!$E$22)))</f>
        <v/>
      </c>
      <c r="H1065">
        <f>IF($A1065="","",IF($D1065="V01",Cadrage!$C$23,IF($D1065="V02",Cadrage!$D$23,Cadrage!$E$23)))</f>
        <v/>
      </c>
      <c r="I1065">
        <f>IF($A1065="","",IF($D1065="V01",Cadrage!$C$31,IF($D1065="V02",Cadrage!$D$31,Cadrage!$E$31)))</f>
        <v/>
      </c>
      <c r="J1065">
        <f>IF($A1065="","",IF($D1065="V01",Cadrage!$C$32,IF($D1065="V02",Cadrage!$D$32,Cadrage!$E$32)))</f>
        <v/>
      </c>
      <c r="K1065">
        <f>IF($A1065="","",IF($D1065="V01",Cadrage!$C$33,IF($D1065="V02",Cadrage!$D$33,Cadrage!$E$33)))</f>
        <v/>
      </c>
      <c r="L1065">
        <f>IF($A1065="","",IF($D1065="V01",Cadrage!$C$34,IF($D1065="V02",Cadrage!$D$34,Cadrage!$E$34)))</f>
        <v/>
      </c>
      <c r="M1065">
        <f>IF($A1065="","",IF($D1065="V01",Cadrage!$C$35,IF($D1065="V02",Cadrage!$D$35,Cadrage!$E$35)))</f>
        <v/>
      </c>
      <c r="N1065">
        <f>IF($A1065="","",IF($D1065="V01",$R$2,IF($D1065="V02",$R$3,$R$4)))</f>
        <v/>
      </c>
      <c r="O1065">
        <f>IF($A1065="","",IF(OR($B1065="7062",$B1065="706",$B1065="708"),$N1065,IF($B1065="6231",1+$G1065,IF($B1065="6236",1+$H1065,IF(OR($B1065="621",$B1065="604",$B1065="6063"),$N1065*(1-$L1065),IF(OR($B1065="6411",$B1065="6413",$B1065="6414",$B1065="645"),(1+$J1065)*(1+$K1065),IF(OR($B1065="613",$B1065="615",$B1065="616",$B1065="6226",$B1065="625",$B1065="626",$B1065="6281"),(1+$I1065)*(1-$L1065)*(1+$M1065),IF(OR($B1065="6331",$B1065="63511",$B1065="6333"),(1+$I1065)*(1-$L1065),IF($B1065="6811",1+$I1065,1)))))))))</f>
        <v/>
      </c>
      <c r="P1065">
        <f>IF($A1065="","",IF($E1065=1,$F1065*$O1065,PNL!G1065))</f>
        <v/>
      </c>
      <c r="T1065">
        <f>IF($A1065="","",IF($E1065=1,IF(OR($B1065="7062",$B1065="706",$B1065="708"),$P1065,IF(AND(LEFT($B1065,1)="6",$B1065&lt;&gt;"6811"),-$P1065,0)),0))</f>
        <v/>
      </c>
    </row>
    <row r="1066">
      <c r="A1066">
        <f>IF(PNL!A1066="","",PNL!A1066)</f>
        <v/>
      </c>
      <c r="B1066">
        <f>IF(PNL!B1066="","",PNL!B1066)</f>
        <v/>
      </c>
      <c r="C1066">
        <f>IF(PNL!C1066="","",PNL!C1066)</f>
        <v/>
      </c>
      <c r="D1066">
        <f>IF(PNL!D1066="","",PNL!D1066)</f>
        <v/>
      </c>
      <c r="E1066">
        <f>IF($A1066="","",IF(AND($C1066="2027",OR($D1066="V01",$D1066="V02",$D1066="V03")),1,0))</f>
        <v/>
      </c>
      <c r="F1066">
        <f>IF($A1066="","",IF($E1066=1,SUMIFS(Comptabilité!$F$1:$F$675,Comptabilité!$A$1:$A$675,$A1066,Comptabilité!$B$1:$B$675,$B1066,Comptabilité!$C$1:$C$675,"2026"),0))</f>
        <v/>
      </c>
      <c r="G1066">
        <f>IF($A1066="","",IF($D1066="V01",Cadrage!$C$22,IF($D1066="V02",Cadrage!$D$22,Cadrage!$E$22)))</f>
        <v/>
      </c>
      <c r="H1066">
        <f>IF($A1066="","",IF($D1066="V01",Cadrage!$C$23,IF($D1066="V02",Cadrage!$D$23,Cadrage!$E$23)))</f>
        <v/>
      </c>
      <c r="I1066">
        <f>IF($A1066="","",IF($D1066="V01",Cadrage!$C$31,IF($D1066="V02",Cadrage!$D$31,Cadrage!$E$31)))</f>
        <v/>
      </c>
      <c r="J1066">
        <f>IF($A1066="","",IF($D1066="V01",Cadrage!$C$32,IF($D1066="V02",Cadrage!$D$32,Cadrage!$E$32)))</f>
        <v/>
      </c>
      <c r="K1066">
        <f>IF($A1066="","",IF($D1066="V01",Cadrage!$C$33,IF($D1066="V02",Cadrage!$D$33,Cadrage!$E$33)))</f>
        <v/>
      </c>
      <c r="L1066">
        <f>IF($A1066="","",IF($D1066="V01",Cadrage!$C$34,IF($D1066="V02",Cadrage!$D$34,Cadrage!$E$34)))</f>
        <v/>
      </c>
      <c r="M1066">
        <f>IF($A1066="","",IF($D1066="V01",Cadrage!$C$35,IF($D1066="V02",Cadrage!$D$35,Cadrage!$E$35)))</f>
        <v/>
      </c>
      <c r="N1066">
        <f>IF($A1066="","",IF($D1066="V01",$R$2,IF($D1066="V02",$R$3,$R$4)))</f>
        <v/>
      </c>
      <c r="O1066">
        <f>IF($A1066="","",IF(OR($B1066="7062",$B1066="706",$B1066="708"),$N1066,IF($B1066="6231",1+$G1066,IF($B1066="6236",1+$H1066,IF(OR($B1066="621",$B1066="604",$B1066="6063"),$N1066*(1-$L1066),IF(OR($B1066="6411",$B1066="6413",$B1066="6414",$B1066="645"),(1+$J1066)*(1+$K1066),IF(OR($B1066="613",$B1066="615",$B1066="616",$B1066="6226",$B1066="625",$B1066="626",$B1066="6281"),(1+$I1066)*(1-$L1066)*(1+$M1066),IF(OR($B1066="6331",$B1066="63511",$B1066="6333"),(1+$I1066)*(1-$L1066),IF($B1066="6811",1+$I1066,1)))))))))</f>
        <v/>
      </c>
      <c r="P1066">
        <f>IF($A1066="","",IF($E1066=1,$F1066*$O1066,PNL!G1066))</f>
        <v/>
      </c>
      <c r="T1066">
        <f>IF($A1066="","",IF($E1066=1,IF(OR($B1066="7062",$B1066="706",$B1066="708"),$P1066,IF(AND(LEFT($B1066,1)="6",$B1066&lt;&gt;"6811"),-$P1066,0)),0))</f>
        <v/>
      </c>
    </row>
    <row r="1067">
      <c r="A1067">
        <f>IF(PNL!A1067="","",PNL!A1067)</f>
        <v/>
      </c>
      <c r="B1067">
        <f>IF(PNL!B1067="","",PNL!B1067)</f>
        <v/>
      </c>
      <c r="C1067">
        <f>IF(PNL!C1067="","",PNL!C1067)</f>
        <v/>
      </c>
      <c r="D1067">
        <f>IF(PNL!D1067="","",PNL!D1067)</f>
        <v/>
      </c>
      <c r="E1067">
        <f>IF($A1067="","",IF(AND($C1067="2027",OR($D1067="V01",$D1067="V02",$D1067="V03")),1,0))</f>
        <v/>
      </c>
      <c r="F1067">
        <f>IF($A1067="","",IF($E1067=1,SUMIFS(Comptabilité!$F$1:$F$675,Comptabilité!$A$1:$A$675,$A1067,Comptabilité!$B$1:$B$675,$B1067,Comptabilité!$C$1:$C$675,"2026"),0))</f>
        <v/>
      </c>
      <c r="G1067">
        <f>IF($A1067="","",IF($D1067="V01",Cadrage!$C$22,IF($D1067="V02",Cadrage!$D$22,Cadrage!$E$22)))</f>
        <v/>
      </c>
      <c r="H1067">
        <f>IF($A1067="","",IF($D1067="V01",Cadrage!$C$23,IF($D1067="V02",Cadrage!$D$23,Cadrage!$E$23)))</f>
        <v/>
      </c>
      <c r="I1067">
        <f>IF($A1067="","",IF($D1067="V01",Cadrage!$C$31,IF($D1067="V02",Cadrage!$D$31,Cadrage!$E$31)))</f>
        <v/>
      </c>
      <c r="J1067">
        <f>IF($A1067="","",IF($D1067="V01",Cadrage!$C$32,IF($D1067="V02",Cadrage!$D$32,Cadrage!$E$32)))</f>
        <v/>
      </c>
      <c r="K1067">
        <f>IF($A1067="","",IF($D1067="V01",Cadrage!$C$33,IF($D1067="V02",Cadrage!$D$33,Cadrage!$E$33)))</f>
        <v/>
      </c>
      <c r="L1067">
        <f>IF($A1067="","",IF($D1067="V01",Cadrage!$C$34,IF($D1067="V02",Cadrage!$D$34,Cadrage!$E$34)))</f>
        <v/>
      </c>
      <c r="M1067">
        <f>IF($A1067="","",IF($D1067="V01",Cadrage!$C$35,IF($D1067="V02",Cadrage!$D$35,Cadrage!$E$35)))</f>
        <v/>
      </c>
      <c r="N1067">
        <f>IF($A1067="","",IF($D1067="V01",$R$2,IF($D1067="V02",$R$3,$R$4)))</f>
        <v/>
      </c>
      <c r="O1067">
        <f>IF($A1067="","",IF(OR($B1067="7062",$B1067="706",$B1067="708"),$N1067,IF($B1067="6231",1+$G1067,IF($B1067="6236",1+$H1067,IF(OR($B1067="621",$B1067="604",$B1067="6063"),$N1067*(1-$L1067),IF(OR($B1067="6411",$B1067="6413",$B1067="6414",$B1067="645"),(1+$J1067)*(1+$K1067),IF(OR($B1067="613",$B1067="615",$B1067="616",$B1067="6226",$B1067="625",$B1067="626",$B1067="6281"),(1+$I1067)*(1-$L1067)*(1+$M1067),IF(OR($B1067="6331",$B1067="63511",$B1067="6333"),(1+$I1067)*(1-$L1067),IF($B1067="6811",1+$I1067,1)))))))))</f>
        <v/>
      </c>
      <c r="P1067">
        <f>IF($A1067="","",IF($E1067=1,$F1067*$O1067,PNL!G1067))</f>
        <v/>
      </c>
      <c r="T1067">
        <f>IF($A1067="","",IF($E1067=1,IF(OR($B1067="7062",$B1067="706",$B1067="708"),$P1067,IF(AND(LEFT($B1067,1)="6",$B1067&lt;&gt;"6811"),-$P1067,0)),0))</f>
        <v/>
      </c>
    </row>
    <row r="1068">
      <c r="A1068">
        <f>IF(PNL!A1068="","",PNL!A1068)</f>
        <v/>
      </c>
      <c r="B1068">
        <f>IF(PNL!B1068="","",PNL!B1068)</f>
        <v/>
      </c>
      <c r="C1068">
        <f>IF(PNL!C1068="","",PNL!C1068)</f>
        <v/>
      </c>
      <c r="D1068">
        <f>IF(PNL!D1068="","",PNL!D1068)</f>
        <v/>
      </c>
      <c r="E1068">
        <f>IF($A1068="","",IF(AND($C1068="2027",OR($D1068="V01",$D1068="V02",$D1068="V03")),1,0))</f>
        <v/>
      </c>
      <c r="F1068">
        <f>IF($A1068="","",IF($E1068=1,SUMIFS(Comptabilité!$F$1:$F$675,Comptabilité!$A$1:$A$675,$A1068,Comptabilité!$B$1:$B$675,$B1068,Comptabilité!$C$1:$C$675,"2026"),0))</f>
        <v/>
      </c>
      <c r="G1068">
        <f>IF($A1068="","",IF($D1068="V01",Cadrage!$C$22,IF($D1068="V02",Cadrage!$D$22,Cadrage!$E$22)))</f>
        <v/>
      </c>
      <c r="H1068">
        <f>IF($A1068="","",IF($D1068="V01",Cadrage!$C$23,IF($D1068="V02",Cadrage!$D$23,Cadrage!$E$23)))</f>
        <v/>
      </c>
      <c r="I1068">
        <f>IF($A1068="","",IF($D1068="V01",Cadrage!$C$31,IF($D1068="V02",Cadrage!$D$31,Cadrage!$E$31)))</f>
        <v/>
      </c>
      <c r="J1068">
        <f>IF($A1068="","",IF($D1068="V01",Cadrage!$C$32,IF($D1068="V02",Cadrage!$D$32,Cadrage!$E$32)))</f>
        <v/>
      </c>
      <c r="K1068">
        <f>IF($A1068="","",IF($D1068="V01",Cadrage!$C$33,IF($D1068="V02",Cadrage!$D$33,Cadrage!$E$33)))</f>
        <v/>
      </c>
      <c r="L1068">
        <f>IF($A1068="","",IF($D1068="V01",Cadrage!$C$34,IF($D1068="V02",Cadrage!$D$34,Cadrage!$E$34)))</f>
        <v/>
      </c>
      <c r="M1068">
        <f>IF($A1068="","",IF($D1068="V01",Cadrage!$C$35,IF($D1068="V02",Cadrage!$D$35,Cadrage!$E$35)))</f>
        <v/>
      </c>
      <c r="N1068">
        <f>IF($A1068="","",IF($D1068="V01",$R$2,IF($D1068="V02",$R$3,$R$4)))</f>
        <v/>
      </c>
      <c r="O1068">
        <f>IF($A1068="","",IF(OR($B1068="7062",$B1068="706",$B1068="708"),$N1068,IF($B1068="6231",1+$G1068,IF($B1068="6236",1+$H1068,IF(OR($B1068="621",$B1068="604",$B1068="6063"),$N1068*(1-$L1068),IF(OR($B1068="6411",$B1068="6413",$B1068="6414",$B1068="645"),(1+$J1068)*(1+$K1068),IF(OR($B1068="613",$B1068="615",$B1068="616",$B1068="6226",$B1068="625",$B1068="626",$B1068="6281"),(1+$I1068)*(1-$L1068)*(1+$M1068),IF(OR($B1068="6331",$B1068="63511",$B1068="6333"),(1+$I1068)*(1-$L1068),IF($B1068="6811",1+$I1068,1)))))))))</f>
        <v/>
      </c>
      <c r="P1068">
        <f>IF($A1068="","",IF($E1068=1,$F1068*$O1068,PNL!G1068))</f>
        <v/>
      </c>
      <c r="T1068">
        <f>IF($A1068="","",IF($E1068=1,IF(OR($B1068="7062",$B1068="706",$B1068="708"),$P1068,IF(AND(LEFT($B1068,1)="6",$B1068&lt;&gt;"6811"),-$P1068,0)),0))</f>
        <v/>
      </c>
    </row>
    <row r="1069">
      <c r="A1069">
        <f>IF(PNL!A1069="","",PNL!A1069)</f>
        <v/>
      </c>
      <c r="B1069">
        <f>IF(PNL!B1069="","",PNL!B1069)</f>
        <v/>
      </c>
      <c r="C1069">
        <f>IF(PNL!C1069="","",PNL!C1069)</f>
        <v/>
      </c>
      <c r="D1069">
        <f>IF(PNL!D1069="","",PNL!D1069)</f>
        <v/>
      </c>
      <c r="E1069">
        <f>IF($A1069="","",IF(AND($C1069="2027",OR($D1069="V01",$D1069="V02",$D1069="V03")),1,0))</f>
        <v/>
      </c>
      <c r="F1069">
        <f>IF($A1069="","",IF($E1069=1,SUMIFS(Comptabilité!$F$1:$F$675,Comptabilité!$A$1:$A$675,$A1069,Comptabilité!$B$1:$B$675,$B1069,Comptabilité!$C$1:$C$675,"2026"),0))</f>
        <v/>
      </c>
      <c r="G1069">
        <f>IF($A1069="","",IF($D1069="V01",Cadrage!$C$22,IF($D1069="V02",Cadrage!$D$22,Cadrage!$E$22)))</f>
        <v/>
      </c>
      <c r="H1069">
        <f>IF($A1069="","",IF($D1069="V01",Cadrage!$C$23,IF($D1069="V02",Cadrage!$D$23,Cadrage!$E$23)))</f>
        <v/>
      </c>
      <c r="I1069">
        <f>IF($A1069="","",IF($D1069="V01",Cadrage!$C$31,IF($D1069="V02",Cadrage!$D$31,Cadrage!$E$31)))</f>
        <v/>
      </c>
      <c r="J1069">
        <f>IF($A1069="","",IF($D1069="V01",Cadrage!$C$32,IF($D1069="V02",Cadrage!$D$32,Cadrage!$E$32)))</f>
        <v/>
      </c>
      <c r="K1069">
        <f>IF($A1069="","",IF($D1069="V01",Cadrage!$C$33,IF($D1069="V02",Cadrage!$D$33,Cadrage!$E$33)))</f>
        <v/>
      </c>
      <c r="L1069">
        <f>IF($A1069="","",IF($D1069="V01",Cadrage!$C$34,IF($D1069="V02",Cadrage!$D$34,Cadrage!$E$34)))</f>
        <v/>
      </c>
      <c r="M1069">
        <f>IF($A1069="","",IF($D1069="V01",Cadrage!$C$35,IF($D1069="V02",Cadrage!$D$35,Cadrage!$E$35)))</f>
        <v/>
      </c>
      <c r="N1069">
        <f>IF($A1069="","",IF($D1069="V01",$R$2,IF($D1069="V02",$R$3,$R$4)))</f>
        <v/>
      </c>
      <c r="O1069">
        <f>IF($A1069="","",IF(OR($B1069="7062",$B1069="706",$B1069="708"),$N1069,IF($B1069="6231",1+$G1069,IF($B1069="6236",1+$H1069,IF(OR($B1069="621",$B1069="604",$B1069="6063"),$N1069*(1-$L1069),IF(OR($B1069="6411",$B1069="6413",$B1069="6414",$B1069="645"),(1+$J1069)*(1+$K1069),IF(OR($B1069="613",$B1069="615",$B1069="616",$B1069="6226",$B1069="625",$B1069="626",$B1069="6281"),(1+$I1069)*(1-$L1069)*(1+$M1069),IF(OR($B1069="6331",$B1069="63511",$B1069="6333"),(1+$I1069)*(1-$L1069),IF($B1069="6811",1+$I1069,1)))))))))</f>
        <v/>
      </c>
      <c r="P1069">
        <f>IF($A1069="","",IF($E1069=1,$F1069*$O1069,PNL!G1069))</f>
        <v/>
      </c>
      <c r="T1069">
        <f>IF($A1069="","",IF($E1069=1,IF(OR($B1069="7062",$B1069="706",$B1069="708"),$P1069,IF(AND(LEFT($B1069,1)="6",$B1069&lt;&gt;"6811"),-$P1069,0)),0))</f>
        <v/>
      </c>
    </row>
    <row r="1070">
      <c r="A1070">
        <f>IF(PNL!A1070="","",PNL!A1070)</f>
        <v/>
      </c>
      <c r="B1070">
        <f>IF(PNL!B1070="","",PNL!B1070)</f>
        <v/>
      </c>
      <c r="C1070">
        <f>IF(PNL!C1070="","",PNL!C1070)</f>
        <v/>
      </c>
      <c r="D1070">
        <f>IF(PNL!D1070="","",PNL!D1070)</f>
        <v/>
      </c>
      <c r="E1070">
        <f>IF($A1070="","",IF(AND($C1070="2027",OR($D1070="V01",$D1070="V02",$D1070="V03")),1,0))</f>
        <v/>
      </c>
      <c r="F1070">
        <f>IF($A1070="","",IF($E1070=1,SUMIFS(Comptabilité!$F$1:$F$675,Comptabilité!$A$1:$A$675,$A1070,Comptabilité!$B$1:$B$675,$B1070,Comptabilité!$C$1:$C$675,"2026"),0))</f>
        <v/>
      </c>
      <c r="G1070">
        <f>IF($A1070="","",IF($D1070="V01",Cadrage!$C$22,IF($D1070="V02",Cadrage!$D$22,Cadrage!$E$22)))</f>
        <v/>
      </c>
      <c r="H1070">
        <f>IF($A1070="","",IF($D1070="V01",Cadrage!$C$23,IF($D1070="V02",Cadrage!$D$23,Cadrage!$E$23)))</f>
        <v/>
      </c>
      <c r="I1070">
        <f>IF($A1070="","",IF($D1070="V01",Cadrage!$C$31,IF($D1070="V02",Cadrage!$D$31,Cadrage!$E$31)))</f>
        <v/>
      </c>
      <c r="J1070">
        <f>IF($A1070="","",IF($D1070="V01",Cadrage!$C$32,IF($D1070="V02",Cadrage!$D$32,Cadrage!$E$32)))</f>
        <v/>
      </c>
      <c r="K1070">
        <f>IF($A1070="","",IF($D1070="V01",Cadrage!$C$33,IF($D1070="V02",Cadrage!$D$33,Cadrage!$E$33)))</f>
        <v/>
      </c>
      <c r="L1070">
        <f>IF($A1070="","",IF($D1070="V01",Cadrage!$C$34,IF($D1070="V02",Cadrage!$D$34,Cadrage!$E$34)))</f>
        <v/>
      </c>
      <c r="M1070">
        <f>IF($A1070="","",IF($D1070="V01",Cadrage!$C$35,IF($D1070="V02",Cadrage!$D$35,Cadrage!$E$35)))</f>
        <v/>
      </c>
      <c r="N1070">
        <f>IF($A1070="","",IF($D1070="V01",$R$2,IF($D1070="V02",$R$3,$R$4)))</f>
        <v/>
      </c>
      <c r="O1070">
        <f>IF($A1070="","",IF(OR($B1070="7062",$B1070="706",$B1070="708"),$N1070,IF($B1070="6231",1+$G1070,IF($B1070="6236",1+$H1070,IF(OR($B1070="621",$B1070="604",$B1070="6063"),$N1070*(1-$L1070),IF(OR($B1070="6411",$B1070="6413",$B1070="6414",$B1070="645"),(1+$J1070)*(1+$K1070),IF(OR($B1070="613",$B1070="615",$B1070="616",$B1070="6226",$B1070="625",$B1070="626",$B1070="6281"),(1+$I1070)*(1-$L1070)*(1+$M1070),IF(OR($B1070="6331",$B1070="63511",$B1070="6333"),(1+$I1070)*(1-$L1070),IF($B1070="6811",1+$I1070,1)))))))))</f>
        <v/>
      </c>
      <c r="P1070">
        <f>IF($A1070="","",IF($E1070=1,$F1070*$O1070,PNL!G1070))</f>
        <v/>
      </c>
      <c r="T1070">
        <f>IF($A1070="","",IF($E1070=1,IF(OR($B1070="7062",$B1070="706",$B1070="708"),$P1070,IF(AND(LEFT($B1070,1)="6",$B1070&lt;&gt;"6811"),-$P1070,0)),0))</f>
        <v/>
      </c>
    </row>
    <row r="1071">
      <c r="A1071">
        <f>IF(PNL!A1071="","",PNL!A1071)</f>
        <v/>
      </c>
      <c r="B1071">
        <f>IF(PNL!B1071="","",PNL!B1071)</f>
        <v/>
      </c>
      <c r="C1071">
        <f>IF(PNL!C1071="","",PNL!C1071)</f>
        <v/>
      </c>
      <c r="D1071">
        <f>IF(PNL!D1071="","",PNL!D1071)</f>
        <v/>
      </c>
      <c r="E1071">
        <f>IF($A1071="","",IF(AND($C1071="2027",OR($D1071="V01",$D1071="V02",$D1071="V03")),1,0))</f>
        <v/>
      </c>
      <c r="F1071">
        <f>IF($A1071="","",IF($E1071=1,SUMIFS(Comptabilité!$F$1:$F$675,Comptabilité!$A$1:$A$675,$A1071,Comptabilité!$B$1:$B$675,$B1071,Comptabilité!$C$1:$C$675,"2026"),0))</f>
        <v/>
      </c>
      <c r="G1071">
        <f>IF($A1071="","",IF($D1071="V01",Cadrage!$C$22,IF($D1071="V02",Cadrage!$D$22,Cadrage!$E$22)))</f>
        <v/>
      </c>
      <c r="H1071">
        <f>IF($A1071="","",IF($D1071="V01",Cadrage!$C$23,IF($D1071="V02",Cadrage!$D$23,Cadrage!$E$23)))</f>
        <v/>
      </c>
      <c r="I1071">
        <f>IF($A1071="","",IF($D1071="V01",Cadrage!$C$31,IF($D1071="V02",Cadrage!$D$31,Cadrage!$E$31)))</f>
        <v/>
      </c>
      <c r="J1071">
        <f>IF($A1071="","",IF($D1071="V01",Cadrage!$C$32,IF($D1071="V02",Cadrage!$D$32,Cadrage!$E$32)))</f>
        <v/>
      </c>
      <c r="K1071">
        <f>IF($A1071="","",IF($D1071="V01",Cadrage!$C$33,IF($D1071="V02",Cadrage!$D$33,Cadrage!$E$33)))</f>
        <v/>
      </c>
      <c r="L1071">
        <f>IF($A1071="","",IF($D1071="V01",Cadrage!$C$34,IF($D1071="V02",Cadrage!$D$34,Cadrage!$E$34)))</f>
        <v/>
      </c>
      <c r="M1071">
        <f>IF($A1071="","",IF($D1071="V01",Cadrage!$C$35,IF($D1071="V02",Cadrage!$D$35,Cadrage!$E$35)))</f>
        <v/>
      </c>
      <c r="N1071">
        <f>IF($A1071="","",IF($D1071="V01",$R$2,IF($D1071="V02",$R$3,$R$4)))</f>
        <v/>
      </c>
      <c r="O1071">
        <f>IF($A1071="","",IF(OR($B1071="7062",$B1071="706",$B1071="708"),$N1071,IF($B1071="6231",1+$G1071,IF($B1071="6236",1+$H1071,IF(OR($B1071="621",$B1071="604",$B1071="6063"),$N1071*(1-$L1071),IF(OR($B1071="6411",$B1071="6413",$B1071="6414",$B1071="645"),(1+$J1071)*(1+$K1071),IF(OR($B1071="613",$B1071="615",$B1071="616",$B1071="6226",$B1071="625",$B1071="626",$B1071="6281"),(1+$I1071)*(1-$L1071)*(1+$M1071),IF(OR($B1071="6331",$B1071="63511",$B1071="6333"),(1+$I1071)*(1-$L1071),IF($B1071="6811",1+$I1071,1)))))))))</f>
        <v/>
      </c>
      <c r="P1071">
        <f>IF($A1071="","",IF($E1071=1,$F1071*$O1071,PNL!G1071))</f>
        <v/>
      </c>
      <c r="T1071">
        <f>IF($A1071="","",IF($E1071=1,IF(OR($B1071="7062",$B1071="706",$B1071="708"),$P1071,IF(AND(LEFT($B1071,1)="6",$B1071&lt;&gt;"6811"),-$P1071,0)),0))</f>
        <v/>
      </c>
    </row>
    <row r="1072">
      <c r="A1072">
        <f>IF(PNL!A1072="","",PNL!A1072)</f>
        <v/>
      </c>
      <c r="B1072">
        <f>IF(PNL!B1072="","",PNL!B1072)</f>
        <v/>
      </c>
      <c r="C1072">
        <f>IF(PNL!C1072="","",PNL!C1072)</f>
        <v/>
      </c>
      <c r="D1072">
        <f>IF(PNL!D1072="","",PNL!D1072)</f>
        <v/>
      </c>
      <c r="E1072">
        <f>IF($A1072="","",IF(AND($C1072="2027",OR($D1072="V01",$D1072="V02",$D1072="V03")),1,0))</f>
        <v/>
      </c>
      <c r="F1072">
        <f>IF($A1072="","",IF($E1072=1,SUMIFS(Comptabilité!$F$1:$F$675,Comptabilité!$A$1:$A$675,$A1072,Comptabilité!$B$1:$B$675,$B1072,Comptabilité!$C$1:$C$675,"2026"),0))</f>
        <v/>
      </c>
      <c r="G1072">
        <f>IF($A1072="","",IF($D1072="V01",Cadrage!$C$22,IF($D1072="V02",Cadrage!$D$22,Cadrage!$E$22)))</f>
        <v/>
      </c>
      <c r="H1072">
        <f>IF($A1072="","",IF($D1072="V01",Cadrage!$C$23,IF($D1072="V02",Cadrage!$D$23,Cadrage!$E$23)))</f>
        <v/>
      </c>
      <c r="I1072">
        <f>IF($A1072="","",IF($D1072="V01",Cadrage!$C$31,IF($D1072="V02",Cadrage!$D$31,Cadrage!$E$31)))</f>
        <v/>
      </c>
      <c r="J1072">
        <f>IF($A1072="","",IF($D1072="V01",Cadrage!$C$32,IF($D1072="V02",Cadrage!$D$32,Cadrage!$E$32)))</f>
        <v/>
      </c>
      <c r="K1072">
        <f>IF($A1072="","",IF($D1072="V01",Cadrage!$C$33,IF($D1072="V02",Cadrage!$D$33,Cadrage!$E$33)))</f>
        <v/>
      </c>
      <c r="L1072">
        <f>IF($A1072="","",IF($D1072="V01",Cadrage!$C$34,IF($D1072="V02",Cadrage!$D$34,Cadrage!$E$34)))</f>
        <v/>
      </c>
      <c r="M1072">
        <f>IF($A1072="","",IF($D1072="V01",Cadrage!$C$35,IF($D1072="V02",Cadrage!$D$35,Cadrage!$E$35)))</f>
        <v/>
      </c>
      <c r="N1072">
        <f>IF($A1072="","",IF($D1072="V01",$R$2,IF($D1072="V02",$R$3,$R$4)))</f>
        <v/>
      </c>
      <c r="O1072">
        <f>IF($A1072="","",IF(OR($B1072="7062",$B1072="706",$B1072="708"),$N1072,IF($B1072="6231",1+$G1072,IF($B1072="6236",1+$H1072,IF(OR($B1072="621",$B1072="604",$B1072="6063"),$N1072*(1-$L1072),IF(OR($B1072="6411",$B1072="6413",$B1072="6414",$B1072="645"),(1+$J1072)*(1+$K1072),IF(OR($B1072="613",$B1072="615",$B1072="616",$B1072="6226",$B1072="625",$B1072="626",$B1072="6281"),(1+$I1072)*(1-$L1072)*(1+$M1072),IF(OR($B1072="6331",$B1072="63511",$B1072="6333"),(1+$I1072)*(1-$L1072),IF($B1072="6811",1+$I1072,1)))))))))</f>
        <v/>
      </c>
      <c r="P1072">
        <f>IF($A1072="","",IF($E1072=1,$F1072*$O1072,PNL!G1072))</f>
        <v/>
      </c>
      <c r="T1072">
        <f>IF($A1072="","",IF($E1072=1,IF(OR($B1072="7062",$B1072="706",$B1072="708"),$P1072,IF(AND(LEFT($B1072,1)="6",$B1072&lt;&gt;"6811"),-$P1072,0)),0))</f>
        <v/>
      </c>
    </row>
    <row r="1073">
      <c r="A1073">
        <f>IF(PNL!A1073="","",PNL!A1073)</f>
        <v/>
      </c>
      <c r="B1073">
        <f>IF(PNL!B1073="","",PNL!B1073)</f>
        <v/>
      </c>
      <c r="C1073">
        <f>IF(PNL!C1073="","",PNL!C1073)</f>
        <v/>
      </c>
      <c r="D1073">
        <f>IF(PNL!D1073="","",PNL!D1073)</f>
        <v/>
      </c>
      <c r="E1073">
        <f>IF($A1073="","",IF(AND($C1073="2027",OR($D1073="V01",$D1073="V02",$D1073="V03")),1,0))</f>
        <v/>
      </c>
      <c r="F1073">
        <f>IF($A1073="","",IF($E1073=1,SUMIFS(Comptabilité!$F$1:$F$675,Comptabilité!$A$1:$A$675,$A1073,Comptabilité!$B$1:$B$675,$B1073,Comptabilité!$C$1:$C$675,"2026"),0))</f>
        <v/>
      </c>
      <c r="G1073">
        <f>IF($A1073="","",IF($D1073="V01",Cadrage!$C$22,IF($D1073="V02",Cadrage!$D$22,Cadrage!$E$22)))</f>
        <v/>
      </c>
      <c r="H1073">
        <f>IF($A1073="","",IF($D1073="V01",Cadrage!$C$23,IF($D1073="V02",Cadrage!$D$23,Cadrage!$E$23)))</f>
        <v/>
      </c>
      <c r="I1073">
        <f>IF($A1073="","",IF($D1073="V01",Cadrage!$C$31,IF($D1073="V02",Cadrage!$D$31,Cadrage!$E$31)))</f>
        <v/>
      </c>
      <c r="J1073">
        <f>IF($A1073="","",IF($D1073="V01",Cadrage!$C$32,IF($D1073="V02",Cadrage!$D$32,Cadrage!$E$32)))</f>
        <v/>
      </c>
      <c r="K1073">
        <f>IF($A1073="","",IF($D1073="V01",Cadrage!$C$33,IF($D1073="V02",Cadrage!$D$33,Cadrage!$E$33)))</f>
        <v/>
      </c>
      <c r="L1073">
        <f>IF($A1073="","",IF($D1073="V01",Cadrage!$C$34,IF($D1073="V02",Cadrage!$D$34,Cadrage!$E$34)))</f>
        <v/>
      </c>
      <c r="M1073">
        <f>IF($A1073="","",IF($D1073="V01",Cadrage!$C$35,IF($D1073="V02",Cadrage!$D$35,Cadrage!$E$35)))</f>
        <v/>
      </c>
      <c r="N1073">
        <f>IF($A1073="","",IF($D1073="V01",$R$2,IF($D1073="V02",$R$3,$R$4)))</f>
        <v/>
      </c>
      <c r="O1073">
        <f>IF($A1073="","",IF(OR($B1073="7062",$B1073="706",$B1073="708"),$N1073,IF($B1073="6231",1+$G1073,IF($B1073="6236",1+$H1073,IF(OR($B1073="621",$B1073="604",$B1073="6063"),$N1073*(1-$L1073),IF(OR($B1073="6411",$B1073="6413",$B1073="6414",$B1073="645"),(1+$J1073)*(1+$K1073),IF(OR($B1073="613",$B1073="615",$B1073="616",$B1073="6226",$B1073="625",$B1073="626",$B1073="6281"),(1+$I1073)*(1-$L1073)*(1+$M1073),IF(OR($B1073="6331",$B1073="63511",$B1073="6333"),(1+$I1073)*(1-$L1073),IF($B1073="6811",1+$I1073,1)))))))))</f>
        <v/>
      </c>
      <c r="P1073">
        <f>IF($A1073="","",IF($E1073=1,$F1073*$O1073,PNL!G1073))</f>
        <v/>
      </c>
      <c r="T1073">
        <f>IF($A1073="","",IF($E1073=1,IF(OR($B1073="7062",$B1073="706",$B1073="708"),$P1073,IF(AND(LEFT($B1073,1)="6",$B1073&lt;&gt;"6811"),-$P1073,0)),0))</f>
        <v/>
      </c>
    </row>
    <row r="1074">
      <c r="A1074">
        <f>IF(PNL!A1074="","",PNL!A1074)</f>
        <v/>
      </c>
      <c r="B1074">
        <f>IF(PNL!B1074="","",PNL!B1074)</f>
        <v/>
      </c>
      <c r="C1074">
        <f>IF(PNL!C1074="","",PNL!C1074)</f>
        <v/>
      </c>
      <c r="D1074">
        <f>IF(PNL!D1074="","",PNL!D1074)</f>
        <v/>
      </c>
      <c r="E1074">
        <f>IF($A1074="","",IF(AND($C1074="2027",OR($D1074="V01",$D1074="V02",$D1074="V03")),1,0))</f>
        <v/>
      </c>
      <c r="F1074">
        <f>IF($A1074="","",IF($E1074=1,SUMIFS(Comptabilité!$F$1:$F$675,Comptabilité!$A$1:$A$675,$A1074,Comptabilité!$B$1:$B$675,$B1074,Comptabilité!$C$1:$C$675,"2026"),0))</f>
        <v/>
      </c>
      <c r="G1074">
        <f>IF($A1074="","",IF($D1074="V01",Cadrage!$C$22,IF($D1074="V02",Cadrage!$D$22,Cadrage!$E$22)))</f>
        <v/>
      </c>
      <c r="H1074">
        <f>IF($A1074="","",IF($D1074="V01",Cadrage!$C$23,IF($D1074="V02",Cadrage!$D$23,Cadrage!$E$23)))</f>
        <v/>
      </c>
      <c r="I1074">
        <f>IF($A1074="","",IF($D1074="V01",Cadrage!$C$31,IF($D1074="V02",Cadrage!$D$31,Cadrage!$E$31)))</f>
        <v/>
      </c>
      <c r="J1074">
        <f>IF($A1074="","",IF($D1074="V01",Cadrage!$C$32,IF($D1074="V02",Cadrage!$D$32,Cadrage!$E$32)))</f>
        <v/>
      </c>
      <c r="K1074">
        <f>IF($A1074="","",IF($D1074="V01",Cadrage!$C$33,IF($D1074="V02",Cadrage!$D$33,Cadrage!$E$33)))</f>
        <v/>
      </c>
      <c r="L1074">
        <f>IF($A1074="","",IF($D1074="V01",Cadrage!$C$34,IF($D1074="V02",Cadrage!$D$34,Cadrage!$E$34)))</f>
        <v/>
      </c>
      <c r="M1074">
        <f>IF($A1074="","",IF($D1074="V01",Cadrage!$C$35,IF($D1074="V02",Cadrage!$D$35,Cadrage!$E$35)))</f>
        <v/>
      </c>
      <c r="N1074">
        <f>IF($A1074="","",IF($D1074="V01",$R$2,IF($D1074="V02",$R$3,$R$4)))</f>
        <v/>
      </c>
      <c r="O1074">
        <f>IF($A1074="","",IF(OR($B1074="7062",$B1074="706",$B1074="708"),$N1074,IF($B1074="6231",1+$G1074,IF($B1074="6236",1+$H1074,IF(OR($B1074="621",$B1074="604",$B1074="6063"),$N1074*(1-$L1074),IF(OR($B1074="6411",$B1074="6413",$B1074="6414",$B1074="645"),(1+$J1074)*(1+$K1074),IF(OR($B1074="613",$B1074="615",$B1074="616",$B1074="6226",$B1074="625",$B1074="626",$B1074="6281"),(1+$I1074)*(1-$L1074)*(1+$M1074),IF(OR($B1074="6331",$B1074="63511",$B1074="6333"),(1+$I1074)*(1-$L1074),IF($B1074="6811",1+$I1074,1)))))))))</f>
        <v/>
      </c>
      <c r="P1074">
        <f>IF($A1074="","",IF($E1074=1,$F1074*$O1074,PNL!G1074))</f>
        <v/>
      </c>
      <c r="T1074">
        <f>IF($A1074="","",IF($E1074=1,IF(OR($B1074="7062",$B1074="706",$B1074="708"),$P1074,IF(AND(LEFT($B1074,1)="6",$B1074&lt;&gt;"6811"),-$P1074,0)),0))</f>
        <v/>
      </c>
    </row>
    <row r="1075">
      <c r="A1075">
        <f>IF(PNL!A1075="","",PNL!A1075)</f>
        <v/>
      </c>
      <c r="B1075">
        <f>IF(PNL!B1075="","",PNL!B1075)</f>
        <v/>
      </c>
      <c r="C1075">
        <f>IF(PNL!C1075="","",PNL!C1075)</f>
        <v/>
      </c>
      <c r="D1075">
        <f>IF(PNL!D1075="","",PNL!D1075)</f>
        <v/>
      </c>
      <c r="E1075">
        <f>IF($A1075="","",IF(AND($C1075="2027",OR($D1075="V01",$D1075="V02",$D1075="V03")),1,0))</f>
        <v/>
      </c>
      <c r="F1075">
        <f>IF($A1075="","",IF($E1075=1,SUMIFS(Comptabilité!$F$1:$F$675,Comptabilité!$A$1:$A$675,$A1075,Comptabilité!$B$1:$B$675,$B1075,Comptabilité!$C$1:$C$675,"2026"),0))</f>
        <v/>
      </c>
      <c r="G1075">
        <f>IF($A1075="","",IF($D1075="V01",Cadrage!$C$22,IF($D1075="V02",Cadrage!$D$22,Cadrage!$E$22)))</f>
        <v/>
      </c>
      <c r="H1075">
        <f>IF($A1075="","",IF($D1075="V01",Cadrage!$C$23,IF($D1075="V02",Cadrage!$D$23,Cadrage!$E$23)))</f>
        <v/>
      </c>
      <c r="I1075">
        <f>IF($A1075="","",IF($D1075="V01",Cadrage!$C$31,IF($D1075="V02",Cadrage!$D$31,Cadrage!$E$31)))</f>
        <v/>
      </c>
      <c r="J1075">
        <f>IF($A1075="","",IF($D1075="V01",Cadrage!$C$32,IF($D1075="V02",Cadrage!$D$32,Cadrage!$E$32)))</f>
        <v/>
      </c>
      <c r="K1075">
        <f>IF($A1075="","",IF($D1075="V01",Cadrage!$C$33,IF($D1075="V02",Cadrage!$D$33,Cadrage!$E$33)))</f>
        <v/>
      </c>
      <c r="L1075">
        <f>IF($A1075="","",IF($D1075="V01",Cadrage!$C$34,IF($D1075="V02",Cadrage!$D$34,Cadrage!$E$34)))</f>
        <v/>
      </c>
      <c r="M1075">
        <f>IF($A1075="","",IF($D1075="V01",Cadrage!$C$35,IF($D1075="V02",Cadrage!$D$35,Cadrage!$E$35)))</f>
        <v/>
      </c>
      <c r="N1075">
        <f>IF($A1075="","",IF($D1075="V01",$R$2,IF($D1075="V02",$R$3,$R$4)))</f>
        <v/>
      </c>
      <c r="O1075">
        <f>IF($A1075="","",IF(OR($B1075="7062",$B1075="706",$B1075="708"),$N1075,IF($B1075="6231",1+$G1075,IF($B1075="6236",1+$H1075,IF(OR($B1075="621",$B1075="604",$B1075="6063"),$N1075*(1-$L1075),IF(OR($B1075="6411",$B1075="6413",$B1075="6414",$B1075="645"),(1+$J1075)*(1+$K1075),IF(OR($B1075="613",$B1075="615",$B1075="616",$B1075="6226",$B1075="625",$B1075="626",$B1075="6281"),(1+$I1075)*(1-$L1075)*(1+$M1075),IF(OR($B1075="6331",$B1075="63511",$B1075="6333"),(1+$I1075)*(1-$L1075),IF($B1075="6811",1+$I1075,1)))))))))</f>
        <v/>
      </c>
      <c r="P1075">
        <f>IF($A1075="","",IF($E1075=1,$F1075*$O1075,PNL!G1075))</f>
        <v/>
      </c>
      <c r="T1075">
        <f>IF($A1075="","",IF($E1075=1,IF(OR($B1075="7062",$B1075="706",$B1075="708"),$P1075,IF(AND(LEFT($B1075,1)="6",$B1075&lt;&gt;"6811"),-$P1075,0)),0))</f>
        <v/>
      </c>
    </row>
    <row r="1076">
      <c r="A1076">
        <f>IF(PNL!A1076="","",PNL!A1076)</f>
        <v/>
      </c>
      <c r="B1076">
        <f>IF(PNL!B1076="","",PNL!B1076)</f>
        <v/>
      </c>
      <c r="C1076">
        <f>IF(PNL!C1076="","",PNL!C1076)</f>
        <v/>
      </c>
      <c r="D1076">
        <f>IF(PNL!D1076="","",PNL!D1076)</f>
        <v/>
      </c>
      <c r="E1076">
        <f>IF($A1076="","",IF(AND($C1076="2027",OR($D1076="V01",$D1076="V02",$D1076="V03")),1,0))</f>
        <v/>
      </c>
      <c r="F1076">
        <f>IF($A1076="","",IF($E1076=1,SUMIFS(Comptabilité!$F$1:$F$675,Comptabilité!$A$1:$A$675,$A1076,Comptabilité!$B$1:$B$675,$B1076,Comptabilité!$C$1:$C$675,"2026"),0))</f>
        <v/>
      </c>
      <c r="G1076">
        <f>IF($A1076="","",IF($D1076="V01",Cadrage!$C$22,IF($D1076="V02",Cadrage!$D$22,Cadrage!$E$22)))</f>
        <v/>
      </c>
      <c r="H1076">
        <f>IF($A1076="","",IF($D1076="V01",Cadrage!$C$23,IF($D1076="V02",Cadrage!$D$23,Cadrage!$E$23)))</f>
        <v/>
      </c>
      <c r="I1076">
        <f>IF($A1076="","",IF($D1076="V01",Cadrage!$C$31,IF($D1076="V02",Cadrage!$D$31,Cadrage!$E$31)))</f>
        <v/>
      </c>
      <c r="J1076">
        <f>IF($A1076="","",IF($D1076="V01",Cadrage!$C$32,IF($D1076="V02",Cadrage!$D$32,Cadrage!$E$32)))</f>
        <v/>
      </c>
      <c r="K1076">
        <f>IF($A1076="","",IF($D1076="V01",Cadrage!$C$33,IF($D1076="V02",Cadrage!$D$33,Cadrage!$E$33)))</f>
        <v/>
      </c>
      <c r="L1076">
        <f>IF($A1076="","",IF($D1076="V01",Cadrage!$C$34,IF($D1076="V02",Cadrage!$D$34,Cadrage!$E$34)))</f>
        <v/>
      </c>
      <c r="M1076">
        <f>IF($A1076="","",IF($D1076="V01",Cadrage!$C$35,IF($D1076="V02",Cadrage!$D$35,Cadrage!$E$35)))</f>
        <v/>
      </c>
      <c r="N1076">
        <f>IF($A1076="","",IF($D1076="V01",$R$2,IF($D1076="V02",$R$3,$R$4)))</f>
        <v/>
      </c>
      <c r="O1076">
        <f>IF($A1076="","",IF(OR($B1076="7062",$B1076="706",$B1076="708"),$N1076,IF($B1076="6231",1+$G1076,IF($B1076="6236",1+$H1076,IF(OR($B1076="621",$B1076="604",$B1076="6063"),$N1076*(1-$L1076),IF(OR($B1076="6411",$B1076="6413",$B1076="6414",$B1076="645"),(1+$J1076)*(1+$K1076),IF(OR($B1076="613",$B1076="615",$B1076="616",$B1076="6226",$B1076="625",$B1076="626",$B1076="6281"),(1+$I1076)*(1-$L1076)*(1+$M1076),IF(OR($B1076="6331",$B1076="63511",$B1076="6333"),(1+$I1076)*(1-$L1076),IF($B1076="6811",1+$I1076,1)))))))))</f>
        <v/>
      </c>
      <c r="P1076">
        <f>IF($A1076="","",IF($E1076=1,$F1076*$O1076,PNL!G1076))</f>
        <v/>
      </c>
      <c r="T1076">
        <f>IF($A1076="","",IF($E1076=1,IF(OR($B1076="7062",$B1076="706",$B1076="708"),$P1076,IF(AND(LEFT($B1076,1)="6",$B1076&lt;&gt;"6811"),-$P1076,0)),0))</f>
        <v/>
      </c>
    </row>
    <row r="1077">
      <c r="A1077">
        <f>IF(PNL!A1077="","",PNL!A1077)</f>
        <v/>
      </c>
      <c r="B1077">
        <f>IF(PNL!B1077="","",PNL!B1077)</f>
        <v/>
      </c>
      <c r="C1077">
        <f>IF(PNL!C1077="","",PNL!C1077)</f>
        <v/>
      </c>
      <c r="D1077">
        <f>IF(PNL!D1077="","",PNL!D1077)</f>
        <v/>
      </c>
      <c r="E1077">
        <f>IF($A1077="","",IF(AND($C1077="2027",OR($D1077="V01",$D1077="V02",$D1077="V03")),1,0))</f>
        <v/>
      </c>
      <c r="F1077">
        <f>IF($A1077="","",IF($E1077=1,SUMIFS(Comptabilité!$F$1:$F$675,Comptabilité!$A$1:$A$675,$A1077,Comptabilité!$B$1:$B$675,$B1077,Comptabilité!$C$1:$C$675,"2026"),0))</f>
        <v/>
      </c>
      <c r="G1077">
        <f>IF($A1077="","",IF($D1077="V01",Cadrage!$C$22,IF($D1077="V02",Cadrage!$D$22,Cadrage!$E$22)))</f>
        <v/>
      </c>
      <c r="H1077">
        <f>IF($A1077="","",IF($D1077="V01",Cadrage!$C$23,IF($D1077="V02",Cadrage!$D$23,Cadrage!$E$23)))</f>
        <v/>
      </c>
      <c r="I1077">
        <f>IF($A1077="","",IF($D1077="V01",Cadrage!$C$31,IF($D1077="V02",Cadrage!$D$31,Cadrage!$E$31)))</f>
        <v/>
      </c>
      <c r="J1077">
        <f>IF($A1077="","",IF($D1077="V01",Cadrage!$C$32,IF($D1077="V02",Cadrage!$D$32,Cadrage!$E$32)))</f>
        <v/>
      </c>
      <c r="K1077">
        <f>IF($A1077="","",IF($D1077="V01",Cadrage!$C$33,IF($D1077="V02",Cadrage!$D$33,Cadrage!$E$33)))</f>
        <v/>
      </c>
      <c r="L1077">
        <f>IF($A1077="","",IF($D1077="V01",Cadrage!$C$34,IF($D1077="V02",Cadrage!$D$34,Cadrage!$E$34)))</f>
        <v/>
      </c>
      <c r="M1077">
        <f>IF($A1077="","",IF($D1077="V01",Cadrage!$C$35,IF($D1077="V02",Cadrage!$D$35,Cadrage!$E$35)))</f>
        <v/>
      </c>
      <c r="N1077">
        <f>IF($A1077="","",IF($D1077="V01",$R$2,IF($D1077="V02",$R$3,$R$4)))</f>
        <v/>
      </c>
      <c r="O1077">
        <f>IF($A1077="","",IF(OR($B1077="7062",$B1077="706",$B1077="708"),$N1077,IF($B1077="6231",1+$G1077,IF($B1077="6236",1+$H1077,IF(OR($B1077="621",$B1077="604",$B1077="6063"),$N1077*(1-$L1077),IF(OR($B1077="6411",$B1077="6413",$B1077="6414",$B1077="645"),(1+$J1077)*(1+$K1077),IF(OR($B1077="613",$B1077="615",$B1077="616",$B1077="6226",$B1077="625",$B1077="626",$B1077="6281"),(1+$I1077)*(1-$L1077)*(1+$M1077),IF(OR($B1077="6331",$B1077="63511",$B1077="6333"),(1+$I1077)*(1-$L1077),IF($B1077="6811",1+$I1077,1)))))))))</f>
        <v/>
      </c>
      <c r="P1077">
        <f>IF($A1077="","",IF($E1077=1,$F1077*$O1077,PNL!G1077))</f>
        <v/>
      </c>
      <c r="T1077">
        <f>IF($A1077="","",IF($E1077=1,IF(OR($B1077="7062",$B1077="706",$B1077="708"),$P1077,IF(AND(LEFT($B1077,1)="6",$B1077&lt;&gt;"6811"),-$P1077,0)),0))</f>
        <v/>
      </c>
    </row>
    <row r="1078">
      <c r="A1078">
        <f>IF(PNL!A1078="","",PNL!A1078)</f>
        <v/>
      </c>
      <c r="B1078">
        <f>IF(PNL!B1078="","",PNL!B1078)</f>
        <v/>
      </c>
      <c r="C1078">
        <f>IF(PNL!C1078="","",PNL!C1078)</f>
        <v/>
      </c>
      <c r="D1078">
        <f>IF(PNL!D1078="","",PNL!D1078)</f>
        <v/>
      </c>
      <c r="E1078">
        <f>IF($A1078="","",IF(AND($C1078="2027",OR($D1078="V01",$D1078="V02",$D1078="V03")),1,0))</f>
        <v/>
      </c>
      <c r="F1078">
        <f>IF($A1078="","",IF($E1078=1,SUMIFS(Comptabilité!$F$1:$F$675,Comptabilité!$A$1:$A$675,$A1078,Comptabilité!$B$1:$B$675,$B1078,Comptabilité!$C$1:$C$675,"2026"),0))</f>
        <v/>
      </c>
      <c r="G1078">
        <f>IF($A1078="","",IF($D1078="V01",Cadrage!$C$22,IF($D1078="V02",Cadrage!$D$22,Cadrage!$E$22)))</f>
        <v/>
      </c>
      <c r="H1078">
        <f>IF($A1078="","",IF($D1078="V01",Cadrage!$C$23,IF($D1078="V02",Cadrage!$D$23,Cadrage!$E$23)))</f>
        <v/>
      </c>
      <c r="I1078">
        <f>IF($A1078="","",IF($D1078="V01",Cadrage!$C$31,IF($D1078="V02",Cadrage!$D$31,Cadrage!$E$31)))</f>
        <v/>
      </c>
      <c r="J1078">
        <f>IF($A1078="","",IF($D1078="V01",Cadrage!$C$32,IF($D1078="V02",Cadrage!$D$32,Cadrage!$E$32)))</f>
        <v/>
      </c>
      <c r="K1078">
        <f>IF($A1078="","",IF($D1078="V01",Cadrage!$C$33,IF($D1078="V02",Cadrage!$D$33,Cadrage!$E$33)))</f>
        <v/>
      </c>
      <c r="L1078">
        <f>IF($A1078="","",IF($D1078="V01",Cadrage!$C$34,IF($D1078="V02",Cadrage!$D$34,Cadrage!$E$34)))</f>
        <v/>
      </c>
      <c r="M1078">
        <f>IF($A1078="","",IF($D1078="V01",Cadrage!$C$35,IF($D1078="V02",Cadrage!$D$35,Cadrage!$E$35)))</f>
        <v/>
      </c>
      <c r="N1078">
        <f>IF($A1078="","",IF($D1078="V01",$R$2,IF($D1078="V02",$R$3,$R$4)))</f>
        <v/>
      </c>
      <c r="O1078">
        <f>IF($A1078="","",IF(OR($B1078="7062",$B1078="706",$B1078="708"),$N1078,IF($B1078="6231",1+$G1078,IF($B1078="6236",1+$H1078,IF(OR($B1078="621",$B1078="604",$B1078="6063"),$N1078*(1-$L1078),IF(OR($B1078="6411",$B1078="6413",$B1078="6414",$B1078="645"),(1+$J1078)*(1+$K1078),IF(OR($B1078="613",$B1078="615",$B1078="616",$B1078="6226",$B1078="625",$B1078="626",$B1078="6281"),(1+$I1078)*(1-$L1078)*(1+$M1078),IF(OR($B1078="6331",$B1078="63511",$B1078="6333"),(1+$I1078)*(1-$L1078),IF($B1078="6811",1+$I1078,1)))))))))</f>
        <v/>
      </c>
      <c r="P1078">
        <f>IF($A1078="","",IF($E1078=1,$F1078*$O1078,PNL!G1078))</f>
        <v/>
      </c>
      <c r="T1078">
        <f>IF($A1078="","",IF($E1078=1,IF(OR($B1078="7062",$B1078="706",$B1078="708"),$P1078,IF(AND(LEFT($B1078,1)="6",$B1078&lt;&gt;"6811"),-$P1078,0)),0))</f>
        <v/>
      </c>
    </row>
    <row r="1079">
      <c r="A1079">
        <f>IF(PNL!A1079="","",PNL!A1079)</f>
        <v/>
      </c>
      <c r="B1079">
        <f>IF(PNL!B1079="","",PNL!B1079)</f>
        <v/>
      </c>
      <c r="C1079">
        <f>IF(PNL!C1079="","",PNL!C1079)</f>
        <v/>
      </c>
      <c r="D1079">
        <f>IF(PNL!D1079="","",PNL!D1079)</f>
        <v/>
      </c>
      <c r="E1079">
        <f>IF($A1079="","",IF(AND($C1079="2027",OR($D1079="V01",$D1079="V02",$D1079="V03")),1,0))</f>
        <v/>
      </c>
      <c r="F1079">
        <f>IF($A1079="","",IF($E1079=1,SUMIFS(Comptabilité!$F$1:$F$675,Comptabilité!$A$1:$A$675,$A1079,Comptabilité!$B$1:$B$675,$B1079,Comptabilité!$C$1:$C$675,"2026"),0))</f>
        <v/>
      </c>
      <c r="G1079">
        <f>IF($A1079="","",IF($D1079="V01",Cadrage!$C$22,IF($D1079="V02",Cadrage!$D$22,Cadrage!$E$22)))</f>
        <v/>
      </c>
      <c r="H1079">
        <f>IF($A1079="","",IF($D1079="V01",Cadrage!$C$23,IF($D1079="V02",Cadrage!$D$23,Cadrage!$E$23)))</f>
        <v/>
      </c>
      <c r="I1079">
        <f>IF($A1079="","",IF($D1079="V01",Cadrage!$C$31,IF($D1079="V02",Cadrage!$D$31,Cadrage!$E$31)))</f>
        <v/>
      </c>
      <c r="J1079">
        <f>IF($A1079="","",IF($D1079="V01",Cadrage!$C$32,IF($D1079="V02",Cadrage!$D$32,Cadrage!$E$32)))</f>
        <v/>
      </c>
      <c r="K1079">
        <f>IF($A1079="","",IF($D1079="V01",Cadrage!$C$33,IF($D1079="V02",Cadrage!$D$33,Cadrage!$E$33)))</f>
        <v/>
      </c>
      <c r="L1079">
        <f>IF($A1079="","",IF($D1079="V01",Cadrage!$C$34,IF($D1079="V02",Cadrage!$D$34,Cadrage!$E$34)))</f>
        <v/>
      </c>
      <c r="M1079">
        <f>IF($A1079="","",IF($D1079="V01",Cadrage!$C$35,IF($D1079="V02",Cadrage!$D$35,Cadrage!$E$35)))</f>
        <v/>
      </c>
      <c r="N1079">
        <f>IF($A1079="","",IF($D1079="V01",$R$2,IF($D1079="V02",$R$3,$R$4)))</f>
        <v/>
      </c>
      <c r="O1079">
        <f>IF($A1079="","",IF(OR($B1079="7062",$B1079="706",$B1079="708"),$N1079,IF($B1079="6231",1+$G1079,IF($B1079="6236",1+$H1079,IF(OR($B1079="621",$B1079="604",$B1079="6063"),$N1079*(1-$L1079),IF(OR($B1079="6411",$B1079="6413",$B1079="6414",$B1079="645"),(1+$J1079)*(1+$K1079),IF(OR($B1079="613",$B1079="615",$B1079="616",$B1079="6226",$B1079="625",$B1079="626",$B1079="6281"),(1+$I1079)*(1-$L1079)*(1+$M1079),IF(OR($B1079="6331",$B1079="63511",$B1079="6333"),(1+$I1079)*(1-$L1079),IF($B1079="6811",1+$I1079,1)))))))))</f>
        <v/>
      </c>
      <c r="P1079">
        <f>IF($A1079="","",IF($E1079=1,$F1079*$O1079,PNL!G1079))</f>
        <v/>
      </c>
      <c r="T1079">
        <f>IF($A1079="","",IF($E1079=1,IF(OR($B1079="7062",$B1079="706",$B1079="708"),$P1079,IF(AND(LEFT($B1079,1)="6",$B1079&lt;&gt;"6811"),-$P1079,0)),0))</f>
        <v/>
      </c>
    </row>
    <row r="1080">
      <c r="A1080">
        <f>IF(PNL!A1080="","",PNL!A1080)</f>
        <v/>
      </c>
      <c r="B1080">
        <f>IF(PNL!B1080="","",PNL!B1080)</f>
        <v/>
      </c>
      <c r="C1080">
        <f>IF(PNL!C1080="","",PNL!C1080)</f>
        <v/>
      </c>
      <c r="D1080">
        <f>IF(PNL!D1080="","",PNL!D1080)</f>
        <v/>
      </c>
      <c r="E1080">
        <f>IF($A1080="","",IF(AND($C1080="2027",OR($D1080="V01",$D1080="V02",$D1080="V03")),1,0))</f>
        <v/>
      </c>
      <c r="F1080">
        <f>IF($A1080="","",IF($E1080=1,SUMIFS(Comptabilité!$F$1:$F$675,Comptabilité!$A$1:$A$675,$A1080,Comptabilité!$B$1:$B$675,$B1080,Comptabilité!$C$1:$C$675,"2026"),0))</f>
        <v/>
      </c>
      <c r="G1080">
        <f>IF($A1080="","",IF($D1080="V01",Cadrage!$C$22,IF($D1080="V02",Cadrage!$D$22,Cadrage!$E$22)))</f>
        <v/>
      </c>
      <c r="H1080">
        <f>IF($A1080="","",IF($D1080="V01",Cadrage!$C$23,IF($D1080="V02",Cadrage!$D$23,Cadrage!$E$23)))</f>
        <v/>
      </c>
      <c r="I1080">
        <f>IF($A1080="","",IF($D1080="V01",Cadrage!$C$31,IF($D1080="V02",Cadrage!$D$31,Cadrage!$E$31)))</f>
        <v/>
      </c>
      <c r="J1080">
        <f>IF($A1080="","",IF($D1080="V01",Cadrage!$C$32,IF($D1080="V02",Cadrage!$D$32,Cadrage!$E$32)))</f>
        <v/>
      </c>
      <c r="K1080">
        <f>IF($A1080="","",IF($D1080="V01",Cadrage!$C$33,IF($D1080="V02",Cadrage!$D$33,Cadrage!$E$33)))</f>
        <v/>
      </c>
      <c r="L1080">
        <f>IF($A1080="","",IF($D1080="V01",Cadrage!$C$34,IF($D1080="V02",Cadrage!$D$34,Cadrage!$E$34)))</f>
        <v/>
      </c>
      <c r="M1080">
        <f>IF($A1080="","",IF($D1080="V01",Cadrage!$C$35,IF($D1080="V02",Cadrage!$D$35,Cadrage!$E$35)))</f>
        <v/>
      </c>
      <c r="N1080">
        <f>IF($A1080="","",IF($D1080="V01",$R$2,IF($D1080="V02",$R$3,$R$4)))</f>
        <v/>
      </c>
      <c r="O1080">
        <f>IF($A1080="","",IF(OR($B1080="7062",$B1080="706",$B1080="708"),$N1080,IF($B1080="6231",1+$G1080,IF($B1080="6236",1+$H1080,IF(OR($B1080="621",$B1080="604",$B1080="6063"),$N1080*(1-$L1080),IF(OR($B1080="6411",$B1080="6413",$B1080="6414",$B1080="645"),(1+$J1080)*(1+$K1080),IF(OR($B1080="613",$B1080="615",$B1080="616",$B1080="6226",$B1080="625",$B1080="626",$B1080="6281"),(1+$I1080)*(1-$L1080)*(1+$M1080),IF(OR($B1080="6331",$B1080="63511",$B1080="6333"),(1+$I1080)*(1-$L1080),IF($B1080="6811",1+$I1080,1)))))))))</f>
        <v/>
      </c>
      <c r="P1080">
        <f>IF($A1080="","",IF($E1080=1,$F1080*$O1080,PNL!G1080))</f>
        <v/>
      </c>
      <c r="T1080">
        <f>IF($A1080="","",IF($E1080=1,IF(OR($B1080="7062",$B1080="706",$B1080="708"),$P1080,IF(AND(LEFT($B1080,1)="6",$B1080&lt;&gt;"6811"),-$P1080,0)),0))</f>
        <v/>
      </c>
    </row>
    <row r="1081">
      <c r="A1081">
        <f>IF(PNL!A1081="","",PNL!A1081)</f>
        <v/>
      </c>
      <c r="B1081">
        <f>IF(PNL!B1081="","",PNL!B1081)</f>
        <v/>
      </c>
      <c r="C1081">
        <f>IF(PNL!C1081="","",PNL!C1081)</f>
        <v/>
      </c>
      <c r="D1081">
        <f>IF(PNL!D1081="","",PNL!D1081)</f>
        <v/>
      </c>
      <c r="E1081">
        <f>IF($A1081="","",IF(AND($C1081="2027",OR($D1081="V01",$D1081="V02",$D1081="V03")),1,0))</f>
        <v/>
      </c>
      <c r="F1081">
        <f>IF($A1081="","",IF($E1081=1,SUMIFS(Comptabilité!$F$1:$F$675,Comptabilité!$A$1:$A$675,$A1081,Comptabilité!$B$1:$B$675,$B1081,Comptabilité!$C$1:$C$675,"2026"),0))</f>
        <v/>
      </c>
      <c r="G1081">
        <f>IF($A1081="","",IF($D1081="V01",Cadrage!$C$22,IF($D1081="V02",Cadrage!$D$22,Cadrage!$E$22)))</f>
        <v/>
      </c>
      <c r="H1081">
        <f>IF($A1081="","",IF($D1081="V01",Cadrage!$C$23,IF($D1081="V02",Cadrage!$D$23,Cadrage!$E$23)))</f>
        <v/>
      </c>
      <c r="I1081">
        <f>IF($A1081="","",IF($D1081="V01",Cadrage!$C$31,IF($D1081="V02",Cadrage!$D$31,Cadrage!$E$31)))</f>
        <v/>
      </c>
      <c r="J1081">
        <f>IF($A1081="","",IF($D1081="V01",Cadrage!$C$32,IF($D1081="V02",Cadrage!$D$32,Cadrage!$E$32)))</f>
        <v/>
      </c>
      <c r="K1081">
        <f>IF($A1081="","",IF($D1081="V01",Cadrage!$C$33,IF($D1081="V02",Cadrage!$D$33,Cadrage!$E$33)))</f>
        <v/>
      </c>
      <c r="L1081">
        <f>IF($A1081="","",IF($D1081="V01",Cadrage!$C$34,IF($D1081="V02",Cadrage!$D$34,Cadrage!$E$34)))</f>
        <v/>
      </c>
      <c r="M1081">
        <f>IF($A1081="","",IF($D1081="V01",Cadrage!$C$35,IF($D1081="V02",Cadrage!$D$35,Cadrage!$E$35)))</f>
        <v/>
      </c>
      <c r="N1081">
        <f>IF($A1081="","",IF($D1081="V01",$R$2,IF($D1081="V02",$R$3,$R$4)))</f>
        <v/>
      </c>
      <c r="O1081">
        <f>IF($A1081="","",IF(OR($B1081="7062",$B1081="706",$B1081="708"),$N1081,IF($B1081="6231",1+$G1081,IF($B1081="6236",1+$H1081,IF(OR($B1081="621",$B1081="604",$B1081="6063"),$N1081*(1-$L1081),IF(OR($B1081="6411",$B1081="6413",$B1081="6414",$B1081="645"),(1+$J1081)*(1+$K1081),IF(OR($B1081="613",$B1081="615",$B1081="616",$B1081="6226",$B1081="625",$B1081="626",$B1081="6281"),(1+$I1081)*(1-$L1081)*(1+$M1081),IF(OR($B1081="6331",$B1081="63511",$B1081="6333"),(1+$I1081)*(1-$L1081),IF($B1081="6811",1+$I1081,1)))))))))</f>
        <v/>
      </c>
      <c r="P1081">
        <f>IF($A1081="","",IF($E1081=1,$F1081*$O1081,PNL!G1081))</f>
        <v/>
      </c>
      <c r="T1081">
        <f>IF($A1081="","",IF($E1081=1,IF(OR($B1081="7062",$B1081="706",$B1081="708"),$P1081,IF(AND(LEFT($B1081,1)="6",$B1081&lt;&gt;"6811"),-$P1081,0)),0))</f>
        <v/>
      </c>
    </row>
    <row r="1082">
      <c r="A1082">
        <f>IF(PNL!A1082="","",PNL!A1082)</f>
        <v/>
      </c>
      <c r="B1082">
        <f>IF(PNL!B1082="","",PNL!B1082)</f>
        <v/>
      </c>
      <c r="C1082">
        <f>IF(PNL!C1082="","",PNL!C1082)</f>
        <v/>
      </c>
      <c r="D1082">
        <f>IF(PNL!D1082="","",PNL!D1082)</f>
        <v/>
      </c>
      <c r="E1082">
        <f>IF($A1082="","",IF(AND($C1082="2027",OR($D1082="V01",$D1082="V02",$D1082="V03")),1,0))</f>
        <v/>
      </c>
      <c r="F1082">
        <f>IF($A1082="","",IF($E1082=1,SUMIFS(Comptabilité!$F$1:$F$675,Comptabilité!$A$1:$A$675,$A1082,Comptabilité!$B$1:$B$675,$B1082,Comptabilité!$C$1:$C$675,"2026"),0))</f>
        <v/>
      </c>
      <c r="G1082">
        <f>IF($A1082="","",IF($D1082="V01",Cadrage!$C$22,IF($D1082="V02",Cadrage!$D$22,Cadrage!$E$22)))</f>
        <v/>
      </c>
      <c r="H1082">
        <f>IF($A1082="","",IF($D1082="V01",Cadrage!$C$23,IF($D1082="V02",Cadrage!$D$23,Cadrage!$E$23)))</f>
        <v/>
      </c>
      <c r="I1082">
        <f>IF($A1082="","",IF($D1082="V01",Cadrage!$C$31,IF($D1082="V02",Cadrage!$D$31,Cadrage!$E$31)))</f>
        <v/>
      </c>
      <c r="J1082">
        <f>IF($A1082="","",IF($D1082="V01",Cadrage!$C$32,IF($D1082="V02",Cadrage!$D$32,Cadrage!$E$32)))</f>
        <v/>
      </c>
      <c r="K1082">
        <f>IF($A1082="","",IF($D1082="V01",Cadrage!$C$33,IF($D1082="V02",Cadrage!$D$33,Cadrage!$E$33)))</f>
        <v/>
      </c>
      <c r="L1082">
        <f>IF($A1082="","",IF($D1082="V01",Cadrage!$C$34,IF($D1082="V02",Cadrage!$D$34,Cadrage!$E$34)))</f>
        <v/>
      </c>
      <c r="M1082">
        <f>IF($A1082="","",IF($D1082="V01",Cadrage!$C$35,IF($D1082="V02",Cadrage!$D$35,Cadrage!$E$35)))</f>
        <v/>
      </c>
      <c r="N1082">
        <f>IF($A1082="","",IF($D1082="V01",$R$2,IF($D1082="V02",$R$3,$R$4)))</f>
        <v/>
      </c>
      <c r="O1082">
        <f>IF($A1082="","",IF(OR($B1082="7062",$B1082="706",$B1082="708"),$N1082,IF($B1082="6231",1+$G1082,IF($B1082="6236",1+$H1082,IF(OR($B1082="621",$B1082="604",$B1082="6063"),$N1082*(1-$L1082),IF(OR($B1082="6411",$B1082="6413",$B1082="6414",$B1082="645"),(1+$J1082)*(1+$K1082),IF(OR($B1082="613",$B1082="615",$B1082="616",$B1082="6226",$B1082="625",$B1082="626",$B1082="6281"),(1+$I1082)*(1-$L1082)*(1+$M1082),IF(OR($B1082="6331",$B1082="63511",$B1082="6333"),(1+$I1082)*(1-$L1082),IF($B1082="6811",1+$I1082,1)))))))))</f>
        <v/>
      </c>
      <c r="P1082">
        <f>IF($A1082="","",IF($E1082=1,$F1082*$O1082,PNL!G1082))</f>
        <v/>
      </c>
      <c r="T1082">
        <f>IF($A1082="","",IF($E1082=1,IF(OR($B1082="7062",$B1082="706",$B1082="708"),$P1082,IF(AND(LEFT($B1082,1)="6",$B1082&lt;&gt;"6811"),-$P1082,0)),0))</f>
        <v/>
      </c>
    </row>
    <row r="1083">
      <c r="A1083">
        <f>IF(PNL!A1083="","",PNL!A1083)</f>
        <v/>
      </c>
      <c r="B1083">
        <f>IF(PNL!B1083="","",PNL!B1083)</f>
        <v/>
      </c>
      <c r="C1083">
        <f>IF(PNL!C1083="","",PNL!C1083)</f>
        <v/>
      </c>
      <c r="D1083">
        <f>IF(PNL!D1083="","",PNL!D1083)</f>
        <v/>
      </c>
      <c r="E1083">
        <f>IF($A1083="","",IF(AND($C1083="2027",OR($D1083="V01",$D1083="V02",$D1083="V03")),1,0))</f>
        <v/>
      </c>
      <c r="F1083">
        <f>IF($A1083="","",IF($E1083=1,SUMIFS(Comptabilité!$F$1:$F$675,Comptabilité!$A$1:$A$675,$A1083,Comptabilité!$B$1:$B$675,$B1083,Comptabilité!$C$1:$C$675,"2026"),0))</f>
        <v/>
      </c>
      <c r="G1083">
        <f>IF($A1083="","",IF($D1083="V01",Cadrage!$C$22,IF($D1083="V02",Cadrage!$D$22,Cadrage!$E$22)))</f>
        <v/>
      </c>
      <c r="H1083">
        <f>IF($A1083="","",IF($D1083="V01",Cadrage!$C$23,IF($D1083="V02",Cadrage!$D$23,Cadrage!$E$23)))</f>
        <v/>
      </c>
      <c r="I1083">
        <f>IF($A1083="","",IF($D1083="V01",Cadrage!$C$31,IF($D1083="V02",Cadrage!$D$31,Cadrage!$E$31)))</f>
        <v/>
      </c>
      <c r="J1083">
        <f>IF($A1083="","",IF($D1083="V01",Cadrage!$C$32,IF($D1083="V02",Cadrage!$D$32,Cadrage!$E$32)))</f>
        <v/>
      </c>
      <c r="K1083">
        <f>IF($A1083="","",IF($D1083="V01",Cadrage!$C$33,IF($D1083="V02",Cadrage!$D$33,Cadrage!$E$33)))</f>
        <v/>
      </c>
      <c r="L1083">
        <f>IF($A1083="","",IF($D1083="V01",Cadrage!$C$34,IF($D1083="V02",Cadrage!$D$34,Cadrage!$E$34)))</f>
        <v/>
      </c>
      <c r="M1083">
        <f>IF($A1083="","",IF($D1083="V01",Cadrage!$C$35,IF($D1083="V02",Cadrage!$D$35,Cadrage!$E$35)))</f>
        <v/>
      </c>
      <c r="N1083">
        <f>IF($A1083="","",IF($D1083="V01",$R$2,IF($D1083="V02",$R$3,$R$4)))</f>
        <v/>
      </c>
      <c r="O1083">
        <f>IF($A1083="","",IF(OR($B1083="7062",$B1083="706",$B1083="708"),$N1083,IF($B1083="6231",1+$G1083,IF($B1083="6236",1+$H1083,IF(OR($B1083="621",$B1083="604",$B1083="6063"),$N1083*(1-$L1083),IF(OR($B1083="6411",$B1083="6413",$B1083="6414",$B1083="645"),(1+$J1083)*(1+$K1083),IF(OR($B1083="613",$B1083="615",$B1083="616",$B1083="6226",$B1083="625",$B1083="626",$B1083="6281"),(1+$I1083)*(1-$L1083)*(1+$M1083),IF(OR($B1083="6331",$B1083="63511",$B1083="6333"),(1+$I1083)*(1-$L1083),IF($B1083="6811",1+$I1083,1)))))))))</f>
        <v/>
      </c>
      <c r="P1083">
        <f>IF($A1083="","",IF($E1083=1,$F1083*$O1083,PNL!G1083))</f>
        <v/>
      </c>
      <c r="T1083">
        <f>IF($A1083="","",IF($E1083=1,IF(OR($B1083="7062",$B1083="706",$B1083="708"),$P1083,IF(AND(LEFT($B1083,1)="6",$B1083&lt;&gt;"6811"),-$P1083,0)),0))</f>
        <v/>
      </c>
    </row>
    <row r="1084">
      <c r="A1084">
        <f>IF(PNL!A1084="","",PNL!A1084)</f>
        <v/>
      </c>
      <c r="B1084">
        <f>IF(PNL!B1084="","",PNL!B1084)</f>
        <v/>
      </c>
      <c r="C1084">
        <f>IF(PNL!C1084="","",PNL!C1084)</f>
        <v/>
      </c>
      <c r="D1084">
        <f>IF(PNL!D1084="","",PNL!D1084)</f>
        <v/>
      </c>
      <c r="E1084">
        <f>IF($A1084="","",IF(AND($C1084="2027",OR($D1084="V01",$D1084="V02",$D1084="V03")),1,0))</f>
        <v/>
      </c>
      <c r="F1084">
        <f>IF($A1084="","",IF($E1084=1,SUMIFS(Comptabilité!$F$1:$F$675,Comptabilité!$A$1:$A$675,$A1084,Comptabilité!$B$1:$B$675,$B1084,Comptabilité!$C$1:$C$675,"2026"),0))</f>
        <v/>
      </c>
      <c r="G1084">
        <f>IF($A1084="","",IF($D1084="V01",Cadrage!$C$22,IF($D1084="V02",Cadrage!$D$22,Cadrage!$E$22)))</f>
        <v/>
      </c>
      <c r="H1084">
        <f>IF($A1084="","",IF($D1084="V01",Cadrage!$C$23,IF($D1084="V02",Cadrage!$D$23,Cadrage!$E$23)))</f>
        <v/>
      </c>
      <c r="I1084">
        <f>IF($A1084="","",IF($D1084="V01",Cadrage!$C$31,IF($D1084="V02",Cadrage!$D$31,Cadrage!$E$31)))</f>
        <v/>
      </c>
      <c r="J1084">
        <f>IF($A1084="","",IF($D1084="V01",Cadrage!$C$32,IF($D1084="V02",Cadrage!$D$32,Cadrage!$E$32)))</f>
        <v/>
      </c>
      <c r="K1084">
        <f>IF($A1084="","",IF($D1084="V01",Cadrage!$C$33,IF($D1084="V02",Cadrage!$D$33,Cadrage!$E$33)))</f>
        <v/>
      </c>
      <c r="L1084">
        <f>IF($A1084="","",IF($D1084="V01",Cadrage!$C$34,IF($D1084="V02",Cadrage!$D$34,Cadrage!$E$34)))</f>
        <v/>
      </c>
      <c r="M1084">
        <f>IF($A1084="","",IF($D1084="V01",Cadrage!$C$35,IF($D1084="V02",Cadrage!$D$35,Cadrage!$E$35)))</f>
        <v/>
      </c>
      <c r="N1084">
        <f>IF($A1084="","",IF($D1084="V01",$R$2,IF($D1084="V02",$R$3,$R$4)))</f>
        <v/>
      </c>
      <c r="O1084">
        <f>IF($A1084="","",IF(OR($B1084="7062",$B1084="706",$B1084="708"),$N1084,IF($B1084="6231",1+$G1084,IF($B1084="6236",1+$H1084,IF(OR($B1084="621",$B1084="604",$B1084="6063"),$N1084*(1-$L1084),IF(OR($B1084="6411",$B1084="6413",$B1084="6414",$B1084="645"),(1+$J1084)*(1+$K1084),IF(OR($B1084="613",$B1084="615",$B1084="616",$B1084="6226",$B1084="625",$B1084="626",$B1084="6281"),(1+$I1084)*(1-$L1084)*(1+$M1084),IF(OR($B1084="6331",$B1084="63511",$B1084="6333"),(1+$I1084)*(1-$L1084),IF($B1084="6811",1+$I1084,1)))))))))</f>
        <v/>
      </c>
      <c r="P1084">
        <f>IF($A1084="","",IF($E1084=1,$F1084*$O1084,PNL!G1084))</f>
        <v/>
      </c>
      <c r="T1084">
        <f>IF($A1084="","",IF($E1084=1,IF(OR($B1084="7062",$B1084="706",$B1084="708"),$P1084,IF(AND(LEFT($B1084,1)="6",$B1084&lt;&gt;"6811"),-$P1084,0)),0))</f>
        <v/>
      </c>
    </row>
    <row r="1085">
      <c r="A1085">
        <f>IF(PNL!A1085="","",PNL!A1085)</f>
        <v/>
      </c>
      <c r="B1085">
        <f>IF(PNL!B1085="","",PNL!B1085)</f>
        <v/>
      </c>
      <c r="C1085">
        <f>IF(PNL!C1085="","",PNL!C1085)</f>
        <v/>
      </c>
      <c r="D1085">
        <f>IF(PNL!D1085="","",PNL!D1085)</f>
        <v/>
      </c>
      <c r="E1085">
        <f>IF($A1085="","",IF(AND($C1085="2027",OR($D1085="V01",$D1085="V02",$D1085="V03")),1,0))</f>
        <v/>
      </c>
      <c r="F1085">
        <f>IF($A1085="","",IF($E1085=1,SUMIFS(Comptabilité!$F$1:$F$675,Comptabilité!$A$1:$A$675,$A1085,Comptabilité!$B$1:$B$675,$B1085,Comptabilité!$C$1:$C$675,"2026"),0))</f>
        <v/>
      </c>
      <c r="G1085">
        <f>IF($A1085="","",IF($D1085="V01",Cadrage!$C$22,IF($D1085="V02",Cadrage!$D$22,Cadrage!$E$22)))</f>
        <v/>
      </c>
      <c r="H1085">
        <f>IF($A1085="","",IF($D1085="V01",Cadrage!$C$23,IF($D1085="V02",Cadrage!$D$23,Cadrage!$E$23)))</f>
        <v/>
      </c>
      <c r="I1085">
        <f>IF($A1085="","",IF($D1085="V01",Cadrage!$C$31,IF($D1085="V02",Cadrage!$D$31,Cadrage!$E$31)))</f>
        <v/>
      </c>
      <c r="J1085">
        <f>IF($A1085="","",IF($D1085="V01",Cadrage!$C$32,IF($D1085="V02",Cadrage!$D$32,Cadrage!$E$32)))</f>
        <v/>
      </c>
      <c r="K1085">
        <f>IF($A1085="","",IF($D1085="V01",Cadrage!$C$33,IF($D1085="V02",Cadrage!$D$33,Cadrage!$E$33)))</f>
        <v/>
      </c>
      <c r="L1085">
        <f>IF($A1085="","",IF($D1085="V01",Cadrage!$C$34,IF($D1085="V02",Cadrage!$D$34,Cadrage!$E$34)))</f>
        <v/>
      </c>
      <c r="M1085">
        <f>IF($A1085="","",IF($D1085="V01",Cadrage!$C$35,IF($D1085="V02",Cadrage!$D$35,Cadrage!$E$35)))</f>
        <v/>
      </c>
      <c r="N1085">
        <f>IF($A1085="","",IF($D1085="V01",$R$2,IF($D1085="V02",$R$3,$R$4)))</f>
        <v/>
      </c>
      <c r="O1085">
        <f>IF($A1085="","",IF(OR($B1085="7062",$B1085="706",$B1085="708"),$N1085,IF($B1085="6231",1+$G1085,IF($B1085="6236",1+$H1085,IF(OR($B1085="621",$B1085="604",$B1085="6063"),$N1085*(1-$L1085),IF(OR($B1085="6411",$B1085="6413",$B1085="6414",$B1085="645"),(1+$J1085)*(1+$K1085),IF(OR($B1085="613",$B1085="615",$B1085="616",$B1085="6226",$B1085="625",$B1085="626",$B1085="6281"),(1+$I1085)*(1-$L1085)*(1+$M1085),IF(OR($B1085="6331",$B1085="63511",$B1085="6333"),(1+$I1085)*(1-$L1085),IF($B1085="6811",1+$I1085,1)))))))))</f>
        <v/>
      </c>
      <c r="P1085">
        <f>IF($A1085="","",IF($E1085=1,$F1085*$O1085,PNL!G1085))</f>
        <v/>
      </c>
      <c r="T1085">
        <f>IF($A1085="","",IF($E1085=1,IF(OR($B1085="7062",$B1085="706",$B1085="708"),$P1085,IF(AND(LEFT($B1085,1)="6",$B1085&lt;&gt;"6811"),-$P1085,0)),0))</f>
        <v/>
      </c>
    </row>
    <row r="1086">
      <c r="A1086">
        <f>IF(PNL!A1086="","",PNL!A1086)</f>
        <v/>
      </c>
      <c r="B1086">
        <f>IF(PNL!B1086="","",PNL!B1086)</f>
        <v/>
      </c>
      <c r="C1086">
        <f>IF(PNL!C1086="","",PNL!C1086)</f>
        <v/>
      </c>
      <c r="D1086">
        <f>IF(PNL!D1086="","",PNL!D1086)</f>
        <v/>
      </c>
      <c r="E1086">
        <f>IF($A1086="","",IF(AND($C1086="2027",OR($D1086="V01",$D1086="V02",$D1086="V03")),1,0))</f>
        <v/>
      </c>
      <c r="F1086">
        <f>IF($A1086="","",IF($E1086=1,SUMIFS(Comptabilité!$F$1:$F$675,Comptabilité!$A$1:$A$675,$A1086,Comptabilité!$B$1:$B$675,$B1086,Comptabilité!$C$1:$C$675,"2026"),0))</f>
        <v/>
      </c>
      <c r="G1086">
        <f>IF($A1086="","",IF($D1086="V01",Cadrage!$C$22,IF($D1086="V02",Cadrage!$D$22,Cadrage!$E$22)))</f>
        <v/>
      </c>
      <c r="H1086">
        <f>IF($A1086="","",IF($D1086="V01",Cadrage!$C$23,IF($D1086="V02",Cadrage!$D$23,Cadrage!$E$23)))</f>
        <v/>
      </c>
      <c r="I1086">
        <f>IF($A1086="","",IF($D1086="V01",Cadrage!$C$31,IF($D1086="V02",Cadrage!$D$31,Cadrage!$E$31)))</f>
        <v/>
      </c>
      <c r="J1086">
        <f>IF($A1086="","",IF($D1086="V01",Cadrage!$C$32,IF($D1086="V02",Cadrage!$D$32,Cadrage!$E$32)))</f>
        <v/>
      </c>
      <c r="K1086">
        <f>IF($A1086="","",IF($D1086="V01",Cadrage!$C$33,IF($D1086="V02",Cadrage!$D$33,Cadrage!$E$33)))</f>
        <v/>
      </c>
      <c r="L1086">
        <f>IF($A1086="","",IF($D1086="V01",Cadrage!$C$34,IF($D1086="V02",Cadrage!$D$34,Cadrage!$E$34)))</f>
        <v/>
      </c>
      <c r="M1086">
        <f>IF($A1086="","",IF($D1086="V01",Cadrage!$C$35,IF($D1086="V02",Cadrage!$D$35,Cadrage!$E$35)))</f>
        <v/>
      </c>
      <c r="N1086">
        <f>IF($A1086="","",IF($D1086="V01",$R$2,IF($D1086="V02",$R$3,$R$4)))</f>
        <v/>
      </c>
      <c r="O1086">
        <f>IF($A1086="","",IF(OR($B1086="7062",$B1086="706",$B1086="708"),$N1086,IF($B1086="6231",1+$G1086,IF($B1086="6236",1+$H1086,IF(OR($B1086="621",$B1086="604",$B1086="6063"),$N1086*(1-$L1086),IF(OR($B1086="6411",$B1086="6413",$B1086="6414",$B1086="645"),(1+$J1086)*(1+$K1086),IF(OR($B1086="613",$B1086="615",$B1086="616",$B1086="6226",$B1086="625",$B1086="626",$B1086="6281"),(1+$I1086)*(1-$L1086)*(1+$M1086),IF(OR($B1086="6331",$B1086="63511",$B1086="6333"),(1+$I1086)*(1-$L1086),IF($B1086="6811",1+$I1086,1)))))))))</f>
        <v/>
      </c>
      <c r="P1086">
        <f>IF($A1086="","",IF($E1086=1,$F1086*$O1086,PNL!G1086))</f>
        <v/>
      </c>
      <c r="T1086">
        <f>IF($A1086="","",IF($E1086=1,IF(OR($B1086="7062",$B1086="706",$B1086="708"),$P1086,IF(AND(LEFT($B1086,1)="6",$B1086&lt;&gt;"6811"),-$P1086,0)),0))</f>
        <v/>
      </c>
    </row>
    <row r="1087">
      <c r="A1087">
        <f>IF(PNL!A1087="","",PNL!A1087)</f>
        <v/>
      </c>
      <c r="B1087">
        <f>IF(PNL!B1087="","",PNL!B1087)</f>
        <v/>
      </c>
      <c r="C1087">
        <f>IF(PNL!C1087="","",PNL!C1087)</f>
        <v/>
      </c>
      <c r="D1087">
        <f>IF(PNL!D1087="","",PNL!D1087)</f>
        <v/>
      </c>
      <c r="E1087">
        <f>IF($A1087="","",IF(AND($C1087="2027",OR($D1087="V01",$D1087="V02",$D1087="V03")),1,0))</f>
        <v/>
      </c>
      <c r="F1087">
        <f>IF($A1087="","",IF($E1087=1,SUMIFS(Comptabilité!$F$1:$F$675,Comptabilité!$A$1:$A$675,$A1087,Comptabilité!$B$1:$B$675,$B1087,Comptabilité!$C$1:$C$675,"2026"),0))</f>
        <v/>
      </c>
      <c r="G1087">
        <f>IF($A1087="","",IF($D1087="V01",Cadrage!$C$22,IF($D1087="V02",Cadrage!$D$22,Cadrage!$E$22)))</f>
        <v/>
      </c>
      <c r="H1087">
        <f>IF($A1087="","",IF($D1087="V01",Cadrage!$C$23,IF($D1087="V02",Cadrage!$D$23,Cadrage!$E$23)))</f>
        <v/>
      </c>
      <c r="I1087">
        <f>IF($A1087="","",IF($D1087="V01",Cadrage!$C$31,IF($D1087="V02",Cadrage!$D$31,Cadrage!$E$31)))</f>
        <v/>
      </c>
      <c r="J1087">
        <f>IF($A1087="","",IF($D1087="V01",Cadrage!$C$32,IF($D1087="V02",Cadrage!$D$32,Cadrage!$E$32)))</f>
        <v/>
      </c>
      <c r="K1087">
        <f>IF($A1087="","",IF($D1087="V01",Cadrage!$C$33,IF($D1087="V02",Cadrage!$D$33,Cadrage!$E$33)))</f>
        <v/>
      </c>
      <c r="L1087">
        <f>IF($A1087="","",IF($D1087="V01",Cadrage!$C$34,IF($D1087="V02",Cadrage!$D$34,Cadrage!$E$34)))</f>
        <v/>
      </c>
      <c r="M1087">
        <f>IF($A1087="","",IF($D1087="V01",Cadrage!$C$35,IF($D1087="V02",Cadrage!$D$35,Cadrage!$E$35)))</f>
        <v/>
      </c>
      <c r="N1087">
        <f>IF($A1087="","",IF($D1087="V01",$R$2,IF($D1087="V02",$R$3,$R$4)))</f>
        <v/>
      </c>
      <c r="O1087">
        <f>IF($A1087="","",IF(OR($B1087="7062",$B1087="706",$B1087="708"),$N1087,IF($B1087="6231",1+$G1087,IF($B1087="6236",1+$H1087,IF(OR($B1087="621",$B1087="604",$B1087="6063"),$N1087*(1-$L1087),IF(OR($B1087="6411",$B1087="6413",$B1087="6414",$B1087="645"),(1+$J1087)*(1+$K1087),IF(OR($B1087="613",$B1087="615",$B1087="616",$B1087="6226",$B1087="625",$B1087="626",$B1087="6281"),(1+$I1087)*(1-$L1087)*(1+$M1087),IF(OR($B1087="6331",$B1087="63511",$B1087="6333"),(1+$I1087)*(1-$L1087),IF($B1087="6811",1+$I1087,1)))))))))</f>
        <v/>
      </c>
      <c r="P1087">
        <f>IF($A1087="","",IF($E1087=1,$F1087*$O1087,PNL!G1087))</f>
        <v/>
      </c>
      <c r="T1087">
        <f>IF($A1087="","",IF($E1087=1,IF(OR($B1087="7062",$B1087="706",$B1087="708"),$P1087,IF(AND(LEFT($B1087,1)="6",$B1087&lt;&gt;"6811"),-$P1087,0)),0))</f>
        <v/>
      </c>
    </row>
    <row r="1088">
      <c r="A1088">
        <f>IF(PNL!A1088="","",PNL!A1088)</f>
        <v/>
      </c>
      <c r="B1088">
        <f>IF(PNL!B1088="","",PNL!B1088)</f>
        <v/>
      </c>
      <c r="C1088">
        <f>IF(PNL!C1088="","",PNL!C1088)</f>
        <v/>
      </c>
      <c r="D1088">
        <f>IF(PNL!D1088="","",PNL!D1088)</f>
        <v/>
      </c>
      <c r="E1088">
        <f>IF($A1088="","",IF(AND($C1088="2027",OR($D1088="V01",$D1088="V02",$D1088="V03")),1,0))</f>
        <v/>
      </c>
      <c r="F1088">
        <f>IF($A1088="","",IF($E1088=1,SUMIFS(Comptabilité!$F$1:$F$675,Comptabilité!$A$1:$A$675,$A1088,Comptabilité!$B$1:$B$675,$B1088,Comptabilité!$C$1:$C$675,"2026"),0))</f>
        <v/>
      </c>
      <c r="G1088">
        <f>IF($A1088="","",IF($D1088="V01",Cadrage!$C$22,IF($D1088="V02",Cadrage!$D$22,Cadrage!$E$22)))</f>
        <v/>
      </c>
      <c r="H1088">
        <f>IF($A1088="","",IF($D1088="V01",Cadrage!$C$23,IF($D1088="V02",Cadrage!$D$23,Cadrage!$E$23)))</f>
        <v/>
      </c>
      <c r="I1088">
        <f>IF($A1088="","",IF($D1088="V01",Cadrage!$C$31,IF($D1088="V02",Cadrage!$D$31,Cadrage!$E$31)))</f>
        <v/>
      </c>
      <c r="J1088">
        <f>IF($A1088="","",IF($D1088="V01",Cadrage!$C$32,IF($D1088="V02",Cadrage!$D$32,Cadrage!$E$32)))</f>
        <v/>
      </c>
      <c r="K1088">
        <f>IF($A1088="","",IF($D1088="V01",Cadrage!$C$33,IF($D1088="V02",Cadrage!$D$33,Cadrage!$E$33)))</f>
        <v/>
      </c>
      <c r="L1088">
        <f>IF($A1088="","",IF($D1088="V01",Cadrage!$C$34,IF($D1088="V02",Cadrage!$D$34,Cadrage!$E$34)))</f>
        <v/>
      </c>
      <c r="M1088">
        <f>IF($A1088="","",IF($D1088="V01",Cadrage!$C$35,IF($D1088="V02",Cadrage!$D$35,Cadrage!$E$35)))</f>
        <v/>
      </c>
      <c r="N1088">
        <f>IF($A1088="","",IF($D1088="V01",$R$2,IF($D1088="V02",$R$3,$R$4)))</f>
        <v/>
      </c>
      <c r="O1088">
        <f>IF($A1088="","",IF(OR($B1088="7062",$B1088="706",$B1088="708"),$N1088,IF($B1088="6231",1+$G1088,IF($B1088="6236",1+$H1088,IF(OR($B1088="621",$B1088="604",$B1088="6063"),$N1088*(1-$L1088),IF(OR($B1088="6411",$B1088="6413",$B1088="6414",$B1088="645"),(1+$J1088)*(1+$K1088),IF(OR($B1088="613",$B1088="615",$B1088="616",$B1088="6226",$B1088="625",$B1088="626",$B1088="6281"),(1+$I1088)*(1-$L1088)*(1+$M1088),IF(OR($B1088="6331",$B1088="63511",$B1088="6333"),(1+$I1088)*(1-$L1088),IF($B1088="6811",1+$I1088,1)))))))))</f>
        <v/>
      </c>
      <c r="P1088">
        <f>IF($A1088="","",IF($E1088=1,$F1088*$O1088,PNL!G1088))</f>
        <v/>
      </c>
      <c r="T1088">
        <f>IF($A1088="","",IF($E1088=1,IF(OR($B1088="7062",$B1088="706",$B1088="708"),$P1088,IF(AND(LEFT($B1088,1)="6",$B1088&lt;&gt;"6811"),-$P1088,0)),0))</f>
        <v/>
      </c>
    </row>
    <row r="1089">
      <c r="A1089">
        <f>IF(PNL!A1089="","",PNL!A1089)</f>
        <v/>
      </c>
      <c r="B1089">
        <f>IF(PNL!B1089="","",PNL!B1089)</f>
        <v/>
      </c>
      <c r="C1089">
        <f>IF(PNL!C1089="","",PNL!C1089)</f>
        <v/>
      </c>
      <c r="D1089">
        <f>IF(PNL!D1089="","",PNL!D1089)</f>
        <v/>
      </c>
      <c r="E1089">
        <f>IF($A1089="","",IF(AND($C1089="2027",OR($D1089="V01",$D1089="V02",$D1089="V03")),1,0))</f>
        <v/>
      </c>
      <c r="F1089">
        <f>IF($A1089="","",IF($E1089=1,SUMIFS(Comptabilité!$F$1:$F$675,Comptabilité!$A$1:$A$675,$A1089,Comptabilité!$B$1:$B$675,$B1089,Comptabilité!$C$1:$C$675,"2026"),0))</f>
        <v/>
      </c>
      <c r="G1089">
        <f>IF($A1089="","",IF($D1089="V01",Cadrage!$C$22,IF($D1089="V02",Cadrage!$D$22,Cadrage!$E$22)))</f>
        <v/>
      </c>
      <c r="H1089">
        <f>IF($A1089="","",IF($D1089="V01",Cadrage!$C$23,IF($D1089="V02",Cadrage!$D$23,Cadrage!$E$23)))</f>
        <v/>
      </c>
      <c r="I1089">
        <f>IF($A1089="","",IF($D1089="V01",Cadrage!$C$31,IF($D1089="V02",Cadrage!$D$31,Cadrage!$E$31)))</f>
        <v/>
      </c>
      <c r="J1089">
        <f>IF($A1089="","",IF($D1089="V01",Cadrage!$C$32,IF($D1089="V02",Cadrage!$D$32,Cadrage!$E$32)))</f>
        <v/>
      </c>
      <c r="K1089">
        <f>IF($A1089="","",IF($D1089="V01",Cadrage!$C$33,IF($D1089="V02",Cadrage!$D$33,Cadrage!$E$33)))</f>
        <v/>
      </c>
      <c r="L1089">
        <f>IF($A1089="","",IF($D1089="V01",Cadrage!$C$34,IF($D1089="V02",Cadrage!$D$34,Cadrage!$E$34)))</f>
        <v/>
      </c>
      <c r="M1089">
        <f>IF($A1089="","",IF($D1089="V01",Cadrage!$C$35,IF($D1089="V02",Cadrage!$D$35,Cadrage!$E$35)))</f>
        <v/>
      </c>
      <c r="N1089">
        <f>IF($A1089="","",IF($D1089="V01",$R$2,IF($D1089="V02",$R$3,$R$4)))</f>
        <v/>
      </c>
      <c r="O1089">
        <f>IF($A1089="","",IF(OR($B1089="7062",$B1089="706",$B1089="708"),$N1089,IF($B1089="6231",1+$G1089,IF($B1089="6236",1+$H1089,IF(OR($B1089="621",$B1089="604",$B1089="6063"),$N1089*(1-$L1089),IF(OR($B1089="6411",$B1089="6413",$B1089="6414",$B1089="645"),(1+$J1089)*(1+$K1089),IF(OR($B1089="613",$B1089="615",$B1089="616",$B1089="6226",$B1089="625",$B1089="626",$B1089="6281"),(1+$I1089)*(1-$L1089)*(1+$M1089),IF(OR($B1089="6331",$B1089="63511",$B1089="6333"),(1+$I1089)*(1-$L1089),IF($B1089="6811",1+$I1089,1)))))))))</f>
        <v/>
      </c>
      <c r="P1089">
        <f>IF($A1089="","",IF($E1089=1,$F1089*$O1089,PNL!G1089))</f>
        <v/>
      </c>
      <c r="T1089">
        <f>IF($A1089="","",IF($E1089=1,IF(OR($B1089="7062",$B1089="706",$B1089="708"),$P1089,IF(AND(LEFT($B1089,1)="6",$B1089&lt;&gt;"6811"),-$P1089,0)),0))</f>
        <v/>
      </c>
    </row>
    <row r="1090">
      <c r="A1090">
        <f>IF(PNL!A1090="","",PNL!A1090)</f>
        <v/>
      </c>
      <c r="B1090">
        <f>IF(PNL!B1090="","",PNL!B1090)</f>
        <v/>
      </c>
      <c r="C1090">
        <f>IF(PNL!C1090="","",PNL!C1090)</f>
        <v/>
      </c>
      <c r="D1090">
        <f>IF(PNL!D1090="","",PNL!D1090)</f>
        <v/>
      </c>
      <c r="E1090">
        <f>IF($A1090="","",IF(AND($C1090="2027",OR($D1090="V01",$D1090="V02",$D1090="V03")),1,0))</f>
        <v/>
      </c>
      <c r="F1090">
        <f>IF($A1090="","",IF($E1090=1,SUMIFS(Comptabilité!$F$1:$F$675,Comptabilité!$A$1:$A$675,$A1090,Comptabilité!$B$1:$B$675,$B1090,Comptabilité!$C$1:$C$675,"2026"),0))</f>
        <v/>
      </c>
      <c r="G1090">
        <f>IF($A1090="","",IF($D1090="V01",Cadrage!$C$22,IF($D1090="V02",Cadrage!$D$22,Cadrage!$E$22)))</f>
        <v/>
      </c>
      <c r="H1090">
        <f>IF($A1090="","",IF($D1090="V01",Cadrage!$C$23,IF($D1090="V02",Cadrage!$D$23,Cadrage!$E$23)))</f>
        <v/>
      </c>
      <c r="I1090">
        <f>IF($A1090="","",IF($D1090="V01",Cadrage!$C$31,IF($D1090="V02",Cadrage!$D$31,Cadrage!$E$31)))</f>
        <v/>
      </c>
      <c r="J1090">
        <f>IF($A1090="","",IF($D1090="V01",Cadrage!$C$32,IF($D1090="V02",Cadrage!$D$32,Cadrage!$E$32)))</f>
        <v/>
      </c>
      <c r="K1090">
        <f>IF($A1090="","",IF($D1090="V01",Cadrage!$C$33,IF($D1090="V02",Cadrage!$D$33,Cadrage!$E$33)))</f>
        <v/>
      </c>
      <c r="L1090">
        <f>IF($A1090="","",IF($D1090="V01",Cadrage!$C$34,IF($D1090="V02",Cadrage!$D$34,Cadrage!$E$34)))</f>
        <v/>
      </c>
      <c r="M1090">
        <f>IF($A1090="","",IF($D1090="V01",Cadrage!$C$35,IF($D1090="V02",Cadrage!$D$35,Cadrage!$E$35)))</f>
        <v/>
      </c>
      <c r="N1090">
        <f>IF($A1090="","",IF($D1090="V01",$R$2,IF($D1090="V02",$R$3,$R$4)))</f>
        <v/>
      </c>
      <c r="O1090">
        <f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>
        <f>IF($A1090="","",IF($E1090=1,$F1090*$O1090,PNL!G1090))</f>
        <v/>
      </c>
      <c r="T1090">
        <f>IF($A1090="","",IF($E1090=1,IF(OR($B1090="7062",$B1090="706",$B1090="708"),$P1090,IF(AND(LEFT($B1090,1)="6",$B1090&lt;&gt;"6811"),-$P1090,0)),0))</f>
        <v/>
      </c>
    </row>
    <row r="1091">
      <c r="A1091">
        <f>IF(PNL!A1091="","",PNL!A1091)</f>
        <v/>
      </c>
      <c r="B1091">
        <f>IF(PNL!B1091="","",PNL!B1091)</f>
        <v/>
      </c>
      <c r="C1091">
        <f>IF(PNL!C1091="","",PNL!C1091)</f>
        <v/>
      </c>
      <c r="D1091">
        <f>IF(PNL!D1091="","",PNL!D1091)</f>
        <v/>
      </c>
      <c r="E1091">
        <f>IF($A1091="","",IF(AND($C1091="2027",OR($D1091="V01",$D1091="V02",$D1091="V03")),1,0))</f>
        <v/>
      </c>
      <c r="F1091">
        <f>IF($A1091="","",IF($E1091=1,SUMIFS(Comptabilité!$F$1:$F$675,Comptabilité!$A$1:$A$675,$A1091,Comptabilité!$B$1:$B$675,$B1091,Comptabilité!$C$1:$C$675,"2026"),0))</f>
        <v/>
      </c>
      <c r="G1091">
        <f>IF($A1091="","",IF($D1091="V01",Cadrage!$C$22,IF($D1091="V02",Cadrage!$D$22,Cadrage!$E$22)))</f>
        <v/>
      </c>
      <c r="H1091">
        <f>IF($A1091="","",IF($D1091="V01",Cadrage!$C$23,IF($D1091="V02",Cadrage!$D$23,Cadrage!$E$23)))</f>
        <v/>
      </c>
      <c r="I1091">
        <f>IF($A1091="","",IF($D1091="V01",Cadrage!$C$31,IF($D1091="V02",Cadrage!$D$31,Cadrage!$E$31)))</f>
        <v/>
      </c>
      <c r="J1091">
        <f>IF($A1091="","",IF($D1091="V01",Cadrage!$C$32,IF($D1091="V02",Cadrage!$D$32,Cadrage!$E$32)))</f>
        <v/>
      </c>
      <c r="K1091">
        <f>IF($A1091="","",IF($D1091="V01",Cadrage!$C$33,IF($D1091="V02",Cadrage!$D$33,Cadrage!$E$33)))</f>
        <v/>
      </c>
      <c r="L1091">
        <f>IF($A1091="","",IF($D1091="V01",Cadrage!$C$34,IF($D1091="V02",Cadrage!$D$34,Cadrage!$E$34)))</f>
        <v/>
      </c>
      <c r="M1091">
        <f>IF($A1091="","",IF($D1091="V01",Cadrage!$C$35,IF($D1091="V02",Cadrage!$D$35,Cadrage!$E$35)))</f>
        <v/>
      </c>
      <c r="N1091">
        <f>IF($A1091="","",IF($D1091="V01",$R$2,IF($D1091="V02",$R$3,$R$4)))</f>
        <v/>
      </c>
      <c r="O1091">
        <f>IF($A1091="","",IF(OR($B1091="7062",$B1091="706",$B1091="708"),$N1091,IF($B1091="6231",1+$G1091,IF($B1091="6236",1+$H1091,IF(OR($B1091="621",$B1091="604",$B1091="6063"),$N1091*(1-$L1091),IF(OR($B1091="6411",$B1091="6413",$B1091="6414",$B1091="645"),(1+$J1091)*(1+$K1091),IF(OR($B1091="613",$B1091="615",$B1091="616",$B1091="6226",$B1091="625",$B1091="626",$B1091="6281"),(1+$I1091)*(1-$L1091)*(1+$M1091),IF(OR($B1091="6331",$B1091="63511",$B1091="6333"),(1+$I1091)*(1-$L1091),IF($B1091="6811",1+$I1091,1)))))))))</f>
        <v/>
      </c>
      <c r="P1091">
        <f>IF($A1091="","",IF($E1091=1,$F1091*$O1091,PNL!G1091))</f>
        <v/>
      </c>
      <c r="T1091">
        <f>IF($A1091="","",IF($E1091=1,IF(OR($B1091="7062",$B1091="706",$B1091="708"),$P1091,IF(AND(LEFT($B1091,1)="6",$B1091&lt;&gt;"6811"),-$P1091,0)),0))</f>
        <v/>
      </c>
    </row>
    <row r="1092">
      <c r="A1092">
        <f>IF(PNL!A1092="","",PNL!A1092)</f>
        <v/>
      </c>
      <c r="B1092">
        <f>IF(PNL!B1092="","",PNL!B1092)</f>
        <v/>
      </c>
      <c r="C1092">
        <f>IF(PNL!C1092="","",PNL!C1092)</f>
        <v/>
      </c>
      <c r="D1092">
        <f>IF(PNL!D1092="","",PNL!D1092)</f>
        <v/>
      </c>
      <c r="E1092">
        <f>IF($A1092="","",IF(AND($C1092="2027",OR($D1092="V01",$D1092="V02",$D1092="V03")),1,0))</f>
        <v/>
      </c>
      <c r="F1092">
        <f>IF($A1092="","",IF($E1092=1,SUMIFS(Comptabilité!$F$1:$F$675,Comptabilité!$A$1:$A$675,$A1092,Comptabilité!$B$1:$B$675,$B1092,Comptabilité!$C$1:$C$675,"2026"),0))</f>
        <v/>
      </c>
      <c r="G1092">
        <f>IF($A1092="","",IF($D1092="V01",Cadrage!$C$22,IF($D1092="V02",Cadrage!$D$22,Cadrage!$E$22)))</f>
        <v/>
      </c>
      <c r="H1092">
        <f>IF($A1092="","",IF($D1092="V01",Cadrage!$C$23,IF($D1092="V02",Cadrage!$D$23,Cadrage!$E$23)))</f>
        <v/>
      </c>
      <c r="I1092">
        <f>IF($A1092="","",IF($D1092="V01",Cadrage!$C$31,IF($D1092="V02",Cadrage!$D$31,Cadrage!$E$31)))</f>
        <v/>
      </c>
      <c r="J1092">
        <f>IF($A1092="","",IF($D1092="V01",Cadrage!$C$32,IF($D1092="V02",Cadrage!$D$32,Cadrage!$E$32)))</f>
        <v/>
      </c>
      <c r="K1092">
        <f>IF($A1092="","",IF($D1092="V01",Cadrage!$C$33,IF($D1092="V02",Cadrage!$D$33,Cadrage!$E$33)))</f>
        <v/>
      </c>
      <c r="L1092">
        <f>IF($A1092="","",IF($D1092="V01",Cadrage!$C$34,IF($D1092="V02",Cadrage!$D$34,Cadrage!$E$34)))</f>
        <v/>
      </c>
      <c r="M1092">
        <f>IF($A1092="","",IF($D1092="V01",Cadrage!$C$35,IF($D1092="V02",Cadrage!$D$35,Cadrage!$E$35)))</f>
        <v/>
      </c>
      <c r="N1092">
        <f>IF($A1092="","",IF($D1092="V01",$R$2,IF($D1092="V02",$R$3,$R$4)))</f>
        <v/>
      </c>
      <c r="O1092">
        <f>IF($A1092="","",IF(OR($B1092="7062",$B1092="706",$B1092="708"),$N1092,IF($B1092="6231",1+$G1092,IF($B1092="6236",1+$H1092,IF(OR($B1092="621",$B1092="604",$B1092="6063"),$N1092*(1-$L1092),IF(OR($B1092="6411",$B1092="6413",$B1092="6414",$B1092="645"),(1+$J1092)*(1+$K1092),IF(OR($B1092="613",$B1092="615",$B1092="616",$B1092="6226",$B1092="625",$B1092="626",$B1092="6281"),(1+$I1092)*(1-$L1092)*(1+$M1092),IF(OR($B1092="6331",$B1092="63511",$B1092="6333"),(1+$I1092)*(1-$L1092),IF($B1092="6811",1+$I1092,1)))))))))</f>
        <v/>
      </c>
      <c r="P1092">
        <f>IF($A1092="","",IF($E1092=1,$F1092*$O1092,PNL!G1092))</f>
        <v/>
      </c>
      <c r="T1092">
        <f>IF($A1092="","",IF($E1092=1,IF(OR($B1092="7062",$B1092="706",$B1092="708"),$P1092,IF(AND(LEFT($B1092,1)="6",$B1092&lt;&gt;"6811"),-$P1092,0)),0))</f>
        <v/>
      </c>
    </row>
    <row r="1093">
      <c r="A1093">
        <f>IF(PNL!A1093="","",PNL!A1093)</f>
        <v/>
      </c>
      <c r="B1093">
        <f>IF(PNL!B1093="","",PNL!B1093)</f>
        <v/>
      </c>
      <c r="C1093">
        <f>IF(PNL!C1093="","",PNL!C1093)</f>
        <v/>
      </c>
      <c r="D1093">
        <f>IF(PNL!D1093="","",PNL!D1093)</f>
        <v/>
      </c>
      <c r="E1093">
        <f>IF($A1093="","",IF(AND($C1093="2027",OR($D1093="V01",$D1093="V02",$D1093="V03")),1,0))</f>
        <v/>
      </c>
      <c r="F1093">
        <f>IF($A1093="","",IF($E1093=1,SUMIFS(Comptabilité!$F$1:$F$675,Comptabilité!$A$1:$A$675,$A1093,Comptabilité!$B$1:$B$675,$B1093,Comptabilité!$C$1:$C$675,"2026"),0))</f>
        <v/>
      </c>
      <c r="G1093">
        <f>IF($A1093="","",IF($D1093="V01",Cadrage!$C$22,IF($D1093="V02",Cadrage!$D$22,Cadrage!$E$22)))</f>
        <v/>
      </c>
      <c r="H1093">
        <f>IF($A1093="","",IF($D1093="V01",Cadrage!$C$23,IF($D1093="V02",Cadrage!$D$23,Cadrage!$E$23)))</f>
        <v/>
      </c>
      <c r="I1093">
        <f>IF($A1093="","",IF($D1093="V01",Cadrage!$C$31,IF($D1093="V02",Cadrage!$D$31,Cadrage!$E$31)))</f>
        <v/>
      </c>
      <c r="J1093">
        <f>IF($A1093="","",IF($D1093="V01",Cadrage!$C$32,IF($D1093="V02",Cadrage!$D$32,Cadrage!$E$32)))</f>
        <v/>
      </c>
      <c r="K1093">
        <f>IF($A1093="","",IF($D1093="V01",Cadrage!$C$33,IF($D1093="V02",Cadrage!$D$33,Cadrage!$E$33)))</f>
        <v/>
      </c>
      <c r="L1093">
        <f>IF($A1093="","",IF($D1093="V01",Cadrage!$C$34,IF($D1093="V02",Cadrage!$D$34,Cadrage!$E$34)))</f>
        <v/>
      </c>
      <c r="M1093">
        <f>IF($A1093="","",IF($D1093="V01",Cadrage!$C$35,IF($D1093="V02",Cadrage!$D$35,Cadrage!$E$35)))</f>
        <v/>
      </c>
      <c r="N1093">
        <f>IF($A1093="","",IF($D1093="V01",$R$2,IF($D1093="V02",$R$3,$R$4)))</f>
        <v/>
      </c>
      <c r="O1093">
        <f>IF($A1093="","",IF(OR($B1093="7062",$B1093="706",$B1093="708"),$N1093,IF($B1093="6231",1+$G1093,IF($B1093="6236",1+$H1093,IF(OR($B1093="621",$B1093="604",$B1093="6063"),$N1093*(1-$L1093),IF(OR($B1093="6411",$B1093="6413",$B1093="6414",$B1093="645"),(1+$J1093)*(1+$K1093),IF(OR($B1093="613",$B1093="615",$B1093="616",$B1093="6226",$B1093="625",$B1093="626",$B1093="6281"),(1+$I1093)*(1-$L1093)*(1+$M1093),IF(OR($B1093="6331",$B1093="63511",$B1093="6333"),(1+$I1093)*(1-$L1093),IF($B1093="6811",1+$I1093,1)))))))))</f>
        <v/>
      </c>
      <c r="P1093">
        <f>IF($A1093="","",IF($E1093=1,$F1093*$O1093,PNL!G1093))</f>
        <v/>
      </c>
      <c r="T1093">
        <f>IF($A1093="","",IF($E1093=1,IF(OR($B1093="7062",$B1093="706",$B1093="708"),$P1093,IF(AND(LEFT($B1093,1)="6",$B1093&lt;&gt;"6811"),-$P1093,0)),0))</f>
        <v/>
      </c>
    </row>
    <row r="1094">
      <c r="A1094">
        <f>IF(PNL!A1094="","",PNL!A1094)</f>
        <v/>
      </c>
      <c r="B1094">
        <f>IF(PNL!B1094="","",PNL!B1094)</f>
        <v/>
      </c>
      <c r="C1094">
        <f>IF(PNL!C1094="","",PNL!C1094)</f>
        <v/>
      </c>
      <c r="D1094">
        <f>IF(PNL!D1094="","",PNL!D1094)</f>
        <v/>
      </c>
      <c r="E1094">
        <f>IF($A1094="","",IF(AND($C1094="2027",OR($D1094="V01",$D1094="V02",$D1094="V03")),1,0))</f>
        <v/>
      </c>
      <c r="F1094">
        <f>IF($A1094="","",IF($E1094=1,SUMIFS(Comptabilité!$F$1:$F$675,Comptabilité!$A$1:$A$675,$A1094,Comptabilité!$B$1:$B$675,$B1094,Comptabilité!$C$1:$C$675,"2026"),0))</f>
        <v/>
      </c>
      <c r="G1094">
        <f>IF($A1094="","",IF($D1094="V01",Cadrage!$C$22,IF($D1094="V02",Cadrage!$D$22,Cadrage!$E$22)))</f>
        <v/>
      </c>
      <c r="H1094">
        <f>IF($A1094="","",IF($D1094="V01",Cadrage!$C$23,IF($D1094="V02",Cadrage!$D$23,Cadrage!$E$23)))</f>
        <v/>
      </c>
      <c r="I1094">
        <f>IF($A1094="","",IF($D1094="V01",Cadrage!$C$31,IF($D1094="V02",Cadrage!$D$31,Cadrage!$E$31)))</f>
        <v/>
      </c>
      <c r="J1094">
        <f>IF($A1094="","",IF($D1094="V01",Cadrage!$C$32,IF($D1094="V02",Cadrage!$D$32,Cadrage!$E$32)))</f>
        <v/>
      </c>
      <c r="K1094">
        <f>IF($A1094="","",IF($D1094="V01",Cadrage!$C$33,IF($D1094="V02",Cadrage!$D$33,Cadrage!$E$33)))</f>
        <v/>
      </c>
      <c r="L1094">
        <f>IF($A1094="","",IF($D1094="V01",Cadrage!$C$34,IF($D1094="V02",Cadrage!$D$34,Cadrage!$E$34)))</f>
        <v/>
      </c>
      <c r="M1094">
        <f>IF($A1094="","",IF($D1094="V01",Cadrage!$C$35,IF($D1094="V02",Cadrage!$D$35,Cadrage!$E$35)))</f>
        <v/>
      </c>
      <c r="N1094">
        <f>IF($A1094="","",IF($D1094="V01",$R$2,IF($D1094="V02",$R$3,$R$4)))</f>
        <v/>
      </c>
      <c r="O1094">
        <f>IF($A1094="","",IF(OR($B1094="7062",$B1094="706",$B1094="708"),$N1094,IF($B1094="6231",1+$G1094,IF($B1094="6236",1+$H1094,IF(OR($B1094="621",$B1094="604",$B1094="6063"),$N1094*(1-$L1094),IF(OR($B1094="6411",$B1094="6413",$B1094="6414",$B1094="645"),(1+$J1094)*(1+$K1094),IF(OR($B1094="613",$B1094="615",$B1094="616",$B1094="6226",$B1094="625",$B1094="626",$B1094="6281"),(1+$I1094)*(1-$L1094)*(1+$M1094),IF(OR($B1094="6331",$B1094="63511",$B1094="6333"),(1+$I1094)*(1-$L1094),IF($B1094="6811",1+$I1094,1)))))))))</f>
        <v/>
      </c>
      <c r="P1094">
        <f>IF($A1094="","",IF($E1094=1,$F1094*$O1094,PNL!G1094))</f>
        <v/>
      </c>
      <c r="T1094">
        <f>IF($A1094="","",IF($E1094=1,IF(OR($B1094="7062",$B1094="706",$B1094="708"),$P1094,IF(AND(LEFT($B1094,1)="6",$B1094&lt;&gt;"6811"),-$P1094,0)),0))</f>
        <v/>
      </c>
    </row>
    <row r="1095">
      <c r="A1095">
        <f>IF(PNL!A1095="","",PNL!A1095)</f>
        <v/>
      </c>
      <c r="B1095">
        <f>IF(PNL!B1095="","",PNL!B1095)</f>
        <v/>
      </c>
      <c r="C1095">
        <f>IF(PNL!C1095="","",PNL!C1095)</f>
        <v/>
      </c>
      <c r="D1095">
        <f>IF(PNL!D1095="","",PNL!D1095)</f>
        <v/>
      </c>
      <c r="E1095">
        <f>IF($A1095="","",IF(AND($C1095="2027",OR($D1095="V01",$D1095="V02",$D1095="V03")),1,0))</f>
        <v/>
      </c>
      <c r="F1095">
        <f>IF($A1095="","",IF($E1095=1,SUMIFS(Comptabilité!$F$1:$F$675,Comptabilité!$A$1:$A$675,$A1095,Comptabilité!$B$1:$B$675,$B1095,Comptabilité!$C$1:$C$675,"2026"),0))</f>
        <v/>
      </c>
      <c r="G1095">
        <f>IF($A1095="","",IF($D1095="V01",Cadrage!$C$22,IF($D1095="V02",Cadrage!$D$22,Cadrage!$E$22)))</f>
        <v/>
      </c>
      <c r="H1095">
        <f>IF($A1095="","",IF($D1095="V01",Cadrage!$C$23,IF($D1095="V02",Cadrage!$D$23,Cadrage!$E$23)))</f>
        <v/>
      </c>
      <c r="I1095">
        <f>IF($A1095="","",IF($D1095="V01",Cadrage!$C$31,IF($D1095="V02",Cadrage!$D$31,Cadrage!$E$31)))</f>
        <v/>
      </c>
      <c r="J1095">
        <f>IF($A1095="","",IF($D1095="V01",Cadrage!$C$32,IF($D1095="V02",Cadrage!$D$32,Cadrage!$E$32)))</f>
        <v/>
      </c>
      <c r="K1095">
        <f>IF($A1095="","",IF($D1095="V01",Cadrage!$C$33,IF($D1095="V02",Cadrage!$D$33,Cadrage!$E$33)))</f>
        <v/>
      </c>
      <c r="L1095">
        <f>IF($A1095="","",IF($D1095="V01",Cadrage!$C$34,IF($D1095="V02",Cadrage!$D$34,Cadrage!$E$34)))</f>
        <v/>
      </c>
      <c r="M1095">
        <f>IF($A1095="","",IF($D1095="V01",Cadrage!$C$35,IF($D1095="V02",Cadrage!$D$35,Cadrage!$E$35)))</f>
        <v/>
      </c>
      <c r="N1095">
        <f>IF($A1095="","",IF($D1095="V01",$R$2,IF($D1095="V02",$R$3,$R$4)))</f>
        <v/>
      </c>
      <c r="O1095">
        <f>IF($A1095="","",IF(OR($B1095="7062",$B1095="706",$B1095="708"),$N1095,IF($B1095="6231",1+$G1095,IF($B1095="6236",1+$H1095,IF(OR($B1095="621",$B1095="604",$B1095="6063"),$N1095*(1-$L1095),IF(OR($B1095="6411",$B1095="6413",$B1095="6414",$B1095="645"),(1+$J1095)*(1+$K1095),IF(OR($B1095="613",$B1095="615",$B1095="616",$B1095="6226",$B1095="625",$B1095="626",$B1095="6281"),(1+$I1095)*(1-$L1095)*(1+$M1095),IF(OR($B1095="6331",$B1095="63511",$B1095="6333"),(1+$I1095)*(1-$L1095),IF($B1095="6811",1+$I1095,1)))))))))</f>
        <v/>
      </c>
      <c r="P1095">
        <f>IF($A1095="","",IF($E1095=1,$F1095*$O1095,PNL!G1095))</f>
        <v/>
      </c>
      <c r="T1095">
        <f>IF($A1095="","",IF($E1095=1,IF(OR($B1095="7062",$B1095="706",$B1095="708"),$P1095,IF(AND(LEFT($B1095,1)="6",$B1095&lt;&gt;"6811"),-$P1095,0)),0))</f>
        <v/>
      </c>
    </row>
    <row r="1096">
      <c r="A1096">
        <f>IF(PNL!A1096="","",PNL!A1096)</f>
        <v/>
      </c>
      <c r="B1096">
        <f>IF(PNL!B1096="","",PNL!B1096)</f>
        <v/>
      </c>
      <c r="C1096">
        <f>IF(PNL!C1096="","",PNL!C1096)</f>
        <v/>
      </c>
      <c r="D1096">
        <f>IF(PNL!D1096="","",PNL!D1096)</f>
        <v/>
      </c>
      <c r="E1096">
        <f>IF($A1096="","",IF(AND($C1096="2027",OR($D1096="V01",$D1096="V02",$D1096="V03")),1,0))</f>
        <v/>
      </c>
      <c r="F1096">
        <f>IF($A1096="","",IF($E1096=1,SUMIFS(Comptabilité!$F$1:$F$675,Comptabilité!$A$1:$A$675,$A1096,Comptabilité!$B$1:$B$675,$B1096,Comptabilité!$C$1:$C$675,"2026"),0))</f>
        <v/>
      </c>
      <c r="G1096">
        <f>IF($A1096="","",IF($D1096="V01",Cadrage!$C$22,IF($D1096="V02",Cadrage!$D$22,Cadrage!$E$22)))</f>
        <v/>
      </c>
      <c r="H1096">
        <f>IF($A1096="","",IF($D1096="V01",Cadrage!$C$23,IF($D1096="V02",Cadrage!$D$23,Cadrage!$E$23)))</f>
        <v/>
      </c>
      <c r="I1096">
        <f>IF($A1096="","",IF($D1096="V01",Cadrage!$C$31,IF($D1096="V02",Cadrage!$D$31,Cadrage!$E$31)))</f>
        <v/>
      </c>
      <c r="J1096">
        <f>IF($A1096="","",IF($D1096="V01",Cadrage!$C$32,IF($D1096="V02",Cadrage!$D$32,Cadrage!$E$32)))</f>
        <v/>
      </c>
      <c r="K1096">
        <f>IF($A1096="","",IF($D1096="V01",Cadrage!$C$33,IF($D1096="V02",Cadrage!$D$33,Cadrage!$E$33)))</f>
        <v/>
      </c>
      <c r="L1096">
        <f>IF($A1096="","",IF($D1096="V01",Cadrage!$C$34,IF($D1096="V02",Cadrage!$D$34,Cadrage!$E$34)))</f>
        <v/>
      </c>
      <c r="M1096">
        <f>IF($A1096="","",IF($D1096="V01",Cadrage!$C$35,IF($D1096="V02",Cadrage!$D$35,Cadrage!$E$35)))</f>
        <v/>
      </c>
      <c r="N1096">
        <f>IF($A1096="","",IF($D1096="V01",$R$2,IF($D1096="V02",$R$3,$R$4)))</f>
        <v/>
      </c>
      <c r="O1096">
        <f>IF($A1096="","",IF(OR($B1096="7062",$B1096="706",$B1096="708"),$N1096,IF($B1096="6231",1+$G1096,IF($B1096="6236",1+$H1096,IF(OR($B1096="621",$B1096="604",$B1096="6063"),$N1096*(1-$L1096),IF(OR($B1096="6411",$B1096="6413",$B1096="6414",$B1096="645"),(1+$J1096)*(1+$K1096),IF(OR($B1096="613",$B1096="615",$B1096="616",$B1096="6226",$B1096="625",$B1096="626",$B1096="6281"),(1+$I1096)*(1-$L1096)*(1+$M1096),IF(OR($B1096="6331",$B1096="63511",$B1096="6333"),(1+$I1096)*(1-$L1096),IF($B1096="6811",1+$I1096,1)))))))))</f>
        <v/>
      </c>
      <c r="P1096">
        <f>IF($A1096="","",IF($E1096=1,$F1096*$O1096,PNL!G1096))</f>
        <v/>
      </c>
      <c r="T1096">
        <f>IF($A1096="","",IF($E1096=1,IF(OR($B1096="7062",$B1096="706",$B1096="708"),$P1096,IF(AND(LEFT($B1096,1)="6",$B1096&lt;&gt;"6811"),-$P1096,0)),0))</f>
        <v/>
      </c>
    </row>
    <row r="1097">
      <c r="A1097">
        <f>IF(PNL!A1097="","",PNL!A1097)</f>
        <v/>
      </c>
      <c r="B1097">
        <f>IF(PNL!B1097="","",PNL!B1097)</f>
        <v/>
      </c>
      <c r="C1097">
        <f>IF(PNL!C1097="","",PNL!C1097)</f>
        <v/>
      </c>
      <c r="D1097">
        <f>IF(PNL!D1097="","",PNL!D1097)</f>
        <v/>
      </c>
      <c r="E1097">
        <f>IF($A1097="","",IF(AND($C1097="2027",OR($D1097="V01",$D1097="V02",$D1097="V03")),1,0))</f>
        <v/>
      </c>
      <c r="F1097">
        <f>IF($A1097="","",IF($E1097=1,SUMIFS(Comptabilité!$F$1:$F$675,Comptabilité!$A$1:$A$675,$A1097,Comptabilité!$B$1:$B$675,$B1097,Comptabilité!$C$1:$C$675,"2026"),0))</f>
        <v/>
      </c>
      <c r="G1097">
        <f>IF($A1097="","",IF($D1097="V01",Cadrage!$C$22,IF($D1097="V02",Cadrage!$D$22,Cadrage!$E$22)))</f>
        <v/>
      </c>
      <c r="H1097">
        <f>IF($A1097="","",IF($D1097="V01",Cadrage!$C$23,IF($D1097="V02",Cadrage!$D$23,Cadrage!$E$23)))</f>
        <v/>
      </c>
      <c r="I1097">
        <f>IF($A1097="","",IF($D1097="V01",Cadrage!$C$31,IF($D1097="V02",Cadrage!$D$31,Cadrage!$E$31)))</f>
        <v/>
      </c>
      <c r="J1097">
        <f>IF($A1097="","",IF($D1097="V01",Cadrage!$C$32,IF($D1097="V02",Cadrage!$D$32,Cadrage!$E$32)))</f>
        <v/>
      </c>
      <c r="K1097">
        <f>IF($A1097="","",IF($D1097="V01",Cadrage!$C$33,IF($D1097="V02",Cadrage!$D$33,Cadrage!$E$33)))</f>
        <v/>
      </c>
      <c r="L1097">
        <f>IF($A1097="","",IF($D1097="V01",Cadrage!$C$34,IF($D1097="V02",Cadrage!$D$34,Cadrage!$E$34)))</f>
        <v/>
      </c>
      <c r="M1097">
        <f>IF($A1097="","",IF($D1097="V01",Cadrage!$C$35,IF($D1097="V02",Cadrage!$D$35,Cadrage!$E$35)))</f>
        <v/>
      </c>
      <c r="N1097">
        <f>IF($A1097="","",IF($D1097="V01",$R$2,IF($D1097="V02",$R$3,$R$4)))</f>
        <v/>
      </c>
      <c r="O1097">
        <f>IF($A1097="","",IF(OR($B1097="7062",$B1097="706",$B1097="708"),$N1097,IF($B1097="6231",1+$G1097,IF($B1097="6236",1+$H1097,IF(OR($B1097="621",$B1097="604",$B1097="6063"),$N1097*(1-$L1097),IF(OR($B1097="6411",$B1097="6413",$B1097="6414",$B1097="645"),(1+$J1097)*(1+$K1097),IF(OR($B1097="613",$B1097="615",$B1097="616",$B1097="6226",$B1097="625",$B1097="626",$B1097="6281"),(1+$I1097)*(1-$L1097)*(1+$M1097),IF(OR($B1097="6331",$B1097="63511",$B1097="6333"),(1+$I1097)*(1-$L1097),IF($B1097="6811",1+$I1097,1)))))))))</f>
        <v/>
      </c>
      <c r="P1097">
        <f>IF($A1097="","",IF($E1097=1,$F1097*$O1097,PNL!G1097))</f>
        <v/>
      </c>
      <c r="T1097">
        <f>IF($A1097="","",IF($E1097=1,IF(OR($B1097="7062",$B1097="706",$B1097="708"),$P1097,IF(AND(LEFT($B1097,1)="6",$B1097&lt;&gt;"6811"),-$P1097,0)),0))</f>
        <v/>
      </c>
    </row>
    <row r="1098">
      <c r="A1098">
        <f>IF(PNL!A1098="","",PNL!A1098)</f>
        <v/>
      </c>
      <c r="B1098">
        <f>IF(PNL!B1098="","",PNL!B1098)</f>
        <v/>
      </c>
      <c r="C1098">
        <f>IF(PNL!C1098="","",PNL!C1098)</f>
        <v/>
      </c>
      <c r="D1098">
        <f>IF(PNL!D1098="","",PNL!D1098)</f>
        <v/>
      </c>
      <c r="E1098">
        <f>IF($A1098="","",IF(AND($C1098="2027",OR($D1098="V01",$D1098="V02",$D1098="V03")),1,0))</f>
        <v/>
      </c>
      <c r="F1098">
        <f>IF($A1098="","",IF($E1098=1,SUMIFS(Comptabilité!$F$1:$F$675,Comptabilité!$A$1:$A$675,$A1098,Comptabilité!$B$1:$B$675,$B1098,Comptabilité!$C$1:$C$675,"2026"),0))</f>
        <v/>
      </c>
      <c r="G1098">
        <f>IF($A1098="","",IF($D1098="V01",Cadrage!$C$22,IF($D1098="V02",Cadrage!$D$22,Cadrage!$E$22)))</f>
        <v/>
      </c>
      <c r="H1098">
        <f>IF($A1098="","",IF($D1098="V01",Cadrage!$C$23,IF($D1098="V02",Cadrage!$D$23,Cadrage!$E$23)))</f>
        <v/>
      </c>
      <c r="I1098">
        <f>IF($A1098="","",IF($D1098="V01",Cadrage!$C$31,IF($D1098="V02",Cadrage!$D$31,Cadrage!$E$31)))</f>
        <v/>
      </c>
      <c r="J1098">
        <f>IF($A1098="","",IF($D1098="V01",Cadrage!$C$32,IF($D1098="V02",Cadrage!$D$32,Cadrage!$E$32)))</f>
        <v/>
      </c>
      <c r="K1098">
        <f>IF($A1098="","",IF($D1098="V01",Cadrage!$C$33,IF($D1098="V02",Cadrage!$D$33,Cadrage!$E$33)))</f>
        <v/>
      </c>
      <c r="L1098">
        <f>IF($A1098="","",IF($D1098="V01",Cadrage!$C$34,IF($D1098="V02",Cadrage!$D$34,Cadrage!$E$34)))</f>
        <v/>
      </c>
      <c r="M1098">
        <f>IF($A1098="","",IF($D1098="V01",Cadrage!$C$35,IF($D1098="V02",Cadrage!$D$35,Cadrage!$E$35)))</f>
        <v/>
      </c>
      <c r="N1098">
        <f>IF($A1098="","",IF($D1098="V01",$R$2,IF($D1098="V02",$R$3,$R$4)))</f>
        <v/>
      </c>
      <c r="O1098">
        <f>IF($A1098="","",IF(OR($B1098="7062",$B1098="706",$B1098="708"),$N1098,IF($B1098="6231",1+$G1098,IF($B1098="6236",1+$H1098,IF(OR($B1098="621",$B1098="604",$B1098="6063"),$N1098*(1-$L1098),IF(OR($B1098="6411",$B1098="6413",$B1098="6414",$B1098="645"),(1+$J1098)*(1+$K1098),IF(OR($B1098="613",$B1098="615",$B1098="616",$B1098="6226",$B1098="625",$B1098="626",$B1098="6281"),(1+$I1098)*(1-$L1098)*(1+$M1098),IF(OR($B1098="6331",$B1098="63511",$B1098="6333"),(1+$I1098)*(1-$L1098),IF($B1098="6811",1+$I1098,1)))))))))</f>
        <v/>
      </c>
      <c r="P1098">
        <f>IF($A1098="","",IF($E1098=1,$F1098*$O1098,PNL!G1098))</f>
        <v/>
      </c>
      <c r="T1098">
        <f>IF($A1098="","",IF($E1098=1,IF(OR($B1098="7062",$B1098="706",$B1098="708"),$P1098,IF(AND(LEFT($B1098,1)="6",$B1098&lt;&gt;"6811"),-$P1098,0)),0))</f>
        <v/>
      </c>
    </row>
    <row r="1099">
      <c r="A1099">
        <f>IF(PNL!A1099="","",PNL!A1099)</f>
        <v/>
      </c>
      <c r="B1099">
        <f>IF(PNL!B1099="","",PNL!B1099)</f>
        <v/>
      </c>
      <c r="C1099">
        <f>IF(PNL!C1099="","",PNL!C1099)</f>
        <v/>
      </c>
      <c r="D1099">
        <f>IF(PNL!D1099="","",PNL!D1099)</f>
        <v/>
      </c>
      <c r="E1099">
        <f>IF($A1099="","",IF(AND($C1099="2027",OR($D1099="V01",$D1099="V02",$D1099="V03")),1,0))</f>
        <v/>
      </c>
      <c r="F1099">
        <f>IF($A1099="","",IF($E1099=1,SUMIFS(Comptabilité!$F$1:$F$675,Comptabilité!$A$1:$A$675,$A1099,Comptabilité!$B$1:$B$675,$B1099,Comptabilité!$C$1:$C$675,"2026"),0))</f>
        <v/>
      </c>
      <c r="G1099">
        <f>IF($A1099="","",IF($D1099="V01",Cadrage!$C$22,IF($D1099="V02",Cadrage!$D$22,Cadrage!$E$22)))</f>
        <v/>
      </c>
      <c r="H1099">
        <f>IF($A1099="","",IF($D1099="V01",Cadrage!$C$23,IF($D1099="V02",Cadrage!$D$23,Cadrage!$E$23)))</f>
        <v/>
      </c>
      <c r="I1099">
        <f>IF($A1099="","",IF($D1099="V01",Cadrage!$C$31,IF($D1099="V02",Cadrage!$D$31,Cadrage!$E$31)))</f>
        <v/>
      </c>
      <c r="J1099">
        <f>IF($A1099="","",IF($D1099="V01",Cadrage!$C$32,IF($D1099="V02",Cadrage!$D$32,Cadrage!$E$32)))</f>
        <v/>
      </c>
      <c r="K1099">
        <f>IF($A1099="","",IF($D1099="V01",Cadrage!$C$33,IF($D1099="V02",Cadrage!$D$33,Cadrage!$E$33)))</f>
        <v/>
      </c>
      <c r="L1099">
        <f>IF($A1099="","",IF($D1099="V01",Cadrage!$C$34,IF($D1099="V02",Cadrage!$D$34,Cadrage!$E$34)))</f>
        <v/>
      </c>
      <c r="M1099">
        <f>IF($A1099="","",IF($D1099="V01",Cadrage!$C$35,IF($D1099="V02",Cadrage!$D$35,Cadrage!$E$35)))</f>
        <v/>
      </c>
      <c r="N1099">
        <f>IF($A1099="","",IF($D1099="V01",$R$2,IF($D1099="V02",$R$3,$R$4)))</f>
        <v/>
      </c>
      <c r="O1099">
        <f>IF($A1099="","",IF(OR($B1099="7062",$B1099="706",$B1099="708"),$N1099,IF($B1099="6231",1+$G1099,IF($B1099="6236",1+$H1099,IF(OR($B1099="621",$B1099="604",$B1099="6063"),$N1099*(1-$L1099),IF(OR($B1099="6411",$B1099="6413",$B1099="6414",$B1099="645"),(1+$J1099)*(1+$K1099),IF(OR($B1099="613",$B1099="615",$B1099="616",$B1099="6226",$B1099="625",$B1099="626",$B1099="6281"),(1+$I1099)*(1-$L1099)*(1+$M1099),IF(OR($B1099="6331",$B1099="63511",$B1099="6333"),(1+$I1099)*(1-$L1099),IF($B1099="6811",1+$I1099,1)))))))))</f>
        <v/>
      </c>
      <c r="P1099">
        <f>IF($A1099="","",IF($E1099=1,$F1099*$O1099,PNL!G1099))</f>
        <v/>
      </c>
      <c r="T1099">
        <f>IF($A1099="","",IF($E1099=1,IF(OR($B1099="7062",$B1099="706",$B1099="708"),$P1099,IF(AND(LEFT($B1099,1)="6",$B1099&lt;&gt;"6811"),-$P1099,0)),0))</f>
        <v/>
      </c>
    </row>
    <row r="1100">
      <c r="A1100">
        <f>IF(PNL!A1100="","",PNL!A1100)</f>
        <v/>
      </c>
      <c r="B1100">
        <f>IF(PNL!B1100="","",PNL!B1100)</f>
        <v/>
      </c>
      <c r="C1100">
        <f>IF(PNL!C1100="","",PNL!C1100)</f>
        <v/>
      </c>
      <c r="D1100">
        <f>IF(PNL!D1100="","",PNL!D1100)</f>
        <v/>
      </c>
      <c r="E1100">
        <f>IF($A1100="","",IF(AND($C1100="2027",OR($D1100="V01",$D1100="V02",$D1100="V03")),1,0))</f>
        <v/>
      </c>
      <c r="F1100">
        <f>IF($A1100="","",IF($E1100=1,SUMIFS(Comptabilité!$F$1:$F$675,Comptabilité!$A$1:$A$675,$A1100,Comptabilité!$B$1:$B$675,$B1100,Comptabilité!$C$1:$C$675,"2026"),0))</f>
        <v/>
      </c>
      <c r="G1100">
        <f>IF($A1100="","",IF($D1100="V01",Cadrage!$C$22,IF($D1100="V02",Cadrage!$D$22,Cadrage!$E$22)))</f>
        <v/>
      </c>
      <c r="H1100">
        <f>IF($A1100="","",IF($D1100="V01",Cadrage!$C$23,IF($D1100="V02",Cadrage!$D$23,Cadrage!$E$23)))</f>
        <v/>
      </c>
      <c r="I1100">
        <f>IF($A1100="","",IF($D1100="V01",Cadrage!$C$31,IF($D1100="V02",Cadrage!$D$31,Cadrage!$E$31)))</f>
        <v/>
      </c>
      <c r="J1100">
        <f>IF($A1100="","",IF($D1100="V01",Cadrage!$C$32,IF($D1100="V02",Cadrage!$D$32,Cadrage!$E$32)))</f>
        <v/>
      </c>
      <c r="K1100">
        <f>IF($A1100="","",IF($D1100="V01",Cadrage!$C$33,IF($D1100="V02",Cadrage!$D$33,Cadrage!$E$33)))</f>
        <v/>
      </c>
      <c r="L1100">
        <f>IF($A1100="","",IF($D1100="V01",Cadrage!$C$34,IF($D1100="V02",Cadrage!$D$34,Cadrage!$E$34)))</f>
        <v/>
      </c>
      <c r="M1100">
        <f>IF($A1100="","",IF($D1100="V01",Cadrage!$C$35,IF($D1100="V02",Cadrage!$D$35,Cadrage!$E$35)))</f>
        <v/>
      </c>
      <c r="N1100">
        <f>IF($A1100="","",IF($D1100="V01",$R$2,IF($D1100="V02",$R$3,$R$4)))</f>
        <v/>
      </c>
      <c r="O1100">
        <f>IF($A1100="","",IF(OR($B1100="7062",$B1100="706",$B1100="708"),$N1100,IF($B1100="6231",1+$G1100,IF($B1100="6236",1+$H1100,IF(OR($B1100="621",$B1100="604",$B1100="6063"),$N1100*(1-$L1100),IF(OR($B1100="6411",$B1100="6413",$B1100="6414",$B1100="645"),(1+$J1100)*(1+$K1100),IF(OR($B1100="613",$B1100="615",$B1100="616",$B1100="6226",$B1100="625",$B1100="626",$B1100="6281"),(1+$I1100)*(1-$L1100)*(1+$M1100),IF(OR($B1100="6331",$B1100="63511",$B1100="6333"),(1+$I1100)*(1-$L1100),IF($B1100="6811",1+$I1100,1)))))))))</f>
        <v/>
      </c>
      <c r="P1100">
        <f>IF($A1100="","",IF($E1100=1,$F1100*$O1100,PNL!G1100))</f>
        <v/>
      </c>
      <c r="T1100">
        <f>IF($A1100="","",IF($E1100=1,IF(OR($B1100="7062",$B1100="706",$B1100="708"),$P1100,IF(AND(LEFT($B1100,1)="6",$B1100&lt;&gt;"6811"),-$P1100,0)),0))</f>
        <v/>
      </c>
    </row>
    <row r="1101">
      <c r="A1101">
        <f>IF(PNL!A1101="","",PNL!A1101)</f>
        <v/>
      </c>
      <c r="B1101">
        <f>IF(PNL!B1101="","",PNL!B1101)</f>
        <v/>
      </c>
      <c r="C1101">
        <f>IF(PNL!C1101="","",PNL!C1101)</f>
        <v/>
      </c>
      <c r="D1101">
        <f>IF(PNL!D1101="","",PNL!D1101)</f>
        <v/>
      </c>
      <c r="E1101">
        <f>IF($A1101="","",IF(AND($C1101="2027",OR($D1101="V01",$D1101="V02",$D1101="V03")),1,0))</f>
        <v/>
      </c>
      <c r="F1101">
        <f>IF($A1101="","",IF($E1101=1,SUMIFS(Comptabilité!$F$1:$F$675,Comptabilité!$A$1:$A$675,$A1101,Comptabilité!$B$1:$B$675,$B1101,Comptabilité!$C$1:$C$675,"2026"),0))</f>
        <v/>
      </c>
      <c r="G1101">
        <f>IF($A1101="","",IF($D1101="V01",Cadrage!$C$22,IF($D1101="V02",Cadrage!$D$22,Cadrage!$E$22)))</f>
        <v/>
      </c>
      <c r="H1101">
        <f>IF($A1101="","",IF($D1101="V01",Cadrage!$C$23,IF($D1101="V02",Cadrage!$D$23,Cadrage!$E$23)))</f>
        <v/>
      </c>
      <c r="I1101">
        <f>IF($A1101="","",IF($D1101="V01",Cadrage!$C$31,IF($D1101="V02",Cadrage!$D$31,Cadrage!$E$31)))</f>
        <v/>
      </c>
      <c r="J1101">
        <f>IF($A1101="","",IF($D1101="V01",Cadrage!$C$32,IF($D1101="V02",Cadrage!$D$32,Cadrage!$E$32)))</f>
        <v/>
      </c>
      <c r="K1101">
        <f>IF($A1101="","",IF($D1101="V01",Cadrage!$C$33,IF($D1101="V02",Cadrage!$D$33,Cadrage!$E$33)))</f>
        <v/>
      </c>
      <c r="L1101">
        <f>IF($A1101="","",IF($D1101="V01",Cadrage!$C$34,IF($D1101="V02",Cadrage!$D$34,Cadrage!$E$34)))</f>
        <v/>
      </c>
      <c r="M1101">
        <f>IF($A1101="","",IF($D1101="V01",Cadrage!$C$35,IF($D1101="V02",Cadrage!$D$35,Cadrage!$E$35)))</f>
        <v/>
      </c>
      <c r="N1101">
        <f>IF($A1101="","",IF($D1101="V01",$R$2,IF($D1101="V02",$R$3,$R$4)))</f>
        <v/>
      </c>
      <c r="O1101">
        <f>IF($A1101="","",IF(OR($B1101="7062",$B1101="706",$B1101="708"),$N1101,IF($B1101="6231",1+$G1101,IF($B1101="6236",1+$H1101,IF(OR($B1101="621",$B1101="604",$B1101="6063"),$N1101*(1-$L1101),IF(OR($B1101="6411",$B1101="6413",$B1101="6414",$B1101="645"),(1+$J1101)*(1+$K1101),IF(OR($B1101="613",$B1101="615",$B1101="616",$B1101="6226",$B1101="625",$B1101="626",$B1101="6281"),(1+$I1101)*(1-$L1101)*(1+$M1101),IF(OR($B1101="6331",$B1101="63511",$B1101="6333"),(1+$I1101)*(1-$L1101),IF($B1101="6811",1+$I1101,1)))))))))</f>
        <v/>
      </c>
      <c r="P1101">
        <f>IF($A1101="","",IF($E1101=1,$F1101*$O1101,PNL!G1101))</f>
        <v/>
      </c>
      <c r="T1101">
        <f>IF($A1101="","",IF($E1101=1,IF(OR($B1101="7062",$B1101="706",$B1101="708"),$P1101,IF(AND(LEFT($B1101,1)="6",$B1101&lt;&gt;"6811"),-$P1101,0)),0))</f>
        <v/>
      </c>
    </row>
    <row r="1102">
      <c r="A1102">
        <f>IF(PNL!A1102="","",PNL!A1102)</f>
        <v/>
      </c>
      <c r="B1102">
        <f>IF(PNL!B1102="","",PNL!B1102)</f>
        <v/>
      </c>
      <c r="C1102">
        <f>IF(PNL!C1102="","",PNL!C1102)</f>
        <v/>
      </c>
      <c r="D1102">
        <f>IF(PNL!D1102="","",PNL!D1102)</f>
        <v/>
      </c>
      <c r="E1102">
        <f>IF($A1102="","",IF(AND($C1102="2027",OR($D1102="V01",$D1102="V02",$D1102="V03")),1,0))</f>
        <v/>
      </c>
      <c r="F1102">
        <f>IF($A1102="","",IF($E1102=1,SUMIFS(Comptabilité!$F$1:$F$675,Comptabilité!$A$1:$A$675,$A1102,Comptabilité!$B$1:$B$675,$B1102,Comptabilité!$C$1:$C$675,"2026"),0))</f>
        <v/>
      </c>
      <c r="G1102">
        <f>IF($A1102="","",IF($D1102="V01",Cadrage!$C$22,IF($D1102="V02",Cadrage!$D$22,Cadrage!$E$22)))</f>
        <v/>
      </c>
      <c r="H1102">
        <f>IF($A1102="","",IF($D1102="V01",Cadrage!$C$23,IF($D1102="V02",Cadrage!$D$23,Cadrage!$E$23)))</f>
        <v/>
      </c>
      <c r="I1102">
        <f>IF($A1102="","",IF($D1102="V01",Cadrage!$C$31,IF($D1102="V02",Cadrage!$D$31,Cadrage!$E$31)))</f>
        <v/>
      </c>
      <c r="J1102">
        <f>IF($A1102="","",IF($D1102="V01",Cadrage!$C$32,IF($D1102="V02",Cadrage!$D$32,Cadrage!$E$32)))</f>
        <v/>
      </c>
      <c r="K1102">
        <f>IF($A1102="","",IF($D1102="V01",Cadrage!$C$33,IF($D1102="V02",Cadrage!$D$33,Cadrage!$E$33)))</f>
        <v/>
      </c>
      <c r="L1102">
        <f>IF($A1102="","",IF($D1102="V01",Cadrage!$C$34,IF($D1102="V02",Cadrage!$D$34,Cadrage!$E$34)))</f>
        <v/>
      </c>
      <c r="M1102">
        <f>IF($A1102="","",IF($D1102="V01",Cadrage!$C$35,IF($D1102="V02",Cadrage!$D$35,Cadrage!$E$35)))</f>
        <v/>
      </c>
      <c r="N1102">
        <f>IF($A1102="","",IF($D1102="V01",$R$2,IF($D1102="V02",$R$3,$R$4)))</f>
        <v/>
      </c>
      <c r="O1102">
        <f>IF($A1102="","",IF(OR($B1102="7062",$B1102="706",$B1102="708"),$N1102,IF($B1102="6231",1+$G1102,IF($B1102="6236",1+$H1102,IF(OR($B1102="621",$B1102="604",$B1102="6063"),$N1102*(1-$L1102),IF(OR($B1102="6411",$B1102="6413",$B1102="6414",$B1102="645"),(1+$J1102)*(1+$K1102),IF(OR($B1102="613",$B1102="615",$B1102="616",$B1102="6226",$B1102="625",$B1102="626",$B1102="6281"),(1+$I1102)*(1-$L1102)*(1+$M1102),IF(OR($B1102="6331",$B1102="63511",$B1102="6333"),(1+$I1102)*(1-$L1102),IF($B1102="6811",1+$I1102,1)))))))))</f>
        <v/>
      </c>
      <c r="P1102">
        <f>IF($A1102="","",IF($E1102=1,$F1102*$O1102,PNL!G1102))</f>
        <v/>
      </c>
      <c r="T1102">
        <f>IF($A1102="","",IF($E1102=1,IF(OR($B1102="7062",$B1102="706",$B1102="708"),$P1102,IF(AND(LEFT($B1102,1)="6",$B1102&lt;&gt;"6811"),-$P1102,0)),0))</f>
        <v/>
      </c>
    </row>
    <row r="1103">
      <c r="A1103">
        <f>IF(PNL!A1103="","",PNL!A1103)</f>
        <v/>
      </c>
      <c r="B1103">
        <f>IF(PNL!B1103="","",PNL!B1103)</f>
        <v/>
      </c>
      <c r="C1103">
        <f>IF(PNL!C1103="","",PNL!C1103)</f>
        <v/>
      </c>
      <c r="D1103">
        <f>IF(PNL!D1103="","",PNL!D1103)</f>
        <v/>
      </c>
      <c r="E1103">
        <f>IF($A1103="","",IF(AND($C1103="2027",OR($D1103="V01",$D1103="V02",$D1103="V03")),1,0))</f>
        <v/>
      </c>
      <c r="F1103">
        <f>IF($A1103="","",IF($E1103=1,SUMIFS(Comptabilité!$F$1:$F$675,Comptabilité!$A$1:$A$675,$A1103,Comptabilité!$B$1:$B$675,$B1103,Comptabilité!$C$1:$C$675,"2026"),0))</f>
        <v/>
      </c>
      <c r="G1103">
        <f>IF($A1103="","",IF($D1103="V01",Cadrage!$C$22,IF($D1103="V02",Cadrage!$D$22,Cadrage!$E$22)))</f>
        <v/>
      </c>
      <c r="H1103">
        <f>IF($A1103="","",IF($D1103="V01",Cadrage!$C$23,IF($D1103="V02",Cadrage!$D$23,Cadrage!$E$23)))</f>
        <v/>
      </c>
      <c r="I1103">
        <f>IF($A1103="","",IF($D1103="V01",Cadrage!$C$31,IF($D1103="V02",Cadrage!$D$31,Cadrage!$E$31)))</f>
        <v/>
      </c>
      <c r="J1103">
        <f>IF($A1103="","",IF($D1103="V01",Cadrage!$C$32,IF($D1103="V02",Cadrage!$D$32,Cadrage!$E$32)))</f>
        <v/>
      </c>
      <c r="K1103">
        <f>IF($A1103="","",IF($D1103="V01",Cadrage!$C$33,IF($D1103="V02",Cadrage!$D$33,Cadrage!$E$33)))</f>
        <v/>
      </c>
      <c r="L1103">
        <f>IF($A1103="","",IF($D1103="V01",Cadrage!$C$34,IF($D1103="V02",Cadrage!$D$34,Cadrage!$E$34)))</f>
        <v/>
      </c>
      <c r="M1103">
        <f>IF($A1103="","",IF($D1103="V01",Cadrage!$C$35,IF($D1103="V02",Cadrage!$D$35,Cadrage!$E$35)))</f>
        <v/>
      </c>
      <c r="N1103">
        <f>IF($A1103="","",IF($D1103="V01",$R$2,IF($D1103="V02",$R$3,$R$4)))</f>
        <v/>
      </c>
      <c r="O1103">
        <f>IF($A1103="","",IF(OR($B1103="7062",$B1103="706",$B1103="708"),$N1103,IF($B1103="6231",1+$G1103,IF($B1103="6236",1+$H1103,IF(OR($B1103="621",$B1103="604",$B1103="6063"),$N1103*(1-$L1103),IF(OR($B1103="6411",$B1103="6413",$B1103="6414",$B1103="645"),(1+$J1103)*(1+$K1103),IF(OR($B1103="613",$B1103="615",$B1103="616",$B1103="6226",$B1103="625",$B1103="626",$B1103="6281"),(1+$I1103)*(1-$L1103)*(1+$M1103),IF(OR($B1103="6331",$B1103="63511",$B1103="6333"),(1+$I1103)*(1-$L1103),IF($B1103="6811",1+$I1103,1)))))))))</f>
        <v/>
      </c>
      <c r="P1103">
        <f>IF($A1103="","",IF($E1103=1,$F1103*$O1103,PNL!G1103))</f>
        <v/>
      </c>
      <c r="T1103">
        <f>IF($A1103="","",IF($E1103=1,IF(OR($B1103="7062",$B1103="706",$B1103="708"),$P1103,IF(AND(LEFT($B1103,1)="6",$B1103&lt;&gt;"6811"),-$P1103,0)),0))</f>
        <v/>
      </c>
    </row>
    <row r="1104">
      <c r="A1104">
        <f>IF(PNL!A1104="","",PNL!A1104)</f>
        <v/>
      </c>
      <c r="B1104">
        <f>IF(PNL!B1104="","",PNL!B1104)</f>
        <v/>
      </c>
      <c r="C1104">
        <f>IF(PNL!C1104="","",PNL!C1104)</f>
        <v/>
      </c>
      <c r="D1104">
        <f>IF(PNL!D1104="","",PNL!D1104)</f>
        <v/>
      </c>
      <c r="E1104">
        <f>IF($A1104="","",IF(AND($C1104="2027",OR($D1104="V01",$D1104="V02",$D1104="V03")),1,0))</f>
        <v/>
      </c>
      <c r="F1104">
        <f>IF($A1104="","",IF($E1104=1,SUMIFS(Comptabilité!$F$1:$F$675,Comptabilité!$A$1:$A$675,$A1104,Comptabilité!$B$1:$B$675,$B1104,Comptabilité!$C$1:$C$675,"2026"),0))</f>
        <v/>
      </c>
      <c r="G1104">
        <f>IF($A1104="","",IF($D1104="V01",Cadrage!$C$22,IF($D1104="V02",Cadrage!$D$22,Cadrage!$E$22)))</f>
        <v/>
      </c>
      <c r="H1104">
        <f>IF($A1104="","",IF($D1104="V01",Cadrage!$C$23,IF($D1104="V02",Cadrage!$D$23,Cadrage!$E$23)))</f>
        <v/>
      </c>
      <c r="I1104">
        <f>IF($A1104="","",IF($D1104="V01",Cadrage!$C$31,IF($D1104="V02",Cadrage!$D$31,Cadrage!$E$31)))</f>
        <v/>
      </c>
      <c r="J1104">
        <f>IF($A1104="","",IF($D1104="V01",Cadrage!$C$32,IF($D1104="V02",Cadrage!$D$32,Cadrage!$E$32)))</f>
        <v/>
      </c>
      <c r="K1104">
        <f>IF($A1104="","",IF($D1104="V01",Cadrage!$C$33,IF($D1104="V02",Cadrage!$D$33,Cadrage!$E$33)))</f>
        <v/>
      </c>
      <c r="L1104">
        <f>IF($A1104="","",IF($D1104="V01",Cadrage!$C$34,IF($D1104="V02",Cadrage!$D$34,Cadrage!$E$34)))</f>
        <v/>
      </c>
      <c r="M1104">
        <f>IF($A1104="","",IF($D1104="V01",Cadrage!$C$35,IF($D1104="V02",Cadrage!$D$35,Cadrage!$E$35)))</f>
        <v/>
      </c>
      <c r="N1104">
        <f>IF($A1104="","",IF($D1104="V01",$R$2,IF($D1104="V02",$R$3,$R$4)))</f>
        <v/>
      </c>
      <c r="O1104">
        <f>IF($A1104="","",IF(OR($B1104="7062",$B1104="706",$B1104="708"),$N1104,IF($B1104="6231",1+$G1104,IF($B1104="6236",1+$H1104,IF(OR($B1104="621",$B1104="604",$B1104="6063"),$N1104*(1-$L1104),IF(OR($B1104="6411",$B1104="6413",$B1104="6414",$B1104="645"),(1+$J1104)*(1+$K1104),IF(OR($B1104="613",$B1104="615",$B1104="616",$B1104="6226",$B1104="625",$B1104="626",$B1104="6281"),(1+$I1104)*(1-$L1104)*(1+$M1104),IF(OR($B1104="6331",$B1104="63511",$B1104="6333"),(1+$I1104)*(1-$L1104),IF($B1104="6811",1+$I1104,1)))))))))</f>
        <v/>
      </c>
      <c r="P1104">
        <f>IF($A1104="","",IF($E1104=1,$F1104*$O1104,PNL!G1104))</f>
        <v/>
      </c>
      <c r="T1104">
        <f>IF($A1104="","",IF($E1104=1,IF(OR($B1104="7062",$B1104="706",$B1104="708"),$P1104,IF(AND(LEFT($B1104,1)="6",$B1104&lt;&gt;"6811"),-$P1104,0)),0))</f>
        <v/>
      </c>
    </row>
    <row r="1105">
      <c r="A1105">
        <f>IF(PNL!A1105="","",PNL!A1105)</f>
        <v/>
      </c>
      <c r="B1105">
        <f>IF(PNL!B1105="","",PNL!B1105)</f>
        <v/>
      </c>
      <c r="C1105">
        <f>IF(PNL!C1105="","",PNL!C1105)</f>
        <v/>
      </c>
      <c r="D1105">
        <f>IF(PNL!D1105="","",PNL!D1105)</f>
        <v/>
      </c>
      <c r="E1105">
        <f>IF($A1105="","",IF(AND($C1105="2027",OR($D1105="V01",$D1105="V02",$D1105="V03")),1,0))</f>
        <v/>
      </c>
      <c r="F1105">
        <f>IF($A1105="","",IF($E1105=1,SUMIFS(Comptabilité!$F$1:$F$675,Comptabilité!$A$1:$A$675,$A1105,Comptabilité!$B$1:$B$675,$B1105,Comptabilité!$C$1:$C$675,"2026"),0))</f>
        <v/>
      </c>
      <c r="G1105">
        <f>IF($A1105="","",IF($D1105="V01",Cadrage!$C$22,IF($D1105="V02",Cadrage!$D$22,Cadrage!$E$22)))</f>
        <v/>
      </c>
      <c r="H1105">
        <f>IF($A1105="","",IF($D1105="V01",Cadrage!$C$23,IF($D1105="V02",Cadrage!$D$23,Cadrage!$E$23)))</f>
        <v/>
      </c>
      <c r="I1105">
        <f>IF($A1105="","",IF($D1105="V01",Cadrage!$C$31,IF($D1105="V02",Cadrage!$D$31,Cadrage!$E$31)))</f>
        <v/>
      </c>
      <c r="J1105">
        <f>IF($A1105="","",IF($D1105="V01",Cadrage!$C$32,IF($D1105="V02",Cadrage!$D$32,Cadrage!$E$32)))</f>
        <v/>
      </c>
      <c r="K1105">
        <f>IF($A1105="","",IF($D1105="V01",Cadrage!$C$33,IF($D1105="V02",Cadrage!$D$33,Cadrage!$E$33)))</f>
        <v/>
      </c>
      <c r="L1105">
        <f>IF($A1105="","",IF($D1105="V01",Cadrage!$C$34,IF($D1105="V02",Cadrage!$D$34,Cadrage!$E$34)))</f>
        <v/>
      </c>
      <c r="M1105">
        <f>IF($A1105="","",IF($D1105="V01",Cadrage!$C$35,IF($D1105="V02",Cadrage!$D$35,Cadrage!$E$35)))</f>
        <v/>
      </c>
      <c r="N1105">
        <f>IF($A1105="","",IF($D1105="V01",$R$2,IF($D1105="V02",$R$3,$R$4)))</f>
        <v/>
      </c>
      <c r="O1105">
        <f>IF($A1105="","",IF(OR($B1105="7062",$B1105="706",$B1105="708"),$N1105,IF($B1105="6231",1+$G1105,IF($B1105="6236",1+$H1105,IF(OR($B1105="621",$B1105="604",$B1105="6063"),$N1105*(1-$L1105),IF(OR($B1105="6411",$B1105="6413",$B1105="6414",$B1105="645"),(1+$J1105)*(1+$K1105),IF(OR($B1105="613",$B1105="615",$B1105="616",$B1105="6226",$B1105="625",$B1105="626",$B1105="6281"),(1+$I1105)*(1-$L1105)*(1+$M1105),IF(OR($B1105="6331",$B1105="63511",$B1105="6333"),(1+$I1105)*(1-$L1105),IF($B1105="6811",1+$I1105,1)))))))))</f>
        <v/>
      </c>
      <c r="P1105">
        <f>IF($A1105="","",IF($E1105=1,$F1105*$O1105,PNL!G1105))</f>
        <v/>
      </c>
      <c r="T1105">
        <f>IF($A1105="","",IF($E1105=1,IF(OR($B1105="7062",$B1105="706",$B1105="708"),$P1105,IF(AND(LEFT($B1105,1)="6",$B1105&lt;&gt;"6811"),-$P1105,0)),0))</f>
        <v/>
      </c>
    </row>
    <row r="1106">
      <c r="A1106">
        <f>IF(PNL!A1106="","",PNL!A1106)</f>
        <v/>
      </c>
      <c r="B1106">
        <f>IF(PNL!B1106="","",PNL!B1106)</f>
        <v/>
      </c>
      <c r="C1106">
        <f>IF(PNL!C1106="","",PNL!C1106)</f>
        <v/>
      </c>
      <c r="D1106">
        <f>IF(PNL!D1106="","",PNL!D1106)</f>
        <v/>
      </c>
      <c r="E1106">
        <f>IF($A1106="","",IF(AND($C1106="2027",OR($D1106="V01",$D1106="V02",$D1106="V03")),1,0))</f>
        <v/>
      </c>
      <c r="F1106">
        <f>IF($A1106="","",IF($E1106=1,SUMIFS(Comptabilité!$F$1:$F$675,Comptabilité!$A$1:$A$675,$A1106,Comptabilité!$B$1:$B$675,$B1106,Comptabilité!$C$1:$C$675,"2026"),0))</f>
        <v/>
      </c>
      <c r="G1106">
        <f>IF($A1106="","",IF($D1106="V01",Cadrage!$C$22,IF($D1106="V02",Cadrage!$D$22,Cadrage!$E$22)))</f>
        <v/>
      </c>
      <c r="H1106">
        <f>IF($A1106="","",IF($D1106="V01",Cadrage!$C$23,IF($D1106="V02",Cadrage!$D$23,Cadrage!$E$23)))</f>
        <v/>
      </c>
      <c r="I1106">
        <f>IF($A1106="","",IF($D1106="V01",Cadrage!$C$31,IF($D1106="V02",Cadrage!$D$31,Cadrage!$E$31)))</f>
        <v/>
      </c>
      <c r="J1106">
        <f>IF($A1106="","",IF($D1106="V01",Cadrage!$C$32,IF($D1106="V02",Cadrage!$D$32,Cadrage!$E$32)))</f>
        <v/>
      </c>
      <c r="K1106">
        <f>IF($A1106="","",IF($D1106="V01",Cadrage!$C$33,IF($D1106="V02",Cadrage!$D$33,Cadrage!$E$33)))</f>
        <v/>
      </c>
      <c r="L1106">
        <f>IF($A1106="","",IF($D1106="V01",Cadrage!$C$34,IF($D1106="V02",Cadrage!$D$34,Cadrage!$E$34)))</f>
        <v/>
      </c>
      <c r="M1106">
        <f>IF($A1106="","",IF($D1106="V01",Cadrage!$C$35,IF($D1106="V02",Cadrage!$D$35,Cadrage!$E$35)))</f>
        <v/>
      </c>
      <c r="N1106">
        <f>IF($A1106="","",IF($D1106="V01",$R$2,IF($D1106="V02",$R$3,$R$4)))</f>
        <v/>
      </c>
      <c r="O1106">
        <f>IF($A1106="","",IF(OR($B1106="7062",$B1106="706",$B1106="708"),$N1106,IF($B1106="6231",1+$G1106,IF($B1106="6236",1+$H1106,IF(OR($B1106="621",$B1106="604",$B1106="6063"),$N1106*(1-$L1106),IF(OR($B1106="6411",$B1106="6413",$B1106="6414",$B1106="645"),(1+$J1106)*(1+$K1106),IF(OR($B1106="613",$B1106="615",$B1106="616",$B1106="6226",$B1106="625",$B1106="626",$B1106="6281"),(1+$I1106)*(1-$L1106)*(1+$M1106),IF(OR($B1106="6331",$B1106="63511",$B1106="6333"),(1+$I1106)*(1-$L1106),IF($B1106="6811",1+$I1106,1)))))))))</f>
        <v/>
      </c>
      <c r="P1106">
        <f>IF($A1106="","",IF($E1106=1,$F1106*$O1106,PNL!G1106))</f>
        <v/>
      </c>
      <c r="T1106">
        <f>IF($A1106="","",IF($E1106=1,IF(OR($B1106="7062",$B1106="706",$B1106="708"),$P1106,IF(AND(LEFT($B1106,1)="6",$B1106&lt;&gt;"6811"),-$P1106,0)),0))</f>
        <v/>
      </c>
    </row>
    <row r="1107">
      <c r="A1107">
        <f>IF(PNL!A1107="","",PNL!A1107)</f>
        <v/>
      </c>
      <c r="B1107">
        <f>IF(PNL!B1107="","",PNL!B1107)</f>
        <v/>
      </c>
      <c r="C1107">
        <f>IF(PNL!C1107="","",PNL!C1107)</f>
        <v/>
      </c>
      <c r="D1107">
        <f>IF(PNL!D1107="","",PNL!D1107)</f>
        <v/>
      </c>
      <c r="E1107">
        <f>IF($A1107="","",IF(AND($C1107="2027",OR($D1107="V01",$D1107="V02",$D1107="V03")),1,0))</f>
        <v/>
      </c>
      <c r="F1107">
        <f>IF($A1107="","",IF($E1107=1,SUMIFS(Comptabilité!$F$1:$F$675,Comptabilité!$A$1:$A$675,$A1107,Comptabilité!$B$1:$B$675,$B1107,Comptabilité!$C$1:$C$675,"2026"),0))</f>
        <v/>
      </c>
      <c r="G1107">
        <f>IF($A1107="","",IF($D1107="V01",Cadrage!$C$22,IF($D1107="V02",Cadrage!$D$22,Cadrage!$E$22)))</f>
        <v/>
      </c>
      <c r="H1107">
        <f>IF($A1107="","",IF($D1107="V01",Cadrage!$C$23,IF($D1107="V02",Cadrage!$D$23,Cadrage!$E$23)))</f>
        <v/>
      </c>
      <c r="I1107">
        <f>IF($A1107="","",IF($D1107="V01",Cadrage!$C$31,IF($D1107="V02",Cadrage!$D$31,Cadrage!$E$31)))</f>
        <v/>
      </c>
      <c r="J1107">
        <f>IF($A1107="","",IF($D1107="V01",Cadrage!$C$32,IF($D1107="V02",Cadrage!$D$32,Cadrage!$E$32)))</f>
        <v/>
      </c>
      <c r="K1107">
        <f>IF($A1107="","",IF($D1107="V01",Cadrage!$C$33,IF($D1107="V02",Cadrage!$D$33,Cadrage!$E$33)))</f>
        <v/>
      </c>
      <c r="L1107">
        <f>IF($A1107="","",IF($D1107="V01",Cadrage!$C$34,IF($D1107="V02",Cadrage!$D$34,Cadrage!$E$34)))</f>
        <v/>
      </c>
      <c r="M1107">
        <f>IF($A1107="","",IF($D1107="V01",Cadrage!$C$35,IF($D1107="V02",Cadrage!$D$35,Cadrage!$E$35)))</f>
        <v/>
      </c>
      <c r="N1107">
        <f>IF($A1107="","",IF($D1107="V01",$R$2,IF($D1107="V02",$R$3,$R$4)))</f>
        <v/>
      </c>
      <c r="O1107">
        <f>IF($A1107="","",IF(OR($B1107="7062",$B1107="706",$B1107="708"),$N1107,IF($B1107="6231",1+$G1107,IF($B1107="6236",1+$H1107,IF(OR($B1107="621",$B1107="604",$B1107="6063"),$N1107*(1-$L1107),IF(OR($B1107="6411",$B1107="6413",$B1107="6414",$B1107="645"),(1+$J1107)*(1+$K1107),IF(OR($B1107="613",$B1107="615",$B1107="616",$B1107="6226",$B1107="625",$B1107="626",$B1107="6281"),(1+$I1107)*(1-$L1107)*(1+$M1107),IF(OR($B1107="6331",$B1107="63511",$B1107="6333"),(1+$I1107)*(1-$L1107),IF($B1107="6811",1+$I1107,1)))))))))</f>
        <v/>
      </c>
      <c r="P1107">
        <f>IF($A1107="","",IF($E1107=1,$F1107*$O1107,PNL!G1107))</f>
        <v/>
      </c>
      <c r="T1107">
        <f>IF($A1107="","",IF($E1107=1,IF(OR($B1107="7062",$B1107="706",$B1107="708"),$P1107,IF(AND(LEFT($B1107,1)="6",$B1107&lt;&gt;"6811"),-$P1107,0)),0))</f>
        <v/>
      </c>
    </row>
    <row r="1108">
      <c r="A1108">
        <f>IF(PNL!A1108="","",PNL!A1108)</f>
        <v/>
      </c>
      <c r="B1108">
        <f>IF(PNL!B1108="","",PNL!B1108)</f>
        <v/>
      </c>
      <c r="C1108">
        <f>IF(PNL!C1108="","",PNL!C1108)</f>
        <v/>
      </c>
      <c r="D1108">
        <f>IF(PNL!D1108="","",PNL!D1108)</f>
        <v/>
      </c>
      <c r="E1108">
        <f>IF($A1108="","",IF(AND($C1108="2027",OR($D1108="V01",$D1108="V02",$D1108="V03")),1,0))</f>
        <v/>
      </c>
      <c r="F1108">
        <f>IF($A1108="","",IF($E1108=1,SUMIFS(Comptabilité!$F$1:$F$675,Comptabilité!$A$1:$A$675,$A1108,Comptabilité!$B$1:$B$675,$B1108,Comptabilité!$C$1:$C$675,"2026"),0))</f>
        <v/>
      </c>
      <c r="G1108">
        <f>IF($A1108="","",IF($D1108="V01",Cadrage!$C$22,IF($D1108="V02",Cadrage!$D$22,Cadrage!$E$22)))</f>
        <v/>
      </c>
      <c r="H1108">
        <f>IF($A1108="","",IF($D1108="V01",Cadrage!$C$23,IF($D1108="V02",Cadrage!$D$23,Cadrage!$E$23)))</f>
        <v/>
      </c>
      <c r="I1108">
        <f>IF($A1108="","",IF($D1108="V01",Cadrage!$C$31,IF($D1108="V02",Cadrage!$D$31,Cadrage!$E$31)))</f>
        <v/>
      </c>
      <c r="J1108">
        <f>IF($A1108="","",IF($D1108="V01",Cadrage!$C$32,IF($D1108="V02",Cadrage!$D$32,Cadrage!$E$32)))</f>
        <v/>
      </c>
      <c r="K1108">
        <f>IF($A1108="","",IF($D1108="V01",Cadrage!$C$33,IF($D1108="V02",Cadrage!$D$33,Cadrage!$E$33)))</f>
        <v/>
      </c>
      <c r="L1108">
        <f>IF($A1108="","",IF($D1108="V01",Cadrage!$C$34,IF($D1108="V02",Cadrage!$D$34,Cadrage!$E$34)))</f>
        <v/>
      </c>
      <c r="M1108">
        <f>IF($A1108="","",IF($D1108="V01",Cadrage!$C$35,IF($D1108="V02",Cadrage!$D$35,Cadrage!$E$35)))</f>
        <v/>
      </c>
      <c r="N1108">
        <f>IF($A1108="","",IF($D1108="V01",$R$2,IF($D1108="V02",$R$3,$R$4)))</f>
        <v/>
      </c>
      <c r="O1108">
        <f>IF($A1108="","",IF(OR($B1108="7062",$B1108="706",$B1108="708"),$N1108,IF($B1108="6231",1+$G1108,IF($B1108="6236",1+$H1108,IF(OR($B1108="621",$B1108="604",$B1108="6063"),$N1108*(1-$L1108),IF(OR($B1108="6411",$B1108="6413",$B1108="6414",$B1108="645"),(1+$J1108)*(1+$K1108),IF(OR($B1108="613",$B1108="615",$B1108="616",$B1108="6226",$B1108="625",$B1108="626",$B1108="6281"),(1+$I1108)*(1-$L1108)*(1+$M1108),IF(OR($B1108="6331",$B1108="63511",$B1108="6333"),(1+$I1108)*(1-$L1108),IF($B1108="6811",1+$I1108,1)))))))))</f>
        <v/>
      </c>
      <c r="P1108">
        <f>IF($A1108="","",IF($E1108=1,$F1108*$O1108,PNL!G1108))</f>
        <v/>
      </c>
      <c r="T1108">
        <f>IF($A1108="","",IF($E1108=1,IF(OR($B1108="7062",$B1108="706",$B1108="708"),$P1108,IF(AND(LEFT($B1108,1)="6",$B1108&lt;&gt;"6811"),-$P1108,0)),0))</f>
        <v/>
      </c>
    </row>
    <row r="1109">
      <c r="A1109">
        <f>IF(PNL!A1109="","",PNL!A1109)</f>
        <v/>
      </c>
      <c r="B1109">
        <f>IF(PNL!B1109="","",PNL!B1109)</f>
        <v/>
      </c>
      <c r="C1109">
        <f>IF(PNL!C1109="","",PNL!C1109)</f>
        <v/>
      </c>
      <c r="D1109">
        <f>IF(PNL!D1109="","",PNL!D1109)</f>
        <v/>
      </c>
      <c r="E1109">
        <f>IF($A1109="","",IF(AND($C1109="2027",OR($D1109="V01",$D1109="V02",$D1109="V03")),1,0))</f>
        <v/>
      </c>
      <c r="F1109">
        <f>IF($A1109="","",IF($E1109=1,SUMIFS(Comptabilité!$F$1:$F$675,Comptabilité!$A$1:$A$675,$A1109,Comptabilité!$B$1:$B$675,$B1109,Comptabilité!$C$1:$C$675,"2026"),0))</f>
        <v/>
      </c>
      <c r="G1109">
        <f>IF($A1109="","",IF($D1109="V01",Cadrage!$C$22,IF($D1109="V02",Cadrage!$D$22,Cadrage!$E$22)))</f>
        <v/>
      </c>
      <c r="H1109">
        <f>IF($A1109="","",IF($D1109="V01",Cadrage!$C$23,IF($D1109="V02",Cadrage!$D$23,Cadrage!$E$23)))</f>
        <v/>
      </c>
      <c r="I1109">
        <f>IF($A1109="","",IF($D1109="V01",Cadrage!$C$31,IF($D1109="V02",Cadrage!$D$31,Cadrage!$E$31)))</f>
        <v/>
      </c>
      <c r="J1109">
        <f>IF($A1109="","",IF($D1109="V01",Cadrage!$C$32,IF($D1109="V02",Cadrage!$D$32,Cadrage!$E$32)))</f>
        <v/>
      </c>
      <c r="K1109">
        <f>IF($A1109="","",IF($D1109="V01",Cadrage!$C$33,IF($D1109="V02",Cadrage!$D$33,Cadrage!$E$33)))</f>
        <v/>
      </c>
      <c r="L1109">
        <f>IF($A1109="","",IF($D1109="V01",Cadrage!$C$34,IF($D1109="V02",Cadrage!$D$34,Cadrage!$E$34)))</f>
        <v/>
      </c>
      <c r="M1109">
        <f>IF($A1109="","",IF($D1109="V01",Cadrage!$C$35,IF($D1109="V02",Cadrage!$D$35,Cadrage!$E$35)))</f>
        <v/>
      </c>
      <c r="N1109">
        <f>IF($A1109="","",IF($D1109="V01",$R$2,IF($D1109="V02",$R$3,$R$4)))</f>
        <v/>
      </c>
      <c r="O1109">
        <f>IF($A1109="","",IF(OR($B1109="7062",$B1109="706",$B1109="708"),$N1109,IF($B1109="6231",1+$G1109,IF($B1109="6236",1+$H1109,IF(OR($B1109="621",$B1109="604",$B1109="6063"),$N1109*(1-$L1109),IF(OR($B1109="6411",$B1109="6413",$B1109="6414",$B1109="645"),(1+$J1109)*(1+$K1109),IF(OR($B1109="613",$B1109="615",$B1109="616",$B1109="6226",$B1109="625",$B1109="626",$B1109="6281"),(1+$I1109)*(1-$L1109)*(1+$M1109),IF(OR($B1109="6331",$B1109="63511",$B1109="6333"),(1+$I1109)*(1-$L1109),IF($B1109="6811",1+$I1109,1)))))))))</f>
        <v/>
      </c>
      <c r="P1109">
        <f>IF($A1109="","",IF($E1109=1,$F1109*$O1109,PNL!G1109))</f>
        <v/>
      </c>
      <c r="T1109">
        <f>IF($A1109="","",IF($E1109=1,IF(OR($B1109="7062",$B1109="706",$B1109="708"),$P1109,IF(AND(LEFT($B1109,1)="6",$B1109&lt;&gt;"6811"),-$P1109,0)),0))</f>
        <v/>
      </c>
    </row>
    <row r="1110">
      <c r="A1110">
        <f>IF(PNL!A1110="","",PNL!A1110)</f>
        <v/>
      </c>
      <c r="B1110">
        <f>IF(PNL!B1110="","",PNL!B1110)</f>
        <v/>
      </c>
      <c r="C1110">
        <f>IF(PNL!C1110="","",PNL!C1110)</f>
        <v/>
      </c>
      <c r="D1110">
        <f>IF(PNL!D1110="","",PNL!D1110)</f>
        <v/>
      </c>
      <c r="E1110">
        <f>IF($A1110="","",IF(AND($C1110="2027",OR($D1110="V01",$D1110="V02",$D1110="V03")),1,0))</f>
        <v/>
      </c>
      <c r="F1110">
        <f>IF($A1110="","",IF($E1110=1,SUMIFS(Comptabilité!$F$1:$F$675,Comptabilité!$A$1:$A$675,$A1110,Comptabilité!$B$1:$B$675,$B1110,Comptabilité!$C$1:$C$675,"2026"),0))</f>
        <v/>
      </c>
      <c r="G1110">
        <f>IF($A1110="","",IF($D1110="V01",Cadrage!$C$22,IF($D1110="V02",Cadrage!$D$22,Cadrage!$E$22)))</f>
        <v/>
      </c>
      <c r="H1110">
        <f>IF($A1110="","",IF($D1110="V01",Cadrage!$C$23,IF($D1110="V02",Cadrage!$D$23,Cadrage!$E$23)))</f>
        <v/>
      </c>
      <c r="I1110">
        <f>IF($A1110="","",IF($D1110="V01",Cadrage!$C$31,IF($D1110="V02",Cadrage!$D$31,Cadrage!$E$31)))</f>
        <v/>
      </c>
      <c r="J1110">
        <f>IF($A1110="","",IF($D1110="V01",Cadrage!$C$32,IF($D1110="V02",Cadrage!$D$32,Cadrage!$E$32)))</f>
        <v/>
      </c>
      <c r="K1110">
        <f>IF($A1110="","",IF($D1110="V01",Cadrage!$C$33,IF($D1110="V02",Cadrage!$D$33,Cadrage!$E$33)))</f>
        <v/>
      </c>
      <c r="L1110">
        <f>IF($A1110="","",IF($D1110="V01",Cadrage!$C$34,IF($D1110="V02",Cadrage!$D$34,Cadrage!$E$34)))</f>
        <v/>
      </c>
      <c r="M1110">
        <f>IF($A1110="","",IF($D1110="V01",Cadrage!$C$35,IF($D1110="V02",Cadrage!$D$35,Cadrage!$E$35)))</f>
        <v/>
      </c>
      <c r="N1110">
        <f>IF($A1110="","",IF($D1110="V01",$R$2,IF($D1110="V02",$R$3,$R$4)))</f>
        <v/>
      </c>
      <c r="O1110">
        <f>IF($A1110="","",IF(OR($B1110="7062",$B1110="706",$B1110="708"),$N1110,IF($B1110="6231",1+$G1110,IF($B1110="6236",1+$H1110,IF(OR($B1110="621",$B1110="604",$B1110="6063"),$N1110*(1-$L1110),IF(OR($B1110="6411",$B1110="6413",$B1110="6414",$B1110="645"),(1+$J1110)*(1+$K1110),IF(OR($B1110="613",$B1110="615",$B1110="616",$B1110="6226",$B1110="625",$B1110="626",$B1110="6281"),(1+$I1110)*(1-$L1110)*(1+$M1110),IF(OR($B1110="6331",$B1110="63511",$B1110="6333"),(1+$I1110)*(1-$L1110),IF($B1110="6811",1+$I1110,1)))))))))</f>
        <v/>
      </c>
      <c r="P1110">
        <f>IF($A1110="","",IF($E1110=1,$F1110*$O1110,PNL!G1110))</f>
        <v/>
      </c>
      <c r="T1110">
        <f>IF($A1110="","",IF($E1110=1,IF(OR($B1110="7062",$B1110="706",$B1110="708"),$P1110,IF(AND(LEFT($B1110,1)="6",$B1110&lt;&gt;"6811"),-$P1110,0)),0))</f>
        <v/>
      </c>
    </row>
    <row r="1111">
      <c r="A1111">
        <f>IF(PNL!A1111="","",PNL!A1111)</f>
        <v/>
      </c>
      <c r="B1111">
        <f>IF(PNL!B1111="","",PNL!B1111)</f>
        <v/>
      </c>
      <c r="C1111">
        <f>IF(PNL!C1111="","",PNL!C1111)</f>
        <v/>
      </c>
      <c r="D1111">
        <f>IF(PNL!D1111="","",PNL!D1111)</f>
        <v/>
      </c>
      <c r="E1111">
        <f>IF($A1111="","",IF(AND($C1111="2027",OR($D1111="V01",$D1111="V02",$D1111="V03")),1,0))</f>
        <v/>
      </c>
      <c r="F1111">
        <f>IF($A1111="","",IF($E1111=1,SUMIFS(Comptabilité!$F$1:$F$675,Comptabilité!$A$1:$A$675,$A1111,Comptabilité!$B$1:$B$675,$B1111,Comptabilité!$C$1:$C$675,"2026"),0))</f>
        <v/>
      </c>
      <c r="G1111">
        <f>IF($A1111="","",IF($D1111="V01",Cadrage!$C$22,IF($D1111="V02",Cadrage!$D$22,Cadrage!$E$22)))</f>
        <v/>
      </c>
      <c r="H1111">
        <f>IF($A1111="","",IF($D1111="V01",Cadrage!$C$23,IF($D1111="V02",Cadrage!$D$23,Cadrage!$E$23)))</f>
        <v/>
      </c>
      <c r="I1111">
        <f>IF($A1111="","",IF($D1111="V01",Cadrage!$C$31,IF($D1111="V02",Cadrage!$D$31,Cadrage!$E$31)))</f>
        <v/>
      </c>
      <c r="J1111">
        <f>IF($A1111="","",IF($D1111="V01",Cadrage!$C$32,IF($D1111="V02",Cadrage!$D$32,Cadrage!$E$32)))</f>
        <v/>
      </c>
      <c r="K1111">
        <f>IF($A1111="","",IF($D1111="V01",Cadrage!$C$33,IF($D1111="V02",Cadrage!$D$33,Cadrage!$E$33)))</f>
        <v/>
      </c>
      <c r="L1111">
        <f>IF($A1111="","",IF($D1111="V01",Cadrage!$C$34,IF($D1111="V02",Cadrage!$D$34,Cadrage!$E$34)))</f>
        <v/>
      </c>
      <c r="M1111">
        <f>IF($A1111="","",IF($D1111="V01",Cadrage!$C$35,IF($D1111="V02",Cadrage!$D$35,Cadrage!$E$35)))</f>
        <v/>
      </c>
      <c r="N1111">
        <f>IF($A1111="","",IF($D1111="V01",$R$2,IF($D1111="V02",$R$3,$R$4)))</f>
        <v/>
      </c>
      <c r="O1111">
        <f>IF($A1111="","",IF(OR($B1111="7062",$B1111="706",$B1111="708"),$N1111,IF($B1111="6231",1+$G1111,IF($B1111="6236",1+$H1111,IF(OR($B1111="621",$B1111="604",$B1111="6063"),$N1111*(1-$L1111),IF(OR($B1111="6411",$B1111="6413",$B1111="6414",$B1111="645"),(1+$J1111)*(1+$K1111),IF(OR($B1111="613",$B1111="615",$B1111="616",$B1111="6226",$B1111="625",$B1111="626",$B1111="6281"),(1+$I1111)*(1-$L1111)*(1+$M1111),IF(OR($B1111="6331",$B1111="63511",$B1111="6333"),(1+$I1111)*(1-$L1111),IF($B1111="6811",1+$I1111,1)))))))))</f>
        <v/>
      </c>
      <c r="P1111">
        <f>IF($A1111="","",IF($E1111=1,$F1111*$O1111,PNL!G1111))</f>
        <v/>
      </c>
      <c r="T1111">
        <f>IF($A1111="","",IF($E1111=1,IF(OR($B1111="7062",$B1111="706",$B1111="708"),$P1111,IF(AND(LEFT($B1111,1)="6",$B1111&lt;&gt;"6811"),-$P1111,0)),0))</f>
        <v/>
      </c>
    </row>
    <row r="1112">
      <c r="A1112">
        <f>IF(PNL!A1112="","",PNL!A1112)</f>
        <v/>
      </c>
      <c r="B1112">
        <f>IF(PNL!B1112="","",PNL!B1112)</f>
        <v/>
      </c>
      <c r="C1112">
        <f>IF(PNL!C1112="","",PNL!C1112)</f>
        <v/>
      </c>
      <c r="D1112">
        <f>IF(PNL!D1112="","",PNL!D1112)</f>
        <v/>
      </c>
      <c r="E1112">
        <f>IF($A1112="","",IF(AND($C1112="2027",OR($D1112="V01",$D1112="V02",$D1112="V03")),1,0))</f>
        <v/>
      </c>
      <c r="F1112">
        <f>IF($A1112="","",IF($E1112=1,SUMIFS(Comptabilité!$F$1:$F$675,Comptabilité!$A$1:$A$675,$A1112,Comptabilité!$B$1:$B$675,$B1112,Comptabilité!$C$1:$C$675,"2026"),0))</f>
        <v/>
      </c>
      <c r="G1112">
        <f>IF($A1112="","",IF($D1112="V01",Cadrage!$C$22,IF($D1112="V02",Cadrage!$D$22,Cadrage!$E$22)))</f>
        <v/>
      </c>
      <c r="H1112">
        <f>IF($A1112="","",IF($D1112="V01",Cadrage!$C$23,IF($D1112="V02",Cadrage!$D$23,Cadrage!$E$23)))</f>
        <v/>
      </c>
      <c r="I1112">
        <f>IF($A1112="","",IF($D1112="V01",Cadrage!$C$31,IF($D1112="V02",Cadrage!$D$31,Cadrage!$E$31)))</f>
        <v/>
      </c>
      <c r="J1112">
        <f>IF($A1112="","",IF($D1112="V01",Cadrage!$C$32,IF($D1112="V02",Cadrage!$D$32,Cadrage!$E$32)))</f>
        <v/>
      </c>
      <c r="K1112">
        <f>IF($A1112="","",IF($D1112="V01",Cadrage!$C$33,IF($D1112="V02",Cadrage!$D$33,Cadrage!$E$33)))</f>
        <v/>
      </c>
      <c r="L1112">
        <f>IF($A1112="","",IF($D1112="V01",Cadrage!$C$34,IF($D1112="V02",Cadrage!$D$34,Cadrage!$E$34)))</f>
        <v/>
      </c>
      <c r="M1112">
        <f>IF($A1112="","",IF($D1112="V01",Cadrage!$C$35,IF($D1112="V02",Cadrage!$D$35,Cadrage!$E$35)))</f>
        <v/>
      </c>
      <c r="N1112">
        <f>IF($A1112="","",IF($D1112="V01",$R$2,IF($D1112="V02",$R$3,$R$4)))</f>
        <v/>
      </c>
      <c r="O1112">
        <f>IF($A1112="","",IF(OR($B1112="7062",$B1112="706",$B1112="708"),$N1112,IF($B1112="6231",1+$G1112,IF($B1112="6236",1+$H1112,IF(OR($B1112="621",$B1112="604",$B1112="6063"),$N1112*(1-$L1112),IF(OR($B1112="6411",$B1112="6413",$B1112="6414",$B1112="645"),(1+$J1112)*(1+$K1112),IF(OR($B1112="613",$B1112="615",$B1112="616",$B1112="6226",$B1112="625",$B1112="626",$B1112="6281"),(1+$I1112)*(1-$L1112)*(1+$M1112),IF(OR($B1112="6331",$B1112="63511",$B1112="6333"),(1+$I1112)*(1-$L1112),IF($B1112="6811",1+$I1112,1)))))))))</f>
        <v/>
      </c>
      <c r="P1112">
        <f>IF($A1112="","",IF($E1112=1,$F1112*$O1112,PNL!G1112))</f>
        <v/>
      </c>
      <c r="T1112">
        <f>IF($A1112="","",IF($E1112=1,IF(OR($B1112="7062",$B1112="706",$B1112="708"),$P1112,IF(AND(LEFT($B1112,1)="6",$B1112&lt;&gt;"6811"),-$P1112,0)),0))</f>
        <v/>
      </c>
    </row>
    <row r="1113">
      <c r="A1113">
        <f>IF(PNL!A1113="","",PNL!A1113)</f>
        <v/>
      </c>
      <c r="B1113">
        <f>IF(PNL!B1113="","",PNL!B1113)</f>
        <v/>
      </c>
      <c r="C1113">
        <f>IF(PNL!C1113="","",PNL!C1113)</f>
        <v/>
      </c>
      <c r="D1113">
        <f>IF(PNL!D1113="","",PNL!D1113)</f>
        <v/>
      </c>
      <c r="E1113">
        <f>IF($A1113="","",IF(AND($C1113="2027",OR($D1113="V01",$D1113="V02",$D1113="V03")),1,0))</f>
        <v/>
      </c>
      <c r="F1113">
        <f>IF($A1113="","",IF($E1113=1,SUMIFS(Comptabilité!$F$1:$F$675,Comptabilité!$A$1:$A$675,$A1113,Comptabilité!$B$1:$B$675,$B1113,Comptabilité!$C$1:$C$675,"2026"),0))</f>
        <v/>
      </c>
      <c r="G1113">
        <f>IF($A1113="","",IF($D1113="V01",Cadrage!$C$22,IF($D1113="V02",Cadrage!$D$22,Cadrage!$E$22)))</f>
        <v/>
      </c>
      <c r="H1113">
        <f>IF($A1113="","",IF($D1113="V01",Cadrage!$C$23,IF($D1113="V02",Cadrage!$D$23,Cadrage!$E$23)))</f>
        <v/>
      </c>
      <c r="I1113">
        <f>IF($A1113="","",IF($D1113="V01",Cadrage!$C$31,IF($D1113="V02",Cadrage!$D$31,Cadrage!$E$31)))</f>
        <v/>
      </c>
      <c r="J1113">
        <f>IF($A1113="","",IF($D1113="V01",Cadrage!$C$32,IF($D1113="V02",Cadrage!$D$32,Cadrage!$E$32)))</f>
        <v/>
      </c>
      <c r="K1113">
        <f>IF($A1113="","",IF($D1113="V01",Cadrage!$C$33,IF($D1113="V02",Cadrage!$D$33,Cadrage!$E$33)))</f>
        <v/>
      </c>
      <c r="L1113">
        <f>IF($A1113="","",IF($D1113="V01",Cadrage!$C$34,IF($D1113="V02",Cadrage!$D$34,Cadrage!$E$34)))</f>
        <v/>
      </c>
      <c r="M1113">
        <f>IF($A1113="","",IF($D1113="V01",Cadrage!$C$35,IF($D1113="V02",Cadrage!$D$35,Cadrage!$E$35)))</f>
        <v/>
      </c>
      <c r="N1113">
        <f>IF($A1113="","",IF($D1113="V01",$R$2,IF($D1113="V02",$R$3,$R$4)))</f>
        <v/>
      </c>
      <c r="O1113">
        <f>IF($A1113="","",IF(OR($B1113="7062",$B1113="706",$B1113="708"),$N1113,IF($B1113="6231",1+$G1113,IF($B1113="6236",1+$H1113,IF(OR($B1113="621",$B1113="604",$B1113="6063"),$N1113*(1-$L1113),IF(OR($B1113="6411",$B1113="6413",$B1113="6414",$B1113="645"),(1+$J1113)*(1+$K1113),IF(OR($B1113="613",$B1113="615",$B1113="616",$B1113="6226",$B1113="625",$B1113="626",$B1113="6281"),(1+$I1113)*(1-$L1113)*(1+$M1113),IF(OR($B1113="6331",$B1113="63511",$B1113="6333"),(1+$I1113)*(1-$L1113),IF($B1113="6811",1+$I1113,1)))))))))</f>
        <v/>
      </c>
      <c r="P1113">
        <f>IF($A1113="","",IF($E1113=1,$F1113*$O1113,PNL!G1113))</f>
        <v/>
      </c>
      <c r="T1113">
        <f>IF($A1113="","",IF($E1113=1,IF(OR($B1113="7062",$B1113="706",$B1113="708"),$P1113,IF(AND(LEFT($B1113,1)="6",$B1113&lt;&gt;"6811"),-$P1113,0)),0))</f>
        <v/>
      </c>
    </row>
    <row r="1114">
      <c r="A1114">
        <f>IF(PNL!A1114="","",PNL!A1114)</f>
        <v/>
      </c>
      <c r="B1114">
        <f>IF(PNL!B1114="","",PNL!B1114)</f>
        <v/>
      </c>
      <c r="C1114">
        <f>IF(PNL!C1114="","",PNL!C1114)</f>
        <v/>
      </c>
      <c r="D1114">
        <f>IF(PNL!D1114="","",PNL!D1114)</f>
        <v/>
      </c>
      <c r="E1114">
        <f>IF($A1114="","",IF(AND($C1114="2027",OR($D1114="V01",$D1114="V02",$D1114="V03")),1,0))</f>
        <v/>
      </c>
      <c r="F1114">
        <f>IF($A1114="","",IF($E1114=1,SUMIFS(Comptabilité!$F$1:$F$675,Comptabilité!$A$1:$A$675,$A1114,Comptabilité!$B$1:$B$675,$B1114,Comptabilité!$C$1:$C$675,"2026"),0))</f>
        <v/>
      </c>
      <c r="G1114">
        <f>IF($A1114="","",IF($D1114="V01",Cadrage!$C$22,IF($D1114="V02",Cadrage!$D$22,Cadrage!$E$22)))</f>
        <v/>
      </c>
      <c r="H1114">
        <f>IF($A1114="","",IF($D1114="V01",Cadrage!$C$23,IF($D1114="V02",Cadrage!$D$23,Cadrage!$E$23)))</f>
        <v/>
      </c>
      <c r="I1114">
        <f>IF($A1114="","",IF($D1114="V01",Cadrage!$C$31,IF($D1114="V02",Cadrage!$D$31,Cadrage!$E$31)))</f>
        <v/>
      </c>
      <c r="J1114">
        <f>IF($A1114="","",IF($D1114="V01",Cadrage!$C$32,IF($D1114="V02",Cadrage!$D$32,Cadrage!$E$32)))</f>
        <v/>
      </c>
      <c r="K1114">
        <f>IF($A1114="","",IF($D1114="V01",Cadrage!$C$33,IF($D1114="V02",Cadrage!$D$33,Cadrage!$E$33)))</f>
        <v/>
      </c>
      <c r="L1114">
        <f>IF($A1114="","",IF($D1114="V01",Cadrage!$C$34,IF($D1114="V02",Cadrage!$D$34,Cadrage!$E$34)))</f>
        <v/>
      </c>
      <c r="M1114">
        <f>IF($A1114="","",IF($D1114="V01",Cadrage!$C$35,IF($D1114="V02",Cadrage!$D$35,Cadrage!$E$35)))</f>
        <v/>
      </c>
      <c r="N1114">
        <f>IF($A1114="","",IF($D1114="V01",$R$2,IF($D1114="V02",$R$3,$R$4)))</f>
        <v/>
      </c>
      <c r="O1114">
        <f>IF($A1114="","",IF(OR($B1114="7062",$B1114="706",$B1114="708"),$N1114,IF($B1114="6231",1+$G1114,IF($B1114="6236",1+$H1114,IF(OR($B1114="621",$B1114="604",$B1114="6063"),$N1114*(1-$L1114),IF(OR($B1114="6411",$B1114="6413",$B1114="6414",$B1114="645"),(1+$J1114)*(1+$K1114),IF(OR($B1114="613",$B1114="615",$B1114="616",$B1114="6226",$B1114="625",$B1114="626",$B1114="6281"),(1+$I1114)*(1-$L1114)*(1+$M1114),IF(OR($B1114="6331",$B1114="63511",$B1114="6333"),(1+$I1114)*(1-$L1114),IF($B1114="6811",1+$I1114,1)))))))))</f>
        <v/>
      </c>
      <c r="P1114">
        <f>IF($A1114="","",IF($E1114=1,$F1114*$O1114,PNL!G1114))</f>
        <v/>
      </c>
      <c r="T1114">
        <f>IF($A1114="","",IF($E1114=1,IF(OR($B1114="7062",$B1114="706",$B1114="708"),$P1114,IF(AND(LEFT($B1114,1)="6",$B1114&lt;&gt;"6811"),-$P1114,0)),0))</f>
        <v/>
      </c>
    </row>
    <row r="1115">
      <c r="A1115">
        <f>IF(PNL!A1115="","",PNL!A1115)</f>
        <v/>
      </c>
      <c r="B1115">
        <f>IF(PNL!B1115="","",PNL!B1115)</f>
        <v/>
      </c>
      <c r="C1115">
        <f>IF(PNL!C1115="","",PNL!C1115)</f>
        <v/>
      </c>
      <c r="D1115">
        <f>IF(PNL!D1115="","",PNL!D1115)</f>
        <v/>
      </c>
      <c r="E1115">
        <f>IF($A1115="","",IF(AND($C1115="2027",OR($D1115="V01",$D1115="V02",$D1115="V03")),1,0))</f>
        <v/>
      </c>
      <c r="F1115">
        <f>IF($A1115="","",IF($E1115=1,SUMIFS(Comptabilité!$F$1:$F$675,Comptabilité!$A$1:$A$675,$A1115,Comptabilité!$B$1:$B$675,$B1115,Comptabilité!$C$1:$C$675,"2026"),0))</f>
        <v/>
      </c>
      <c r="G1115">
        <f>IF($A1115="","",IF($D1115="V01",Cadrage!$C$22,IF($D1115="V02",Cadrage!$D$22,Cadrage!$E$22)))</f>
        <v/>
      </c>
      <c r="H1115">
        <f>IF($A1115="","",IF($D1115="V01",Cadrage!$C$23,IF($D1115="V02",Cadrage!$D$23,Cadrage!$E$23)))</f>
        <v/>
      </c>
      <c r="I1115">
        <f>IF($A1115="","",IF($D1115="V01",Cadrage!$C$31,IF($D1115="V02",Cadrage!$D$31,Cadrage!$E$31)))</f>
        <v/>
      </c>
      <c r="J1115">
        <f>IF($A1115="","",IF($D1115="V01",Cadrage!$C$32,IF($D1115="V02",Cadrage!$D$32,Cadrage!$E$32)))</f>
        <v/>
      </c>
      <c r="K1115">
        <f>IF($A1115="","",IF($D1115="V01",Cadrage!$C$33,IF($D1115="V02",Cadrage!$D$33,Cadrage!$E$33)))</f>
        <v/>
      </c>
      <c r="L1115">
        <f>IF($A1115="","",IF($D1115="V01",Cadrage!$C$34,IF($D1115="V02",Cadrage!$D$34,Cadrage!$E$34)))</f>
        <v/>
      </c>
      <c r="M1115">
        <f>IF($A1115="","",IF($D1115="V01",Cadrage!$C$35,IF($D1115="V02",Cadrage!$D$35,Cadrage!$E$35)))</f>
        <v/>
      </c>
      <c r="N1115">
        <f>IF($A1115="","",IF($D1115="V01",$R$2,IF($D1115="V02",$R$3,$R$4)))</f>
        <v/>
      </c>
      <c r="O1115">
        <f>IF($A1115="","",IF(OR($B1115="7062",$B1115="706",$B1115="708"),$N1115,IF($B1115="6231",1+$G1115,IF($B1115="6236",1+$H1115,IF(OR($B1115="621",$B1115="604",$B1115="6063"),$N1115*(1-$L1115),IF(OR($B1115="6411",$B1115="6413",$B1115="6414",$B1115="645"),(1+$J1115)*(1+$K1115),IF(OR($B1115="613",$B1115="615",$B1115="616",$B1115="6226",$B1115="625",$B1115="626",$B1115="6281"),(1+$I1115)*(1-$L1115)*(1+$M1115),IF(OR($B1115="6331",$B1115="63511",$B1115="6333"),(1+$I1115)*(1-$L1115),IF($B1115="6811",1+$I1115,1)))))))))</f>
        <v/>
      </c>
      <c r="P1115">
        <f>IF($A1115="","",IF($E1115=1,$F1115*$O1115,PNL!G1115))</f>
        <v/>
      </c>
      <c r="T1115">
        <f>IF($A1115="","",IF($E1115=1,IF(OR($B1115="7062",$B1115="706",$B1115="708"),$P1115,IF(AND(LEFT($B1115,1)="6",$B1115&lt;&gt;"6811"),-$P1115,0)),0))</f>
        <v/>
      </c>
    </row>
    <row r="1116">
      <c r="A1116">
        <f>IF(PNL!A1116="","",PNL!A1116)</f>
        <v/>
      </c>
      <c r="B1116">
        <f>IF(PNL!B1116="","",PNL!B1116)</f>
        <v/>
      </c>
      <c r="C1116">
        <f>IF(PNL!C1116="","",PNL!C1116)</f>
        <v/>
      </c>
      <c r="D1116">
        <f>IF(PNL!D1116="","",PNL!D1116)</f>
        <v/>
      </c>
      <c r="E1116">
        <f>IF($A1116="","",IF(AND($C1116="2027",OR($D1116="V01",$D1116="V02",$D1116="V03")),1,0))</f>
        <v/>
      </c>
      <c r="F1116">
        <f>IF($A1116="","",IF($E1116=1,SUMIFS(Comptabilité!$F$1:$F$675,Comptabilité!$A$1:$A$675,$A1116,Comptabilité!$B$1:$B$675,$B1116,Comptabilité!$C$1:$C$675,"2026"),0))</f>
        <v/>
      </c>
      <c r="G1116">
        <f>IF($A1116="","",IF($D1116="V01",Cadrage!$C$22,IF($D1116="V02",Cadrage!$D$22,Cadrage!$E$22)))</f>
        <v/>
      </c>
      <c r="H1116">
        <f>IF($A1116="","",IF($D1116="V01",Cadrage!$C$23,IF($D1116="V02",Cadrage!$D$23,Cadrage!$E$23)))</f>
        <v/>
      </c>
      <c r="I1116">
        <f>IF($A1116="","",IF($D1116="V01",Cadrage!$C$31,IF($D1116="V02",Cadrage!$D$31,Cadrage!$E$31)))</f>
        <v/>
      </c>
      <c r="J1116">
        <f>IF($A1116="","",IF($D1116="V01",Cadrage!$C$32,IF($D1116="V02",Cadrage!$D$32,Cadrage!$E$32)))</f>
        <v/>
      </c>
      <c r="K1116">
        <f>IF($A1116="","",IF($D1116="V01",Cadrage!$C$33,IF($D1116="V02",Cadrage!$D$33,Cadrage!$E$33)))</f>
        <v/>
      </c>
      <c r="L1116">
        <f>IF($A1116="","",IF($D1116="V01",Cadrage!$C$34,IF($D1116="V02",Cadrage!$D$34,Cadrage!$E$34)))</f>
        <v/>
      </c>
      <c r="M1116">
        <f>IF($A1116="","",IF($D1116="V01",Cadrage!$C$35,IF($D1116="V02",Cadrage!$D$35,Cadrage!$E$35)))</f>
        <v/>
      </c>
      <c r="N1116">
        <f>IF($A1116="","",IF($D1116="V01",$R$2,IF($D1116="V02",$R$3,$R$4)))</f>
        <v/>
      </c>
      <c r="O1116">
        <f>IF($A1116="","",IF(OR($B1116="7062",$B1116="706",$B1116="708"),$N1116,IF($B1116="6231",1+$G1116,IF($B1116="6236",1+$H1116,IF(OR($B1116="621",$B1116="604",$B1116="6063"),$N1116*(1-$L1116),IF(OR($B1116="6411",$B1116="6413",$B1116="6414",$B1116="645"),(1+$J1116)*(1+$K1116),IF(OR($B1116="613",$B1116="615",$B1116="616",$B1116="6226",$B1116="625",$B1116="626",$B1116="6281"),(1+$I1116)*(1-$L1116)*(1+$M1116),IF(OR($B1116="6331",$B1116="63511",$B1116="6333"),(1+$I1116)*(1-$L1116),IF($B1116="6811",1+$I1116,1)))))))))</f>
        <v/>
      </c>
      <c r="P1116">
        <f>IF($A1116="","",IF($E1116=1,$F1116*$O1116,PNL!G1116))</f>
        <v/>
      </c>
      <c r="T1116">
        <f>IF($A1116="","",IF($E1116=1,IF(OR($B1116="7062",$B1116="706",$B1116="708"),$P1116,IF(AND(LEFT($B1116,1)="6",$B1116&lt;&gt;"6811"),-$P1116,0)),0))</f>
        <v/>
      </c>
    </row>
    <row r="1117">
      <c r="A1117">
        <f>IF(PNL!A1117="","",PNL!A1117)</f>
        <v/>
      </c>
      <c r="B1117">
        <f>IF(PNL!B1117="","",PNL!B1117)</f>
        <v/>
      </c>
      <c r="C1117">
        <f>IF(PNL!C1117="","",PNL!C1117)</f>
        <v/>
      </c>
      <c r="D1117">
        <f>IF(PNL!D1117="","",PNL!D1117)</f>
        <v/>
      </c>
      <c r="E1117">
        <f>IF($A1117="","",IF(AND($C1117="2027",OR($D1117="V01",$D1117="V02",$D1117="V03")),1,0))</f>
        <v/>
      </c>
      <c r="F1117">
        <f>IF($A1117="","",IF($E1117=1,SUMIFS(Comptabilité!$F$1:$F$675,Comptabilité!$A$1:$A$675,$A1117,Comptabilité!$B$1:$B$675,$B1117,Comptabilité!$C$1:$C$675,"2026"),0))</f>
        <v/>
      </c>
      <c r="G1117">
        <f>IF($A1117="","",IF($D1117="V01",Cadrage!$C$22,IF($D1117="V02",Cadrage!$D$22,Cadrage!$E$22)))</f>
        <v/>
      </c>
      <c r="H1117">
        <f>IF($A1117="","",IF($D1117="V01",Cadrage!$C$23,IF($D1117="V02",Cadrage!$D$23,Cadrage!$E$23)))</f>
        <v/>
      </c>
      <c r="I1117">
        <f>IF($A1117="","",IF($D1117="V01",Cadrage!$C$31,IF($D1117="V02",Cadrage!$D$31,Cadrage!$E$31)))</f>
        <v/>
      </c>
      <c r="J1117">
        <f>IF($A1117="","",IF($D1117="V01",Cadrage!$C$32,IF($D1117="V02",Cadrage!$D$32,Cadrage!$E$32)))</f>
        <v/>
      </c>
      <c r="K1117">
        <f>IF($A1117="","",IF($D1117="V01",Cadrage!$C$33,IF($D1117="V02",Cadrage!$D$33,Cadrage!$E$33)))</f>
        <v/>
      </c>
      <c r="L1117">
        <f>IF($A1117="","",IF($D1117="V01",Cadrage!$C$34,IF($D1117="V02",Cadrage!$D$34,Cadrage!$E$34)))</f>
        <v/>
      </c>
      <c r="M1117">
        <f>IF($A1117="","",IF($D1117="V01",Cadrage!$C$35,IF($D1117="V02",Cadrage!$D$35,Cadrage!$E$35)))</f>
        <v/>
      </c>
      <c r="N1117">
        <f>IF($A1117="","",IF($D1117="V01",$R$2,IF($D1117="V02",$R$3,$R$4)))</f>
        <v/>
      </c>
      <c r="O1117">
        <f>IF($A1117="","",IF(OR($B1117="7062",$B1117="706",$B1117="708"),$N1117,IF($B1117="6231",1+$G1117,IF($B1117="6236",1+$H1117,IF(OR($B1117="621",$B1117="604",$B1117="6063"),$N1117*(1-$L1117),IF(OR($B1117="6411",$B1117="6413",$B1117="6414",$B1117="645"),(1+$J1117)*(1+$K1117),IF(OR($B1117="613",$B1117="615",$B1117="616",$B1117="6226",$B1117="625",$B1117="626",$B1117="6281"),(1+$I1117)*(1-$L1117)*(1+$M1117),IF(OR($B1117="6331",$B1117="63511",$B1117="6333"),(1+$I1117)*(1-$L1117),IF($B1117="6811",1+$I1117,1)))))))))</f>
        <v/>
      </c>
      <c r="P1117">
        <f>IF($A1117="","",IF($E1117=1,$F1117*$O1117,PNL!G1117))</f>
        <v/>
      </c>
      <c r="T1117">
        <f>IF($A1117="","",IF($E1117=1,IF(OR($B1117="7062",$B1117="706",$B1117="708"),$P1117,IF(AND(LEFT($B1117,1)="6",$B1117&lt;&gt;"6811"),-$P1117,0)),0))</f>
        <v/>
      </c>
    </row>
    <row r="1118">
      <c r="A1118">
        <f>IF(PNL!A1118="","",PNL!A1118)</f>
        <v/>
      </c>
      <c r="B1118">
        <f>IF(PNL!B1118="","",PNL!B1118)</f>
        <v/>
      </c>
      <c r="C1118">
        <f>IF(PNL!C1118="","",PNL!C1118)</f>
        <v/>
      </c>
      <c r="D1118">
        <f>IF(PNL!D1118="","",PNL!D1118)</f>
        <v/>
      </c>
      <c r="E1118">
        <f>IF($A1118="","",IF(AND($C1118="2027",OR($D1118="V01",$D1118="V02",$D1118="V03")),1,0))</f>
        <v/>
      </c>
      <c r="F1118">
        <f>IF($A1118="","",IF($E1118=1,SUMIFS(Comptabilité!$F$1:$F$675,Comptabilité!$A$1:$A$675,$A1118,Comptabilité!$B$1:$B$675,$B1118,Comptabilité!$C$1:$C$675,"2026"),0))</f>
        <v/>
      </c>
      <c r="G1118">
        <f>IF($A1118="","",IF($D1118="V01",Cadrage!$C$22,IF($D1118="V02",Cadrage!$D$22,Cadrage!$E$22)))</f>
        <v/>
      </c>
      <c r="H1118">
        <f>IF($A1118="","",IF($D1118="V01",Cadrage!$C$23,IF($D1118="V02",Cadrage!$D$23,Cadrage!$E$23)))</f>
        <v/>
      </c>
      <c r="I1118">
        <f>IF($A1118="","",IF($D1118="V01",Cadrage!$C$31,IF($D1118="V02",Cadrage!$D$31,Cadrage!$E$31)))</f>
        <v/>
      </c>
      <c r="J1118">
        <f>IF($A1118="","",IF($D1118="V01",Cadrage!$C$32,IF($D1118="V02",Cadrage!$D$32,Cadrage!$E$32)))</f>
        <v/>
      </c>
      <c r="K1118">
        <f>IF($A1118="","",IF($D1118="V01",Cadrage!$C$33,IF($D1118="V02",Cadrage!$D$33,Cadrage!$E$33)))</f>
        <v/>
      </c>
      <c r="L1118">
        <f>IF($A1118="","",IF($D1118="V01",Cadrage!$C$34,IF($D1118="V02",Cadrage!$D$34,Cadrage!$E$34)))</f>
        <v/>
      </c>
      <c r="M1118">
        <f>IF($A1118="","",IF($D1118="V01",Cadrage!$C$35,IF($D1118="V02",Cadrage!$D$35,Cadrage!$E$35)))</f>
        <v/>
      </c>
      <c r="N1118">
        <f>IF($A1118="","",IF($D1118="V01",$R$2,IF($D1118="V02",$R$3,$R$4)))</f>
        <v/>
      </c>
      <c r="O1118">
        <f>IF($A1118="","",IF(OR($B1118="7062",$B1118="706",$B1118="708"),$N1118,IF($B1118="6231",1+$G1118,IF($B1118="6236",1+$H1118,IF(OR($B1118="621",$B1118="604",$B1118="6063"),$N1118*(1-$L1118),IF(OR($B1118="6411",$B1118="6413",$B1118="6414",$B1118="645"),(1+$J1118)*(1+$K1118),IF(OR($B1118="613",$B1118="615",$B1118="616",$B1118="6226",$B1118="625",$B1118="626",$B1118="6281"),(1+$I1118)*(1-$L1118)*(1+$M1118),IF(OR($B1118="6331",$B1118="63511",$B1118="6333"),(1+$I1118)*(1-$L1118),IF($B1118="6811",1+$I1118,1)))))))))</f>
        <v/>
      </c>
      <c r="P1118">
        <f>IF($A1118="","",IF($E1118=1,$F1118*$O1118,PNL!G1118))</f>
        <v/>
      </c>
      <c r="T1118">
        <f>IF($A1118="","",IF($E1118=1,IF(OR($B1118="7062",$B1118="706",$B1118="708"),$P1118,IF(AND(LEFT($B1118,1)="6",$B1118&lt;&gt;"6811"),-$P1118,0)),0))</f>
        <v/>
      </c>
    </row>
    <row r="1119">
      <c r="A1119">
        <f>IF(PNL!A1119="","",PNL!A1119)</f>
        <v/>
      </c>
      <c r="B1119">
        <f>IF(PNL!B1119="","",PNL!B1119)</f>
        <v/>
      </c>
      <c r="C1119">
        <f>IF(PNL!C1119="","",PNL!C1119)</f>
        <v/>
      </c>
      <c r="D1119">
        <f>IF(PNL!D1119="","",PNL!D1119)</f>
        <v/>
      </c>
      <c r="E1119">
        <f>IF($A1119="","",IF(AND($C1119="2027",OR($D1119="V01",$D1119="V02",$D1119="V03")),1,0))</f>
        <v/>
      </c>
      <c r="F1119">
        <f>IF($A1119="","",IF($E1119=1,SUMIFS(Comptabilité!$F$1:$F$675,Comptabilité!$A$1:$A$675,$A1119,Comptabilité!$B$1:$B$675,$B1119,Comptabilité!$C$1:$C$675,"2026"),0))</f>
        <v/>
      </c>
      <c r="G1119">
        <f>IF($A1119="","",IF($D1119="V01",Cadrage!$C$22,IF($D1119="V02",Cadrage!$D$22,Cadrage!$E$22)))</f>
        <v/>
      </c>
      <c r="H1119">
        <f>IF($A1119="","",IF($D1119="V01",Cadrage!$C$23,IF($D1119="V02",Cadrage!$D$23,Cadrage!$E$23)))</f>
        <v/>
      </c>
      <c r="I1119">
        <f>IF($A1119="","",IF($D1119="V01",Cadrage!$C$31,IF($D1119="V02",Cadrage!$D$31,Cadrage!$E$31)))</f>
        <v/>
      </c>
      <c r="J1119">
        <f>IF($A1119="","",IF($D1119="V01",Cadrage!$C$32,IF($D1119="V02",Cadrage!$D$32,Cadrage!$E$32)))</f>
        <v/>
      </c>
      <c r="K1119">
        <f>IF($A1119="","",IF($D1119="V01",Cadrage!$C$33,IF($D1119="V02",Cadrage!$D$33,Cadrage!$E$33)))</f>
        <v/>
      </c>
      <c r="L1119">
        <f>IF($A1119="","",IF($D1119="V01",Cadrage!$C$34,IF($D1119="V02",Cadrage!$D$34,Cadrage!$E$34)))</f>
        <v/>
      </c>
      <c r="M1119">
        <f>IF($A1119="","",IF($D1119="V01",Cadrage!$C$35,IF($D1119="V02",Cadrage!$D$35,Cadrage!$E$35)))</f>
        <v/>
      </c>
      <c r="N1119">
        <f>IF($A1119="","",IF($D1119="V01",$R$2,IF($D1119="V02",$R$3,$R$4)))</f>
        <v/>
      </c>
      <c r="O1119">
        <f>IF($A1119="","",IF(OR($B1119="7062",$B1119="706",$B1119="708"),$N1119,IF($B1119="6231",1+$G1119,IF($B1119="6236",1+$H1119,IF(OR($B1119="621",$B1119="604",$B1119="6063"),$N1119*(1-$L1119),IF(OR($B1119="6411",$B1119="6413",$B1119="6414",$B1119="645"),(1+$J1119)*(1+$K1119),IF(OR($B1119="613",$B1119="615",$B1119="616",$B1119="6226",$B1119="625",$B1119="626",$B1119="6281"),(1+$I1119)*(1-$L1119)*(1+$M1119),IF(OR($B1119="6331",$B1119="63511",$B1119="6333"),(1+$I1119)*(1-$L1119),IF($B1119="6811",1+$I1119,1)))))))))</f>
        <v/>
      </c>
      <c r="P1119">
        <f>IF($A1119="","",IF($E1119=1,$F1119*$O1119,PNL!G1119))</f>
        <v/>
      </c>
      <c r="T1119">
        <f>IF($A1119="","",IF($E1119=1,IF(OR($B1119="7062",$B1119="706",$B1119="708"),$P1119,IF(AND(LEFT($B1119,1)="6",$B1119&lt;&gt;"6811"),-$P1119,0)),0))</f>
        <v/>
      </c>
    </row>
    <row r="1120">
      <c r="A1120">
        <f>IF(PNL!A1120="","",PNL!A1120)</f>
        <v/>
      </c>
      <c r="B1120">
        <f>IF(PNL!B1120="","",PNL!B1120)</f>
        <v/>
      </c>
      <c r="C1120">
        <f>IF(PNL!C1120="","",PNL!C1120)</f>
        <v/>
      </c>
      <c r="D1120">
        <f>IF(PNL!D1120="","",PNL!D1120)</f>
        <v/>
      </c>
      <c r="E1120">
        <f>IF($A1120="","",IF(AND($C1120="2027",OR($D1120="V01",$D1120="V02",$D1120="V03")),1,0))</f>
        <v/>
      </c>
      <c r="F1120">
        <f>IF($A1120="","",IF($E1120=1,SUMIFS(Comptabilité!$F$1:$F$675,Comptabilité!$A$1:$A$675,$A1120,Comptabilité!$B$1:$B$675,$B1120,Comptabilité!$C$1:$C$675,"2026"),0))</f>
        <v/>
      </c>
      <c r="G1120">
        <f>IF($A1120="","",IF($D1120="V01",Cadrage!$C$22,IF($D1120="V02",Cadrage!$D$22,Cadrage!$E$22)))</f>
        <v/>
      </c>
      <c r="H1120">
        <f>IF($A1120="","",IF($D1120="V01",Cadrage!$C$23,IF($D1120="V02",Cadrage!$D$23,Cadrage!$E$23)))</f>
        <v/>
      </c>
      <c r="I1120">
        <f>IF($A1120="","",IF($D1120="V01",Cadrage!$C$31,IF($D1120="V02",Cadrage!$D$31,Cadrage!$E$31)))</f>
        <v/>
      </c>
      <c r="J1120">
        <f>IF($A1120="","",IF($D1120="V01",Cadrage!$C$32,IF($D1120="V02",Cadrage!$D$32,Cadrage!$E$32)))</f>
        <v/>
      </c>
      <c r="K1120">
        <f>IF($A1120="","",IF($D1120="V01",Cadrage!$C$33,IF($D1120="V02",Cadrage!$D$33,Cadrage!$E$33)))</f>
        <v/>
      </c>
      <c r="L1120">
        <f>IF($A1120="","",IF($D1120="V01",Cadrage!$C$34,IF($D1120="V02",Cadrage!$D$34,Cadrage!$E$34)))</f>
        <v/>
      </c>
      <c r="M1120">
        <f>IF($A1120="","",IF($D1120="V01",Cadrage!$C$35,IF($D1120="V02",Cadrage!$D$35,Cadrage!$E$35)))</f>
        <v/>
      </c>
      <c r="N1120">
        <f>IF($A1120="","",IF($D1120="V01",$R$2,IF($D1120="V02",$R$3,$R$4)))</f>
        <v/>
      </c>
      <c r="O1120">
        <f>IF($A1120="","",IF(OR($B1120="7062",$B1120="706",$B1120="708"),$N1120,IF($B1120="6231",1+$G1120,IF($B1120="6236",1+$H1120,IF(OR($B1120="621",$B1120="604",$B1120="6063"),$N1120*(1-$L1120),IF(OR($B1120="6411",$B1120="6413",$B1120="6414",$B1120="645"),(1+$J1120)*(1+$K1120),IF(OR($B1120="613",$B1120="615",$B1120="616",$B1120="6226",$B1120="625",$B1120="626",$B1120="6281"),(1+$I1120)*(1-$L1120)*(1+$M1120),IF(OR($B1120="6331",$B1120="63511",$B1120="6333"),(1+$I1120)*(1-$L1120),IF($B1120="6811",1+$I1120,1)))))))))</f>
        <v/>
      </c>
      <c r="P1120">
        <f>IF($A1120="","",IF($E1120=1,$F1120*$O1120,PNL!G1120))</f>
        <v/>
      </c>
      <c r="T1120">
        <f>IF($A1120="","",IF($E1120=1,IF(OR($B1120="7062",$B1120="706",$B1120="708"),$P1120,IF(AND(LEFT($B1120,1)="6",$B1120&lt;&gt;"6811"),-$P1120,0)),0))</f>
        <v/>
      </c>
    </row>
    <row r="1121">
      <c r="A1121">
        <f>IF(PNL!A1121="","",PNL!A1121)</f>
        <v/>
      </c>
      <c r="B1121">
        <f>IF(PNL!B1121="","",PNL!B1121)</f>
        <v/>
      </c>
      <c r="C1121">
        <f>IF(PNL!C1121="","",PNL!C1121)</f>
        <v/>
      </c>
      <c r="D1121">
        <f>IF(PNL!D1121="","",PNL!D1121)</f>
        <v/>
      </c>
      <c r="E1121">
        <f>IF($A1121="","",IF(AND($C1121="2027",OR($D1121="V01",$D1121="V02",$D1121="V03")),1,0))</f>
        <v/>
      </c>
      <c r="F1121">
        <f>IF($A1121="","",IF($E1121=1,SUMIFS(Comptabilité!$F$1:$F$675,Comptabilité!$A$1:$A$675,$A1121,Comptabilité!$B$1:$B$675,$B1121,Comptabilité!$C$1:$C$675,"2026"),0))</f>
        <v/>
      </c>
      <c r="G1121">
        <f>IF($A1121="","",IF($D1121="V01",Cadrage!$C$22,IF($D1121="V02",Cadrage!$D$22,Cadrage!$E$22)))</f>
        <v/>
      </c>
      <c r="H1121">
        <f>IF($A1121="","",IF($D1121="V01",Cadrage!$C$23,IF($D1121="V02",Cadrage!$D$23,Cadrage!$E$23)))</f>
        <v/>
      </c>
      <c r="I1121">
        <f>IF($A1121="","",IF($D1121="V01",Cadrage!$C$31,IF($D1121="V02",Cadrage!$D$31,Cadrage!$E$31)))</f>
        <v/>
      </c>
      <c r="J1121">
        <f>IF($A1121="","",IF($D1121="V01",Cadrage!$C$32,IF($D1121="V02",Cadrage!$D$32,Cadrage!$E$32)))</f>
        <v/>
      </c>
      <c r="K1121">
        <f>IF($A1121="","",IF($D1121="V01",Cadrage!$C$33,IF($D1121="V02",Cadrage!$D$33,Cadrage!$E$33)))</f>
        <v/>
      </c>
      <c r="L1121">
        <f>IF($A1121="","",IF($D1121="V01",Cadrage!$C$34,IF($D1121="V02",Cadrage!$D$34,Cadrage!$E$34)))</f>
        <v/>
      </c>
      <c r="M1121">
        <f>IF($A1121="","",IF($D1121="V01",Cadrage!$C$35,IF($D1121="V02",Cadrage!$D$35,Cadrage!$E$35)))</f>
        <v/>
      </c>
      <c r="N1121">
        <f>IF($A1121="","",IF($D1121="V01",$R$2,IF($D1121="V02",$R$3,$R$4)))</f>
        <v/>
      </c>
      <c r="O1121">
        <f>IF($A1121="","",IF(OR($B1121="7062",$B1121="706",$B1121="708"),$N1121,IF($B1121="6231",1+$G1121,IF($B1121="6236",1+$H1121,IF(OR($B1121="621",$B1121="604",$B1121="6063"),$N1121*(1-$L1121),IF(OR($B1121="6411",$B1121="6413",$B1121="6414",$B1121="645"),(1+$J1121)*(1+$K1121),IF(OR($B1121="613",$B1121="615",$B1121="616",$B1121="6226",$B1121="625",$B1121="626",$B1121="6281"),(1+$I1121)*(1-$L1121)*(1+$M1121),IF(OR($B1121="6331",$B1121="63511",$B1121="6333"),(1+$I1121)*(1-$L1121),IF($B1121="6811",1+$I1121,1)))))))))</f>
        <v/>
      </c>
      <c r="P1121">
        <f>IF($A1121="","",IF($E1121=1,$F1121*$O1121,PNL!G1121))</f>
        <v/>
      </c>
      <c r="T1121">
        <f>IF($A1121="","",IF($E1121=1,IF(OR($B1121="7062",$B1121="706",$B1121="708"),$P1121,IF(AND(LEFT($B1121,1)="6",$B1121&lt;&gt;"6811"),-$P1121,0)),0))</f>
        <v/>
      </c>
    </row>
    <row r="1122">
      <c r="A1122">
        <f>IF(PNL!A1122="","",PNL!A1122)</f>
        <v/>
      </c>
      <c r="B1122">
        <f>IF(PNL!B1122="","",PNL!B1122)</f>
        <v/>
      </c>
      <c r="C1122">
        <f>IF(PNL!C1122="","",PNL!C1122)</f>
        <v/>
      </c>
      <c r="D1122">
        <f>IF(PNL!D1122="","",PNL!D1122)</f>
        <v/>
      </c>
      <c r="E1122">
        <f>IF($A1122="","",IF(AND($C1122="2027",OR($D1122="V01",$D1122="V02",$D1122="V03")),1,0))</f>
        <v/>
      </c>
      <c r="F1122">
        <f>IF($A1122="","",IF($E1122=1,SUMIFS(Comptabilité!$F$1:$F$675,Comptabilité!$A$1:$A$675,$A1122,Comptabilité!$B$1:$B$675,$B1122,Comptabilité!$C$1:$C$675,"2026"),0))</f>
        <v/>
      </c>
      <c r="G1122">
        <f>IF($A1122="","",IF($D1122="V01",Cadrage!$C$22,IF($D1122="V02",Cadrage!$D$22,Cadrage!$E$22)))</f>
        <v/>
      </c>
      <c r="H1122">
        <f>IF($A1122="","",IF($D1122="V01",Cadrage!$C$23,IF($D1122="V02",Cadrage!$D$23,Cadrage!$E$23)))</f>
        <v/>
      </c>
      <c r="I1122">
        <f>IF($A1122="","",IF($D1122="V01",Cadrage!$C$31,IF($D1122="V02",Cadrage!$D$31,Cadrage!$E$31)))</f>
        <v/>
      </c>
      <c r="J1122">
        <f>IF($A1122="","",IF($D1122="V01",Cadrage!$C$32,IF($D1122="V02",Cadrage!$D$32,Cadrage!$E$32)))</f>
        <v/>
      </c>
      <c r="K1122">
        <f>IF($A1122="","",IF($D1122="V01",Cadrage!$C$33,IF($D1122="V02",Cadrage!$D$33,Cadrage!$E$33)))</f>
        <v/>
      </c>
      <c r="L1122">
        <f>IF($A1122="","",IF($D1122="V01",Cadrage!$C$34,IF($D1122="V02",Cadrage!$D$34,Cadrage!$E$34)))</f>
        <v/>
      </c>
      <c r="M1122">
        <f>IF($A1122="","",IF($D1122="V01",Cadrage!$C$35,IF($D1122="V02",Cadrage!$D$35,Cadrage!$E$35)))</f>
        <v/>
      </c>
      <c r="N1122">
        <f>IF($A1122="","",IF($D1122="V01",$R$2,IF($D1122="V02",$R$3,$R$4)))</f>
        <v/>
      </c>
      <c r="O1122">
        <f>IF($A1122="","",IF(OR($B1122="7062",$B1122="706",$B1122="708"),$N1122,IF($B1122="6231",1+$G1122,IF($B1122="6236",1+$H1122,IF(OR($B1122="621",$B1122="604",$B1122="6063"),$N1122*(1-$L1122),IF(OR($B1122="6411",$B1122="6413",$B1122="6414",$B1122="645"),(1+$J1122)*(1+$K1122),IF(OR($B1122="613",$B1122="615",$B1122="616",$B1122="6226",$B1122="625",$B1122="626",$B1122="6281"),(1+$I1122)*(1-$L1122)*(1+$M1122),IF(OR($B1122="6331",$B1122="63511",$B1122="6333"),(1+$I1122)*(1-$L1122),IF($B1122="6811",1+$I1122,1)))))))))</f>
        <v/>
      </c>
      <c r="P1122">
        <f>IF($A1122="","",IF($E1122=1,$F1122*$O1122,PNL!G1122))</f>
        <v/>
      </c>
      <c r="T1122">
        <f>IF($A1122="","",IF($E1122=1,IF(OR($B1122="7062",$B1122="706",$B1122="708"),$P1122,IF(AND(LEFT($B1122,1)="6",$B1122&lt;&gt;"6811"),-$P1122,0)),0))</f>
        <v/>
      </c>
    </row>
    <row r="1123">
      <c r="A1123">
        <f>IF(PNL!A1123="","",PNL!A1123)</f>
        <v/>
      </c>
      <c r="B1123">
        <f>IF(PNL!B1123="","",PNL!B1123)</f>
        <v/>
      </c>
      <c r="C1123">
        <f>IF(PNL!C1123="","",PNL!C1123)</f>
        <v/>
      </c>
      <c r="D1123">
        <f>IF(PNL!D1123="","",PNL!D1123)</f>
        <v/>
      </c>
      <c r="E1123">
        <f>IF($A1123="","",IF(AND($C1123="2027",OR($D1123="V01",$D1123="V02",$D1123="V03")),1,0))</f>
        <v/>
      </c>
      <c r="F1123">
        <f>IF($A1123="","",IF($E1123=1,SUMIFS(Comptabilité!$F$1:$F$675,Comptabilité!$A$1:$A$675,$A1123,Comptabilité!$B$1:$B$675,$B1123,Comptabilité!$C$1:$C$675,"2026"),0))</f>
        <v/>
      </c>
      <c r="G1123">
        <f>IF($A1123="","",IF($D1123="V01",Cadrage!$C$22,IF($D1123="V02",Cadrage!$D$22,Cadrage!$E$22)))</f>
        <v/>
      </c>
      <c r="H1123">
        <f>IF($A1123="","",IF($D1123="V01",Cadrage!$C$23,IF($D1123="V02",Cadrage!$D$23,Cadrage!$E$23)))</f>
        <v/>
      </c>
      <c r="I1123">
        <f>IF($A1123="","",IF($D1123="V01",Cadrage!$C$31,IF($D1123="V02",Cadrage!$D$31,Cadrage!$E$31)))</f>
        <v/>
      </c>
      <c r="J1123">
        <f>IF($A1123="","",IF($D1123="V01",Cadrage!$C$32,IF($D1123="V02",Cadrage!$D$32,Cadrage!$E$32)))</f>
        <v/>
      </c>
      <c r="K1123">
        <f>IF($A1123="","",IF($D1123="V01",Cadrage!$C$33,IF($D1123="V02",Cadrage!$D$33,Cadrage!$E$33)))</f>
        <v/>
      </c>
      <c r="L1123">
        <f>IF($A1123="","",IF($D1123="V01",Cadrage!$C$34,IF($D1123="V02",Cadrage!$D$34,Cadrage!$E$34)))</f>
        <v/>
      </c>
      <c r="M1123">
        <f>IF($A1123="","",IF($D1123="V01",Cadrage!$C$35,IF($D1123="V02",Cadrage!$D$35,Cadrage!$E$35)))</f>
        <v/>
      </c>
      <c r="N1123">
        <f>IF($A1123="","",IF($D1123="V01",$R$2,IF($D1123="V02",$R$3,$R$4)))</f>
        <v/>
      </c>
      <c r="O1123">
        <f>IF($A1123="","",IF(OR($B1123="7062",$B1123="706",$B1123="708"),$N1123,IF($B1123="6231",1+$G1123,IF($B1123="6236",1+$H1123,IF(OR($B1123="621",$B1123="604",$B1123="6063"),$N1123*(1-$L1123),IF(OR($B1123="6411",$B1123="6413",$B1123="6414",$B1123="645"),(1+$J1123)*(1+$K1123),IF(OR($B1123="613",$B1123="615",$B1123="616",$B1123="6226",$B1123="625",$B1123="626",$B1123="6281"),(1+$I1123)*(1-$L1123)*(1+$M1123),IF(OR($B1123="6331",$B1123="63511",$B1123="6333"),(1+$I1123)*(1-$L1123),IF($B1123="6811",1+$I1123,1)))))))))</f>
        <v/>
      </c>
      <c r="P1123">
        <f>IF($A1123="","",IF($E1123=1,$F1123*$O1123,PNL!G1123))</f>
        <v/>
      </c>
      <c r="T1123">
        <f>IF($A1123="","",IF($E1123=1,IF(OR($B1123="7062",$B1123="706",$B1123="708"),$P1123,IF(AND(LEFT($B1123,1)="6",$B1123&lt;&gt;"6811"),-$P1123,0)),0))</f>
        <v/>
      </c>
    </row>
    <row r="1124">
      <c r="A1124">
        <f>IF(PNL!A1124="","",PNL!A1124)</f>
        <v/>
      </c>
      <c r="B1124">
        <f>IF(PNL!B1124="","",PNL!B1124)</f>
        <v/>
      </c>
      <c r="C1124">
        <f>IF(PNL!C1124="","",PNL!C1124)</f>
        <v/>
      </c>
      <c r="D1124">
        <f>IF(PNL!D1124="","",PNL!D1124)</f>
        <v/>
      </c>
      <c r="E1124">
        <f>IF($A1124="","",IF(AND($C1124="2027",OR($D1124="V01",$D1124="V02",$D1124="V03")),1,0))</f>
        <v/>
      </c>
      <c r="F1124">
        <f>IF($A1124="","",IF($E1124=1,SUMIFS(Comptabilité!$F$1:$F$675,Comptabilité!$A$1:$A$675,$A1124,Comptabilité!$B$1:$B$675,$B1124,Comptabilité!$C$1:$C$675,"2026"),0))</f>
        <v/>
      </c>
      <c r="G1124">
        <f>IF($A1124="","",IF($D1124="V01",Cadrage!$C$22,IF($D1124="V02",Cadrage!$D$22,Cadrage!$E$22)))</f>
        <v/>
      </c>
      <c r="H1124">
        <f>IF($A1124="","",IF($D1124="V01",Cadrage!$C$23,IF($D1124="V02",Cadrage!$D$23,Cadrage!$E$23)))</f>
        <v/>
      </c>
      <c r="I1124">
        <f>IF($A1124="","",IF($D1124="V01",Cadrage!$C$31,IF($D1124="V02",Cadrage!$D$31,Cadrage!$E$31)))</f>
        <v/>
      </c>
      <c r="J1124">
        <f>IF($A1124="","",IF($D1124="V01",Cadrage!$C$32,IF($D1124="V02",Cadrage!$D$32,Cadrage!$E$32)))</f>
        <v/>
      </c>
      <c r="K1124">
        <f>IF($A1124="","",IF($D1124="V01",Cadrage!$C$33,IF($D1124="V02",Cadrage!$D$33,Cadrage!$E$33)))</f>
        <v/>
      </c>
      <c r="L1124">
        <f>IF($A1124="","",IF($D1124="V01",Cadrage!$C$34,IF($D1124="V02",Cadrage!$D$34,Cadrage!$E$34)))</f>
        <v/>
      </c>
      <c r="M1124">
        <f>IF($A1124="","",IF($D1124="V01",Cadrage!$C$35,IF($D1124="V02",Cadrage!$D$35,Cadrage!$E$35)))</f>
        <v/>
      </c>
      <c r="N1124">
        <f>IF($A1124="","",IF($D1124="V01",$R$2,IF($D1124="V02",$R$3,$R$4)))</f>
        <v/>
      </c>
      <c r="O1124">
        <f>IF($A1124="","",IF(OR($B1124="7062",$B1124="706",$B1124="708"),$N1124,IF($B1124="6231",1+$G1124,IF($B1124="6236",1+$H1124,IF(OR($B1124="621",$B1124="604",$B1124="6063"),$N1124*(1-$L1124),IF(OR($B1124="6411",$B1124="6413",$B1124="6414",$B1124="645"),(1+$J1124)*(1+$K1124),IF(OR($B1124="613",$B1124="615",$B1124="616",$B1124="6226",$B1124="625",$B1124="626",$B1124="6281"),(1+$I1124)*(1-$L1124)*(1+$M1124),IF(OR($B1124="6331",$B1124="63511",$B1124="6333"),(1+$I1124)*(1-$L1124),IF($B1124="6811",1+$I1124,1)))))))))</f>
        <v/>
      </c>
      <c r="P1124">
        <f>IF($A1124="","",IF($E1124=1,$F1124*$O1124,PNL!G1124))</f>
        <v/>
      </c>
      <c r="T1124">
        <f>IF($A1124="","",IF($E1124=1,IF(OR($B1124="7062",$B1124="706",$B1124="708"),$P1124,IF(AND(LEFT($B1124,1)="6",$B1124&lt;&gt;"6811"),-$P1124,0)),0))</f>
        <v/>
      </c>
    </row>
    <row r="1125">
      <c r="A1125">
        <f>IF(PNL!A1125="","",PNL!A1125)</f>
        <v/>
      </c>
      <c r="B1125">
        <f>IF(PNL!B1125="","",PNL!B1125)</f>
        <v/>
      </c>
      <c r="C1125">
        <f>IF(PNL!C1125="","",PNL!C1125)</f>
        <v/>
      </c>
      <c r="D1125">
        <f>IF(PNL!D1125="","",PNL!D1125)</f>
        <v/>
      </c>
      <c r="E1125">
        <f>IF($A1125="","",IF(AND($C1125="2027",OR($D1125="V01",$D1125="V02",$D1125="V03")),1,0))</f>
        <v/>
      </c>
      <c r="F1125">
        <f>IF($A1125="","",IF($E1125=1,SUMIFS(Comptabilité!$F$1:$F$675,Comptabilité!$A$1:$A$675,$A1125,Comptabilité!$B$1:$B$675,$B1125,Comptabilité!$C$1:$C$675,"2026"),0))</f>
        <v/>
      </c>
      <c r="G1125">
        <f>IF($A1125="","",IF($D1125="V01",Cadrage!$C$22,IF($D1125="V02",Cadrage!$D$22,Cadrage!$E$22)))</f>
        <v/>
      </c>
      <c r="H1125">
        <f>IF($A1125="","",IF($D1125="V01",Cadrage!$C$23,IF($D1125="V02",Cadrage!$D$23,Cadrage!$E$23)))</f>
        <v/>
      </c>
      <c r="I1125">
        <f>IF($A1125="","",IF($D1125="V01",Cadrage!$C$31,IF($D1125="V02",Cadrage!$D$31,Cadrage!$E$31)))</f>
        <v/>
      </c>
      <c r="J1125">
        <f>IF($A1125="","",IF($D1125="V01",Cadrage!$C$32,IF($D1125="V02",Cadrage!$D$32,Cadrage!$E$32)))</f>
        <v/>
      </c>
      <c r="K1125">
        <f>IF($A1125="","",IF($D1125="V01",Cadrage!$C$33,IF($D1125="V02",Cadrage!$D$33,Cadrage!$E$33)))</f>
        <v/>
      </c>
      <c r="L1125">
        <f>IF($A1125="","",IF($D1125="V01",Cadrage!$C$34,IF($D1125="V02",Cadrage!$D$34,Cadrage!$E$34)))</f>
        <v/>
      </c>
      <c r="M1125">
        <f>IF($A1125="","",IF($D1125="V01",Cadrage!$C$35,IF($D1125="V02",Cadrage!$D$35,Cadrage!$E$35)))</f>
        <v/>
      </c>
      <c r="N1125">
        <f>IF($A1125="","",IF($D1125="V01",$R$2,IF($D1125="V02",$R$3,$R$4)))</f>
        <v/>
      </c>
      <c r="O1125">
        <f>IF($A1125="","",IF(OR($B1125="7062",$B1125="706",$B1125="708"),$N1125,IF($B1125="6231",1+$G1125,IF($B1125="6236",1+$H1125,IF(OR($B1125="621",$B1125="604",$B1125="6063"),$N1125*(1-$L1125),IF(OR($B1125="6411",$B1125="6413",$B1125="6414",$B1125="645"),(1+$J1125)*(1+$K1125),IF(OR($B1125="613",$B1125="615",$B1125="616",$B1125="6226",$B1125="625",$B1125="626",$B1125="6281"),(1+$I1125)*(1-$L1125)*(1+$M1125),IF(OR($B1125="6331",$B1125="63511",$B1125="6333"),(1+$I1125)*(1-$L1125),IF($B1125="6811",1+$I1125,1)))))))))</f>
        <v/>
      </c>
      <c r="P1125">
        <f>IF($A1125="","",IF($E1125=1,$F1125*$O1125,PNL!G1125))</f>
        <v/>
      </c>
      <c r="T1125">
        <f>IF($A1125="","",IF($E1125=1,IF(OR($B1125="7062",$B1125="706",$B1125="708"),$P1125,IF(AND(LEFT($B1125,1)="6",$B1125&lt;&gt;"6811"),-$P1125,0)),0))</f>
        <v/>
      </c>
    </row>
    <row r="1126">
      <c r="A1126">
        <f>IF(PNL!A1126="","",PNL!A1126)</f>
        <v/>
      </c>
      <c r="B1126">
        <f>IF(PNL!B1126="","",PNL!B1126)</f>
        <v/>
      </c>
      <c r="C1126">
        <f>IF(PNL!C1126="","",PNL!C1126)</f>
        <v/>
      </c>
      <c r="D1126">
        <f>IF(PNL!D1126="","",PNL!D1126)</f>
        <v/>
      </c>
      <c r="E1126">
        <f>IF($A1126="","",IF(AND($C1126="2027",OR($D1126="V01",$D1126="V02",$D1126="V03")),1,0))</f>
        <v/>
      </c>
      <c r="F1126">
        <f>IF($A1126="","",IF($E1126=1,SUMIFS(Comptabilité!$F$1:$F$675,Comptabilité!$A$1:$A$675,$A1126,Comptabilité!$B$1:$B$675,$B1126,Comptabilité!$C$1:$C$675,"2026"),0))</f>
        <v/>
      </c>
      <c r="G1126">
        <f>IF($A1126="","",IF($D1126="V01",Cadrage!$C$22,IF($D1126="V02",Cadrage!$D$22,Cadrage!$E$22)))</f>
        <v/>
      </c>
      <c r="H1126">
        <f>IF($A1126="","",IF($D1126="V01",Cadrage!$C$23,IF($D1126="V02",Cadrage!$D$23,Cadrage!$E$23)))</f>
        <v/>
      </c>
      <c r="I1126">
        <f>IF($A1126="","",IF($D1126="V01",Cadrage!$C$31,IF($D1126="V02",Cadrage!$D$31,Cadrage!$E$31)))</f>
        <v/>
      </c>
      <c r="J1126">
        <f>IF($A1126="","",IF($D1126="V01",Cadrage!$C$32,IF($D1126="V02",Cadrage!$D$32,Cadrage!$E$32)))</f>
        <v/>
      </c>
      <c r="K1126">
        <f>IF($A1126="","",IF($D1126="V01",Cadrage!$C$33,IF($D1126="V02",Cadrage!$D$33,Cadrage!$E$33)))</f>
        <v/>
      </c>
      <c r="L1126">
        <f>IF($A1126="","",IF($D1126="V01",Cadrage!$C$34,IF($D1126="V02",Cadrage!$D$34,Cadrage!$E$34)))</f>
        <v/>
      </c>
      <c r="M1126">
        <f>IF($A1126="","",IF($D1126="V01",Cadrage!$C$35,IF($D1126="V02",Cadrage!$D$35,Cadrage!$E$35)))</f>
        <v/>
      </c>
      <c r="N1126">
        <f>IF($A1126="","",IF($D1126="V01",$R$2,IF($D1126="V02",$R$3,$R$4)))</f>
        <v/>
      </c>
      <c r="O1126">
        <f>IF($A1126="","",IF(OR($B1126="7062",$B1126="706",$B1126="708"),$N1126,IF($B1126="6231",1+$G1126,IF($B1126="6236",1+$H1126,IF(OR($B1126="621",$B1126="604",$B1126="6063"),$N1126*(1-$L1126),IF(OR($B1126="6411",$B1126="6413",$B1126="6414",$B1126="645"),(1+$J1126)*(1+$K1126),IF(OR($B1126="613",$B1126="615",$B1126="616",$B1126="6226",$B1126="625",$B1126="626",$B1126="6281"),(1+$I1126)*(1-$L1126)*(1+$M1126),IF(OR($B1126="6331",$B1126="63511",$B1126="6333"),(1+$I1126)*(1-$L1126),IF($B1126="6811",1+$I1126,1)))))))))</f>
        <v/>
      </c>
      <c r="P1126">
        <f>IF($A1126="","",IF($E1126=1,$F1126*$O1126,PNL!G1126))</f>
        <v/>
      </c>
      <c r="T1126">
        <f>IF($A1126="","",IF($E1126=1,IF(OR($B1126="7062",$B1126="706",$B1126="708"),$P1126,IF(AND(LEFT($B1126,1)="6",$B1126&lt;&gt;"6811"),-$P1126,0)),0))</f>
        <v/>
      </c>
    </row>
    <row r="1127">
      <c r="A1127">
        <f>IF(PNL!A1127="","",PNL!A1127)</f>
        <v/>
      </c>
      <c r="B1127">
        <f>IF(PNL!B1127="","",PNL!B1127)</f>
        <v/>
      </c>
      <c r="C1127">
        <f>IF(PNL!C1127="","",PNL!C1127)</f>
        <v/>
      </c>
      <c r="D1127">
        <f>IF(PNL!D1127="","",PNL!D1127)</f>
        <v/>
      </c>
      <c r="E1127">
        <f>IF($A1127="","",IF(AND($C1127="2027",OR($D1127="V01",$D1127="V02",$D1127="V03")),1,0))</f>
        <v/>
      </c>
      <c r="F1127">
        <f>IF($A1127="","",IF($E1127=1,SUMIFS(Comptabilité!$F$1:$F$675,Comptabilité!$A$1:$A$675,$A1127,Comptabilité!$B$1:$B$675,$B1127,Comptabilité!$C$1:$C$675,"2026"),0))</f>
        <v/>
      </c>
      <c r="G1127">
        <f>IF($A1127="","",IF($D1127="V01",Cadrage!$C$22,IF($D1127="V02",Cadrage!$D$22,Cadrage!$E$22)))</f>
        <v/>
      </c>
      <c r="H1127">
        <f>IF($A1127="","",IF($D1127="V01",Cadrage!$C$23,IF($D1127="V02",Cadrage!$D$23,Cadrage!$E$23)))</f>
        <v/>
      </c>
      <c r="I1127">
        <f>IF($A1127="","",IF($D1127="V01",Cadrage!$C$31,IF($D1127="V02",Cadrage!$D$31,Cadrage!$E$31)))</f>
        <v/>
      </c>
      <c r="J1127">
        <f>IF($A1127="","",IF($D1127="V01",Cadrage!$C$32,IF($D1127="V02",Cadrage!$D$32,Cadrage!$E$32)))</f>
        <v/>
      </c>
      <c r="K1127">
        <f>IF($A1127="","",IF($D1127="V01",Cadrage!$C$33,IF($D1127="V02",Cadrage!$D$33,Cadrage!$E$33)))</f>
        <v/>
      </c>
      <c r="L1127">
        <f>IF($A1127="","",IF($D1127="V01",Cadrage!$C$34,IF($D1127="V02",Cadrage!$D$34,Cadrage!$E$34)))</f>
        <v/>
      </c>
      <c r="M1127">
        <f>IF($A1127="","",IF($D1127="V01",Cadrage!$C$35,IF($D1127="V02",Cadrage!$D$35,Cadrage!$E$35)))</f>
        <v/>
      </c>
      <c r="N1127">
        <f>IF($A1127="","",IF($D1127="V01",$R$2,IF($D1127="V02",$R$3,$R$4)))</f>
        <v/>
      </c>
      <c r="O1127">
        <f>IF($A1127="","",IF(OR($B1127="7062",$B1127="706",$B1127="708"),$N1127,IF($B1127="6231",1+$G1127,IF($B1127="6236",1+$H1127,IF(OR($B1127="621",$B1127="604",$B1127="6063"),$N1127*(1-$L1127),IF(OR($B1127="6411",$B1127="6413",$B1127="6414",$B1127="645"),(1+$J1127)*(1+$K1127),IF(OR($B1127="613",$B1127="615",$B1127="616",$B1127="6226",$B1127="625",$B1127="626",$B1127="6281"),(1+$I1127)*(1-$L1127)*(1+$M1127),IF(OR($B1127="6331",$B1127="63511",$B1127="6333"),(1+$I1127)*(1-$L1127),IF($B1127="6811",1+$I1127,1)))))))))</f>
        <v/>
      </c>
      <c r="P1127">
        <f>IF($A1127="","",IF($E1127=1,$F1127*$O1127,PNL!G1127))</f>
        <v/>
      </c>
      <c r="T1127">
        <f>IF($A1127="","",IF($E1127=1,IF(OR($B1127="7062",$B1127="706",$B1127="708"),$P1127,IF(AND(LEFT($B1127,1)="6",$B1127&lt;&gt;"6811"),-$P1127,0)),0))</f>
        <v/>
      </c>
    </row>
    <row r="1128">
      <c r="A1128">
        <f>IF(PNL!A1128="","",PNL!A1128)</f>
        <v/>
      </c>
      <c r="B1128">
        <f>IF(PNL!B1128="","",PNL!B1128)</f>
        <v/>
      </c>
      <c r="C1128">
        <f>IF(PNL!C1128="","",PNL!C1128)</f>
        <v/>
      </c>
      <c r="D1128">
        <f>IF(PNL!D1128="","",PNL!D1128)</f>
        <v/>
      </c>
      <c r="E1128">
        <f>IF($A1128="","",IF(AND($C1128="2027",OR($D1128="V01",$D1128="V02",$D1128="V03")),1,0))</f>
        <v/>
      </c>
      <c r="F1128">
        <f>IF($A1128="","",IF($E1128=1,SUMIFS(Comptabilité!$F$1:$F$675,Comptabilité!$A$1:$A$675,$A1128,Comptabilité!$B$1:$B$675,$B1128,Comptabilité!$C$1:$C$675,"2026"),0))</f>
        <v/>
      </c>
      <c r="G1128">
        <f>IF($A1128="","",IF($D1128="V01",Cadrage!$C$22,IF($D1128="V02",Cadrage!$D$22,Cadrage!$E$22)))</f>
        <v/>
      </c>
      <c r="H1128">
        <f>IF($A1128="","",IF($D1128="V01",Cadrage!$C$23,IF($D1128="V02",Cadrage!$D$23,Cadrage!$E$23)))</f>
        <v/>
      </c>
      <c r="I1128">
        <f>IF($A1128="","",IF($D1128="V01",Cadrage!$C$31,IF($D1128="V02",Cadrage!$D$31,Cadrage!$E$31)))</f>
        <v/>
      </c>
      <c r="J1128">
        <f>IF($A1128="","",IF($D1128="V01",Cadrage!$C$32,IF($D1128="V02",Cadrage!$D$32,Cadrage!$E$32)))</f>
        <v/>
      </c>
      <c r="K1128">
        <f>IF($A1128="","",IF($D1128="V01",Cadrage!$C$33,IF($D1128="V02",Cadrage!$D$33,Cadrage!$E$33)))</f>
        <v/>
      </c>
      <c r="L1128">
        <f>IF($A1128="","",IF($D1128="V01",Cadrage!$C$34,IF($D1128="V02",Cadrage!$D$34,Cadrage!$E$34)))</f>
        <v/>
      </c>
      <c r="M1128">
        <f>IF($A1128="","",IF($D1128="V01",Cadrage!$C$35,IF($D1128="V02",Cadrage!$D$35,Cadrage!$E$35)))</f>
        <v/>
      </c>
      <c r="N1128">
        <f>IF($A1128="","",IF($D1128="V01",$R$2,IF($D1128="V02",$R$3,$R$4)))</f>
        <v/>
      </c>
      <c r="O1128">
        <f>IF($A1128="","",IF(OR($B1128="7062",$B1128="706",$B1128="708"),$N1128,IF($B1128="6231",1+$G1128,IF($B1128="6236",1+$H1128,IF(OR($B1128="621",$B1128="604",$B1128="6063"),$N1128*(1-$L1128),IF(OR($B1128="6411",$B1128="6413",$B1128="6414",$B1128="645"),(1+$J1128)*(1+$K1128),IF(OR($B1128="613",$B1128="615",$B1128="616",$B1128="6226",$B1128="625",$B1128="626",$B1128="6281"),(1+$I1128)*(1-$L1128)*(1+$M1128),IF(OR($B1128="6331",$B1128="63511",$B1128="6333"),(1+$I1128)*(1-$L1128),IF($B1128="6811",1+$I1128,1)))))))))</f>
        <v/>
      </c>
      <c r="P1128">
        <f>IF($A1128="","",IF($E1128=1,$F1128*$O1128,PNL!G1128))</f>
        <v/>
      </c>
      <c r="T1128">
        <f>IF($A1128="","",IF($E1128=1,IF(OR($B1128="7062",$B1128="706",$B1128="708"),$P1128,IF(AND(LEFT($B1128,1)="6",$B1128&lt;&gt;"6811"),-$P1128,0)),0))</f>
        <v/>
      </c>
    </row>
    <row r="1129">
      <c r="A1129">
        <f>IF(PNL!A1129="","",PNL!A1129)</f>
        <v/>
      </c>
      <c r="B1129">
        <f>IF(PNL!B1129="","",PNL!B1129)</f>
        <v/>
      </c>
      <c r="C1129">
        <f>IF(PNL!C1129="","",PNL!C1129)</f>
        <v/>
      </c>
      <c r="D1129">
        <f>IF(PNL!D1129="","",PNL!D1129)</f>
        <v/>
      </c>
      <c r="E1129">
        <f>IF($A1129="","",IF(AND($C1129="2027",OR($D1129="V01",$D1129="V02",$D1129="V03")),1,0))</f>
        <v/>
      </c>
      <c r="F1129">
        <f>IF($A1129="","",IF($E1129=1,SUMIFS(Comptabilité!$F$1:$F$675,Comptabilité!$A$1:$A$675,$A1129,Comptabilité!$B$1:$B$675,$B1129,Comptabilité!$C$1:$C$675,"2026"),0))</f>
        <v/>
      </c>
      <c r="G1129">
        <f>IF($A1129="","",IF($D1129="V01",Cadrage!$C$22,IF($D1129="V02",Cadrage!$D$22,Cadrage!$E$22)))</f>
        <v/>
      </c>
      <c r="H1129">
        <f>IF($A1129="","",IF($D1129="V01",Cadrage!$C$23,IF($D1129="V02",Cadrage!$D$23,Cadrage!$E$23)))</f>
        <v/>
      </c>
      <c r="I1129">
        <f>IF($A1129="","",IF($D1129="V01",Cadrage!$C$31,IF($D1129="V02",Cadrage!$D$31,Cadrage!$E$31)))</f>
        <v/>
      </c>
      <c r="J1129">
        <f>IF($A1129="","",IF($D1129="V01",Cadrage!$C$32,IF($D1129="V02",Cadrage!$D$32,Cadrage!$E$32)))</f>
        <v/>
      </c>
      <c r="K1129">
        <f>IF($A1129="","",IF($D1129="V01",Cadrage!$C$33,IF($D1129="V02",Cadrage!$D$33,Cadrage!$E$33)))</f>
        <v/>
      </c>
      <c r="L1129">
        <f>IF($A1129="","",IF($D1129="V01",Cadrage!$C$34,IF($D1129="V02",Cadrage!$D$34,Cadrage!$E$34)))</f>
        <v/>
      </c>
      <c r="M1129">
        <f>IF($A1129="","",IF($D1129="V01",Cadrage!$C$35,IF($D1129="V02",Cadrage!$D$35,Cadrage!$E$35)))</f>
        <v/>
      </c>
      <c r="N1129">
        <f>IF($A1129="","",IF($D1129="V01",$R$2,IF($D1129="V02",$R$3,$R$4)))</f>
        <v/>
      </c>
      <c r="O1129">
        <f>IF($A1129="","",IF(OR($B1129="7062",$B1129="706",$B1129="708"),$N1129,IF($B1129="6231",1+$G1129,IF($B1129="6236",1+$H1129,IF(OR($B1129="621",$B1129="604",$B1129="6063"),$N1129*(1-$L1129),IF(OR($B1129="6411",$B1129="6413",$B1129="6414",$B1129="645"),(1+$J1129)*(1+$K1129),IF(OR($B1129="613",$B1129="615",$B1129="616",$B1129="6226",$B1129="625",$B1129="626",$B1129="6281"),(1+$I1129)*(1-$L1129)*(1+$M1129),IF(OR($B1129="6331",$B1129="63511",$B1129="6333"),(1+$I1129)*(1-$L1129),IF($B1129="6811",1+$I1129,1)))))))))</f>
        <v/>
      </c>
      <c r="P1129">
        <f>IF($A1129="","",IF($E1129=1,$F1129*$O1129,PNL!G1129))</f>
        <v/>
      </c>
      <c r="T1129">
        <f>IF($A1129="","",IF($E1129=1,IF(OR($B1129="7062",$B1129="706",$B1129="708"),$P1129,IF(AND(LEFT($B1129,1)="6",$B1129&lt;&gt;"6811"),-$P1129,0)),0))</f>
        <v/>
      </c>
    </row>
    <row r="1130">
      <c r="A1130">
        <f>IF(PNL!A1130="","",PNL!A1130)</f>
        <v/>
      </c>
      <c r="B1130">
        <f>IF(PNL!B1130="","",PNL!B1130)</f>
        <v/>
      </c>
      <c r="C1130">
        <f>IF(PNL!C1130="","",PNL!C1130)</f>
        <v/>
      </c>
      <c r="D1130">
        <f>IF(PNL!D1130="","",PNL!D1130)</f>
        <v/>
      </c>
      <c r="E1130">
        <f>IF($A1130="","",IF(AND($C1130="2027",OR($D1130="V01",$D1130="V02",$D1130="V03")),1,0))</f>
        <v/>
      </c>
      <c r="F1130">
        <f>IF($A1130="","",IF($E1130=1,SUMIFS(Comptabilité!$F$1:$F$675,Comptabilité!$A$1:$A$675,$A1130,Comptabilité!$B$1:$B$675,$B1130,Comptabilité!$C$1:$C$675,"2026"),0))</f>
        <v/>
      </c>
      <c r="G1130">
        <f>IF($A1130="","",IF($D1130="V01",Cadrage!$C$22,IF($D1130="V02",Cadrage!$D$22,Cadrage!$E$22)))</f>
        <v/>
      </c>
      <c r="H1130">
        <f>IF($A1130="","",IF($D1130="V01",Cadrage!$C$23,IF($D1130="V02",Cadrage!$D$23,Cadrage!$E$23)))</f>
        <v/>
      </c>
      <c r="I1130">
        <f>IF($A1130="","",IF($D1130="V01",Cadrage!$C$31,IF($D1130="V02",Cadrage!$D$31,Cadrage!$E$31)))</f>
        <v/>
      </c>
      <c r="J1130">
        <f>IF($A1130="","",IF($D1130="V01",Cadrage!$C$32,IF($D1130="V02",Cadrage!$D$32,Cadrage!$E$32)))</f>
        <v/>
      </c>
      <c r="K1130">
        <f>IF($A1130="","",IF($D1130="V01",Cadrage!$C$33,IF($D1130="V02",Cadrage!$D$33,Cadrage!$E$33)))</f>
        <v/>
      </c>
      <c r="L1130">
        <f>IF($A1130="","",IF($D1130="V01",Cadrage!$C$34,IF($D1130="V02",Cadrage!$D$34,Cadrage!$E$34)))</f>
        <v/>
      </c>
      <c r="M1130">
        <f>IF($A1130="","",IF($D1130="V01",Cadrage!$C$35,IF($D1130="V02",Cadrage!$D$35,Cadrage!$E$35)))</f>
        <v/>
      </c>
      <c r="N1130">
        <f>IF($A1130="","",IF($D1130="V01",$R$2,IF($D1130="V02",$R$3,$R$4)))</f>
        <v/>
      </c>
      <c r="O1130">
        <f>IF($A1130="","",IF(OR($B1130="7062",$B1130="706",$B1130="708"),$N1130,IF($B1130="6231",1+$G1130,IF($B1130="6236",1+$H1130,IF(OR($B1130="621",$B1130="604",$B1130="6063"),$N1130*(1-$L1130),IF(OR($B1130="6411",$B1130="6413",$B1130="6414",$B1130="645"),(1+$J1130)*(1+$K1130),IF(OR($B1130="613",$B1130="615",$B1130="616",$B1130="6226",$B1130="625",$B1130="626",$B1130="6281"),(1+$I1130)*(1-$L1130)*(1+$M1130),IF(OR($B1130="6331",$B1130="63511",$B1130="6333"),(1+$I1130)*(1-$L1130),IF($B1130="6811",1+$I1130,1)))))))))</f>
        <v/>
      </c>
      <c r="P1130">
        <f>IF($A1130="","",IF($E1130=1,$F1130*$O1130,PNL!G1130))</f>
        <v/>
      </c>
      <c r="T1130">
        <f>IF($A1130="","",IF($E1130=1,IF(OR($B1130="7062",$B1130="706",$B1130="708"),$P1130,IF(AND(LEFT($B1130,1)="6",$B1130&lt;&gt;"6811"),-$P1130,0)),0))</f>
        <v/>
      </c>
    </row>
    <row r="1131">
      <c r="A1131">
        <f>IF(PNL!A1131="","",PNL!A1131)</f>
        <v/>
      </c>
      <c r="B1131">
        <f>IF(PNL!B1131="","",PNL!B1131)</f>
        <v/>
      </c>
      <c r="C1131">
        <f>IF(PNL!C1131="","",PNL!C1131)</f>
        <v/>
      </c>
      <c r="D1131">
        <f>IF(PNL!D1131="","",PNL!D1131)</f>
        <v/>
      </c>
      <c r="E1131">
        <f>IF($A1131="","",IF(AND($C1131="2027",OR($D1131="V01",$D1131="V02",$D1131="V03")),1,0))</f>
        <v/>
      </c>
      <c r="F1131">
        <f>IF($A1131="","",IF($E1131=1,SUMIFS(Comptabilité!$F$1:$F$675,Comptabilité!$A$1:$A$675,$A1131,Comptabilité!$B$1:$B$675,$B1131,Comptabilité!$C$1:$C$675,"2026"),0))</f>
        <v/>
      </c>
      <c r="G1131">
        <f>IF($A1131="","",IF($D1131="V01",Cadrage!$C$22,IF($D1131="V02",Cadrage!$D$22,Cadrage!$E$22)))</f>
        <v/>
      </c>
      <c r="H1131">
        <f>IF($A1131="","",IF($D1131="V01",Cadrage!$C$23,IF($D1131="V02",Cadrage!$D$23,Cadrage!$E$23)))</f>
        <v/>
      </c>
      <c r="I1131">
        <f>IF($A1131="","",IF($D1131="V01",Cadrage!$C$31,IF($D1131="V02",Cadrage!$D$31,Cadrage!$E$31)))</f>
        <v/>
      </c>
      <c r="J1131">
        <f>IF($A1131="","",IF($D1131="V01",Cadrage!$C$32,IF($D1131="V02",Cadrage!$D$32,Cadrage!$E$32)))</f>
        <v/>
      </c>
      <c r="K1131">
        <f>IF($A1131="","",IF($D1131="V01",Cadrage!$C$33,IF($D1131="V02",Cadrage!$D$33,Cadrage!$E$33)))</f>
        <v/>
      </c>
      <c r="L1131">
        <f>IF($A1131="","",IF($D1131="V01",Cadrage!$C$34,IF($D1131="V02",Cadrage!$D$34,Cadrage!$E$34)))</f>
        <v/>
      </c>
      <c r="M1131">
        <f>IF($A1131="","",IF($D1131="V01",Cadrage!$C$35,IF($D1131="V02",Cadrage!$D$35,Cadrage!$E$35)))</f>
        <v/>
      </c>
      <c r="N1131">
        <f>IF($A1131="","",IF($D1131="V01",$R$2,IF($D1131="V02",$R$3,$R$4)))</f>
        <v/>
      </c>
      <c r="O1131">
        <f>IF($A1131="","",IF(OR($B1131="7062",$B1131="706",$B1131="708"),$N1131,IF($B1131="6231",1+$G1131,IF($B1131="6236",1+$H1131,IF(OR($B1131="621",$B1131="604",$B1131="6063"),$N1131*(1-$L1131),IF(OR($B1131="6411",$B1131="6413",$B1131="6414",$B1131="645"),(1+$J1131)*(1+$K1131),IF(OR($B1131="613",$B1131="615",$B1131="616",$B1131="6226",$B1131="625",$B1131="626",$B1131="6281"),(1+$I1131)*(1-$L1131)*(1+$M1131),IF(OR($B1131="6331",$B1131="63511",$B1131="6333"),(1+$I1131)*(1-$L1131),IF($B1131="6811",1+$I1131,1)))))))))</f>
        <v/>
      </c>
      <c r="P1131">
        <f>IF($A1131="","",IF($E1131=1,$F1131*$O1131,PNL!G1131))</f>
        <v/>
      </c>
      <c r="T1131">
        <f>IF($A1131="","",IF($E1131=1,IF(OR($B1131="7062",$B1131="706",$B1131="708"),$P1131,IF(AND(LEFT($B1131,1)="6",$B1131&lt;&gt;"6811"),-$P1131,0)),0))</f>
        <v/>
      </c>
    </row>
    <row r="1132">
      <c r="A1132">
        <f>IF(PNL!A1132="","",PNL!A1132)</f>
        <v/>
      </c>
      <c r="B1132">
        <f>IF(PNL!B1132="","",PNL!B1132)</f>
        <v/>
      </c>
      <c r="C1132">
        <f>IF(PNL!C1132="","",PNL!C1132)</f>
        <v/>
      </c>
      <c r="D1132">
        <f>IF(PNL!D1132="","",PNL!D1132)</f>
        <v/>
      </c>
      <c r="E1132">
        <f>IF($A1132="","",IF(AND($C1132="2027",OR($D1132="V01",$D1132="V02",$D1132="V03")),1,0))</f>
        <v/>
      </c>
      <c r="F1132">
        <f>IF($A1132="","",IF($E1132=1,SUMIFS(Comptabilité!$F$1:$F$675,Comptabilité!$A$1:$A$675,$A1132,Comptabilité!$B$1:$B$675,$B1132,Comptabilité!$C$1:$C$675,"2026"),0))</f>
        <v/>
      </c>
      <c r="G1132">
        <f>IF($A1132="","",IF($D1132="V01",Cadrage!$C$22,IF($D1132="V02",Cadrage!$D$22,Cadrage!$E$22)))</f>
        <v/>
      </c>
      <c r="H1132">
        <f>IF($A1132="","",IF($D1132="V01",Cadrage!$C$23,IF($D1132="V02",Cadrage!$D$23,Cadrage!$E$23)))</f>
        <v/>
      </c>
      <c r="I1132">
        <f>IF($A1132="","",IF($D1132="V01",Cadrage!$C$31,IF($D1132="V02",Cadrage!$D$31,Cadrage!$E$31)))</f>
        <v/>
      </c>
      <c r="J1132">
        <f>IF($A1132="","",IF($D1132="V01",Cadrage!$C$32,IF($D1132="V02",Cadrage!$D$32,Cadrage!$E$32)))</f>
        <v/>
      </c>
      <c r="K1132">
        <f>IF($A1132="","",IF($D1132="V01",Cadrage!$C$33,IF($D1132="V02",Cadrage!$D$33,Cadrage!$E$33)))</f>
        <v/>
      </c>
      <c r="L1132">
        <f>IF($A1132="","",IF($D1132="V01",Cadrage!$C$34,IF($D1132="V02",Cadrage!$D$34,Cadrage!$E$34)))</f>
        <v/>
      </c>
      <c r="M1132">
        <f>IF($A1132="","",IF($D1132="V01",Cadrage!$C$35,IF($D1132="V02",Cadrage!$D$35,Cadrage!$E$35)))</f>
        <v/>
      </c>
      <c r="N1132">
        <f>IF($A1132="","",IF($D1132="V01",$R$2,IF($D1132="V02",$R$3,$R$4)))</f>
        <v/>
      </c>
      <c r="O1132">
        <f>IF($A1132="","",IF(OR($B1132="7062",$B1132="706",$B1132="708"),$N1132,IF($B1132="6231",1+$G1132,IF($B1132="6236",1+$H1132,IF(OR($B1132="621",$B1132="604",$B1132="6063"),$N1132*(1-$L1132),IF(OR($B1132="6411",$B1132="6413",$B1132="6414",$B1132="645"),(1+$J1132)*(1+$K1132),IF(OR($B1132="613",$B1132="615",$B1132="616",$B1132="6226",$B1132="625",$B1132="626",$B1132="6281"),(1+$I1132)*(1-$L1132)*(1+$M1132),IF(OR($B1132="6331",$B1132="63511",$B1132="6333"),(1+$I1132)*(1-$L1132),IF($B1132="6811",1+$I1132,1)))))))))</f>
        <v/>
      </c>
      <c r="P1132">
        <f>IF($A1132="","",IF($E1132=1,$F1132*$O1132,PNL!G1132))</f>
        <v/>
      </c>
      <c r="T1132">
        <f>IF($A1132="","",IF($E1132=1,IF(OR($B1132="7062",$B1132="706",$B1132="708"),$P1132,IF(AND(LEFT($B1132,1)="6",$B1132&lt;&gt;"6811"),-$P1132,0)),0))</f>
        <v/>
      </c>
    </row>
    <row r="1133">
      <c r="A1133">
        <f>IF(PNL!A1133="","",PNL!A1133)</f>
        <v/>
      </c>
      <c r="B1133">
        <f>IF(PNL!B1133="","",PNL!B1133)</f>
        <v/>
      </c>
      <c r="C1133">
        <f>IF(PNL!C1133="","",PNL!C1133)</f>
        <v/>
      </c>
      <c r="D1133">
        <f>IF(PNL!D1133="","",PNL!D1133)</f>
        <v/>
      </c>
      <c r="E1133">
        <f>IF($A1133="","",IF(AND($C1133="2027",OR($D1133="V01",$D1133="V02",$D1133="V03")),1,0))</f>
        <v/>
      </c>
      <c r="F1133">
        <f>IF($A1133="","",IF($E1133=1,SUMIFS(Comptabilité!$F$1:$F$675,Comptabilité!$A$1:$A$675,$A1133,Comptabilité!$B$1:$B$675,$B1133,Comptabilité!$C$1:$C$675,"2026"),0))</f>
        <v/>
      </c>
      <c r="G1133">
        <f>IF($A1133="","",IF($D1133="V01",Cadrage!$C$22,IF($D1133="V02",Cadrage!$D$22,Cadrage!$E$22)))</f>
        <v/>
      </c>
      <c r="H1133">
        <f>IF($A1133="","",IF($D1133="V01",Cadrage!$C$23,IF($D1133="V02",Cadrage!$D$23,Cadrage!$E$23)))</f>
        <v/>
      </c>
      <c r="I1133">
        <f>IF($A1133="","",IF($D1133="V01",Cadrage!$C$31,IF($D1133="V02",Cadrage!$D$31,Cadrage!$E$31)))</f>
        <v/>
      </c>
      <c r="J1133">
        <f>IF($A1133="","",IF($D1133="V01",Cadrage!$C$32,IF($D1133="V02",Cadrage!$D$32,Cadrage!$E$32)))</f>
        <v/>
      </c>
      <c r="K1133">
        <f>IF($A1133="","",IF($D1133="V01",Cadrage!$C$33,IF($D1133="V02",Cadrage!$D$33,Cadrage!$E$33)))</f>
        <v/>
      </c>
      <c r="L1133">
        <f>IF($A1133="","",IF($D1133="V01",Cadrage!$C$34,IF($D1133="V02",Cadrage!$D$34,Cadrage!$E$34)))</f>
        <v/>
      </c>
      <c r="M1133">
        <f>IF($A1133="","",IF($D1133="V01",Cadrage!$C$35,IF($D1133="V02",Cadrage!$D$35,Cadrage!$E$35)))</f>
        <v/>
      </c>
      <c r="N1133">
        <f>IF($A1133="","",IF($D1133="V01",$R$2,IF($D1133="V02",$R$3,$R$4)))</f>
        <v/>
      </c>
      <c r="O1133">
        <f>IF($A1133="","",IF(OR($B1133="7062",$B1133="706",$B1133="708"),$N1133,IF($B1133="6231",1+$G1133,IF($B1133="6236",1+$H1133,IF(OR($B1133="621",$B1133="604",$B1133="6063"),$N1133*(1-$L1133),IF(OR($B1133="6411",$B1133="6413",$B1133="6414",$B1133="645"),(1+$J1133)*(1+$K1133),IF(OR($B1133="613",$B1133="615",$B1133="616",$B1133="6226",$B1133="625",$B1133="626",$B1133="6281"),(1+$I1133)*(1-$L1133)*(1+$M1133),IF(OR($B1133="6331",$B1133="63511",$B1133="6333"),(1+$I1133)*(1-$L1133),IF($B1133="6811",1+$I1133,1)))))))))</f>
        <v/>
      </c>
      <c r="P1133">
        <f>IF($A1133="","",IF($E1133=1,$F1133*$O1133,PNL!G1133))</f>
        <v/>
      </c>
      <c r="T1133">
        <f>IF($A1133="","",IF($E1133=1,IF(OR($B1133="7062",$B1133="706",$B1133="708"),$P1133,IF(AND(LEFT($B1133,1)="6",$B1133&lt;&gt;"6811"),-$P1133,0)),0))</f>
        <v/>
      </c>
    </row>
    <row r="1134">
      <c r="A1134">
        <f>IF(PNL!A1134="","",PNL!A1134)</f>
        <v/>
      </c>
      <c r="B1134">
        <f>IF(PNL!B1134="","",PNL!B1134)</f>
        <v/>
      </c>
      <c r="C1134">
        <f>IF(PNL!C1134="","",PNL!C1134)</f>
        <v/>
      </c>
      <c r="D1134">
        <f>IF(PNL!D1134="","",PNL!D1134)</f>
        <v/>
      </c>
      <c r="E1134">
        <f>IF($A1134="","",IF(AND($C1134="2027",OR($D1134="V01",$D1134="V02",$D1134="V03")),1,0))</f>
        <v/>
      </c>
      <c r="F1134">
        <f>IF($A1134="","",IF($E1134=1,SUMIFS(Comptabilité!$F$1:$F$675,Comptabilité!$A$1:$A$675,$A1134,Comptabilité!$B$1:$B$675,$B1134,Comptabilité!$C$1:$C$675,"2026"),0))</f>
        <v/>
      </c>
      <c r="G1134">
        <f>IF($A1134="","",IF($D1134="V01",Cadrage!$C$22,IF($D1134="V02",Cadrage!$D$22,Cadrage!$E$22)))</f>
        <v/>
      </c>
      <c r="H1134">
        <f>IF($A1134="","",IF($D1134="V01",Cadrage!$C$23,IF($D1134="V02",Cadrage!$D$23,Cadrage!$E$23)))</f>
        <v/>
      </c>
      <c r="I1134">
        <f>IF($A1134="","",IF($D1134="V01",Cadrage!$C$31,IF($D1134="V02",Cadrage!$D$31,Cadrage!$E$31)))</f>
        <v/>
      </c>
      <c r="J1134">
        <f>IF($A1134="","",IF($D1134="V01",Cadrage!$C$32,IF($D1134="V02",Cadrage!$D$32,Cadrage!$E$32)))</f>
        <v/>
      </c>
      <c r="K1134">
        <f>IF($A1134="","",IF($D1134="V01",Cadrage!$C$33,IF($D1134="V02",Cadrage!$D$33,Cadrage!$E$33)))</f>
        <v/>
      </c>
      <c r="L1134">
        <f>IF($A1134="","",IF($D1134="V01",Cadrage!$C$34,IF($D1134="V02",Cadrage!$D$34,Cadrage!$E$34)))</f>
        <v/>
      </c>
      <c r="M1134">
        <f>IF($A1134="","",IF($D1134="V01",Cadrage!$C$35,IF($D1134="V02",Cadrage!$D$35,Cadrage!$E$35)))</f>
        <v/>
      </c>
      <c r="N1134">
        <f>IF($A1134="","",IF($D1134="V01",$R$2,IF($D1134="V02",$R$3,$R$4)))</f>
        <v/>
      </c>
      <c r="O1134">
        <f>IF($A1134="","",IF(OR($B1134="7062",$B1134="706",$B1134="708"),$N1134,IF($B1134="6231",1+$G1134,IF($B1134="6236",1+$H1134,IF(OR($B1134="621",$B1134="604",$B1134="6063"),$N1134*(1-$L1134),IF(OR($B1134="6411",$B1134="6413",$B1134="6414",$B1134="645"),(1+$J1134)*(1+$K1134),IF(OR($B1134="613",$B1134="615",$B1134="616",$B1134="6226",$B1134="625",$B1134="626",$B1134="6281"),(1+$I1134)*(1-$L1134)*(1+$M1134),IF(OR($B1134="6331",$B1134="63511",$B1134="6333"),(1+$I1134)*(1-$L1134),IF($B1134="6811",1+$I1134,1)))))))))</f>
        <v/>
      </c>
      <c r="P1134">
        <f>IF($A1134="","",IF($E1134=1,$F1134*$O1134,PNL!G1134))</f>
        <v/>
      </c>
      <c r="T1134">
        <f>IF($A1134="","",IF($E1134=1,IF(OR($B1134="7062",$B1134="706",$B1134="708"),$P1134,IF(AND(LEFT($B1134,1)="6",$B1134&lt;&gt;"6811"),-$P1134,0)),0))</f>
        <v/>
      </c>
    </row>
    <row r="1135">
      <c r="A1135">
        <f>IF(PNL!A1135="","",PNL!A1135)</f>
        <v/>
      </c>
      <c r="B1135">
        <f>IF(PNL!B1135="","",PNL!B1135)</f>
        <v/>
      </c>
      <c r="C1135">
        <f>IF(PNL!C1135="","",PNL!C1135)</f>
        <v/>
      </c>
      <c r="D1135">
        <f>IF(PNL!D1135="","",PNL!D1135)</f>
        <v/>
      </c>
      <c r="E1135">
        <f>IF($A1135="","",IF(AND($C1135="2027",OR($D1135="V01",$D1135="V02",$D1135="V03")),1,0))</f>
        <v/>
      </c>
      <c r="F1135">
        <f>IF($A1135="","",IF($E1135=1,SUMIFS(Comptabilité!$F$1:$F$675,Comptabilité!$A$1:$A$675,$A1135,Comptabilité!$B$1:$B$675,$B1135,Comptabilité!$C$1:$C$675,"2026"),0))</f>
        <v/>
      </c>
      <c r="G1135">
        <f>IF($A1135="","",IF($D1135="V01",Cadrage!$C$22,IF($D1135="V02",Cadrage!$D$22,Cadrage!$E$22)))</f>
        <v/>
      </c>
      <c r="H1135">
        <f>IF($A1135="","",IF($D1135="V01",Cadrage!$C$23,IF($D1135="V02",Cadrage!$D$23,Cadrage!$E$23)))</f>
        <v/>
      </c>
      <c r="I1135">
        <f>IF($A1135="","",IF($D1135="V01",Cadrage!$C$31,IF($D1135="V02",Cadrage!$D$31,Cadrage!$E$31)))</f>
        <v/>
      </c>
      <c r="J1135">
        <f>IF($A1135="","",IF($D1135="V01",Cadrage!$C$32,IF($D1135="V02",Cadrage!$D$32,Cadrage!$E$32)))</f>
        <v/>
      </c>
      <c r="K1135">
        <f>IF($A1135="","",IF($D1135="V01",Cadrage!$C$33,IF($D1135="V02",Cadrage!$D$33,Cadrage!$E$33)))</f>
        <v/>
      </c>
      <c r="L1135">
        <f>IF($A1135="","",IF($D1135="V01",Cadrage!$C$34,IF($D1135="V02",Cadrage!$D$34,Cadrage!$E$34)))</f>
        <v/>
      </c>
      <c r="M1135">
        <f>IF($A1135="","",IF($D1135="V01",Cadrage!$C$35,IF($D1135="V02",Cadrage!$D$35,Cadrage!$E$35)))</f>
        <v/>
      </c>
      <c r="N1135">
        <f>IF($A1135="","",IF($D1135="V01",$R$2,IF($D1135="V02",$R$3,$R$4)))</f>
        <v/>
      </c>
      <c r="O1135">
        <f>IF($A1135="","",IF(OR($B1135="7062",$B1135="706",$B1135="708"),$N1135,IF($B1135="6231",1+$G1135,IF($B1135="6236",1+$H1135,IF(OR($B1135="621",$B1135="604",$B1135="6063"),$N1135*(1-$L1135),IF(OR($B1135="6411",$B1135="6413",$B1135="6414",$B1135="645"),(1+$J1135)*(1+$K1135),IF(OR($B1135="613",$B1135="615",$B1135="616",$B1135="6226",$B1135="625",$B1135="626",$B1135="6281"),(1+$I1135)*(1-$L1135)*(1+$M1135),IF(OR($B1135="6331",$B1135="63511",$B1135="6333"),(1+$I1135)*(1-$L1135),IF($B1135="6811",1+$I1135,1)))))))))</f>
        <v/>
      </c>
      <c r="P1135">
        <f>IF($A1135="","",IF($E1135=1,$F1135*$O1135,PNL!G1135))</f>
        <v/>
      </c>
      <c r="T1135">
        <f>IF($A1135="","",IF($E1135=1,IF(OR($B1135="7062",$B1135="706",$B1135="708"),$P1135,IF(AND(LEFT($B1135,1)="6",$B1135&lt;&gt;"6811"),-$P1135,0)),0))</f>
        <v/>
      </c>
    </row>
    <row r="1136">
      <c r="A1136">
        <f>IF(PNL!A1136="","",PNL!A1136)</f>
        <v/>
      </c>
      <c r="B1136">
        <f>IF(PNL!B1136="","",PNL!B1136)</f>
        <v/>
      </c>
      <c r="C1136">
        <f>IF(PNL!C1136="","",PNL!C1136)</f>
        <v/>
      </c>
      <c r="D1136">
        <f>IF(PNL!D1136="","",PNL!D1136)</f>
        <v/>
      </c>
      <c r="E1136">
        <f>IF($A1136="","",IF(AND($C1136="2027",OR($D1136="V01",$D1136="V02",$D1136="V03")),1,0))</f>
        <v/>
      </c>
      <c r="F1136">
        <f>IF($A1136="","",IF($E1136=1,SUMIFS(Comptabilité!$F$1:$F$675,Comptabilité!$A$1:$A$675,$A1136,Comptabilité!$B$1:$B$675,$B1136,Comptabilité!$C$1:$C$675,"2026"),0))</f>
        <v/>
      </c>
      <c r="G1136">
        <f>IF($A1136="","",IF($D1136="V01",Cadrage!$C$22,IF($D1136="V02",Cadrage!$D$22,Cadrage!$E$22)))</f>
        <v/>
      </c>
      <c r="H1136">
        <f>IF($A1136="","",IF($D1136="V01",Cadrage!$C$23,IF($D1136="V02",Cadrage!$D$23,Cadrage!$E$23)))</f>
        <v/>
      </c>
      <c r="I1136">
        <f>IF($A1136="","",IF($D1136="V01",Cadrage!$C$31,IF($D1136="V02",Cadrage!$D$31,Cadrage!$E$31)))</f>
        <v/>
      </c>
      <c r="J1136">
        <f>IF($A1136="","",IF($D1136="V01",Cadrage!$C$32,IF($D1136="V02",Cadrage!$D$32,Cadrage!$E$32)))</f>
        <v/>
      </c>
      <c r="K1136">
        <f>IF($A1136="","",IF($D1136="V01",Cadrage!$C$33,IF($D1136="V02",Cadrage!$D$33,Cadrage!$E$33)))</f>
        <v/>
      </c>
      <c r="L1136">
        <f>IF($A1136="","",IF($D1136="V01",Cadrage!$C$34,IF($D1136="V02",Cadrage!$D$34,Cadrage!$E$34)))</f>
        <v/>
      </c>
      <c r="M1136">
        <f>IF($A1136="","",IF($D1136="V01",Cadrage!$C$35,IF($D1136="V02",Cadrage!$D$35,Cadrage!$E$35)))</f>
        <v/>
      </c>
      <c r="N1136">
        <f>IF($A1136="","",IF($D1136="V01",$R$2,IF($D1136="V02",$R$3,$R$4)))</f>
        <v/>
      </c>
      <c r="O1136">
        <f>IF($A1136="","",IF(OR($B1136="7062",$B1136="706",$B1136="708"),$N1136,IF($B1136="6231",1+$G1136,IF($B1136="6236",1+$H1136,IF(OR($B1136="621",$B1136="604",$B1136="6063"),$N1136*(1-$L1136),IF(OR($B1136="6411",$B1136="6413",$B1136="6414",$B1136="645"),(1+$J1136)*(1+$K1136),IF(OR($B1136="613",$B1136="615",$B1136="616",$B1136="6226",$B1136="625",$B1136="626",$B1136="6281"),(1+$I1136)*(1-$L1136)*(1+$M1136),IF(OR($B1136="6331",$B1136="63511",$B1136="6333"),(1+$I1136)*(1-$L1136),IF($B1136="6811",1+$I1136,1)))))))))</f>
        <v/>
      </c>
      <c r="P1136">
        <f>IF($A1136="","",IF($E1136=1,$F1136*$O1136,PNL!G1136))</f>
        <v/>
      </c>
      <c r="T1136">
        <f>IF($A1136="","",IF($E1136=1,IF(OR($B1136="7062",$B1136="706",$B1136="708"),$P1136,IF(AND(LEFT($B1136,1)="6",$B1136&lt;&gt;"6811"),-$P1136,0)),0))</f>
        <v/>
      </c>
    </row>
    <row r="1137">
      <c r="A1137">
        <f>IF(PNL!A1137="","",PNL!A1137)</f>
        <v/>
      </c>
      <c r="B1137">
        <f>IF(PNL!B1137="","",PNL!B1137)</f>
        <v/>
      </c>
      <c r="C1137">
        <f>IF(PNL!C1137="","",PNL!C1137)</f>
        <v/>
      </c>
      <c r="D1137">
        <f>IF(PNL!D1137="","",PNL!D1137)</f>
        <v/>
      </c>
      <c r="E1137">
        <f>IF($A1137="","",IF(AND($C1137="2027",OR($D1137="V01",$D1137="V02",$D1137="V03")),1,0))</f>
        <v/>
      </c>
      <c r="F1137">
        <f>IF($A1137="","",IF($E1137=1,SUMIFS(Comptabilité!$F$1:$F$675,Comptabilité!$A$1:$A$675,$A1137,Comptabilité!$B$1:$B$675,$B1137,Comptabilité!$C$1:$C$675,"2026"),0))</f>
        <v/>
      </c>
      <c r="G1137">
        <f>IF($A1137="","",IF($D1137="V01",Cadrage!$C$22,IF($D1137="V02",Cadrage!$D$22,Cadrage!$E$22)))</f>
        <v/>
      </c>
      <c r="H1137">
        <f>IF($A1137="","",IF($D1137="V01",Cadrage!$C$23,IF($D1137="V02",Cadrage!$D$23,Cadrage!$E$23)))</f>
        <v/>
      </c>
      <c r="I1137">
        <f>IF($A1137="","",IF($D1137="V01",Cadrage!$C$31,IF($D1137="V02",Cadrage!$D$31,Cadrage!$E$31)))</f>
        <v/>
      </c>
      <c r="J1137">
        <f>IF($A1137="","",IF($D1137="V01",Cadrage!$C$32,IF($D1137="V02",Cadrage!$D$32,Cadrage!$E$32)))</f>
        <v/>
      </c>
      <c r="K1137">
        <f>IF($A1137="","",IF($D1137="V01",Cadrage!$C$33,IF($D1137="V02",Cadrage!$D$33,Cadrage!$E$33)))</f>
        <v/>
      </c>
      <c r="L1137">
        <f>IF($A1137="","",IF($D1137="V01",Cadrage!$C$34,IF($D1137="V02",Cadrage!$D$34,Cadrage!$E$34)))</f>
        <v/>
      </c>
      <c r="M1137">
        <f>IF($A1137="","",IF($D1137="V01",Cadrage!$C$35,IF($D1137="V02",Cadrage!$D$35,Cadrage!$E$35)))</f>
        <v/>
      </c>
      <c r="N1137">
        <f>IF($A1137="","",IF($D1137="V01",$R$2,IF($D1137="V02",$R$3,$R$4)))</f>
        <v/>
      </c>
      <c r="O1137">
        <f>IF($A1137="","",IF(OR($B1137="7062",$B1137="706",$B1137="708"),$N1137,IF($B1137="6231",1+$G1137,IF($B1137="6236",1+$H1137,IF(OR($B1137="621",$B1137="604",$B1137="6063"),$N1137*(1-$L1137),IF(OR($B1137="6411",$B1137="6413",$B1137="6414",$B1137="645"),(1+$J1137)*(1+$K1137),IF(OR($B1137="613",$B1137="615",$B1137="616",$B1137="6226",$B1137="625",$B1137="626",$B1137="6281"),(1+$I1137)*(1-$L1137)*(1+$M1137),IF(OR($B1137="6331",$B1137="63511",$B1137="6333"),(1+$I1137)*(1-$L1137),IF($B1137="6811",1+$I1137,1)))))))))</f>
        <v/>
      </c>
      <c r="P1137">
        <f>IF($A1137="","",IF($E1137=1,$F1137*$O1137,PNL!G1137))</f>
        <v/>
      </c>
      <c r="T1137">
        <f>IF($A1137="","",IF($E1137=1,IF(OR($B1137="7062",$B1137="706",$B1137="708"),$P1137,IF(AND(LEFT($B1137,1)="6",$B1137&lt;&gt;"6811"),-$P1137,0)),0))</f>
        <v/>
      </c>
    </row>
    <row r="1138">
      <c r="A1138">
        <f>IF(PNL!A1138="","",PNL!A1138)</f>
        <v/>
      </c>
      <c r="B1138">
        <f>IF(PNL!B1138="","",PNL!B1138)</f>
        <v/>
      </c>
      <c r="C1138">
        <f>IF(PNL!C1138="","",PNL!C1138)</f>
        <v/>
      </c>
      <c r="D1138">
        <f>IF(PNL!D1138="","",PNL!D1138)</f>
        <v/>
      </c>
      <c r="E1138">
        <f>IF($A1138="","",IF(AND($C1138="2027",OR($D1138="V01",$D1138="V02",$D1138="V03")),1,0))</f>
        <v/>
      </c>
      <c r="F1138">
        <f>IF($A1138="","",IF($E1138=1,SUMIFS(Comptabilité!$F$1:$F$675,Comptabilité!$A$1:$A$675,$A1138,Comptabilité!$B$1:$B$675,$B1138,Comptabilité!$C$1:$C$675,"2026"),0))</f>
        <v/>
      </c>
      <c r="G1138">
        <f>IF($A1138="","",IF($D1138="V01",Cadrage!$C$22,IF($D1138="V02",Cadrage!$D$22,Cadrage!$E$22)))</f>
        <v/>
      </c>
      <c r="H1138">
        <f>IF($A1138="","",IF($D1138="V01",Cadrage!$C$23,IF($D1138="V02",Cadrage!$D$23,Cadrage!$E$23)))</f>
        <v/>
      </c>
      <c r="I1138">
        <f>IF($A1138="","",IF($D1138="V01",Cadrage!$C$31,IF($D1138="V02",Cadrage!$D$31,Cadrage!$E$31)))</f>
        <v/>
      </c>
      <c r="J1138">
        <f>IF($A1138="","",IF($D1138="V01",Cadrage!$C$32,IF($D1138="V02",Cadrage!$D$32,Cadrage!$E$32)))</f>
        <v/>
      </c>
      <c r="K1138">
        <f>IF($A1138="","",IF($D1138="V01",Cadrage!$C$33,IF($D1138="V02",Cadrage!$D$33,Cadrage!$E$33)))</f>
        <v/>
      </c>
      <c r="L1138">
        <f>IF($A1138="","",IF($D1138="V01",Cadrage!$C$34,IF($D1138="V02",Cadrage!$D$34,Cadrage!$E$34)))</f>
        <v/>
      </c>
      <c r="M1138">
        <f>IF($A1138="","",IF($D1138="V01",Cadrage!$C$35,IF($D1138="V02",Cadrage!$D$35,Cadrage!$E$35)))</f>
        <v/>
      </c>
      <c r="N1138">
        <f>IF($A1138="","",IF($D1138="V01",$R$2,IF($D1138="V02",$R$3,$R$4)))</f>
        <v/>
      </c>
      <c r="O1138">
        <f>IF($A1138="","",IF(OR($B1138="7062",$B1138="706",$B1138="708"),$N1138,IF($B1138="6231",1+$G1138,IF($B1138="6236",1+$H1138,IF(OR($B1138="621",$B1138="604",$B1138="6063"),$N1138*(1-$L1138),IF(OR($B1138="6411",$B1138="6413",$B1138="6414",$B1138="645"),(1+$J1138)*(1+$K1138),IF(OR($B1138="613",$B1138="615",$B1138="616",$B1138="6226",$B1138="625",$B1138="626",$B1138="6281"),(1+$I1138)*(1-$L1138)*(1+$M1138),IF(OR($B1138="6331",$B1138="63511",$B1138="6333"),(1+$I1138)*(1-$L1138),IF($B1138="6811",1+$I1138,1)))))))))</f>
        <v/>
      </c>
      <c r="P1138">
        <f>IF($A1138="","",IF($E1138=1,$F1138*$O1138,PNL!G1138))</f>
        <v/>
      </c>
      <c r="T1138">
        <f>IF($A1138="","",IF($E1138=1,IF(OR($B1138="7062",$B1138="706",$B1138="708"),$P1138,IF(AND(LEFT($B1138,1)="6",$B1138&lt;&gt;"6811"),-$P1138,0)),0))</f>
        <v/>
      </c>
    </row>
    <row r="1139">
      <c r="A1139">
        <f>IF(PNL!A1139="","",PNL!A1139)</f>
        <v/>
      </c>
      <c r="B1139">
        <f>IF(PNL!B1139="","",PNL!B1139)</f>
        <v/>
      </c>
      <c r="C1139">
        <f>IF(PNL!C1139="","",PNL!C1139)</f>
        <v/>
      </c>
      <c r="D1139">
        <f>IF(PNL!D1139="","",PNL!D1139)</f>
        <v/>
      </c>
      <c r="E1139">
        <f>IF($A1139="","",IF(AND($C1139="2027",OR($D1139="V01",$D1139="V02",$D1139="V03")),1,0))</f>
        <v/>
      </c>
      <c r="F1139">
        <f>IF($A1139="","",IF($E1139=1,SUMIFS(Comptabilité!$F$1:$F$675,Comptabilité!$A$1:$A$675,$A1139,Comptabilité!$B$1:$B$675,$B1139,Comptabilité!$C$1:$C$675,"2026"),0))</f>
        <v/>
      </c>
      <c r="G1139">
        <f>IF($A1139="","",IF($D1139="V01",Cadrage!$C$22,IF($D1139="V02",Cadrage!$D$22,Cadrage!$E$22)))</f>
        <v/>
      </c>
      <c r="H1139">
        <f>IF($A1139="","",IF($D1139="V01",Cadrage!$C$23,IF($D1139="V02",Cadrage!$D$23,Cadrage!$E$23)))</f>
        <v/>
      </c>
      <c r="I1139">
        <f>IF($A1139="","",IF($D1139="V01",Cadrage!$C$31,IF($D1139="V02",Cadrage!$D$31,Cadrage!$E$31)))</f>
        <v/>
      </c>
      <c r="J1139">
        <f>IF($A1139="","",IF($D1139="V01",Cadrage!$C$32,IF($D1139="V02",Cadrage!$D$32,Cadrage!$E$32)))</f>
        <v/>
      </c>
      <c r="K1139">
        <f>IF($A1139="","",IF($D1139="V01",Cadrage!$C$33,IF($D1139="V02",Cadrage!$D$33,Cadrage!$E$33)))</f>
        <v/>
      </c>
      <c r="L1139">
        <f>IF($A1139="","",IF($D1139="V01",Cadrage!$C$34,IF($D1139="V02",Cadrage!$D$34,Cadrage!$E$34)))</f>
        <v/>
      </c>
      <c r="M1139">
        <f>IF($A1139="","",IF($D1139="V01",Cadrage!$C$35,IF($D1139="V02",Cadrage!$D$35,Cadrage!$E$35)))</f>
        <v/>
      </c>
      <c r="N1139">
        <f>IF($A1139="","",IF($D1139="V01",$R$2,IF($D1139="V02",$R$3,$R$4)))</f>
        <v/>
      </c>
      <c r="O1139">
        <f>IF($A1139="","",IF(OR($B1139="7062",$B1139="706",$B1139="708"),$N1139,IF($B1139="6231",1+$G1139,IF($B1139="6236",1+$H1139,IF(OR($B1139="621",$B1139="604",$B1139="6063"),$N1139*(1-$L1139),IF(OR($B1139="6411",$B1139="6413",$B1139="6414",$B1139="645"),(1+$J1139)*(1+$K1139),IF(OR($B1139="613",$B1139="615",$B1139="616",$B1139="6226",$B1139="625",$B1139="626",$B1139="6281"),(1+$I1139)*(1-$L1139)*(1+$M1139),IF(OR($B1139="6331",$B1139="63511",$B1139="6333"),(1+$I1139)*(1-$L1139),IF($B1139="6811",1+$I1139,1)))))))))</f>
        <v/>
      </c>
      <c r="P1139">
        <f>IF($A1139="","",IF($E1139=1,$F1139*$O1139,PNL!G1139))</f>
        <v/>
      </c>
      <c r="T1139">
        <f>IF($A1139="","",IF($E1139=1,IF(OR($B1139="7062",$B1139="706",$B1139="708"),$P1139,IF(AND(LEFT($B1139,1)="6",$B1139&lt;&gt;"6811"),-$P1139,0)),0))</f>
        <v/>
      </c>
    </row>
    <row r="1140">
      <c r="A1140">
        <f>IF(PNL!A1140="","",PNL!A1140)</f>
        <v/>
      </c>
      <c r="B1140">
        <f>IF(PNL!B1140="","",PNL!B1140)</f>
        <v/>
      </c>
      <c r="C1140">
        <f>IF(PNL!C1140="","",PNL!C1140)</f>
        <v/>
      </c>
      <c r="D1140">
        <f>IF(PNL!D1140="","",PNL!D1140)</f>
        <v/>
      </c>
      <c r="E1140">
        <f>IF($A1140="","",IF(AND($C1140="2027",OR($D1140="V01",$D1140="V02",$D1140="V03")),1,0))</f>
        <v/>
      </c>
      <c r="F1140">
        <f>IF($A1140="","",IF($E1140=1,SUMIFS(Comptabilité!$F$1:$F$675,Comptabilité!$A$1:$A$675,$A1140,Comptabilité!$B$1:$B$675,$B1140,Comptabilité!$C$1:$C$675,"2026"),0))</f>
        <v/>
      </c>
      <c r="G1140">
        <f>IF($A1140="","",IF($D1140="V01",Cadrage!$C$22,IF($D1140="V02",Cadrage!$D$22,Cadrage!$E$22)))</f>
        <v/>
      </c>
      <c r="H1140">
        <f>IF($A1140="","",IF($D1140="V01",Cadrage!$C$23,IF($D1140="V02",Cadrage!$D$23,Cadrage!$E$23)))</f>
        <v/>
      </c>
      <c r="I1140">
        <f>IF($A1140="","",IF($D1140="V01",Cadrage!$C$31,IF($D1140="V02",Cadrage!$D$31,Cadrage!$E$31)))</f>
        <v/>
      </c>
      <c r="J1140">
        <f>IF($A1140="","",IF($D1140="V01",Cadrage!$C$32,IF($D1140="V02",Cadrage!$D$32,Cadrage!$E$32)))</f>
        <v/>
      </c>
      <c r="K1140">
        <f>IF($A1140="","",IF($D1140="V01",Cadrage!$C$33,IF($D1140="V02",Cadrage!$D$33,Cadrage!$E$33)))</f>
        <v/>
      </c>
      <c r="L1140">
        <f>IF($A1140="","",IF($D1140="V01",Cadrage!$C$34,IF($D1140="V02",Cadrage!$D$34,Cadrage!$E$34)))</f>
        <v/>
      </c>
      <c r="M1140">
        <f>IF($A1140="","",IF($D1140="V01",Cadrage!$C$35,IF($D1140="V02",Cadrage!$D$35,Cadrage!$E$35)))</f>
        <v/>
      </c>
      <c r="N1140">
        <f>IF($A1140="","",IF($D1140="V01",$R$2,IF($D1140="V02",$R$3,$R$4)))</f>
        <v/>
      </c>
      <c r="O1140">
        <f>IF($A1140="","",IF(OR($B1140="7062",$B1140="706",$B1140="708"),$N1140,IF($B1140="6231",1+$G1140,IF($B1140="6236",1+$H1140,IF(OR($B1140="621",$B1140="604",$B1140="6063"),$N1140*(1-$L1140),IF(OR($B1140="6411",$B1140="6413",$B1140="6414",$B1140="645"),(1+$J1140)*(1+$K1140),IF(OR($B1140="613",$B1140="615",$B1140="616",$B1140="6226",$B1140="625",$B1140="626",$B1140="6281"),(1+$I1140)*(1-$L1140)*(1+$M1140),IF(OR($B1140="6331",$B1140="63511",$B1140="6333"),(1+$I1140)*(1-$L1140),IF($B1140="6811",1+$I1140,1)))))))))</f>
        <v/>
      </c>
      <c r="P1140">
        <f>IF($A1140="","",IF($E1140=1,$F1140*$O1140,PNL!G1140))</f>
        <v/>
      </c>
      <c r="T1140">
        <f>IF($A1140="","",IF($E1140=1,IF(OR($B1140="7062",$B1140="706",$B1140="708"),$P1140,IF(AND(LEFT($B1140,1)="6",$B1140&lt;&gt;"6811"),-$P1140,0)),0))</f>
        <v/>
      </c>
    </row>
    <row r="1141">
      <c r="A1141">
        <f>IF(PNL!A1141="","",PNL!A1141)</f>
        <v/>
      </c>
      <c r="B1141">
        <f>IF(PNL!B1141="","",PNL!B1141)</f>
        <v/>
      </c>
      <c r="C1141">
        <f>IF(PNL!C1141="","",PNL!C1141)</f>
        <v/>
      </c>
      <c r="D1141">
        <f>IF(PNL!D1141="","",PNL!D1141)</f>
        <v/>
      </c>
      <c r="E1141">
        <f>IF($A1141="","",IF(AND($C1141="2027",OR($D1141="V01",$D1141="V02",$D1141="V03")),1,0))</f>
        <v/>
      </c>
      <c r="F1141">
        <f>IF($A1141="","",IF($E1141=1,SUMIFS(Comptabilité!$F$1:$F$675,Comptabilité!$A$1:$A$675,$A1141,Comptabilité!$B$1:$B$675,$B1141,Comptabilité!$C$1:$C$675,"2026"),0))</f>
        <v/>
      </c>
      <c r="G1141">
        <f>IF($A1141="","",IF($D1141="V01",Cadrage!$C$22,IF($D1141="V02",Cadrage!$D$22,Cadrage!$E$22)))</f>
        <v/>
      </c>
      <c r="H1141">
        <f>IF($A1141="","",IF($D1141="V01",Cadrage!$C$23,IF($D1141="V02",Cadrage!$D$23,Cadrage!$E$23)))</f>
        <v/>
      </c>
      <c r="I1141">
        <f>IF($A1141="","",IF($D1141="V01",Cadrage!$C$31,IF($D1141="V02",Cadrage!$D$31,Cadrage!$E$31)))</f>
        <v/>
      </c>
      <c r="J1141">
        <f>IF($A1141="","",IF($D1141="V01",Cadrage!$C$32,IF($D1141="V02",Cadrage!$D$32,Cadrage!$E$32)))</f>
        <v/>
      </c>
      <c r="K1141">
        <f>IF($A1141="","",IF($D1141="V01",Cadrage!$C$33,IF($D1141="V02",Cadrage!$D$33,Cadrage!$E$33)))</f>
        <v/>
      </c>
      <c r="L1141">
        <f>IF($A1141="","",IF($D1141="V01",Cadrage!$C$34,IF($D1141="V02",Cadrage!$D$34,Cadrage!$E$34)))</f>
        <v/>
      </c>
      <c r="M1141">
        <f>IF($A1141="","",IF($D1141="V01",Cadrage!$C$35,IF($D1141="V02",Cadrage!$D$35,Cadrage!$E$35)))</f>
        <v/>
      </c>
      <c r="N1141">
        <f>IF($A1141="","",IF($D1141="V01",$R$2,IF($D1141="V02",$R$3,$R$4)))</f>
        <v/>
      </c>
      <c r="O1141">
        <f>IF($A1141="","",IF(OR($B1141="7062",$B1141="706",$B1141="708"),$N1141,IF($B1141="6231",1+$G1141,IF($B1141="6236",1+$H1141,IF(OR($B1141="621",$B1141="604",$B1141="6063"),$N1141*(1-$L1141),IF(OR($B1141="6411",$B1141="6413",$B1141="6414",$B1141="645"),(1+$J1141)*(1+$K1141),IF(OR($B1141="613",$B1141="615",$B1141="616",$B1141="6226",$B1141="625",$B1141="626",$B1141="6281"),(1+$I1141)*(1-$L1141)*(1+$M1141),IF(OR($B1141="6331",$B1141="63511",$B1141="6333"),(1+$I1141)*(1-$L1141),IF($B1141="6811",1+$I1141,1)))))))))</f>
        <v/>
      </c>
      <c r="P1141">
        <f>IF($A1141="","",IF($E1141=1,$F1141*$O1141,PNL!G1141))</f>
        <v/>
      </c>
      <c r="T1141">
        <f>IF($A1141="","",IF($E1141=1,IF(OR($B1141="7062",$B1141="706",$B1141="708"),$P1141,IF(AND(LEFT($B1141,1)="6",$B1141&lt;&gt;"6811"),-$P1141,0)),0))</f>
        <v/>
      </c>
    </row>
    <row r="1142">
      <c r="A1142">
        <f>IF(PNL!A1142="","",PNL!A1142)</f>
        <v/>
      </c>
      <c r="B1142">
        <f>IF(PNL!B1142="","",PNL!B1142)</f>
        <v/>
      </c>
      <c r="C1142">
        <f>IF(PNL!C1142="","",PNL!C1142)</f>
        <v/>
      </c>
      <c r="D1142">
        <f>IF(PNL!D1142="","",PNL!D1142)</f>
        <v/>
      </c>
      <c r="E1142">
        <f>IF($A1142="","",IF(AND($C1142="2027",OR($D1142="V01",$D1142="V02",$D1142="V03")),1,0))</f>
        <v/>
      </c>
      <c r="F1142">
        <f>IF($A1142="","",IF($E1142=1,SUMIFS(Comptabilité!$F$1:$F$675,Comptabilité!$A$1:$A$675,$A1142,Comptabilité!$B$1:$B$675,$B1142,Comptabilité!$C$1:$C$675,"2026"),0))</f>
        <v/>
      </c>
      <c r="G1142">
        <f>IF($A1142="","",IF($D1142="V01",Cadrage!$C$22,IF($D1142="V02",Cadrage!$D$22,Cadrage!$E$22)))</f>
        <v/>
      </c>
      <c r="H1142">
        <f>IF($A1142="","",IF($D1142="V01",Cadrage!$C$23,IF($D1142="V02",Cadrage!$D$23,Cadrage!$E$23)))</f>
        <v/>
      </c>
      <c r="I1142">
        <f>IF($A1142="","",IF($D1142="V01",Cadrage!$C$31,IF($D1142="V02",Cadrage!$D$31,Cadrage!$E$31)))</f>
        <v/>
      </c>
      <c r="J1142">
        <f>IF($A1142="","",IF($D1142="V01",Cadrage!$C$32,IF($D1142="V02",Cadrage!$D$32,Cadrage!$E$32)))</f>
        <v/>
      </c>
      <c r="K1142">
        <f>IF($A1142="","",IF($D1142="V01",Cadrage!$C$33,IF($D1142="V02",Cadrage!$D$33,Cadrage!$E$33)))</f>
        <v/>
      </c>
      <c r="L1142">
        <f>IF($A1142="","",IF($D1142="V01",Cadrage!$C$34,IF($D1142="V02",Cadrage!$D$34,Cadrage!$E$34)))</f>
        <v/>
      </c>
      <c r="M1142">
        <f>IF($A1142="","",IF($D1142="V01",Cadrage!$C$35,IF($D1142="V02",Cadrage!$D$35,Cadrage!$E$35)))</f>
        <v/>
      </c>
      <c r="N1142">
        <f>IF($A1142="","",IF($D1142="V01",$R$2,IF($D1142="V02",$R$3,$R$4)))</f>
        <v/>
      </c>
      <c r="O1142">
        <f>IF($A1142="","",IF(OR($B1142="7062",$B1142="706",$B1142="708"),$N1142,IF($B1142="6231",1+$G1142,IF($B1142="6236",1+$H1142,IF(OR($B1142="621",$B1142="604",$B1142="6063"),$N1142*(1-$L1142),IF(OR($B1142="6411",$B1142="6413",$B1142="6414",$B1142="645"),(1+$J1142)*(1+$K1142),IF(OR($B1142="613",$B1142="615",$B1142="616",$B1142="6226",$B1142="625",$B1142="626",$B1142="6281"),(1+$I1142)*(1-$L1142)*(1+$M1142),IF(OR($B1142="6331",$B1142="63511",$B1142="6333"),(1+$I1142)*(1-$L1142),IF($B1142="6811",1+$I1142,1)))))))))</f>
        <v/>
      </c>
      <c r="P1142">
        <f>IF($A1142="","",IF($E1142=1,$F1142*$O1142,PNL!G1142))</f>
        <v/>
      </c>
      <c r="T1142">
        <f>IF($A1142="","",IF($E1142=1,IF(OR($B1142="7062",$B1142="706",$B1142="708"),$P1142,IF(AND(LEFT($B1142,1)="6",$B1142&lt;&gt;"6811"),-$P1142,0)),0))</f>
        <v/>
      </c>
    </row>
    <row r="1143">
      <c r="A1143">
        <f>IF(PNL!A1143="","",PNL!A1143)</f>
        <v/>
      </c>
      <c r="B1143">
        <f>IF(PNL!B1143="","",PNL!B1143)</f>
        <v/>
      </c>
      <c r="C1143">
        <f>IF(PNL!C1143="","",PNL!C1143)</f>
        <v/>
      </c>
      <c r="D1143">
        <f>IF(PNL!D1143="","",PNL!D1143)</f>
        <v/>
      </c>
      <c r="E1143">
        <f>IF($A1143="","",IF(AND($C1143="2027",OR($D1143="V01",$D1143="V02",$D1143="V03")),1,0))</f>
        <v/>
      </c>
      <c r="F1143">
        <f>IF($A1143="","",IF($E1143=1,SUMIFS(Comptabilité!$F$1:$F$675,Comptabilité!$A$1:$A$675,$A1143,Comptabilité!$B$1:$B$675,$B1143,Comptabilité!$C$1:$C$675,"2026"),0))</f>
        <v/>
      </c>
      <c r="G1143">
        <f>IF($A1143="","",IF($D1143="V01",Cadrage!$C$22,IF($D1143="V02",Cadrage!$D$22,Cadrage!$E$22)))</f>
        <v/>
      </c>
      <c r="H1143">
        <f>IF($A1143="","",IF($D1143="V01",Cadrage!$C$23,IF($D1143="V02",Cadrage!$D$23,Cadrage!$E$23)))</f>
        <v/>
      </c>
      <c r="I1143">
        <f>IF($A1143="","",IF($D1143="V01",Cadrage!$C$31,IF($D1143="V02",Cadrage!$D$31,Cadrage!$E$31)))</f>
        <v/>
      </c>
      <c r="J1143">
        <f>IF($A1143="","",IF($D1143="V01",Cadrage!$C$32,IF($D1143="V02",Cadrage!$D$32,Cadrage!$E$32)))</f>
        <v/>
      </c>
      <c r="K1143">
        <f>IF($A1143="","",IF($D1143="V01",Cadrage!$C$33,IF($D1143="V02",Cadrage!$D$33,Cadrage!$E$33)))</f>
        <v/>
      </c>
      <c r="L1143">
        <f>IF($A1143="","",IF($D1143="V01",Cadrage!$C$34,IF($D1143="V02",Cadrage!$D$34,Cadrage!$E$34)))</f>
        <v/>
      </c>
      <c r="M1143">
        <f>IF($A1143="","",IF($D1143="V01",Cadrage!$C$35,IF($D1143="V02",Cadrage!$D$35,Cadrage!$E$35)))</f>
        <v/>
      </c>
      <c r="N1143">
        <f>IF($A1143="","",IF($D1143="V01",$R$2,IF($D1143="V02",$R$3,$R$4)))</f>
        <v/>
      </c>
      <c r="O1143">
        <f>IF($A1143="","",IF(OR($B1143="7062",$B1143="706",$B1143="708"),$N1143,IF($B1143="6231",1+$G1143,IF($B1143="6236",1+$H1143,IF(OR($B1143="621",$B1143="604",$B1143="6063"),$N1143*(1-$L1143),IF(OR($B1143="6411",$B1143="6413",$B1143="6414",$B1143="645"),(1+$J1143)*(1+$K1143),IF(OR($B1143="613",$B1143="615",$B1143="616",$B1143="6226",$B1143="625",$B1143="626",$B1143="6281"),(1+$I1143)*(1-$L1143)*(1+$M1143),IF(OR($B1143="6331",$B1143="63511",$B1143="6333"),(1+$I1143)*(1-$L1143),IF($B1143="6811",1+$I1143,1)))))))))</f>
        <v/>
      </c>
      <c r="P1143">
        <f>IF($A1143="","",IF($E1143=1,$F1143*$O1143,PNL!G1143))</f>
        <v/>
      </c>
      <c r="T1143">
        <f>IF($A1143="","",IF($E1143=1,IF(OR($B1143="7062",$B1143="706",$B1143="708"),$P1143,IF(AND(LEFT($B1143,1)="6",$B1143&lt;&gt;"6811"),-$P1143,0)),0))</f>
        <v/>
      </c>
    </row>
    <row r="1144">
      <c r="A1144">
        <f>IF(PNL!A1144="","",PNL!A1144)</f>
        <v/>
      </c>
      <c r="B1144">
        <f>IF(PNL!B1144="","",PNL!B1144)</f>
        <v/>
      </c>
      <c r="C1144">
        <f>IF(PNL!C1144="","",PNL!C1144)</f>
        <v/>
      </c>
      <c r="D1144">
        <f>IF(PNL!D1144="","",PNL!D1144)</f>
        <v/>
      </c>
      <c r="E1144">
        <f>IF($A1144="","",IF(AND($C1144="2027",OR($D1144="V01",$D1144="V02",$D1144="V03")),1,0))</f>
        <v/>
      </c>
      <c r="F1144">
        <f>IF($A1144="","",IF($E1144=1,SUMIFS(Comptabilité!$F$1:$F$675,Comptabilité!$A$1:$A$675,$A1144,Comptabilité!$B$1:$B$675,$B1144,Comptabilité!$C$1:$C$675,"2026"),0))</f>
        <v/>
      </c>
      <c r="G1144">
        <f>IF($A1144="","",IF($D1144="V01",Cadrage!$C$22,IF($D1144="V02",Cadrage!$D$22,Cadrage!$E$22)))</f>
        <v/>
      </c>
      <c r="H1144">
        <f>IF($A1144="","",IF($D1144="V01",Cadrage!$C$23,IF($D1144="V02",Cadrage!$D$23,Cadrage!$E$23)))</f>
        <v/>
      </c>
      <c r="I1144">
        <f>IF($A1144="","",IF($D1144="V01",Cadrage!$C$31,IF($D1144="V02",Cadrage!$D$31,Cadrage!$E$31)))</f>
        <v/>
      </c>
      <c r="J1144">
        <f>IF($A1144="","",IF($D1144="V01",Cadrage!$C$32,IF($D1144="V02",Cadrage!$D$32,Cadrage!$E$32)))</f>
        <v/>
      </c>
      <c r="K1144">
        <f>IF($A1144="","",IF($D1144="V01",Cadrage!$C$33,IF($D1144="V02",Cadrage!$D$33,Cadrage!$E$33)))</f>
        <v/>
      </c>
      <c r="L1144">
        <f>IF($A1144="","",IF($D1144="V01",Cadrage!$C$34,IF($D1144="V02",Cadrage!$D$34,Cadrage!$E$34)))</f>
        <v/>
      </c>
      <c r="M1144">
        <f>IF($A1144="","",IF($D1144="V01",Cadrage!$C$35,IF($D1144="V02",Cadrage!$D$35,Cadrage!$E$35)))</f>
        <v/>
      </c>
      <c r="N1144">
        <f>IF($A1144="","",IF($D1144="V01",$R$2,IF($D1144="V02",$R$3,$R$4)))</f>
        <v/>
      </c>
      <c r="O1144">
        <f>IF($A1144="","",IF(OR($B1144="7062",$B1144="706",$B1144="708"),$N1144,IF($B1144="6231",1+$G1144,IF($B1144="6236",1+$H1144,IF(OR($B1144="621",$B1144="604",$B1144="6063"),$N1144*(1-$L1144),IF(OR($B1144="6411",$B1144="6413",$B1144="6414",$B1144="645"),(1+$J1144)*(1+$K1144),IF(OR($B1144="613",$B1144="615",$B1144="616",$B1144="6226",$B1144="625",$B1144="626",$B1144="6281"),(1+$I1144)*(1-$L1144)*(1+$M1144),IF(OR($B1144="6331",$B1144="63511",$B1144="6333"),(1+$I1144)*(1-$L1144),IF($B1144="6811",1+$I1144,1)))))))))</f>
        <v/>
      </c>
      <c r="P1144">
        <f>IF($A1144="","",IF($E1144=1,$F1144*$O1144,PNL!G1144))</f>
        <v/>
      </c>
      <c r="T1144">
        <f>IF($A1144="","",IF($E1144=1,IF(OR($B1144="7062",$B1144="706",$B1144="708"),$P1144,IF(AND(LEFT($B1144,1)="6",$B1144&lt;&gt;"6811"),-$P1144,0)),0))</f>
        <v/>
      </c>
    </row>
    <row r="1145">
      <c r="A1145">
        <f>IF(PNL!A1145="","",PNL!A1145)</f>
        <v/>
      </c>
      <c r="B1145">
        <f>IF(PNL!B1145="","",PNL!B1145)</f>
        <v/>
      </c>
      <c r="C1145">
        <f>IF(PNL!C1145="","",PNL!C1145)</f>
        <v/>
      </c>
      <c r="D1145">
        <f>IF(PNL!D1145="","",PNL!D1145)</f>
        <v/>
      </c>
      <c r="E1145">
        <f>IF($A1145="","",IF(AND($C1145="2027",OR($D1145="V01",$D1145="V02",$D1145="V03")),1,0))</f>
        <v/>
      </c>
      <c r="F1145">
        <f>IF($A1145="","",IF($E1145=1,SUMIFS(Comptabilité!$F$1:$F$675,Comptabilité!$A$1:$A$675,$A1145,Comptabilité!$B$1:$B$675,$B1145,Comptabilité!$C$1:$C$675,"2026"),0))</f>
        <v/>
      </c>
      <c r="G1145">
        <f>IF($A1145="","",IF($D1145="V01",Cadrage!$C$22,IF($D1145="V02",Cadrage!$D$22,Cadrage!$E$22)))</f>
        <v/>
      </c>
      <c r="H1145">
        <f>IF($A1145="","",IF($D1145="V01",Cadrage!$C$23,IF($D1145="V02",Cadrage!$D$23,Cadrage!$E$23)))</f>
        <v/>
      </c>
      <c r="I1145">
        <f>IF($A1145="","",IF($D1145="V01",Cadrage!$C$31,IF($D1145="V02",Cadrage!$D$31,Cadrage!$E$31)))</f>
        <v/>
      </c>
      <c r="J1145">
        <f>IF($A1145="","",IF($D1145="V01",Cadrage!$C$32,IF($D1145="V02",Cadrage!$D$32,Cadrage!$E$32)))</f>
        <v/>
      </c>
      <c r="K1145">
        <f>IF($A1145="","",IF($D1145="V01",Cadrage!$C$33,IF($D1145="V02",Cadrage!$D$33,Cadrage!$E$33)))</f>
        <v/>
      </c>
      <c r="L1145">
        <f>IF($A1145="","",IF($D1145="V01",Cadrage!$C$34,IF($D1145="V02",Cadrage!$D$34,Cadrage!$E$34)))</f>
        <v/>
      </c>
      <c r="M1145">
        <f>IF($A1145="","",IF($D1145="V01",Cadrage!$C$35,IF($D1145="V02",Cadrage!$D$35,Cadrage!$E$35)))</f>
        <v/>
      </c>
      <c r="N1145">
        <f>IF($A1145="","",IF($D1145="V01",$R$2,IF($D1145="V02",$R$3,$R$4)))</f>
        <v/>
      </c>
      <c r="O1145">
        <f>IF($A1145="","",IF(OR($B1145="7062",$B1145="706",$B1145="708"),$N1145,IF($B1145="6231",1+$G1145,IF($B1145="6236",1+$H1145,IF(OR($B1145="621",$B1145="604",$B1145="6063"),$N1145*(1-$L1145),IF(OR($B1145="6411",$B1145="6413",$B1145="6414",$B1145="645"),(1+$J1145)*(1+$K1145),IF(OR($B1145="613",$B1145="615",$B1145="616",$B1145="6226",$B1145="625",$B1145="626",$B1145="6281"),(1+$I1145)*(1-$L1145)*(1+$M1145),IF(OR($B1145="6331",$B1145="63511",$B1145="6333"),(1+$I1145)*(1-$L1145),IF($B1145="6811",1+$I1145,1)))))))))</f>
        <v/>
      </c>
      <c r="P1145">
        <f>IF($A1145="","",IF($E1145=1,$F1145*$O1145,PNL!G1145))</f>
        <v/>
      </c>
      <c r="T1145">
        <f>IF($A1145="","",IF($E1145=1,IF(OR($B1145="7062",$B1145="706",$B1145="708"),$P1145,IF(AND(LEFT($B1145,1)="6",$B1145&lt;&gt;"6811"),-$P1145,0)),0))</f>
        <v/>
      </c>
    </row>
    <row r="1146">
      <c r="A1146">
        <f>IF(PNL!A1146="","",PNL!A1146)</f>
        <v/>
      </c>
      <c r="B1146">
        <f>IF(PNL!B1146="","",PNL!B1146)</f>
        <v/>
      </c>
      <c r="C1146">
        <f>IF(PNL!C1146="","",PNL!C1146)</f>
        <v/>
      </c>
      <c r="D1146">
        <f>IF(PNL!D1146="","",PNL!D1146)</f>
        <v/>
      </c>
      <c r="E1146">
        <f>IF($A1146="","",IF(AND($C1146="2027",OR($D1146="V01",$D1146="V02",$D1146="V03")),1,0))</f>
        <v/>
      </c>
      <c r="F1146">
        <f>IF($A1146="","",IF($E1146=1,SUMIFS(Comptabilité!$F$1:$F$675,Comptabilité!$A$1:$A$675,$A1146,Comptabilité!$B$1:$B$675,$B1146,Comptabilité!$C$1:$C$675,"2026"),0))</f>
        <v/>
      </c>
      <c r="G1146">
        <f>IF($A1146="","",IF($D1146="V01",Cadrage!$C$22,IF($D1146="V02",Cadrage!$D$22,Cadrage!$E$22)))</f>
        <v/>
      </c>
      <c r="H1146">
        <f>IF($A1146="","",IF($D1146="V01",Cadrage!$C$23,IF($D1146="V02",Cadrage!$D$23,Cadrage!$E$23)))</f>
        <v/>
      </c>
      <c r="I1146">
        <f>IF($A1146="","",IF($D1146="V01",Cadrage!$C$31,IF($D1146="V02",Cadrage!$D$31,Cadrage!$E$31)))</f>
        <v/>
      </c>
      <c r="J1146">
        <f>IF($A1146="","",IF($D1146="V01",Cadrage!$C$32,IF($D1146="V02",Cadrage!$D$32,Cadrage!$E$32)))</f>
        <v/>
      </c>
      <c r="K1146">
        <f>IF($A1146="","",IF($D1146="V01",Cadrage!$C$33,IF($D1146="V02",Cadrage!$D$33,Cadrage!$E$33)))</f>
        <v/>
      </c>
      <c r="L1146">
        <f>IF($A1146="","",IF($D1146="V01",Cadrage!$C$34,IF($D1146="V02",Cadrage!$D$34,Cadrage!$E$34)))</f>
        <v/>
      </c>
      <c r="M1146">
        <f>IF($A1146="","",IF($D1146="V01",Cadrage!$C$35,IF($D1146="V02",Cadrage!$D$35,Cadrage!$E$35)))</f>
        <v/>
      </c>
      <c r="N1146">
        <f>IF($A1146="","",IF($D1146="V01",$R$2,IF($D1146="V02",$R$3,$R$4)))</f>
        <v/>
      </c>
      <c r="O1146">
        <f>IF($A1146="","",IF(OR($B1146="7062",$B1146="706",$B1146="708"),$N1146,IF($B1146="6231",1+$G1146,IF($B1146="6236",1+$H1146,IF(OR($B1146="621",$B1146="604",$B1146="6063"),$N1146*(1-$L1146),IF(OR($B1146="6411",$B1146="6413",$B1146="6414",$B1146="645"),(1+$J1146)*(1+$K1146),IF(OR($B1146="613",$B1146="615",$B1146="616",$B1146="6226",$B1146="625",$B1146="626",$B1146="6281"),(1+$I1146)*(1-$L1146)*(1+$M1146),IF(OR($B1146="6331",$B1146="63511",$B1146="6333"),(1+$I1146)*(1-$L1146),IF($B1146="6811",1+$I1146,1)))))))))</f>
        <v/>
      </c>
      <c r="P1146">
        <f>IF($A1146="","",IF($E1146=1,$F1146*$O1146,PNL!G1146))</f>
        <v/>
      </c>
      <c r="T1146">
        <f>IF($A1146="","",IF($E1146=1,IF(OR($B1146="7062",$B1146="706",$B1146="708"),$P1146,IF(AND(LEFT($B1146,1)="6",$B1146&lt;&gt;"6811"),-$P1146,0)),0))</f>
        <v/>
      </c>
    </row>
    <row r="1147">
      <c r="A1147">
        <f>IF(PNL!A1147="","",PNL!A1147)</f>
        <v/>
      </c>
      <c r="B1147">
        <f>IF(PNL!B1147="","",PNL!B1147)</f>
        <v/>
      </c>
      <c r="C1147">
        <f>IF(PNL!C1147="","",PNL!C1147)</f>
        <v/>
      </c>
      <c r="D1147">
        <f>IF(PNL!D1147="","",PNL!D1147)</f>
        <v/>
      </c>
      <c r="E1147">
        <f>IF($A1147="","",IF(AND($C1147="2027",OR($D1147="V01",$D1147="V02",$D1147="V03")),1,0))</f>
        <v/>
      </c>
      <c r="F1147">
        <f>IF($A1147="","",IF($E1147=1,SUMIFS(Comptabilité!$F$1:$F$675,Comptabilité!$A$1:$A$675,$A1147,Comptabilité!$B$1:$B$675,$B1147,Comptabilité!$C$1:$C$675,"2026"),0))</f>
        <v/>
      </c>
      <c r="G1147">
        <f>IF($A1147="","",IF($D1147="V01",Cadrage!$C$22,IF($D1147="V02",Cadrage!$D$22,Cadrage!$E$22)))</f>
        <v/>
      </c>
      <c r="H1147">
        <f>IF($A1147="","",IF($D1147="V01",Cadrage!$C$23,IF($D1147="V02",Cadrage!$D$23,Cadrage!$E$23)))</f>
        <v/>
      </c>
      <c r="I1147">
        <f>IF($A1147="","",IF($D1147="V01",Cadrage!$C$31,IF($D1147="V02",Cadrage!$D$31,Cadrage!$E$31)))</f>
        <v/>
      </c>
      <c r="J1147">
        <f>IF($A1147="","",IF($D1147="V01",Cadrage!$C$32,IF($D1147="V02",Cadrage!$D$32,Cadrage!$E$32)))</f>
        <v/>
      </c>
      <c r="K1147">
        <f>IF($A1147="","",IF($D1147="V01",Cadrage!$C$33,IF($D1147="V02",Cadrage!$D$33,Cadrage!$E$33)))</f>
        <v/>
      </c>
      <c r="L1147">
        <f>IF($A1147="","",IF($D1147="V01",Cadrage!$C$34,IF($D1147="V02",Cadrage!$D$34,Cadrage!$E$34)))</f>
        <v/>
      </c>
      <c r="M1147">
        <f>IF($A1147="","",IF($D1147="V01",Cadrage!$C$35,IF($D1147="V02",Cadrage!$D$35,Cadrage!$E$35)))</f>
        <v/>
      </c>
      <c r="N1147">
        <f>IF($A1147="","",IF($D1147="V01",$R$2,IF($D1147="V02",$R$3,$R$4)))</f>
        <v/>
      </c>
      <c r="O1147">
        <f>IF($A1147="","",IF(OR($B1147="7062",$B1147="706",$B1147="708"),$N1147,IF($B1147="6231",1+$G1147,IF($B1147="6236",1+$H1147,IF(OR($B1147="621",$B1147="604",$B1147="6063"),$N1147*(1-$L1147),IF(OR($B1147="6411",$B1147="6413",$B1147="6414",$B1147="645"),(1+$J1147)*(1+$K1147),IF(OR($B1147="613",$B1147="615",$B1147="616",$B1147="6226",$B1147="625",$B1147="626",$B1147="6281"),(1+$I1147)*(1-$L1147)*(1+$M1147),IF(OR($B1147="6331",$B1147="63511",$B1147="6333"),(1+$I1147)*(1-$L1147),IF($B1147="6811",1+$I1147,1)))))))))</f>
        <v/>
      </c>
      <c r="P1147">
        <f>IF($A1147="","",IF($E1147=1,$F1147*$O1147,PNL!G1147))</f>
        <v/>
      </c>
      <c r="T1147">
        <f>IF($A1147="","",IF($E1147=1,IF(OR($B1147="7062",$B1147="706",$B1147="708"),$P1147,IF(AND(LEFT($B1147,1)="6",$B1147&lt;&gt;"6811"),-$P1147,0)),0))</f>
        <v/>
      </c>
    </row>
    <row r="1148">
      <c r="A1148">
        <f>IF(PNL!A1148="","",PNL!A1148)</f>
        <v/>
      </c>
      <c r="B1148">
        <f>IF(PNL!B1148="","",PNL!B1148)</f>
        <v/>
      </c>
      <c r="C1148">
        <f>IF(PNL!C1148="","",PNL!C1148)</f>
        <v/>
      </c>
      <c r="D1148">
        <f>IF(PNL!D1148="","",PNL!D1148)</f>
        <v/>
      </c>
      <c r="E1148">
        <f>IF($A1148="","",IF(AND($C1148="2027",OR($D1148="V01",$D1148="V02",$D1148="V03")),1,0))</f>
        <v/>
      </c>
      <c r="F1148">
        <f>IF($A1148="","",IF($E1148=1,SUMIFS(Comptabilité!$F$1:$F$675,Comptabilité!$A$1:$A$675,$A1148,Comptabilité!$B$1:$B$675,$B1148,Comptabilité!$C$1:$C$675,"2026"),0))</f>
        <v/>
      </c>
      <c r="G1148">
        <f>IF($A1148="","",IF($D1148="V01",Cadrage!$C$22,IF($D1148="V02",Cadrage!$D$22,Cadrage!$E$22)))</f>
        <v/>
      </c>
      <c r="H1148">
        <f>IF($A1148="","",IF($D1148="V01",Cadrage!$C$23,IF($D1148="V02",Cadrage!$D$23,Cadrage!$E$23)))</f>
        <v/>
      </c>
      <c r="I1148">
        <f>IF($A1148="","",IF($D1148="V01",Cadrage!$C$31,IF($D1148="V02",Cadrage!$D$31,Cadrage!$E$31)))</f>
        <v/>
      </c>
      <c r="J1148">
        <f>IF($A1148="","",IF($D1148="V01",Cadrage!$C$32,IF($D1148="V02",Cadrage!$D$32,Cadrage!$E$32)))</f>
        <v/>
      </c>
      <c r="K1148">
        <f>IF($A1148="","",IF($D1148="V01",Cadrage!$C$33,IF($D1148="V02",Cadrage!$D$33,Cadrage!$E$33)))</f>
        <v/>
      </c>
      <c r="L1148">
        <f>IF($A1148="","",IF($D1148="V01",Cadrage!$C$34,IF($D1148="V02",Cadrage!$D$34,Cadrage!$E$34)))</f>
        <v/>
      </c>
      <c r="M1148">
        <f>IF($A1148="","",IF($D1148="V01",Cadrage!$C$35,IF($D1148="V02",Cadrage!$D$35,Cadrage!$E$35)))</f>
        <v/>
      </c>
      <c r="N1148">
        <f>IF($A1148="","",IF($D1148="V01",$R$2,IF($D1148="V02",$R$3,$R$4)))</f>
        <v/>
      </c>
      <c r="O1148">
        <f>IF($A1148="","",IF(OR($B1148="7062",$B1148="706",$B1148="708"),$N1148,IF($B1148="6231",1+$G1148,IF($B1148="6236",1+$H1148,IF(OR($B1148="621",$B1148="604",$B1148="6063"),$N1148*(1-$L1148),IF(OR($B1148="6411",$B1148="6413",$B1148="6414",$B1148="645"),(1+$J1148)*(1+$K1148),IF(OR($B1148="613",$B1148="615",$B1148="616",$B1148="6226",$B1148="625",$B1148="626",$B1148="6281"),(1+$I1148)*(1-$L1148)*(1+$M1148),IF(OR($B1148="6331",$B1148="63511",$B1148="6333"),(1+$I1148)*(1-$L1148),IF($B1148="6811",1+$I1148,1)))))))))</f>
        <v/>
      </c>
      <c r="P1148">
        <f>IF($A1148="","",IF($E1148=1,$F1148*$O1148,PNL!G1148))</f>
        <v/>
      </c>
      <c r="T1148">
        <f>IF($A1148="","",IF($E1148=1,IF(OR($B1148="7062",$B1148="706",$B1148="708"),$P1148,IF(AND(LEFT($B1148,1)="6",$B1148&lt;&gt;"6811"),-$P1148,0)),0))</f>
        <v/>
      </c>
    </row>
    <row r="1149">
      <c r="A1149">
        <f>IF(PNL!A1149="","",PNL!A1149)</f>
        <v/>
      </c>
      <c r="B1149">
        <f>IF(PNL!B1149="","",PNL!B1149)</f>
        <v/>
      </c>
      <c r="C1149">
        <f>IF(PNL!C1149="","",PNL!C1149)</f>
        <v/>
      </c>
      <c r="D1149">
        <f>IF(PNL!D1149="","",PNL!D1149)</f>
        <v/>
      </c>
      <c r="E1149">
        <f>IF($A1149="","",IF(AND($C1149="2027",OR($D1149="V01",$D1149="V02",$D1149="V03")),1,0))</f>
        <v/>
      </c>
      <c r="F1149">
        <f>IF($A1149="","",IF($E1149=1,SUMIFS(Comptabilité!$F$1:$F$675,Comptabilité!$A$1:$A$675,$A1149,Comptabilité!$B$1:$B$675,$B1149,Comptabilité!$C$1:$C$675,"2026"),0))</f>
        <v/>
      </c>
      <c r="G1149">
        <f>IF($A1149="","",IF($D1149="V01",Cadrage!$C$22,IF($D1149="V02",Cadrage!$D$22,Cadrage!$E$22)))</f>
        <v/>
      </c>
      <c r="H1149">
        <f>IF($A1149="","",IF($D1149="V01",Cadrage!$C$23,IF($D1149="V02",Cadrage!$D$23,Cadrage!$E$23)))</f>
        <v/>
      </c>
      <c r="I1149">
        <f>IF($A1149="","",IF($D1149="V01",Cadrage!$C$31,IF($D1149="V02",Cadrage!$D$31,Cadrage!$E$31)))</f>
        <v/>
      </c>
      <c r="J1149">
        <f>IF($A1149="","",IF($D1149="V01",Cadrage!$C$32,IF($D1149="V02",Cadrage!$D$32,Cadrage!$E$32)))</f>
        <v/>
      </c>
      <c r="K1149">
        <f>IF($A1149="","",IF($D1149="V01",Cadrage!$C$33,IF($D1149="V02",Cadrage!$D$33,Cadrage!$E$33)))</f>
        <v/>
      </c>
      <c r="L1149">
        <f>IF($A1149="","",IF($D1149="V01",Cadrage!$C$34,IF($D1149="V02",Cadrage!$D$34,Cadrage!$E$34)))</f>
        <v/>
      </c>
      <c r="M1149">
        <f>IF($A1149="","",IF($D1149="V01",Cadrage!$C$35,IF($D1149="V02",Cadrage!$D$35,Cadrage!$E$35)))</f>
        <v/>
      </c>
      <c r="N1149">
        <f>IF($A1149="","",IF($D1149="V01",$R$2,IF($D1149="V02",$R$3,$R$4)))</f>
        <v/>
      </c>
      <c r="O1149">
        <f>IF($A1149="","",IF(OR($B1149="7062",$B1149="706",$B1149="708"),$N1149,IF($B1149="6231",1+$G1149,IF($B1149="6236",1+$H1149,IF(OR($B1149="621",$B1149="604",$B1149="6063"),$N1149*(1-$L1149),IF(OR($B1149="6411",$B1149="6413",$B1149="6414",$B1149="645"),(1+$J1149)*(1+$K1149),IF(OR($B1149="613",$B1149="615",$B1149="616",$B1149="6226",$B1149="625",$B1149="626",$B1149="6281"),(1+$I1149)*(1-$L1149)*(1+$M1149),IF(OR($B1149="6331",$B1149="63511",$B1149="6333"),(1+$I1149)*(1-$L1149),IF($B1149="6811",1+$I1149,1)))))))))</f>
        <v/>
      </c>
      <c r="P1149">
        <f>IF($A1149="","",IF($E1149=1,$F1149*$O1149,PNL!G1149))</f>
        <v/>
      </c>
      <c r="T1149">
        <f>IF($A1149="","",IF($E1149=1,IF(OR($B1149="7062",$B1149="706",$B1149="708"),$P1149,IF(AND(LEFT($B1149,1)="6",$B1149&lt;&gt;"6811"),-$P1149,0)),0))</f>
        <v/>
      </c>
    </row>
    <row r="1150">
      <c r="A1150">
        <f>IF(PNL!A1150="","",PNL!A1150)</f>
        <v/>
      </c>
      <c r="B1150">
        <f>IF(PNL!B1150="","",PNL!B1150)</f>
        <v/>
      </c>
      <c r="C1150">
        <f>IF(PNL!C1150="","",PNL!C1150)</f>
        <v/>
      </c>
      <c r="D1150">
        <f>IF(PNL!D1150="","",PNL!D1150)</f>
        <v/>
      </c>
      <c r="E1150">
        <f>IF($A1150="","",IF(AND($C1150="2027",OR($D1150="V01",$D1150="V02",$D1150="V03")),1,0))</f>
        <v/>
      </c>
      <c r="F1150">
        <f>IF($A1150="","",IF($E1150=1,SUMIFS(Comptabilité!$F$1:$F$675,Comptabilité!$A$1:$A$675,$A1150,Comptabilité!$B$1:$B$675,$B1150,Comptabilité!$C$1:$C$675,"2026"),0))</f>
        <v/>
      </c>
      <c r="G1150">
        <f>IF($A1150="","",IF($D1150="V01",Cadrage!$C$22,IF($D1150="V02",Cadrage!$D$22,Cadrage!$E$22)))</f>
        <v/>
      </c>
      <c r="H1150">
        <f>IF($A1150="","",IF($D1150="V01",Cadrage!$C$23,IF($D1150="V02",Cadrage!$D$23,Cadrage!$E$23)))</f>
        <v/>
      </c>
      <c r="I1150">
        <f>IF($A1150="","",IF($D1150="V01",Cadrage!$C$31,IF($D1150="V02",Cadrage!$D$31,Cadrage!$E$31)))</f>
        <v/>
      </c>
      <c r="J1150">
        <f>IF($A1150="","",IF($D1150="V01",Cadrage!$C$32,IF($D1150="V02",Cadrage!$D$32,Cadrage!$E$32)))</f>
        <v/>
      </c>
      <c r="K1150">
        <f>IF($A1150="","",IF($D1150="V01",Cadrage!$C$33,IF($D1150="V02",Cadrage!$D$33,Cadrage!$E$33)))</f>
        <v/>
      </c>
      <c r="L1150">
        <f>IF($A1150="","",IF($D1150="V01",Cadrage!$C$34,IF($D1150="V02",Cadrage!$D$34,Cadrage!$E$34)))</f>
        <v/>
      </c>
      <c r="M1150">
        <f>IF($A1150="","",IF($D1150="V01",Cadrage!$C$35,IF($D1150="V02",Cadrage!$D$35,Cadrage!$E$35)))</f>
        <v/>
      </c>
      <c r="N1150">
        <f>IF($A1150="","",IF($D1150="V01",$R$2,IF($D1150="V02",$R$3,$R$4)))</f>
        <v/>
      </c>
      <c r="O1150">
        <f>IF($A1150="","",IF(OR($B1150="7062",$B1150="706",$B1150="708"),$N1150,IF($B1150="6231",1+$G1150,IF($B1150="6236",1+$H1150,IF(OR($B1150="621",$B1150="604",$B1150="6063"),$N1150*(1-$L1150),IF(OR($B1150="6411",$B1150="6413",$B1150="6414",$B1150="645"),(1+$J1150)*(1+$K1150),IF(OR($B1150="613",$B1150="615",$B1150="616",$B1150="6226",$B1150="625",$B1150="626",$B1150="6281"),(1+$I1150)*(1-$L1150)*(1+$M1150),IF(OR($B1150="6331",$B1150="63511",$B1150="6333"),(1+$I1150)*(1-$L1150),IF($B1150="6811",1+$I1150,1)))))))))</f>
        <v/>
      </c>
      <c r="P1150">
        <f>IF($A1150="","",IF($E1150=1,$F1150*$O1150,PNL!G1150))</f>
        <v/>
      </c>
      <c r="T1150">
        <f>IF($A1150="","",IF($E1150=1,IF(OR($B1150="7062",$B1150="706",$B1150="708"),$P1150,IF(AND(LEFT($B1150,1)="6",$B1150&lt;&gt;"6811"),-$P1150,0)),0))</f>
        <v/>
      </c>
    </row>
    <row r="1151">
      <c r="A1151">
        <f>IF(PNL!A1151="","",PNL!A1151)</f>
        <v/>
      </c>
      <c r="B1151">
        <f>IF(PNL!B1151="","",PNL!B1151)</f>
        <v/>
      </c>
      <c r="C1151">
        <f>IF(PNL!C1151="","",PNL!C1151)</f>
        <v/>
      </c>
      <c r="D1151">
        <f>IF(PNL!D1151="","",PNL!D1151)</f>
        <v/>
      </c>
      <c r="E1151">
        <f>IF($A1151="","",IF(AND($C1151="2027",OR($D1151="V01",$D1151="V02",$D1151="V03")),1,0))</f>
        <v/>
      </c>
      <c r="F1151">
        <f>IF($A1151="","",IF($E1151=1,SUMIFS(Comptabilité!$F$1:$F$675,Comptabilité!$A$1:$A$675,$A1151,Comptabilité!$B$1:$B$675,$B1151,Comptabilité!$C$1:$C$675,"2026"),0))</f>
        <v/>
      </c>
      <c r="G1151">
        <f>IF($A1151="","",IF($D1151="V01",Cadrage!$C$22,IF($D1151="V02",Cadrage!$D$22,Cadrage!$E$22)))</f>
        <v/>
      </c>
      <c r="H1151">
        <f>IF($A1151="","",IF($D1151="V01",Cadrage!$C$23,IF($D1151="V02",Cadrage!$D$23,Cadrage!$E$23)))</f>
        <v/>
      </c>
      <c r="I1151">
        <f>IF($A1151="","",IF($D1151="V01",Cadrage!$C$31,IF($D1151="V02",Cadrage!$D$31,Cadrage!$E$31)))</f>
        <v/>
      </c>
      <c r="J1151">
        <f>IF($A1151="","",IF($D1151="V01",Cadrage!$C$32,IF($D1151="V02",Cadrage!$D$32,Cadrage!$E$32)))</f>
        <v/>
      </c>
      <c r="K1151">
        <f>IF($A1151="","",IF($D1151="V01",Cadrage!$C$33,IF($D1151="V02",Cadrage!$D$33,Cadrage!$E$33)))</f>
        <v/>
      </c>
      <c r="L1151">
        <f>IF($A1151="","",IF($D1151="V01",Cadrage!$C$34,IF($D1151="V02",Cadrage!$D$34,Cadrage!$E$34)))</f>
        <v/>
      </c>
      <c r="M1151">
        <f>IF($A1151="","",IF($D1151="V01",Cadrage!$C$35,IF($D1151="V02",Cadrage!$D$35,Cadrage!$E$35)))</f>
        <v/>
      </c>
      <c r="N1151">
        <f>IF($A1151="","",IF($D1151="V01",$R$2,IF($D1151="V02",$R$3,$R$4)))</f>
        <v/>
      </c>
      <c r="O1151">
        <f>IF($A1151="","",IF(OR($B1151="7062",$B1151="706",$B1151="708"),$N1151,IF($B1151="6231",1+$G1151,IF($B1151="6236",1+$H1151,IF(OR($B1151="621",$B1151="604",$B1151="6063"),$N1151*(1-$L1151),IF(OR($B1151="6411",$B1151="6413",$B1151="6414",$B1151="645"),(1+$J1151)*(1+$K1151),IF(OR($B1151="613",$B1151="615",$B1151="616",$B1151="6226",$B1151="625",$B1151="626",$B1151="6281"),(1+$I1151)*(1-$L1151)*(1+$M1151),IF(OR($B1151="6331",$B1151="63511",$B1151="6333"),(1+$I1151)*(1-$L1151),IF($B1151="6811",1+$I1151,1)))))))))</f>
        <v/>
      </c>
      <c r="P1151">
        <f>IF($A1151="","",IF($E1151=1,$F1151*$O1151,PNL!G1151))</f>
        <v/>
      </c>
      <c r="T1151">
        <f>IF($A1151="","",IF($E1151=1,IF(OR($B1151="7062",$B1151="706",$B1151="708"),$P1151,IF(AND(LEFT($B1151,1)="6",$B1151&lt;&gt;"6811"),-$P1151,0)),0))</f>
        <v/>
      </c>
    </row>
    <row r="1152">
      <c r="A1152">
        <f>IF(PNL!A1152="","",PNL!A1152)</f>
        <v/>
      </c>
      <c r="B1152">
        <f>IF(PNL!B1152="","",PNL!B1152)</f>
        <v/>
      </c>
      <c r="C1152">
        <f>IF(PNL!C1152="","",PNL!C1152)</f>
        <v/>
      </c>
      <c r="D1152">
        <f>IF(PNL!D1152="","",PNL!D1152)</f>
        <v/>
      </c>
      <c r="E1152">
        <f>IF($A1152="","",IF(AND($C1152="2027",OR($D1152="V01",$D1152="V02",$D1152="V03")),1,0))</f>
        <v/>
      </c>
      <c r="F1152">
        <f>IF($A1152="","",IF($E1152=1,SUMIFS(Comptabilité!$F$1:$F$675,Comptabilité!$A$1:$A$675,$A1152,Comptabilité!$B$1:$B$675,$B1152,Comptabilité!$C$1:$C$675,"2026"),0))</f>
        <v/>
      </c>
      <c r="G1152">
        <f>IF($A1152="","",IF($D1152="V01",Cadrage!$C$22,IF($D1152="V02",Cadrage!$D$22,Cadrage!$E$22)))</f>
        <v/>
      </c>
      <c r="H1152">
        <f>IF($A1152="","",IF($D1152="V01",Cadrage!$C$23,IF($D1152="V02",Cadrage!$D$23,Cadrage!$E$23)))</f>
        <v/>
      </c>
      <c r="I1152">
        <f>IF($A1152="","",IF($D1152="V01",Cadrage!$C$31,IF($D1152="V02",Cadrage!$D$31,Cadrage!$E$31)))</f>
        <v/>
      </c>
      <c r="J1152">
        <f>IF($A1152="","",IF($D1152="V01",Cadrage!$C$32,IF($D1152="V02",Cadrage!$D$32,Cadrage!$E$32)))</f>
        <v/>
      </c>
      <c r="K1152">
        <f>IF($A1152="","",IF($D1152="V01",Cadrage!$C$33,IF($D1152="V02",Cadrage!$D$33,Cadrage!$E$33)))</f>
        <v/>
      </c>
      <c r="L1152">
        <f>IF($A1152="","",IF($D1152="V01",Cadrage!$C$34,IF($D1152="V02",Cadrage!$D$34,Cadrage!$E$34)))</f>
        <v/>
      </c>
      <c r="M1152">
        <f>IF($A1152="","",IF($D1152="V01",Cadrage!$C$35,IF($D1152="V02",Cadrage!$D$35,Cadrage!$E$35)))</f>
        <v/>
      </c>
      <c r="N1152">
        <f>IF($A1152="","",IF($D1152="V01",$R$2,IF($D1152="V02",$R$3,$R$4)))</f>
        <v/>
      </c>
      <c r="O1152">
        <f>IF($A1152="","",IF(OR($B1152="7062",$B1152="706",$B1152="708"),$N1152,IF($B1152="6231",1+$G1152,IF($B1152="6236",1+$H1152,IF(OR($B1152="621",$B1152="604",$B1152="6063"),$N1152*(1-$L1152),IF(OR($B1152="6411",$B1152="6413",$B1152="6414",$B1152="645"),(1+$J1152)*(1+$K1152),IF(OR($B1152="613",$B1152="615",$B1152="616",$B1152="6226",$B1152="625",$B1152="626",$B1152="6281"),(1+$I1152)*(1-$L1152)*(1+$M1152),IF(OR($B1152="6331",$B1152="63511",$B1152="6333"),(1+$I1152)*(1-$L1152),IF($B1152="6811",1+$I1152,1)))))))))</f>
        <v/>
      </c>
      <c r="P1152">
        <f>IF($A1152="","",IF($E1152=1,$F1152*$O1152,PNL!G1152))</f>
        <v/>
      </c>
      <c r="T1152">
        <f>IF($A1152="","",IF($E1152=1,IF(OR($B1152="7062",$B1152="706",$B1152="708"),$P1152,IF(AND(LEFT($B1152,1)="6",$B1152&lt;&gt;"6811"),-$P1152,0)),0))</f>
        <v/>
      </c>
    </row>
    <row r="1153">
      <c r="A1153">
        <f>IF(PNL!A1153="","",PNL!A1153)</f>
        <v/>
      </c>
      <c r="B1153">
        <f>IF(PNL!B1153="","",PNL!B1153)</f>
        <v/>
      </c>
      <c r="C1153">
        <f>IF(PNL!C1153="","",PNL!C1153)</f>
        <v/>
      </c>
      <c r="D1153">
        <f>IF(PNL!D1153="","",PNL!D1153)</f>
        <v/>
      </c>
      <c r="E1153">
        <f>IF($A1153="","",IF(AND($C1153="2027",OR($D1153="V01",$D1153="V02",$D1153="V03")),1,0))</f>
        <v/>
      </c>
      <c r="F1153">
        <f>IF($A1153="","",IF($E1153=1,SUMIFS(Comptabilité!$F$1:$F$675,Comptabilité!$A$1:$A$675,$A1153,Comptabilité!$B$1:$B$675,$B1153,Comptabilité!$C$1:$C$675,"2026"),0))</f>
        <v/>
      </c>
      <c r="G1153">
        <f>IF($A1153="","",IF($D1153="V01",Cadrage!$C$22,IF($D1153="V02",Cadrage!$D$22,Cadrage!$E$22)))</f>
        <v/>
      </c>
      <c r="H1153">
        <f>IF($A1153="","",IF($D1153="V01",Cadrage!$C$23,IF($D1153="V02",Cadrage!$D$23,Cadrage!$E$23)))</f>
        <v/>
      </c>
      <c r="I1153">
        <f>IF($A1153="","",IF($D1153="V01",Cadrage!$C$31,IF($D1153="V02",Cadrage!$D$31,Cadrage!$E$31)))</f>
        <v/>
      </c>
      <c r="J1153">
        <f>IF($A1153="","",IF($D1153="V01",Cadrage!$C$32,IF($D1153="V02",Cadrage!$D$32,Cadrage!$E$32)))</f>
        <v/>
      </c>
      <c r="K1153">
        <f>IF($A1153="","",IF($D1153="V01",Cadrage!$C$33,IF($D1153="V02",Cadrage!$D$33,Cadrage!$E$33)))</f>
        <v/>
      </c>
      <c r="L1153">
        <f>IF($A1153="","",IF($D1153="V01",Cadrage!$C$34,IF($D1153="V02",Cadrage!$D$34,Cadrage!$E$34)))</f>
        <v/>
      </c>
      <c r="M1153">
        <f>IF($A1153="","",IF($D1153="V01",Cadrage!$C$35,IF($D1153="V02",Cadrage!$D$35,Cadrage!$E$35)))</f>
        <v/>
      </c>
      <c r="N1153">
        <f>IF($A1153="","",IF($D1153="V01",$R$2,IF($D1153="V02",$R$3,$R$4)))</f>
        <v/>
      </c>
      <c r="O1153">
        <f>IF($A1153="","",IF(OR($B1153="7062",$B1153="706",$B1153="708"),$N1153,IF($B1153="6231",1+$G1153,IF($B1153="6236",1+$H1153,IF(OR($B1153="621",$B1153="604",$B1153="6063"),$N1153*(1-$L1153),IF(OR($B1153="6411",$B1153="6413",$B1153="6414",$B1153="645"),(1+$J1153)*(1+$K1153),IF(OR($B1153="613",$B1153="615",$B1153="616",$B1153="6226",$B1153="625",$B1153="626",$B1153="6281"),(1+$I1153)*(1-$L1153)*(1+$M1153),IF(OR($B1153="6331",$B1153="63511",$B1153="6333"),(1+$I1153)*(1-$L1153),IF($B1153="6811",1+$I1153,1)))))))))</f>
        <v/>
      </c>
      <c r="P1153">
        <f>IF($A1153="","",IF($E1153=1,$F1153*$O1153,PNL!G1153))</f>
        <v/>
      </c>
      <c r="T1153">
        <f>IF($A1153="","",IF($E1153=1,IF(OR($B1153="7062",$B1153="706",$B1153="708"),$P1153,IF(AND(LEFT($B1153,1)="6",$B1153&lt;&gt;"6811"),-$P1153,0)),0))</f>
        <v/>
      </c>
    </row>
    <row r="1154">
      <c r="A1154">
        <f>IF(PNL!A1154="","",PNL!A1154)</f>
        <v/>
      </c>
      <c r="B1154">
        <f>IF(PNL!B1154="","",PNL!B1154)</f>
        <v/>
      </c>
      <c r="C1154">
        <f>IF(PNL!C1154="","",PNL!C1154)</f>
        <v/>
      </c>
      <c r="D1154">
        <f>IF(PNL!D1154="","",PNL!D1154)</f>
        <v/>
      </c>
      <c r="E1154">
        <f>IF($A1154="","",IF(AND($C1154="2027",OR($D1154="V01",$D1154="V02",$D1154="V03")),1,0))</f>
        <v/>
      </c>
      <c r="F1154">
        <f>IF($A1154="","",IF($E1154=1,SUMIFS(Comptabilité!$F$1:$F$675,Comptabilité!$A$1:$A$675,$A1154,Comptabilité!$B$1:$B$675,$B1154,Comptabilité!$C$1:$C$675,"2026"),0))</f>
        <v/>
      </c>
      <c r="G1154">
        <f>IF($A1154="","",IF($D1154="V01",Cadrage!$C$22,IF($D1154="V02",Cadrage!$D$22,Cadrage!$E$22)))</f>
        <v/>
      </c>
      <c r="H1154">
        <f>IF($A1154="","",IF($D1154="V01",Cadrage!$C$23,IF($D1154="V02",Cadrage!$D$23,Cadrage!$E$23)))</f>
        <v/>
      </c>
      <c r="I1154">
        <f>IF($A1154="","",IF($D1154="V01",Cadrage!$C$31,IF($D1154="V02",Cadrage!$D$31,Cadrage!$E$31)))</f>
        <v/>
      </c>
      <c r="J1154">
        <f>IF($A1154="","",IF($D1154="V01",Cadrage!$C$32,IF($D1154="V02",Cadrage!$D$32,Cadrage!$E$32)))</f>
        <v/>
      </c>
      <c r="K1154">
        <f>IF($A1154="","",IF($D1154="V01",Cadrage!$C$33,IF($D1154="V02",Cadrage!$D$33,Cadrage!$E$33)))</f>
        <v/>
      </c>
      <c r="L1154">
        <f>IF($A1154="","",IF($D1154="V01",Cadrage!$C$34,IF($D1154="V02",Cadrage!$D$34,Cadrage!$E$34)))</f>
        <v/>
      </c>
      <c r="M1154">
        <f>IF($A1154="","",IF($D1154="V01",Cadrage!$C$35,IF($D1154="V02",Cadrage!$D$35,Cadrage!$E$35)))</f>
        <v/>
      </c>
      <c r="N1154">
        <f>IF($A1154="","",IF($D1154="V01",$R$2,IF($D1154="V02",$R$3,$R$4)))</f>
        <v/>
      </c>
      <c r="O1154">
        <f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>
        <f>IF($A1154="","",IF($E1154=1,$F1154*$O1154,PNL!G1154))</f>
        <v/>
      </c>
      <c r="T1154">
        <f>IF($A1154="","",IF($E1154=1,IF(OR($B1154="7062",$B1154="706",$B1154="708"),$P1154,IF(AND(LEFT($B1154,1)="6",$B1154&lt;&gt;"6811"),-$P1154,0)),0))</f>
        <v/>
      </c>
    </row>
    <row r="1155">
      <c r="A1155">
        <f>IF(PNL!A1155="","",PNL!A1155)</f>
        <v/>
      </c>
      <c r="B1155">
        <f>IF(PNL!B1155="","",PNL!B1155)</f>
        <v/>
      </c>
      <c r="C1155">
        <f>IF(PNL!C1155="","",PNL!C1155)</f>
        <v/>
      </c>
      <c r="D1155">
        <f>IF(PNL!D1155="","",PNL!D1155)</f>
        <v/>
      </c>
      <c r="E1155">
        <f>IF($A1155="","",IF(AND($C1155="2027",OR($D1155="V01",$D1155="V02",$D1155="V03")),1,0))</f>
        <v/>
      </c>
      <c r="F1155">
        <f>IF($A1155="","",IF($E1155=1,SUMIFS(Comptabilité!$F$1:$F$675,Comptabilité!$A$1:$A$675,$A1155,Comptabilité!$B$1:$B$675,$B1155,Comptabilité!$C$1:$C$675,"2026"),0))</f>
        <v/>
      </c>
      <c r="G1155">
        <f>IF($A1155="","",IF($D1155="V01",Cadrage!$C$22,IF($D1155="V02",Cadrage!$D$22,Cadrage!$E$22)))</f>
        <v/>
      </c>
      <c r="H1155">
        <f>IF($A1155="","",IF($D1155="V01",Cadrage!$C$23,IF($D1155="V02",Cadrage!$D$23,Cadrage!$E$23)))</f>
        <v/>
      </c>
      <c r="I1155">
        <f>IF($A1155="","",IF($D1155="V01",Cadrage!$C$31,IF($D1155="V02",Cadrage!$D$31,Cadrage!$E$31)))</f>
        <v/>
      </c>
      <c r="J1155">
        <f>IF($A1155="","",IF($D1155="V01",Cadrage!$C$32,IF($D1155="V02",Cadrage!$D$32,Cadrage!$E$32)))</f>
        <v/>
      </c>
      <c r="K1155">
        <f>IF($A1155="","",IF($D1155="V01",Cadrage!$C$33,IF($D1155="V02",Cadrage!$D$33,Cadrage!$E$33)))</f>
        <v/>
      </c>
      <c r="L1155">
        <f>IF($A1155="","",IF($D1155="V01",Cadrage!$C$34,IF($D1155="V02",Cadrage!$D$34,Cadrage!$E$34)))</f>
        <v/>
      </c>
      <c r="M1155">
        <f>IF($A1155="","",IF($D1155="V01",Cadrage!$C$35,IF($D1155="V02",Cadrage!$D$35,Cadrage!$E$35)))</f>
        <v/>
      </c>
      <c r="N1155">
        <f>IF($A1155="","",IF($D1155="V01",$R$2,IF($D1155="V02",$R$3,$R$4)))</f>
        <v/>
      </c>
      <c r="O1155">
        <f>IF($A1155="","",IF(OR($B1155="7062",$B1155="706",$B1155="708"),$N1155,IF($B1155="6231",1+$G1155,IF($B1155="6236",1+$H1155,IF(OR($B1155="621",$B1155="604",$B1155="6063"),$N1155*(1-$L1155),IF(OR($B1155="6411",$B1155="6413",$B1155="6414",$B1155="645"),(1+$J1155)*(1+$K1155),IF(OR($B1155="613",$B1155="615",$B1155="616",$B1155="6226",$B1155="625",$B1155="626",$B1155="6281"),(1+$I1155)*(1-$L1155)*(1+$M1155),IF(OR($B1155="6331",$B1155="63511",$B1155="6333"),(1+$I1155)*(1-$L1155),IF($B1155="6811",1+$I1155,1)))))))))</f>
        <v/>
      </c>
      <c r="P1155">
        <f>IF($A1155="","",IF($E1155=1,$F1155*$O1155,PNL!G1155))</f>
        <v/>
      </c>
      <c r="T1155">
        <f>IF($A1155="","",IF($E1155=1,IF(OR($B1155="7062",$B1155="706",$B1155="708"),$P1155,IF(AND(LEFT($B1155,1)="6",$B1155&lt;&gt;"6811"),-$P1155,0)),0))</f>
        <v/>
      </c>
    </row>
    <row r="1156">
      <c r="A1156">
        <f>IF(PNL!A1156="","",PNL!A1156)</f>
        <v/>
      </c>
      <c r="B1156">
        <f>IF(PNL!B1156="","",PNL!B1156)</f>
        <v/>
      </c>
      <c r="C1156">
        <f>IF(PNL!C1156="","",PNL!C1156)</f>
        <v/>
      </c>
      <c r="D1156">
        <f>IF(PNL!D1156="","",PNL!D1156)</f>
        <v/>
      </c>
      <c r="E1156">
        <f>IF($A1156="","",IF(AND($C1156="2027",OR($D1156="V01",$D1156="V02",$D1156="V03")),1,0))</f>
        <v/>
      </c>
      <c r="F1156">
        <f>IF($A1156="","",IF($E1156=1,SUMIFS(Comptabilité!$F$1:$F$675,Comptabilité!$A$1:$A$675,$A1156,Comptabilité!$B$1:$B$675,$B1156,Comptabilité!$C$1:$C$675,"2026"),0))</f>
        <v/>
      </c>
      <c r="G1156">
        <f>IF($A1156="","",IF($D1156="V01",Cadrage!$C$22,IF($D1156="V02",Cadrage!$D$22,Cadrage!$E$22)))</f>
        <v/>
      </c>
      <c r="H1156">
        <f>IF($A1156="","",IF($D1156="V01",Cadrage!$C$23,IF($D1156="V02",Cadrage!$D$23,Cadrage!$E$23)))</f>
        <v/>
      </c>
      <c r="I1156">
        <f>IF($A1156="","",IF($D1156="V01",Cadrage!$C$31,IF($D1156="V02",Cadrage!$D$31,Cadrage!$E$31)))</f>
        <v/>
      </c>
      <c r="J1156">
        <f>IF($A1156="","",IF($D1156="V01",Cadrage!$C$32,IF($D1156="V02",Cadrage!$D$32,Cadrage!$E$32)))</f>
        <v/>
      </c>
      <c r="K1156">
        <f>IF($A1156="","",IF($D1156="V01",Cadrage!$C$33,IF($D1156="V02",Cadrage!$D$33,Cadrage!$E$33)))</f>
        <v/>
      </c>
      <c r="L1156">
        <f>IF($A1156="","",IF($D1156="V01",Cadrage!$C$34,IF($D1156="V02",Cadrage!$D$34,Cadrage!$E$34)))</f>
        <v/>
      </c>
      <c r="M1156">
        <f>IF($A1156="","",IF($D1156="V01",Cadrage!$C$35,IF($D1156="V02",Cadrage!$D$35,Cadrage!$E$35)))</f>
        <v/>
      </c>
      <c r="N1156">
        <f>IF($A1156="","",IF($D1156="V01",$R$2,IF($D1156="V02",$R$3,$R$4)))</f>
        <v/>
      </c>
      <c r="O1156">
        <f>IF($A1156="","",IF(OR($B1156="7062",$B1156="706",$B1156="708"),$N1156,IF($B1156="6231",1+$G1156,IF($B1156="6236",1+$H1156,IF(OR($B1156="621",$B1156="604",$B1156="6063"),$N1156*(1-$L1156),IF(OR($B1156="6411",$B1156="6413",$B1156="6414",$B1156="645"),(1+$J1156)*(1+$K1156),IF(OR($B1156="613",$B1156="615",$B1156="616",$B1156="6226",$B1156="625",$B1156="626",$B1156="6281"),(1+$I1156)*(1-$L1156)*(1+$M1156),IF(OR($B1156="6331",$B1156="63511",$B1156="6333"),(1+$I1156)*(1-$L1156),IF($B1156="6811",1+$I1156,1)))))))))</f>
        <v/>
      </c>
      <c r="P1156">
        <f>IF($A1156="","",IF($E1156=1,$F1156*$O1156,PNL!G1156))</f>
        <v/>
      </c>
      <c r="T1156">
        <f>IF($A1156="","",IF($E1156=1,IF(OR($B1156="7062",$B1156="706",$B1156="708"),$P1156,IF(AND(LEFT($B1156,1)="6",$B1156&lt;&gt;"6811"),-$P1156,0)),0))</f>
        <v/>
      </c>
    </row>
    <row r="1157">
      <c r="A1157">
        <f>IF(PNL!A1157="","",PNL!A1157)</f>
        <v/>
      </c>
      <c r="B1157">
        <f>IF(PNL!B1157="","",PNL!B1157)</f>
        <v/>
      </c>
      <c r="C1157">
        <f>IF(PNL!C1157="","",PNL!C1157)</f>
        <v/>
      </c>
      <c r="D1157">
        <f>IF(PNL!D1157="","",PNL!D1157)</f>
        <v/>
      </c>
      <c r="E1157">
        <f>IF($A1157="","",IF(AND($C1157="2027",OR($D1157="V01",$D1157="V02",$D1157="V03")),1,0))</f>
        <v/>
      </c>
      <c r="F1157">
        <f>IF($A1157="","",IF($E1157=1,SUMIFS(Comptabilité!$F$1:$F$675,Comptabilité!$A$1:$A$675,$A1157,Comptabilité!$B$1:$B$675,$B1157,Comptabilité!$C$1:$C$675,"2026"),0))</f>
        <v/>
      </c>
      <c r="G1157">
        <f>IF($A1157="","",IF($D1157="V01",Cadrage!$C$22,IF($D1157="V02",Cadrage!$D$22,Cadrage!$E$22)))</f>
        <v/>
      </c>
      <c r="H1157">
        <f>IF($A1157="","",IF($D1157="V01",Cadrage!$C$23,IF($D1157="V02",Cadrage!$D$23,Cadrage!$E$23)))</f>
        <v/>
      </c>
      <c r="I1157">
        <f>IF($A1157="","",IF($D1157="V01",Cadrage!$C$31,IF($D1157="V02",Cadrage!$D$31,Cadrage!$E$31)))</f>
        <v/>
      </c>
      <c r="J1157">
        <f>IF($A1157="","",IF($D1157="V01",Cadrage!$C$32,IF($D1157="V02",Cadrage!$D$32,Cadrage!$E$32)))</f>
        <v/>
      </c>
      <c r="K1157">
        <f>IF($A1157="","",IF($D1157="V01",Cadrage!$C$33,IF($D1157="V02",Cadrage!$D$33,Cadrage!$E$33)))</f>
        <v/>
      </c>
      <c r="L1157">
        <f>IF($A1157="","",IF($D1157="V01",Cadrage!$C$34,IF($D1157="V02",Cadrage!$D$34,Cadrage!$E$34)))</f>
        <v/>
      </c>
      <c r="M1157">
        <f>IF($A1157="","",IF($D1157="V01",Cadrage!$C$35,IF($D1157="V02",Cadrage!$D$35,Cadrage!$E$35)))</f>
        <v/>
      </c>
      <c r="N1157">
        <f>IF($A1157="","",IF($D1157="V01",$R$2,IF($D1157="V02",$R$3,$R$4)))</f>
        <v/>
      </c>
      <c r="O1157">
        <f>IF($A1157="","",IF(OR($B1157="7062",$B1157="706",$B1157="708"),$N1157,IF($B1157="6231",1+$G1157,IF($B1157="6236",1+$H1157,IF(OR($B1157="621",$B1157="604",$B1157="6063"),$N1157*(1-$L1157),IF(OR($B1157="6411",$B1157="6413",$B1157="6414",$B1157="645"),(1+$J1157)*(1+$K1157),IF(OR($B1157="613",$B1157="615",$B1157="616",$B1157="6226",$B1157="625",$B1157="626",$B1157="6281"),(1+$I1157)*(1-$L1157)*(1+$M1157),IF(OR($B1157="6331",$B1157="63511",$B1157="6333"),(1+$I1157)*(1-$L1157),IF($B1157="6811",1+$I1157,1)))))))))</f>
        <v/>
      </c>
      <c r="P1157">
        <f>IF($A1157="","",IF($E1157=1,$F1157*$O1157,PNL!G1157))</f>
        <v/>
      </c>
      <c r="T1157">
        <f>IF($A1157="","",IF($E1157=1,IF(OR($B1157="7062",$B1157="706",$B1157="708"),$P1157,IF(AND(LEFT($B1157,1)="6",$B1157&lt;&gt;"6811"),-$P1157,0)),0))</f>
        <v/>
      </c>
    </row>
    <row r="1158">
      <c r="A1158">
        <f>IF(PNL!A1158="","",PNL!A1158)</f>
        <v/>
      </c>
      <c r="B1158">
        <f>IF(PNL!B1158="","",PNL!B1158)</f>
        <v/>
      </c>
      <c r="C1158">
        <f>IF(PNL!C1158="","",PNL!C1158)</f>
        <v/>
      </c>
      <c r="D1158">
        <f>IF(PNL!D1158="","",PNL!D1158)</f>
        <v/>
      </c>
      <c r="E1158">
        <f>IF($A1158="","",IF(AND($C1158="2027",OR($D1158="V01",$D1158="V02",$D1158="V03")),1,0))</f>
        <v/>
      </c>
      <c r="F1158">
        <f>IF($A1158="","",IF($E1158=1,SUMIFS(Comptabilité!$F$1:$F$675,Comptabilité!$A$1:$A$675,$A1158,Comptabilité!$B$1:$B$675,$B1158,Comptabilité!$C$1:$C$675,"2026"),0))</f>
        <v/>
      </c>
      <c r="G1158">
        <f>IF($A1158="","",IF($D1158="V01",Cadrage!$C$22,IF($D1158="V02",Cadrage!$D$22,Cadrage!$E$22)))</f>
        <v/>
      </c>
      <c r="H1158">
        <f>IF($A1158="","",IF($D1158="V01",Cadrage!$C$23,IF($D1158="V02",Cadrage!$D$23,Cadrage!$E$23)))</f>
        <v/>
      </c>
      <c r="I1158">
        <f>IF($A1158="","",IF($D1158="V01",Cadrage!$C$31,IF($D1158="V02",Cadrage!$D$31,Cadrage!$E$31)))</f>
        <v/>
      </c>
      <c r="J1158">
        <f>IF($A1158="","",IF($D1158="V01",Cadrage!$C$32,IF($D1158="V02",Cadrage!$D$32,Cadrage!$E$32)))</f>
        <v/>
      </c>
      <c r="K1158">
        <f>IF($A1158="","",IF($D1158="V01",Cadrage!$C$33,IF($D1158="V02",Cadrage!$D$33,Cadrage!$E$33)))</f>
        <v/>
      </c>
      <c r="L1158">
        <f>IF($A1158="","",IF($D1158="V01",Cadrage!$C$34,IF($D1158="V02",Cadrage!$D$34,Cadrage!$E$34)))</f>
        <v/>
      </c>
      <c r="M1158">
        <f>IF($A1158="","",IF($D1158="V01",Cadrage!$C$35,IF($D1158="V02",Cadrage!$D$35,Cadrage!$E$35)))</f>
        <v/>
      </c>
      <c r="N1158">
        <f>IF($A1158="","",IF($D1158="V01",$R$2,IF($D1158="V02",$R$3,$R$4)))</f>
        <v/>
      </c>
      <c r="O1158">
        <f>IF($A1158="","",IF(OR($B1158="7062",$B1158="706",$B1158="708"),$N1158,IF($B1158="6231",1+$G1158,IF($B1158="6236",1+$H1158,IF(OR($B1158="621",$B1158="604",$B1158="6063"),$N1158*(1-$L1158),IF(OR($B1158="6411",$B1158="6413",$B1158="6414",$B1158="645"),(1+$J1158)*(1+$K1158),IF(OR($B1158="613",$B1158="615",$B1158="616",$B1158="6226",$B1158="625",$B1158="626",$B1158="6281"),(1+$I1158)*(1-$L1158)*(1+$M1158),IF(OR($B1158="6331",$B1158="63511",$B1158="6333"),(1+$I1158)*(1-$L1158),IF($B1158="6811",1+$I1158,1)))))))))</f>
        <v/>
      </c>
      <c r="P1158">
        <f>IF($A1158="","",IF($E1158=1,$F1158*$O1158,PNL!G1158))</f>
        <v/>
      </c>
      <c r="T1158">
        <f>IF($A1158="","",IF($E1158=1,IF(OR($B1158="7062",$B1158="706",$B1158="708"),$P1158,IF(AND(LEFT($B1158,1)="6",$B1158&lt;&gt;"6811"),-$P1158,0)),0))</f>
        <v/>
      </c>
    </row>
    <row r="1159">
      <c r="A1159">
        <f>IF(PNL!A1159="","",PNL!A1159)</f>
        <v/>
      </c>
      <c r="B1159">
        <f>IF(PNL!B1159="","",PNL!B1159)</f>
        <v/>
      </c>
      <c r="C1159">
        <f>IF(PNL!C1159="","",PNL!C1159)</f>
        <v/>
      </c>
      <c r="D1159">
        <f>IF(PNL!D1159="","",PNL!D1159)</f>
        <v/>
      </c>
      <c r="E1159">
        <f>IF($A1159="","",IF(AND($C1159="2027",OR($D1159="V01",$D1159="V02",$D1159="V03")),1,0))</f>
        <v/>
      </c>
      <c r="F1159">
        <f>IF($A1159="","",IF($E1159=1,SUMIFS(Comptabilité!$F$1:$F$675,Comptabilité!$A$1:$A$675,$A1159,Comptabilité!$B$1:$B$675,$B1159,Comptabilité!$C$1:$C$675,"2026"),0))</f>
        <v/>
      </c>
      <c r="G1159">
        <f>IF($A1159="","",IF($D1159="V01",Cadrage!$C$22,IF($D1159="V02",Cadrage!$D$22,Cadrage!$E$22)))</f>
        <v/>
      </c>
      <c r="H1159">
        <f>IF($A1159="","",IF($D1159="V01",Cadrage!$C$23,IF($D1159="V02",Cadrage!$D$23,Cadrage!$E$23)))</f>
        <v/>
      </c>
      <c r="I1159">
        <f>IF($A1159="","",IF($D1159="V01",Cadrage!$C$31,IF($D1159="V02",Cadrage!$D$31,Cadrage!$E$31)))</f>
        <v/>
      </c>
      <c r="J1159">
        <f>IF($A1159="","",IF($D1159="V01",Cadrage!$C$32,IF($D1159="V02",Cadrage!$D$32,Cadrage!$E$32)))</f>
        <v/>
      </c>
      <c r="K1159">
        <f>IF($A1159="","",IF($D1159="V01",Cadrage!$C$33,IF($D1159="V02",Cadrage!$D$33,Cadrage!$E$33)))</f>
        <v/>
      </c>
      <c r="L1159">
        <f>IF($A1159="","",IF($D1159="V01",Cadrage!$C$34,IF($D1159="V02",Cadrage!$D$34,Cadrage!$E$34)))</f>
        <v/>
      </c>
      <c r="M1159">
        <f>IF($A1159="","",IF($D1159="V01",Cadrage!$C$35,IF($D1159="V02",Cadrage!$D$35,Cadrage!$E$35)))</f>
        <v/>
      </c>
      <c r="N1159">
        <f>IF($A1159="","",IF($D1159="V01",$R$2,IF($D1159="V02",$R$3,$R$4)))</f>
        <v/>
      </c>
      <c r="O1159">
        <f>IF($A1159="","",IF(OR($B1159="7062",$B1159="706",$B1159="708"),$N1159,IF($B1159="6231",1+$G1159,IF($B1159="6236",1+$H1159,IF(OR($B1159="621",$B1159="604",$B1159="6063"),$N1159*(1-$L1159),IF(OR($B1159="6411",$B1159="6413",$B1159="6414",$B1159="645"),(1+$J1159)*(1+$K1159),IF(OR($B1159="613",$B1159="615",$B1159="616",$B1159="6226",$B1159="625",$B1159="626",$B1159="6281"),(1+$I1159)*(1-$L1159)*(1+$M1159),IF(OR($B1159="6331",$B1159="63511",$B1159="6333"),(1+$I1159)*(1-$L1159),IF($B1159="6811",1+$I1159,1)))))))))</f>
        <v/>
      </c>
      <c r="P1159">
        <f>IF($A1159="","",IF($E1159=1,$F1159*$O1159,PNL!G1159))</f>
        <v/>
      </c>
      <c r="T1159">
        <f>IF($A1159="","",IF($E1159=1,IF(OR($B1159="7062",$B1159="706",$B1159="708"),$P1159,IF(AND(LEFT($B1159,1)="6",$B1159&lt;&gt;"6811"),-$P1159,0)),0))</f>
        <v/>
      </c>
    </row>
    <row r="1160">
      <c r="A1160">
        <f>IF(PNL!A1160="","",PNL!A1160)</f>
        <v/>
      </c>
      <c r="B1160">
        <f>IF(PNL!B1160="","",PNL!B1160)</f>
        <v/>
      </c>
      <c r="C1160">
        <f>IF(PNL!C1160="","",PNL!C1160)</f>
        <v/>
      </c>
      <c r="D1160">
        <f>IF(PNL!D1160="","",PNL!D1160)</f>
        <v/>
      </c>
      <c r="E1160">
        <f>IF($A1160="","",IF(AND($C1160="2027",OR($D1160="V01",$D1160="V02",$D1160="V03")),1,0))</f>
        <v/>
      </c>
      <c r="F1160">
        <f>IF($A1160="","",IF($E1160=1,SUMIFS(Comptabilité!$F$1:$F$675,Comptabilité!$A$1:$A$675,$A1160,Comptabilité!$B$1:$B$675,$B1160,Comptabilité!$C$1:$C$675,"2026"),0))</f>
        <v/>
      </c>
      <c r="G1160">
        <f>IF($A1160="","",IF($D1160="V01",Cadrage!$C$22,IF($D1160="V02",Cadrage!$D$22,Cadrage!$E$22)))</f>
        <v/>
      </c>
      <c r="H1160">
        <f>IF($A1160="","",IF($D1160="V01",Cadrage!$C$23,IF($D1160="V02",Cadrage!$D$23,Cadrage!$E$23)))</f>
        <v/>
      </c>
      <c r="I1160">
        <f>IF($A1160="","",IF($D1160="V01",Cadrage!$C$31,IF($D1160="V02",Cadrage!$D$31,Cadrage!$E$31)))</f>
        <v/>
      </c>
      <c r="J1160">
        <f>IF($A1160="","",IF($D1160="V01",Cadrage!$C$32,IF($D1160="V02",Cadrage!$D$32,Cadrage!$E$32)))</f>
        <v/>
      </c>
      <c r="K1160">
        <f>IF($A1160="","",IF($D1160="V01",Cadrage!$C$33,IF($D1160="V02",Cadrage!$D$33,Cadrage!$E$33)))</f>
        <v/>
      </c>
      <c r="L1160">
        <f>IF($A1160="","",IF($D1160="V01",Cadrage!$C$34,IF($D1160="V02",Cadrage!$D$34,Cadrage!$E$34)))</f>
        <v/>
      </c>
      <c r="M1160">
        <f>IF($A1160="","",IF($D1160="V01",Cadrage!$C$35,IF($D1160="V02",Cadrage!$D$35,Cadrage!$E$35)))</f>
        <v/>
      </c>
      <c r="N1160">
        <f>IF($A1160="","",IF($D1160="V01",$R$2,IF($D1160="V02",$R$3,$R$4)))</f>
        <v/>
      </c>
      <c r="O1160">
        <f>IF($A1160="","",IF(OR($B1160="7062",$B1160="706",$B1160="708"),$N1160,IF($B1160="6231",1+$G1160,IF($B1160="6236",1+$H1160,IF(OR($B1160="621",$B1160="604",$B1160="6063"),$N1160*(1-$L1160),IF(OR($B1160="6411",$B1160="6413",$B1160="6414",$B1160="645"),(1+$J1160)*(1+$K1160),IF(OR($B1160="613",$B1160="615",$B1160="616",$B1160="6226",$B1160="625",$B1160="626",$B1160="6281"),(1+$I1160)*(1-$L1160)*(1+$M1160),IF(OR($B1160="6331",$B1160="63511",$B1160="6333"),(1+$I1160)*(1-$L1160),IF($B1160="6811",1+$I1160,1)))))))))</f>
        <v/>
      </c>
      <c r="P1160">
        <f>IF($A1160="","",IF($E1160=1,$F1160*$O1160,PNL!G1160))</f>
        <v/>
      </c>
      <c r="T1160">
        <f>IF($A1160="","",IF($E1160=1,IF(OR($B1160="7062",$B1160="706",$B1160="708"),$P1160,IF(AND(LEFT($B1160,1)="6",$B1160&lt;&gt;"6811"),-$P1160,0)),0))</f>
        <v/>
      </c>
    </row>
    <row r="1161">
      <c r="A1161">
        <f>IF(PNL!A1161="","",PNL!A1161)</f>
        <v/>
      </c>
      <c r="B1161">
        <f>IF(PNL!B1161="","",PNL!B1161)</f>
        <v/>
      </c>
      <c r="C1161">
        <f>IF(PNL!C1161="","",PNL!C1161)</f>
        <v/>
      </c>
      <c r="D1161">
        <f>IF(PNL!D1161="","",PNL!D1161)</f>
        <v/>
      </c>
      <c r="E1161">
        <f>IF($A1161="","",IF(AND($C1161="2027",OR($D1161="V01",$D1161="V02",$D1161="V03")),1,0))</f>
        <v/>
      </c>
      <c r="F1161">
        <f>IF($A1161="","",IF($E1161=1,SUMIFS(Comptabilité!$F$1:$F$675,Comptabilité!$A$1:$A$675,$A1161,Comptabilité!$B$1:$B$675,$B1161,Comptabilité!$C$1:$C$675,"2026"),0))</f>
        <v/>
      </c>
      <c r="G1161">
        <f>IF($A1161="","",IF($D1161="V01",Cadrage!$C$22,IF($D1161="V02",Cadrage!$D$22,Cadrage!$E$22)))</f>
        <v/>
      </c>
      <c r="H1161">
        <f>IF($A1161="","",IF($D1161="V01",Cadrage!$C$23,IF($D1161="V02",Cadrage!$D$23,Cadrage!$E$23)))</f>
        <v/>
      </c>
      <c r="I1161">
        <f>IF($A1161="","",IF($D1161="V01",Cadrage!$C$31,IF($D1161="V02",Cadrage!$D$31,Cadrage!$E$31)))</f>
        <v/>
      </c>
      <c r="J1161">
        <f>IF($A1161="","",IF($D1161="V01",Cadrage!$C$32,IF($D1161="V02",Cadrage!$D$32,Cadrage!$E$32)))</f>
        <v/>
      </c>
      <c r="K1161">
        <f>IF($A1161="","",IF($D1161="V01",Cadrage!$C$33,IF($D1161="V02",Cadrage!$D$33,Cadrage!$E$33)))</f>
        <v/>
      </c>
      <c r="L1161">
        <f>IF($A1161="","",IF($D1161="V01",Cadrage!$C$34,IF($D1161="V02",Cadrage!$D$34,Cadrage!$E$34)))</f>
        <v/>
      </c>
      <c r="M1161">
        <f>IF($A1161="","",IF($D1161="V01",Cadrage!$C$35,IF($D1161="V02",Cadrage!$D$35,Cadrage!$E$35)))</f>
        <v/>
      </c>
      <c r="N1161">
        <f>IF($A1161="","",IF($D1161="V01",$R$2,IF($D1161="V02",$R$3,$R$4)))</f>
        <v/>
      </c>
      <c r="O1161">
        <f>IF($A1161="","",IF(OR($B1161="7062",$B1161="706",$B1161="708"),$N1161,IF($B1161="6231",1+$G1161,IF($B1161="6236",1+$H1161,IF(OR($B1161="621",$B1161="604",$B1161="6063"),$N1161*(1-$L1161),IF(OR($B1161="6411",$B1161="6413",$B1161="6414",$B1161="645"),(1+$J1161)*(1+$K1161),IF(OR($B1161="613",$B1161="615",$B1161="616",$B1161="6226",$B1161="625",$B1161="626",$B1161="6281"),(1+$I1161)*(1-$L1161)*(1+$M1161),IF(OR($B1161="6331",$B1161="63511",$B1161="6333"),(1+$I1161)*(1-$L1161),IF($B1161="6811",1+$I1161,1)))))))))</f>
        <v/>
      </c>
      <c r="P1161">
        <f>IF($A1161="","",IF($E1161=1,$F1161*$O1161,PNL!G1161))</f>
        <v/>
      </c>
      <c r="T1161">
        <f>IF($A1161="","",IF($E1161=1,IF(OR($B1161="7062",$B1161="706",$B1161="708"),$P1161,IF(AND(LEFT($B1161,1)="6",$B1161&lt;&gt;"6811"),-$P1161,0)),0))</f>
        <v/>
      </c>
    </row>
    <row r="1162">
      <c r="A1162">
        <f>IF(PNL!A1162="","",PNL!A1162)</f>
        <v/>
      </c>
      <c r="B1162">
        <f>IF(PNL!B1162="","",PNL!B1162)</f>
        <v/>
      </c>
      <c r="C1162">
        <f>IF(PNL!C1162="","",PNL!C1162)</f>
        <v/>
      </c>
      <c r="D1162">
        <f>IF(PNL!D1162="","",PNL!D1162)</f>
        <v/>
      </c>
      <c r="E1162">
        <f>IF($A1162="","",IF(AND($C1162="2027",OR($D1162="V01",$D1162="V02",$D1162="V03")),1,0))</f>
        <v/>
      </c>
      <c r="F1162">
        <f>IF($A1162="","",IF($E1162=1,SUMIFS(Comptabilité!$F$1:$F$675,Comptabilité!$A$1:$A$675,$A1162,Comptabilité!$B$1:$B$675,$B1162,Comptabilité!$C$1:$C$675,"2026"),0))</f>
        <v/>
      </c>
      <c r="G1162">
        <f>IF($A1162="","",IF($D1162="V01",Cadrage!$C$22,IF($D1162="V02",Cadrage!$D$22,Cadrage!$E$22)))</f>
        <v/>
      </c>
      <c r="H1162">
        <f>IF($A1162="","",IF($D1162="V01",Cadrage!$C$23,IF($D1162="V02",Cadrage!$D$23,Cadrage!$E$23)))</f>
        <v/>
      </c>
      <c r="I1162">
        <f>IF($A1162="","",IF($D1162="V01",Cadrage!$C$31,IF($D1162="V02",Cadrage!$D$31,Cadrage!$E$31)))</f>
        <v/>
      </c>
      <c r="J1162">
        <f>IF($A1162="","",IF($D1162="V01",Cadrage!$C$32,IF($D1162="V02",Cadrage!$D$32,Cadrage!$E$32)))</f>
        <v/>
      </c>
      <c r="K1162">
        <f>IF($A1162="","",IF($D1162="V01",Cadrage!$C$33,IF($D1162="V02",Cadrage!$D$33,Cadrage!$E$33)))</f>
        <v/>
      </c>
      <c r="L1162">
        <f>IF($A1162="","",IF($D1162="V01",Cadrage!$C$34,IF($D1162="V02",Cadrage!$D$34,Cadrage!$E$34)))</f>
        <v/>
      </c>
      <c r="M1162">
        <f>IF($A1162="","",IF($D1162="V01",Cadrage!$C$35,IF($D1162="V02",Cadrage!$D$35,Cadrage!$E$35)))</f>
        <v/>
      </c>
      <c r="N1162">
        <f>IF($A1162="","",IF($D1162="V01",$R$2,IF($D1162="V02",$R$3,$R$4)))</f>
        <v/>
      </c>
      <c r="O1162">
        <f>IF($A1162="","",IF(OR($B1162="7062",$B1162="706",$B1162="708"),$N1162,IF($B1162="6231",1+$G1162,IF($B1162="6236",1+$H1162,IF(OR($B1162="621",$B1162="604",$B1162="6063"),$N1162*(1-$L1162),IF(OR($B1162="6411",$B1162="6413",$B1162="6414",$B1162="645"),(1+$J1162)*(1+$K1162),IF(OR($B1162="613",$B1162="615",$B1162="616",$B1162="6226",$B1162="625",$B1162="626",$B1162="6281"),(1+$I1162)*(1-$L1162)*(1+$M1162),IF(OR($B1162="6331",$B1162="63511",$B1162="6333"),(1+$I1162)*(1-$L1162),IF($B1162="6811",1+$I1162,1)))))))))</f>
        <v/>
      </c>
      <c r="P1162">
        <f>IF($A1162="","",IF($E1162=1,$F1162*$O1162,PNL!G1162))</f>
        <v/>
      </c>
      <c r="T1162">
        <f>IF($A1162="","",IF($E1162=1,IF(OR($B1162="7062",$B1162="706",$B1162="708"),$P1162,IF(AND(LEFT($B1162,1)="6",$B1162&lt;&gt;"6811"),-$P1162,0)),0))</f>
        <v/>
      </c>
    </row>
    <row r="1163">
      <c r="A1163">
        <f>IF(PNL!A1163="","",PNL!A1163)</f>
        <v/>
      </c>
      <c r="B1163">
        <f>IF(PNL!B1163="","",PNL!B1163)</f>
        <v/>
      </c>
      <c r="C1163">
        <f>IF(PNL!C1163="","",PNL!C1163)</f>
        <v/>
      </c>
      <c r="D1163">
        <f>IF(PNL!D1163="","",PNL!D1163)</f>
        <v/>
      </c>
      <c r="E1163">
        <f>IF($A1163="","",IF(AND($C1163="2027",OR($D1163="V01",$D1163="V02",$D1163="V03")),1,0))</f>
        <v/>
      </c>
      <c r="F1163">
        <f>IF($A1163="","",IF($E1163=1,SUMIFS(Comptabilité!$F$1:$F$675,Comptabilité!$A$1:$A$675,$A1163,Comptabilité!$B$1:$B$675,$B1163,Comptabilité!$C$1:$C$675,"2026"),0))</f>
        <v/>
      </c>
      <c r="G1163">
        <f>IF($A1163="","",IF($D1163="V01",Cadrage!$C$22,IF($D1163="V02",Cadrage!$D$22,Cadrage!$E$22)))</f>
        <v/>
      </c>
      <c r="H1163">
        <f>IF($A1163="","",IF($D1163="V01",Cadrage!$C$23,IF($D1163="V02",Cadrage!$D$23,Cadrage!$E$23)))</f>
        <v/>
      </c>
      <c r="I1163">
        <f>IF($A1163="","",IF($D1163="V01",Cadrage!$C$31,IF($D1163="V02",Cadrage!$D$31,Cadrage!$E$31)))</f>
        <v/>
      </c>
      <c r="J1163">
        <f>IF($A1163="","",IF($D1163="V01",Cadrage!$C$32,IF($D1163="V02",Cadrage!$D$32,Cadrage!$E$32)))</f>
        <v/>
      </c>
      <c r="K1163">
        <f>IF($A1163="","",IF($D1163="V01",Cadrage!$C$33,IF($D1163="V02",Cadrage!$D$33,Cadrage!$E$33)))</f>
        <v/>
      </c>
      <c r="L1163">
        <f>IF($A1163="","",IF($D1163="V01",Cadrage!$C$34,IF($D1163="V02",Cadrage!$D$34,Cadrage!$E$34)))</f>
        <v/>
      </c>
      <c r="M1163">
        <f>IF($A1163="","",IF($D1163="V01",Cadrage!$C$35,IF($D1163="V02",Cadrage!$D$35,Cadrage!$E$35)))</f>
        <v/>
      </c>
      <c r="N1163">
        <f>IF($A1163="","",IF($D1163="V01",$R$2,IF($D1163="V02",$R$3,$R$4)))</f>
        <v/>
      </c>
      <c r="O1163">
        <f>IF($A1163="","",IF(OR($B1163="7062",$B1163="706",$B1163="708"),$N1163,IF($B1163="6231",1+$G1163,IF($B1163="6236",1+$H1163,IF(OR($B1163="621",$B1163="604",$B1163="6063"),$N1163*(1-$L1163),IF(OR($B1163="6411",$B1163="6413",$B1163="6414",$B1163="645"),(1+$J1163)*(1+$K1163),IF(OR($B1163="613",$B1163="615",$B1163="616",$B1163="6226",$B1163="625",$B1163="626",$B1163="6281"),(1+$I1163)*(1-$L1163)*(1+$M1163),IF(OR($B1163="6331",$B1163="63511",$B1163="6333"),(1+$I1163)*(1-$L1163),IF($B1163="6811",1+$I1163,1)))))))))</f>
        <v/>
      </c>
      <c r="P1163">
        <f>IF($A1163="","",IF($E1163=1,$F1163*$O1163,PNL!G1163))</f>
        <v/>
      </c>
      <c r="T1163">
        <f>IF($A1163="","",IF($E1163=1,IF(OR($B1163="7062",$B1163="706",$B1163="708"),$P1163,IF(AND(LEFT($B1163,1)="6",$B1163&lt;&gt;"6811"),-$P1163,0)),0))</f>
        <v/>
      </c>
    </row>
    <row r="1164">
      <c r="A1164">
        <f>IF(PNL!A1164="","",PNL!A1164)</f>
        <v/>
      </c>
      <c r="B1164">
        <f>IF(PNL!B1164="","",PNL!B1164)</f>
        <v/>
      </c>
      <c r="C1164">
        <f>IF(PNL!C1164="","",PNL!C1164)</f>
        <v/>
      </c>
      <c r="D1164">
        <f>IF(PNL!D1164="","",PNL!D1164)</f>
        <v/>
      </c>
      <c r="E1164">
        <f>IF($A1164="","",IF(AND($C1164="2027",OR($D1164="V01",$D1164="V02",$D1164="V03")),1,0))</f>
        <v/>
      </c>
      <c r="F1164">
        <f>IF($A1164="","",IF($E1164=1,SUMIFS(Comptabilité!$F$1:$F$675,Comptabilité!$A$1:$A$675,$A1164,Comptabilité!$B$1:$B$675,$B1164,Comptabilité!$C$1:$C$675,"2026"),0))</f>
        <v/>
      </c>
      <c r="G1164">
        <f>IF($A1164="","",IF($D1164="V01",Cadrage!$C$22,IF($D1164="V02",Cadrage!$D$22,Cadrage!$E$22)))</f>
        <v/>
      </c>
      <c r="H1164">
        <f>IF($A1164="","",IF($D1164="V01",Cadrage!$C$23,IF($D1164="V02",Cadrage!$D$23,Cadrage!$E$23)))</f>
        <v/>
      </c>
      <c r="I1164">
        <f>IF($A1164="","",IF($D1164="V01",Cadrage!$C$31,IF($D1164="V02",Cadrage!$D$31,Cadrage!$E$31)))</f>
        <v/>
      </c>
      <c r="J1164">
        <f>IF($A1164="","",IF($D1164="V01",Cadrage!$C$32,IF($D1164="V02",Cadrage!$D$32,Cadrage!$E$32)))</f>
        <v/>
      </c>
      <c r="K1164">
        <f>IF($A1164="","",IF($D1164="V01",Cadrage!$C$33,IF($D1164="V02",Cadrage!$D$33,Cadrage!$E$33)))</f>
        <v/>
      </c>
      <c r="L1164">
        <f>IF($A1164="","",IF($D1164="V01",Cadrage!$C$34,IF($D1164="V02",Cadrage!$D$34,Cadrage!$E$34)))</f>
        <v/>
      </c>
      <c r="M1164">
        <f>IF($A1164="","",IF($D1164="V01",Cadrage!$C$35,IF($D1164="V02",Cadrage!$D$35,Cadrage!$E$35)))</f>
        <v/>
      </c>
      <c r="N1164">
        <f>IF($A1164="","",IF($D1164="V01",$R$2,IF($D1164="V02",$R$3,$R$4)))</f>
        <v/>
      </c>
      <c r="O1164">
        <f>IF($A1164="","",IF(OR($B1164="7062",$B1164="706",$B1164="708"),$N1164,IF($B1164="6231",1+$G1164,IF($B1164="6236",1+$H1164,IF(OR($B1164="621",$B1164="604",$B1164="6063"),$N1164*(1-$L1164),IF(OR($B1164="6411",$B1164="6413",$B1164="6414",$B1164="645"),(1+$J1164)*(1+$K1164),IF(OR($B1164="613",$B1164="615",$B1164="616",$B1164="6226",$B1164="625",$B1164="626",$B1164="6281"),(1+$I1164)*(1-$L1164)*(1+$M1164),IF(OR($B1164="6331",$B1164="63511",$B1164="6333"),(1+$I1164)*(1-$L1164),IF($B1164="6811",1+$I1164,1)))))))))</f>
        <v/>
      </c>
      <c r="P1164">
        <f>IF($A1164="","",IF($E1164=1,$F1164*$O1164,PNL!G1164))</f>
        <v/>
      </c>
      <c r="T1164">
        <f>IF($A1164="","",IF($E1164=1,IF(OR($B1164="7062",$B1164="706",$B1164="708"),$P1164,IF(AND(LEFT($B1164,1)="6",$B1164&lt;&gt;"6811"),-$P1164,0)),0))</f>
        <v/>
      </c>
    </row>
    <row r="1165">
      <c r="A1165">
        <f>IF(PNL!A1165="","",PNL!A1165)</f>
        <v/>
      </c>
      <c r="B1165">
        <f>IF(PNL!B1165="","",PNL!B1165)</f>
        <v/>
      </c>
      <c r="C1165">
        <f>IF(PNL!C1165="","",PNL!C1165)</f>
        <v/>
      </c>
      <c r="D1165">
        <f>IF(PNL!D1165="","",PNL!D1165)</f>
        <v/>
      </c>
      <c r="E1165">
        <f>IF($A1165="","",IF(AND($C1165="2027",OR($D1165="V01",$D1165="V02",$D1165="V03")),1,0))</f>
        <v/>
      </c>
      <c r="F1165">
        <f>IF($A1165="","",IF($E1165=1,SUMIFS(Comptabilité!$F$1:$F$675,Comptabilité!$A$1:$A$675,$A1165,Comptabilité!$B$1:$B$675,$B1165,Comptabilité!$C$1:$C$675,"2026"),0))</f>
        <v/>
      </c>
      <c r="G1165">
        <f>IF($A1165="","",IF($D1165="V01",Cadrage!$C$22,IF($D1165="V02",Cadrage!$D$22,Cadrage!$E$22)))</f>
        <v/>
      </c>
      <c r="H1165">
        <f>IF($A1165="","",IF($D1165="V01",Cadrage!$C$23,IF($D1165="V02",Cadrage!$D$23,Cadrage!$E$23)))</f>
        <v/>
      </c>
      <c r="I1165">
        <f>IF($A1165="","",IF($D1165="V01",Cadrage!$C$31,IF($D1165="V02",Cadrage!$D$31,Cadrage!$E$31)))</f>
        <v/>
      </c>
      <c r="J1165">
        <f>IF($A1165="","",IF($D1165="V01",Cadrage!$C$32,IF($D1165="V02",Cadrage!$D$32,Cadrage!$E$32)))</f>
        <v/>
      </c>
      <c r="K1165">
        <f>IF($A1165="","",IF($D1165="V01",Cadrage!$C$33,IF($D1165="V02",Cadrage!$D$33,Cadrage!$E$33)))</f>
        <v/>
      </c>
      <c r="L1165">
        <f>IF($A1165="","",IF($D1165="V01",Cadrage!$C$34,IF($D1165="V02",Cadrage!$D$34,Cadrage!$E$34)))</f>
        <v/>
      </c>
      <c r="M1165">
        <f>IF($A1165="","",IF($D1165="V01",Cadrage!$C$35,IF($D1165="V02",Cadrage!$D$35,Cadrage!$E$35)))</f>
        <v/>
      </c>
      <c r="N1165">
        <f>IF($A1165="","",IF($D1165="V01",$R$2,IF($D1165="V02",$R$3,$R$4)))</f>
        <v/>
      </c>
      <c r="O1165">
        <f>IF($A1165="","",IF(OR($B1165="7062",$B1165="706",$B1165="708"),$N1165,IF($B1165="6231",1+$G1165,IF($B1165="6236",1+$H1165,IF(OR($B1165="621",$B1165="604",$B1165="6063"),$N1165*(1-$L1165),IF(OR($B1165="6411",$B1165="6413",$B1165="6414",$B1165="645"),(1+$J1165)*(1+$K1165),IF(OR($B1165="613",$B1165="615",$B1165="616",$B1165="6226",$B1165="625",$B1165="626",$B1165="6281"),(1+$I1165)*(1-$L1165)*(1+$M1165),IF(OR($B1165="6331",$B1165="63511",$B1165="6333"),(1+$I1165)*(1-$L1165),IF($B1165="6811",1+$I1165,1)))))))))</f>
        <v/>
      </c>
      <c r="P1165">
        <f>IF($A1165="","",IF($E1165=1,$F1165*$O1165,PNL!G1165))</f>
        <v/>
      </c>
      <c r="T1165">
        <f>IF($A1165="","",IF($E1165=1,IF(OR($B1165="7062",$B1165="706",$B1165="708"),$P1165,IF(AND(LEFT($B1165,1)="6",$B1165&lt;&gt;"6811"),-$P1165,0)),0))</f>
        <v/>
      </c>
    </row>
    <row r="1166">
      <c r="A1166">
        <f>IF(PNL!A1166="","",PNL!A1166)</f>
        <v/>
      </c>
      <c r="B1166">
        <f>IF(PNL!B1166="","",PNL!B1166)</f>
        <v/>
      </c>
      <c r="C1166">
        <f>IF(PNL!C1166="","",PNL!C1166)</f>
        <v/>
      </c>
      <c r="D1166">
        <f>IF(PNL!D1166="","",PNL!D1166)</f>
        <v/>
      </c>
      <c r="E1166">
        <f>IF($A1166="","",IF(AND($C1166="2027",OR($D1166="V01",$D1166="V02",$D1166="V03")),1,0))</f>
        <v/>
      </c>
      <c r="F1166">
        <f>IF($A1166="","",IF($E1166=1,SUMIFS(Comptabilité!$F$1:$F$675,Comptabilité!$A$1:$A$675,$A1166,Comptabilité!$B$1:$B$675,$B1166,Comptabilité!$C$1:$C$675,"2026"),0))</f>
        <v/>
      </c>
      <c r="G1166">
        <f>IF($A1166="","",IF($D1166="V01",Cadrage!$C$22,IF($D1166="V02",Cadrage!$D$22,Cadrage!$E$22)))</f>
        <v/>
      </c>
      <c r="H1166">
        <f>IF($A1166="","",IF($D1166="V01",Cadrage!$C$23,IF($D1166="V02",Cadrage!$D$23,Cadrage!$E$23)))</f>
        <v/>
      </c>
      <c r="I1166">
        <f>IF($A1166="","",IF($D1166="V01",Cadrage!$C$31,IF($D1166="V02",Cadrage!$D$31,Cadrage!$E$31)))</f>
        <v/>
      </c>
      <c r="J1166">
        <f>IF($A1166="","",IF($D1166="V01",Cadrage!$C$32,IF($D1166="V02",Cadrage!$D$32,Cadrage!$E$32)))</f>
        <v/>
      </c>
      <c r="K1166">
        <f>IF($A1166="","",IF($D1166="V01",Cadrage!$C$33,IF($D1166="V02",Cadrage!$D$33,Cadrage!$E$33)))</f>
        <v/>
      </c>
      <c r="L1166">
        <f>IF($A1166="","",IF($D1166="V01",Cadrage!$C$34,IF($D1166="V02",Cadrage!$D$34,Cadrage!$E$34)))</f>
        <v/>
      </c>
      <c r="M1166">
        <f>IF($A1166="","",IF($D1166="V01",Cadrage!$C$35,IF($D1166="V02",Cadrage!$D$35,Cadrage!$E$35)))</f>
        <v/>
      </c>
      <c r="N1166">
        <f>IF($A1166="","",IF($D1166="V01",$R$2,IF($D1166="V02",$R$3,$R$4)))</f>
        <v/>
      </c>
      <c r="O1166">
        <f>IF($A1166="","",IF(OR($B1166="7062",$B1166="706",$B1166="708"),$N1166,IF($B1166="6231",1+$G1166,IF($B1166="6236",1+$H1166,IF(OR($B1166="621",$B1166="604",$B1166="6063"),$N1166*(1-$L1166),IF(OR($B1166="6411",$B1166="6413",$B1166="6414",$B1166="645"),(1+$J1166)*(1+$K1166),IF(OR($B1166="613",$B1166="615",$B1166="616",$B1166="6226",$B1166="625",$B1166="626",$B1166="6281"),(1+$I1166)*(1-$L1166)*(1+$M1166),IF(OR($B1166="6331",$B1166="63511",$B1166="6333"),(1+$I1166)*(1-$L1166),IF($B1166="6811",1+$I1166,1)))))))))</f>
        <v/>
      </c>
      <c r="P1166">
        <f>IF($A1166="","",IF($E1166=1,$F1166*$O1166,PNL!G1166))</f>
        <v/>
      </c>
      <c r="T1166">
        <f>IF($A1166="","",IF($E1166=1,IF(OR($B1166="7062",$B1166="706",$B1166="708"),$P1166,IF(AND(LEFT($B1166,1)="6",$B1166&lt;&gt;"6811"),-$P1166,0)),0))</f>
        <v/>
      </c>
    </row>
    <row r="1167">
      <c r="A1167">
        <f>IF(PNL!A1167="","",PNL!A1167)</f>
        <v/>
      </c>
      <c r="B1167">
        <f>IF(PNL!B1167="","",PNL!B1167)</f>
        <v/>
      </c>
      <c r="C1167">
        <f>IF(PNL!C1167="","",PNL!C1167)</f>
        <v/>
      </c>
      <c r="D1167">
        <f>IF(PNL!D1167="","",PNL!D1167)</f>
        <v/>
      </c>
      <c r="E1167">
        <f>IF($A1167="","",IF(AND($C1167="2027",OR($D1167="V01",$D1167="V02",$D1167="V03")),1,0))</f>
        <v/>
      </c>
      <c r="F1167">
        <f>IF($A1167="","",IF($E1167=1,SUMIFS(Comptabilité!$F$1:$F$675,Comptabilité!$A$1:$A$675,$A1167,Comptabilité!$B$1:$B$675,$B1167,Comptabilité!$C$1:$C$675,"2026"),0))</f>
        <v/>
      </c>
      <c r="G1167">
        <f>IF($A1167="","",IF($D1167="V01",Cadrage!$C$22,IF($D1167="V02",Cadrage!$D$22,Cadrage!$E$22)))</f>
        <v/>
      </c>
      <c r="H1167">
        <f>IF($A1167="","",IF($D1167="V01",Cadrage!$C$23,IF($D1167="V02",Cadrage!$D$23,Cadrage!$E$23)))</f>
        <v/>
      </c>
      <c r="I1167">
        <f>IF($A1167="","",IF($D1167="V01",Cadrage!$C$31,IF($D1167="V02",Cadrage!$D$31,Cadrage!$E$31)))</f>
        <v/>
      </c>
      <c r="J1167">
        <f>IF($A1167="","",IF($D1167="V01",Cadrage!$C$32,IF($D1167="V02",Cadrage!$D$32,Cadrage!$E$32)))</f>
        <v/>
      </c>
      <c r="K1167">
        <f>IF($A1167="","",IF($D1167="V01",Cadrage!$C$33,IF($D1167="V02",Cadrage!$D$33,Cadrage!$E$33)))</f>
        <v/>
      </c>
      <c r="L1167">
        <f>IF($A1167="","",IF($D1167="V01",Cadrage!$C$34,IF($D1167="V02",Cadrage!$D$34,Cadrage!$E$34)))</f>
        <v/>
      </c>
      <c r="M1167">
        <f>IF($A1167="","",IF($D1167="V01",Cadrage!$C$35,IF($D1167="V02",Cadrage!$D$35,Cadrage!$E$35)))</f>
        <v/>
      </c>
      <c r="N1167">
        <f>IF($A1167="","",IF($D1167="V01",$R$2,IF($D1167="V02",$R$3,$R$4)))</f>
        <v/>
      </c>
      <c r="O1167">
        <f>IF($A1167="","",IF(OR($B1167="7062",$B1167="706",$B1167="708"),$N1167,IF($B1167="6231",1+$G1167,IF($B1167="6236",1+$H1167,IF(OR($B1167="621",$B1167="604",$B1167="6063"),$N1167*(1-$L1167),IF(OR($B1167="6411",$B1167="6413",$B1167="6414",$B1167="645"),(1+$J1167)*(1+$K1167),IF(OR($B1167="613",$B1167="615",$B1167="616",$B1167="6226",$B1167="625",$B1167="626",$B1167="6281"),(1+$I1167)*(1-$L1167)*(1+$M1167),IF(OR($B1167="6331",$B1167="63511",$B1167="6333"),(1+$I1167)*(1-$L1167),IF($B1167="6811",1+$I1167,1)))))))))</f>
        <v/>
      </c>
      <c r="P1167">
        <f>IF($A1167="","",IF($E1167=1,$F1167*$O1167,PNL!G1167))</f>
        <v/>
      </c>
      <c r="T1167">
        <f>IF($A1167="","",IF($E1167=1,IF(OR($B1167="7062",$B1167="706",$B1167="708"),$P1167,IF(AND(LEFT($B1167,1)="6",$B1167&lt;&gt;"6811"),-$P1167,0)),0))</f>
        <v/>
      </c>
    </row>
    <row r="1168">
      <c r="A1168">
        <f>IF(PNL!A1168="","",PNL!A1168)</f>
        <v/>
      </c>
      <c r="B1168">
        <f>IF(PNL!B1168="","",PNL!B1168)</f>
        <v/>
      </c>
      <c r="C1168">
        <f>IF(PNL!C1168="","",PNL!C1168)</f>
        <v/>
      </c>
      <c r="D1168">
        <f>IF(PNL!D1168="","",PNL!D1168)</f>
        <v/>
      </c>
      <c r="E1168">
        <f>IF($A1168="","",IF(AND($C1168="2027",OR($D1168="V01",$D1168="V02",$D1168="V03")),1,0))</f>
        <v/>
      </c>
      <c r="F1168">
        <f>IF($A1168="","",IF($E1168=1,SUMIFS(Comptabilité!$F$1:$F$675,Comptabilité!$A$1:$A$675,$A1168,Comptabilité!$B$1:$B$675,$B1168,Comptabilité!$C$1:$C$675,"2026"),0))</f>
        <v/>
      </c>
      <c r="G1168">
        <f>IF($A1168="","",IF($D1168="V01",Cadrage!$C$22,IF($D1168="V02",Cadrage!$D$22,Cadrage!$E$22)))</f>
        <v/>
      </c>
      <c r="H1168">
        <f>IF($A1168="","",IF($D1168="V01",Cadrage!$C$23,IF($D1168="V02",Cadrage!$D$23,Cadrage!$E$23)))</f>
        <v/>
      </c>
      <c r="I1168">
        <f>IF($A1168="","",IF($D1168="V01",Cadrage!$C$31,IF($D1168="V02",Cadrage!$D$31,Cadrage!$E$31)))</f>
        <v/>
      </c>
      <c r="J1168">
        <f>IF($A1168="","",IF($D1168="V01",Cadrage!$C$32,IF($D1168="V02",Cadrage!$D$32,Cadrage!$E$32)))</f>
        <v/>
      </c>
      <c r="K1168">
        <f>IF($A1168="","",IF($D1168="V01",Cadrage!$C$33,IF($D1168="V02",Cadrage!$D$33,Cadrage!$E$33)))</f>
        <v/>
      </c>
      <c r="L1168">
        <f>IF($A1168="","",IF($D1168="V01",Cadrage!$C$34,IF($D1168="V02",Cadrage!$D$34,Cadrage!$E$34)))</f>
        <v/>
      </c>
      <c r="M1168">
        <f>IF($A1168="","",IF($D1168="V01",Cadrage!$C$35,IF($D1168="V02",Cadrage!$D$35,Cadrage!$E$35)))</f>
        <v/>
      </c>
      <c r="N1168">
        <f>IF($A1168="","",IF($D1168="V01",$R$2,IF($D1168="V02",$R$3,$R$4)))</f>
        <v/>
      </c>
      <c r="O1168">
        <f>IF($A1168="","",IF(OR($B1168="7062",$B1168="706",$B1168="708"),$N1168,IF($B1168="6231",1+$G1168,IF($B1168="6236",1+$H1168,IF(OR($B1168="621",$B1168="604",$B1168="6063"),$N1168*(1-$L1168),IF(OR($B1168="6411",$B1168="6413",$B1168="6414",$B1168="645"),(1+$J1168)*(1+$K1168),IF(OR($B1168="613",$B1168="615",$B1168="616",$B1168="6226",$B1168="625",$B1168="626",$B1168="6281"),(1+$I1168)*(1-$L1168)*(1+$M1168),IF(OR($B1168="6331",$B1168="63511",$B1168="6333"),(1+$I1168)*(1-$L1168),IF($B1168="6811",1+$I1168,1)))))))))</f>
        <v/>
      </c>
      <c r="P1168">
        <f>IF($A1168="","",IF($E1168=1,$F1168*$O1168,PNL!G1168))</f>
        <v/>
      </c>
      <c r="T1168">
        <f>IF($A1168="","",IF($E1168=1,IF(OR($B1168="7062",$B1168="706",$B1168="708"),$P1168,IF(AND(LEFT($B1168,1)="6",$B1168&lt;&gt;"6811"),-$P1168,0)),0))</f>
        <v/>
      </c>
    </row>
    <row r="1169">
      <c r="A1169">
        <f>IF(PNL!A1169="","",PNL!A1169)</f>
        <v/>
      </c>
      <c r="B1169">
        <f>IF(PNL!B1169="","",PNL!B1169)</f>
        <v/>
      </c>
      <c r="C1169">
        <f>IF(PNL!C1169="","",PNL!C1169)</f>
        <v/>
      </c>
      <c r="D1169">
        <f>IF(PNL!D1169="","",PNL!D1169)</f>
        <v/>
      </c>
      <c r="E1169">
        <f>IF($A1169="","",IF(AND($C1169="2027",OR($D1169="V01",$D1169="V02",$D1169="V03")),1,0))</f>
        <v/>
      </c>
      <c r="F1169">
        <f>IF($A1169="","",IF($E1169=1,SUMIFS(Comptabilité!$F$1:$F$675,Comptabilité!$A$1:$A$675,$A1169,Comptabilité!$B$1:$B$675,$B1169,Comptabilité!$C$1:$C$675,"2026"),0))</f>
        <v/>
      </c>
      <c r="G1169">
        <f>IF($A1169="","",IF($D1169="V01",Cadrage!$C$22,IF($D1169="V02",Cadrage!$D$22,Cadrage!$E$22)))</f>
        <v/>
      </c>
      <c r="H1169">
        <f>IF($A1169="","",IF($D1169="V01",Cadrage!$C$23,IF($D1169="V02",Cadrage!$D$23,Cadrage!$E$23)))</f>
        <v/>
      </c>
      <c r="I1169">
        <f>IF($A1169="","",IF($D1169="V01",Cadrage!$C$31,IF($D1169="V02",Cadrage!$D$31,Cadrage!$E$31)))</f>
        <v/>
      </c>
      <c r="J1169">
        <f>IF($A1169="","",IF($D1169="V01",Cadrage!$C$32,IF($D1169="V02",Cadrage!$D$32,Cadrage!$E$32)))</f>
        <v/>
      </c>
      <c r="K1169">
        <f>IF($A1169="","",IF($D1169="V01",Cadrage!$C$33,IF($D1169="V02",Cadrage!$D$33,Cadrage!$E$33)))</f>
        <v/>
      </c>
      <c r="L1169">
        <f>IF($A1169="","",IF($D1169="V01",Cadrage!$C$34,IF($D1169="V02",Cadrage!$D$34,Cadrage!$E$34)))</f>
        <v/>
      </c>
      <c r="M1169">
        <f>IF($A1169="","",IF($D1169="V01",Cadrage!$C$35,IF($D1169="V02",Cadrage!$D$35,Cadrage!$E$35)))</f>
        <v/>
      </c>
      <c r="N1169">
        <f>IF($A1169="","",IF($D1169="V01",$R$2,IF($D1169="V02",$R$3,$R$4)))</f>
        <v/>
      </c>
      <c r="O1169">
        <f>IF($A1169="","",IF(OR($B1169="7062",$B1169="706",$B1169="708"),$N1169,IF($B1169="6231",1+$G1169,IF($B1169="6236",1+$H1169,IF(OR($B1169="621",$B1169="604",$B1169="6063"),$N1169*(1-$L1169),IF(OR($B1169="6411",$B1169="6413",$B1169="6414",$B1169="645"),(1+$J1169)*(1+$K1169),IF(OR($B1169="613",$B1169="615",$B1169="616",$B1169="6226",$B1169="625",$B1169="626",$B1169="6281"),(1+$I1169)*(1-$L1169)*(1+$M1169),IF(OR($B1169="6331",$B1169="63511",$B1169="6333"),(1+$I1169)*(1-$L1169),IF($B1169="6811",1+$I1169,1)))))))))</f>
        <v/>
      </c>
      <c r="P1169">
        <f>IF($A1169="","",IF($E1169=1,$F1169*$O1169,PNL!G1169))</f>
        <v/>
      </c>
      <c r="T1169">
        <f>IF($A1169="","",IF($E1169=1,IF(OR($B1169="7062",$B1169="706",$B1169="708"),$P1169,IF(AND(LEFT($B1169,1)="6",$B1169&lt;&gt;"6811"),-$P1169,0)),0))</f>
        <v/>
      </c>
    </row>
    <row r="1170">
      <c r="A1170">
        <f>IF(PNL!A1170="","",PNL!A1170)</f>
        <v/>
      </c>
      <c r="B1170">
        <f>IF(PNL!B1170="","",PNL!B1170)</f>
        <v/>
      </c>
      <c r="C1170">
        <f>IF(PNL!C1170="","",PNL!C1170)</f>
        <v/>
      </c>
      <c r="D1170">
        <f>IF(PNL!D1170="","",PNL!D1170)</f>
        <v/>
      </c>
      <c r="E1170">
        <f>IF($A1170="","",IF(AND($C1170="2027",OR($D1170="V01",$D1170="V02",$D1170="V03")),1,0))</f>
        <v/>
      </c>
      <c r="F1170">
        <f>IF($A1170="","",IF($E1170=1,SUMIFS(Comptabilité!$F$1:$F$675,Comptabilité!$A$1:$A$675,$A1170,Comptabilité!$B$1:$B$675,$B1170,Comptabilité!$C$1:$C$675,"2026"),0))</f>
        <v/>
      </c>
      <c r="G1170">
        <f>IF($A1170="","",IF($D1170="V01",Cadrage!$C$22,IF($D1170="V02",Cadrage!$D$22,Cadrage!$E$22)))</f>
        <v/>
      </c>
      <c r="H1170">
        <f>IF($A1170="","",IF($D1170="V01",Cadrage!$C$23,IF($D1170="V02",Cadrage!$D$23,Cadrage!$E$23)))</f>
        <v/>
      </c>
      <c r="I1170">
        <f>IF($A1170="","",IF($D1170="V01",Cadrage!$C$31,IF($D1170="V02",Cadrage!$D$31,Cadrage!$E$31)))</f>
        <v/>
      </c>
      <c r="J1170">
        <f>IF($A1170="","",IF($D1170="V01",Cadrage!$C$32,IF($D1170="V02",Cadrage!$D$32,Cadrage!$E$32)))</f>
        <v/>
      </c>
      <c r="K1170">
        <f>IF($A1170="","",IF($D1170="V01",Cadrage!$C$33,IF($D1170="V02",Cadrage!$D$33,Cadrage!$E$33)))</f>
        <v/>
      </c>
      <c r="L1170">
        <f>IF($A1170="","",IF($D1170="V01",Cadrage!$C$34,IF($D1170="V02",Cadrage!$D$34,Cadrage!$E$34)))</f>
        <v/>
      </c>
      <c r="M1170">
        <f>IF($A1170="","",IF($D1170="V01",Cadrage!$C$35,IF($D1170="V02",Cadrage!$D$35,Cadrage!$E$35)))</f>
        <v/>
      </c>
      <c r="N1170">
        <f>IF($A1170="","",IF($D1170="V01",$R$2,IF($D1170="V02",$R$3,$R$4)))</f>
        <v/>
      </c>
      <c r="O1170">
        <f>IF($A1170="","",IF(OR($B1170="7062",$B1170="706",$B1170="708"),$N1170,IF($B1170="6231",1+$G1170,IF($B1170="6236",1+$H1170,IF(OR($B1170="621",$B1170="604",$B1170="6063"),$N1170*(1-$L1170),IF(OR($B1170="6411",$B1170="6413",$B1170="6414",$B1170="645"),(1+$J1170)*(1+$K1170),IF(OR($B1170="613",$B1170="615",$B1170="616",$B1170="6226",$B1170="625",$B1170="626",$B1170="6281"),(1+$I1170)*(1-$L1170)*(1+$M1170),IF(OR($B1170="6331",$B1170="63511",$B1170="6333"),(1+$I1170)*(1-$L1170),IF($B1170="6811",1+$I1170,1)))))))))</f>
        <v/>
      </c>
      <c r="P1170">
        <f>IF($A1170="","",IF($E1170=1,$F1170*$O1170,PNL!G1170))</f>
        <v/>
      </c>
      <c r="T1170">
        <f>IF($A1170="","",IF($E1170=1,IF(OR($B1170="7062",$B1170="706",$B1170="708"),$P1170,IF(AND(LEFT($B1170,1)="6",$B1170&lt;&gt;"6811"),-$P1170,0)),0))</f>
        <v/>
      </c>
    </row>
    <row r="1171">
      <c r="A1171">
        <f>IF(PNL!A1171="","",PNL!A1171)</f>
        <v/>
      </c>
      <c r="B1171">
        <f>IF(PNL!B1171="","",PNL!B1171)</f>
        <v/>
      </c>
      <c r="C1171">
        <f>IF(PNL!C1171="","",PNL!C1171)</f>
        <v/>
      </c>
      <c r="D1171">
        <f>IF(PNL!D1171="","",PNL!D1171)</f>
        <v/>
      </c>
      <c r="E1171">
        <f>IF($A1171="","",IF(AND($C1171="2027",OR($D1171="V01",$D1171="V02",$D1171="V03")),1,0))</f>
        <v/>
      </c>
      <c r="F1171">
        <f>IF($A1171="","",IF($E1171=1,SUMIFS(Comptabilité!$F$1:$F$675,Comptabilité!$A$1:$A$675,$A1171,Comptabilité!$B$1:$B$675,$B1171,Comptabilité!$C$1:$C$675,"2026"),0))</f>
        <v/>
      </c>
      <c r="G1171">
        <f>IF($A1171="","",IF($D1171="V01",Cadrage!$C$22,IF($D1171="V02",Cadrage!$D$22,Cadrage!$E$22)))</f>
        <v/>
      </c>
      <c r="H1171">
        <f>IF($A1171="","",IF($D1171="V01",Cadrage!$C$23,IF($D1171="V02",Cadrage!$D$23,Cadrage!$E$23)))</f>
        <v/>
      </c>
      <c r="I1171">
        <f>IF($A1171="","",IF($D1171="V01",Cadrage!$C$31,IF($D1171="V02",Cadrage!$D$31,Cadrage!$E$31)))</f>
        <v/>
      </c>
      <c r="J1171">
        <f>IF($A1171="","",IF($D1171="V01",Cadrage!$C$32,IF($D1171="V02",Cadrage!$D$32,Cadrage!$E$32)))</f>
        <v/>
      </c>
      <c r="K1171">
        <f>IF($A1171="","",IF($D1171="V01",Cadrage!$C$33,IF($D1171="V02",Cadrage!$D$33,Cadrage!$E$33)))</f>
        <v/>
      </c>
      <c r="L1171">
        <f>IF($A1171="","",IF($D1171="V01",Cadrage!$C$34,IF($D1171="V02",Cadrage!$D$34,Cadrage!$E$34)))</f>
        <v/>
      </c>
      <c r="M1171">
        <f>IF($A1171="","",IF($D1171="V01",Cadrage!$C$35,IF($D1171="V02",Cadrage!$D$35,Cadrage!$E$35)))</f>
        <v/>
      </c>
      <c r="N1171">
        <f>IF($A1171="","",IF($D1171="V01",$R$2,IF($D1171="V02",$R$3,$R$4)))</f>
        <v/>
      </c>
      <c r="O1171">
        <f>IF($A1171="","",IF(OR($B1171="7062",$B1171="706",$B1171="708"),$N1171,IF($B1171="6231",1+$G1171,IF($B1171="6236",1+$H1171,IF(OR($B1171="621",$B1171="604",$B1171="6063"),$N1171*(1-$L1171),IF(OR($B1171="6411",$B1171="6413",$B1171="6414",$B1171="645"),(1+$J1171)*(1+$K1171),IF(OR($B1171="613",$B1171="615",$B1171="616",$B1171="6226",$B1171="625",$B1171="626",$B1171="6281"),(1+$I1171)*(1-$L1171)*(1+$M1171),IF(OR($B1171="6331",$B1171="63511",$B1171="6333"),(1+$I1171)*(1-$L1171),IF($B1171="6811",1+$I1171,1)))))))))</f>
        <v/>
      </c>
      <c r="P1171">
        <f>IF($A1171="","",IF($E1171=1,$F1171*$O1171,PNL!G1171))</f>
        <v/>
      </c>
      <c r="T1171">
        <f>IF($A1171="","",IF($E1171=1,IF(OR($B1171="7062",$B1171="706",$B1171="708"),$P1171,IF(AND(LEFT($B1171,1)="6",$B1171&lt;&gt;"6811"),-$P1171,0)),0))</f>
        <v/>
      </c>
    </row>
    <row r="1172">
      <c r="A1172">
        <f>IF(PNL!A1172="","",PNL!A1172)</f>
        <v/>
      </c>
      <c r="B1172">
        <f>IF(PNL!B1172="","",PNL!B1172)</f>
        <v/>
      </c>
      <c r="C1172">
        <f>IF(PNL!C1172="","",PNL!C1172)</f>
        <v/>
      </c>
      <c r="D1172">
        <f>IF(PNL!D1172="","",PNL!D1172)</f>
        <v/>
      </c>
      <c r="E1172">
        <f>IF($A1172="","",IF(AND($C1172="2027",OR($D1172="V01",$D1172="V02",$D1172="V03")),1,0))</f>
        <v/>
      </c>
      <c r="F1172">
        <f>IF($A1172="","",IF($E1172=1,SUMIFS(Comptabilité!$F$1:$F$675,Comptabilité!$A$1:$A$675,$A1172,Comptabilité!$B$1:$B$675,$B1172,Comptabilité!$C$1:$C$675,"2026"),0))</f>
        <v/>
      </c>
      <c r="G1172">
        <f>IF($A1172="","",IF($D1172="V01",Cadrage!$C$22,IF($D1172="V02",Cadrage!$D$22,Cadrage!$E$22)))</f>
        <v/>
      </c>
      <c r="H1172">
        <f>IF($A1172="","",IF($D1172="V01",Cadrage!$C$23,IF($D1172="V02",Cadrage!$D$23,Cadrage!$E$23)))</f>
        <v/>
      </c>
      <c r="I1172">
        <f>IF($A1172="","",IF($D1172="V01",Cadrage!$C$31,IF($D1172="V02",Cadrage!$D$31,Cadrage!$E$31)))</f>
        <v/>
      </c>
      <c r="J1172">
        <f>IF($A1172="","",IF($D1172="V01",Cadrage!$C$32,IF($D1172="V02",Cadrage!$D$32,Cadrage!$E$32)))</f>
        <v/>
      </c>
      <c r="K1172">
        <f>IF($A1172="","",IF($D1172="V01",Cadrage!$C$33,IF($D1172="V02",Cadrage!$D$33,Cadrage!$E$33)))</f>
        <v/>
      </c>
      <c r="L1172">
        <f>IF($A1172="","",IF($D1172="V01",Cadrage!$C$34,IF($D1172="V02",Cadrage!$D$34,Cadrage!$E$34)))</f>
        <v/>
      </c>
      <c r="M1172">
        <f>IF($A1172="","",IF($D1172="V01",Cadrage!$C$35,IF($D1172="V02",Cadrage!$D$35,Cadrage!$E$35)))</f>
        <v/>
      </c>
      <c r="N1172">
        <f>IF($A1172="","",IF($D1172="V01",$R$2,IF($D1172="V02",$R$3,$R$4)))</f>
        <v/>
      </c>
      <c r="O1172">
        <f>IF($A1172="","",IF(OR($B1172="7062",$B1172="706",$B1172="708"),$N1172,IF($B1172="6231",1+$G1172,IF($B1172="6236",1+$H1172,IF(OR($B1172="621",$B1172="604",$B1172="6063"),$N1172*(1-$L1172),IF(OR($B1172="6411",$B1172="6413",$B1172="6414",$B1172="645"),(1+$J1172)*(1+$K1172),IF(OR($B1172="613",$B1172="615",$B1172="616",$B1172="6226",$B1172="625",$B1172="626",$B1172="6281"),(1+$I1172)*(1-$L1172)*(1+$M1172),IF(OR($B1172="6331",$B1172="63511",$B1172="6333"),(1+$I1172)*(1-$L1172),IF($B1172="6811",1+$I1172,1)))))))))</f>
        <v/>
      </c>
      <c r="P1172">
        <f>IF($A1172="","",IF($E1172=1,$F1172*$O1172,PNL!G1172))</f>
        <v/>
      </c>
      <c r="T1172">
        <f>IF($A1172="","",IF($E1172=1,IF(OR($B1172="7062",$B1172="706",$B1172="708"),$P1172,IF(AND(LEFT($B1172,1)="6",$B1172&lt;&gt;"6811"),-$P1172,0)),0))</f>
        <v/>
      </c>
    </row>
    <row r="1173">
      <c r="A1173">
        <f>IF(PNL!A1173="","",PNL!A1173)</f>
        <v/>
      </c>
      <c r="B1173">
        <f>IF(PNL!B1173="","",PNL!B1173)</f>
        <v/>
      </c>
      <c r="C1173">
        <f>IF(PNL!C1173="","",PNL!C1173)</f>
        <v/>
      </c>
      <c r="D1173">
        <f>IF(PNL!D1173="","",PNL!D1173)</f>
        <v/>
      </c>
      <c r="E1173">
        <f>IF($A1173="","",IF(AND($C1173="2027",OR($D1173="V01",$D1173="V02",$D1173="V03")),1,0))</f>
        <v/>
      </c>
      <c r="F1173">
        <f>IF($A1173="","",IF($E1173=1,SUMIFS(Comptabilité!$F$1:$F$675,Comptabilité!$A$1:$A$675,$A1173,Comptabilité!$B$1:$B$675,$B1173,Comptabilité!$C$1:$C$675,"2026"),0))</f>
        <v/>
      </c>
      <c r="G1173">
        <f>IF($A1173="","",IF($D1173="V01",Cadrage!$C$22,IF($D1173="V02",Cadrage!$D$22,Cadrage!$E$22)))</f>
        <v/>
      </c>
      <c r="H1173">
        <f>IF($A1173="","",IF($D1173="V01",Cadrage!$C$23,IF($D1173="V02",Cadrage!$D$23,Cadrage!$E$23)))</f>
        <v/>
      </c>
      <c r="I1173">
        <f>IF($A1173="","",IF($D1173="V01",Cadrage!$C$31,IF($D1173="V02",Cadrage!$D$31,Cadrage!$E$31)))</f>
        <v/>
      </c>
      <c r="J1173">
        <f>IF($A1173="","",IF($D1173="V01",Cadrage!$C$32,IF($D1173="V02",Cadrage!$D$32,Cadrage!$E$32)))</f>
        <v/>
      </c>
      <c r="K1173">
        <f>IF($A1173="","",IF($D1173="V01",Cadrage!$C$33,IF($D1173="V02",Cadrage!$D$33,Cadrage!$E$33)))</f>
        <v/>
      </c>
      <c r="L1173">
        <f>IF($A1173="","",IF($D1173="V01",Cadrage!$C$34,IF($D1173="V02",Cadrage!$D$34,Cadrage!$E$34)))</f>
        <v/>
      </c>
      <c r="M1173">
        <f>IF($A1173="","",IF($D1173="V01",Cadrage!$C$35,IF($D1173="V02",Cadrage!$D$35,Cadrage!$E$35)))</f>
        <v/>
      </c>
      <c r="N1173">
        <f>IF($A1173="","",IF($D1173="V01",$R$2,IF($D1173="V02",$R$3,$R$4)))</f>
        <v/>
      </c>
      <c r="O1173">
        <f>IF($A1173="","",IF(OR($B1173="7062",$B1173="706",$B1173="708"),$N1173,IF($B1173="6231",1+$G1173,IF($B1173="6236",1+$H1173,IF(OR($B1173="621",$B1173="604",$B1173="6063"),$N1173*(1-$L1173),IF(OR($B1173="6411",$B1173="6413",$B1173="6414",$B1173="645"),(1+$J1173)*(1+$K1173),IF(OR($B1173="613",$B1173="615",$B1173="616",$B1173="6226",$B1173="625",$B1173="626",$B1173="6281"),(1+$I1173)*(1-$L1173)*(1+$M1173),IF(OR($B1173="6331",$B1173="63511",$B1173="6333"),(1+$I1173)*(1-$L1173),IF($B1173="6811",1+$I1173,1)))))))))</f>
        <v/>
      </c>
      <c r="P1173">
        <f>IF($A1173="","",IF($E1173=1,$F1173*$O1173,PNL!G1173))</f>
        <v/>
      </c>
      <c r="T1173">
        <f>IF($A1173="","",IF($E1173=1,IF(OR($B1173="7062",$B1173="706",$B1173="708"),$P1173,IF(AND(LEFT($B1173,1)="6",$B1173&lt;&gt;"6811"),-$P1173,0)),0))</f>
        <v/>
      </c>
    </row>
    <row r="1174">
      <c r="A1174">
        <f>IF(PNL!A1174="","",PNL!A1174)</f>
        <v/>
      </c>
      <c r="B1174">
        <f>IF(PNL!B1174="","",PNL!B1174)</f>
        <v/>
      </c>
      <c r="C1174">
        <f>IF(PNL!C1174="","",PNL!C1174)</f>
        <v/>
      </c>
      <c r="D1174">
        <f>IF(PNL!D1174="","",PNL!D1174)</f>
        <v/>
      </c>
      <c r="E1174">
        <f>IF($A1174="","",IF(AND($C1174="2027",OR($D1174="V01",$D1174="V02",$D1174="V03")),1,0))</f>
        <v/>
      </c>
      <c r="F1174">
        <f>IF($A1174="","",IF($E1174=1,SUMIFS(Comptabilité!$F$1:$F$675,Comptabilité!$A$1:$A$675,$A1174,Comptabilité!$B$1:$B$675,$B1174,Comptabilité!$C$1:$C$675,"2026"),0))</f>
        <v/>
      </c>
      <c r="G1174">
        <f>IF($A1174="","",IF($D1174="V01",Cadrage!$C$22,IF($D1174="V02",Cadrage!$D$22,Cadrage!$E$22)))</f>
        <v/>
      </c>
      <c r="H1174">
        <f>IF($A1174="","",IF($D1174="V01",Cadrage!$C$23,IF($D1174="V02",Cadrage!$D$23,Cadrage!$E$23)))</f>
        <v/>
      </c>
      <c r="I1174">
        <f>IF($A1174="","",IF($D1174="V01",Cadrage!$C$31,IF($D1174="V02",Cadrage!$D$31,Cadrage!$E$31)))</f>
        <v/>
      </c>
      <c r="J1174">
        <f>IF($A1174="","",IF($D1174="V01",Cadrage!$C$32,IF($D1174="V02",Cadrage!$D$32,Cadrage!$E$32)))</f>
        <v/>
      </c>
      <c r="K1174">
        <f>IF($A1174="","",IF($D1174="V01",Cadrage!$C$33,IF($D1174="V02",Cadrage!$D$33,Cadrage!$E$33)))</f>
        <v/>
      </c>
      <c r="L1174">
        <f>IF($A1174="","",IF($D1174="V01",Cadrage!$C$34,IF($D1174="V02",Cadrage!$D$34,Cadrage!$E$34)))</f>
        <v/>
      </c>
      <c r="M1174">
        <f>IF($A1174="","",IF($D1174="V01",Cadrage!$C$35,IF($D1174="V02",Cadrage!$D$35,Cadrage!$E$35)))</f>
        <v/>
      </c>
      <c r="N1174">
        <f>IF($A1174="","",IF($D1174="V01",$R$2,IF($D1174="V02",$R$3,$R$4)))</f>
        <v/>
      </c>
      <c r="O1174">
        <f>IF($A1174="","",IF(OR($B1174="7062",$B1174="706",$B1174="708"),$N1174,IF($B1174="6231",1+$G1174,IF($B1174="6236",1+$H1174,IF(OR($B1174="621",$B1174="604",$B1174="6063"),$N1174*(1-$L1174),IF(OR($B1174="6411",$B1174="6413",$B1174="6414",$B1174="645"),(1+$J1174)*(1+$K1174),IF(OR($B1174="613",$B1174="615",$B1174="616",$B1174="6226",$B1174="625",$B1174="626",$B1174="6281"),(1+$I1174)*(1-$L1174)*(1+$M1174),IF(OR($B1174="6331",$B1174="63511",$B1174="6333"),(1+$I1174)*(1-$L1174),IF($B1174="6811",1+$I1174,1)))))))))</f>
        <v/>
      </c>
      <c r="P1174">
        <f>IF($A1174="","",IF($E1174=1,$F1174*$O1174,PNL!G1174))</f>
        <v/>
      </c>
      <c r="T1174">
        <f>IF($A1174="","",IF($E1174=1,IF(OR($B1174="7062",$B1174="706",$B1174="708"),$P1174,IF(AND(LEFT($B1174,1)="6",$B1174&lt;&gt;"6811"),-$P1174,0)),0))</f>
        <v/>
      </c>
    </row>
    <row r="1175">
      <c r="A1175">
        <f>IF(PNL!A1175="","",PNL!A1175)</f>
        <v/>
      </c>
      <c r="B1175">
        <f>IF(PNL!B1175="","",PNL!B1175)</f>
        <v/>
      </c>
      <c r="C1175">
        <f>IF(PNL!C1175="","",PNL!C1175)</f>
        <v/>
      </c>
      <c r="D1175">
        <f>IF(PNL!D1175="","",PNL!D1175)</f>
        <v/>
      </c>
      <c r="E1175">
        <f>IF($A1175="","",IF(AND($C1175="2027",OR($D1175="V01",$D1175="V02",$D1175="V03")),1,0))</f>
        <v/>
      </c>
      <c r="F1175">
        <f>IF($A1175="","",IF($E1175=1,SUMIFS(Comptabilité!$F$1:$F$675,Comptabilité!$A$1:$A$675,$A1175,Comptabilité!$B$1:$B$675,$B1175,Comptabilité!$C$1:$C$675,"2026"),0))</f>
        <v/>
      </c>
      <c r="G1175">
        <f>IF($A1175="","",IF($D1175="V01",Cadrage!$C$22,IF($D1175="V02",Cadrage!$D$22,Cadrage!$E$22)))</f>
        <v/>
      </c>
      <c r="H1175">
        <f>IF($A1175="","",IF($D1175="V01",Cadrage!$C$23,IF($D1175="V02",Cadrage!$D$23,Cadrage!$E$23)))</f>
        <v/>
      </c>
      <c r="I1175">
        <f>IF($A1175="","",IF($D1175="V01",Cadrage!$C$31,IF($D1175="V02",Cadrage!$D$31,Cadrage!$E$31)))</f>
        <v/>
      </c>
      <c r="J1175">
        <f>IF($A1175="","",IF($D1175="V01",Cadrage!$C$32,IF($D1175="V02",Cadrage!$D$32,Cadrage!$E$32)))</f>
        <v/>
      </c>
      <c r="K1175">
        <f>IF($A1175="","",IF($D1175="V01",Cadrage!$C$33,IF($D1175="V02",Cadrage!$D$33,Cadrage!$E$33)))</f>
        <v/>
      </c>
      <c r="L1175">
        <f>IF($A1175="","",IF($D1175="V01",Cadrage!$C$34,IF($D1175="V02",Cadrage!$D$34,Cadrage!$E$34)))</f>
        <v/>
      </c>
      <c r="M1175">
        <f>IF($A1175="","",IF($D1175="V01",Cadrage!$C$35,IF($D1175="V02",Cadrage!$D$35,Cadrage!$E$35)))</f>
        <v/>
      </c>
      <c r="N1175">
        <f>IF($A1175="","",IF($D1175="V01",$R$2,IF($D1175="V02",$R$3,$R$4)))</f>
        <v/>
      </c>
      <c r="O1175">
        <f>IF($A1175="","",IF(OR($B1175="7062",$B1175="706",$B1175="708"),$N1175,IF($B1175="6231",1+$G1175,IF($B1175="6236",1+$H1175,IF(OR($B1175="621",$B1175="604",$B1175="6063"),$N1175*(1-$L1175),IF(OR($B1175="6411",$B1175="6413",$B1175="6414",$B1175="645"),(1+$J1175)*(1+$K1175),IF(OR($B1175="613",$B1175="615",$B1175="616",$B1175="6226",$B1175="625",$B1175="626",$B1175="6281"),(1+$I1175)*(1-$L1175)*(1+$M1175),IF(OR($B1175="6331",$B1175="63511",$B1175="6333"),(1+$I1175)*(1-$L1175),IF($B1175="6811",1+$I1175,1)))))))))</f>
        <v/>
      </c>
      <c r="P1175">
        <f>IF($A1175="","",IF($E1175=1,$F1175*$O1175,PNL!G1175))</f>
        <v/>
      </c>
      <c r="T1175">
        <f>IF($A1175="","",IF($E1175=1,IF(OR($B1175="7062",$B1175="706",$B1175="708"),$P1175,IF(AND(LEFT($B1175,1)="6",$B1175&lt;&gt;"6811"),-$P1175,0)),0))</f>
        <v/>
      </c>
    </row>
    <row r="1176">
      <c r="A1176">
        <f>IF(PNL!A1176="","",PNL!A1176)</f>
        <v/>
      </c>
      <c r="B1176">
        <f>IF(PNL!B1176="","",PNL!B1176)</f>
        <v/>
      </c>
      <c r="C1176">
        <f>IF(PNL!C1176="","",PNL!C1176)</f>
        <v/>
      </c>
      <c r="D1176">
        <f>IF(PNL!D1176="","",PNL!D1176)</f>
        <v/>
      </c>
      <c r="E1176">
        <f>IF($A1176="","",IF(AND($C1176="2027",OR($D1176="V01",$D1176="V02",$D1176="V03")),1,0))</f>
        <v/>
      </c>
      <c r="F1176">
        <f>IF($A1176="","",IF($E1176=1,SUMIFS(Comptabilité!$F$1:$F$675,Comptabilité!$A$1:$A$675,$A1176,Comptabilité!$B$1:$B$675,$B1176,Comptabilité!$C$1:$C$675,"2026"),0))</f>
        <v/>
      </c>
      <c r="G1176">
        <f>IF($A1176="","",IF($D1176="V01",Cadrage!$C$22,IF($D1176="V02",Cadrage!$D$22,Cadrage!$E$22)))</f>
        <v/>
      </c>
      <c r="H1176">
        <f>IF($A1176="","",IF($D1176="V01",Cadrage!$C$23,IF($D1176="V02",Cadrage!$D$23,Cadrage!$E$23)))</f>
        <v/>
      </c>
      <c r="I1176">
        <f>IF($A1176="","",IF($D1176="V01",Cadrage!$C$31,IF($D1176="V02",Cadrage!$D$31,Cadrage!$E$31)))</f>
        <v/>
      </c>
      <c r="J1176">
        <f>IF($A1176="","",IF($D1176="V01",Cadrage!$C$32,IF($D1176="V02",Cadrage!$D$32,Cadrage!$E$32)))</f>
        <v/>
      </c>
      <c r="K1176">
        <f>IF($A1176="","",IF($D1176="V01",Cadrage!$C$33,IF($D1176="V02",Cadrage!$D$33,Cadrage!$E$33)))</f>
        <v/>
      </c>
      <c r="L1176">
        <f>IF($A1176="","",IF($D1176="V01",Cadrage!$C$34,IF($D1176="V02",Cadrage!$D$34,Cadrage!$E$34)))</f>
        <v/>
      </c>
      <c r="M1176">
        <f>IF($A1176="","",IF($D1176="V01",Cadrage!$C$35,IF($D1176="V02",Cadrage!$D$35,Cadrage!$E$35)))</f>
        <v/>
      </c>
      <c r="N1176">
        <f>IF($A1176="","",IF($D1176="V01",$R$2,IF($D1176="V02",$R$3,$R$4)))</f>
        <v/>
      </c>
      <c r="O1176">
        <f>IF($A1176="","",IF(OR($B1176="7062",$B1176="706",$B1176="708"),$N1176,IF($B1176="6231",1+$G1176,IF($B1176="6236",1+$H1176,IF(OR($B1176="621",$B1176="604",$B1176="6063"),$N1176*(1-$L1176),IF(OR($B1176="6411",$B1176="6413",$B1176="6414",$B1176="645"),(1+$J1176)*(1+$K1176),IF(OR($B1176="613",$B1176="615",$B1176="616",$B1176="6226",$B1176="625",$B1176="626",$B1176="6281"),(1+$I1176)*(1-$L1176)*(1+$M1176),IF(OR($B1176="6331",$B1176="63511",$B1176="6333"),(1+$I1176)*(1-$L1176),IF($B1176="6811",1+$I1176,1)))))))))</f>
        <v/>
      </c>
      <c r="P1176">
        <f>IF($A1176="","",IF($E1176=1,$F1176*$O1176,PNL!G1176))</f>
        <v/>
      </c>
      <c r="T1176">
        <f>IF($A1176="","",IF($E1176=1,IF(OR($B1176="7062",$B1176="706",$B1176="708"),$P1176,IF(AND(LEFT($B1176,1)="6",$B1176&lt;&gt;"6811"),-$P1176,0)),0))</f>
        <v/>
      </c>
    </row>
    <row r="1177">
      <c r="A1177">
        <f>IF(PNL!A1177="","",PNL!A1177)</f>
        <v/>
      </c>
      <c r="B1177">
        <f>IF(PNL!B1177="","",PNL!B1177)</f>
        <v/>
      </c>
      <c r="C1177">
        <f>IF(PNL!C1177="","",PNL!C1177)</f>
        <v/>
      </c>
      <c r="D1177">
        <f>IF(PNL!D1177="","",PNL!D1177)</f>
        <v/>
      </c>
      <c r="E1177">
        <f>IF($A1177="","",IF(AND($C1177="2027",OR($D1177="V01",$D1177="V02",$D1177="V03")),1,0))</f>
        <v/>
      </c>
      <c r="F1177">
        <f>IF($A1177="","",IF($E1177=1,SUMIFS(Comptabilité!$F$1:$F$675,Comptabilité!$A$1:$A$675,$A1177,Comptabilité!$B$1:$B$675,$B1177,Comptabilité!$C$1:$C$675,"2026"),0))</f>
        <v/>
      </c>
      <c r="G1177">
        <f>IF($A1177="","",IF($D1177="V01",Cadrage!$C$22,IF($D1177="V02",Cadrage!$D$22,Cadrage!$E$22)))</f>
        <v/>
      </c>
      <c r="H1177">
        <f>IF($A1177="","",IF($D1177="V01",Cadrage!$C$23,IF($D1177="V02",Cadrage!$D$23,Cadrage!$E$23)))</f>
        <v/>
      </c>
      <c r="I1177">
        <f>IF($A1177="","",IF($D1177="V01",Cadrage!$C$31,IF($D1177="V02",Cadrage!$D$31,Cadrage!$E$31)))</f>
        <v/>
      </c>
      <c r="J1177">
        <f>IF($A1177="","",IF($D1177="V01",Cadrage!$C$32,IF($D1177="V02",Cadrage!$D$32,Cadrage!$E$32)))</f>
        <v/>
      </c>
      <c r="K1177">
        <f>IF($A1177="","",IF($D1177="V01",Cadrage!$C$33,IF($D1177="V02",Cadrage!$D$33,Cadrage!$E$33)))</f>
        <v/>
      </c>
      <c r="L1177">
        <f>IF($A1177="","",IF($D1177="V01",Cadrage!$C$34,IF($D1177="V02",Cadrage!$D$34,Cadrage!$E$34)))</f>
        <v/>
      </c>
      <c r="M1177">
        <f>IF($A1177="","",IF($D1177="V01",Cadrage!$C$35,IF($D1177="V02",Cadrage!$D$35,Cadrage!$E$35)))</f>
        <v/>
      </c>
      <c r="N1177">
        <f>IF($A1177="","",IF($D1177="V01",$R$2,IF($D1177="V02",$R$3,$R$4)))</f>
        <v/>
      </c>
      <c r="O1177">
        <f>IF($A1177="","",IF(OR($B1177="7062",$B1177="706",$B1177="708"),$N1177,IF($B1177="6231",1+$G1177,IF($B1177="6236",1+$H1177,IF(OR($B1177="621",$B1177="604",$B1177="6063"),$N1177*(1-$L1177),IF(OR($B1177="6411",$B1177="6413",$B1177="6414",$B1177="645"),(1+$J1177)*(1+$K1177),IF(OR($B1177="613",$B1177="615",$B1177="616",$B1177="6226",$B1177="625",$B1177="626",$B1177="6281"),(1+$I1177)*(1-$L1177)*(1+$M1177),IF(OR($B1177="6331",$B1177="63511",$B1177="6333"),(1+$I1177)*(1-$L1177),IF($B1177="6811",1+$I1177,1)))))))))</f>
        <v/>
      </c>
      <c r="P1177">
        <f>IF($A1177="","",IF($E1177=1,$F1177*$O1177,PNL!G1177))</f>
        <v/>
      </c>
      <c r="T1177">
        <f>IF($A1177="","",IF($E1177=1,IF(OR($B1177="7062",$B1177="706",$B1177="708"),$P1177,IF(AND(LEFT($B1177,1)="6",$B1177&lt;&gt;"6811"),-$P1177,0)),0))</f>
        <v/>
      </c>
    </row>
    <row r="1178">
      <c r="A1178">
        <f>IF(PNL!A1178="","",PNL!A1178)</f>
        <v/>
      </c>
      <c r="B1178">
        <f>IF(PNL!B1178="","",PNL!B1178)</f>
        <v/>
      </c>
      <c r="C1178">
        <f>IF(PNL!C1178="","",PNL!C1178)</f>
        <v/>
      </c>
      <c r="D1178">
        <f>IF(PNL!D1178="","",PNL!D1178)</f>
        <v/>
      </c>
      <c r="E1178">
        <f>IF($A1178="","",IF(AND($C1178="2027",OR($D1178="V01",$D1178="V02",$D1178="V03")),1,0))</f>
        <v/>
      </c>
      <c r="F1178">
        <f>IF($A1178="","",IF($E1178=1,SUMIFS(Comptabilité!$F$1:$F$675,Comptabilité!$A$1:$A$675,$A1178,Comptabilité!$B$1:$B$675,$B1178,Comptabilité!$C$1:$C$675,"2026"),0))</f>
        <v/>
      </c>
      <c r="G1178">
        <f>IF($A1178="","",IF($D1178="V01",Cadrage!$C$22,IF($D1178="V02",Cadrage!$D$22,Cadrage!$E$22)))</f>
        <v/>
      </c>
      <c r="H1178">
        <f>IF($A1178="","",IF($D1178="V01",Cadrage!$C$23,IF($D1178="V02",Cadrage!$D$23,Cadrage!$E$23)))</f>
        <v/>
      </c>
      <c r="I1178">
        <f>IF($A1178="","",IF($D1178="V01",Cadrage!$C$31,IF($D1178="V02",Cadrage!$D$31,Cadrage!$E$31)))</f>
        <v/>
      </c>
      <c r="J1178">
        <f>IF($A1178="","",IF($D1178="V01",Cadrage!$C$32,IF($D1178="V02",Cadrage!$D$32,Cadrage!$E$32)))</f>
        <v/>
      </c>
      <c r="K1178">
        <f>IF($A1178="","",IF($D1178="V01",Cadrage!$C$33,IF($D1178="V02",Cadrage!$D$33,Cadrage!$E$33)))</f>
        <v/>
      </c>
      <c r="L1178">
        <f>IF($A1178="","",IF($D1178="V01",Cadrage!$C$34,IF($D1178="V02",Cadrage!$D$34,Cadrage!$E$34)))</f>
        <v/>
      </c>
      <c r="M1178">
        <f>IF($A1178="","",IF($D1178="V01",Cadrage!$C$35,IF($D1178="V02",Cadrage!$D$35,Cadrage!$E$35)))</f>
        <v/>
      </c>
      <c r="N1178">
        <f>IF($A1178="","",IF($D1178="V01",$R$2,IF($D1178="V02",$R$3,$R$4)))</f>
        <v/>
      </c>
      <c r="O1178">
        <f>IF($A1178="","",IF(OR($B1178="7062",$B1178="706",$B1178="708"),$N1178,IF($B1178="6231",1+$G1178,IF($B1178="6236",1+$H1178,IF(OR($B1178="621",$B1178="604",$B1178="6063"),$N1178*(1-$L1178),IF(OR($B1178="6411",$B1178="6413",$B1178="6414",$B1178="645"),(1+$J1178)*(1+$K1178),IF(OR($B1178="613",$B1178="615",$B1178="616",$B1178="6226",$B1178="625",$B1178="626",$B1178="6281"),(1+$I1178)*(1-$L1178)*(1+$M1178),IF(OR($B1178="6331",$B1178="63511",$B1178="6333"),(1+$I1178)*(1-$L1178),IF($B1178="6811",1+$I1178,1)))))))))</f>
        <v/>
      </c>
      <c r="P1178">
        <f>IF($A1178="","",IF($E1178=1,$F1178*$O1178,PNL!G1178))</f>
        <v/>
      </c>
      <c r="T1178">
        <f>IF($A1178="","",IF($E1178=1,IF(OR($B1178="7062",$B1178="706",$B1178="708"),$P1178,IF(AND(LEFT($B1178,1)="6",$B1178&lt;&gt;"6811"),-$P1178,0)),0))</f>
        <v/>
      </c>
    </row>
    <row r="1179">
      <c r="A1179">
        <f>IF(PNL!A1179="","",PNL!A1179)</f>
        <v/>
      </c>
      <c r="B1179">
        <f>IF(PNL!B1179="","",PNL!B1179)</f>
        <v/>
      </c>
      <c r="C1179">
        <f>IF(PNL!C1179="","",PNL!C1179)</f>
        <v/>
      </c>
      <c r="D1179">
        <f>IF(PNL!D1179="","",PNL!D1179)</f>
        <v/>
      </c>
      <c r="E1179">
        <f>IF($A1179="","",IF(AND($C1179="2027",OR($D1179="V01",$D1179="V02",$D1179="V03")),1,0))</f>
        <v/>
      </c>
      <c r="F1179">
        <f>IF($A1179="","",IF($E1179=1,SUMIFS(Comptabilité!$F$1:$F$675,Comptabilité!$A$1:$A$675,$A1179,Comptabilité!$B$1:$B$675,$B1179,Comptabilité!$C$1:$C$675,"2026"),0))</f>
        <v/>
      </c>
      <c r="G1179">
        <f>IF($A1179="","",IF($D1179="V01",Cadrage!$C$22,IF($D1179="V02",Cadrage!$D$22,Cadrage!$E$22)))</f>
        <v/>
      </c>
      <c r="H1179">
        <f>IF($A1179="","",IF($D1179="V01",Cadrage!$C$23,IF($D1179="V02",Cadrage!$D$23,Cadrage!$E$23)))</f>
        <v/>
      </c>
      <c r="I1179">
        <f>IF($A1179="","",IF($D1179="V01",Cadrage!$C$31,IF($D1179="V02",Cadrage!$D$31,Cadrage!$E$31)))</f>
        <v/>
      </c>
      <c r="J1179">
        <f>IF($A1179="","",IF($D1179="V01",Cadrage!$C$32,IF($D1179="V02",Cadrage!$D$32,Cadrage!$E$32)))</f>
        <v/>
      </c>
      <c r="K1179">
        <f>IF($A1179="","",IF($D1179="V01",Cadrage!$C$33,IF($D1179="V02",Cadrage!$D$33,Cadrage!$E$33)))</f>
        <v/>
      </c>
      <c r="L1179">
        <f>IF($A1179="","",IF($D1179="V01",Cadrage!$C$34,IF($D1179="V02",Cadrage!$D$34,Cadrage!$E$34)))</f>
        <v/>
      </c>
      <c r="M1179">
        <f>IF($A1179="","",IF($D1179="V01",Cadrage!$C$35,IF($D1179="V02",Cadrage!$D$35,Cadrage!$E$35)))</f>
        <v/>
      </c>
      <c r="N1179">
        <f>IF($A1179="","",IF($D1179="V01",$R$2,IF($D1179="V02",$R$3,$R$4)))</f>
        <v/>
      </c>
      <c r="O1179">
        <f>IF($A1179="","",IF(OR($B1179="7062",$B1179="706",$B1179="708"),$N1179,IF($B1179="6231",1+$G1179,IF($B1179="6236",1+$H1179,IF(OR($B1179="621",$B1179="604",$B1179="6063"),$N1179*(1-$L1179),IF(OR($B1179="6411",$B1179="6413",$B1179="6414",$B1179="645"),(1+$J1179)*(1+$K1179),IF(OR($B1179="613",$B1179="615",$B1179="616",$B1179="6226",$B1179="625",$B1179="626",$B1179="6281"),(1+$I1179)*(1-$L1179)*(1+$M1179),IF(OR($B1179="6331",$B1179="63511",$B1179="6333"),(1+$I1179)*(1-$L1179),IF($B1179="6811",1+$I1179,1)))))))))</f>
        <v/>
      </c>
      <c r="P1179">
        <f>IF($A1179="","",IF($E1179=1,$F1179*$O1179,PNL!G1179))</f>
        <v/>
      </c>
      <c r="T1179">
        <f>IF($A1179="","",IF($E1179=1,IF(OR($B1179="7062",$B1179="706",$B1179="708"),$P1179,IF(AND(LEFT($B1179,1)="6",$B1179&lt;&gt;"6811"),-$P1179,0)),0))</f>
        <v/>
      </c>
    </row>
    <row r="1180">
      <c r="A1180">
        <f>IF(PNL!A1180="","",PNL!A1180)</f>
        <v/>
      </c>
      <c r="B1180">
        <f>IF(PNL!B1180="","",PNL!B1180)</f>
        <v/>
      </c>
      <c r="C1180">
        <f>IF(PNL!C1180="","",PNL!C1180)</f>
        <v/>
      </c>
      <c r="D1180">
        <f>IF(PNL!D1180="","",PNL!D1180)</f>
        <v/>
      </c>
      <c r="E1180">
        <f>IF($A1180="","",IF(AND($C1180="2027",OR($D1180="V01",$D1180="V02",$D1180="V03")),1,0))</f>
        <v/>
      </c>
      <c r="F1180">
        <f>IF($A1180="","",IF($E1180=1,SUMIFS(Comptabilité!$F$1:$F$675,Comptabilité!$A$1:$A$675,$A1180,Comptabilité!$B$1:$B$675,$B1180,Comptabilité!$C$1:$C$675,"2026"),0))</f>
        <v/>
      </c>
      <c r="G1180">
        <f>IF($A1180="","",IF($D1180="V01",Cadrage!$C$22,IF($D1180="V02",Cadrage!$D$22,Cadrage!$E$22)))</f>
        <v/>
      </c>
      <c r="H1180">
        <f>IF($A1180="","",IF($D1180="V01",Cadrage!$C$23,IF($D1180="V02",Cadrage!$D$23,Cadrage!$E$23)))</f>
        <v/>
      </c>
      <c r="I1180">
        <f>IF($A1180="","",IF($D1180="V01",Cadrage!$C$31,IF($D1180="V02",Cadrage!$D$31,Cadrage!$E$31)))</f>
        <v/>
      </c>
      <c r="J1180">
        <f>IF($A1180="","",IF($D1180="V01",Cadrage!$C$32,IF($D1180="V02",Cadrage!$D$32,Cadrage!$E$32)))</f>
        <v/>
      </c>
      <c r="K1180">
        <f>IF($A1180="","",IF($D1180="V01",Cadrage!$C$33,IF($D1180="V02",Cadrage!$D$33,Cadrage!$E$33)))</f>
        <v/>
      </c>
      <c r="L1180">
        <f>IF($A1180="","",IF($D1180="V01",Cadrage!$C$34,IF($D1180="V02",Cadrage!$D$34,Cadrage!$E$34)))</f>
        <v/>
      </c>
      <c r="M1180">
        <f>IF($A1180="","",IF($D1180="V01",Cadrage!$C$35,IF($D1180="V02",Cadrage!$D$35,Cadrage!$E$35)))</f>
        <v/>
      </c>
      <c r="N1180">
        <f>IF($A1180="","",IF($D1180="V01",$R$2,IF($D1180="V02",$R$3,$R$4)))</f>
        <v/>
      </c>
      <c r="O1180">
        <f>IF($A1180="","",IF(OR($B1180="7062",$B1180="706",$B1180="708"),$N1180,IF($B1180="6231",1+$G1180,IF($B1180="6236",1+$H1180,IF(OR($B1180="621",$B1180="604",$B1180="6063"),$N1180*(1-$L1180),IF(OR($B1180="6411",$B1180="6413",$B1180="6414",$B1180="645"),(1+$J1180)*(1+$K1180),IF(OR($B1180="613",$B1180="615",$B1180="616",$B1180="6226",$B1180="625",$B1180="626",$B1180="6281"),(1+$I1180)*(1-$L1180)*(1+$M1180),IF(OR($B1180="6331",$B1180="63511",$B1180="6333"),(1+$I1180)*(1-$L1180),IF($B1180="6811",1+$I1180,1)))))))))</f>
        <v/>
      </c>
      <c r="P1180">
        <f>IF($A1180="","",IF($E1180=1,$F1180*$O1180,PNL!G1180))</f>
        <v/>
      </c>
      <c r="T1180">
        <f>IF($A1180="","",IF($E1180=1,IF(OR($B1180="7062",$B1180="706",$B1180="708"),$P1180,IF(AND(LEFT($B1180,1)="6",$B1180&lt;&gt;"6811"),-$P1180,0)),0))</f>
        <v/>
      </c>
    </row>
    <row r="1181">
      <c r="A1181">
        <f>IF(PNL!A1181="","",PNL!A1181)</f>
        <v/>
      </c>
      <c r="B1181">
        <f>IF(PNL!B1181="","",PNL!B1181)</f>
        <v/>
      </c>
      <c r="C1181">
        <f>IF(PNL!C1181="","",PNL!C1181)</f>
        <v/>
      </c>
      <c r="D1181">
        <f>IF(PNL!D1181="","",PNL!D1181)</f>
        <v/>
      </c>
      <c r="E1181">
        <f>IF($A1181="","",IF(AND($C1181="2027",OR($D1181="V01",$D1181="V02",$D1181="V03")),1,0))</f>
        <v/>
      </c>
      <c r="F1181">
        <f>IF($A1181="","",IF($E1181=1,SUMIFS(Comptabilité!$F$1:$F$675,Comptabilité!$A$1:$A$675,$A1181,Comptabilité!$B$1:$B$675,$B1181,Comptabilité!$C$1:$C$675,"2026"),0))</f>
        <v/>
      </c>
      <c r="G1181">
        <f>IF($A1181="","",IF($D1181="V01",Cadrage!$C$22,IF($D1181="V02",Cadrage!$D$22,Cadrage!$E$22)))</f>
        <v/>
      </c>
      <c r="H1181">
        <f>IF($A1181="","",IF($D1181="V01",Cadrage!$C$23,IF($D1181="V02",Cadrage!$D$23,Cadrage!$E$23)))</f>
        <v/>
      </c>
      <c r="I1181">
        <f>IF($A1181="","",IF($D1181="V01",Cadrage!$C$31,IF($D1181="V02",Cadrage!$D$31,Cadrage!$E$31)))</f>
        <v/>
      </c>
      <c r="J1181">
        <f>IF($A1181="","",IF($D1181="V01",Cadrage!$C$32,IF($D1181="V02",Cadrage!$D$32,Cadrage!$E$32)))</f>
        <v/>
      </c>
      <c r="K1181">
        <f>IF($A1181="","",IF($D1181="V01",Cadrage!$C$33,IF($D1181="V02",Cadrage!$D$33,Cadrage!$E$33)))</f>
        <v/>
      </c>
      <c r="L1181">
        <f>IF($A1181="","",IF($D1181="V01",Cadrage!$C$34,IF($D1181="V02",Cadrage!$D$34,Cadrage!$E$34)))</f>
        <v/>
      </c>
      <c r="M1181">
        <f>IF($A1181="","",IF($D1181="V01",Cadrage!$C$35,IF($D1181="V02",Cadrage!$D$35,Cadrage!$E$35)))</f>
        <v/>
      </c>
      <c r="N1181">
        <f>IF($A1181="","",IF($D1181="V01",$R$2,IF($D1181="V02",$R$3,$R$4)))</f>
        <v/>
      </c>
      <c r="O1181">
        <f>IF($A1181="","",IF(OR($B1181="7062",$B1181="706",$B1181="708"),$N1181,IF($B1181="6231",1+$G1181,IF($B1181="6236",1+$H1181,IF(OR($B1181="621",$B1181="604",$B1181="6063"),$N1181*(1-$L1181),IF(OR($B1181="6411",$B1181="6413",$B1181="6414",$B1181="645"),(1+$J1181)*(1+$K1181),IF(OR($B1181="613",$B1181="615",$B1181="616",$B1181="6226",$B1181="625",$B1181="626",$B1181="6281"),(1+$I1181)*(1-$L1181)*(1+$M1181),IF(OR($B1181="6331",$B1181="63511",$B1181="6333"),(1+$I1181)*(1-$L1181),IF($B1181="6811",1+$I1181,1)))))))))</f>
        <v/>
      </c>
      <c r="P1181">
        <f>IF($A1181="","",IF($E1181=1,$F1181*$O1181,PNL!G1181))</f>
        <v/>
      </c>
      <c r="T1181">
        <f>IF($A1181="","",IF($E1181=1,IF(OR($B1181="7062",$B1181="706",$B1181="708"),$P1181,IF(AND(LEFT($B1181,1)="6",$B1181&lt;&gt;"6811"),-$P1181,0)),0))</f>
        <v/>
      </c>
    </row>
    <row r="1182">
      <c r="A1182">
        <f>IF(PNL!A1182="","",PNL!A1182)</f>
        <v/>
      </c>
      <c r="B1182">
        <f>IF(PNL!B1182="","",PNL!B1182)</f>
        <v/>
      </c>
      <c r="C1182">
        <f>IF(PNL!C1182="","",PNL!C1182)</f>
        <v/>
      </c>
      <c r="D1182">
        <f>IF(PNL!D1182="","",PNL!D1182)</f>
        <v/>
      </c>
      <c r="E1182">
        <f>IF($A1182="","",IF(AND($C1182="2027",OR($D1182="V01",$D1182="V02",$D1182="V03")),1,0))</f>
        <v/>
      </c>
      <c r="F1182">
        <f>IF($A1182="","",IF($E1182=1,SUMIFS(Comptabilité!$F$1:$F$675,Comptabilité!$A$1:$A$675,$A1182,Comptabilité!$B$1:$B$675,$B1182,Comptabilité!$C$1:$C$675,"2026"),0))</f>
        <v/>
      </c>
      <c r="G1182">
        <f>IF($A1182="","",IF($D1182="V01",Cadrage!$C$22,IF($D1182="V02",Cadrage!$D$22,Cadrage!$E$22)))</f>
        <v/>
      </c>
      <c r="H1182">
        <f>IF($A1182="","",IF($D1182="V01",Cadrage!$C$23,IF($D1182="V02",Cadrage!$D$23,Cadrage!$E$23)))</f>
        <v/>
      </c>
      <c r="I1182">
        <f>IF($A1182="","",IF($D1182="V01",Cadrage!$C$31,IF($D1182="V02",Cadrage!$D$31,Cadrage!$E$31)))</f>
        <v/>
      </c>
      <c r="J1182">
        <f>IF($A1182="","",IF($D1182="V01",Cadrage!$C$32,IF($D1182="V02",Cadrage!$D$32,Cadrage!$E$32)))</f>
        <v/>
      </c>
      <c r="K1182">
        <f>IF($A1182="","",IF($D1182="V01",Cadrage!$C$33,IF($D1182="V02",Cadrage!$D$33,Cadrage!$E$33)))</f>
        <v/>
      </c>
      <c r="L1182">
        <f>IF($A1182="","",IF($D1182="V01",Cadrage!$C$34,IF($D1182="V02",Cadrage!$D$34,Cadrage!$E$34)))</f>
        <v/>
      </c>
      <c r="M1182">
        <f>IF($A1182="","",IF($D1182="V01",Cadrage!$C$35,IF($D1182="V02",Cadrage!$D$35,Cadrage!$E$35)))</f>
        <v/>
      </c>
      <c r="N1182">
        <f>IF($A1182="","",IF($D1182="V01",$R$2,IF($D1182="V02",$R$3,$R$4)))</f>
        <v/>
      </c>
      <c r="O1182">
        <f>IF($A1182="","",IF(OR($B1182="7062",$B1182="706",$B1182="708"),$N1182,IF($B1182="6231",1+$G1182,IF($B1182="6236",1+$H1182,IF(OR($B1182="621",$B1182="604",$B1182="6063"),$N1182*(1-$L1182),IF(OR($B1182="6411",$B1182="6413",$B1182="6414",$B1182="645"),(1+$J1182)*(1+$K1182),IF(OR($B1182="613",$B1182="615",$B1182="616",$B1182="6226",$B1182="625",$B1182="626",$B1182="6281"),(1+$I1182)*(1-$L1182)*(1+$M1182),IF(OR($B1182="6331",$B1182="63511",$B1182="6333"),(1+$I1182)*(1-$L1182),IF($B1182="6811",1+$I1182,1)))))))))</f>
        <v/>
      </c>
      <c r="P1182">
        <f>IF($A1182="","",IF($E1182=1,$F1182*$O1182,PNL!G1182))</f>
        <v/>
      </c>
      <c r="T1182">
        <f>IF($A1182="","",IF($E1182=1,IF(OR($B1182="7062",$B1182="706",$B1182="708"),$P1182,IF(AND(LEFT($B1182,1)="6",$B1182&lt;&gt;"6811"),-$P1182,0)),0))</f>
        <v/>
      </c>
    </row>
    <row r="1183">
      <c r="A1183">
        <f>IF(PNL!A1183="","",PNL!A1183)</f>
        <v/>
      </c>
      <c r="B1183">
        <f>IF(PNL!B1183="","",PNL!B1183)</f>
        <v/>
      </c>
      <c r="C1183">
        <f>IF(PNL!C1183="","",PNL!C1183)</f>
        <v/>
      </c>
      <c r="D1183">
        <f>IF(PNL!D1183="","",PNL!D1183)</f>
        <v/>
      </c>
      <c r="E1183">
        <f>IF($A1183="","",IF(AND($C1183="2027",OR($D1183="V01",$D1183="V02",$D1183="V03")),1,0))</f>
        <v/>
      </c>
      <c r="F1183">
        <f>IF($A1183="","",IF($E1183=1,SUMIFS(Comptabilité!$F$1:$F$675,Comptabilité!$A$1:$A$675,$A1183,Comptabilité!$B$1:$B$675,$B1183,Comptabilité!$C$1:$C$675,"2026"),0))</f>
        <v/>
      </c>
      <c r="G1183">
        <f>IF($A1183="","",IF($D1183="V01",Cadrage!$C$22,IF($D1183="V02",Cadrage!$D$22,Cadrage!$E$22)))</f>
        <v/>
      </c>
      <c r="H1183">
        <f>IF($A1183="","",IF($D1183="V01",Cadrage!$C$23,IF($D1183="V02",Cadrage!$D$23,Cadrage!$E$23)))</f>
        <v/>
      </c>
      <c r="I1183">
        <f>IF($A1183="","",IF($D1183="V01",Cadrage!$C$31,IF($D1183="V02",Cadrage!$D$31,Cadrage!$E$31)))</f>
        <v/>
      </c>
      <c r="J1183">
        <f>IF($A1183="","",IF($D1183="V01",Cadrage!$C$32,IF($D1183="V02",Cadrage!$D$32,Cadrage!$E$32)))</f>
        <v/>
      </c>
      <c r="K1183">
        <f>IF($A1183="","",IF($D1183="V01",Cadrage!$C$33,IF($D1183="V02",Cadrage!$D$33,Cadrage!$E$33)))</f>
        <v/>
      </c>
      <c r="L1183">
        <f>IF($A1183="","",IF($D1183="V01",Cadrage!$C$34,IF($D1183="V02",Cadrage!$D$34,Cadrage!$E$34)))</f>
        <v/>
      </c>
      <c r="M1183">
        <f>IF($A1183="","",IF($D1183="V01",Cadrage!$C$35,IF($D1183="V02",Cadrage!$D$35,Cadrage!$E$35)))</f>
        <v/>
      </c>
      <c r="N1183">
        <f>IF($A1183="","",IF($D1183="V01",$R$2,IF($D1183="V02",$R$3,$R$4)))</f>
        <v/>
      </c>
      <c r="O1183">
        <f>IF($A1183="","",IF(OR($B1183="7062",$B1183="706",$B1183="708"),$N1183,IF($B1183="6231",1+$G1183,IF($B1183="6236",1+$H1183,IF(OR($B1183="621",$B1183="604",$B1183="6063"),$N1183*(1-$L1183),IF(OR($B1183="6411",$B1183="6413",$B1183="6414",$B1183="645"),(1+$J1183)*(1+$K1183),IF(OR($B1183="613",$B1183="615",$B1183="616",$B1183="6226",$B1183="625",$B1183="626",$B1183="6281"),(1+$I1183)*(1-$L1183)*(1+$M1183),IF(OR($B1183="6331",$B1183="63511",$B1183="6333"),(1+$I1183)*(1-$L1183),IF($B1183="6811",1+$I1183,1)))))))))</f>
        <v/>
      </c>
      <c r="P1183">
        <f>IF($A1183="","",IF($E1183=1,$F1183*$O1183,PNL!G1183))</f>
        <v/>
      </c>
      <c r="T1183">
        <f>IF($A1183="","",IF($E1183=1,IF(OR($B1183="7062",$B1183="706",$B1183="708"),$P1183,IF(AND(LEFT($B1183,1)="6",$B1183&lt;&gt;"6811"),-$P1183,0)),0))</f>
        <v/>
      </c>
    </row>
    <row r="1184">
      <c r="A1184">
        <f>IF(PNL!A1184="","",PNL!A1184)</f>
        <v/>
      </c>
      <c r="B1184">
        <f>IF(PNL!B1184="","",PNL!B1184)</f>
        <v/>
      </c>
      <c r="C1184">
        <f>IF(PNL!C1184="","",PNL!C1184)</f>
        <v/>
      </c>
      <c r="D1184">
        <f>IF(PNL!D1184="","",PNL!D1184)</f>
        <v/>
      </c>
      <c r="E1184">
        <f>IF($A1184="","",IF(AND($C1184="2027",OR($D1184="V01",$D1184="V02",$D1184="V03")),1,0))</f>
        <v/>
      </c>
      <c r="F1184">
        <f>IF($A1184="","",IF($E1184=1,SUMIFS(Comptabilité!$F$1:$F$675,Comptabilité!$A$1:$A$675,$A1184,Comptabilité!$B$1:$B$675,$B1184,Comptabilité!$C$1:$C$675,"2026"),0))</f>
        <v/>
      </c>
      <c r="G1184">
        <f>IF($A1184="","",IF($D1184="V01",Cadrage!$C$22,IF($D1184="V02",Cadrage!$D$22,Cadrage!$E$22)))</f>
        <v/>
      </c>
      <c r="H1184">
        <f>IF($A1184="","",IF($D1184="V01",Cadrage!$C$23,IF($D1184="V02",Cadrage!$D$23,Cadrage!$E$23)))</f>
        <v/>
      </c>
      <c r="I1184">
        <f>IF($A1184="","",IF($D1184="V01",Cadrage!$C$31,IF($D1184="V02",Cadrage!$D$31,Cadrage!$E$31)))</f>
        <v/>
      </c>
      <c r="J1184">
        <f>IF($A1184="","",IF($D1184="V01",Cadrage!$C$32,IF($D1184="V02",Cadrage!$D$32,Cadrage!$E$32)))</f>
        <v/>
      </c>
      <c r="K1184">
        <f>IF($A1184="","",IF($D1184="V01",Cadrage!$C$33,IF($D1184="V02",Cadrage!$D$33,Cadrage!$E$33)))</f>
        <v/>
      </c>
      <c r="L1184">
        <f>IF($A1184="","",IF($D1184="V01",Cadrage!$C$34,IF($D1184="V02",Cadrage!$D$34,Cadrage!$E$34)))</f>
        <v/>
      </c>
      <c r="M1184">
        <f>IF($A1184="","",IF($D1184="V01",Cadrage!$C$35,IF($D1184="V02",Cadrage!$D$35,Cadrage!$E$35)))</f>
        <v/>
      </c>
      <c r="N1184">
        <f>IF($A1184="","",IF($D1184="V01",$R$2,IF($D1184="V02",$R$3,$R$4)))</f>
        <v/>
      </c>
      <c r="O1184">
        <f>IF($A1184="","",IF(OR($B1184="7062",$B1184="706",$B1184="708"),$N1184,IF($B1184="6231",1+$G1184,IF($B1184="6236",1+$H1184,IF(OR($B1184="621",$B1184="604",$B1184="6063"),$N1184*(1-$L1184),IF(OR($B1184="6411",$B1184="6413",$B1184="6414",$B1184="645"),(1+$J1184)*(1+$K1184),IF(OR($B1184="613",$B1184="615",$B1184="616",$B1184="6226",$B1184="625",$B1184="626",$B1184="6281"),(1+$I1184)*(1-$L1184)*(1+$M1184),IF(OR($B1184="6331",$B1184="63511",$B1184="6333"),(1+$I1184)*(1-$L1184),IF($B1184="6811",1+$I1184,1)))))))))</f>
        <v/>
      </c>
      <c r="P1184">
        <f>IF($A1184="","",IF($E1184=1,$F1184*$O1184,PNL!G1184))</f>
        <v/>
      </c>
      <c r="T1184">
        <f>IF($A1184="","",IF($E1184=1,IF(OR($B1184="7062",$B1184="706",$B1184="708"),$P1184,IF(AND(LEFT($B1184,1)="6",$B1184&lt;&gt;"6811"),-$P1184,0)),0))</f>
        <v/>
      </c>
    </row>
    <row r="1185">
      <c r="A1185">
        <f>IF(PNL!A1185="","",PNL!A1185)</f>
        <v/>
      </c>
      <c r="B1185">
        <f>IF(PNL!B1185="","",PNL!B1185)</f>
        <v/>
      </c>
      <c r="C1185">
        <f>IF(PNL!C1185="","",PNL!C1185)</f>
        <v/>
      </c>
      <c r="D1185">
        <f>IF(PNL!D1185="","",PNL!D1185)</f>
        <v/>
      </c>
      <c r="E1185">
        <f>IF($A1185="","",IF(AND($C1185="2027",OR($D1185="V01",$D1185="V02",$D1185="V03")),1,0))</f>
        <v/>
      </c>
      <c r="F1185">
        <f>IF($A1185="","",IF($E1185=1,SUMIFS(Comptabilité!$F$1:$F$675,Comptabilité!$A$1:$A$675,$A1185,Comptabilité!$B$1:$B$675,$B1185,Comptabilité!$C$1:$C$675,"2026"),0))</f>
        <v/>
      </c>
      <c r="G1185">
        <f>IF($A1185="","",IF($D1185="V01",Cadrage!$C$22,IF($D1185="V02",Cadrage!$D$22,Cadrage!$E$22)))</f>
        <v/>
      </c>
      <c r="H1185">
        <f>IF($A1185="","",IF($D1185="V01",Cadrage!$C$23,IF($D1185="V02",Cadrage!$D$23,Cadrage!$E$23)))</f>
        <v/>
      </c>
      <c r="I1185">
        <f>IF($A1185="","",IF($D1185="V01",Cadrage!$C$31,IF($D1185="V02",Cadrage!$D$31,Cadrage!$E$31)))</f>
        <v/>
      </c>
      <c r="J1185">
        <f>IF($A1185="","",IF($D1185="V01",Cadrage!$C$32,IF($D1185="V02",Cadrage!$D$32,Cadrage!$E$32)))</f>
        <v/>
      </c>
      <c r="K1185">
        <f>IF($A1185="","",IF($D1185="V01",Cadrage!$C$33,IF($D1185="V02",Cadrage!$D$33,Cadrage!$E$33)))</f>
        <v/>
      </c>
      <c r="L1185">
        <f>IF($A1185="","",IF($D1185="V01",Cadrage!$C$34,IF($D1185="V02",Cadrage!$D$34,Cadrage!$E$34)))</f>
        <v/>
      </c>
      <c r="M1185">
        <f>IF($A1185="","",IF($D1185="V01",Cadrage!$C$35,IF($D1185="V02",Cadrage!$D$35,Cadrage!$E$35)))</f>
        <v/>
      </c>
      <c r="N1185">
        <f>IF($A1185="","",IF($D1185="V01",$R$2,IF($D1185="V02",$R$3,$R$4)))</f>
        <v/>
      </c>
      <c r="O1185">
        <f>IF($A1185="","",IF(OR($B1185="7062",$B1185="706",$B1185="708"),$N1185,IF($B1185="6231",1+$G1185,IF($B1185="6236",1+$H1185,IF(OR($B1185="621",$B1185="604",$B1185="6063"),$N1185*(1-$L1185),IF(OR($B1185="6411",$B1185="6413",$B1185="6414",$B1185="645"),(1+$J1185)*(1+$K1185),IF(OR($B1185="613",$B1185="615",$B1185="616",$B1185="6226",$B1185="625",$B1185="626",$B1185="6281"),(1+$I1185)*(1-$L1185)*(1+$M1185),IF(OR($B1185="6331",$B1185="63511",$B1185="6333"),(1+$I1185)*(1-$L1185),IF($B1185="6811",1+$I1185,1)))))))))</f>
        <v/>
      </c>
      <c r="P1185">
        <f>IF($A1185="","",IF($E1185=1,$F1185*$O1185,PNL!G1185))</f>
        <v/>
      </c>
      <c r="T1185">
        <f>IF($A1185="","",IF($E1185=1,IF(OR($B1185="7062",$B1185="706",$B1185="708"),$P1185,IF(AND(LEFT($B1185,1)="6",$B1185&lt;&gt;"6811"),-$P1185,0)),0))</f>
        <v/>
      </c>
    </row>
    <row r="1186">
      <c r="A1186">
        <f>IF(PNL!A1186="","",PNL!A1186)</f>
        <v/>
      </c>
      <c r="B1186">
        <f>IF(PNL!B1186="","",PNL!B1186)</f>
        <v/>
      </c>
      <c r="C1186">
        <f>IF(PNL!C1186="","",PNL!C1186)</f>
        <v/>
      </c>
      <c r="D1186">
        <f>IF(PNL!D1186="","",PNL!D1186)</f>
        <v/>
      </c>
      <c r="E1186">
        <f>IF($A1186="","",IF(AND($C1186="2027",OR($D1186="V01",$D1186="V02",$D1186="V03")),1,0))</f>
        <v/>
      </c>
      <c r="F1186">
        <f>IF($A1186="","",IF($E1186=1,SUMIFS(Comptabilité!$F$1:$F$675,Comptabilité!$A$1:$A$675,$A1186,Comptabilité!$B$1:$B$675,$B1186,Comptabilité!$C$1:$C$675,"2026"),0))</f>
        <v/>
      </c>
      <c r="G1186">
        <f>IF($A1186="","",IF($D1186="V01",Cadrage!$C$22,IF($D1186="V02",Cadrage!$D$22,Cadrage!$E$22)))</f>
        <v/>
      </c>
      <c r="H1186">
        <f>IF($A1186="","",IF($D1186="V01",Cadrage!$C$23,IF($D1186="V02",Cadrage!$D$23,Cadrage!$E$23)))</f>
        <v/>
      </c>
      <c r="I1186">
        <f>IF($A1186="","",IF($D1186="V01",Cadrage!$C$31,IF($D1186="V02",Cadrage!$D$31,Cadrage!$E$31)))</f>
        <v/>
      </c>
      <c r="J1186">
        <f>IF($A1186="","",IF($D1186="V01",Cadrage!$C$32,IF($D1186="V02",Cadrage!$D$32,Cadrage!$E$32)))</f>
        <v/>
      </c>
      <c r="K1186">
        <f>IF($A1186="","",IF($D1186="V01",Cadrage!$C$33,IF($D1186="V02",Cadrage!$D$33,Cadrage!$E$33)))</f>
        <v/>
      </c>
      <c r="L1186">
        <f>IF($A1186="","",IF($D1186="V01",Cadrage!$C$34,IF($D1186="V02",Cadrage!$D$34,Cadrage!$E$34)))</f>
        <v/>
      </c>
      <c r="M1186">
        <f>IF($A1186="","",IF($D1186="V01",Cadrage!$C$35,IF($D1186="V02",Cadrage!$D$35,Cadrage!$E$35)))</f>
        <v/>
      </c>
      <c r="N1186">
        <f>IF($A1186="","",IF($D1186="V01",$R$2,IF($D1186="V02",$R$3,$R$4)))</f>
        <v/>
      </c>
      <c r="O1186">
        <f>IF($A1186="","",IF(OR($B1186="7062",$B1186="706",$B1186="708"),$N1186,IF($B1186="6231",1+$G1186,IF($B1186="6236",1+$H1186,IF(OR($B1186="621",$B1186="604",$B1186="6063"),$N1186*(1-$L1186),IF(OR($B1186="6411",$B1186="6413",$B1186="6414",$B1186="645"),(1+$J1186)*(1+$K1186),IF(OR($B1186="613",$B1186="615",$B1186="616",$B1186="6226",$B1186="625",$B1186="626",$B1186="6281"),(1+$I1186)*(1-$L1186)*(1+$M1186),IF(OR($B1186="6331",$B1186="63511",$B1186="6333"),(1+$I1186)*(1-$L1186),IF($B1186="6811",1+$I1186,1)))))))))</f>
        <v/>
      </c>
      <c r="P1186">
        <f>IF($A1186="","",IF($E1186=1,$F1186*$O1186,PNL!G1186))</f>
        <v/>
      </c>
      <c r="T1186">
        <f>IF($A1186="","",IF($E1186=1,IF(OR($B1186="7062",$B1186="706",$B1186="708"),$P1186,IF(AND(LEFT($B1186,1)="6",$B1186&lt;&gt;"6811"),-$P1186,0)),0))</f>
        <v/>
      </c>
    </row>
    <row r="1187">
      <c r="A1187">
        <f>IF(PNL!A1187="","",PNL!A1187)</f>
        <v/>
      </c>
      <c r="B1187">
        <f>IF(PNL!B1187="","",PNL!B1187)</f>
        <v/>
      </c>
      <c r="C1187">
        <f>IF(PNL!C1187="","",PNL!C1187)</f>
        <v/>
      </c>
      <c r="D1187">
        <f>IF(PNL!D1187="","",PNL!D1187)</f>
        <v/>
      </c>
      <c r="E1187">
        <f>IF($A1187="","",IF(AND($C1187="2027",OR($D1187="V01",$D1187="V02",$D1187="V03")),1,0))</f>
        <v/>
      </c>
      <c r="F1187">
        <f>IF($A1187="","",IF($E1187=1,SUMIFS(Comptabilité!$F$1:$F$675,Comptabilité!$A$1:$A$675,$A1187,Comptabilité!$B$1:$B$675,$B1187,Comptabilité!$C$1:$C$675,"2026"),0))</f>
        <v/>
      </c>
      <c r="G1187">
        <f>IF($A1187="","",IF($D1187="V01",Cadrage!$C$22,IF($D1187="V02",Cadrage!$D$22,Cadrage!$E$22)))</f>
        <v/>
      </c>
      <c r="H1187">
        <f>IF($A1187="","",IF($D1187="V01",Cadrage!$C$23,IF($D1187="V02",Cadrage!$D$23,Cadrage!$E$23)))</f>
        <v/>
      </c>
      <c r="I1187">
        <f>IF($A1187="","",IF($D1187="V01",Cadrage!$C$31,IF($D1187="V02",Cadrage!$D$31,Cadrage!$E$31)))</f>
        <v/>
      </c>
      <c r="J1187">
        <f>IF($A1187="","",IF($D1187="V01",Cadrage!$C$32,IF($D1187="V02",Cadrage!$D$32,Cadrage!$E$32)))</f>
        <v/>
      </c>
      <c r="K1187">
        <f>IF($A1187="","",IF($D1187="V01",Cadrage!$C$33,IF($D1187="V02",Cadrage!$D$33,Cadrage!$E$33)))</f>
        <v/>
      </c>
      <c r="L1187">
        <f>IF($A1187="","",IF($D1187="V01",Cadrage!$C$34,IF($D1187="V02",Cadrage!$D$34,Cadrage!$E$34)))</f>
        <v/>
      </c>
      <c r="M1187">
        <f>IF($A1187="","",IF($D1187="V01",Cadrage!$C$35,IF($D1187="V02",Cadrage!$D$35,Cadrage!$E$35)))</f>
        <v/>
      </c>
      <c r="N1187">
        <f>IF($A1187="","",IF($D1187="V01",$R$2,IF($D1187="V02",$R$3,$R$4)))</f>
        <v/>
      </c>
      <c r="O1187">
        <f>IF($A1187="","",IF(OR($B1187="7062",$B1187="706",$B1187="708"),$N1187,IF($B1187="6231",1+$G1187,IF($B1187="6236",1+$H1187,IF(OR($B1187="621",$B1187="604",$B1187="6063"),$N1187*(1-$L1187),IF(OR($B1187="6411",$B1187="6413",$B1187="6414",$B1187="645"),(1+$J1187)*(1+$K1187),IF(OR($B1187="613",$B1187="615",$B1187="616",$B1187="6226",$B1187="625",$B1187="626",$B1187="6281"),(1+$I1187)*(1-$L1187)*(1+$M1187),IF(OR($B1187="6331",$B1187="63511",$B1187="6333"),(1+$I1187)*(1-$L1187),IF($B1187="6811",1+$I1187,1)))))))))</f>
        <v/>
      </c>
      <c r="P1187">
        <f>IF($A1187="","",IF($E1187=1,$F1187*$O1187,PNL!G1187))</f>
        <v/>
      </c>
      <c r="T1187">
        <f>IF($A1187="","",IF($E1187=1,IF(OR($B1187="7062",$B1187="706",$B1187="708"),$P1187,IF(AND(LEFT($B1187,1)="6",$B1187&lt;&gt;"6811"),-$P1187,0)),0))</f>
        <v/>
      </c>
    </row>
    <row r="1188">
      <c r="A1188">
        <f>IF(PNL!A1188="","",PNL!A1188)</f>
        <v/>
      </c>
      <c r="B1188">
        <f>IF(PNL!B1188="","",PNL!B1188)</f>
        <v/>
      </c>
      <c r="C1188">
        <f>IF(PNL!C1188="","",PNL!C1188)</f>
        <v/>
      </c>
      <c r="D1188">
        <f>IF(PNL!D1188="","",PNL!D1188)</f>
        <v/>
      </c>
      <c r="E1188">
        <f>IF($A1188="","",IF(AND($C1188="2027",OR($D1188="V01",$D1188="V02",$D1188="V03")),1,0))</f>
        <v/>
      </c>
      <c r="F1188">
        <f>IF($A1188="","",IF($E1188=1,SUMIFS(Comptabilité!$F$1:$F$675,Comptabilité!$A$1:$A$675,$A1188,Comptabilité!$B$1:$B$675,$B1188,Comptabilité!$C$1:$C$675,"2026"),0))</f>
        <v/>
      </c>
      <c r="G1188">
        <f>IF($A1188="","",IF($D1188="V01",Cadrage!$C$22,IF($D1188="V02",Cadrage!$D$22,Cadrage!$E$22)))</f>
        <v/>
      </c>
      <c r="H1188">
        <f>IF($A1188="","",IF($D1188="V01",Cadrage!$C$23,IF($D1188="V02",Cadrage!$D$23,Cadrage!$E$23)))</f>
        <v/>
      </c>
      <c r="I1188">
        <f>IF($A1188="","",IF($D1188="V01",Cadrage!$C$31,IF($D1188="V02",Cadrage!$D$31,Cadrage!$E$31)))</f>
        <v/>
      </c>
      <c r="J1188">
        <f>IF($A1188="","",IF($D1188="V01",Cadrage!$C$32,IF($D1188="V02",Cadrage!$D$32,Cadrage!$E$32)))</f>
        <v/>
      </c>
      <c r="K1188">
        <f>IF($A1188="","",IF($D1188="V01",Cadrage!$C$33,IF($D1188="V02",Cadrage!$D$33,Cadrage!$E$33)))</f>
        <v/>
      </c>
      <c r="L1188">
        <f>IF($A1188="","",IF($D1188="V01",Cadrage!$C$34,IF($D1188="V02",Cadrage!$D$34,Cadrage!$E$34)))</f>
        <v/>
      </c>
      <c r="M1188">
        <f>IF($A1188="","",IF($D1188="V01",Cadrage!$C$35,IF($D1188="V02",Cadrage!$D$35,Cadrage!$E$35)))</f>
        <v/>
      </c>
      <c r="N1188">
        <f>IF($A1188="","",IF($D1188="V01",$R$2,IF($D1188="V02",$R$3,$R$4)))</f>
        <v/>
      </c>
      <c r="O1188">
        <f>IF($A1188="","",IF(OR($B1188="7062",$B1188="706",$B1188="708"),$N1188,IF($B1188="6231",1+$G1188,IF($B1188="6236",1+$H1188,IF(OR($B1188="621",$B1188="604",$B1188="6063"),$N1188*(1-$L1188),IF(OR($B1188="6411",$B1188="6413",$B1188="6414",$B1188="645"),(1+$J1188)*(1+$K1188),IF(OR($B1188="613",$B1188="615",$B1188="616",$B1188="6226",$B1188="625",$B1188="626",$B1188="6281"),(1+$I1188)*(1-$L1188)*(1+$M1188),IF(OR($B1188="6331",$B1188="63511",$B1188="6333"),(1+$I1188)*(1-$L1188),IF($B1188="6811",1+$I1188,1)))))))))</f>
        <v/>
      </c>
      <c r="P1188">
        <f>IF($A1188="","",IF($E1188=1,$F1188*$O1188,PNL!G1188))</f>
        <v/>
      </c>
      <c r="T1188">
        <f>IF($A1188="","",IF($E1188=1,IF(OR($B1188="7062",$B1188="706",$B1188="708"),$P1188,IF(AND(LEFT($B1188,1)="6",$B1188&lt;&gt;"6811"),-$P1188,0)),0))</f>
        <v/>
      </c>
    </row>
    <row r="1189">
      <c r="A1189">
        <f>IF(PNL!A1189="","",PNL!A1189)</f>
        <v/>
      </c>
      <c r="B1189">
        <f>IF(PNL!B1189="","",PNL!B1189)</f>
        <v/>
      </c>
      <c r="C1189">
        <f>IF(PNL!C1189="","",PNL!C1189)</f>
        <v/>
      </c>
      <c r="D1189">
        <f>IF(PNL!D1189="","",PNL!D1189)</f>
        <v/>
      </c>
      <c r="E1189">
        <f>IF($A1189="","",IF(AND($C1189="2027",OR($D1189="V01",$D1189="V02",$D1189="V03")),1,0))</f>
        <v/>
      </c>
      <c r="F1189">
        <f>IF($A1189="","",IF($E1189=1,SUMIFS(Comptabilité!$F$1:$F$675,Comptabilité!$A$1:$A$675,$A1189,Comptabilité!$B$1:$B$675,$B1189,Comptabilité!$C$1:$C$675,"2026"),0))</f>
        <v/>
      </c>
      <c r="G1189">
        <f>IF($A1189="","",IF($D1189="V01",Cadrage!$C$22,IF($D1189="V02",Cadrage!$D$22,Cadrage!$E$22)))</f>
        <v/>
      </c>
      <c r="H1189">
        <f>IF($A1189="","",IF($D1189="V01",Cadrage!$C$23,IF($D1189="V02",Cadrage!$D$23,Cadrage!$E$23)))</f>
        <v/>
      </c>
      <c r="I1189">
        <f>IF($A1189="","",IF($D1189="V01",Cadrage!$C$31,IF($D1189="V02",Cadrage!$D$31,Cadrage!$E$31)))</f>
        <v/>
      </c>
      <c r="J1189">
        <f>IF($A1189="","",IF($D1189="V01",Cadrage!$C$32,IF($D1189="V02",Cadrage!$D$32,Cadrage!$E$32)))</f>
        <v/>
      </c>
      <c r="K1189">
        <f>IF($A1189="","",IF($D1189="V01",Cadrage!$C$33,IF($D1189="V02",Cadrage!$D$33,Cadrage!$E$33)))</f>
        <v/>
      </c>
      <c r="L1189">
        <f>IF($A1189="","",IF($D1189="V01",Cadrage!$C$34,IF($D1189="V02",Cadrage!$D$34,Cadrage!$E$34)))</f>
        <v/>
      </c>
      <c r="M1189">
        <f>IF($A1189="","",IF($D1189="V01",Cadrage!$C$35,IF($D1189="V02",Cadrage!$D$35,Cadrage!$E$35)))</f>
        <v/>
      </c>
      <c r="N1189">
        <f>IF($A1189="","",IF($D1189="V01",$R$2,IF($D1189="V02",$R$3,$R$4)))</f>
        <v/>
      </c>
      <c r="O1189">
        <f>IF($A1189="","",IF(OR($B1189="7062",$B1189="706",$B1189="708"),$N1189,IF($B1189="6231",1+$G1189,IF($B1189="6236",1+$H1189,IF(OR($B1189="621",$B1189="604",$B1189="6063"),$N1189*(1-$L1189),IF(OR($B1189="6411",$B1189="6413",$B1189="6414",$B1189="645"),(1+$J1189)*(1+$K1189),IF(OR($B1189="613",$B1189="615",$B1189="616",$B1189="6226",$B1189="625",$B1189="626",$B1189="6281"),(1+$I1189)*(1-$L1189)*(1+$M1189),IF(OR($B1189="6331",$B1189="63511",$B1189="6333"),(1+$I1189)*(1-$L1189),IF($B1189="6811",1+$I1189,1)))))))))</f>
        <v/>
      </c>
      <c r="P1189">
        <f>IF($A1189="","",IF($E1189=1,$F1189*$O1189,PNL!G1189))</f>
        <v/>
      </c>
      <c r="T1189">
        <f>IF($A1189="","",IF($E1189=1,IF(OR($B1189="7062",$B1189="706",$B1189="708"),$P1189,IF(AND(LEFT($B1189,1)="6",$B1189&lt;&gt;"6811"),-$P1189,0)),0))</f>
        <v/>
      </c>
    </row>
    <row r="1190">
      <c r="A1190">
        <f>IF(PNL!A1190="","",PNL!A1190)</f>
        <v/>
      </c>
      <c r="B1190">
        <f>IF(PNL!B1190="","",PNL!B1190)</f>
        <v/>
      </c>
      <c r="C1190">
        <f>IF(PNL!C1190="","",PNL!C1190)</f>
        <v/>
      </c>
      <c r="D1190">
        <f>IF(PNL!D1190="","",PNL!D1190)</f>
        <v/>
      </c>
      <c r="E1190">
        <f>IF($A1190="","",IF(AND($C1190="2027",OR($D1190="V01",$D1190="V02",$D1190="V03")),1,0))</f>
        <v/>
      </c>
      <c r="F1190">
        <f>IF($A1190="","",IF($E1190=1,SUMIFS(Comptabilité!$F$1:$F$675,Comptabilité!$A$1:$A$675,$A1190,Comptabilité!$B$1:$B$675,$B1190,Comptabilité!$C$1:$C$675,"2026"),0))</f>
        <v/>
      </c>
      <c r="G1190">
        <f>IF($A1190="","",IF($D1190="V01",Cadrage!$C$22,IF($D1190="V02",Cadrage!$D$22,Cadrage!$E$22)))</f>
        <v/>
      </c>
      <c r="H1190">
        <f>IF($A1190="","",IF($D1190="V01",Cadrage!$C$23,IF($D1190="V02",Cadrage!$D$23,Cadrage!$E$23)))</f>
        <v/>
      </c>
      <c r="I1190">
        <f>IF($A1190="","",IF($D1190="V01",Cadrage!$C$31,IF($D1190="V02",Cadrage!$D$31,Cadrage!$E$31)))</f>
        <v/>
      </c>
      <c r="J1190">
        <f>IF($A1190="","",IF($D1190="V01",Cadrage!$C$32,IF($D1190="V02",Cadrage!$D$32,Cadrage!$E$32)))</f>
        <v/>
      </c>
      <c r="K1190">
        <f>IF($A1190="","",IF($D1190="V01",Cadrage!$C$33,IF($D1190="V02",Cadrage!$D$33,Cadrage!$E$33)))</f>
        <v/>
      </c>
      <c r="L1190">
        <f>IF($A1190="","",IF($D1190="V01",Cadrage!$C$34,IF($D1190="V02",Cadrage!$D$34,Cadrage!$E$34)))</f>
        <v/>
      </c>
      <c r="M1190">
        <f>IF($A1190="","",IF($D1190="V01",Cadrage!$C$35,IF($D1190="V02",Cadrage!$D$35,Cadrage!$E$35)))</f>
        <v/>
      </c>
      <c r="N1190">
        <f>IF($A1190="","",IF($D1190="V01",$R$2,IF($D1190="V02",$R$3,$R$4)))</f>
        <v/>
      </c>
      <c r="O1190">
        <f>IF($A1190="","",IF(OR($B1190="7062",$B1190="706",$B1190="708"),$N1190,IF($B1190="6231",1+$G1190,IF($B1190="6236",1+$H1190,IF(OR($B1190="621",$B1190="604",$B1190="6063"),$N1190*(1-$L1190),IF(OR($B1190="6411",$B1190="6413",$B1190="6414",$B1190="645"),(1+$J1190)*(1+$K1190),IF(OR($B1190="613",$B1190="615",$B1190="616",$B1190="6226",$B1190="625",$B1190="626",$B1190="6281"),(1+$I1190)*(1-$L1190)*(1+$M1190),IF(OR($B1190="6331",$B1190="63511",$B1190="6333"),(1+$I1190)*(1-$L1190),IF($B1190="6811",1+$I1190,1)))))))))</f>
        <v/>
      </c>
      <c r="P1190">
        <f>IF($A1190="","",IF($E1190=1,$F1190*$O1190,PNL!G1190))</f>
        <v/>
      </c>
      <c r="T1190">
        <f>IF($A1190="","",IF($E1190=1,IF(OR($B1190="7062",$B1190="706",$B1190="708"),$P1190,IF(AND(LEFT($B1190,1)="6",$B1190&lt;&gt;"6811"),-$P1190,0)),0))</f>
        <v/>
      </c>
    </row>
    <row r="1191">
      <c r="A1191">
        <f>IF(PNL!A1191="","",PNL!A1191)</f>
        <v/>
      </c>
      <c r="B1191">
        <f>IF(PNL!B1191="","",PNL!B1191)</f>
        <v/>
      </c>
      <c r="C1191">
        <f>IF(PNL!C1191="","",PNL!C1191)</f>
        <v/>
      </c>
      <c r="D1191">
        <f>IF(PNL!D1191="","",PNL!D1191)</f>
        <v/>
      </c>
      <c r="E1191">
        <f>IF($A1191="","",IF(AND($C1191="2027",OR($D1191="V01",$D1191="V02",$D1191="V03")),1,0))</f>
        <v/>
      </c>
      <c r="F1191">
        <f>IF($A1191="","",IF($E1191=1,SUMIFS(Comptabilité!$F$1:$F$675,Comptabilité!$A$1:$A$675,$A1191,Comptabilité!$B$1:$B$675,$B1191,Comptabilité!$C$1:$C$675,"2026"),0))</f>
        <v/>
      </c>
      <c r="G1191">
        <f>IF($A1191="","",IF($D1191="V01",Cadrage!$C$22,IF($D1191="V02",Cadrage!$D$22,Cadrage!$E$22)))</f>
        <v/>
      </c>
      <c r="H1191">
        <f>IF($A1191="","",IF($D1191="V01",Cadrage!$C$23,IF($D1191="V02",Cadrage!$D$23,Cadrage!$E$23)))</f>
        <v/>
      </c>
      <c r="I1191">
        <f>IF($A1191="","",IF($D1191="V01",Cadrage!$C$31,IF($D1191="V02",Cadrage!$D$31,Cadrage!$E$31)))</f>
        <v/>
      </c>
      <c r="J1191">
        <f>IF($A1191="","",IF($D1191="V01",Cadrage!$C$32,IF($D1191="V02",Cadrage!$D$32,Cadrage!$E$32)))</f>
        <v/>
      </c>
      <c r="K1191">
        <f>IF($A1191="","",IF($D1191="V01",Cadrage!$C$33,IF($D1191="V02",Cadrage!$D$33,Cadrage!$E$33)))</f>
        <v/>
      </c>
      <c r="L1191">
        <f>IF($A1191="","",IF($D1191="V01",Cadrage!$C$34,IF($D1191="V02",Cadrage!$D$34,Cadrage!$E$34)))</f>
        <v/>
      </c>
      <c r="M1191">
        <f>IF($A1191="","",IF($D1191="V01",Cadrage!$C$35,IF($D1191="V02",Cadrage!$D$35,Cadrage!$E$35)))</f>
        <v/>
      </c>
      <c r="N1191">
        <f>IF($A1191="","",IF($D1191="V01",$R$2,IF($D1191="V02",$R$3,$R$4)))</f>
        <v/>
      </c>
      <c r="O1191">
        <f>IF($A1191="","",IF(OR($B1191="7062",$B1191="706",$B1191="708"),$N1191,IF($B1191="6231",1+$G1191,IF($B1191="6236",1+$H1191,IF(OR($B1191="621",$B1191="604",$B1191="6063"),$N1191*(1-$L1191),IF(OR($B1191="6411",$B1191="6413",$B1191="6414",$B1191="645"),(1+$J1191)*(1+$K1191),IF(OR($B1191="613",$B1191="615",$B1191="616",$B1191="6226",$B1191="625",$B1191="626",$B1191="6281"),(1+$I1191)*(1-$L1191)*(1+$M1191),IF(OR($B1191="6331",$B1191="63511",$B1191="6333"),(1+$I1191)*(1-$L1191),IF($B1191="6811",1+$I1191,1)))))))))</f>
        <v/>
      </c>
      <c r="P1191">
        <f>IF($A1191="","",IF($E1191=1,$F1191*$O1191,PNL!G1191))</f>
        <v/>
      </c>
      <c r="T1191">
        <f>IF($A1191="","",IF($E1191=1,IF(OR($B1191="7062",$B1191="706",$B1191="708"),$P1191,IF(AND(LEFT($B1191,1)="6",$B1191&lt;&gt;"6811"),-$P1191,0)),0))</f>
        <v/>
      </c>
    </row>
    <row r="1192">
      <c r="A1192">
        <f>IF(PNL!A1192="","",PNL!A1192)</f>
        <v/>
      </c>
      <c r="B1192">
        <f>IF(PNL!B1192="","",PNL!B1192)</f>
        <v/>
      </c>
      <c r="C1192">
        <f>IF(PNL!C1192="","",PNL!C1192)</f>
        <v/>
      </c>
      <c r="D1192">
        <f>IF(PNL!D1192="","",PNL!D1192)</f>
        <v/>
      </c>
      <c r="E1192">
        <f>IF($A1192="","",IF(AND($C1192="2027",OR($D1192="V01",$D1192="V02",$D1192="V03")),1,0))</f>
        <v/>
      </c>
      <c r="F1192">
        <f>IF($A1192="","",IF($E1192=1,SUMIFS(Comptabilité!$F$1:$F$675,Comptabilité!$A$1:$A$675,$A1192,Comptabilité!$B$1:$B$675,$B1192,Comptabilité!$C$1:$C$675,"2026"),0))</f>
        <v/>
      </c>
      <c r="G1192">
        <f>IF($A1192="","",IF($D1192="V01",Cadrage!$C$22,IF($D1192="V02",Cadrage!$D$22,Cadrage!$E$22)))</f>
        <v/>
      </c>
      <c r="H1192">
        <f>IF($A1192="","",IF($D1192="V01",Cadrage!$C$23,IF($D1192="V02",Cadrage!$D$23,Cadrage!$E$23)))</f>
        <v/>
      </c>
      <c r="I1192">
        <f>IF($A1192="","",IF($D1192="V01",Cadrage!$C$31,IF($D1192="V02",Cadrage!$D$31,Cadrage!$E$31)))</f>
        <v/>
      </c>
      <c r="J1192">
        <f>IF($A1192="","",IF($D1192="V01",Cadrage!$C$32,IF($D1192="V02",Cadrage!$D$32,Cadrage!$E$32)))</f>
        <v/>
      </c>
      <c r="K1192">
        <f>IF($A1192="","",IF($D1192="V01",Cadrage!$C$33,IF($D1192="V02",Cadrage!$D$33,Cadrage!$E$33)))</f>
        <v/>
      </c>
      <c r="L1192">
        <f>IF($A1192="","",IF($D1192="V01",Cadrage!$C$34,IF($D1192="V02",Cadrage!$D$34,Cadrage!$E$34)))</f>
        <v/>
      </c>
      <c r="M1192">
        <f>IF($A1192="","",IF($D1192="V01",Cadrage!$C$35,IF($D1192="V02",Cadrage!$D$35,Cadrage!$E$35)))</f>
        <v/>
      </c>
      <c r="N1192">
        <f>IF($A1192="","",IF($D1192="V01",$R$2,IF($D1192="V02",$R$3,$R$4)))</f>
        <v/>
      </c>
      <c r="O1192">
        <f>IF($A1192="","",IF(OR($B1192="7062",$B1192="706",$B1192="708"),$N1192,IF($B1192="6231",1+$G1192,IF($B1192="6236",1+$H1192,IF(OR($B1192="621",$B1192="604",$B1192="6063"),$N1192*(1-$L1192),IF(OR($B1192="6411",$B1192="6413",$B1192="6414",$B1192="645"),(1+$J1192)*(1+$K1192),IF(OR($B1192="613",$B1192="615",$B1192="616",$B1192="6226",$B1192="625",$B1192="626",$B1192="6281"),(1+$I1192)*(1-$L1192)*(1+$M1192),IF(OR($B1192="6331",$B1192="63511",$B1192="6333"),(1+$I1192)*(1-$L1192),IF($B1192="6811",1+$I1192,1)))))))))</f>
        <v/>
      </c>
      <c r="P1192">
        <f>IF($A1192="","",IF($E1192=1,$F1192*$O1192,PNL!G1192))</f>
        <v/>
      </c>
      <c r="T1192">
        <f>IF($A1192="","",IF($E1192=1,IF(OR($B1192="7062",$B1192="706",$B1192="708"),$P1192,IF(AND(LEFT($B1192,1)="6",$B1192&lt;&gt;"6811"),-$P1192,0)),0))</f>
        <v/>
      </c>
    </row>
    <row r="1193">
      <c r="A1193">
        <f>IF(PNL!A1193="","",PNL!A1193)</f>
        <v/>
      </c>
      <c r="B1193">
        <f>IF(PNL!B1193="","",PNL!B1193)</f>
        <v/>
      </c>
      <c r="C1193">
        <f>IF(PNL!C1193="","",PNL!C1193)</f>
        <v/>
      </c>
      <c r="D1193">
        <f>IF(PNL!D1193="","",PNL!D1193)</f>
        <v/>
      </c>
      <c r="E1193">
        <f>IF($A1193="","",IF(AND($C1193="2027",OR($D1193="V01",$D1193="V02",$D1193="V03")),1,0))</f>
        <v/>
      </c>
      <c r="F1193">
        <f>IF($A1193="","",IF($E1193=1,SUMIFS(Comptabilité!$F$1:$F$675,Comptabilité!$A$1:$A$675,$A1193,Comptabilité!$B$1:$B$675,$B1193,Comptabilité!$C$1:$C$675,"2026"),0))</f>
        <v/>
      </c>
      <c r="G1193">
        <f>IF($A1193="","",IF($D1193="V01",Cadrage!$C$22,IF($D1193="V02",Cadrage!$D$22,Cadrage!$E$22)))</f>
        <v/>
      </c>
      <c r="H1193">
        <f>IF($A1193="","",IF($D1193="V01",Cadrage!$C$23,IF($D1193="V02",Cadrage!$D$23,Cadrage!$E$23)))</f>
        <v/>
      </c>
      <c r="I1193">
        <f>IF($A1193="","",IF($D1193="V01",Cadrage!$C$31,IF($D1193="V02",Cadrage!$D$31,Cadrage!$E$31)))</f>
        <v/>
      </c>
      <c r="J1193">
        <f>IF($A1193="","",IF($D1193="V01",Cadrage!$C$32,IF($D1193="V02",Cadrage!$D$32,Cadrage!$E$32)))</f>
        <v/>
      </c>
      <c r="K1193">
        <f>IF($A1193="","",IF($D1193="V01",Cadrage!$C$33,IF($D1193="V02",Cadrage!$D$33,Cadrage!$E$33)))</f>
        <v/>
      </c>
      <c r="L1193">
        <f>IF($A1193="","",IF($D1193="V01",Cadrage!$C$34,IF($D1193="V02",Cadrage!$D$34,Cadrage!$E$34)))</f>
        <v/>
      </c>
      <c r="M1193">
        <f>IF($A1193="","",IF($D1193="V01",Cadrage!$C$35,IF($D1193="V02",Cadrage!$D$35,Cadrage!$E$35)))</f>
        <v/>
      </c>
      <c r="N1193">
        <f>IF($A1193="","",IF($D1193="V01",$R$2,IF($D1193="V02",$R$3,$R$4)))</f>
        <v/>
      </c>
      <c r="O1193">
        <f>IF($A1193="","",IF(OR($B1193="7062",$B1193="706",$B1193="708"),$N1193,IF($B1193="6231",1+$G1193,IF($B1193="6236",1+$H1193,IF(OR($B1193="621",$B1193="604",$B1193="6063"),$N1193*(1-$L1193),IF(OR($B1193="6411",$B1193="6413",$B1193="6414",$B1193="645"),(1+$J1193)*(1+$K1193),IF(OR($B1193="613",$B1193="615",$B1193="616",$B1193="6226",$B1193="625",$B1193="626",$B1193="6281"),(1+$I1193)*(1-$L1193)*(1+$M1193),IF(OR($B1193="6331",$B1193="63511",$B1193="6333"),(1+$I1193)*(1-$L1193),IF($B1193="6811",1+$I1193,1)))))))))</f>
        <v/>
      </c>
      <c r="P1193">
        <f>IF($A1193="","",IF($E1193=1,$F1193*$O1193,PNL!G1193))</f>
        <v/>
      </c>
      <c r="T1193">
        <f>IF($A1193="","",IF($E1193=1,IF(OR($B1193="7062",$B1193="706",$B1193="708"),$P1193,IF(AND(LEFT($B1193,1)="6",$B1193&lt;&gt;"6811"),-$P1193,0)),0))</f>
        <v/>
      </c>
    </row>
    <row r="1194">
      <c r="A1194">
        <f>IF(PNL!A1194="","",PNL!A1194)</f>
        <v/>
      </c>
      <c r="B1194">
        <f>IF(PNL!B1194="","",PNL!B1194)</f>
        <v/>
      </c>
      <c r="C1194">
        <f>IF(PNL!C1194="","",PNL!C1194)</f>
        <v/>
      </c>
      <c r="D1194">
        <f>IF(PNL!D1194="","",PNL!D1194)</f>
        <v/>
      </c>
      <c r="E1194">
        <f>IF($A1194="","",IF(AND($C1194="2027",OR($D1194="V01",$D1194="V02",$D1194="V03")),1,0))</f>
        <v/>
      </c>
      <c r="F1194">
        <f>IF($A1194="","",IF($E1194=1,SUMIFS(Comptabilité!$F$1:$F$675,Comptabilité!$A$1:$A$675,$A1194,Comptabilité!$B$1:$B$675,$B1194,Comptabilité!$C$1:$C$675,"2026"),0))</f>
        <v/>
      </c>
      <c r="G1194">
        <f>IF($A1194="","",IF($D1194="V01",Cadrage!$C$22,IF($D1194="V02",Cadrage!$D$22,Cadrage!$E$22)))</f>
        <v/>
      </c>
      <c r="H1194">
        <f>IF($A1194="","",IF($D1194="V01",Cadrage!$C$23,IF($D1194="V02",Cadrage!$D$23,Cadrage!$E$23)))</f>
        <v/>
      </c>
      <c r="I1194">
        <f>IF($A1194="","",IF($D1194="V01",Cadrage!$C$31,IF($D1194="V02",Cadrage!$D$31,Cadrage!$E$31)))</f>
        <v/>
      </c>
      <c r="J1194">
        <f>IF($A1194="","",IF($D1194="V01",Cadrage!$C$32,IF($D1194="V02",Cadrage!$D$32,Cadrage!$E$32)))</f>
        <v/>
      </c>
      <c r="K1194">
        <f>IF($A1194="","",IF($D1194="V01",Cadrage!$C$33,IF($D1194="V02",Cadrage!$D$33,Cadrage!$E$33)))</f>
        <v/>
      </c>
      <c r="L1194">
        <f>IF($A1194="","",IF($D1194="V01",Cadrage!$C$34,IF($D1194="V02",Cadrage!$D$34,Cadrage!$E$34)))</f>
        <v/>
      </c>
      <c r="M1194">
        <f>IF($A1194="","",IF($D1194="V01",Cadrage!$C$35,IF($D1194="V02",Cadrage!$D$35,Cadrage!$E$35)))</f>
        <v/>
      </c>
      <c r="N1194">
        <f>IF($A1194="","",IF($D1194="V01",$R$2,IF($D1194="V02",$R$3,$R$4)))</f>
        <v/>
      </c>
      <c r="O1194">
        <f>IF($A1194="","",IF(OR($B1194="7062",$B1194="706",$B1194="708"),$N1194,IF($B1194="6231",1+$G1194,IF($B1194="6236",1+$H1194,IF(OR($B1194="621",$B1194="604",$B1194="6063"),$N1194*(1-$L1194),IF(OR($B1194="6411",$B1194="6413",$B1194="6414",$B1194="645"),(1+$J1194)*(1+$K1194),IF(OR($B1194="613",$B1194="615",$B1194="616",$B1194="6226",$B1194="625",$B1194="626",$B1194="6281"),(1+$I1194)*(1-$L1194)*(1+$M1194),IF(OR($B1194="6331",$B1194="63511",$B1194="6333"),(1+$I1194)*(1-$L1194),IF($B1194="6811",1+$I1194,1)))))))))</f>
        <v/>
      </c>
      <c r="P1194">
        <f>IF($A1194="","",IF($E1194=1,$F1194*$O1194,PNL!G1194))</f>
        <v/>
      </c>
      <c r="T1194">
        <f>IF($A1194="","",IF($E1194=1,IF(OR($B1194="7062",$B1194="706",$B1194="708"),$P1194,IF(AND(LEFT($B1194,1)="6",$B1194&lt;&gt;"6811"),-$P1194,0)),0))</f>
        <v/>
      </c>
    </row>
    <row r="1195">
      <c r="A1195">
        <f>IF(PNL!A1195="","",PNL!A1195)</f>
        <v/>
      </c>
      <c r="B1195">
        <f>IF(PNL!B1195="","",PNL!B1195)</f>
        <v/>
      </c>
      <c r="C1195">
        <f>IF(PNL!C1195="","",PNL!C1195)</f>
        <v/>
      </c>
      <c r="D1195">
        <f>IF(PNL!D1195="","",PNL!D1195)</f>
        <v/>
      </c>
      <c r="E1195">
        <f>IF($A1195="","",IF(AND($C1195="2027",OR($D1195="V01",$D1195="V02",$D1195="V03")),1,0))</f>
        <v/>
      </c>
      <c r="F1195">
        <f>IF($A1195="","",IF($E1195=1,SUMIFS(Comptabilité!$F$1:$F$675,Comptabilité!$A$1:$A$675,$A1195,Comptabilité!$B$1:$B$675,$B1195,Comptabilité!$C$1:$C$675,"2026"),0))</f>
        <v/>
      </c>
      <c r="G1195">
        <f>IF($A1195="","",IF($D1195="V01",Cadrage!$C$22,IF($D1195="V02",Cadrage!$D$22,Cadrage!$E$22)))</f>
        <v/>
      </c>
      <c r="H1195">
        <f>IF($A1195="","",IF($D1195="V01",Cadrage!$C$23,IF($D1195="V02",Cadrage!$D$23,Cadrage!$E$23)))</f>
        <v/>
      </c>
      <c r="I1195">
        <f>IF($A1195="","",IF($D1195="V01",Cadrage!$C$31,IF($D1195="V02",Cadrage!$D$31,Cadrage!$E$31)))</f>
        <v/>
      </c>
      <c r="J1195">
        <f>IF($A1195="","",IF($D1195="V01",Cadrage!$C$32,IF($D1195="V02",Cadrage!$D$32,Cadrage!$E$32)))</f>
        <v/>
      </c>
      <c r="K1195">
        <f>IF($A1195="","",IF($D1195="V01",Cadrage!$C$33,IF($D1195="V02",Cadrage!$D$33,Cadrage!$E$33)))</f>
        <v/>
      </c>
      <c r="L1195">
        <f>IF($A1195="","",IF($D1195="V01",Cadrage!$C$34,IF($D1195="V02",Cadrage!$D$34,Cadrage!$E$34)))</f>
        <v/>
      </c>
      <c r="M1195">
        <f>IF($A1195="","",IF($D1195="V01",Cadrage!$C$35,IF($D1195="V02",Cadrage!$D$35,Cadrage!$E$35)))</f>
        <v/>
      </c>
      <c r="N1195">
        <f>IF($A1195="","",IF($D1195="V01",$R$2,IF($D1195="V02",$R$3,$R$4)))</f>
        <v/>
      </c>
      <c r="O1195">
        <f>IF($A1195="","",IF(OR($B1195="7062",$B1195="706",$B1195="708"),$N1195,IF($B1195="6231",1+$G1195,IF($B1195="6236",1+$H1195,IF(OR($B1195="621",$B1195="604",$B1195="6063"),$N1195*(1-$L1195),IF(OR($B1195="6411",$B1195="6413",$B1195="6414",$B1195="645"),(1+$J1195)*(1+$K1195),IF(OR($B1195="613",$B1195="615",$B1195="616",$B1195="6226",$B1195="625",$B1195="626",$B1195="6281"),(1+$I1195)*(1-$L1195)*(1+$M1195),IF(OR($B1195="6331",$B1195="63511",$B1195="6333"),(1+$I1195)*(1-$L1195),IF($B1195="6811",1+$I1195,1)))))))))</f>
        <v/>
      </c>
      <c r="P1195">
        <f>IF($A1195="","",IF($E1195=1,$F1195*$O1195,PNL!G1195))</f>
        <v/>
      </c>
      <c r="T1195">
        <f>IF($A1195="","",IF($E1195=1,IF(OR($B1195="7062",$B1195="706",$B1195="708"),$P1195,IF(AND(LEFT($B1195,1)="6",$B1195&lt;&gt;"6811"),-$P1195,0)),0))</f>
        <v/>
      </c>
    </row>
    <row r="1196">
      <c r="A1196">
        <f>IF(PNL!A1196="","",PNL!A1196)</f>
        <v/>
      </c>
      <c r="B1196">
        <f>IF(PNL!B1196="","",PNL!B1196)</f>
        <v/>
      </c>
      <c r="C1196">
        <f>IF(PNL!C1196="","",PNL!C1196)</f>
        <v/>
      </c>
      <c r="D1196">
        <f>IF(PNL!D1196="","",PNL!D1196)</f>
        <v/>
      </c>
      <c r="E1196">
        <f>IF($A1196="","",IF(AND($C1196="2027",OR($D1196="V01",$D1196="V02",$D1196="V03")),1,0))</f>
        <v/>
      </c>
      <c r="F1196">
        <f>IF($A1196="","",IF($E1196=1,SUMIFS(Comptabilité!$F$1:$F$675,Comptabilité!$A$1:$A$675,$A1196,Comptabilité!$B$1:$B$675,$B1196,Comptabilité!$C$1:$C$675,"2026"),0))</f>
        <v/>
      </c>
      <c r="G1196">
        <f>IF($A1196="","",IF($D1196="V01",Cadrage!$C$22,IF($D1196="V02",Cadrage!$D$22,Cadrage!$E$22)))</f>
        <v/>
      </c>
      <c r="H1196">
        <f>IF($A1196="","",IF($D1196="V01",Cadrage!$C$23,IF($D1196="V02",Cadrage!$D$23,Cadrage!$E$23)))</f>
        <v/>
      </c>
      <c r="I1196">
        <f>IF($A1196="","",IF($D1196="V01",Cadrage!$C$31,IF($D1196="V02",Cadrage!$D$31,Cadrage!$E$31)))</f>
        <v/>
      </c>
      <c r="J1196">
        <f>IF($A1196="","",IF($D1196="V01",Cadrage!$C$32,IF($D1196="V02",Cadrage!$D$32,Cadrage!$E$32)))</f>
        <v/>
      </c>
      <c r="K1196">
        <f>IF($A1196="","",IF($D1196="V01",Cadrage!$C$33,IF($D1196="V02",Cadrage!$D$33,Cadrage!$E$33)))</f>
        <v/>
      </c>
      <c r="L1196">
        <f>IF($A1196="","",IF($D1196="V01",Cadrage!$C$34,IF($D1196="V02",Cadrage!$D$34,Cadrage!$E$34)))</f>
        <v/>
      </c>
      <c r="M1196">
        <f>IF($A1196="","",IF($D1196="V01",Cadrage!$C$35,IF($D1196="V02",Cadrage!$D$35,Cadrage!$E$35)))</f>
        <v/>
      </c>
      <c r="N1196">
        <f>IF($A1196="","",IF($D1196="V01",$R$2,IF($D1196="V02",$R$3,$R$4)))</f>
        <v/>
      </c>
      <c r="O1196">
        <f>IF($A1196="","",IF(OR($B1196="7062",$B1196="706",$B1196="708"),$N1196,IF($B1196="6231",1+$G1196,IF($B1196="6236",1+$H1196,IF(OR($B1196="621",$B1196="604",$B1196="6063"),$N1196*(1-$L1196),IF(OR($B1196="6411",$B1196="6413",$B1196="6414",$B1196="645"),(1+$J1196)*(1+$K1196),IF(OR($B1196="613",$B1196="615",$B1196="616",$B1196="6226",$B1196="625",$B1196="626",$B1196="6281"),(1+$I1196)*(1-$L1196)*(1+$M1196),IF(OR($B1196="6331",$B1196="63511",$B1196="6333"),(1+$I1196)*(1-$L1196),IF($B1196="6811",1+$I1196,1)))))))))</f>
        <v/>
      </c>
      <c r="P1196">
        <f>IF($A1196="","",IF($E1196=1,$F1196*$O1196,PNL!G1196))</f>
        <v/>
      </c>
      <c r="T1196">
        <f>IF($A1196="","",IF($E1196=1,IF(OR($B1196="7062",$B1196="706",$B1196="708"),$P1196,IF(AND(LEFT($B1196,1)="6",$B1196&lt;&gt;"6811"),-$P1196,0)),0))</f>
        <v/>
      </c>
    </row>
    <row r="1197">
      <c r="A1197">
        <f>IF(PNL!A1197="","",PNL!A1197)</f>
        <v/>
      </c>
      <c r="B1197">
        <f>IF(PNL!B1197="","",PNL!B1197)</f>
        <v/>
      </c>
      <c r="C1197">
        <f>IF(PNL!C1197="","",PNL!C1197)</f>
        <v/>
      </c>
      <c r="D1197">
        <f>IF(PNL!D1197="","",PNL!D1197)</f>
        <v/>
      </c>
      <c r="E1197">
        <f>IF($A1197="","",IF(AND($C1197="2027",OR($D1197="V01",$D1197="V02",$D1197="V03")),1,0))</f>
        <v/>
      </c>
      <c r="F1197">
        <f>IF($A1197="","",IF($E1197=1,SUMIFS(Comptabilité!$F$1:$F$675,Comptabilité!$A$1:$A$675,$A1197,Comptabilité!$B$1:$B$675,$B1197,Comptabilité!$C$1:$C$675,"2026"),0))</f>
        <v/>
      </c>
      <c r="G1197">
        <f>IF($A1197="","",IF($D1197="V01",Cadrage!$C$22,IF($D1197="V02",Cadrage!$D$22,Cadrage!$E$22)))</f>
        <v/>
      </c>
      <c r="H1197">
        <f>IF($A1197="","",IF($D1197="V01",Cadrage!$C$23,IF($D1197="V02",Cadrage!$D$23,Cadrage!$E$23)))</f>
        <v/>
      </c>
      <c r="I1197">
        <f>IF($A1197="","",IF($D1197="V01",Cadrage!$C$31,IF($D1197="V02",Cadrage!$D$31,Cadrage!$E$31)))</f>
        <v/>
      </c>
      <c r="J1197">
        <f>IF($A1197="","",IF($D1197="V01",Cadrage!$C$32,IF($D1197="V02",Cadrage!$D$32,Cadrage!$E$32)))</f>
        <v/>
      </c>
      <c r="K1197">
        <f>IF($A1197="","",IF($D1197="V01",Cadrage!$C$33,IF($D1197="V02",Cadrage!$D$33,Cadrage!$E$33)))</f>
        <v/>
      </c>
      <c r="L1197">
        <f>IF($A1197="","",IF($D1197="V01",Cadrage!$C$34,IF($D1197="V02",Cadrage!$D$34,Cadrage!$E$34)))</f>
        <v/>
      </c>
      <c r="M1197">
        <f>IF($A1197="","",IF($D1197="V01",Cadrage!$C$35,IF($D1197="V02",Cadrage!$D$35,Cadrage!$E$35)))</f>
        <v/>
      </c>
      <c r="N1197">
        <f>IF($A1197="","",IF($D1197="V01",$R$2,IF($D1197="V02",$R$3,$R$4)))</f>
        <v/>
      </c>
      <c r="O1197">
        <f>IF($A1197="","",IF(OR($B1197="7062",$B1197="706",$B1197="708"),$N1197,IF($B1197="6231",1+$G1197,IF($B1197="6236",1+$H1197,IF(OR($B1197="621",$B1197="604",$B1197="6063"),$N1197*(1-$L1197),IF(OR($B1197="6411",$B1197="6413",$B1197="6414",$B1197="645"),(1+$J1197)*(1+$K1197),IF(OR($B1197="613",$B1197="615",$B1197="616",$B1197="6226",$B1197="625",$B1197="626",$B1197="6281"),(1+$I1197)*(1-$L1197)*(1+$M1197),IF(OR($B1197="6331",$B1197="63511",$B1197="6333"),(1+$I1197)*(1-$L1197),IF($B1197="6811",1+$I1197,1)))))))))</f>
        <v/>
      </c>
      <c r="P1197">
        <f>IF($A1197="","",IF($E1197=1,$F1197*$O1197,PNL!G1197))</f>
        <v/>
      </c>
      <c r="T1197">
        <f>IF($A1197="","",IF($E1197=1,IF(OR($B1197="7062",$B1197="706",$B1197="708"),$P1197,IF(AND(LEFT($B1197,1)="6",$B1197&lt;&gt;"6811"),-$P1197,0)),0))</f>
        <v/>
      </c>
    </row>
    <row r="1198">
      <c r="A1198">
        <f>IF(PNL!A1198="","",PNL!A1198)</f>
        <v/>
      </c>
      <c r="B1198">
        <f>IF(PNL!B1198="","",PNL!B1198)</f>
        <v/>
      </c>
      <c r="C1198">
        <f>IF(PNL!C1198="","",PNL!C1198)</f>
        <v/>
      </c>
      <c r="D1198">
        <f>IF(PNL!D1198="","",PNL!D1198)</f>
        <v/>
      </c>
      <c r="E1198">
        <f>IF($A1198="","",IF(AND($C1198="2027",OR($D1198="V01",$D1198="V02",$D1198="V03")),1,0))</f>
        <v/>
      </c>
      <c r="F1198">
        <f>IF($A1198="","",IF($E1198=1,SUMIFS(Comptabilité!$F$1:$F$675,Comptabilité!$A$1:$A$675,$A1198,Comptabilité!$B$1:$B$675,$B1198,Comptabilité!$C$1:$C$675,"2026"),0))</f>
        <v/>
      </c>
      <c r="G1198">
        <f>IF($A1198="","",IF($D1198="V01",Cadrage!$C$22,IF($D1198="V02",Cadrage!$D$22,Cadrage!$E$22)))</f>
        <v/>
      </c>
      <c r="H1198">
        <f>IF($A1198="","",IF($D1198="V01",Cadrage!$C$23,IF($D1198="V02",Cadrage!$D$23,Cadrage!$E$23)))</f>
        <v/>
      </c>
      <c r="I1198">
        <f>IF($A1198="","",IF($D1198="V01",Cadrage!$C$31,IF($D1198="V02",Cadrage!$D$31,Cadrage!$E$31)))</f>
        <v/>
      </c>
      <c r="J1198">
        <f>IF($A1198="","",IF($D1198="V01",Cadrage!$C$32,IF($D1198="V02",Cadrage!$D$32,Cadrage!$E$32)))</f>
        <v/>
      </c>
      <c r="K1198">
        <f>IF($A1198="","",IF($D1198="V01",Cadrage!$C$33,IF($D1198="V02",Cadrage!$D$33,Cadrage!$E$33)))</f>
        <v/>
      </c>
      <c r="L1198">
        <f>IF($A1198="","",IF($D1198="V01",Cadrage!$C$34,IF($D1198="V02",Cadrage!$D$34,Cadrage!$E$34)))</f>
        <v/>
      </c>
      <c r="M1198">
        <f>IF($A1198="","",IF($D1198="V01",Cadrage!$C$35,IF($D1198="V02",Cadrage!$D$35,Cadrage!$E$35)))</f>
        <v/>
      </c>
      <c r="N1198">
        <f>IF($A1198="","",IF($D1198="V01",$R$2,IF($D1198="V02",$R$3,$R$4)))</f>
        <v/>
      </c>
      <c r="O1198">
        <f>IF($A1198="","",IF(OR($B1198="7062",$B1198="706",$B1198="708"),$N1198,IF($B1198="6231",1+$G1198,IF($B1198="6236",1+$H1198,IF(OR($B1198="621",$B1198="604",$B1198="6063"),$N1198*(1-$L1198),IF(OR($B1198="6411",$B1198="6413",$B1198="6414",$B1198="645"),(1+$J1198)*(1+$K1198),IF(OR($B1198="613",$B1198="615",$B1198="616",$B1198="6226",$B1198="625",$B1198="626",$B1198="6281"),(1+$I1198)*(1-$L1198)*(1+$M1198),IF(OR($B1198="6331",$B1198="63511",$B1198="6333"),(1+$I1198)*(1-$L1198),IF($B1198="6811",1+$I1198,1)))))))))</f>
        <v/>
      </c>
      <c r="P1198">
        <f>IF($A1198="","",IF($E1198=1,$F1198*$O1198,PNL!G1198))</f>
        <v/>
      </c>
      <c r="T1198">
        <f>IF($A1198="","",IF($E1198=1,IF(OR($B1198="7062",$B1198="706",$B1198="708"),$P1198,IF(AND(LEFT($B1198,1)="6",$B1198&lt;&gt;"6811"),-$P1198,0)),0))</f>
        <v/>
      </c>
    </row>
    <row r="1199">
      <c r="A1199">
        <f>IF(PNL!A1199="","",PNL!A1199)</f>
        <v/>
      </c>
      <c r="B1199">
        <f>IF(PNL!B1199="","",PNL!B1199)</f>
        <v/>
      </c>
      <c r="C1199">
        <f>IF(PNL!C1199="","",PNL!C1199)</f>
        <v/>
      </c>
      <c r="D1199">
        <f>IF(PNL!D1199="","",PNL!D1199)</f>
        <v/>
      </c>
      <c r="E1199">
        <f>IF($A1199="","",IF(AND($C1199="2027",OR($D1199="V01",$D1199="V02",$D1199="V03")),1,0))</f>
        <v/>
      </c>
      <c r="F1199">
        <f>IF($A1199="","",IF($E1199=1,SUMIFS(Comptabilité!$F$1:$F$675,Comptabilité!$A$1:$A$675,$A1199,Comptabilité!$B$1:$B$675,$B1199,Comptabilité!$C$1:$C$675,"2026"),0))</f>
        <v/>
      </c>
      <c r="G1199">
        <f>IF($A1199="","",IF($D1199="V01",Cadrage!$C$22,IF($D1199="V02",Cadrage!$D$22,Cadrage!$E$22)))</f>
        <v/>
      </c>
      <c r="H1199">
        <f>IF($A1199="","",IF($D1199="V01",Cadrage!$C$23,IF($D1199="V02",Cadrage!$D$23,Cadrage!$E$23)))</f>
        <v/>
      </c>
      <c r="I1199">
        <f>IF($A1199="","",IF($D1199="V01",Cadrage!$C$31,IF($D1199="V02",Cadrage!$D$31,Cadrage!$E$31)))</f>
        <v/>
      </c>
      <c r="J1199">
        <f>IF($A1199="","",IF($D1199="V01",Cadrage!$C$32,IF($D1199="V02",Cadrage!$D$32,Cadrage!$E$32)))</f>
        <v/>
      </c>
      <c r="K1199">
        <f>IF($A1199="","",IF($D1199="V01",Cadrage!$C$33,IF($D1199="V02",Cadrage!$D$33,Cadrage!$E$33)))</f>
        <v/>
      </c>
      <c r="L1199">
        <f>IF($A1199="","",IF($D1199="V01",Cadrage!$C$34,IF($D1199="V02",Cadrage!$D$34,Cadrage!$E$34)))</f>
        <v/>
      </c>
      <c r="M1199">
        <f>IF($A1199="","",IF($D1199="V01",Cadrage!$C$35,IF($D1199="V02",Cadrage!$D$35,Cadrage!$E$35)))</f>
        <v/>
      </c>
      <c r="N1199">
        <f>IF($A1199="","",IF($D1199="V01",$R$2,IF($D1199="V02",$R$3,$R$4)))</f>
        <v/>
      </c>
      <c r="O1199">
        <f>IF($A1199="","",IF(OR($B1199="7062",$B1199="706",$B1199="708"),$N1199,IF($B1199="6231",1+$G1199,IF($B1199="6236",1+$H1199,IF(OR($B1199="621",$B1199="604",$B1199="6063"),$N1199*(1-$L1199),IF(OR($B1199="6411",$B1199="6413",$B1199="6414",$B1199="645"),(1+$J1199)*(1+$K1199),IF(OR($B1199="613",$B1199="615",$B1199="616",$B1199="6226",$B1199="625",$B1199="626",$B1199="6281"),(1+$I1199)*(1-$L1199)*(1+$M1199),IF(OR($B1199="6331",$B1199="63511",$B1199="6333"),(1+$I1199)*(1-$L1199),IF($B1199="6811",1+$I1199,1)))))))))</f>
        <v/>
      </c>
      <c r="P1199">
        <f>IF($A1199="","",IF($E1199=1,$F1199*$O1199,PNL!G1199))</f>
        <v/>
      </c>
      <c r="T1199">
        <f>IF($A1199="","",IF($E1199=1,IF(OR($B1199="7062",$B1199="706",$B1199="708"),$P1199,IF(AND(LEFT($B1199,1)="6",$B1199&lt;&gt;"6811"),-$P1199,0)),0))</f>
        <v/>
      </c>
    </row>
    <row r="1200">
      <c r="A1200">
        <f>IF(PNL!A1200="","",PNL!A1200)</f>
        <v/>
      </c>
      <c r="B1200">
        <f>IF(PNL!B1200="","",PNL!B1200)</f>
        <v/>
      </c>
      <c r="C1200">
        <f>IF(PNL!C1200="","",PNL!C1200)</f>
        <v/>
      </c>
      <c r="D1200">
        <f>IF(PNL!D1200="","",PNL!D1200)</f>
        <v/>
      </c>
      <c r="E1200">
        <f>IF($A1200="","",IF(AND($C1200="2027",OR($D1200="V01",$D1200="V02",$D1200="V03")),1,0))</f>
        <v/>
      </c>
      <c r="F1200">
        <f>IF($A1200="","",IF($E1200=1,SUMIFS(Comptabilité!$F$1:$F$675,Comptabilité!$A$1:$A$675,$A1200,Comptabilité!$B$1:$B$675,$B1200,Comptabilité!$C$1:$C$675,"2026"),0))</f>
        <v/>
      </c>
      <c r="G1200">
        <f>IF($A1200="","",IF($D1200="V01",Cadrage!$C$22,IF($D1200="V02",Cadrage!$D$22,Cadrage!$E$22)))</f>
        <v/>
      </c>
      <c r="H1200">
        <f>IF($A1200="","",IF($D1200="V01",Cadrage!$C$23,IF($D1200="V02",Cadrage!$D$23,Cadrage!$E$23)))</f>
        <v/>
      </c>
      <c r="I1200">
        <f>IF($A1200="","",IF($D1200="V01",Cadrage!$C$31,IF($D1200="V02",Cadrage!$D$31,Cadrage!$E$31)))</f>
        <v/>
      </c>
      <c r="J1200">
        <f>IF($A1200="","",IF($D1200="V01",Cadrage!$C$32,IF($D1200="V02",Cadrage!$D$32,Cadrage!$E$32)))</f>
        <v/>
      </c>
      <c r="K1200">
        <f>IF($A1200="","",IF($D1200="V01",Cadrage!$C$33,IF($D1200="V02",Cadrage!$D$33,Cadrage!$E$33)))</f>
        <v/>
      </c>
      <c r="L1200">
        <f>IF($A1200="","",IF($D1200="V01",Cadrage!$C$34,IF($D1200="V02",Cadrage!$D$34,Cadrage!$E$34)))</f>
        <v/>
      </c>
      <c r="M1200">
        <f>IF($A1200="","",IF($D1200="V01",Cadrage!$C$35,IF($D1200="V02",Cadrage!$D$35,Cadrage!$E$35)))</f>
        <v/>
      </c>
      <c r="N1200">
        <f>IF($A1200="","",IF($D1200="V01",$R$2,IF($D1200="V02",$R$3,$R$4)))</f>
        <v/>
      </c>
      <c r="O1200">
        <f>IF($A1200="","",IF(OR($B1200="7062",$B1200="706",$B1200="708"),$N1200,IF($B1200="6231",1+$G1200,IF($B1200="6236",1+$H1200,IF(OR($B1200="621",$B1200="604",$B1200="6063"),$N1200*(1-$L1200),IF(OR($B1200="6411",$B1200="6413",$B1200="6414",$B1200="645"),(1+$J1200)*(1+$K1200),IF(OR($B1200="613",$B1200="615",$B1200="616",$B1200="6226",$B1200="625",$B1200="626",$B1200="6281"),(1+$I1200)*(1-$L1200)*(1+$M1200),IF(OR($B1200="6331",$B1200="63511",$B1200="6333"),(1+$I1200)*(1-$L1200),IF($B1200="6811",1+$I1200,1)))))))))</f>
        <v/>
      </c>
      <c r="P1200">
        <f>IF($A1200="","",IF($E1200=1,$F1200*$O1200,PNL!G1200))</f>
        <v/>
      </c>
      <c r="T1200">
        <f>IF($A1200="","",IF($E1200=1,IF(OR($B1200="7062",$B1200="706",$B1200="708"),$P1200,IF(AND(LEFT($B1200,1)="6",$B1200&lt;&gt;"6811"),-$P1200,0)),0))</f>
        <v/>
      </c>
    </row>
    <row r="1201">
      <c r="A1201">
        <f>IF(PNL!A1201="","",PNL!A1201)</f>
        <v/>
      </c>
      <c r="B1201">
        <f>IF(PNL!B1201="","",PNL!B1201)</f>
        <v/>
      </c>
      <c r="C1201">
        <f>IF(PNL!C1201="","",PNL!C1201)</f>
        <v/>
      </c>
      <c r="D1201">
        <f>IF(PNL!D1201="","",PNL!D1201)</f>
        <v/>
      </c>
      <c r="E1201">
        <f>IF($A1201="","",IF(AND($C1201="2027",OR($D1201="V01",$D1201="V02",$D1201="V03")),1,0))</f>
        <v/>
      </c>
      <c r="F1201">
        <f>IF($A1201="","",IF($E1201=1,SUMIFS(Comptabilité!$F$1:$F$675,Comptabilité!$A$1:$A$675,$A1201,Comptabilité!$B$1:$B$675,$B1201,Comptabilité!$C$1:$C$675,"2026"),0))</f>
        <v/>
      </c>
      <c r="G1201">
        <f>IF($A1201="","",IF($D1201="V01",Cadrage!$C$22,IF($D1201="V02",Cadrage!$D$22,Cadrage!$E$22)))</f>
        <v/>
      </c>
      <c r="H1201">
        <f>IF($A1201="","",IF($D1201="V01",Cadrage!$C$23,IF($D1201="V02",Cadrage!$D$23,Cadrage!$E$23)))</f>
        <v/>
      </c>
      <c r="I1201">
        <f>IF($A1201="","",IF($D1201="V01",Cadrage!$C$31,IF($D1201="V02",Cadrage!$D$31,Cadrage!$E$31)))</f>
        <v/>
      </c>
      <c r="J1201">
        <f>IF($A1201="","",IF($D1201="V01",Cadrage!$C$32,IF($D1201="V02",Cadrage!$D$32,Cadrage!$E$32)))</f>
        <v/>
      </c>
      <c r="K1201">
        <f>IF($A1201="","",IF($D1201="V01",Cadrage!$C$33,IF($D1201="V02",Cadrage!$D$33,Cadrage!$E$33)))</f>
        <v/>
      </c>
      <c r="L1201">
        <f>IF($A1201="","",IF($D1201="V01",Cadrage!$C$34,IF($D1201="V02",Cadrage!$D$34,Cadrage!$E$34)))</f>
        <v/>
      </c>
      <c r="M1201">
        <f>IF($A1201="","",IF($D1201="V01",Cadrage!$C$35,IF($D1201="V02",Cadrage!$D$35,Cadrage!$E$35)))</f>
        <v/>
      </c>
      <c r="N1201">
        <f>IF($A1201="","",IF($D1201="V01",$R$2,IF($D1201="V02",$R$3,$R$4)))</f>
        <v/>
      </c>
      <c r="O1201">
        <f>IF($A1201="","",IF(OR($B1201="7062",$B1201="706",$B1201="708"),$N1201,IF($B1201="6231",1+$G1201,IF($B1201="6236",1+$H1201,IF(OR($B1201="621",$B1201="604",$B1201="6063"),$N1201*(1-$L1201),IF(OR($B1201="6411",$B1201="6413",$B1201="6414",$B1201="645"),(1+$J1201)*(1+$K1201),IF(OR($B1201="613",$B1201="615",$B1201="616",$B1201="6226",$B1201="625",$B1201="626",$B1201="6281"),(1+$I1201)*(1-$L1201)*(1+$M1201),IF(OR($B1201="6331",$B1201="63511",$B1201="6333"),(1+$I1201)*(1-$L1201),IF($B1201="6811",1+$I1201,1)))))))))</f>
        <v/>
      </c>
      <c r="P1201">
        <f>IF($A1201="","",IF($E1201=1,$F1201*$O1201,PNL!G1201))</f>
        <v/>
      </c>
      <c r="T1201">
        <f>IF($A1201="","",IF($E1201=1,IF(OR($B1201="7062",$B1201="706",$B1201="708"),$P1201,IF(AND(LEFT($B1201,1)="6",$B1201&lt;&gt;"6811"),-$P1201,0)),0))</f>
        <v/>
      </c>
    </row>
    <row r="1202">
      <c r="A1202">
        <f>IF(PNL!A1202="","",PNL!A1202)</f>
        <v/>
      </c>
      <c r="B1202">
        <f>IF(PNL!B1202="","",PNL!B1202)</f>
        <v/>
      </c>
      <c r="C1202">
        <f>IF(PNL!C1202="","",PNL!C1202)</f>
        <v/>
      </c>
      <c r="D1202">
        <f>IF(PNL!D1202="","",PNL!D1202)</f>
        <v/>
      </c>
      <c r="E1202">
        <f>IF($A1202="","",IF(AND($C1202="2027",OR($D1202="V01",$D1202="V02",$D1202="V03")),1,0))</f>
        <v/>
      </c>
      <c r="F1202">
        <f>IF($A1202="","",IF($E1202=1,SUMIFS(Comptabilité!$F$1:$F$675,Comptabilité!$A$1:$A$675,$A1202,Comptabilité!$B$1:$B$675,$B1202,Comptabilité!$C$1:$C$675,"2026"),0))</f>
        <v/>
      </c>
      <c r="G1202">
        <f>IF($A1202="","",IF($D1202="V01",Cadrage!$C$22,IF($D1202="V02",Cadrage!$D$22,Cadrage!$E$22)))</f>
        <v/>
      </c>
      <c r="H1202">
        <f>IF($A1202="","",IF($D1202="V01",Cadrage!$C$23,IF($D1202="V02",Cadrage!$D$23,Cadrage!$E$23)))</f>
        <v/>
      </c>
      <c r="I1202">
        <f>IF($A1202="","",IF($D1202="V01",Cadrage!$C$31,IF($D1202="V02",Cadrage!$D$31,Cadrage!$E$31)))</f>
        <v/>
      </c>
      <c r="J1202">
        <f>IF($A1202="","",IF($D1202="V01",Cadrage!$C$32,IF($D1202="V02",Cadrage!$D$32,Cadrage!$E$32)))</f>
        <v/>
      </c>
      <c r="K1202">
        <f>IF($A1202="","",IF($D1202="V01",Cadrage!$C$33,IF($D1202="V02",Cadrage!$D$33,Cadrage!$E$33)))</f>
        <v/>
      </c>
      <c r="L1202">
        <f>IF($A1202="","",IF($D1202="V01",Cadrage!$C$34,IF($D1202="V02",Cadrage!$D$34,Cadrage!$E$34)))</f>
        <v/>
      </c>
      <c r="M1202">
        <f>IF($A1202="","",IF($D1202="V01",Cadrage!$C$35,IF($D1202="V02",Cadrage!$D$35,Cadrage!$E$35)))</f>
        <v/>
      </c>
      <c r="N1202">
        <f>IF($A1202="","",IF($D1202="V01",$R$2,IF($D1202="V02",$R$3,$R$4)))</f>
        <v/>
      </c>
      <c r="O1202">
        <f>IF($A1202="","",IF(OR($B1202="7062",$B1202="706",$B1202="708"),$N1202,IF($B1202="6231",1+$G1202,IF($B1202="6236",1+$H1202,IF(OR($B1202="621",$B1202="604",$B1202="6063"),$N1202*(1-$L1202),IF(OR($B1202="6411",$B1202="6413",$B1202="6414",$B1202="645"),(1+$J1202)*(1+$K1202),IF(OR($B1202="613",$B1202="615",$B1202="616",$B1202="6226",$B1202="625",$B1202="626",$B1202="6281"),(1+$I1202)*(1-$L1202)*(1+$M1202),IF(OR($B1202="6331",$B1202="63511",$B1202="6333"),(1+$I1202)*(1-$L1202),IF($B1202="6811",1+$I1202,1)))))))))</f>
        <v/>
      </c>
      <c r="P1202">
        <f>IF($A1202="","",IF($E1202=1,$F1202*$O1202,PNL!G1202))</f>
        <v/>
      </c>
      <c r="T1202">
        <f>IF($A1202="","",IF($E1202=1,IF(OR($B1202="7062",$B1202="706",$B1202="708"),$P1202,IF(AND(LEFT($B1202,1)="6",$B1202&lt;&gt;"6811"),-$P1202,0)),0))</f>
        <v/>
      </c>
    </row>
    <row r="1203">
      <c r="A1203">
        <f>IF(PNL!A1203="","",PNL!A1203)</f>
        <v/>
      </c>
      <c r="B1203">
        <f>IF(PNL!B1203="","",PNL!B1203)</f>
        <v/>
      </c>
      <c r="C1203">
        <f>IF(PNL!C1203="","",PNL!C1203)</f>
        <v/>
      </c>
      <c r="D1203">
        <f>IF(PNL!D1203="","",PNL!D1203)</f>
        <v/>
      </c>
      <c r="E1203">
        <f>IF($A1203="","",IF(AND($C1203="2027",OR($D1203="V01",$D1203="V02",$D1203="V03")),1,0))</f>
        <v/>
      </c>
      <c r="F1203">
        <f>IF($A1203="","",IF($E1203=1,SUMIFS(Comptabilité!$F$1:$F$675,Comptabilité!$A$1:$A$675,$A1203,Comptabilité!$B$1:$B$675,$B1203,Comptabilité!$C$1:$C$675,"2026"),0))</f>
        <v/>
      </c>
      <c r="G1203">
        <f>IF($A1203="","",IF($D1203="V01",Cadrage!$C$22,IF($D1203="V02",Cadrage!$D$22,Cadrage!$E$22)))</f>
        <v/>
      </c>
      <c r="H1203">
        <f>IF($A1203="","",IF($D1203="V01",Cadrage!$C$23,IF($D1203="V02",Cadrage!$D$23,Cadrage!$E$23)))</f>
        <v/>
      </c>
      <c r="I1203">
        <f>IF($A1203="","",IF($D1203="V01",Cadrage!$C$31,IF($D1203="V02",Cadrage!$D$31,Cadrage!$E$31)))</f>
        <v/>
      </c>
      <c r="J1203">
        <f>IF($A1203="","",IF($D1203="V01",Cadrage!$C$32,IF($D1203="V02",Cadrage!$D$32,Cadrage!$E$32)))</f>
        <v/>
      </c>
      <c r="K1203">
        <f>IF($A1203="","",IF($D1203="V01",Cadrage!$C$33,IF($D1203="V02",Cadrage!$D$33,Cadrage!$E$33)))</f>
        <v/>
      </c>
      <c r="L1203">
        <f>IF($A1203="","",IF($D1203="V01",Cadrage!$C$34,IF($D1203="V02",Cadrage!$D$34,Cadrage!$E$34)))</f>
        <v/>
      </c>
      <c r="M1203">
        <f>IF($A1203="","",IF($D1203="V01",Cadrage!$C$35,IF($D1203="V02",Cadrage!$D$35,Cadrage!$E$35)))</f>
        <v/>
      </c>
      <c r="N1203">
        <f>IF($A1203="","",IF($D1203="V01",$R$2,IF($D1203="V02",$R$3,$R$4)))</f>
        <v/>
      </c>
      <c r="O1203">
        <f>IF($A1203="","",IF(OR($B1203="7062",$B1203="706",$B1203="708"),$N1203,IF($B1203="6231",1+$G1203,IF($B1203="6236",1+$H1203,IF(OR($B1203="621",$B1203="604",$B1203="6063"),$N1203*(1-$L1203),IF(OR($B1203="6411",$B1203="6413",$B1203="6414",$B1203="645"),(1+$J1203)*(1+$K1203),IF(OR($B1203="613",$B1203="615",$B1203="616",$B1203="6226",$B1203="625",$B1203="626",$B1203="6281"),(1+$I1203)*(1-$L1203)*(1+$M1203),IF(OR($B1203="6331",$B1203="63511",$B1203="6333"),(1+$I1203)*(1-$L1203),IF($B1203="6811",1+$I1203,1)))))))))</f>
        <v/>
      </c>
      <c r="P1203">
        <f>IF($A1203="","",IF($E1203=1,$F1203*$O1203,PNL!G1203))</f>
        <v/>
      </c>
      <c r="T1203">
        <f>IF($A1203="","",IF($E1203=1,IF(OR($B1203="7062",$B1203="706",$B1203="708"),$P1203,IF(AND(LEFT($B1203,1)="6",$B1203&lt;&gt;"6811"),-$P1203,0)),0))</f>
        <v/>
      </c>
    </row>
    <row r="1204">
      <c r="A1204">
        <f>IF(PNL!A1204="","",PNL!A1204)</f>
        <v/>
      </c>
      <c r="B1204">
        <f>IF(PNL!B1204="","",PNL!B1204)</f>
        <v/>
      </c>
      <c r="C1204">
        <f>IF(PNL!C1204="","",PNL!C1204)</f>
        <v/>
      </c>
      <c r="D1204">
        <f>IF(PNL!D1204="","",PNL!D1204)</f>
        <v/>
      </c>
      <c r="E1204">
        <f>IF($A1204="","",IF(AND($C1204="2027",OR($D1204="V01",$D1204="V02",$D1204="V03")),1,0))</f>
        <v/>
      </c>
      <c r="F1204">
        <f>IF($A1204="","",IF($E1204=1,SUMIFS(Comptabilité!$F$1:$F$675,Comptabilité!$A$1:$A$675,$A1204,Comptabilité!$B$1:$B$675,$B1204,Comptabilité!$C$1:$C$675,"2026"),0))</f>
        <v/>
      </c>
      <c r="G1204">
        <f>IF($A1204="","",IF($D1204="V01",Cadrage!$C$22,IF($D1204="V02",Cadrage!$D$22,Cadrage!$E$22)))</f>
        <v/>
      </c>
      <c r="H1204">
        <f>IF($A1204="","",IF($D1204="V01",Cadrage!$C$23,IF($D1204="V02",Cadrage!$D$23,Cadrage!$E$23)))</f>
        <v/>
      </c>
      <c r="I1204">
        <f>IF($A1204="","",IF($D1204="V01",Cadrage!$C$31,IF($D1204="V02",Cadrage!$D$31,Cadrage!$E$31)))</f>
        <v/>
      </c>
      <c r="J1204">
        <f>IF($A1204="","",IF($D1204="V01",Cadrage!$C$32,IF($D1204="V02",Cadrage!$D$32,Cadrage!$E$32)))</f>
        <v/>
      </c>
      <c r="K1204">
        <f>IF($A1204="","",IF($D1204="V01",Cadrage!$C$33,IF($D1204="V02",Cadrage!$D$33,Cadrage!$E$33)))</f>
        <v/>
      </c>
      <c r="L1204">
        <f>IF($A1204="","",IF($D1204="V01",Cadrage!$C$34,IF($D1204="V02",Cadrage!$D$34,Cadrage!$E$34)))</f>
        <v/>
      </c>
      <c r="M1204">
        <f>IF($A1204="","",IF($D1204="V01",Cadrage!$C$35,IF($D1204="V02",Cadrage!$D$35,Cadrage!$E$35)))</f>
        <v/>
      </c>
      <c r="N1204">
        <f>IF($A1204="","",IF($D1204="V01",$R$2,IF($D1204="V02",$R$3,$R$4)))</f>
        <v/>
      </c>
      <c r="O1204">
        <f>IF($A1204="","",IF(OR($B1204="7062",$B1204="706",$B1204="708"),$N1204,IF($B1204="6231",1+$G1204,IF($B1204="6236",1+$H1204,IF(OR($B1204="621",$B1204="604",$B1204="6063"),$N1204*(1-$L1204),IF(OR($B1204="6411",$B1204="6413",$B1204="6414",$B1204="645"),(1+$J1204)*(1+$K1204),IF(OR($B1204="613",$B1204="615",$B1204="616",$B1204="6226",$B1204="625",$B1204="626",$B1204="6281"),(1+$I1204)*(1-$L1204)*(1+$M1204),IF(OR($B1204="6331",$B1204="63511",$B1204="6333"),(1+$I1204)*(1-$L1204),IF($B1204="6811",1+$I1204,1)))))))))</f>
        <v/>
      </c>
      <c r="P1204">
        <f>IF($A1204="","",IF($E1204=1,$F1204*$O1204,PNL!G1204))</f>
        <v/>
      </c>
      <c r="T1204">
        <f>IF($A1204="","",IF($E1204=1,IF(OR($B1204="7062",$B1204="706",$B1204="708"),$P1204,IF(AND(LEFT($B1204,1)="6",$B1204&lt;&gt;"6811"),-$P1204,0)),0))</f>
        <v/>
      </c>
    </row>
    <row r="1205">
      <c r="A1205">
        <f>IF(PNL!A1205="","",PNL!A1205)</f>
        <v/>
      </c>
      <c r="B1205">
        <f>IF(PNL!B1205="","",PNL!B1205)</f>
        <v/>
      </c>
      <c r="C1205">
        <f>IF(PNL!C1205="","",PNL!C1205)</f>
        <v/>
      </c>
      <c r="D1205">
        <f>IF(PNL!D1205="","",PNL!D1205)</f>
        <v/>
      </c>
      <c r="E1205">
        <f>IF($A1205="","",IF(AND($C1205="2027",OR($D1205="V01",$D1205="V02",$D1205="V03")),1,0))</f>
        <v/>
      </c>
      <c r="F1205">
        <f>IF($A1205="","",IF($E1205=1,SUMIFS(Comptabilité!$F$1:$F$675,Comptabilité!$A$1:$A$675,$A1205,Comptabilité!$B$1:$B$675,$B1205,Comptabilité!$C$1:$C$675,"2026"),0))</f>
        <v/>
      </c>
      <c r="G1205">
        <f>IF($A1205="","",IF($D1205="V01",Cadrage!$C$22,IF($D1205="V02",Cadrage!$D$22,Cadrage!$E$22)))</f>
        <v/>
      </c>
      <c r="H1205">
        <f>IF($A1205="","",IF($D1205="V01",Cadrage!$C$23,IF($D1205="V02",Cadrage!$D$23,Cadrage!$E$23)))</f>
        <v/>
      </c>
      <c r="I1205">
        <f>IF($A1205="","",IF($D1205="V01",Cadrage!$C$31,IF($D1205="V02",Cadrage!$D$31,Cadrage!$E$31)))</f>
        <v/>
      </c>
      <c r="J1205">
        <f>IF($A1205="","",IF($D1205="V01",Cadrage!$C$32,IF($D1205="V02",Cadrage!$D$32,Cadrage!$E$32)))</f>
        <v/>
      </c>
      <c r="K1205">
        <f>IF($A1205="","",IF($D1205="V01",Cadrage!$C$33,IF($D1205="V02",Cadrage!$D$33,Cadrage!$E$33)))</f>
        <v/>
      </c>
      <c r="L1205">
        <f>IF($A1205="","",IF($D1205="V01",Cadrage!$C$34,IF($D1205="V02",Cadrage!$D$34,Cadrage!$E$34)))</f>
        <v/>
      </c>
      <c r="M1205">
        <f>IF($A1205="","",IF($D1205="V01",Cadrage!$C$35,IF($D1205="V02",Cadrage!$D$35,Cadrage!$E$35)))</f>
        <v/>
      </c>
      <c r="N1205">
        <f>IF($A1205="","",IF($D1205="V01",$R$2,IF($D1205="V02",$R$3,$R$4)))</f>
        <v/>
      </c>
      <c r="O1205">
        <f>IF($A1205="","",IF(OR($B1205="7062",$B1205="706",$B1205="708"),$N1205,IF($B1205="6231",1+$G1205,IF($B1205="6236",1+$H1205,IF(OR($B1205="621",$B1205="604",$B1205="6063"),$N1205*(1-$L1205),IF(OR($B1205="6411",$B1205="6413",$B1205="6414",$B1205="645"),(1+$J1205)*(1+$K1205),IF(OR($B1205="613",$B1205="615",$B1205="616",$B1205="6226",$B1205="625",$B1205="626",$B1205="6281"),(1+$I1205)*(1-$L1205)*(1+$M1205),IF(OR($B1205="6331",$B1205="63511",$B1205="6333"),(1+$I1205)*(1-$L1205),IF($B1205="6811",1+$I1205,1)))))))))</f>
        <v/>
      </c>
      <c r="P1205">
        <f>IF($A1205="","",IF($E1205=1,$F1205*$O1205,PNL!G1205))</f>
        <v/>
      </c>
      <c r="T1205">
        <f>IF($A1205="","",IF($E1205=1,IF(OR($B1205="7062",$B1205="706",$B1205="708"),$P1205,IF(AND(LEFT($B1205,1)="6",$B1205&lt;&gt;"6811"),-$P1205,0)),0))</f>
        <v/>
      </c>
    </row>
    <row r="1206">
      <c r="A1206">
        <f>IF(PNL!A1206="","",PNL!A1206)</f>
        <v/>
      </c>
      <c r="B1206">
        <f>IF(PNL!B1206="","",PNL!B1206)</f>
        <v/>
      </c>
      <c r="C1206">
        <f>IF(PNL!C1206="","",PNL!C1206)</f>
        <v/>
      </c>
      <c r="D1206">
        <f>IF(PNL!D1206="","",PNL!D1206)</f>
        <v/>
      </c>
      <c r="E1206">
        <f>IF($A1206="","",IF(AND($C1206="2027",OR($D1206="V01",$D1206="V02",$D1206="V03")),1,0))</f>
        <v/>
      </c>
      <c r="F1206">
        <f>IF($A1206="","",IF($E1206=1,SUMIFS(Comptabilité!$F$1:$F$675,Comptabilité!$A$1:$A$675,$A1206,Comptabilité!$B$1:$B$675,$B1206,Comptabilité!$C$1:$C$675,"2026"),0))</f>
        <v/>
      </c>
      <c r="G1206">
        <f>IF($A1206="","",IF($D1206="V01",Cadrage!$C$22,IF($D1206="V02",Cadrage!$D$22,Cadrage!$E$22)))</f>
        <v/>
      </c>
      <c r="H1206">
        <f>IF($A1206="","",IF($D1206="V01",Cadrage!$C$23,IF($D1206="V02",Cadrage!$D$23,Cadrage!$E$23)))</f>
        <v/>
      </c>
      <c r="I1206">
        <f>IF($A1206="","",IF($D1206="V01",Cadrage!$C$31,IF($D1206="V02",Cadrage!$D$31,Cadrage!$E$31)))</f>
        <v/>
      </c>
      <c r="J1206">
        <f>IF($A1206="","",IF($D1206="V01",Cadrage!$C$32,IF($D1206="V02",Cadrage!$D$32,Cadrage!$E$32)))</f>
        <v/>
      </c>
      <c r="K1206">
        <f>IF($A1206="","",IF($D1206="V01",Cadrage!$C$33,IF($D1206="V02",Cadrage!$D$33,Cadrage!$E$33)))</f>
        <v/>
      </c>
      <c r="L1206">
        <f>IF($A1206="","",IF($D1206="V01",Cadrage!$C$34,IF($D1206="V02",Cadrage!$D$34,Cadrage!$E$34)))</f>
        <v/>
      </c>
      <c r="M1206">
        <f>IF($A1206="","",IF($D1206="V01",Cadrage!$C$35,IF($D1206="V02",Cadrage!$D$35,Cadrage!$E$35)))</f>
        <v/>
      </c>
      <c r="N1206">
        <f>IF($A1206="","",IF($D1206="V01",$R$2,IF($D1206="V02",$R$3,$R$4)))</f>
        <v/>
      </c>
      <c r="O1206">
        <f>IF($A1206="","",IF(OR($B1206="7062",$B1206="706",$B1206="708"),$N1206,IF($B1206="6231",1+$G1206,IF($B1206="6236",1+$H1206,IF(OR($B1206="621",$B1206="604",$B1206="6063"),$N1206*(1-$L1206),IF(OR($B1206="6411",$B1206="6413",$B1206="6414",$B1206="645"),(1+$J1206)*(1+$K1206),IF(OR($B1206="613",$B1206="615",$B1206="616",$B1206="6226",$B1206="625",$B1206="626",$B1206="6281"),(1+$I1206)*(1-$L1206)*(1+$M1206),IF(OR($B1206="6331",$B1206="63511",$B1206="6333"),(1+$I1206)*(1-$L1206),IF($B1206="6811",1+$I1206,1)))))))))</f>
        <v/>
      </c>
      <c r="P1206">
        <f>IF($A1206="","",IF($E1206=1,$F1206*$O1206,PNL!G1206))</f>
        <v/>
      </c>
      <c r="T1206">
        <f>IF($A1206="","",IF($E1206=1,IF(OR($B1206="7062",$B1206="706",$B1206="708"),$P1206,IF(AND(LEFT($B1206,1)="6",$B1206&lt;&gt;"6811"),-$P1206,0)),0))</f>
        <v/>
      </c>
    </row>
    <row r="1207">
      <c r="A1207">
        <f>IF(PNL!A1207="","",PNL!A1207)</f>
        <v/>
      </c>
      <c r="B1207">
        <f>IF(PNL!B1207="","",PNL!B1207)</f>
        <v/>
      </c>
      <c r="C1207">
        <f>IF(PNL!C1207="","",PNL!C1207)</f>
        <v/>
      </c>
      <c r="D1207">
        <f>IF(PNL!D1207="","",PNL!D1207)</f>
        <v/>
      </c>
      <c r="E1207">
        <f>IF($A1207="","",IF(AND($C1207="2027",OR($D1207="V01",$D1207="V02",$D1207="V03")),1,0))</f>
        <v/>
      </c>
      <c r="F1207">
        <f>IF($A1207="","",IF($E1207=1,SUMIFS(Comptabilité!$F$1:$F$675,Comptabilité!$A$1:$A$675,$A1207,Comptabilité!$B$1:$B$675,$B1207,Comptabilité!$C$1:$C$675,"2026"),0))</f>
        <v/>
      </c>
      <c r="G1207">
        <f>IF($A1207="","",IF($D1207="V01",Cadrage!$C$22,IF($D1207="V02",Cadrage!$D$22,Cadrage!$E$22)))</f>
        <v/>
      </c>
      <c r="H1207">
        <f>IF($A1207="","",IF($D1207="V01",Cadrage!$C$23,IF($D1207="V02",Cadrage!$D$23,Cadrage!$E$23)))</f>
        <v/>
      </c>
      <c r="I1207">
        <f>IF($A1207="","",IF($D1207="V01",Cadrage!$C$31,IF($D1207="V02",Cadrage!$D$31,Cadrage!$E$31)))</f>
        <v/>
      </c>
      <c r="J1207">
        <f>IF($A1207="","",IF($D1207="V01",Cadrage!$C$32,IF($D1207="V02",Cadrage!$D$32,Cadrage!$E$32)))</f>
        <v/>
      </c>
      <c r="K1207">
        <f>IF($A1207="","",IF($D1207="V01",Cadrage!$C$33,IF($D1207="V02",Cadrage!$D$33,Cadrage!$E$33)))</f>
        <v/>
      </c>
      <c r="L1207">
        <f>IF($A1207="","",IF($D1207="V01",Cadrage!$C$34,IF($D1207="V02",Cadrage!$D$34,Cadrage!$E$34)))</f>
        <v/>
      </c>
      <c r="M1207">
        <f>IF($A1207="","",IF($D1207="V01",Cadrage!$C$35,IF($D1207="V02",Cadrage!$D$35,Cadrage!$E$35)))</f>
        <v/>
      </c>
      <c r="N1207">
        <f>IF($A1207="","",IF($D1207="V01",$R$2,IF($D1207="V02",$R$3,$R$4)))</f>
        <v/>
      </c>
      <c r="O1207">
        <f>IF($A1207="","",IF(OR($B1207="7062",$B1207="706",$B1207="708"),$N1207,IF($B1207="6231",1+$G1207,IF($B1207="6236",1+$H1207,IF(OR($B1207="621",$B1207="604",$B1207="6063"),$N1207*(1-$L1207),IF(OR($B1207="6411",$B1207="6413",$B1207="6414",$B1207="645"),(1+$J1207)*(1+$K1207),IF(OR($B1207="613",$B1207="615",$B1207="616",$B1207="6226",$B1207="625",$B1207="626",$B1207="6281"),(1+$I1207)*(1-$L1207)*(1+$M1207),IF(OR($B1207="6331",$B1207="63511",$B1207="6333"),(1+$I1207)*(1-$L1207),IF($B1207="6811",1+$I1207,1)))))))))</f>
        <v/>
      </c>
      <c r="P1207">
        <f>IF($A1207="","",IF($E1207=1,$F1207*$O1207,PNL!G1207))</f>
        <v/>
      </c>
      <c r="T1207">
        <f>IF($A1207="","",IF($E1207=1,IF(OR($B1207="7062",$B1207="706",$B1207="708"),$P1207,IF(AND(LEFT($B1207,1)="6",$B1207&lt;&gt;"6811"),-$P1207,0)),0))</f>
        <v/>
      </c>
    </row>
    <row r="1208">
      <c r="A1208">
        <f>IF(PNL!A1208="","",PNL!A1208)</f>
        <v/>
      </c>
      <c r="B1208">
        <f>IF(PNL!B1208="","",PNL!B1208)</f>
        <v/>
      </c>
      <c r="C1208">
        <f>IF(PNL!C1208="","",PNL!C1208)</f>
        <v/>
      </c>
      <c r="D1208">
        <f>IF(PNL!D1208="","",PNL!D1208)</f>
        <v/>
      </c>
      <c r="E1208">
        <f>IF($A1208="","",IF(AND($C1208="2027",OR($D1208="V01",$D1208="V02",$D1208="V03")),1,0))</f>
        <v/>
      </c>
      <c r="F1208">
        <f>IF($A1208="","",IF($E1208=1,SUMIFS(Comptabilité!$F$1:$F$675,Comptabilité!$A$1:$A$675,$A1208,Comptabilité!$B$1:$B$675,$B1208,Comptabilité!$C$1:$C$675,"2026"),0))</f>
        <v/>
      </c>
      <c r="G1208">
        <f>IF($A1208="","",IF($D1208="V01",Cadrage!$C$22,IF($D1208="V02",Cadrage!$D$22,Cadrage!$E$22)))</f>
        <v/>
      </c>
      <c r="H1208">
        <f>IF($A1208="","",IF($D1208="V01",Cadrage!$C$23,IF($D1208="V02",Cadrage!$D$23,Cadrage!$E$23)))</f>
        <v/>
      </c>
      <c r="I1208">
        <f>IF($A1208="","",IF($D1208="V01",Cadrage!$C$31,IF($D1208="V02",Cadrage!$D$31,Cadrage!$E$31)))</f>
        <v/>
      </c>
      <c r="J1208">
        <f>IF($A1208="","",IF($D1208="V01",Cadrage!$C$32,IF($D1208="V02",Cadrage!$D$32,Cadrage!$E$32)))</f>
        <v/>
      </c>
      <c r="K1208">
        <f>IF($A1208="","",IF($D1208="V01",Cadrage!$C$33,IF($D1208="V02",Cadrage!$D$33,Cadrage!$E$33)))</f>
        <v/>
      </c>
      <c r="L1208">
        <f>IF($A1208="","",IF($D1208="V01",Cadrage!$C$34,IF($D1208="V02",Cadrage!$D$34,Cadrage!$E$34)))</f>
        <v/>
      </c>
      <c r="M1208">
        <f>IF($A1208="","",IF($D1208="V01",Cadrage!$C$35,IF($D1208="V02",Cadrage!$D$35,Cadrage!$E$35)))</f>
        <v/>
      </c>
      <c r="N1208">
        <f>IF($A1208="","",IF($D1208="V01",$R$2,IF($D1208="V02",$R$3,$R$4)))</f>
        <v/>
      </c>
      <c r="O1208">
        <f>IF($A1208="","",IF(OR($B1208="7062",$B1208="706",$B1208="708"),$N1208,IF($B1208="6231",1+$G1208,IF($B1208="6236",1+$H1208,IF(OR($B1208="621",$B1208="604",$B1208="6063"),$N1208*(1-$L1208),IF(OR($B1208="6411",$B1208="6413",$B1208="6414",$B1208="645"),(1+$J1208)*(1+$K1208),IF(OR($B1208="613",$B1208="615",$B1208="616",$B1208="6226",$B1208="625",$B1208="626",$B1208="6281"),(1+$I1208)*(1-$L1208)*(1+$M1208),IF(OR($B1208="6331",$B1208="63511",$B1208="6333"),(1+$I1208)*(1-$L1208),IF($B1208="6811",1+$I1208,1)))))))))</f>
        <v/>
      </c>
      <c r="P1208">
        <f>IF($A1208="","",IF($E1208=1,$F1208*$O1208,PNL!G1208))</f>
        <v/>
      </c>
      <c r="T1208">
        <f>IF($A1208="","",IF($E1208=1,IF(OR($B1208="7062",$B1208="706",$B1208="708"),$P1208,IF(AND(LEFT($B1208,1)="6",$B1208&lt;&gt;"6811"),-$P1208,0)),0))</f>
        <v/>
      </c>
    </row>
    <row r="1209">
      <c r="A1209">
        <f>IF(PNL!A1209="","",PNL!A1209)</f>
        <v/>
      </c>
      <c r="B1209">
        <f>IF(PNL!B1209="","",PNL!B1209)</f>
        <v/>
      </c>
      <c r="C1209">
        <f>IF(PNL!C1209="","",PNL!C1209)</f>
        <v/>
      </c>
      <c r="D1209">
        <f>IF(PNL!D1209="","",PNL!D1209)</f>
        <v/>
      </c>
      <c r="E1209">
        <f>IF($A1209="","",IF(AND($C1209="2027",OR($D1209="V01",$D1209="V02",$D1209="V03")),1,0))</f>
        <v/>
      </c>
      <c r="F1209">
        <f>IF($A1209="","",IF($E1209=1,SUMIFS(Comptabilité!$F$1:$F$675,Comptabilité!$A$1:$A$675,$A1209,Comptabilité!$B$1:$B$675,$B1209,Comptabilité!$C$1:$C$675,"2026"),0))</f>
        <v/>
      </c>
      <c r="G1209">
        <f>IF($A1209="","",IF($D1209="V01",Cadrage!$C$22,IF($D1209="V02",Cadrage!$D$22,Cadrage!$E$22)))</f>
        <v/>
      </c>
      <c r="H1209">
        <f>IF($A1209="","",IF($D1209="V01",Cadrage!$C$23,IF($D1209="V02",Cadrage!$D$23,Cadrage!$E$23)))</f>
        <v/>
      </c>
      <c r="I1209">
        <f>IF($A1209="","",IF($D1209="V01",Cadrage!$C$31,IF($D1209="V02",Cadrage!$D$31,Cadrage!$E$31)))</f>
        <v/>
      </c>
      <c r="J1209">
        <f>IF($A1209="","",IF($D1209="V01",Cadrage!$C$32,IF($D1209="V02",Cadrage!$D$32,Cadrage!$E$32)))</f>
        <v/>
      </c>
      <c r="K1209">
        <f>IF($A1209="","",IF($D1209="V01",Cadrage!$C$33,IF($D1209="V02",Cadrage!$D$33,Cadrage!$E$33)))</f>
        <v/>
      </c>
      <c r="L1209">
        <f>IF($A1209="","",IF($D1209="V01",Cadrage!$C$34,IF($D1209="V02",Cadrage!$D$34,Cadrage!$E$34)))</f>
        <v/>
      </c>
      <c r="M1209">
        <f>IF($A1209="","",IF($D1209="V01",Cadrage!$C$35,IF($D1209="V02",Cadrage!$D$35,Cadrage!$E$35)))</f>
        <v/>
      </c>
      <c r="N1209">
        <f>IF($A1209="","",IF($D1209="V01",$R$2,IF($D1209="V02",$R$3,$R$4)))</f>
        <v/>
      </c>
      <c r="O1209">
        <f>IF($A1209="","",IF(OR($B1209="7062",$B1209="706",$B1209="708"),$N1209,IF($B1209="6231",1+$G1209,IF($B1209="6236",1+$H1209,IF(OR($B1209="621",$B1209="604",$B1209="6063"),$N1209*(1-$L1209),IF(OR($B1209="6411",$B1209="6413",$B1209="6414",$B1209="645"),(1+$J1209)*(1+$K1209),IF(OR($B1209="613",$B1209="615",$B1209="616",$B1209="6226",$B1209="625",$B1209="626",$B1209="6281"),(1+$I1209)*(1-$L1209)*(1+$M1209),IF(OR($B1209="6331",$B1209="63511",$B1209="6333"),(1+$I1209)*(1-$L1209),IF($B1209="6811",1+$I1209,1)))))))))</f>
        <v/>
      </c>
      <c r="P1209">
        <f>IF($A1209="","",IF($E1209=1,$F1209*$O1209,PNL!G1209))</f>
        <v/>
      </c>
      <c r="T1209">
        <f>IF($A1209="","",IF($E1209=1,IF(OR($B1209="7062",$B1209="706",$B1209="708"),$P1209,IF(AND(LEFT($B1209,1)="6",$B1209&lt;&gt;"6811"),-$P1209,0)),0))</f>
        <v/>
      </c>
    </row>
    <row r="1210">
      <c r="A1210">
        <f>IF(PNL!A1210="","",PNL!A1210)</f>
        <v/>
      </c>
      <c r="B1210">
        <f>IF(PNL!B1210="","",PNL!B1210)</f>
        <v/>
      </c>
      <c r="C1210">
        <f>IF(PNL!C1210="","",PNL!C1210)</f>
        <v/>
      </c>
      <c r="D1210">
        <f>IF(PNL!D1210="","",PNL!D1210)</f>
        <v/>
      </c>
      <c r="E1210">
        <f>IF($A1210="","",IF(AND($C1210="2027",OR($D1210="V01",$D1210="V02",$D1210="V03")),1,0))</f>
        <v/>
      </c>
      <c r="F1210">
        <f>IF($A1210="","",IF($E1210=1,SUMIFS(Comptabilité!$F$1:$F$675,Comptabilité!$A$1:$A$675,$A1210,Comptabilité!$B$1:$B$675,$B1210,Comptabilité!$C$1:$C$675,"2026"),0))</f>
        <v/>
      </c>
      <c r="G1210">
        <f>IF($A1210="","",IF($D1210="V01",Cadrage!$C$22,IF($D1210="V02",Cadrage!$D$22,Cadrage!$E$22)))</f>
        <v/>
      </c>
      <c r="H1210">
        <f>IF($A1210="","",IF($D1210="V01",Cadrage!$C$23,IF($D1210="V02",Cadrage!$D$23,Cadrage!$E$23)))</f>
        <v/>
      </c>
      <c r="I1210">
        <f>IF($A1210="","",IF($D1210="V01",Cadrage!$C$31,IF($D1210="V02",Cadrage!$D$31,Cadrage!$E$31)))</f>
        <v/>
      </c>
      <c r="J1210">
        <f>IF($A1210="","",IF($D1210="V01",Cadrage!$C$32,IF($D1210="V02",Cadrage!$D$32,Cadrage!$E$32)))</f>
        <v/>
      </c>
      <c r="K1210">
        <f>IF($A1210="","",IF($D1210="V01",Cadrage!$C$33,IF($D1210="V02",Cadrage!$D$33,Cadrage!$E$33)))</f>
        <v/>
      </c>
      <c r="L1210">
        <f>IF($A1210="","",IF($D1210="V01",Cadrage!$C$34,IF($D1210="V02",Cadrage!$D$34,Cadrage!$E$34)))</f>
        <v/>
      </c>
      <c r="M1210">
        <f>IF($A1210="","",IF($D1210="V01",Cadrage!$C$35,IF($D1210="V02",Cadrage!$D$35,Cadrage!$E$35)))</f>
        <v/>
      </c>
      <c r="N1210">
        <f>IF($A1210="","",IF($D1210="V01",$R$2,IF($D1210="V02",$R$3,$R$4)))</f>
        <v/>
      </c>
      <c r="O1210">
        <f>IF($A1210="","",IF(OR($B1210="7062",$B1210="706",$B1210="708"),$N1210,IF($B1210="6231",1+$G1210,IF($B1210="6236",1+$H1210,IF(OR($B1210="621",$B1210="604",$B1210="6063"),$N1210*(1-$L1210),IF(OR($B1210="6411",$B1210="6413",$B1210="6414",$B1210="645"),(1+$J1210)*(1+$K1210),IF(OR($B1210="613",$B1210="615",$B1210="616",$B1210="6226",$B1210="625",$B1210="626",$B1210="6281"),(1+$I1210)*(1-$L1210)*(1+$M1210),IF(OR($B1210="6331",$B1210="63511",$B1210="6333"),(1+$I1210)*(1-$L1210),IF($B1210="6811",1+$I1210,1)))))))))</f>
        <v/>
      </c>
      <c r="P1210">
        <f>IF($A1210="","",IF($E1210=1,$F1210*$O1210,PNL!G1210))</f>
        <v/>
      </c>
      <c r="T1210">
        <f>IF($A1210="","",IF($E1210=1,IF(OR($B1210="7062",$B1210="706",$B1210="708"),$P1210,IF(AND(LEFT($B1210,1)="6",$B1210&lt;&gt;"6811"),-$P1210,0)),0))</f>
        <v/>
      </c>
    </row>
    <row r="1211">
      <c r="A1211">
        <f>IF(PNL!A1211="","",PNL!A1211)</f>
        <v/>
      </c>
      <c r="B1211">
        <f>IF(PNL!B1211="","",PNL!B1211)</f>
        <v/>
      </c>
      <c r="C1211">
        <f>IF(PNL!C1211="","",PNL!C1211)</f>
        <v/>
      </c>
      <c r="D1211">
        <f>IF(PNL!D1211="","",PNL!D1211)</f>
        <v/>
      </c>
      <c r="E1211">
        <f>IF($A1211="","",IF(AND($C1211="2027",OR($D1211="V01",$D1211="V02",$D1211="V03")),1,0))</f>
        <v/>
      </c>
      <c r="F1211">
        <f>IF($A1211="","",IF($E1211=1,SUMIFS(Comptabilité!$F$1:$F$675,Comptabilité!$A$1:$A$675,$A1211,Comptabilité!$B$1:$B$675,$B1211,Comptabilité!$C$1:$C$675,"2026"),0))</f>
        <v/>
      </c>
      <c r="G1211">
        <f>IF($A1211="","",IF($D1211="V01",Cadrage!$C$22,IF($D1211="V02",Cadrage!$D$22,Cadrage!$E$22)))</f>
        <v/>
      </c>
      <c r="H1211">
        <f>IF($A1211="","",IF($D1211="V01",Cadrage!$C$23,IF($D1211="V02",Cadrage!$D$23,Cadrage!$E$23)))</f>
        <v/>
      </c>
      <c r="I1211">
        <f>IF($A1211="","",IF($D1211="V01",Cadrage!$C$31,IF($D1211="V02",Cadrage!$D$31,Cadrage!$E$31)))</f>
        <v/>
      </c>
      <c r="J1211">
        <f>IF($A1211="","",IF($D1211="V01",Cadrage!$C$32,IF($D1211="V02",Cadrage!$D$32,Cadrage!$E$32)))</f>
        <v/>
      </c>
      <c r="K1211">
        <f>IF($A1211="","",IF($D1211="V01",Cadrage!$C$33,IF($D1211="V02",Cadrage!$D$33,Cadrage!$E$33)))</f>
        <v/>
      </c>
      <c r="L1211">
        <f>IF($A1211="","",IF($D1211="V01",Cadrage!$C$34,IF($D1211="V02",Cadrage!$D$34,Cadrage!$E$34)))</f>
        <v/>
      </c>
      <c r="M1211">
        <f>IF($A1211="","",IF($D1211="V01",Cadrage!$C$35,IF($D1211="V02",Cadrage!$D$35,Cadrage!$E$35)))</f>
        <v/>
      </c>
      <c r="N1211">
        <f>IF($A1211="","",IF($D1211="V01",$R$2,IF($D1211="V02",$R$3,$R$4)))</f>
        <v/>
      </c>
      <c r="O1211">
        <f>IF($A1211="","",IF(OR($B1211="7062",$B1211="706",$B1211="708"),$N1211,IF($B1211="6231",1+$G1211,IF($B1211="6236",1+$H1211,IF(OR($B1211="621",$B1211="604",$B1211="6063"),$N1211*(1-$L1211),IF(OR($B1211="6411",$B1211="6413",$B1211="6414",$B1211="645"),(1+$J1211)*(1+$K1211),IF(OR($B1211="613",$B1211="615",$B1211="616",$B1211="6226",$B1211="625",$B1211="626",$B1211="6281"),(1+$I1211)*(1-$L1211)*(1+$M1211),IF(OR($B1211="6331",$B1211="63511",$B1211="6333"),(1+$I1211)*(1-$L1211),IF($B1211="6811",1+$I1211,1)))))))))</f>
        <v/>
      </c>
      <c r="P1211">
        <f>IF($A1211="","",IF($E1211=1,$F1211*$O1211,PNL!G1211))</f>
        <v/>
      </c>
      <c r="T1211">
        <f>IF($A1211="","",IF($E1211=1,IF(OR($B1211="7062",$B1211="706",$B1211="708"),$P1211,IF(AND(LEFT($B1211,1)="6",$B1211&lt;&gt;"6811"),-$P1211,0)),0))</f>
        <v/>
      </c>
    </row>
    <row r="1212">
      <c r="A1212">
        <f>IF(PNL!A1212="","",PNL!A1212)</f>
        <v/>
      </c>
      <c r="B1212">
        <f>IF(PNL!B1212="","",PNL!B1212)</f>
        <v/>
      </c>
      <c r="C1212">
        <f>IF(PNL!C1212="","",PNL!C1212)</f>
        <v/>
      </c>
      <c r="D1212">
        <f>IF(PNL!D1212="","",PNL!D1212)</f>
        <v/>
      </c>
      <c r="E1212">
        <f>IF($A1212="","",IF(AND($C1212="2027",OR($D1212="V01",$D1212="V02",$D1212="V03")),1,0))</f>
        <v/>
      </c>
      <c r="F1212">
        <f>IF($A1212="","",IF($E1212=1,SUMIFS(Comptabilité!$F$1:$F$675,Comptabilité!$A$1:$A$675,$A1212,Comptabilité!$B$1:$B$675,$B1212,Comptabilité!$C$1:$C$675,"2026"),0))</f>
        <v/>
      </c>
      <c r="G1212">
        <f>IF($A1212="","",IF($D1212="V01",Cadrage!$C$22,IF($D1212="V02",Cadrage!$D$22,Cadrage!$E$22)))</f>
        <v/>
      </c>
      <c r="H1212">
        <f>IF($A1212="","",IF($D1212="V01",Cadrage!$C$23,IF($D1212="V02",Cadrage!$D$23,Cadrage!$E$23)))</f>
        <v/>
      </c>
      <c r="I1212">
        <f>IF($A1212="","",IF($D1212="V01",Cadrage!$C$31,IF($D1212="V02",Cadrage!$D$31,Cadrage!$E$31)))</f>
        <v/>
      </c>
      <c r="J1212">
        <f>IF($A1212="","",IF($D1212="V01",Cadrage!$C$32,IF($D1212="V02",Cadrage!$D$32,Cadrage!$E$32)))</f>
        <v/>
      </c>
      <c r="K1212">
        <f>IF($A1212="","",IF($D1212="V01",Cadrage!$C$33,IF($D1212="V02",Cadrage!$D$33,Cadrage!$E$33)))</f>
        <v/>
      </c>
      <c r="L1212">
        <f>IF($A1212="","",IF($D1212="V01",Cadrage!$C$34,IF($D1212="V02",Cadrage!$D$34,Cadrage!$E$34)))</f>
        <v/>
      </c>
      <c r="M1212">
        <f>IF($A1212="","",IF($D1212="V01",Cadrage!$C$35,IF($D1212="V02",Cadrage!$D$35,Cadrage!$E$35)))</f>
        <v/>
      </c>
      <c r="N1212">
        <f>IF($A1212="","",IF($D1212="V01",$R$2,IF($D1212="V02",$R$3,$R$4)))</f>
        <v/>
      </c>
      <c r="O1212">
        <f>IF($A1212="","",IF(OR($B1212="7062",$B1212="706",$B1212="708"),$N1212,IF($B1212="6231",1+$G1212,IF($B1212="6236",1+$H1212,IF(OR($B1212="621",$B1212="604",$B1212="6063"),$N1212*(1-$L1212),IF(OR($B1212="6411",$B1212="6413",$B1212="6414",$B1212="645"),(1+$J1212)*(1+$K1212),IF(OR($B1212="613",$B1212="615",$B1212="616",$B1212="6226",$B1212="625",$B1212="626",$B1212="6281"),(1+$I1212)*(1-$L1212)*(1+$M1212),IF(OR($B1212="6331",$B1212="63511",$B1212="6333"),(1+$I1212)*(1-$L1212),IF($B1212="6811",1+$I1212,1)))))))))</f>
        <v/>
      </c>
      <c r="P1212">
        <f>IF($A1212="","",IF($E1212=1,$F1212*$O1212,PNL!G1212))</f>
        <v/>
      </c>
      <c r="T1212">
        <f>IF($A1212="","",IF($E1212=1,IF(OR($B1212="7062",$B1212="706",$B1212="708"),$P1212,IF(AND(LEFT($B1212,1)="6",$B1212&lt;&gt;"6811"),-$P1212,0)),0))</f>
        <v/>
      </c>
    </row>
    <row r="1213">
      <c r="A1213">
        <f>IF(PNL!A1213="","",PNL!A1213)</f>
        <v/>
      </c>
      <c r="B1213">
        <f>IF(PNL!B1213="","",PNL!B1213)</f>
        <v/>
      </c>
      <c r="C1213">
        <f>IF(PNL!C1213="","",PNL!C1213)</f>
        <v/>
      </c>
      <c r="D1213">
        <f>IF(PNL!D1213="","",PNL!D1213)</f>
        <v/>
      </c>
      <c r="E1213">
        <f>IF($A1213="","",IF(AND($C1213="2027",OR($D1213="V01",$D1213="V02",$D1213="V03")),1,0))</f>
        <v/>
      </c>
      <c r="F1213">
        <f>IF($A1213="","",IF($E1213=1,SUMIFS(Comptabilité!$F$1:$F$675,Comptabilité!$A$1:$A$675,$A1213,Comptabilité!$B$1:$B$675,$B1213,Comptabilité!$C$1:$C$675,"2026"),0))</f>
        <v/>
      </c>
      <c r="G1213">
        <f>IF($A1213="","",IF($D1213="V01",Cadrage!$C$22,IF($D1213="V02",Cadrage!$D$22,Cadrage!$E$22)))</f>
        <v/>
      </c>
      <c r="H1213">
        <f>IF($A1213="","",IF($D1213="V01",Cadrage!$C$23,IF($D1213="V02",Cadrage!$D$23,Cadrage!$E$23)))</f>
        <v/>
      </c>
      <c r="I1213">
        <f>IF($A1213="","",IF($D1213="V01",Cadrage!$C$31,IF($D1213="V02",Cadrage!$D$31,Cadrage!$E$31)))</f>
        <v/>
      </c>
      <c r="J1213">
        <f>IF($A1213="","",IF($D1213="V01",Cadrage!$C$32,IF($D1213="V02",Cadrage!$D$32,Cadrage!$E$32)))</f>
        <v/>
      </c>
      <c r="K1213">
        <f>IF($A1213="","",IF($D1213="V01",Cadrage!$C$33,IF($D1213="V02",Cadrage!$D$33,Cadrage!$E$33)))</f>
        <v/>
      </c>
      <c r="L1213">
        <f>IF($A1213="","",IF($D1213="V01",Cadrage!$C$34,IF($D1213="V02",Cadrage!$D$34,Cadrage!$E$34)))</f>
        <v/>
      </c>
      <c r="M1213">
        <f>IF($A1213="","",IF($D1213="V01",Cadrage!$C$35,IF($D1213="V02",Cadrage!$D$35,Cadrage!$E$35)))</f>
        <v/>
      </c>
      <c r="N1213">
        <f>IF($A1213="","",IF($D1213="V01",$R$2,IF($D1213="V02",$R$3,$R$4)))</f>
        <v/>
      </c>
      <c r="O1213">
        <f>IF($A1213="","",IF(OR($B1213="7062",$B1213="706",$B1213="708"),$N1213,IF($B1213="6231",1+$G1213,IF($B1213="6236",1+$H1213,IF(OR($B1213="621",$B1213="604",$B1213="6063"),$N1213*(1-$L1213),IF(OR($B1213="6411",$B1213="6413",$B1213="6414",$B1213="645"),(1+$J1213)*(1+$K1213),IF(OR($B1213="613",$B1213="615",$B1213="616",$B1213="6226",$B1213="625",$B1213="626",$B1213="6281"),(1+$I1213)*(1-$L1213)*(1+$M1213),IF(OR($B1213="6331",$B1213="63511",$B1213="6333"),(1+$I1213)*(1-$L1213),IF($B1213="6811",1+$I1213,1)))))))))</f>
        <v/>
      </c>
      <c r="P1213">
        <f>IF($A1213="","",IF($E1213=1,$F1213*$O1213,PNL!G1213))</f>
        <v/>
      </c>
      <c r="T1213">
        <f>IF($A1213="","",IF($E1213=1,IF(OR($B1213="7062",$B1213="706",$B1213="708"),$P1213,IF(AND(LEFT($B1213,1)="6",$B1213&lt;&gt;"6811"),-$P1213,0)),0))</f>
        <v/>
      </c>
    </row>
    <row r="1214">
      <c r="A1214">
        <f>IF(PNL!A1214="","",PNL!A1214)</f>
        <v/>
      </c>
      <c r="B1214">
        <f>IF(PNL!B1214="","",PNL!B1214)</f>
        <v/>
      </c>
      <c r="C1214">
        <f>IF(PNL!C1214="","",PNL!C1214)</f>
        <v/>
      </c>
      <c r="D1214">
        <f>IF(PNL!D1214="","",PNL!D1214)</f>
        <v/>
      </c>
      <c r="E1214">
        <f>IF($A1214="","",IF(AND($C1214="2027",OR($D1214="V01",$D1214="V02",$D1214="V03")),1,0))</f>
        <v/>
      </c>
      <c r="F1214">
        <f>IF($A1214="","",IF($E1214=1,SUMIFS(Comptabilité!$F$1:$F$675,Comptabilité!$A$1:$A$675,$A1214,Comptabilité!$B$1:$B$675,$B1214,Comptabilité!$C$1:$C$675,"2026"),0))</f>
        <v/>
      </c>
      <c r="G1214">
        <f>IF($A1214="","",IF($D1214="V01",Cadrage!$C$22,IF($D1214="V02",Cadrage!$D$22,Cadrage!$E$22)))</f>
        <v/>
      </c>
      <c r="H1214">
        <f>IF($A1214="","",IF($D1214="V01",Cadrage!$C$23,IF($D1214="V02",Cadrage!$D$23,Cadrage!$E$23)))</f>
        <v/>
      </c>
      <c r="I1214">
        <f>IF($A1214="","",IF($D1214="V01",Cadrage!$C$31,IF($D1214="V02",Cadrage!$D$31,Cadrage!$E$31)))</f>
        <v/>
      </c>
      <c r="J1214">
        <f>IF($A1214="","",IF($D1214="V01",Cadrage!$C$32,IF($D1214="V02",Cadrage!$D$32,Cadrage!$E$32)))</f>
        <v/>
      </c>
      <c r="K1214">
        <f>IF($A1214="","",IF($D1214="V01",Cadrage!$C$33,IF($D1214="V02",Cadrage!$D$33,Cadrage!$E$33)))</f>
        <v/>
      </c>
      <c r="L1214">
        <f>IF($A1214="","",IF($D1214="V01",Cadrage!$C$34,IF($D1214="V02",Cadrage!$D$34,Cadrage!$E$34)))</f>
        <v/>
      </c>
      <c r="M1214">
        <f>IF($A1214="","",IF($D1214="V01",Cadrage!$C$35,IF($D1214="V02",Cadrage!$D$35,Cadrage!$E$35)))</f>
        <v/>
      </c>
      <c r="N1214">
        <f>IF($A1214="","",IF($D1214="V01",$R$2,IF($D1214="V02",$R$3,$R$4)))</f>
        <v/>
      </c>
      <c r="O1214">
        <f>IF($A1214="","",IF(OR($B1214="7062",$B1214="706",$B1214="708"),$N1214,IF($B1214="6231",1+$G1214,IF($B1214="6236",1+$H1214,IF(OR($B1214="621",$B1214="604",$B1214="6063"),$N1214*(1-$L1214),IF(OR($B1214="6411",$B1214="6413",$B1214="6414",$B1214="645"),(1+$J1214)*(1+$K1214),IF(OR($B1214="613",$B1214="615",$B1214="616",$B1214="6226",$B1214="625",$B1214="626",$B1214="6281"),(1+$I1214)*(1-$L1214)*(1+$M1214),IF(OR($B1214="6331",$B1214="63511",$B1214="6333"),(1+$I1214)*(1-$L1214),IF($B1214="6811",1+$I1214,1)))))))))</f>
        <v/>
      </c>
      <c r="P1214">
        <f>IF($A1214="","",IF($E1214=1,$F1214*$O1214,PNL!G1214))</f>
        <v/>
      </c>
      <c r="T1214">
        <f>IF($A1214="","",IF($E1214=1,IF(OR($B1214="7062",$B1214="706",$B1214="708"),$P1214,IF(AND(LEFT($B1214,1)="6",$B1214&lt;&gt;"6811"),-$P1214,0)),0))</f>
        <v/>
      </c>
    </row>
    <row r="1215">
      <c r="A1215">
        <f>IF(PNL!A1215="","",PNL!A1215)</f>
        <v/>
      </c>
      <c r="B1215">
        <f>IF(PNL!B1215="","",PNL!B1215)</f>
        <v/>
      </c>
      <c r="C1215">
        <f>IF(PNL!C1215="","",PNL!C1215)</f>
        <v/>
      </c>
      <c r="D1215">
        <f>IF(PNL!D1215="","",PNL!D1215)</f>
        <v/>
      </c>
      <c r="E1215">
        <f>IF($A1215="","",IF(AND($C1215="2027",OR($D1215="V01",$D1215="V02",$D1215="V03")),1,0))</f>
        <v/>
      </c>
      <c r="F1215">
        <f>IF($A1215="","",IF($E1215=1,SUMIFS(Comptabilité!$F$1:$F$675,Comptabilité!$A$1:$A$675,$A1215,Comptabilité!$B$1:$B$675,$B1215,Comptabilité!$C$1:$C$675,"2026"),0))</f>
        <v/>
      </c>
      <c r="G1215">
        <f>IF($A1215="","",IF($D1215="V01",Cadrage!$C$22,IF($D1215="V02",Cadrage!$D$22,Cadrage!$E$22)))</f>
        <v/>
      </c>
      <c r="H1215">
        <f>IF($A1215="","",IF($D1215="V01",Cadrage!$C$23,IF($D1215="V02",Cadrage!$D$23,Cadrage!$E$23)))</f>
        <v/>
      </c>
      <c r="I1215">
        <f>IF($A1215="","",IF($D1215="V01",Cadrage!$C$31,IF($D1215="V02",Cadrage!$D$31,Cadrage!$E$31)))</f>
        <v/>
      </c>
      <c r="J1215">
        <f>IF($A1215="","",IF($D1215="V01",Cadrage!$C$32,IF($D1215="V02",Cadrage!$D$32,Cadrage!$E$32)))</f>
        <v/>
      </c>
      <c r="K1215">
        <f>IF($A1215="","",IF($D1215="V01",Cadrage!$C$33,IF($D1215="V02",Cadrage!$D$33,Cadrage!$E$33)))</f>
        <v/>
      </c>
      <c r="L1215">
        <f>IF($A1215="","",IF($D1215="V01",Cadrage!$C$34,IF($D1215="V02",Cadrage!$D$34,Cadrage!$E$34)))</f>
        <v/>
      </c>
      <c r="M1215">
        <f>IF($A1215="","",IF($D1215="V01",Cadrage!$C$35,IF($D1215="V02",Cadrage!$D$35,Cadrage!$E$35)))</f>
        <v/>
      </c>
      <c r="N1215">
        <f>IF($A1215="","",IF($D1215="V01",$R$2,IF($D1215="V02",$R$3,$R$4)))</f>
        <v/>
      </c>
      <c r="O1215">
        <f>IF($A1215="","",IF(OR($B1215="7062",$B1215="706",$B1215="708"),$N1215,IF($B1215="6231",1+$G1215,IF($B1215="6236",1+$H1215,IF(OR($B1215="621",$B1215="604",$B1215="6063"),$N1215*(1-$L1215),IF(OR($B1215="6411",$B1215="6413",$B1215="6414",$B1215="645"),(1+$J1215)*(1+$K1215),IF(OR($B1215="613",$B1215="615",$B1215="616",$B1215="6226",$B1215="625",$B1215="626",$B1215="6281"),(1+$I1215)*(1-$L1215)*(1+$M1215),IF(OR($B1215="6331",$B1215="63511",$B1215="6333"),(1+$I1215)*(1-$L1215),IF($B1215="6811",1+$I1215,1)))))))))</f>
        <v/>
      </c>
      <c r="P1215">
        <f>IF($A1215="","",IF($E1215=1,$F1215*$O1215,PNL!G1215))</f>
        <v/>
      </c>
      <c r="T1215">
        <f>IF($A1215="","",IF($E1215=1,IF(OR($B1215="7062",$B1215="706",$B1215="708"),$P1215,IF(AND(LEFT($B1215,1)="6",$B1215&lt;&gt;"6811"),-$P1215,0)),0))</f>
        <v/>
      </c>
    </row>
    <row r="1216">
      <c r="A1216">
        <f>IF(PNL!A1216="","",PNL!A1216)</f>
        <v/>
      </c>
      <c r="B1216">
        <f>IF(PNL!B1216="","",PNL!B1216)</f>
        <v/>
      </c>
      <c r="C1216">
        <f>IF(PNL!C1216="","",PNL!C1216)</f>
        <v/>
      </c>
      <c r="D1216">
        <f>IF(PNL!D1216="","",PNL!D1216)</f>
        <v/>
      </c>
      <c r="E1216">
        <f>IF($A1216="","",IF(AND($C1216="2027",OR($D1216="V01",$D1216="V02",$D1216="V03")),1,0))</f>
        <v/>
      </c>
      <c r="F1216">
        <f>IF($A1216="","",IF($E1216=1,SUMIFS(Comptabilité!$F$1:$F$675,Comptabilité!$A$1:$A$675,$A1216,Comptabilité!$B$1:$B$675,$B1216,Comptabilité!$C$1:$C$675,"2026"),0))</f>
        <v/>
      </c>
      <c r="G1216">
        <f>IF($A1216="","",IF($D1216="V01",Cadrage!$C$22,IF($D1216="V02",Cadrage!$D$22,Cadrage!$E$22)))</f>
        <v/>
      </c>
      <c r="H1216">
        <f>IF($A1216="","",IF($D1216="V01",Cadrage!$C$23,IF($D1216="V02",Cadrage!$D$23,Cadrage!$E$23)))</f>
        <v/>
      </c>
      <c r="I1216">
        <f>IF($A1216="","",IF($D1216="V01",Cadrage!$C$31,IF($D1216="V02",Cadrage!$D$31,Cadrage!$E$31)))</f>
        <v/>
      </c>
      <c r="J1216">
        <f>IF($A1216="","",IF($D1216="V01",Cadrage!$C$32,IF($D1216="V02",Cadrage!$D$32,Cadrage!$E$32)))</f>
        <v/>
      </c>
      <c r="K1216">
        <f>IF($A1216="","",IF($D1216="V01",Cadrage!$C$33,IF($D1216="V02",Cadrage!$D$33,Cadrage!$E$33)))</f>
        <v/>
      </c>
      <c r="L1216">
        <f>IF($A1216="","",IF($D1216="V01",Cadrage!$C$34,IF($D1216="V02",Cadrage!$D$34,Cadrage!$E$34)))</f>
        <v/>
      </c>
      <c r="M1216">
        <f>IF($A1216="","",IF($D1216="V01",Cadrage!$C$35,IF($D1216="V02",Cadrage!$D$35,Cadrage!$E$35)))</f>
        <v/>
      </c>
      <c r="N1216">
        <f>IF($A1216="","",IF($D1216="V01",$R$2,IF($D1216="V02",$R$3,$R$4)))</f>
        <v/>
      </c>
      <c r="O1216">
        <f>IF($A1216="","",IF(OR($B1216="7062",$B1216="706",$B1216="708"),$N1216,IF($B1216="6231",1+$G1216,IF($B1216="6236",1+$H1216,IF(OR($B1216="621",$B1216="604",$B1216="6063"),$N1216*(1-$L1216),IF(OR($B1216="6411",$B1216="6413",$B1216="6414",$B1216="645"),(1+$J1216)*(1+$K1216),IF(OR($B1216="613",$B1216="615",$B1216="616",$B1216="6226",$B1216="625",$B1216="626",$B1216="6281"),(1+$I1216)*(1-$L1216)*(1+$M1216),IF(OR($B1216="6331",$B1216="63511",$B1216="6333"),(1+$I1216)*(1-$L1216),IF($B1216="6811",1+$I1216,1)))))))))</f>
        <v/>
      </c>
      <c r="P1216">
        <f>IF($A1216="","",IF($E1216=1,$F1216*$O1216,PNL!G1216))</f>
        <v/>
      </c>
      <c r="T1216">
        <f>IF($A1216="","",IF($E1216=1,IF(OR($B1216="7062",$B1216="706",$B1216="708"),$P1216,IF(AND(LEFT($B1216,1)="6",$B1216&lt;&gt;"6811"),-$P1216,0)),0))</f>
        <v/>
      </c>
    </row>
    <row r="1217">
      <c r="A1217">
        <f>IF(PNL!A1217="","",PNL!A1217)</f>
        <v/>
      </c>
      <c r="B1217">
        <f>IF(PNL!B1217="","",PNL!B1217)</f>
        <v/>
      </c>
      <c r="C1217">
        <f>IF(PNL!C1217="","",PNL!C1217)</f>
        <v/>
      </c>
      <c r="D1217">
        <f>IF(PNL!D1217="","",PNL!D1217)</f>
        <v/>
      </c>
      <c r="E1217">
        <f>IF($A1217="","",IF(AND($C1217="2027",OR($D1217="V01",$D1217="V02",$D1217="V03")),1,0))</f>
        <v/>
      </c>
      <c r="F1217">
        <f>IF($A1217="","",IF($E1217=1,SUMIFS(Comptabilité!$F$1:$F$675,Comptabilité!$A$1:$A$675,$A1217,Comptabilité!$B$1:$B$675,$B1217,Comptabilité!$C$1:$C$675,"2026"),0))</f>
        <v/>
      </c>
      <c r="G1217">
        <f>IF($A1217="","",IF($D1217="V01",Cadrage!$C$22,IF($D1217="V02",Cadrage!$D$22,Cadrage!$E$22)))</f>
        <v/>
      </c>
      <c r="H1217">
        <f>IF($A1217="","",IF($D1217="V01",Cadrage!$C$23,IF($D1217="V02",Cadrage!$D$23,Cadrage!$E$23)))</f>
        <v/>
      </c>
      <c r="I1217">
        <f>IF($A1217="","",IF($D1217="V01",Cadrage!$C$31,IF($D1217="V02",Cadrage!$D$31,Cadrage!$E$31)))</f>
        <v/>
      </c>
      <c r="J1217">
        <f>IF($A1217="","",IF($D1217="V01",Cadrage!$C$32,IF($D1217="V02",Cadrage!$D$32,Cadrage!$E$32)))</f>
        <v/>
      </c>
      <c r="K1217">
        <f>IF($A1217="","",IF($D1217="V01",Cadrage!$C$33,IF($D1217="V02",Cadrage!$D$33,Cadrage!$E$33)))</f>
        <v/>
      </c>
      <c r="L1217">
        <f>IF($A1217="","",IF($D1217="V01",Cadrage!$C$34,IF($D1217="V02",Cadrage!$D$34,Cadrage!$E$34)))</f>
        <v/>
      </c>
      <c r="M1217">
        <f>IF($A1217="","",IF($D1217="V01",Cadrage!$C$35,IF($D1217="V02",Cadrage!$D$35,Cadrage!$E$35)))</f>
        <v/>
      </c>
      <c r="N1217">
        <f>IF($A1217="","",IF($D1217="V01",$R$2,IF($D1217="V02",$R$3,$R$4)))</f>
        <v/>
      </c>
      <c r="O1217">
        <f>IF($A1217="","",IF(OR($B1217="7062",$B1217="706",$B1217="708"),$N1217,IF($B1217="6231",1+$G1217,IF($B1217="6236",1+$H1217,IF(OR($B1217="621",$B1217="604",$B1217="6063"),$N1217*(1-$L1217),IF(OR($B1217="6411",$B1217="6413",$B1217="6414",$B1217="645"),(1+$J1217)*(1+$K1217),IF(OR($B1217="613",$B1217="615",$B1217="616",$B1217="6226",$B1217="625",$B1217="626",$B1217="6281"),(1+$I1217)*(1-$L1217)*(1+$M1217),IF(OR($B1217="6331",$B1217="63511",$B1217="6333"),(1+$I1217)*(1-$L1217),IF($B1217="6811",1+$I1217,1)))))))))</f>
        <v/>
      </c>
      <c r="P1217">
        <f>IF($A1217="","",IF($E1217=1,$F1217*$O1217,PNL!G1217))</f>
        <v/>
      </c>
      <c r="T1217">
        <f>IF($A1217="","",IF($E1217=1,IF(OR($B1217="7062",$B1217="706",$B1217="708"),$P1217,IF(AND(LEFT($B1217,1)="6",$B1217&lt;&gt;"6811"),-$P1217,0)),0))</f>
        <v/>
      </c>
    </row>
    <row r="1218">
      <c r="A1218">
        <f>IF(PNL!A1218="","",PNL!A1218)</f>
        <v/>
      </c>
      <c r="B1218">
        <f>IF(PNL!B1218="","",PNL!B1218)</f>
        <v/>
      </c>
      <c r="C1218">
        <f>IF(PNL!C1218="","",PNL!C1218)</f>
        <v/>
      </c>
      <c r="D1218">
        <f>IF(PNL!D1218="","",PNL!D1218)</f>
        <v/>
      </c>
      <c r="E1218">
        <f>IF($A1218="","",IF(AND($C1218="2027",OR($D1218="V01",$D1218="V02",$D1218="V03")),1,0))</f>
        <v/>
      </c>
      <c r="F1218">
        <f>IF($A1218="","",IF($E1218=1,SUMIFS(Comptabilité!$F$1:$F$675,Comptabilité!$A$1:$A$675,$A1218,Comptabilité!$B$1:$B$675,$B1218,Comptabilité!$C$1:$C$675,"2026"),0))</f>
        <v/>
      </c>
      <c r="G1218">
        <f>IF($A1218="","",IF($D1218="V01",Cadrage!$C$22,IF($D1218="V02",Cadrage!$D$22,Cadrage!$E$22)))</f>
        <v/>
      </c>
      <c r="H1218">
        <f>IF($A1218="","",IF($D1218="V01",Cadrage!$C$23,IF($D1218="V02",Cadrage!$D$23,Cadrage!$E$23)))</f>
        <v/>
      </c>
      <c r="I1218">
        <f>IF($A1218="","",IF($D1218="V01",Cadrage!$C$31,IF($D1218="V02",Cadrage!$D$31,Cadrage!$E$31)))</f>
        <v/>
      </c>
      <c r="J1218">
        <f>IF($A1218="","",IF($D1218="V01",Cadrage!$C$32,IF($D1218="V02",Cadrage!$D$32,Cadrage!$E$32)))</f>
        <v/>
      </c>
      <c r="K1218">
        <f>IF($A1218="","",IF($D1218="V01",Cadrage!$C$33,IF($D1218="V02",Cadrage!$D$33,Cadrage!$E$33)))</f>
        <v/>
      </c>
      <c r="L1218">
        <f>IF($A1218="","",IF($D1218="V01",Cadrage!$C$34,IF($D1218="V02",Cadrage!$D$34,Cadrage!$E$34)))</f>
        <v/>
      </c>
      <c r="M1218">
        <f>IF($A1218="","",IF($D1218="V01",Cadrage!$C$35,IF($D1218="V02",Cadrage!$D$35,Cadrage!$E$35)))</f>
        <v/>
      </c>
      <c r="N1218">
        <f>IF($A1218="","",IF($D1218="V01",$R$2,IF($D1218="V02",$R$3,$R$4)))</f>
        <v/>
      </c>
      <c r="O1218">
        <f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>
        <f>IF($A1218="","",IF($E1218=1,$F1218*$O1218,PNL!G1218))</f>
        <v/>
      </c>
      <c r="T1218">
        <f>IF($A1218="","",IF($E1218=1,IF(OR($B1218="7062",$B1218="706",$B1218="708"),$P1218,IF(AND(LEFT($B1218,1)="6",$B1218&lt;&gt;"6811"),-$P1218,0)),0))</f>
        <v/>
      </c>
    </row>
    <row r="1219">
      <c r="A1219">
        <f>IF(PNL!A1219="","",PNL!A1219)</f>
        <v/>
      </c>
      <c r="B1219">
        <f>IF(PNL!B1219="","",PNL!B1219)</f>
        <v/>
      </c>
      <c r="C1219">
        <f>IF(PNL!C1219="","",PNL!C1219)</f>
        <v/>
      </c>
      <c r="D1219">
        <f>IF(PNL!D1219="","",PNL!D1219)</f>
        <v/>
      </c>
      <c r="E1219">
        <f>IF($A1219="","",IF(AND($C1219="2027",OR($D1219="V01",$D1219="V02",$D1219="V03")),1,0))</f>
        <v/>
      </c>
      <c r="F1219">
        <f>IF($A1219="","",IF($E1219=1,SUMIFS(Comptabilité!$F$1:$F$675,Comptabilité!$A$1:$A$675,$A1219,Comptabilité!$B$1:$B$675,$B1219,Comptabilité!$C$1:$C$675,"2026"),0))</f>
        <v/>
      </c>
      <c r="G1219">
        <f>IF($A1219="","",IF($D1219="V01",Cadrage!$C$22,IF($D1219="V02",Cadrage!$D$22,Cadrage!$E$22)))</f>
        <v/>
      </c>
      <c r="H1219">
        <f>IF($A1219="","",IF($D1219="V01",Cadrage!$C$23,IF($D1219="V02",Cadrage!$D$23,Cadrage!$E$23)))</f>
        <v/>
      </c>
      <c r="I1219">
        <f>IF($A1219="","",IF($D1219="V01",Cadrage!$C$31,IF($D1219="V02",Cadrage!$D$31,Cadrage!$E$31)))</f>
        <v/>
      </c>
      <c r="J1219">
        <f>IF($A1219="","",IF($D1219="V01",Cadrage!$C$32,IF($D1219="V02",Cadrage!$D$32,Cadrage!$E$32)))</f>
        <v/>
      </c>
      <c r="K1219">
        <f>IF($A1219="","",IF($D1219="V01",Cadrage!$C$33,IF($D1219="V02",Cadrage!$D$33,Cadrage!$E$33)))</f>
        <v/>
      </c>
      <c r="L1219">
        <f>IF($A1219="","",IF($D1219="V01",Cadrage!$C$34,IF($D1219="V02",Cadrage!$D$34,Cadrage!$E$34)))</f>
        <v/>
      </c>
      <c r="M1219">
        <f>IF($A1219="","",IF($D1219="V01",Cadrage!$C$35,IF($D1219="V02",Cadrage!$D$35,Cadrage!$E$35)))</f>
        <v/>
      </c>
      <c r="N1219">
        <f>IF($A1219="","",IF($D1219="V01",$R$2,IF($D1219="V02",$R$3,$R$4)))</f>
        <v/>
      </c>
      <c r="O1219">
        <f>IF($A1219="","",IF(OR($B1219="7062",$B1219="706",$B1219="708"),$N1219,IF($B1219="6231",1+$G1219,IF($B1219="6236",1+$H1219,IF(OR($B1219="621",$B1219="604",$B1219="6063"),$N1219*(1-$L1219),IF(OR($B1219="6411",$B1219="6413",$B1219="6414",$B1219="645"),(1+$J1219)*(1+$K1219),IF(OR($B1219="613",$B1219="615",$B1219="616",$B1219="6226",$B1219="625",$B1219="626",$B1219="6281"),(1+$I1219)*(1-$L1219)*(1+$M1219),IF(OR($B1219="6331",$B1219="63511",$B1219="6333"),(1+$I1219)*(1-$L1219),IF($B1219="6811",1+$I1219,1)))))))))</f>
        <v/>
      </c>
      <c r="P1219">
        <f>IF($A1219="","",IF($E1219=1,$F1219*$O1219,PNL!G1219))</f>
        <v/>
      </c>
      <c r="T1219">
        <f>IF($A1219="","",IF($E1219=1,IF(OR($B1219="7062",$B1219="706",$B1219="708"),$P1219,IF(AND(LEFT($B1219,1)="6",$B1219&lt;&gt;"6811"),-$P1219,0)),0))</f>
        <v/>
      </c>
    </row>
    <row r="1220">
      <c r="A1220">
        <f>IF(PNL!A1220="","",PNL!A1220)</f>
        <v/>
      </c>
      <c r="B1220">
        <f>IF(PNL!B1220="","",PNL!B1220)</f>
        <v/>
      </c>
      <c r="C1220">
        <f>IF(PNL!C1220="","",PNL!C1220)</f>
        <v/>
      </c>
      <c r="D1220">
        <f>IF(PNL!D1220="","",PNL!D1220)</f>
        <v/>
      </c>
      <c r="E1220">
        <f>IF($A1220="","",IF(AND($C1220="2027",OR($D1220="V01",$D1220="V02",$D1220="V03")),1,0))</f>
        <v/>
      </c>
      <c r="F1220">
        <f>IF($A1220="","",IF($E1220=1,SUMIFS(Comptabilité!$F$1:$F$675,Comptabilité!$A$1:$A$675,$A1220,Comptabilité!$B$1:$B$675,$B1220,Comptabilité!$C$1:$C$675,"2026"),0))</f>
        <v/>
      </c>
      <c r="G1220">
        <f>IF($A1220="","",IF($D1220="V01",Cadrage!$C$22,IF($D1220="V02",Cadrage!$D$22,Cadrage!$E$22)))</f>
        <v/>
      </c>
      <c r="H1220">
        <f>IF($A1220="","",IF($D1220="V01",Cadrage!$C$23,IF($D1220="V02",Cadrage!$D$23,Cadrage!$E$23)))</f>
        <v/>
      </c>
      <c r="I1220">
        <f>IF($A1220="","",IF($D1220="V01",Cadrage!$C$31,IF($D1220="V02",Cadrage!$D$31,Cadrage!$E$31)))</f>
        <v/>
      </c>
      <c r="J1220">
        <f>IF($A1220="","",IF($D1220="V01",Cadrage!$C$32,IF($D1220="V02",Cadrage!$D$32,Cadrage!$E$32)))</f>
        <v/>
      </c>
      <c r="K1220">
        <f>IF($A1220="","",IF($D1220="V01",Cadrage!$C$33,IF($D1220="V02",Cadrage!$D$33,Cadrage!$E$33)))</f>
        <v/>
      </c>
      <c r="L1220">
        <f>IF($A1220="","",IF($D1220="V01",Cadrage!$C$34,IF($D1220="V02",Cadrage!$D$34,Cadrage!$E$34)))</f>
        <v/>
      </c>
      <c r="M1220">
        <f>IF($A1220="","",IF($D1220="V01",Cadrage!$C$35,IF($D1220="V02",Cadrage!$D$35,Cadrage!$E$35)))</f>
        <v/>
      </c>
      <c r="N1220">
        <f>IF($A1220="","",IF($D1220="V01",$R$2,IF($D1220="V02",$R$3,$R$4)))</f>
        <v/>
      </c>
      <c r="O1220">
        <f>IF($A1220="","",IF(OR($B1220="7062",$B1220="706",$B1220="708"),$N1220,IF($B1220="6231",1+$G1220,IF($B1220="6236",1+$H1220,IF(OR($B1220="621",$B1220="604",$B1220="6063"),$N1220*(1-$L1220),IF(OR($B1220="6411",$B1220="6413",$B1220="6414",$B1220="645"),(1+$J1220)*(1+$K1220),IF(OR($B1220="613",$B1220="615",$B1220="616",$B1220="6226",$B1220="625",$B1220="626",$B1220="6281"),(1+$I1220)*(1-$L1220)*(1+$M1220),IF(OR($B1220="6331",$B1220="63511",$B1220="6333"),(1+$I1220)*(1-$L1220),IF($B1220="6811",1+$I1220,1)))))))))</f>
        <v/>
      </c>
      <c r="P1220">
        <f>IF($A1220="","",IF($E1220=1,$F1220*$O1220,PNL!G1220))</f>
        <v/>
      </c>
      <c r="T1220">
        <f>IF($A1220="","",IF($E1220=1,IF(OR($B1220="7062",$B1220="706",$B1220="708"),$P1220,IF(AND(LEFT($B1220,1)="6",$B1220&lt;&gt;"6811"),-$P1220,0)),0))</f>
        <v/>
      </c>
    </row>
    <row r="1221">
      <c r="A1221">
        <f>IF(PNL!A1221="","",PNL!A1221)</f>
        <v/>
      </c>
      <c r="B1221">
        <f>IF(PNL!B1221="","",PNL!B1221)</f>
        <v/>
      </c>
      <c r="C1221">
        <f>IF(PNL!C1221="","",PNL!C1221)</f>
        <v/>
      </c>
      <c r="D1221">
        <f>IF(PNL!D1221="","",PNL!D1221)</f>
        <v/>
      </c>
      <c r="E1221">
        <f>IF($A1221="","",IF(AND($C1221="2027",OR($D1221="V01",$D1221="V02",$D1221="V03")),1,0))</f>
        <v/>
      </c>
      <c r="F1221">
        <f>IF($A1221="","",IF($E1221=1,SUMIFS(Comptabilité!$F$1:$F$675,Comptabilité!$A$1:$A$675,$A1221,Comptabilité!$B$1:$B$675,$B1221,Comptabilité!$C$1:$C$675,"2026"),0))</f>
        <v/>
      </c>
      <c r="G1221">
        <f>IF($A1221="","",IF($D1221="V01",Cadrage!$C$22,IF($D1221="V02",Cadrage!$D$22,Cadrage!$E$22)))</f>
        <v/>
      </c>
      <c r="H1221">
        <f>IF($A1221="","",IF($D1221="V01",Cadrage!$C$23,IF($D1221="V02",Cadrage!$D$23,Cadrage!$E$23)))</f>
        <v/>
      </c>
      <c r="I1221">
        <f>IF($A1221="","",IF($D1221="V01",Cadrage!$C$31,IF($D1221="V02",Cadrage!$D$31,Cadrage!$E$31)))</f>
        <v/>
      </c>
      <c r="J1221">
        <f>IF($A1221="","",IF($D1221="V01",Cadrage!$C$32,IF($D1221="V02",Cadrage!$D$32,Cadrage!$E$32)))</f>
        <v/>
      </c>
      <c r="K1221">
        <f>IF($A1221="","",IF($D1221="V01",Cadrage!$C$33,IF($D1221="V02",Cadrage!$D$33,Cadrage!$E$33)))</f>
        <v/>
      </c>
      <c r="L1221">
        <f>IF($A1221="","",IF($D1221="V01",Cadrage!$C$34,IF($D1221="V02",Cadrage!$D$34,Cadrage!$E$34)))</f>
        <v/>
      </c>
      <c r="M1221">
        <f>IF($A1221="","",IF($D1221="V01",Cadrage!$C$35,IF($D1221="V02",Cadrage!$D$35,Cadrage!$E$35)))</f>
        <v/>
      </c>
      <c r="N1221">
        <f>IF($A1221="","",IF($D1221="V01",$R$2,IF($D1221="V02",$R$3,$R$4)))</f>
        <v/>
      </c>
      <c r="O1221">
        <f>IF($A1221="","",IF(OR($B1221="7062",$B1221="706",$B1221="708"),$N1221,IF($B1221="6231",1+$G1221,IF($B1221="6236",1+$H1221,IF(OR($B1221="621",$B1221="604",$B1221="6063"),$N1221*(1-$L1221),IF(OR($B1221="6411",$B1221="6413",$B1221="6414",$B1221="645"),(1+$J1221)*(1+$K1221),IF(OR($B1221="613",$B1221="615",$B1221="616",$B1221="6226",$B1221="625",$B1221="626",$B1221="6281"),(1+$I1221)*(1-$L1221)*(1+$M1221),IF(OR($B1221="6331",$B1221="63511",$B1221="6333"),(1+$I1221)*(1-$L1221),IF($B1221="6811",1+$I1221,1)))))))))</f>
        <v/>
      </c>
      <c r="P1221">
        <f>IF($A1221="","",IF($E1221=1,$F1221*$O1221,PNL!G1221))</f>
        <v/>
      </c>
      <c r="T1221">
        <f>IF($A1221="","",IF($E1221=1,IF(OR($B1221="7062",$B1221="706",$B1221="708"),$P1221,IF(AND(LEFT($B1221,1)="6",$B1221&lt;&gt;"6811"),-$P1221,0)),0))</f>
        <v/>
      </c>
    </row>
    <row r="1222">
      <c r="A1222">
        <f>IF(PNL!A1222="","",PNL!A1222)</f>
        <v/>
      </c>
      <c r="B1222">
        <f>IF(PNL!B1222="","",PNL!B1222)</f>
        <v/>
      </c>
      <c r="C1222">
        <f>IF(PNL!C1222="","",PNL!C1222)</f>
        <v/>
      </c>
      <c r="D1222">
        <f>IF(PNL!D1222="","",PNL!D1222)</f>
        <v/>
      </c>
      <c r="E1222">
        <f>IF($A1222="","",IF(AND($C1222="2027",OR($D1222="V01",$D1222="V02",$D1222="V03")),1,0))</f>
        <v/>
      </c>
      <c r="F1222">
        <f>IF($A1222="","",IF($E1222=1,SUMIFS(Comptabilité!$F$1:$F$675,Comptabilité!$A$1:$A$675,$A1222,Comptabilité!$B$1:$B$675,$B1222,Comptabilité!$C$1:$C$675,"2026"),0))</f>
        <v/>
      </c>
      <c r="G1222">
        <f>IF($A1222="","",IF($D1222="V01",Cadrage!$C$22,IF($D1222="V02",Cadrage!$D$22,Cadrage!$E$22)))</f>
        <v/>
      </c>
      <c r="H1222">
        <f>IF($A1222="","",IF($D1222="V01",Cadrage!$C$23,IF($D1222="V02",Cadrage!$D$23,Cadrage!$E$23)))</f>
        <v/>
      </c>
      <c r="I1222">
        <f>IF($A1222="","",IF($D1222="V01",Cadrage!$C$31,IF($D1222="V02",Cadrage!$D$31,Cadrage!$E$31)))</f>
        <v/>
      </c>
      <c r="J1222">
        <f>IF($A1222="","",IF($D1222="V01",Cadrage!$C$32,IF($D1222="V02",Cadrage!$D$32,Cadrage!$E$32)))</f>
        <v/>
      </c>
      <c r="K1222">
        <f>IF($A1222="","",IF($D1222="V01",Cadrage!$C$33,IF($D1222="V02",Cadrage!$D$33,Cadrage!$E$33)))</f>
        <v/>
      </c>
      <c r="L1222">
        <f>IF($A1222="","",IF($D1222="V01",Cadrage!$C$34,IF($D1222="V02",Cadrage!$D$34,Cadrage!$E$34)))</f>
        <v/>
      </c>
      <c r="M1222">
        <f>IF($A1222="","",IF($D1222="V01",Cadrage!$C$35,IF($D1222="V02",Cadrage!$D$35,Cadrage!$E$35)))</f>
        <v/>
      </c>
      <c r="N1222">
        <f>IF($A1222="","",IF($D1222="V01",$R$2,IF($D1222="V02",$R$3,$R$4)))</f>
        <v/>
      </c>
      <c r="O1222">
        <f>IF($A1222="","",IF(OR($B1222="7062",$B1222="706",$B1222="708"),$N1222,IF($B1222="6231",1+$G1222,IF($B1222="6236",1+$H1222,IF(OR($B1222="621",$B1222="604",$B1222="6063"),$N1222*(1-$L1222),IF(OR($B1222="6411",$B1222="6413",$B1222="6414",$B1222="645"),(1+$J1222)*(1+$K1222),IF(OR($B1222="613",$B1222="615",$B1222="616",$B1222="6226",$B1222="625",$B1222="626",$B1222="6281"),(1+$I1222)*(1-$L1222)*(1+$M1222),IF(OR($B1222="6331",$B1222="63511",$B1222="6333"),(1+$I1222)*(1-$L1222),IF($B1222="6811",1+$I1222,1)))))))))</f>
        <v/>
      </c>
      <c r="P1222">
        <f>IF($A1222="","",IF($E1222=1,$F1222*$O1222,PNL!G1222))</f>
        <v/>
      </c>
      <c r="T1222">
        <f>IF($A1222="","",IF($E1222=1,IF(OR($B1222="7062",$B1222="706",$B1222="708"),$P1222,IF(AND(LEFT($B1222,1)="6",$B1222&lt;&gt;"6811"),-$P1222,0)),0))</f>
        <v/>
      </c>
    </row>
    <row r="1223">
      <c r="A1223">
        <f>IF(PNL!A1223="","",PNL!A1223)</f>
        <v/>
      </c>
      <c r="B1223">
        <f>IF(PNL!B1223="","",PNL!B1223)</f>
        <v/>
      </c>
      <c r="C1223">
        <f>IF(PNL!C1223="","",PNL!C1223)</f>
        <v/>
      </c>
      <c r="D1223">
        <f>IF(PNL!D1223="","",PNL!D1223)</f>
        <v/>
      </c>
      <c r="E1223">
        <f>IF($A1223="","",IF(AND($C1223="2027",OR($D1223="V01",$D1223="V02",$D1223="V03")),1,0))</f>
        <v/>
      </c>
      <c r="F1223">
        <f>IF($A1223="","",IF($E1223=1,SUMIFS(Comptabilité!$F$1:$F$675,Comptabilité!$A$1:$A$675,$A1223,Comptabilité!$B$1:$B$675,$B1223,Comptabilité!$C$1:$C$675,"2026"),0))</f>
        <v/>
      </c>
      <c r="G1223">
        <f>IF($A1223="","",IF($D1223="V01",Cadrage!$C$22,IF($D1223="V02",Cadrage!$D$22,Cadrage!$E$22)))</f>
        <v/>
      </c>
      <c r="H1223">
        <f>IF($A1223="","",IF($D1223="V01",Cadrage!$C$23,IF($D1223="V02",Cadrage!$D$23,Cadrage!$E$23)))</f>
        <v/>
      </c>
      <c r="I1223">
        <f>IF($A1223="","",IF($D1223="V01",Cadrage!$C$31,IF($D1223="V02",Cadrage!$D$31,Cadrage!$E$31)))</f>
        <v/>
      </c>
      <c r="J1223">
        <f>IF($A1223="","",IF($D1223="V01",Cadrage!$C$32,IF($D1223="V02",Cadrage!$D$32,Cadrage!$E$32)))</f>
        <v/>
      </c>
      <c r="K1223">
        <f>IF($A1223="","",IF($D1223="V01",Cadrage!$C$33,IF($D1223="V02",Cadrage!$D$33,Cadrage!$E$33)))</f>
        <v/>
      </c>
      <c r="L1223">
        <f>IF($A1223="","",IF($D1223="V01",Cadrage!$C$34,IF($D1223="V02",Cadrage!$D$34,Cadrage!$E$34)))</f>
        <v/>
      </c>
      <c r="M1223">
        <f>IF($A1223="","",IF($D1223="V01",Cadrage!$C$35,IF($D1223="V02",Cadrage!$D$35,Cadrage!$E$35)))</f>
        <v/>
      </c>
      <c r="N1223">
        <f>IF($A1223="","",IF($D1223="V01",$R$2,IF($D1223="V02",$R$3,$R$4)))</f>
        <v/>
      </c>
      <c r="O1223">
        <f>IF($A1223="","",IF(OR($B1223="7062",$B1223="706",$B1223="708"),$N1223,IF($B1223="6231",1+$G1223,IF($B1223="6236",1+$H1223,IF(OR($B1223="621",$B1223="604",$B1223="6063"),$N1223*(1-$L1223),IF(OR($B1223="6411",$B1223="6413",$B1223="6414",$B1223="645"),(1+$J1223)*(1+$K1223),IF(OR($B1223="613",$B1223="615",$B1223="616",$B1223="6226",$B1223="625",$B1223="626",$B1223="6281"),(1+$I1223)*(1-$L1223)*(1+$M1223),IF(OR($B1223="6331",$B1223="63511",$B1223="6333"),(1+$I1223)*(1-$L1223),IF($B1223="6811",1+$I1223,1)))))))))</f>
        <v/>
      </c>
      <c r="P1223">
        <f>IF($A1223="","",IF($E1223=1,$F1223*$O1223,PNL!G1223))</f>
        <v/>
      </c>
      <c r="T1223">
        <f>IF($A1223="","",IF($E1223=1,IF(OR($B1223="7062",$B1223="706",$B1223="708"),$P1223,IF(AND(LEFT($B1223,1)="6",$B1223&lt;&gt;"6811"),-$P1223,0)),0))</f>
        <v/>
      </c>
    </row>
    <row r="1224">
      <c r="A1224">
        <f>IF(PNL!A1224="","",PNL!A1224)</f>
        <v/>
      </c>
      <c r="B1224">
        <f>IF(PNL!B1224="","",PNL!B1224)</f>
        <v/>
      </c>
      <c r="C1224">
        <f>IF(PNL!C1224="","",PNL!C1224)</f>
        <v/>
      </c>
      <c r="D1224">
        <f>IF(PNL!D1224="","",PNL!D1224)</f>
        <v/>
      </c>
      <c r="E1224">
        <f>IF($A1224="","",IF(AND($C1224="2027",OR($D1224="V01",$D1224="V02",$D1224="V03")),1,0))</f>
        <v/>
      </c>
      <c r="F1224">
        <f>IF($A1224="","",IF($E1224=1,SUMIFS(Comptabilité!$F$1:$F$675,Comptabilité!$A$1:$A$675,$A1224,Comptabilité!$B$1:$B$675,$B1224,Comptabilité!$C$1:$C$675,"2026"),0))</f>
        <v/>
      </c>
      <c r="G1224">
        <f>IF($A1224="","",IF($D1224="V01",Cadrage!$C$22,IF($D1224="V02",Cadrage!$D$22,Cadrage!$E$22)))</f>
        <v/>
      </c>
      <c r="H1224">
        <f>IF($A1224="","",IF($D1224="V01",Cadrage!$C$23,IF($D1224="V02",Cadrage!$D$23,Cadrage!$E$23)))</f>
        <v/>
      </c>
      <c r="I1224">
        <f>IF($A1224="","",IF($D1224="V01",Cadrage!$C$31,IF($D1224="V02",Cadrage!$D$31,Cadrage!$E$31)))</f>
        <v/>
      </c>
      <c r="J1224">
        <f>IF($A1224="","",IF($D1224="V01",Cadrage!$C$32,IF($D1224="V02",Cadrage!$D$32,Cadrage!$E$32)))</f>
        <v/>
      </c>
      <c r="K1224">
        <f>IF($A1224="","",IF($D1224="V01",Cadrage!$C$33,IF($D1224="V02",Cadrage!$D$33,Cadrage!$E$33)))</f>
        <v/>
      </c>
      <c r="L1224">
        <f>IF($A1224="","",IF($D1224="V01",Cadrage!$C$34,IF($D1224="V02",Cadrage!$D$34,Cadrage!$E$34)))</f>
        <v/>
      </c>
      <c r="M1224">
        <f>IF($A1224="","",IF($D1224="V01",Cadrage!$C$35,IF($D1224="V02",Cadrage!$D$35,Cadrage!$E$35)))</f>
        <v/>
      </c>
      <c r="N1224">
        <f>IF($A1224="","",IF($D1224="V01",$R$2,IF($D1224="V02",$R$3,$R$4)))</f>
        <v/>
      </c>
      <c r="O1224">
        <f>IF($A1224="","",IF(OR($B1224="7062",$B1224="706",$B1224="708"),$N1224,IF($B1224="6231",1+$G1224,IF($B1224="6236",1+$H1224,IF(OR($B1224="621",$B1224="604",$B1224="6063"),$N1224*(1-$L1224),IF(OR($B1224="6411",$B1224="6413",$B1224="6414",$B1224="645"),(1+$J1224)*(1+$K1224),IF(OR($B1224="613",$B1224="615",$B1224="616",$B1224="6226",$B1224="625",$B1224="626",$B1224="6281"),(1+$I1224)*(1-$L1224)*(1+$M1224),IF(OR($B1224="6331",$B1224="63511",$B1224="6333"),(1+$I1224)*(1-$L1224),IF($B1224="6811",1+$I1224,1)))))))))</f>
        <v/>
      </c>
      <c r="P1224">
        <f>IF($A1224="","",IF($E1224=1,$F1224*$O1224,PNL!G1224))</f>
        <v/>
      </c>
      <c r="T1224">
        <f>IF($A1224="","",IF($E1224=1,IF(OR($B1224="7062",$B1224="706",$B1224="708"),$P1224,IF(AND(LEFT($B1224,1)="6",$B1224&lt;&gt;"6811"),-$P1224,0)),0))</f>
        <v/>
      </c>
    </row>
    <row r="1225">
      <c r="A1225">
        <f>IF(PNL!A1225="","",PNL!A1225)</f>
        <v/>
      </c>
      <c r="B1225">
        <f>IF(PNL!B1225="","",PNL!B1225)</f>
        <v/>
      </c>
      <c r="C1225">
        <f>IF(PNL!C1225="","",PNL!C1225)</f>
        <v/>
      </c>
      <c r="D1225">
        <f>IF(PNL!D1225="","",PNL!D1225)</f>
        <v/>
      </c>
      <c r="E1225">
        <f>IF($A1225="","",IF(AND($C1225="2027",OR($D1225="V01",$D1225="V02",$D1225="V03")),1,0))</f>
        <v/>
      </c>
      <c r="F1225">
        <f>IF($A1225="","",IF($E1225=1,SUMIFS(Comptabilité!$F$1:$F$675,Comptabilité!$A$1:$A$675,$A1225,Comptabilité!$B$1:$B$675,$B1225,Comptabilité!$C$1:$C$675,"2026"),0))</f>
        <v/>
      </c>
      <c r="G1225">
        <f>IF($A1225="","",IF($D1225="V01",Cadrage!$C$22,IF($D1225="V02",Cadrage!$D$22,Cadrage!$E$22)))</f>
        <v/>
      </c>
      <c r="H1225">
        <f>IF($A1225="","",IF($D1225="V01",Cadrage!$C$23,IF($D1225="V02",Cadrage!$D$23,Cadrage!$E$23)))</f>
        <v/>
      </c>
      <c r="I1225">
        <f>IF($A1225="","",IF($D1225="V01",Cadrage!$C$31,IF($D1225="V02",Cadrage!$D$31,Cadrage!$E$31)))</f>
        <v/>
      </c>
      <c r="J1225">
        <f>IF($A1225="","",IF($D1225="V01",Cadrage!$C$32,IF($D1225="V02",Cadrage!$D$32,Cadrage!$E$32)))</f>
        <v/>
      </c>
      <c r="K1225">
        <f>IF($A1225="","",IF($D1225="V01",Cadrage!$C$33,IF($D1225="V02",Cadrage!$D$33,Cadrage!$E$33)))</f>
        <v/>
      </c>
      <c r="L1225">
        <f>IF($A1225="","",IF($D1225="V01",Cadrage!$C$34,IF($D1225="V02",Cadrage!$D$34,Cadrage!$E$34)))</f>
        <v/>
      </c>
      <c r="M1225">
        <f>IF($A1225="","",IF($D1225="V01",Cadrage!$C$35,IF($D1225="V02",Cadrage!$D$35,Cadrage!$E$35)))</f>
        <v/>
      </c>
      <c r="N1225">
        <f>IF($A1225="","",IF($D1225="V01",$R$2,IF($D1225="V02",$R$3,$R$4)))</f>
        <v/>
      </c>
      <c r="O1225">
        <f>IF($A1225="","",IF(OR($B1225="7062",$B1225="706",$B1225="708"),$N1225,IF($B1225="6231",1+$G1225,IF($B1225="6236",1+$H1225,IF(OR($B1225="621",$B1225="604",$B1225="6063"),$N1225*(1-$L1225),IF(OR($B1225="6411",$B1225="6413",$B1225="6414",$B1225="645"),(1+$J1225)*(1+$K1225),IF(OR($B1225="613",$B1225="615",$B1225="616",$B1225="6226",$B1225="625",$B1225="626",$B1225="6281"),(1+$I1225)*(1-$L1225)*(1+$M1225),IF(OR($B1225="6331",$B1225="63511",$B1225="6333"),(1+$I1225)*(1-$L1225),IF($B1225="6811",1+$I1225,1)))))))))</f>
        <v/>
      </c>
      <c r="P1225">
        <f>IF($A1225="","",IF($E1225=1,$F1225*$O1225,PNL!G1225))</f>
        <v/>
      </c>
      <c r="T1225">
        <f>IF($A1225="","",IF($E1225=1,IF(OR($B1225="7062",$B1225="706",$B1225="708"),$P1225,IF(AND(LEFT($B1225,1)="6",$B1225&lt;&gt;"6811"),-$P1225,0)),0))</f>
        <v/>
      </c>
    </row>
    <row r="1226">
      <c r="A1226">
        <f>IF(PNL!A1226="","",PNL!A1226)</f>
        <v/>
      </c>
      <c r="B1226">
        <f>IF(PNL!B1226="","",PNL!B1226)</f>
        <v/>
      </c>
      <c r="C1226">
        <f>IF(PNL!C1226="","",PNL!C1226)</f>
        <v/>
      </c>
      <c r="D1226">
        <f>IF(PNL!D1226="","",PNL!D1226)</f>
        <v/>
      </c>
      <c r="E1226">
        <f>IF($A1226="","",IF(AND($C1226="2027",OR($D1226="V01",$D1226="V02",$D1226="V03")),1,0))</f>
        <v/>
      </c>
      <c r="F1226">
        <f>IF($A1226="","",IF($E1226=1,SUMIFS(Comptabilité!$F$1:$F$675,Comptabilité!$A$1:$A$675,$A1226,Comptabilité!$B$1:$B$675,$B1226,Comptabilité!$C$1:$C$675,"2026"),0))</f>
        <v/>
      </c>
      <c r="G1226">
        <f>IF($A1226="","",IF($D1226="V01",Cadrage!$C$22,IF($D1226="V02",Cadrage!$D$22,Cadrage!$E$22)))</f>
        <v/>
      </c>
      <c r="H1226">
        <f>IF($A1226="","",IF($D1226="V01",Cadrage!$C$23,IF($D1226="V02",Cadrage!$D$23,Cadrage!$E$23)))</f>
        <v/>
      </c>
      <c r="I1226">
        <f>IF($A1226="","",IF($D1226="V01",Cadrage!$C$31,IF($D1226="V02",Cadrage!$D$31,Cadrage!$E$31)))</f>
        <v/>
      </c>
      <c r="J1226">
        <f>IF($A1226="","",IF($D1226="V01",Cadrage!$C$32,IF($D1226="V02",Cadrage!$D$32,Cadrage!$E$32)))</f>
        <v/>
      </c>
      <c r="K1226">
        <f>IF($A1226="","",IF($D1226="V01",Cadrage!$C$33,IF($D1226="V02",Cadrage!$D$33,Cadrage!$E$33)))</f>
        <v/>
      </c>
      <c r="L1226">
        <f>IF($A1226="","",IF($D1226="V01",Cadrage!$C$34,IF($D1226="V02",Cadrage!$D$34,Cadrage!$E$34)))</f>
        <v/>
      </c>
      <c r="M1226">
        <f>IF($A1226="","",IF($D1226="V01",Cadrage!$C$35,IF($D1226="V02",Cadrage!$D$35,Cadrage!$E$35)))</f>
        <v/>
      </c>
      <c r="N1226">
        <f>IF($A1226="","",IF($D1226="V01",$R$2,IF($D1226="V02",$R$3,$R$4)))</f>
        <v/>
      </c>
      <c r="O1226">
        <f>IF($A1226="","",IF(OR($B1226="7062",$B1226="706",$B1226="708"),$N1226,IF($B1226="6231",1+$G1226,IF($B1226="6236",1+$H1226,IF(OR($B1226="621",$B1226="604",$B1226="6063"),$N1226*(1-$L1226),IF(OR($B1226="6411",$B1226="6413",$B1226="6414",$B1226="645"),(1+$J1226)*(1+$K1226),IF(OR($B1226="613",$B1226="615",$B1226="616",$B1226="6226",$B1226="625",$B1226="626",$B1226="6281"),(1+$I1226)*(1-$L1226)*(1+$M1226),IF(OR($B1226="6331",$B1226="63511",$B1226="6333"),(1+$I1226)*(1-$L1226),IF($B1226="6811",1+$I1226,1)))))))))</f>
        <v/>
      </c>
      <c r="P1226">
        <f>IF($A1226="","",IF($E1226=1,$F1226*$O1226,PNL!G1226))</f>
        <v/>
      </c>
      <c r="T1226">
        <f>IF($A1226="","",IF($E1226=1,IF(OR($B1226="7062",$B1226="706",$B1226="708"),$P1226,IF(AND(LEFT($B1226,1)="6",$B1226&lt;&gt;"6811"),-$P1226,0)),0))</f>
        <v/>
      </c>
    </row>
    <row r="1227">
      <c r="A1227">
        <f>IF(PNL!A1227="","",PNL!A1227)</f>
        <v/>
      </c>
      <c r="B1227">
        <f>IF(PNL!B1227="","",PNL!B1227)</f>
        <v/>
      </c>
      <c r="C1227">
        <f>IF(PNL!C1227="","",PNL!C1227)</f>
        <v/>
      </c>
      <c r="D1227">
        <f>IF(PNL!D1227="","",PNL!D1227)</f>
        <v/>
      </c>
      <c r="E1227">
        <f>IF($A1227="","",IF(AND($C1227="2027",OR($D1227="V01",$D1227="V02",$D1227="V03")),1,0))</f>
        <v/>
      </c>
      <c r="F1227">
        <f>IF($A1227="","",IF($E1227=1,SUMIFS(Comptabilité!$F$1:$F$675,Comptabilité!$A$1:$A$675,$A1227,Comptabilité!$B$1:$B$675,$B1227,Comptabilité!$C$1:$C$675,"2026"),0))</f>
        <v/>
      </c>
      <c r="G1227">
        <f>IF($A1227="","",IF($D1227="V01",Cadrage!$C$22,IF($D1227="V02",Cadrage!$D$22,Cadrage!$E$22)))</f>
        <v/>
      </c>
      <c r="H1227">
        <f>IF($A1227="","",IF($D1227="V01",Cadrage!$C$23,IF($D1227="V02",Cadrage!$D$23,Cadrage!$E$23)))</f>
        <v/>
      </c>
      <c r="I1227">
        <f>IF($A1227="","",IF($D1227="V01",Cadrage!$C$31,IF($D1227="V02",Cadrage!$D$31,Cadrage!$E$31)))</f>
        <v/>
      </c>
      <c r="J1227">
        <f>IF($A1227="","",IF($D1227="V01",Cadrage!$C$32,IF($D1227="V02",Cadrage!$D$32,Cadrage!$E$32)))</f>
        <v/>
      </c>
      <c r="K1227">
        <f>IF($A1227="","",IF($D1227="V01",Cadrage!$C$33,IF($D1227="V02",Cadrage!$D$33,Cadrage!$E$33)))</f>
        <v/>
      </c>
      <c r="L1227">
        <f>IF($A1227="","",IF($D1227="V01",Cadrage!$C$34,IF($D1227="V02",Cadrage!$D$34,Cadrage!$E$34)))</f>
        <v/>
      </c>
      <c r="M1227">
        <f>IF($A1227="","",IF($D1227="V01",Cadrage!$C$35,IF($D1227="V02",Cadrage!$D$35,Cadrage!$E$35)))</f>
        <v/>
      </c>
      <c r="N1227">
        <f>IF($A1227="","",IF($D1227="V01",$R$2,IF($D1227="V02",$R$3,$R$4)))</f>
        <v/>
      </c>
      <c r="O1227">
        <f>IF($A1227="","",IF(OR($B1227="7062",$B1227="706",$B1227="708"),$N1227,IF($B1227="6231",1+$G1227,IF($B1227="6236",1+$H1227,IF(OR($B1227="621",$B1227="604",$B1227="6063"),$N1227*(1-$L1227),IF(OR($B1227="6411",$B1227="6413",$B1227="6414",$B1227="645"),(1+$J1227)*(1+$K1227),IF(OR($B1227="613",$B1227="615",$B1227="616",$B1227="6226",$B1227="625",$B1227="626",$B1227="6281"),(1+$I1227)*(1-$L1227)*(1+$M1227),IF(OR($B1227="6331",$B1227="63511",$B1227="6333"),(1+$I1227)*(1-$L1227),IF($B1227="6811",1+$I1227,1)))))))))</f>
        <v/>
      </c>
      <c r="P1227">
        <f>IF($A1227="","",IF($E1227=1,$F1227*$O1227,PNL!G1227))</f>
        <v/>
      </c>
      <c r="T1227">
        <f>IF($A1227="","",IF($E1227=1,IF(OR($B1227="7062",$B1227="706",$B1227="708"),$P1227,IF(AND(LEFT($B1227,1)="6",$B1227&lt;&gt;"6811"),-$P1227,0)),0))</f>
        <v/>
      </c>
    </row>
    <row r="1228">
      <c r="A1228">
        <f>IF(PNL!A1228="","",PNL!A1228)</f>
        <v/>
      </c>
      <c r="B1228">
        <f>IF(PNL!B1228="","",PNL!B1228)</f>
        <v/>
      </c>
      <c r="C1228">
        <f>IF(PNL!C1228="","",PNL!C1228)</f>
        <v/>
      </c>
      <c r="D1228">
        <f>IF(PNL!D1228="","",PNL!D1228)</f>
        <v/>
      </c>
      <c r="E1228">
        <f>IF($A1228="","",IF(AND($C1228="2027",OR($D1228="V01",$D1228="V02",$D1228="V03")),1,0))</f>
        <v/>
      </c>
      <c r="F1228">
        <f>IF($A1228="","",IF($E1228=1,SUMIFS(Comptabilité!$F$1:$F$675,Comptabilité!$A$1:$A$675,$A1228,Comptabilité!$B$1:$B$675,$B1228,Comptabilité!$C$1:$C$675,"2026"),0))</f>
        <v/>
      </c>
      <c r="G1228">
        <f>IF($A1228="","",IF($D1228="V01",Cadrage!$C$22,IF($D1228="V02",Cadrage!$D$22,Cadrage!$E$22)))</f>
        <v/>
      </c>
      <c r="H1228">
        <f>IF($A1228="","",IF($D1228="V01",Cadrage!$C$23,IF($D1228="V02",Cadrage!$D$23,Cadrage!$E$23)))</f>
        <v/>
      </c>
      <c r="I1228">
        <f>IF($A1228="","",IF($D1228="V01",Cadrage!$C$31,IF($D1228="V02",Cadrage!$D$31,Cadrage!$E$31)))</f>
        <v/>
      </c>
      <c r="J1228">
        <f>IF($A1228="","",IF($D1228="V01",Cadrage!$C$32,IF($D1228="V02",Cadrage!$D$32,Cadrage!$E$32)))</f>
        <v/>
      </c>
      <c r="K1228">
        <f>IF($A1228="","",IF($D1228="V01",Cadrage!$C$33,IF($D1228="V02",Cadrage!$D$33,Cadrage!$E$33)))</f>
        <v/>
      </c>
      <c r="L1228">
        <f>IF($A1228="","",IF($D1228="V01",Cadrage!$C$34,IF($D1228="V02",Cadrage!$D$34,Cadrage!$E$34)))</f>
        <v/>
      </c>
      <c r="M1228">
        <f>IF($A1228="","",IF($D1228="V01",Cadrage!$C$35,IF($D1228="V02",Cadrage!$D$35,Cadrage!$E$35)))</f>
        <v/>
      </c>
      <c r="N1228">
        <f>IF($A1228="","",IF($D1228="V01",$R$2,IF($D1228="V02",$R$3,$R$4)))</f>
        <v/>
      </c>
      <c r="O1228">
        <f>IF($A1228="","",IF(OR($B1228="7062",$B1228="706",$B1228="708"),$N1228,IF($B1228="6231",1+$G1228,IF($B1228="6236",1+$H1228,IF(OR($B1228="621",$B1228="604",$B1228="6063"),$N1228*(1-$L1228),IF(OR($B1228="6411",$B1228="6413",$B1228="6414",$B1228="645"),(1+$J1228)*(1+$K1228),IF(OR($B1228="613",$B1228="615",$B1228="616",$B1228="6226",$B1228="625",$B1228="626",$B1228="6281"),(1+$I1228)*(1-$L1228)*(1+$M1228),IF(OR($B1228="6331",$B1228="63511",$B1228="6333"),(1+$I1228)*(1-$L1228),IF($B1228="6811",1+$I1228,1)))))))))</f>
        <v/>
      </c>
      <c r="P1228">
        <f>IF($A1228="","",IF($E1228=1,$F1228*$O1228,PNL!G1228))</f>
        <v/>
      </c>
      <c r="T1228">
        <f>IF($A1228="","",IF($E1228=1,IF(OR($B1228="7062",$B1228="706",$B1228="708"),$P1228,IF(AND(LEFT($B1228,1)="6",$B1228&lt;&gt;"6811"),-$P1228,0)),0))</f>
        <v/>
      </c>
    </row>
    <row r="1229">
      <c r="A1229">
        <f>IF(PNL!A1229="","",PNL!A1229)</f>
        <v/>
      </c>
      <c r="B1229">
        <f>IF(PNL!B1229="","",PNL!B1229)</f>
        <v/>
      </c>
      <c r="C1229">
        <f>IF(PNL!C1229="","",PNL!C1229)</f>
        <v/>
      </c>
      <c r="D1229">
        <f>IF(PNL!D1229="","",PNL!D1229)</f>
        <v/>
      </c>
      <c r="E1229">
        <f>IF($A1229="","",IF(AND($C1229="2027",OR($D1229="V01",$D1229="V02",$D1229="V03")),1,0))</f>
        <v/>
      </c>
      <c r="F1229">
        <f>IF($A1229="","",IF($E1229=1,SUMIFS(Comptabilité!$F$1:$F$675,Comptabilité!$A$1:$A$675,$A1229,Comptabilité!$B$1:$B$675,$B1229,Comptabilité!$C$1:$C$675,"2026"),0))</f>
        <v/>
      </c>
      <c r="G1229">
        <f>IF($A1229="","",IF($D1229="V01",Cadrage!$C$22,IF($D1229="V02",Cadrage!$D$22,Cadrage!$E$22)))</f>
        <v/>
      </c>
      <c r="H1229">
        <f>IF($A1229="","",IF($D1229="V01",Cadrage!$C$23,IF($D1229="V02",Cadrage!$D$23,Cadrage!$E$23)))</f>
        <v/>
      </c>
      <c r="I1229">
        <f>IF($A1229="","",IF($D1229="V01",Cadrage!$C$31,IF($D1229="V02",Cadrage!$D$31,Cadrage!$E$31)))</f>
        <v/>
      </c>
      <c r="J1229">
        <f>IF($A1229="","",IF($D1229="V01",Cadrage!$C$32,IF($D1229="V02",Cadrage!$D$32,Cadrage!$E$32)))</f>
        <v/>
      </c>
      <c r="K1229">
        <f>IF($A1229="","",IF($D1229="V01",Cadrage!$C$33,IF($D1229="V02",Cadrage!$D$33,Cadrage!$E$33)))</f>
        <v/>
      </c>
      <c r="L1229">
        <f>IF($A1229="","",IF($D1229="V01",Cadrage!$C$34,IF($D1229="V02",Cadrage!$D$34,Cadrage!$E$34)))</f>
        <v/>
      </c>
      <c r="M1229">
        <f>IF($A1229="","",IF($D1229="V01",Cadrage!$C$35,IF($D1229="V02",Cadrage!$D$35,Cadrage!$E$35)))</f>
        <v/>
      </c>
      <c r="N1229">
        <f>IF($A1229="","",IF($D1229="V01",$R$2,IF($D1229="V02",$R$3,$R$4)))</f>
        <v/>
      </c>
      <c r="O1229">
        <f>IF($A1229="","",IF(OR($B1229="7062",$B1229="706",$B1229="708"),$N1229,IF($B1229="6231",1+$G1229,IF($B1229="6236",1+$H1229,IF(OR($B1229="621",$B1229="604",$B1229="6063"),$N1229*(1-$L1229),IF(OR($B1229="6411",$B1229="6413",$B1229="6414",$B1229="645"),(1+$J1229)*(1+$K1229),IF(OR($B1229="613",$B1229="615",$B1229="616",$B1229="6226",$B1229="625",$B1229="626",$B1229="6281"),(1+$I1229)*(1-$L1229)*(1+$M1229),IF(OR($B1229="6331",$B1229="63511",$B1229="6333"),(1+$I1229)*(1-$L1229),IF($B1229="6811",1+$I1229,1)))))))))</f>
        <v/>
      </c>
      <c r="P1229">
        <f>IF($A1229="","",IF($E1229=1,$F1229*$O1229,PNL!G1229))</f>
        <v/>
      </c>
      <c r="T1229">
        <f>IF($A1229="","",IF($E1229=1,IF(OR($B1229="7062",$B1229="706",$B1229="708"),$P1229,IF(AND(LEFT($B1229,1)="6",$B1229&lt;&gt;"6811"),-$P1229,0)),0))</f>
        <v/>
      </c>
    </row>
    <row r="1230">
      <c r="A1230">
        <f>IF(PNL!A1230="","",PNL!A1230)</f>
        <v/>
      </c>
      <c r="B1230">
        <f>IF(PNL!B1230="","",PNL!B1230)</f>
        <v/>
      </c>
      <c r="C1230">
        <f>IF(PNL!C1230="","",PNL!C1230)</f>
        <v/>
      </c>
      <c r="D1230">
        <f>IF(PNL!D1230="","",PNL!D1230)</f>
        <v/>
      </c>
      <c r="E1230">
        <f>IF($A1230="","",IF(AND($C1230="2027",OR($D1230="V01",$D1230="V02",$D1230="V03")),1,0))</f>
        <v/>
      </c>
      <c r="F1230">
        <f>IF($A1230="","",IF($E1230=1,SUMIFS(Comptabilité!$F$1:$F$675,Comptabilité!$A$1:$A$675,$A1230,Comptabilité!$B$1:$B$675,$B1230,Comptabilité!$C$1:$C$675,"2026"),0))</f>
        <v/>
      </c>
      <c r="G1230">
        <f>IF($A1230="","",IF($D1230="V01",Cadrage!$C$22,IF($D1230="V02",Cadrage!$D$22,Cadrage!$E$22)))</f>
        <v/>
      </c>
      <c r="H1230">
        <f>IF($A1230="","",IF($D1230="V01",Cadrage!$C$23,IF($D1230="V02",Cadrage!$D$23,Cadrage!$E$23)))</f>
        <v/>
      </c>
      <c r="I1230">
        <f>IF($A1230="","",IF($D1230="V01",Cadrage!$C$31,IF($D1230="V02",Cadrage!$D$31,Cadrage!$E$31)))</f>
        <v/>
      </c>
      <c r="J1230">
        <f>IF($A1230="","",IF($D1230="V01",Cadrage!$C$32,IF($D1230="V02",Cadrage!$D$32,Cadrage!$E$32)))</f>
        <v/>
      </c>
      <c r="K1230">
        <f>IF($A1230="","",IF($D1230="V01",Cadrage!$C$33,IF($D1230="V02",Cadrage!$D$33,Cadrage!$E$33)))</f>
        <v/>
      </c>
      <c r="L1230">
        <f>IF($A1230="","",IF($D1230="V01",Cadrage!$C$34,IF($D1230="V02",Cadrage!$D$34,Cadrage!$E$34)))</f>
        <v/>
      </c>
      <c r="M1230">
        <f>IF($A1230="","",IF($D1230="V01",Cadrage!$C$35,IF($D1230="V02",Cadrage!$D$35,Cadrage!$E$35)))</f>
        <v/>
      </c>
      <c r="N1230">
        <f>IF($A1230="","",IF($D1230="V01",$R$2,IF($D1230="V02",$R$3,$R$4)))</f>
        <v/>
      </c>
      <c r="O1230">
        <f>IF($A1230="","",IF(OR($B1230="7062",$B1230="706",$B1230="708"),$N1230,IF($B1230="6231",1+$G1230,IF($B1230="6236",1+$H1230,IF(OR($B1230="621",$B1230="604",$B1230="6063"),$N1230*(1-$L1230),IF(OR($B1230="6411",$B1230="6413",$B1230="6414",$B1230="645"),(1+$J1230)*(1+$K1230),IF(OR($B1230="613",$B1230="615",$B1230="616",$B1230="6226",$B1230="625",$B1230="626",$B1230="6281"),(1+$I1230)*(1-$L1230)*(1+$M1230),IF(OR($B1230="6331",$B1230="63511",$B1230="6333"),(1+$I1230)*(1-$L1230),IF($B1230="6811",1+$I1230,1)))))))))</f>
        <v/>
      </c>
      <c r="P1230">
        <f>IF($A1230="","",IF($E1230=1,$F1230*$O1230,PNL!G1230))</f>
        <v/>
      </c>
      <c r="T1230">
        <f>IF($A1230="","",IF($E1230=1,IF(OR($B1230="7062",$B1230="706",$B1230="708"),$P1230,IF(AND(LEFT($B1230,1)="6",$B1230&lt;&gt;"6811"),-$P1230,0)),0))</f>
        <v/>
      </c>
    </row>
    <row r="1231">
      <c r="A1231">
        <f>IF(PNL!A1231="","",PNL!A1231)</f>
        <v/>
      </c>
      <c r="B1231">
        <f>IF(PNL!B1231="","",PNL!B1231)</f>
        <v/>
      </c>
      <c r="C1231">
        <f>IF(PNL!C1231="","",PNL!C1231)</f>
        <v/>
      </c>
      <c r="D1231">
        <f>IF(PNL!D1231="","",PNL!D1231)</f>
        <v/>
      </c>
      <c r="E1231">
        <f>IF($A1231="","",IF(AND($C1231="2027",OR($D1231="V01",$D1231="V02",$D1231="V03")),1,0))</f>
        <v/>
      </c>
      <c r="F1231">
        <f>IF($A1231="","",IF($E1231=1,SUMIFS(Comptabilité!$F$1:$F$675,Comptabilité!$A$1:$A$675,$A1231,Comptabilité!$B$1:$B$675,$B1231,Comptabilité!$C$1:$C$675,"2026"),0))</f>
        <v/>
      </c>
      <c r="G1231">
        <f>IF($A1231="","",IF($D1231="V01",Cadrage!$C$22,IF($D1231="V02",Cadrage!$D$22,Cadrage!$E$22)))</f>
        <v/>
      </c>
      <c r="H1231">
        <f>IF($A1231="","",IF($D1231="V01",Cadrage!$C$23,IF($D1231="V02",Cadrage!$D$23,Cadrage!$E$23)))</f>
        <v/>
      </c>
      <c r="I1231">
        <f>IF($A1231="","",IF($D1231="V01",Cadrage!$C$31,IF($D1231="V02",Cadrage!$D$31,Cadrage!$E$31)))</f>
        <v/>
      </c>
      <c r="J1231">
        <f>IF($A1231="","",IF($D1231="V01",Cadrage!$C$32,IF($D1231="V02",Cadrage!$D$32,Cadrage!$E$32)))</f>
        <v/>
      </c>
      <c r="K1231">
        <f>IF($A1231="","",IF($D1231="V01",Cadrage!$C$33,IF($D1231="V02",Cadrage!$D$33,Cadrage!$E$33)))</f>
        <v/>
      </c>
      <c r="L1231">
        <f>IF($A1231="","",IF($D1231="V01",Cadrage!$C$34,IF($D1231="V02",Cadrage!$D$34,Cadrage!$E$34)))</f>
        <v/>
      </c>
      <c r="M1231">
        <f>IF($A1231="","",IF($D1231="V01",Cadrage!$C$35,IF($D1231="V02",Cadrage!$D$35,Cadrage!$E$35)))</f>
        <v/>
      </c>
      <c r="N1231">
        <f>IF($A1231="","",IF($D1231="V01",$R$2,IF($D1231="V02",$R$3,$R$4)))</f>
        <v/>
      </c>
      <c r="O1231">
        <f>IF($A1231="","",IF(OR($B1231="7062",$B1231="706",$B1231="708"),$N1231,IF($B1231="6231",1+$G1231,IF($B1231="6236",1+$H1231,IF(OR($B1231="621",$B1231="604",$B1231="6063"),$N1231*(1-$L1231),IF(OR($B1231="6411",$B1231="6413",$B1231="6414",$B1231="645"),(1+$J1231)*(1+$K1231),IF(OR($B1231="613",$B1231="615",$B1231="616",$B1231="6226",$B1231="625",$B1231="626",$B1231="6281"),(1+$I1231)*(1-$L1231)*(1+$M1231),IF(OR($B1231="6331",$B1231="63511",$B1231="6333"),(1+$I1231)*(1-$L1231),IF($B1231="6811",1+$I1231,1)))))))))</f>
        <v/>
      </c>
      <c r="P1231">
        <f>IF($A1231="","",IF($E1231=1,$F1231*$O1231,PNL!G1231))</f>
        <v/>
      </c>
      <c r="T1231">
        <f>IF($A1231="","",IF($E1231=1,IF(OR($B1231="7062",$B1231="706",$B1231="708"),$P1231,IF(AND(LEFT($B1231,1)="6",$B1231&lt;&gt;"6811"),-$P1231,0)),0))</f>
        <v/>
      </c>
    </row>
    <row r="1232">
      <c r="A1232">
        <f>IF(PNL!A1232="","",PNL!A1232)</f>
        <v/>
      </c>
      <c r="B1232">
        <f>IF(PNL!B1232="","",PNL!B1232)</f>
        <v/>
      </c>
      <c r="C1232">
        <f>IF(PNL!C1232="","",PNL!C1232)</f>
        <v/>
      </c>
      <c r="D1232">
        <f>IF(PNL!D1232="","",PNL!D1232)</f>
        <v/>
      </c>
      <c r="E1232">
        <f>IF($A1232="","",IF(AND($C1232="2027",OR($D1232="V01",$D1232="V02",$D1232="V03")),1,0))</f>
        <v/>
      </c>
      <c r="F1232">
        <f>IF($A1232="","",IF($E1232=1,SUMIFS(Comptabilité!$F$1:$F$675,Comptabilité!$A$1:$A$675,$A1232,Comptabilité!$B$1:$B$675,$B1232,Comptabilité!$C$1:$C$675,"2026"),0))</f>
        <v/>
      </c>
      <c r="G1232">
        <f>IF($A1232="","",IF($D1232="V01",Cadrage!$C$22,IF($D1232="V02",Cadrage!$D$22,Cadrage!$E$22)))</f>
        <v/>
      </c>
      <c r="H1232">
        <f>IF($A1232="","",IF($D1232="V01",Cadrage!$C$23,IF($D1232="V02",Cadrage!$D$23,Cadrage!$E$23)))</f>
        <v/>
      </c>
      <c r="I1232">
        <f>IF($A1232="","",IF($D1232="V01",Cadrage!$C$31,IF($D1232="V02",Cadrage!$D$31,Cadrage!$E$31)))</f>
        <v/>
      </c>
      <c r="J1232">
        <f>IF($A1232="","",IF($D1232="V01",Cadrage!$C$32,IF($D1232="V02",Cadrage!$D$32,Cadrage!$E$32)))</f>
        <v/>
      </c>
      <c r="K1232">
        <f>IF($A1232="","",IF($D1232="V01",Cadrage!$C$33,IF($D1232="V02",Cadrage!$D$33,Cadrage!$E$33)))</f>
        <v/>
      </c>
      <c r="L1232">
        <f>IF($A1232="","",IF($D1232="V01",Cadrage!$C$34,IF($D1232="V02",Cadrage!$D$34,Cadrage!$E$34)))</f>
        <v/>
      </c>
      <c r="M1232">
        <f>IF($A1232="","",IF($D1232="V01",Cadrage!$C$35,IF($D1232="V02",Cadrage!$D$35,Cadrage!$E$35)))</f>
        <v/>
      </c>
      <c r="N1232">
        <f>IF($A1232="","",IF($D1232="V01",$R$2,IF($D1232="V02",$R$3,$R$4)))</f>
        <v/>
      </c>
      <c r="O1232">
        <f>IF($A1232="","",IF(OR($B1232="7062",$B1232="706",$B1232="708"),$N1232,IF($B1232="6231",1+$G1232,IF($B1232="6236",1+$H1232,IF(OR($B1232="621",$B1232="604",$B1232="6063"),$N1232*(1-$L1232),IF(OR($B1232="6411",$B1232="6413",$B1232="6414",$B1232="645"),(1+$J1232)*(1+$K1232),IF(OR($B1232="613",$B1232="615",$B1232="616",$B1232="6226",$B1232="625",$B1232="626",$B1232="6281"),(1+$I1232)*(1-$L1232)*(1+$M1232),IF(OR($B1232="6331",$B1232="63511",$B1232="6333"),(1+$I1232)*(1-$L1232),IF($B1232="6811",1+$I1232,1)))))))))</f>
        <v/>
      </c>
      <c r="P1232">
        <f>IF($A1232="","",IF($E1232=1,$F1232*$O1232,PNL!G1232))</f>
        <v/>
      </c>
      <c r="T1232">
        <f>IF($A1232="","",IF($E1232=1,IF(OR($B1232="7062",$B1232="706",$B1232="708"),$P1232,IF(AND(LEFT($B1232,1)="6",$B1232&lt;&gt;"6811"),-$P1232,0)),0))</f>
        <v/>
      </c>
    </row>
    <row r="1233">
      <c r="A1233">
        <f>IF(PNL!A1233="","",PNL!A1233)</f>
        <v/>
      </c>
      <c r="B1233">
        <f>IF(PNL!B1233="","",PNL!B1233)</f>
        <v/>
      </c>
      <c r="C1233">
        <f>IF(PNL!C1233="","",PNL!C1233)</f>
        <v/>
      </c>
      <c r="D1233">
        <f>IF(PNL!D1233="","",PNL!D1233)</f>
        <v/>
      </c>
      <c r="E1233">
        <f>IF($A1233="","",IF(AND($C1233="2027",OR($D1233="V01",$D1233="V02",$D1233="V03")),1,0))</f>
        <v/>
      </c>
      <c r="F1233">
        <f>IF($A1233="","",IF($E1233=1,SUMIFS(Comptabilité!$F$1:$F$675,Comptabilité!$A$1:$A$675,$A1233,Comptabilité!$B$1:$B$675,$B1233,Comptabilité!$C$1:$C$675,"2026"),0))</f>
        <v/>
      </c>
      <c r="G1233">
        <f>IF($A1233="","",IF($D1233="V01",Cadrage!$C$22,IF($D1233="V02",Cadrage!$D$22,Cadrage!$E$22)))</f>
        <v/>
      </c>
      <c r="H1233">
        <f>IF($A1233="","",IF($D1233="V01",Cadrage!$C$23,IF($D1233="V02",Cadrage!$D$23,Cadrage!$E$23)))</f>
        <v/>
      </c>
      <c r="I1233">
        <f>IF($A1233="","",IF($D1233="V01",Cadrage!$C$31,IF($D1233="V02",Cadrage!$D$31,Cadrage!$E$31)))</f>
        <v/>
      </c>
      <c r="J1233">
        <f>IF($A1233="","",IF($D1233="V01",Cadrage!$C$32,IF($D1233="V02",Cadrage!$D$32,Cadrage!$E$32)))</f>
        <v/>
      </c>
      <c r="K1233">
        <f>IF($A1233="","",IF($D1233="V01",Cadrage!$C$33,IF($D1233="V02",Cadrage!$D$33,Cadrage!$E$33)))</f>
        <v/>
      </c>
      <c r="L1233">
        <f>IF($A1233="","",IF($D1233="V01",Cadrage!$C$34,IF($D1233="V02",Cadrage!$D$34,Cadrage!$E$34)))</f>
        <v/>
      </c>
      <c r="M1233">
        <f>IF($A1233="","",IF($D1233="V01",Cadrage!$C$35,IF($D1233="V02",Cadrage!$D$35,Cadrage!$E$35)))</f>
        <v/>
      </c>
      <c r="N1233">
        <f>IF($A1233="","",IF($D1233="V01",$R$2,IF($D1233="V02",$R$3,$R$4)))</f>
        <v/>
      </c>
      <c r="O1233">
        <f>IF($A1233="","",IF(OR($B1233="7062",$B1233="706",$B1233="708"),$N1233,IF($B1233="6231",1+$G1233,IF($B1233="6236",1+$H1233,IF(OR($B1233="621",$B1233="604",$B1233="6063"),$N1233*(1-$L1233),IF(OR($B1233="6411",$B1233="6413",$B1233="6414",$B1233="645"),(1+$J1233)*(1+$K1233),IF(OR($B1233="613",$B1233="615",$B1233="616",$B1233="6226",$B1233="625",$B1233="626",$B1233="6281"),(1+$I1233)*(1-$L1233)*(1+$M1233),IF(OR($B1233="6331",$B1233="63511",$B1233="6333"),(1+$I1233)*(1-$L1233),IF($B1233="6811",1+$I1233,1)))))))))</f>
        <v/>
      </c>
      <c r="P1233">
        <f>IF($A1233="","",IF($E1233=1,$F1233*$O1233,PNL!G1233))</f>
        <v/>
      </c>
      <c r="T1233">
        <f>IF($A1233="","",IF($E1233=1,IF(OR($B1233="7062",$B1233="706",$B1233="708"),$P1233,IF(AND(LEFT($B1233,1)="6",$B1233&lt;&gt;"6811"),-$P1233,0)),0))</f>
        <v/>
      </c>
    </row>
    <row r="1234">
      <c r="A1234">
        <f>IF(PNL!A1234="","",PNL!A1234)</f>
        <v/>
      </c>
      <c r="B1234">
        <f>IF(PNL!B1234="","",PNL!B1234)</f>
        <v/>
      </c>
      <c r="C1234">
        <f>IF(PNL!C1234="","",PNL!C1234)</f>
        <v/>
      </c>
      <c r="D1234">
        <f>IF(PNL!D1234="","",PNL!D1234)</f>
        <v/>
      </c>
      <c r="E1234">
        <f>IF($A1234="","",IF(AND($C1234="2027",OR($D1234="V01",$D1234="V02",$D1234="V03")),1,0))</f>
        <v/>
      </c>
      <c r="F1234">
        <f>IF($A1234="","",IF($E1234=1,SUMIFS(Comptabilité!$F$1:$F$675,Comptabilité!$A$1:$A$675,$A1234,Comptabilité!$B$1:$B$675,$B1234,Comptabilité!$C$1:$C$675,"2026"),0))</f>
        <v/>
      </c>
      <c r="G1234">
        <f>IF($A1234="","",IF($D1234="V01",Cadrage!$C$22,IF($D1234="V02",Cadrage!$D$22,Cadrage!$E$22)))</f>
        <v/>
      </c>
      <c r="H1234">
        <f>IF($A1234="","",IF($D1234="V01",Cadrage!$C$23,IF($D1234="V02",Cadrage!$D$23,Cadrage!$E$23)))</f>
        <v/>
      </c>
      <c r="I1234">
        <f>IF($A1234="","",IF($D1234="V01",Cadrage!$C$31,IF($D1234="V02",Cadrage!$D$31,Cadrage!$E$31)))</f>
        <v/>
      </c>
      <c r="J1234">
        <f>IF($A1234="","",IF($D1234="V01",Cadrage!$C$32,IF($D1234="V02",Cadrage!$D$32,Cadrage!$E$32)))</f>
        <v/>
      </c>
      <c r="K1234">
        <f>IF($A1234="","",IF($D1234="V01",Cadrage!$C$33,IF($D1234="V02",Cadrage!$D$33,Cadrage!$E$33)))</f>
        <v/>
      </c>
      <c r="L1234">
        <f>IF($A1234="","",IF($D1234="V01",Cadrage!$C$34,IF($D1234="V02",Cadrage!$D$34,Cadrage!$E$34)))</f>
        <v/>
      </c>
      <c r="M1234">
        <f>IF($A1234="","",IF($D1234="V01",Cadrage!$C$35,IF($D1234="V02",Cadrage!$D$35,Cadrage!$E$35)))</f>
        <v/>
      </c>
      <c r="N1234">
        <f>IF($A1234="","",IF($D1234="V01",$R$2,IF($D1234="V02",$R$3,$R$4)))</f>
        <v/>
      </c>
      <c r="O1234">
        <f>IF($A1234="","",IF(OR($B1234="7062",$B1234="706",$B1234="708"),$N1234,IF($B1234="6231",1+$G1234,IF($B1234="6236",1+$H1234,IF(OR($B1234="621",$B1234="604",$B1234="6063"),$N1234*(1-$L1234),IF(OR($B1234="6411",$B1234="6413",$B1234="6414",$B1234="645"),(1+$J1234)*(1+$K1234),IF(OR($B1234="613",$B1234="615",$B1234="616",$B1234="6226",$B1234="625",$B1234="626",$B1234="6281"),(1+$I1234)*(1-$L1234)*(1+$M1234),IF(OR($B1234="6331",$B1234="63511",$B1234="6333"),(1+$I1234)*(1-$L1234),IF($B1234="6811",1+$I1234,1)))))))))</f>
        <v/>
      </c>
      <c r="P1234">
        <f>IF($A1234="","",IF($E1234=1,$F1234*$O1234,PNL!G1234))</f>
        <v/>
      </c>
      <c r="T1234">
        <f>IF($A1234="","",IF($E1234=1,IF(OR($B1234="7062",$B1234="706",$B1234="708"),$P1234,IF(AND(LEFT($B1234,1)="6",$B1234&lt;&gt;"6811"),-$P1234,0)),0))</f>
        <v/>
      </c>
    </row>
    <row r="1235">
      <c r="A1235">
        <f>IF(PNL!A1235="","",PNL!A1235)</f>
        <v/>
      </c>
      <c r="B1235">
        <f>IF(PNL!B1235="","",PNL!B1235)</f>
        <v/>
      </c>
      <c r="C1235">
        <f>IF(PNL!C1235="","",PNL!C1235)</f>
        <v/>
      </c>
      <c r="D1235">
        <f>IF(PNL!D1235="","",PNL!D1235)</f>
        <v/>
      </c>
      <c r="E1235">
        <f>IF($A1235="","",IF(AND($C1235="2027",OR($D1235="V01",$D1235="V02",$D1235="V03")),1,0))</f>
        <v/>
      </c>
      <c r="F1235">
        <f>IF($A1235="","",IF($E1235=1,SUMIFS(Comptabilité!$F$1:$F$675,Comptabilité!$A$1:$A$675,$A1235,Comptabilité!$B$1:$B$675,$B1235,Comptabilité!$C$1:$C$675,"2026"),0))</f>
        <v/>
      </c>
      <c r="G1235">
        <f>IF($A1235="","",IF($D1235="V01",Cadrage!$C$22,IF($D1235="V02",Cadrage!$D$22,Cadrage!$E$22)))</f>
        <v/>
      </c>
      <c r="H1235">
        <f>IF($A1235="","",IF($D1235="V01",Cadrage!$C$23,IF($D1235="V02",Cadrage!$D$23,Cadrage!$E$23)))</f>
        <v/>
      </c>
      <c r="I1235">
        <f>IF($A1235="","",IF($D1235="V01",Cadrage!$C$31,IF($D1235="V02",Cadrage!$D$31,Cadrage!$E$31)))</f>
        <v/>
      </c>
      <c r="J1235">
        <f>IF($A1235="","",IF($D1235="V01",Cadrage!$C$32,IF($D1235="V02",Cadrage!$D$32,Cadrage!$E$32)))</f>
        <v/>
      </c>
      <c r="K1235">
        <f>IF($A1235="","",IF($D1235="V01",Cadrage!$C$33,IF($D1235="V02",Cadrage!$D$33,Cadrage!$E$33)))</f>
        <v/>
      </c>
      <c r="L1235">
        <f>IF($A1235="","",IF($D1235="V01",Cadrage!$C$34,IF($D1235="V02",Cadrage!$D$34,Cadrage!$E$34)))</f>
        <v/>
      </c>
      <c r="M1235">
        <f>IF($A1235="","",IF($D1235="V01",Cadrage!$C$35,IF($D1235="V02",Cadrage!$D$35,Cadrage!$E$35)))</f>
        <v/>
      </c>
      <c r="N1235">
        <f>IF($A1235="","",IF($D1235="V01",$R$2,IF($D1235="V02",$R$3,$R$4)))</f>
        <v/>
      </c>
      <c r="O1235">
        <f>IF($A1235="","",IF(OR($B1235="7062",$B1235="706",$B1235="708"),$N1235,IF($B1235="6231",1+$G1235,IF($B1235="6236",1+$H1235,IF(OR($B1235="621",$B1235="604",$B1235="6063"),$N1235*(1-$L1235),IF(OR($B1235="6411",$B1235="6413",$B1235="6414",$B1235="645"),(1+$J1235)*(1+$K1235),IF(OR($B1235="613",$B1235="615",$B1235="616",$B1235="6226",$B1235="625",$B1235="626",$B1235="6281"),(1+$I1235)*(1-$L1235)*(1+$M1235),IF(OR($B1235="6331",$B1235="63511",$B1235="6333"),(1+$I1235)*(1-$L1235),IF($B1235="6811",1+$I1235,1)))))))))</f>
        <v/>
      </c>
      <c r="P1235">
        <f>IF($A1235="","",IF($E1235=1,$F1235*$O1235,PNL!G1235))</f>
        <v/>
      </c>
      <c r="T1235">
        <f>IF($A1235="","",IF($E1235=1,IF(OR($B1235="7062",$B1235="706",$B1235="708"),$P1235,IF(AND(LEFT($B1235,1)="6",$B1235&lt;&gt;"6811"),-$P1235,0)),0))</f>
        <v/>
      </c>
    </row>
    <row r="1236">
      <c r="A1236">
        <f>IF(PNL!A1236="","",PNL!A1236)</f>
        <v/>
      </c>
      <c r="B1236">
        <f>IF(PNL!B1236="","",PNL!B1236)</f>
        <v/>
      </c>
      <c r="C1236">
        <f>IF(PNL!C1236="","",PNL!C1236)</f>
        <v/>
      </c>
      <c r="D1236">
        <f>IF(PNL!D1236="","",PNL!D1236)</f>
        <v/>
      </c>
      <c r="E1236">
        <f>IF($A1236="","",IF(AND($C1236="2027",OR($D1236="V01",$D1236="V02",$D1236="V03")),1,0))</f>
        <v/>
      </c>
      <c r="F1236">
        <f>IF($A1236="","",IF($E1236=1,SUMIFS(Comptabilité!$F$1:$F$675,Comptabilité!$A$1:$A$675,$A1236,Comptabilité!$B$1:$B$675,$B1236,Comptabilité!$C$1:$C$675,"2026"),0))</f>
        <v/>
      </c>
      <c r="G1236">
        <f>IF($A1236="","",IF($D1236="V01",Cadrage!$C$22,IF($D1236="V02",Cadrage!$D$22,Cadrage!$E$22)))</f>
        <v/>
      </c>
      <c r="H1236">
        <f>IF($A1236="","",IF($D1236="V01",Cadrage!$C$23,IF($D1236="V02",Cadrage!$D$23,Cadrage!$E$23)))</f>
        <v/>
      </c>
      <c r="I1236">
        <f>IF($A1236="","",IF($D1236="V01",Cadrage!$C$31,IF($D1236="V02",Cadrage!$D$31,Cadrage!$E$31)))</f>
        <v/>
      </c>
      <c r="J1236">
        <f>IF($A1236="","",IF($D1236="V01",Cadrage!$C$32,IF($D1236="V02",Cadrage!$D$32,Cadrage!$E$32)))</f>
        <v/>
      </c>
      <c r="K1236">
        <f>IF($A1236="","",IF($D1236="V01",Cadrage!$C$33,IF($D1236="V02",Cadrage!$D$33,Cadrage!$E$33)))</f>
        <v/>
      </c>
      <c r="L1236">
        <f>IF($A1236="","",IF($D1236="V01",Cadrage!$C$34,IF($D1236="V02",Cadrage!$D$34,Cadrage!$E$34)))</f>
        <v/>
      </c>
      <c r="M1236">
        <f>IF($A1236="","",IF($D1236="V01",Cadrage!$C$35,IF($D1236="V02",Cadrage!$D$35,Cadrage!$E$35)))</f>
        <v/>
      </c>
      <c r="N1236">
        <f>IF($A1236="","",IF($D1236="V01",$R$2,IF($D1236="V02",$R$3,$R$4)))</f>
        <v/>
      </c>
      <c r="O1236">
        <f>IF($A1236="","",IF(OR($B1236="7062",$B1236="706",$B1236="708"),$N1236,IF($B1236="6231",1+$G1236,IF($B1236="6236",1+$H1236,IF(OR($B1236="621",$B1236="604",$B1236="6063"),$N1236*(1-$L1236),IF(OR($B1236="6411",$B1236="6413",$B1236="6414",$B1236="645"),(1+$J1236)*(1+$K1236),IF(OR($B1236="613",$B1236="615",$B1236="616",$B1236="6226",$B1236="625",$B1236="626",$B1236="6281"),(1+$I1236)*(1-$L1236)*(1+$M1236),IF(OR($B1236="6331",$B1236="63511",$B1236="6333"),(1+$I1236)*(1-$L1236),IF($B1236="6811",1+$I1236,1)))))))))</f>
        <v/>
      </c>
      <c r="P1236">
        <f>IF($A1236="","",IF($E1236=1,$F1236*$O1236,PNL!G1236))</f>
        <v/>
      </c>
      <c r="T1236">
        <f>IF($A1236="","",IF($E1236=1,IF(OR($B1236="7062",$B1236="706",$B1236="708"),$P1236,IF(AND(LEFT($B1236,1)="6",$B1236&lt;&gt;"6811"),-$P1236,0)),0))</f>
        <v/>
      </c>
    </row>
    <row r="1237">
      <c r="A1237">
        <f>IF(PNL!A1237="","",PNL!A1237)</f>
        <v/>
      </c>
      <c r="B1237">
        <f>IF(PNL!B1237="","",PNL!B1237)</f>
        <v/>
      </c>
      <c r="C1237">
        <f>IF(PNL!C1237="","",PNL!C1237)</f>
        <v/>
      </c>
      <c r="D1237">
        <f>IF(PNL!D1237="","",PNL!D1237)</f>
        <v/>
      </c>
      <c r="E1237">
        <f>IF($A1237="","",IF(AND($C1237="2027",OR($D1237="V01",$D1237="V02",$D1237="V03")),1,0))</f>
        <v/>
      </c>
      <c r="F1237">
        <f>IF($A1237="","",IF($E1237=1,SUMIFS(Comptabilité!$F$1:$F$675,Comptabilité!$A$1:$A$675,$A1237,Comptabilité!$B$1:$B$675,$B1237,Comptabilité!$C$1:$C$675,"2026"),0))</f>
        <v/>
      </c>
      <c r="G1237">
        <f>IF($A1237="","",IF($D1237="V01",Cadrage!$C$22,IF($D1237="V02",Cadrage!$D$22,Cadrage!$E$22)))</f>
        <v/>
      </c>
      <c r="H1237">
        <f>IF($A1237="","",IF($D1237="V01",Cadrage!$C$23,IF($D1237="V02",Cadrage!$D$23,Cadrage!$E$23)))</f>
        <v/>
      </c>
      <c r="I1237">
        <f>IF($A1237="","",IF($D1237="V01",Cadrage!$C$31,IF($D1237="V02",Cadrage!$D$31,Cadrage!$E$31)))</f>
        <v/>
      </c>
      <c r="J1237">
        <f>IF($A1237="","",IF($D1237="V01",Cadrage!$C$32,IF($D1237="V02",Cadrage!$D$32,Cadrage!$E$32)))</f>
        <v/>
      </c>
      <c r="K1237">
        <f>IF($A1237="","",IF($D1237="V01",Cadrage!$C$33,IF($D1237="V02",Cadrage!$D$33,Cadrage!$E$33)))</f>
        <v/>
      </c>
      <c r="L1237">
        <f>IF($A1237="","",IF($D1237="V01",Cadrage!$C$34,IF($D1237="V02",Cadrage!$D$34,Cadrage!$E$34)))</f>
        <v/>
      </c>
      <c r="M1237">
        <f>IF($A1237="","",IF($D1237="V01",Cadrage!$C$35,IF($D1237="V02",Cadrage!$D$35,Cadrage!$E$35)))</f>
        <v/>
      </c>
      <c r="N1237">
        <f>IF($A1237="","",IF($D1237="V01",$R$2,IF($D1237="V02",$R$3,$R$4)))</f>
        <v/>
      </c>
      <c r="O1237">
        <f>IF($A1237="","",IF(OR($B1237="7062",$B1237="706",$B1237="708"),$N1237,IF($B1237="6231",1+$G1237,IF($B1237="6236",1+$H1237,IF(OR($B1237="621",$B1237="604",$B1237="6063"),$N1237*(1-$L1237),IF(OR($B1237="6411",$B1237="6413",$B1237="6414",$B1237="645"),(1+$J1237)*(1+$K1237),IF(OR($B1237="613",$B1237="615",$B1237="616",$B1237="6226",$B1237="625",$B1237="626",$B1237="6281"),(1+$I1237)*(1-$L1237)*(1+$M1237),IF(OR($B1237="6331",$B1237="63511",$B1237="6333"),(1+$I1237)*(1-$L1237),IF($B1237="6811",1+$I1237,1)))))))))</f>
        <v/>
      </c>
      <c r="P1237">
        <f>IF($A1237="","",IF($E1237=1,$F1237*$O1237,PNL!G1237))</f>
        <v/>
      </c>
      <c r="T1237">
        <f>IF($A1237="","",IF($E1237=1,IF(OR($B1237="7062",$B1237="706",$B1237="708"),$P1237,IF(AND(LEFT($B1237,1)="6",$B1237&lt;&gt;"6811"),-$P1237,0)),0))</f>
        <v/>
      </c>
    </row>
    <row r="1238">
      <c r="A1238">
        <f>IF(PNL!A1238="","",PNL!A1238)</f>
        <v/>
      </c>
      <c r="B1238">
        <f>IF(PNL!B1238="","",PNL!B1238)</f>
        <v/>
      </c>
      <c r="C1238">
        <f>IF(PNL!C1238="","",PNL!C1238)</f>
        <v/>
      </c>
      <c r="D1238">
        <f>IF(PNL!D1238="","",PNL!D1238)</f>
        <v/>
      </c>
      <c r="E1238">
        <f>IF($A1238="","",IF(AND($C1238="2027",OR($D1238="V01",$D1238="V02",$D1238="V03")),1,0))</f>
        <v/>
      </c>
      <c r="F1238">
        <f>IF($A1238="","",IF($E1238=1,SUMIFS(Comptabilité!$F$1:$F$675,Comptabilité!$A$1:$A$675,$A1238,Comptabilité!$B$1:$B$675,$B1238,Comptabilité!$C$1:$C$675,"2026"),0))</f>
        <v/>
      </c>
      <c r="G1238">
        <f>IF($A1238="","",IF($D1238="V01",Cadrage!$C$22,IF($D1238="V02",Cadrage!$D$22,Cadrage!$E$22)))</f>
        <v/>
      </c>
      <c r="H1238">
        <f>IF($A1238="","",IF($D1238="V01",Cadrage!$C$23,IF($D1238="V02",Cadrage!$D$23,Cadrage!$E$23)))</f>
        <v/>
      </c>
      <c r="I1238">
        <f>IF($A1238="","",IF($D1238="V01",Cadrage!$C$31,IF($D1238="V02",Cadrage!$D$31,Cadrage!$E$31)))</f>
        <v/>
      </c>
      <c r="J1238">
        <f>IF($A1238="","",IF($D1238="V01",Cadrage!$C$32,IF($D1238="V02",Cadrage!$D$32,Cadrage!$E$32)))</f>
        <v/>
      </c>
      <c r="K1238">
        <f>IF($A1238="","",IF($D1238="V01",Cadrage!$C$33,IF($D1238="V02",Cadrage!$D$33,Cadrage!$E$33)))</f>
        <v/>
      </c>
      <c r="L1238">
        <f>IF($A1238="","",IF($D1238="V01",Cadrage!$C$34,IF($D1238="V02",Cadrage!$D$34,Cadrage!$E$34)))</f>
        <v/>
      </c>
      <c r="M1238">
        <f>IF($A1238="","",IF($D1238="V01",Cadrage!$C$35,IF($D1238="V02",Cadrage!$D$35,Cadrage!$E$35)))</f>
        <v/>
      </c>
      <c r="N1238">
        <f>IF($A1238="","",IF($D1238="V01",$R$2,IF($D1238="V02",$R$3,$R$4)))</f>
        <v/>
      </c>
      <c r="O1238">
        <f>IF($A1238="","",IF(OR($B1238="7062",$B1238="706",$B1238="708"),$N1238,IF($B1238="6231",1+$G1238,IF($B1238="6236",1+$H1238,IF(OR($B1238="621",$B1238="604",$B1238="6063"),$N1238*(1-$L1238),IF(OR($B1238="6411",$B1238="6413",$B1238="6414",$B1238="645"),(1+$J1238)*(1+$K1238),IF(OR($B1238="613",$B1238="615",$B1238="616",$B1238="6226",$B1238="625",$B1238="626",$B1238="6281"),(1+$I1238)*(1-$L1238)*(1+$M1238),IF(OR($B1238="6331",$B1238="63511",$B1238="6333"),(1+$I1238)*(1-$L1238),IF($B1238="6811",1+$I1238,1)))))))))</f>
        <v/>
      </c>
      <c r="P1238">
        <f>IF($A1238="","",IF($E1238=1,$F1238*$O1238,PNL!G1238))</f>
        <v/>
      </c>
      <c r="T1238">
        <f>IF($A1238="","",IF($E1238=1,IF(OR($B1238="7062",$B1238="706",$B1238="708"),$P1238,IF(AND(LEFT($B1238,1)="6",$B1238&lt;&gt;"6811"),-$P1238,0)),0))</f>
        <v/>
      </c>
    </row>
    <row r="1239">
      <c r="A1239">
        <f>IF(PNL!A1239="","",PNL!A1239)</f>
        <v/>
      </c>
      <c r="B1239">
        <f>IF(PNL!B1239="","",PNL!B1239)</f>
        <v/>
      </c>
      <c r="C1239">
        <f>IF(PNL!C1239="","",PNL!C1239)</f>
        <v/>
      </c>
      <c r="D1239">
        <f>IF(PNL!D1239="","",PNL!D1239)</f>
        <v/>
      </c>
      <c r="E1239">
        <f>IF($A1239="","",IF(AND($C1239="2027",OR($D1239="V01",$D1239="V02",$D1239="V03")),1,0))</f>
        <v/>
      </c>
      <c r="F1239">
        <f>IF($A1239="","",IF($E1239=1,SUMIFS(Comptabilité!$F$1:$F$675,Comptabilité!$A$1:$A$675,$A1239,Comptabilité!$B$1:$B$675,$B1239,Comptabilité!$C$1:$C$675,"2026"),0))</f>
        <v/>
      </c>
      <c r="G1239">
        <f>IF($A1239="","",IF($D1239="V01",Cadrage!$C$22,IF($D1239="V02",Cadrage!$D$22,Cadrage!$E$22)))</f>
        <v/>
      </c>
      <c r="H1239">
        <f>IF($A1239="","",IF($D1239="V01",Cadrage!$C$23,IF($D1239="V02",Cadrage!$D$23,Cadrage!$E$23)))</f>
        <v/>
      </c>
      <c r="I1239">
        <f>IF($A1239="","",IF($D1239="V01",Cadrage!$C$31,IF($D1239="V02",Cadrage!$D$31,Cadrage!$E$31)))</f>
        <v/>
      </c>
      <c r="J1239">
        <f>IF($A1239="","",IF($D1239="V01",Cadrage!$C$32,IF($D1239="V02",Cadrage!$D$32,Cadrage!$E$32)))</f>
        <v/>
      </c>
      <c r="K1239">
        <f>IF($A1239="","",IF($D1239="V01",Cadrage!$C$33,IF($D1239="V02",Cadrage!$D$33,Cadrage!$E$33)))</f>
        <v/>
      </c>
      <c r="L1239">
        <f>IF($A1239="","",IF($D1239="V01",Cadrage!$C$34,IF($D1239="V02",Cadrage!$D$34,Cadrage!$E$34)))</f>
        <v/>
      </c>
      <c r="M1239">
        <f>IF($A1239="","",IF($D1239="V01",Cadrage!$C$35,IF($D1239="V02",Cadrage!$D$35,Cadrage!$E$35)))</f>
        <v/>
      </c>
      <c r="N1239">
        <f>IF($A1239="","",IF($D1239="V01",$R$2,IF($D1239="V02",$R$3,$R$4)))</f>
        <v/>
      </c>
      <c r="O1239">
        <f>IF($A1239="","",IF(OR($B1239="7062",$B1239="706",$B1239="708"),$N1239,IF($B1239="6231",1+$G1239,IF($B1239="6236",1+$H1239,IF(OR($B1239="621",$B1239="604",$B1239="6063"),$N1239*(1-$L1239),IF(OR($B1239="6411",$B1239="6413",$B1239="6414",$B1239="645"),(1+$J1239)*(1+$K1239),IF(OR($B1239="613",$B1239="615",$B1239="616",$B1239="6226",$B1239="625",$B1239="626",$B1239="6281"),(1+$I1239)*(1-$L1239)*(1+$M1239),IF(OR($B1239="6331",$B1239="63511",$B1239="6333"),(1+$I1239)*(1-$L1239),IF($B1239="6811",1+$I1239,1)))))))))</f>
        <v/>
      </c>
      <c r="P1239">
        <f>IF($A1239="","",IF($E1239=1,$F1239*$O1239,PNL!G1239))</f>
        <v/>
      </c>
      <c r="T1239">
        <f>IF($A1239="","",IF($E1239=1,IF(OR($B1239="7062",$B1239="706",$B1239="708"),$P1239,IF(AND(LEFT($B1239,1)="6",$B1239&lt;&gt;"6811"),-$P1239,0)),0))</f>
        <v/>
      </c>
    </row>
    <row r="1240">
      <c r="A1240">
        <f>IF(PNL!A1240="","",PNL!A1240)</f>
        <v/>
      </c>
      <c r="B1240">
        <f>IF(PNL!B1240="","",PNL!B1240)</f>
        <v/>
      </c>
      <c r="C1240">
        <f>IF(PNL!C1240="","",PNL!C1240)</f>
        <v/>
      </c>
      <c r="D1240">
        <f>IF(PNL!D1240="","",PNL!D1240)</f>
        <v/>
      </c>
      <c r="E1240">
        <f>IF($A1240="","",IF(AND($C1240="2027",OR($D1240="V01",$D1240="V02",$D1240="V03")),1,0))</f>
        <v/>
      </c>
      <c r="F1240">
        <f>IF($A1240="","",IF($E1240=1,SUMIFS(Comptabilité!$F$1:$F$675,Comptabilité!$A$1:$A$675,$A1240,Comptabilité!$B$1:$B$675,$B1240,Comptabilité!$C$1:$C$675,"2026"),0))</f>
        <v/>
      </c>
      <c r="G1240">
        <f>IF($A1240="","",IF($D1240="V01",Cadrage!$C$22,IF($D1240="V02",Cadrage!$D$22,Cadrage!$E$22)))</f>
        <v/>
      </c>
      <c r="H1240">
        <f>IF($A1240="","",IF($D1240="V01",Cadrage!$C$23,IF($D1240="V02",Cadrage!$D$23,Cadrage!$E$23)))</f>
        <v/>
      </c>
      <c r="I1240">
        <f>IF($A1240="","",IF($D1240="V01",Cadrage!$C$31,IF($D1240="V02",Cadrage!$D$31,Cadrage!$E$31)))</f>
        <v/>
      </c>
      <c r="J1240">
        <f>IF($A1240="","",IF($D1240="V01",Cadrage!$C$32,IF($D1240="V02",Cadrage!$D$32,Cadrage!$E$32)))</f>
        <v/>
      </c>
      <c r="K1240">
        <f>IF($A1240="","",IF($D1240="V01",Cadrage!$C$33,IF($D1240="V02",Cadrage!$D$33,Cadrage!$E$33)))</f>
        <v/>
      </c>
      <c r="L1240">
        <f>IF($A1240="","",IF($D1240="V01",Cadrage!$C$34,IF($D1240="V02",Cadrage!$D$34,Cadrage!$E$34)))</f>
        <v/>
      </c>
      <c r="M1240">
        <f>IF($A1240="","",IF($D1240="V01",Cadrage!$C$35,IF($D1240="V02",Cadrage!$D$35,Cadrage!$E$35)))</f>
        <v/>
      </c>
      <c r="N1240">
        <f>IF($A1240="","",IF($D1240="V01",$R$2,IF($D1240="V02",$R$3,$R$4)))</f>
        <v/>
      </c>
      <c r="O1240">
        <f>IF($A1240="","",IF(OR($B1240="7062",$B1240="706",$B1240="708"),$N1240,IF($B1240="6231",1+$G1240,IF($B1240="6236",1+$H1240,IF(OR($B1240="621",$B1240="604",$B1240="6063"),$N1240*(1-$L1240),IF(OR($B1240="6411",$B1240="6413",$B1240="6414",$B1240="645"),(1+$J1240)*(1+$K1240),IF(OR($B1240="613",$B1240="615",$B1240="616",$B1240="6226",$B1240="625",$B1240="626",$B1240="6281"),(1+$I1240)*(1-$L1240)*(1+$M1240),IF(OR($B1240="6331",$B1240="63511",$B1240="6333"),(1+$I1240)*(1-$L1240),IF($B1240="6811",1+$I1240,1)))))))))</f>
        <v/>
      </c>
      <c r="P1240">
        <f>IF($A1240="","",IF($E1240=1,$F1240*$O1240,PNL!G1240))</f>
        <v/>
      </c>
      <c r="T1240">
        <f>IF($A1240="","",IF($E1240=1,IF(OR($B1240="7062",$B1240="706",$B1240="708"),$P1240,IF(AND(LEFT($B1240,1)="6",$B1240&lt;&gt;"6811"),-$P1240,0)),0))</f>
        <v/>
      </c>
    </row>
    <row r="1241">
      <c r="A1241">
        <f>IF(PNL!A1241="","",PNL!A1241)</f>
        <v/>
      </c>
      <c r="B1241">
        <f>IF(PNL!B1241="","",PNL!B1241)</f>
        <v/>
      </c>
      <c r="C1241">
        <f>IF(PNL!C1241="","",PNL!C1241)</f>
        <v/>
      </c>
      <c r="D1241">
        <f>IF(PNL!D1241="","",PNL!D1241)</f>
        <v/>
      </c>
      <c r="E1241">
        <f>IF($A1241="","",IF(AND($C1241="2027",OR($D1241="V01",$D1241="V02",$D1241="V03")),1,0))</f>
        <v/>
      </c>
      <c r="F1241">
        <f>IF($A1241="","",IF($E1241=1,SUMIFS(Comptabilité!$F$1:$F$675,Comptabilité!$A$1:$A$675,$A1241,Comptabilité!$B$1:$B$675,$B1241,Comptabilité!$C$1:$C$675,"2026"),0))</f>
        <v/>
      </c>
      <c r="G1241">
        <f>IF($A1241="","",IF($D1241="V01",Cadrage!$C$22,IF($D1241="V02",Cadrage!$D$22,Cadrage!$E$22)))</f>
        <v/>
      </c>
      <c r="H1241">
        <f>IF($A1241="","",IF($D1241="V01",Cadrage!$C$23,IF($D1241="V02",Cadrage!$D$23,Cadrage!$E$23)))</f>
        <v/>
      </c>
      <c r="I1241">
        <f>IF($A1241="","",IF($D1241="V01",Cadrage!$C$31,IF($D1241="V02",Cadrage!$D$31,Cadrage!$E$31)))</f>
        <v/>
      </c>
      <c r="J1241">
        <f>IF($A1241="","",IF($D1241="V01",Cadrage!$C$32,IF($D1241="V02",Cadrage!$D$32,Cadrage!$E$32)))</f>
        <v/>
      </c>
      <c r="K1241">
        <f>IF($A1241="","",IF($D1241="V01",Cadrage!$C$33,IF($D1241="V02",Cadrage!$D$33,Cadrage!$E$33)))</f>
        <v/>
      </c>
      <c r="L1241">
        <f>IF($A1241="","",IF($D1241="V01",Cadrage!$C$34,IF($D1241="V02",Cadrage!$D$34,Cadrage!$E$34)))</f>
        <v/>
      </c>
      <c r="M1241">
        <f>IF($A1241="","",IF($D1241="V01",Cadrage!$C$35,IF($D1241="V02",Cadrage!$D$35,Cadrage!$E$35)))</f>
        <v/>
      </c>
      <c r="N1241">
        <f>IF($A1241="","",IF($D1241="V01",$R$2,IF($D1241="V02",$R$3,$R$4)))</f>
        <v/>
      </c>
      <c r="O1241">
        <f>IF($A1241="","",IF(OR($B1241="7062",$B1241="706",$B1241="708"),$N1241,IF($B1241="6231",1+$G1241,IF($B1241="6236",1+$H1241,IF(OR($B1241="621",$B1241="604",$B1241="6063"),$N1241*(1-$L1241),IF(OR($B1241="6411",$B1241="6413",$B1241="6414",$B1241="645"),(1+$J1241)*(1+$K1241),IF(OR($B1241="613",$B1241="615",$B1241="616",$B1241="6226",$B1241="625",$B1241="626",$B1241="6281"),(1+$I1241)*(1-$L1241)*(1+$M1241),IF(OR($B1241="6331",$B1241="63511",$B1241="6333"),(1+$I1241)*(1-$L1241),IF($B1241="6811",1+$I1241,1)))))))))</f>
        <v/>
      </c>
      <c r="P1241">
        <f>IF($A1241="","",IF($E1241=1,$F1241*$O1241,PNL!G1241))</f>
        <v/>
      </c>
      <c r="T1241">
        <f>IF($A1241="","",IF($E1241=1,IF(OR($B1241="7062",$B1241="706",$B1241="708"),$P1241,IF(AND(LEFT($B1241,1)="6",$B1241&lt;&gt;"6811"),-$P1241,0)),0))</f>
        <v/>
      </c>
    </row>
    <row r="1242">
      <c r="A1242">
        <f>IF(PNL!A1242="","",PNL!A1242)</f>
        <v/>
      </c>
      <c r="B1242">
        <f>IF(PNL!B1242="","",PNL!B1242)</f>
        <v/>
      </c>
      <c r="C1242">
        <f>IF(PNL!C1242="","",PNL!C1242)</f>
        <v/>
      </c>
      <c r="D1242">
        <f>IF(PNL!D1242="","",PNL!D1242)</f>
        <v/>
      </c>
      <c r="E1242">
        <f>IF($A1242="","",IF(AND($C1242="2027",OR($D1242="V01",$D1242="V02",$D1242="V03")),1,0))</f>
        <v/>
      </c>
      <c r="F1242">
        <f>IF($A1242="","",IF($E1242=1,SUMIFS(Comptabilité!$F$1:$F$675,Comptabilité!$A$1:$A$675,$A1242,Comptabilité!$B$1:$B$675,$B1242,Comptabilité!$C$1:$C$675,"2026"),0))</f>
        <v/>
      </c>
      <c r="G1242">
        <f>IF($A1242="","",IF($D1242="V01",Cadrage!$C$22,IF($D1242="V02",Cadrage!$D$22,Cadrage!$E$22)))</f>
        <v/>
      </c>
      <c r="H1242">
        <f>IF($A1242="","",IF($D1242="V01",Cadrage!$C$23,IF($D1242="V02",Cadrage!$D$23,Cadrage!$E$23)))</f>
        <v/>
      </c>
      <c r="I1242">
        <f>IF($A1242="","",IF($D1242="V01",Cadrage!$C$31,IF($D1242="V02",Cadrage!$D$31,Cadrage!$E$31)))</f>
        <v/>
      </c>
      <c r="J1242">
        <f>IF($A1242="","",IF($D1242="V01",Cadrage!$C$32,IF($D1242="V02",Cadrage!$D$32,Cadrage!$E$32)))</f>
        <v/>
      </c>
      <c r="K1242">
        <f>IF($A1242="","",IF($D1242="V01",Cadrage!$C$33,IF($D1242="V02",Cadrage!$D$33,Cadrage!$E$33)))</f>
        <v/>
      </c>
      <c r="L1242">
        <f>IF($A1242="","",IF($D1242="V01",Cadrage!$C$34,IF($D1242="V02",Cadrage!$D$34,Cadrage!$E$34)))</f>
        <v/>
      </c>
      <c r="M1242">
        <f>IF($A1242="","",IF($D1242="V01",Cadrage!$C$35,IF($D1242="V02",Cadrage!$D$35,Cadrage!$E$35)))</f>
        <v/>
      </c>
      <c r="N1242">
        <f>IF($A1242="","",IF($D1242="V01",$R$2,IF($D1242="V02",$R$3,$R$4)))</f>
        <v/>
      </c>
      <c r="O1242">
        <f>IF($A1242="","",IF(OR($B1242="7062",$B1242="706",$B1242="708"),$N1242,IF($B1242="6231",1+$G1242,IF($B1242="6236",1+$H1242,IF(OR($B1242="621",$B1242="604",$B1242="6063"),$N1242*(1-$L1242),IF(OR($B1242="6411",$B1242="6413",$B1242="6414",$B1242="645"),(1+$J1242)*(1+$K1242),IF(OR($B1242="613",$B1242="615",$B1242="616",$B1242="6226",$B1242="625",$B1242="626",$B1242="6281"),(1+$I1242)*(1-$L1242)*(1+$M1242),IF(OR($B1242="6331",$B1242="63511",$B1242="6333"),(1+$I1242)*(1-$L1242),IF($B1242="6811",1+$I1242,1)))))))))</f>
        <v/>
      </c>
      <c r="P1242">
        <f>IF($A1242="","",IF($E1242=1,$F1242*$O1242,PNL!G1242))</f>
        <v/>
      </c>
      <c r="T1242">
        <f>IF($A1242="","",IF($E1242=1,IF(OR($B1242="7062",$B1242="706",$B1242="708"),$P1242,IF(AND(LEFT($B1242,1)="6",$B1242&lt;&gt;"6811"),-$P1242,0)),0))</f>
        <v/>
      </c>
    </row>
    <row r="1243">
      <c r="A1243">
        <f>IF(PNL!A1243="","",PNL!A1243)</f>
        <v/>
      </c>
      <c r="B1243">
        <f>IF(PNL!B1243="","",PNL!B1243)</f>
        <v/>
      </c>
      <c r="C1243">
        <f>IF(PNL!C1243="","",PNL!C1243)</f>
        <v/>
      </c>
      <c r="D1243">
        <f>IF(PNL!D1243="","",PNL!D1243)</f>
        <v/>
      </c>
      <c r="E1243">
        <f>IF($A1243="","",IF(AND($C1243="2027",OR($D1243="V01",$D1243="V02",$D1243="V03")),1,0))</f>
        <v/>
      </c>
      <c r="F1243">
        <f>IF($A1243="","",IF($E1243=1,SUMIFS(Comptabilité!$F$1:$F$675,Comptabilité!$A$1:$A$675,$A1243,Comptabilité!$B$1:$B$675,$B1243,Comptabilité!$C$1:$C$675,"2026"),0))</f>
        <v/>
      </c>
      <c r="G1243">
        <f>IF($A1243="","",IF($D1243="V01",Cadrage!$C$22,IF($D1243="V02",Cadrage!$D$22,Cadrage!$E$22)))</f>
        <v/>
      </c>
      <c r="H1243">
        <f>IF($A1243="","",IF($D1243="V01",Cadrage!$C$23,IF($D1243="V02",Cadrage!$D$23,Cadrage!$E$23)))</f>
        <v/>
      </c>
      <c r="I1243">
        <f>IF($A1243="","",IF($D1243="V01",Cadrage!$C$31,IF($D1243="V02",Cadrage!$D$31,Cadrage!$E$31)))</f>
        <v/>
      </c>
      <c r="J1243">
        <f>IF($A1243="","",IF($D1243="V01",Cadrage!$C$32,IF($D1243="V02",Cadrage!$D$32,Cadrage!$E$32)))</f>
        <v/>
      </c>
      <c r="K1243">
        <f>IF($A1243="","",IF($D1243="V01",Cadrage!$C$33,IF($D1243="V02",Cadrage!$D$33,Cadrage!$E$33)))</f>
        <v/>
      </c>
      <c r="L1243">
        <f>IF($A1243="","",IF($D1243="V01",Cadrage!$C$34,IF($D1243="V02",Cadrage!$D$34,Cadrage!$E$34)))</f>
        <v/>
      </c>
      <c r="M1243">
        <f>IF($A1243="","",IF($D1243="V01",Cadrage!$C$35,IF($D1243="V02",Cadrage!$D$35,Cadrage!$E$35)))</f>
        <v/>
      </c>
      <c r="N1243">
        <f>IF($A1243="","",IF($D1243="V01",$R$2,IF($D1243="V02",$R$3,$R$4)))</f>
        <v/>
      </c>
      <c r="O1243">
        <f>IF($A1243="","",IF(OR($B1243="7062",$B1243="706",$B1243="708"),$N1243,IF($B1243="6231",1+$G1243,IF($B1243="6236",1+$H1243,IF(OR($B1243="621",$B1243="604",$B1243="6063"),$N1243*(1-$L1243),IF(OR($B1243="6411",$B1243="6413",$B1243="6414",$B1243="645"),(1+$J1243)*(1+$K1243),IF(OR($B1243="613",$B1243="615",$B1243="616",$B1243="6226",$B1243="625",$B1243="626",$B1243="6281"),(1+$I1243)*(1-$L1243)*(1+$M1243),IF(OR($B1243="6331",$B1243="63511",$B1243="6333"),(1+$I1243)*(1-$L1243),IF($B1243="6811",1+$I1243,1)))))))))</f>
        <v/>
      </c>
      <c r="P1243">
        <f>IF($A1243="","",IF($E1243=1,$F1243*$O1243,PNL!G1243))</f>
        <v/>
      </c>
      <c r="T1243">
        <f>IF($A1243="","",IF($E1243=1,IF(OR($B1243="7062",$B1243="706",$B1243="708"),$P1243,IF(AND(LEFT($B1243,1)="6",$B1243&lt;&gt;"6811"),-$P1243,0)),0))</f>
        <v/>
      </c>
    </row>
    <row r="1244">
      <c r="A1244">
        <f>IF(PNL!A1244="","",PNL!A1244)</f>
        <v/>
      </c>
      <c r="B1244">
        <f>IF(PNL!B1244="","",PNL!B1244)</f>
        <v/>
      </c>
      <c r="C1244">
        <f>IF(PNL!C1244="","",PNL!C1244)</f>
        <v/>
      </c>
      <c r="D1244">
        <f>IF(PNL!D1244="","",PNL!D1244)</f>
        <v/>
      </c>
      <c r="E1244">
        <f>IF($A1244="","",IF(AND($C1244="2027",OR($D1244="V01",$D1244="V02",$D1244="V03")),1,0))</f>
        <v/>
      </c>
      <c r="F1244">
        <f>IF($A1244="","",IF($E1244=1,SUMIFS(Comptabilité!$F$1:$F$675,Comptabilité!$A$1:$A$675,$A1244,Comptabilité!$B$1:$B$675,$B1244,Comptabilité!$C$1:$C$675,"2026"),0))</f>
        <v/>
      </c>
      <c r="G1244">
        <f>IF($A1244="","",IF($D1244="V01",Cadrage!$C$22,IF($D1244="V02",Cadrage!$D$22,Cadrage!$E$22)))</f>
        <v/>
      </c>
      <c r="H1244">
        <f>IF($A1244="","",IF($D1244="V01",Cadrage!$C$23,IF($D1244="V02",Cadrage!$D$23,Cadrage!$E$23)))</f>
        <v/>
      </c>
      <c r="I1244">
        <f>IF($A1244="","",IF($D1244="V01",Cadrage!$C$31,IF($D1244="V02",Cadrage!$D$31,Cadrage!$E$31)))</f>
        <v/>
      </c>
      <c r="J1244">
        <f>IF($A1244="","",IF($D1244="V01",Cadrage!$C$32,IF($D1244="V02",Cadrage!$D$32,Cadrage!$E$32)))</f>
        <v/>
      </c>
      <c r="K1244">
        <f>IF($A1244="","",IF($D1244="V01",Cadrage!$C$33,IF($D1244="V02",Cadrage!$D$33,Cadrage!$E$33)))</f>
        <v/>
      </c>
      <c r="L1244">
        <f>IF($A1244="","",IF($D1244="V01",Cadrage!$C$34,IF($D1244="V02",Cadrage!$D$34,Cadrage!$E$34)))</f>
        <v/>
      </c>
      <c r="M1244">
        <f>IF($A1244="","",IF($D1244="V01",Cadrage!$C$35,IF($D1244="V02",Cadrage!$D$35,Cadrage!$E$35)))</f>
        <v/>
      </c>
      <c r="N1244">
        <f>IF($A1244="","",IF($D1244="V01",$R$2,IF($D1244="V02",$R$3,$R$4)))</f>
        <v/>
      </c>
      <c r="O1244">
        <f>IF($A1244="","",IF(OR($B1244="7062",$B1244="706",$B1244="708"),$N1244,IF($B1244="6231",1+$G1244,IF($B1244="6236",1+$H1244,IF(OR($B1244="621",$B1244="604",$B1244="6063"),$N1244*(1-$L1244),IF(OR($B1244="6411",$B1244="6413",$B1244="6414",$B1244="645"),(1+$J1244)*(1+$K1244),IF(OR($B1244="613",$B1244="615",$B1244="616",$B1244="6226",$B1244="625",$B1244="626",$B1244="6281"),(1+$I1244)*(1-$L1244)*(1+$M1244),IF(OR($B1244="6331",$B1244="63511",$B1244="6333"),(1+$I1244)*(1-$L1244),IF($B1244="6811",1+$I1244,1)))))))))</f>
        <v/>
      </c>
      <c r="P1244">
        <f>IF($A1244="","",IF($E1244=1,$F1244*$O1244,PNL!G1244))</f>
        <v/>
      </c>
      <c r="T1244">
        <f>IF($A1244="","",IF($E1244=1,IF(OR($B1244="7062",$B1244="706",$B1244="708"),$P1244,IF(AND(LEFT($B1244,1)="6",$B1244&lt;&gt;"6811"),-$P1244,0)),0))</f>
        <v/>
      </c>
    </row>
    <row r="1245">
      <c r="A1245">
        <f>IF(PNL!A1245="","",PNL!A1245)</f>
        <v/>
      </c>
      <c r="B1245">
        <f>IF(PNL!B1245="","",PNL!B1245)</f>
        <v/>
      </c>
      <c r="C1245">
        <f>IF(PNL!C1245="","",PNL!C1245)</f>
        <v/>
      </c>
      <c r="D1245">
        <f>IF(PNL!D1245="","",PNL!D1245)</f>
        <v/>
      </c>
      <c r="E1245">
        <f>IF($A1245="","",IF(AND($C1245="2027",OR($D1245="V01",$D1245="V02",$D1245="V03")),1,0))</f>
        <v/>
      </c>
      <c r="F1245">
        <f>IF($A1245="","",IF($E1245=1,SUMIFS(Comptabilité!$F$1:$F$675,Comptabilité!$A$1:$A$675,$A1245,Comptabilité!$B$1:$B$675,$B1245,Comptabilité!$C$1:$C$675,"2026"),0))</f>
        <v/>
      </c>
      <c r="G1245">
        <f>IF($A1245="","",IF($D1245="V01",Cadrage!$C$22,IF($D1245="V02",Cadrage!$D$22,Cadrage!$E$22)))</f>
        <v/>
      </c>
      <c r="H1245">
        <f>IF($A1245="","",IF($D1245="V01",Cadrage!$C$23,IF($D1245="V02",Cadrage!$D$23,Cadrage!$E$23)))</f>
        <v/>
      </c>
      <c r="I1245">
        <f>IF($A1245="","",IF($D1245="V01",Cadrage!$C$31,IF($D1245="V02",Cadrage!$D$31,Cadrage!$E$31)))</f>
        <v/>
      </c>
      <c r="J1245">
        <f>IF($A1245="","",IF($D1245="V01",Cadrage!$C$32,IF($D1245="V02",Cadrage!$D$32,Cadrage!$E$32)))</f>
        <v/>
      </c>
      <c r="K1245">
        <f>IF($A1245="","",IF($D1245="V01",Cadrage!$C$33,IF($D1245="V02",Cadrage!$D$33,Cadrage!$E$33)))</f>
        <v/>
      </c>
      <c r="L1245">
        <f>IF($A1245="","",IF($D1245="V01",Cadrage!$C$34,IF($D1245="V02",Cadrage!$D$34,Cadrage!$E$34)))</f>
        <v/>
      </c>
      <c r="M1245">
        <f>IF($A1245="","",IF($D1245="V01",Cadrage!$C$35,IF($D1245="V02",Cadrage!$D$35,Cadrage!$E$35)))</f>
        <v/>
      </c>
      <c r="N1245">
        <f>IF($A1245="","",IF($D1245="V01",$R$2,IF($D1245="V02",$R$3,$R$4)))</f>
        <v/>
      </c>
      <c r="O1245">
        <f>IF($A1245="","",IF(OR($B1245="7062",$B1245="706",$B1245="708"),$N1245,IF($B1245="6231",1+$G1245,IF($B1245="6236",1+$H1245,IF(OR($B1245="621",$B1245="604",$B1245="6063"),$N1245*(1-$L1245),IF(OR($B1245="6411",$B1245="6413",$B1245="6414",$B1245="645"),(1+$J1245)*(1+$K1245),IF(OR($B1245="613",$B1245="615",$B1245="616",$B1245="6226",$B1245="625",$B1245="626",$B1245="6281"),(1+$I1245)*(1-$L1245)*(1+$M1245),IF(OR($B1245="6331",$B1245="63511",$B1245="6333"),(1+$I1245)*(1-$L1245),IF($B1245="6811",1+$I1245,1)))))))))</f>
        <v/>
      </c>
      <c r="P1245">
        <f>IF($A1245="","",IF($E1245=1,$F1245*$O1245,PNL!G1245))</f>
        <v/>
      </c>
      <c r="T1245">
        <f>IF($A1245="","",IF($E1245=1,IF(OR($B1245="7062",$B1245="706",$B1245="708"),$P1245,IF(AND(LEFT($B1245,1)="6",$B1245&lt;&gt;"6811"),-$P1245,0)),0))</f>
        <v/>
      </c>
    </row>
    <row r="1246">
      <c r="A1246">
        <f>IF(PNL!A1246="","",PNL!A1246)</f>
        <v/>
      </c>
      <c r="B1246">
        <f>IF(PNL!B1246="","",PNL!B1246)</f>
        <v/>
      </c>
      <c r="C1246">
        <f>IF(PNL!C1246="","",PNL!C1246)</f>
        <v/>
      </c>
      <c r="D1246">
        <f>IF(PNL!D1246="","",PNL!D1246)</f>
        <v/>
      </c>
      <c r="E1246">
        <f>IF($A1246="","",IF(AND($C1246="2027",OR($D1246="V01",$D1246="V02",$D1246="V03")),1,0))</f>
        <v/>
      </c>
      <c r="F1246">
        <f>IF($A1246="","",IF($E1246=1,SUMIFS(Comptabilité!$F$1:$F$675,Comptabilité!$A$1:$A$675,$A1246,Comptabilité!$B$1:$B$675,$B1246,Comptabilité!$C$1:$C$675,"2026"),0))</f>
        <v/>
      </c>
      <c r="G1246">
        <f>IF($A1246="","",IF($D1246="V01",Cadrage!$C$22,IF($D1246="V02",Cadrage!$D$22,Cadrage!$E$22)))</f>
        <v/>
      </c>
      <c r="H1246">
        <f>IF($A1246="","",IF($D1246="V01",Cadrage!$C$23,IF($D1246="V02",Cadrage!$D$23,Cadrage!$E$23)))</f>
        <v/>
      </c>
      <c r="I1246">
        <f>IF($A1246="","",IF($D1246="V01",Cadrage!$C$31,IF($D1246="V02",Cadrage!$D$31,Cadrage!$E$31)))</f>
        <v/>
      </c>
      <c r="J1246">
        <f>IF($A1246="","",IF($D1246="V01",Cadrage!$C$32,IF($D1246="V02",Cadrage!$D$32,Cadrage!$E$32)))</f>
        <v/>
      </c>
      <c r="K1246">
        <f>IF($A1246="","",IF($D1246="V01",Cadrage!$C$33,IF($D1246="V02",Cadrage!$D$33,Cadrage!$E$33)))</f>
        <v/>
      </c>
      <c r="L1246">
        <f>IF($A1246="","",IF($D1246="V01",Cadrage!$C$34,IF($D1246="V02",Cadrage!$D$34,Cadrage!$E$34)))</f>
        <v/>
      </c>
      <c r="M1246">
        <f>IF($A1246="","",IF($D1246="V01",Cadrage!$C$35,IF($D1246="V02",Cadrage!$D$35,Cadrage!$E$35)))</f>
        <v/>
      </c>
      <c r="N1246">
        <f>IF($A1246="","",IF($D1246="V01",$R$2,IF($D1246="V02",$R$3,$R$4)))</f>
        <v/>
      </c>
      <c r="O1246">
        <f>IF($A1246="","",IF(OR($B1246="7062",$B1246="706",$B1246="708"),$N1246,IF($B1246="6231",1+$G1246,IF($B1246="6236",1+$H1246,IF(OR($B1246="621",$B1246="604",$B1246="6063"),$N1246*(1-$L1246),IF(OR($B1246="6411",$B1246="6413",$B1246="6414",$B1246="645"),(1+$J1246)*(1+$K1246),IF(OR($B1246="613",$B1246="615",$B1246="616",$B1246="6226",$B1246="625",$B1246="626",$B1246="6281"),(1+$I1246)*(1-$L1246)*(1+$M1246),IF(OR($B1246="6331",$B1246="63511",$B1246="6333"),(1+$I1246)*(1-$L1246),IF($B1246="6811",1+$I1246,1)))))))))</f>
        <v/>
      </c>
      <c r="P1246">
        <f>IF($A1246="","",IF($E1246=1,$F1246*$O1246,PNL!G1246))</f>
        <v/>
      </c>
      <c r="T1246">
        <f>IF($A1246="","",IF($E1246=1,IF(OR($B1246="7062",$B1246="706",$B1246="708"),$P1246,IF(AND(LEFT($B1246,1)="6",$B1246&lt;&gt;"6811"),-$P1246,0)),0))</f>
        <v/>
      </c>
    </row>
    <row r="1247">
      <c r="A1247">
        <f>IF(PNL!A1247="","",PNL!A1247)</f>
        <v/>
      </c>
      <c r="B1247">
        <f>IF(PNL!B1247="","",PNL!B1247)</f>
        <v/>
      </c>
      <c r="C1247">
        <f>IF(PNL!C1247="","",PNL!C1247)</f>
        <v/>
      </c>
      <c r="D1247">
        <f>IF(PNL!D1247="","",PNL!D1247)</f>
        <v/>
      </c>
      <c r="E1247">
        <f>IF($A1247="","",IF(AND($C1247="2027",OR($D1247="V01",$D1247="V02",$D1247="V03")),1,0))</f>
        <v/>
      </c>
      <c r="F1247">
        <f>IF($A1247="","",IF($E1247=1,SUMIFS(Comptabilité!$F$1:$F$675,Comptabilité!$A$1:$A$675,$A1247,Comptabilité!$B$1:$B$675,$B1247,Comptabilité!$C$1:$C$675,"2026"),0))</f>
        <v/>
      </c>
      <c r="G1247">
        <f>IF($A1247="","",IF($D1247="V01",Cadrage!$C$22,IF($D1247="V02",Cadrage!$D$22,Cadrage!$E$22)))</f>
        <v/>
      </c>
      <c r="H1247">
        <f>IF($A1247="","",IF($D1247="V01",Cadrage!$C$23,IF($D1247="V02",Cadrage!$D$23,Cadrage!$E$23)))</f>
        <v/>
      </c>
      <c r="I1247">
        <f>IF($A1247="","",IF($D1247="V01",Cadrage!$C$31,IF($D1247="V02",Cadrage!$D$31,Cadrage!$E$31)))</f>
        <v/>
      </c>
      <c r="J1247">
        <f>IF($A1247="","",IF($D1247="V01",Cadrage!$C$32,IF($D1247="V02",Cadrage!$D$32,Cadrage!$E$32)))</f>
        <v/>
      </c>
      <c r="K1247">
        <f>IF($A1247="","",IF($D1247="V01",Cadrage!$C$33,IF($D1247="V02",Cadrage!$D$33,Cadrage!$E$33)))</f>
        <v/>
      </c>
      <c r="L1247">
        <f>IF($A1247="","",IF($D1247="V01",Cadrage!$C$34,IF($D1247="V02",Cadrage!$D$34,Cadrage!$E$34)))</f>
        <v/>
      </c>
      <c r="M1247">
        <f>IF($A1247="","",IF($D1247="V01",Cadrage!$C$35,IF($D1247="V02",Cadrage!$D$35,Cadrage!$E$35)))</f>
        <v/>
      </c>
      <c r="N1247">
        <f>IF($A1247="","",IF($D1247="V01",$R$2,IF($D1247="V02",$R$3,$R$4)))</f>
        <v/>
      </c>
      <c r="O1247">
        <f>IF($A1247="","",IF(OR($B1247="7062",$B1247="706",$B1247="708"),$N1247,IF($B1247="6231",1+$G1247,IF($B1247="6236",1+$H1247,IF(OR($B1247="621",$B1247="604",$B1247="6063"),$N1247*(1-$L1247),IF(OR($B1247="6411",$B1247="6413",$B1247="6414",$B1247="645"),(1+$J1247)*(1+$K1247),IF(OR($B1247="613",$B1247="615",$B1247="616",$B1247="6226",$B1247="625",$B1247="626",$B1247="6281"),(1+$I1247)*(1-$L1247)*(1+$M1247),IF(OR($B1247="6331",$B1247="63511",$B1247="6333"),(1+$I1247)*(1-$L1247),IF($B1247="6811",1+$I1247,1)))))))))</f>
        <v/>
      </c>
      <c r="P1247">
        <f>IF($A1247="","",IF($E1247=1,$F1247*$O1247,PNL!G1247))</f>
        <v/>
      </c>
      <c r="T1247">
        <f>IF($A1247="","",IF($E1247=1,IF(OR($B1247="7062",$B1247="706",$B1247="708"),$P1247,IF(AND(LEFT($B1247,1)="6",$B1247&lt;&gt;"6811"),-$P1247,0)),0))</f>
        <v/>
      </c>
    </row>
    <row r="1248">
      <c r="A1248">
        <f>IF(PNL!A1248="","",PNL!A1248)</f>
        <v/>
      </c>
      <c r="B1248">
        <f>IF(PNL!B1248="","",PNL!B1248)</f>
        <v/>
      </c>
      <c r="C1248">
        <f>IF(PNL!C1248="","",PNL!C1248)</f>
        <v/>
      </c>
      <c r="D1248">
        <f>IF(PNL!D1248="","",PNL!D1248)</f>
        <v/>
      </c>
      <c r="E1248">
        <f>IF($A1248="","",IF(AND($C1248="2027",OR($D1248="V01",$D1248="V02",$D1248="V03")),1,0))</f>
        <v/>
      </c>
      <c r="F1248">
        <f>IF($A1248="","",IF($E1248=1,SUMIFS(Comptabilité!$F$1:$F$675,Comptabilité!$A$1:$A$675,$A1248,Comptabilité!$B$1:$B$675,$B1248,Comptabilité!$C$1:$C$675,"2026"),0))</f>
        <v/>
      </c>
      <c r="G1248">
        <f>IF($A1248="","",IF($D1248="V01",Cadrage!$C$22,IF($D1248="V02",Cadrage!$D$22,Cadrage!$E$22)))</f>
        <v/>
      </c>
      <c r="H1248">
        <f>IF($A1248="","",IF($D1248="V01",Cadrage!$C$23,IF($D1248="V02",Cadrage!$D$23,Cadrage!$E$23)))</f>
        <v/>
      </c>
      <c r="I1248">
        <f>IF($A1248="","",IF($D1248="V01",Cadrage!$C$31,IF($D1248="V02",Cadrage!$D$31,Cadrage!$E$31)))</f>
        <v/>
      </c>
      <c r="J1248">
        <f>IF($A1248="","",IF($D1248="V01",Cadrage!$C$32,IF($D1248="V02",Cadrage!$D$32,Cadrage!$E$32)))</f>
        <v/>
      </c>
      <c r="K1248">
        <f>IF($A1248="","",IF($D1248="V01",Cadrage!$C$33,IF($D1248="V02",Cadrage!$D$33,Cadrage!$E$33)))</f>
        <v/>
      </c>
      <c r="L1248">
        <f>IF($A1248="","",IF($D1248="V01",Cadrage!$C$34,IF($D1248="V02",Cadrage!$D$34,Cadrage!$E$34)))</f>
        <v/>
      </c>
      <c r="M1248">
        <f>IF($A1248="","",IF($D1248="V01",Cadrage!$C$35,IF($D1248="V02",Cadrage!$D$35,Cadrage!$E$35)))</f>
        <v/>
      </c>
      <c r="N1248">
        <f>IF($A1248="","",IF($D1248="V01",$R$2,IF($D1248="V02",$R$3,$R$4)))</f>
        <v/>
      </c>
      <c r="O1248">
        <f>IF($A1248="","",IF(OR($B1248="7062",$B1248="706",$B1248="708"),$N1248,IF($B1248="6231",1+$G1248,IF($B1248="6236",1+$H1248,IF(OR($B1248="621",$B1248="604",$B1248="6063"),$N1248*(1-$L1248),IF(OR($B1248="6411",$B1248="6413",$B1248="6414",$B1248="645"),(1+$J1248)*(1+$K1248),IF(OR($B1248="613",$B1248="615",$B1248="616",$B1248="6226",$B1248="625",$B1248="626",$B1248="6281"),(1+$I1248)*(1-$L1248)*(1+$M1248),IF(OR($B1248="6331",$B1248="63511",$B1248="6333"),(1+$I1248)*(1-$L1248),IF($B1248="6811",1+$I1248,1)))))))))</f>
        <v/>
      </c>
      <c r="P1248">
        <f>IF($A1248="","",IF($E1248=1,$F1248*$O1248,PNL!G1248))</f>
        <v/>
      </c>
      <c r="T1248">
        <f>IF($A1248="","",IF($E1248=1,IF(OR($B1248="7062",$B1248="706",$B1248="708"),$P1248,IF(AND(LEFT($B1248,1)="6",$B1248&lt;&gt;"6811"),-$P1248,0)),0))</f>
        <v/>
      </c>
    </row>
    <row r="1249">
      <c r="A1249">
        <f>IF(PNL!A1249="","",PNL!A1249)</f>
        <v/>
      </c>
      <c r="B1249">
        <f>IF(PNL!B1249="","",PNL!B1249)</f>
        <v/>
      </c>
      <c r="C1249">
        <f>IF(PNL!C1249="","",PNL!C1249)</f>
        <v/>
      </c>
      <c r="D1249">
        <f>IF(PNL!D1249="","",PNL!D1249)</f>
        <v/>
      </c>
      <c r="E1249">
        <f>IF($A1249="","",IF(AND($C1249="2027",OR($D1249="V01",$D1249="V02",$D1249="V03")),1,0))</f>
        <v/>
      </c>
      <c r="F1249">
        <f>IF($A1249="","",IF($E1249=1,SUMIFS(Comptabilité!$F$1:$F$675,Comptabilité!$A$1:$A$675,$A1249,Comptabilité!$B$1:$B$675,$B1249,Comptabilité!$C$1:$C$675,"2026"),0))</f>
        <v/>
      </c>
      <c r="G1249">
        <f>IF($A1249="","",IF($D1249="V01",Cadrage!$C$22,IF($D1249="V02",Cadrage!$D$22,Cadrage!$E$22)))</f>
        <v/>
      </c>
      <c r="H1249">
        <f>IF($A1249="","",IF($D1249="V01",Cadrage!$C$23,IF($D1249="V02",Cadrage!$D$23,Cadrage!$E$23)))</f>
        <v/>
      </c>
      <c r="I1249">
        <f>IF($A1249="","",IF($D1249="V01",Cadrage!$C$31,IF($D1249="V02",Cadrage!$D$31,Cadrage!$E$31)))</f>
        <v/>
      </c>
      <c r="J1249">
        <f>IF($A1249="","",IF($D1249="V01",Cadrage!$C$32,IF($D1249="V02",Cadrage!$D$32,Cadrage!$E$32)))</f>
        <v/>
      </c>
      <c r="K1249">
        <f>IF($A1249="","",IF($D1249="V01",Cadrage!$C$33,IF($D1249="V02",Cadrage!$D$33,Cadrage!$E$33)))</f>
        <v/>
      </c>
      <c r="L1249">
        <f>IF($A1249="","",IF($D1249="V01",Cadrage!$C$34,IF($D1249="V02",Cadrage!$D$34,Cadrage!$E$34)))</f>
        <v/>
      </c>
      <c r="M1249">
        <f>IF($A1249="","",IF($D1249="V01",Cadrage!$C$35,IF($D1249="V02",Cadrage!$D$35,Cadrage!$E$35)))</f>
        <v/>
      </c>
      <c r="N1249">
        <f>IF($A1249="","",IF($D1249="V01",$R$2,IF($D1249="V02",$R$3,$R$4)))</f>
        <v/>
      </c>
      <c r="O1249">
        <f>IF($A1249="","",IF(OR($B1249="7062",$B1249="706",$B1249="708"),$N1249,IF($B1249="6231",1+$G1249,IF($B1249="6236",1+$H1249,IF(OR($B1249="621",$B1249="604",$B1249="6063"),$N1249*(1-$L1249),IF(OR($B1249="6411",$B1249="6413",$B1249="6414",$B1249="645"),(1+$J1249)*(1+$K1249),IF(OR($B1249="613",$B1249="615",$B1249="616",$B1249="6226",$B1249="625",$B1249="626",$B1249="6281"),(1+$I1249)*(1-$L1249)*(1+$M1249),IF(OR($B1249="6331",$B1249="63511",$B1249="6333"),(1+$I1249)*(1-$L1249),IF($B1249="6811",1+$I1249,1)))))))))</f>
        <v/>
      </c>
      <c r="P1249">
        <f>IF($A1249="","",IF($E1249=1,$F1249*$O1249,PNL!G1249))</f>
        <v/>
      </c>
      <c r="T1249">
        <f>IF($A1249="","",IF($E1249=1,IF(OR($B1249="7062",$B1249="706",$B1249="708"),$P1249,IF(AND(LEFT($B1249,1)="6",$B1249&lt;&gt;"6811"),-$P1249,0)),0))</f>
        <v/>
      </c>
    </row>
    <row r="1250">
      <c r="A1250">
        <f>IF(PNL!A1250="","",PNL!A1250)</f>
        <v/>
      </c>
      <c r="B1250">
        <f>IF(PNL!B1250="","",PNL!B1250)</f>
        <v/>
      </c>
      <c r="C1250">
        <f>IF(PNL!C1250="","",PNL!C1250)</f>
        <v/>
      </c>
      <c r="D1250">
        <f>IF(PNL!D1250="","",PNL!D1250)</f>
        <v/>
      </c>
      <c r="E1250">
        <f>IF($A1250="","",IF(AND($C1250="2027",OR($D1250="V01",$D1250="V02",$D1250="V03")),1,0))</f>
        <v/>
      </c>
      <c r="F1250">
        <f>IF($A1250="","",IF($E1250=1,SUMIFS(Comptabilité!$F$1:$F$675,Comptabilité!$A$1:$A$675,$A1250,Comptabilité!$B$1:$B$675,$B1250,Comptabilité!$C$1:$C$675,"2026"),0))</f>
        <v/>
      </c>
      <c r="G1250">
        <f>IF($A1250="","",IF($D1250="V01",Cadrage!$C$22,IF($D1250="V02",Cadrage!$D$22,Cadrage!$E$22)))</f>
        <v/>
      </c>
      <c r="H1250">
        <f>IF($A1250="","",IF($D1250="V01",Cadrage!$C$23,IF($D1250="V02",Cadrage!$D$23,Cadrage!$E$23)))</f>
        <v/>
      </c>
      <c r="I1250">
        <f>IF($A1250="","",IF($D1250="V01",Cadrage!$C$31,IF($D1250="V02",Cadrage!$D$31,Cadrage!$E$31)))</f>
        <v/>
      </c>
      <c r="J1250">
        <f>IF($A1250="","",IF($D1250="V01",Cadrage!$C$32,IF($D1250="V02",Cadrage!$D$32,Cadrage!$E$32)))</f>
        <v/>
      </c>
      <c r="K1250">
        <f>IF($A1250="","",IF($D1250="V01",Cadrage!$C$33,IF($D1250="V02",Cadrage!$D$33,Cadrage!$E$33)))</f>
        <v/>
      </c>
      <c r="L1250">
        <f>IF($A1250="","",IF($D1250="V01",Cadrage!$C$34,IF($D1250="V02",Cadrage!$D$34,Cadrage!$E$34)))</f>
        <v/>
      </c>
      <c r="M1250">
        <f>IF($A1250="","",IF($D1250="V01",Cadrage!$C$35,IF($D1250="V02",Cadrage!$D$35,Cadrage!$E$35)))</f>
        <v/>
      </c>
      <c r="N1250">
        <f>IF($A1250="","",IF($D1250="V01",$R$2,IF($D1250="V02",$R$3,$R$4)))</f>
        <v/>
      </c>
      <c r="O1250">
        <f>IF($A1250="","",IF(OR($B1250="7062",$B1250="706",$B1250="708"),$N1250,IF($B1250="6231",1+$G1250,IF($B1250="6236",1+$H1250,IF(OR($B1250="621",$B1250="604",$B1250="6063"),$N1250*(1-$L1250),IF(OR($B1250="6411",$B1250="6413",$B1250="6414",$B1250="645"),(1+$J1250)*(1+$K1250),IF(OR($B1250="613",$B1250="615",$B1250="616",$B1250="6226",$B1250="625",$B1250="626",$B1250="6281"),(1+$I1250)*(1-$L1250)*(1+$M1250),IF(OR($B1250="6331",$B1250="63511",$B1250="6333"),(1+$I1250)*(1-$L1250),IF($B1250="6811",1+$I1250,1)))))))))</f>
        <v/>
      </c>
      <c r="P1250">
        <f>IF($A1250="","",IF($E1250=1,$F1250*$O1250,PNL!G1250))</f>
        <v/>
      </c>
      <c r="T1250">
        <f>IF($A1250="","",IF($E1250=1,IF(OR($B1250="7062",$B1250="706",$B1250="708"),$P1250,IF(AND(LEFT($B1250,1)="6",$B1250&lt;&gt;"6811"),-$P1250,0)),0))</f>
        <v/>
      </c>
    </row>
    <row r="1251">
      <c r="A1251">
        <f>IF(PNL!A1251="","",PNL!A1251)</f>
        <v/>
      </c>
      <c r="B1251">
        <f>IF(PNL!B1251="","",PNL!B1251)</f>
        <v/>
      </c>
      <c r="C1251">
        <f>IF(PNL!C1251="","",PNL!C1251)</f>
        <v/>
      </c>
      <c r="D1251">
        <f>IF(PNL!D1251="","",PNL!D1251)</f>
        <v/>
      </c>
      <c r="E1251">
        <f>IF($A1251="","",IF(AND($C1251="2027",OR($D1251="V01",$D1251="V02",$D1251="V03")),1,0))</f>
        <v/>
      </c>
      <c r="F1251">
        <f>IF($A1251="","",IF($E1251=1,SUMIFS(Comptabilité!$F$1:$F$675,Comptabilité!$A$1:$A$675,$A1251,Comptabilité!$B$1:$B$675,$B1251,Comptabilité!$C$1:$C$675,"2026"),0))</f>
        <v/>
      </c>
      <c r="G1251">
        <f>IF($A1251="","",IF($D1251="V01",Cadrage!$C$22,IF($D1251="V02",Cadrage!$D$22,Cadrage!$E$22)))</f>
        <v/>
      </c>
      <c r="H1251">
        <f>IF($A1251="","",IF($D1251="V01",Cadrage!$C$23,IF($D1251="V02",Cadrage!$D$23,Cadrage!$E$23)))</f>
        <v/>
      </c>
      <c r="I1251">
        <f>IF($A1251="","",IF($D1251="V01",Cadrage!$C$31,IF($D1251="V02",Cadrage!$D$31,Cadrage!$E$31)))</f>
        <v/>
      </c>
      <c r="J1251">
        <f>IF($A1251="","",IF($D1251="V01",Cadrage!$C$32,IF($D1251="V02",Cadrage!$D$32,Cadrage!$E$32)))</f>
        <v/>
      </c>
      <c r="K1251">
        <f>IF($A1251="","",IF($D1251="V01",Cadrage!$C$33,IF($D1251="V02",Cadrage!$D$33,Cadrage!$E$33)))</f>
        <v/>
      </c>
      <c r="L1251">
        <f>IF($A1251="","",IF($D1251="V01",Cadrage!$C$34,IF($D1251="V02",Cadrage!$D$34,Cadrage!$E$34)))</f>
        <v/>
      </c>
      <c r="M1251">
        <f>IF($A1251="","",IF($D1251="V01",Cadrage!$C$35,IF($D1251="V02",Cadrage!$D$35,Cadrage!$E$35)))</f>
        <v/>
      </c>
      <c r="N1251">
        <f>IF($A1251="","",IF($D1251="V01",$R$2,IF($D1251="V02",$R$3,$R$4)))</f>
        <v/>
      </c>
      <c r="O1251">
        <f>IF($A1251="","",IF(OR($B1251="7062",$B1251="706",$B1251="708"),$N1251,IF($B1251="6231",1+$G1251,IF($B1251="6236",1+$H1251,IF(OR($B1251="621",$B1251="604",$B1251="6063"),$N1251*(1-$L1251),IF(OR($B1251="6411",$B1251="6413",$B1251="6414",$B1251="645"),(1+$J1251)*(1+$K1251),IF(OR($B1251="613",$B1251="615",$B1251="616",$B1251="6226",$B1251="625",$B1251="626",$B1251="6281"),(1+$I1251)*(1-$L1251)*(1+$M1251),IF(OR($B1251="6331",$B1251="63511",$B1251="6333"),(1+$I1251)*(1-$L1251),IF($B1251="6811",1+$I1251,1)))))))))</f>
        <v/>
      </c>
      <c r="P1251">
        <f>IF($A1251="","",IF($E1251=1,$F1251*$O1251,PNL!G1251))</f>
        <v/>
      </c>
      <c r="T1251">
        <f>IF($A1251="","",IF($E1251=1,IF(OR($B1251="7062",$B1251="706",$B1251="708"),$P1251,IF(AND(LEFT($B1251,1)="6",$B1251&lt;&gt;"6811"),-$P1251,0)),0))</f>
        <v/>
      </c>
    </row>
    <row r="1252">
      <c r="A1252">
        <f>IF(PNL!A1252="","",PNL!A1252)</f>
        <v/>
      </c>
      <c r="B1252">
        <f>IF(PNL!B1252="","",PNL!B1252)</f>
        <v/>
      </c>
      <c r="C1252">
        <f>IF(PNL!C1252="","",PNL!C1252)</f>
        <v/>
      </c>
      <c r="D1252">
        <f>IF(PNL!D1252="","",PNL!D1252)</f>
        <v/>
      </c>
      <c r="E1252">
        <f>IF($A1252="","",IF(AND($C1252="2027",OR($D1252="V01",$D1252="V02",$D1252="V03")),1,0))</f>
        <v/>
      </c>
      <c r="F1252">
        <f>IF($A1252="","",IF($E1252=1,SUMIFS(Comptabilité!$F$1:$F$675,Comptabilité!$A$1:$A$675,$A1252,Comptabilité!$B$1:$B$675,$B1252,Comptabilité!$C$1:$C$675,"2026"),0))</f>
        <v/>
      </c>
      <c r="G1252">
        <f>IF($A1252="","",IF($D1252="V01",Cadrage!$C$22,IF($D1252="V02",Cadrage!$D$22,Cadrage!$E$22)))</f>
        <v/>
      </c>
      <c r="H1252">
        <f>IF($A1252="","",IF($D1252="V01",Cadrage!$C$23,IF($D1252="V02",Cadrage!$D$23,Cadrage!$E$23)))</f>
        <v/>
      </c>
      <c r="I1252">
        <f>IF($A1252="","",IF($D1252="V01",Cadrage!$C$31,IF($D1252="V02",Cadrage!$D$31,Cadrage!$E$31)))</f>
        <v/>
      </c>
      <c r="J1252">
        <f>IF($A1252="","",IF($D1252="V01",Cadrage!$C$32,IF($D1252="V02",Cadrage!$D$32,Cadrage!$E$32)))</f>
        <v/>
      </c>
      <c r="K1252">
        <f>IF($A1252="","",IF($D1252="V01",Cadrage!$C$33,IF($D1252="V02",Cadrage!$D$33,Cadrage!$E$33)))</f>
        <v/>
      </c>
      <c r="L1252">
        <f>IF($A1252="","",IF($D1252="V01",Cadrage!$C$34,IF($D1252="V02",Cadrage!$D$34,Cadrage!$E$34)))</f>
        <v/>
      </c>
      <c r="M1252">
        <f>IF($A1252="","",IF($D1252="V01",Cadrage!$C$35,IF($D1252="V02",Cadrage!$D$35,Cadrage!$E$35)))</f>
        <v/>
      </c>
      <c r="N1252">
        <f>IF($A1252="","",IF($D1252="V01",$R$2,IF($D1252="V02",$R$3,$R$4)))</f>
        <v/>
      </c>
      <c r="O1252">
        <f>IF($A1252="","",IF(OR($B1252="7062",$B1252="706",$B1252="708"),$N1252,IF($B1252="6231",1+$G1252,IF($B1252="6236",1+$H1252,IF(OR($B1252="621",$B1252="604",$B1252="6063"),$N1252*(1-$L1252),IF(OR($B1252="6411",$B1252="6413",$B1252="6414",$B1252="645"),(1+$J1252)*(1+$K1252),IF(OR($B1252="613",$B1252="615",$B1252="616",$B1252="6226",$B1252="625",$B1252="626",$B1252="6281"),(1+$I1252)*(1-$L1252)*(1+$M1252),IF(OR($B1252="6331",$B1252="63511",$B1252="6333"),(1+$I1252)*(1-$L1252),IF($B1252="6811",1+$I1252,1)))))))))</f>
        <v/>
      </c>
      <c r="P1252">
        <f>IF($A1252="","",IF($E1252=1,$F1252*$O1252,PNL!G1252))</f>
        <v/>
      </c>
      <c r="T1252">
        <f>IF($A1252="","",IF($E1252=1,IF(OR($B1252="7062",$B1252="706",$B1252="708"),$P1252,IF(AND(LEFT($B1252,1)="6",$B1252&lt;&gt;"6811"),-$P1252,0)),0))</f>
        <v/>
      </c>
    </row>
    <row r="1253">
      <c r="A1253">
        <f>IF(PNL!A1253="","",PNL!A1253)</f>
        <v/>
      </c>
      <c r="B1253">
        <f>IF(PNL!B1253="","",PNL!B1253)</f>
        <v/>
      </c>
      <c r="C1253">
        <f>IF(PNL!C1253="","",PNL!C1253)</f>
        <v/>
      </c>
      <c r="D1253">
        <f>IF(PNL!D1253="","",PNL!D1253)</f>
        <v/>
      </c>
      <c r="E1253">
        <f>IF($A1253="","",IF(AND($C1253="2027",OR($D1253="V01",$D1253="V02",$D1253="V03")),1,0))</f>
        <v/>
      </c>
      <c r="F1253">
        <f>IF($A1253="","",IF($E1253=1,SUMIFS(Comptabilité!$F$1:$F$675,Comptabilité!$A$1:$A$675,$A1253,Comptabilité!$B$1:$B$675,$B1253,Comptabilité!$C$1:$C$675,"2026"),0))</f>
        <v/>
      </c>
      <c r="G1253">
        <f>IF($A1253="","",IF($D1253="V01",Cadrage!$C$22,IF($D1253="V02",Cadrage!$D$22,Cadrage!$E$22)))</f>
        <v/>
      </c>
      <c r="H1253">
        <f>IF($A1253="","",IF($D1253="V01",Cadrage!$C$23,IF($D1253="V02",Cadrage!$D$23,Cadrage!$E$23)))</f>
        <v/>
      </c>
      <c r="I1253">
        <f>IF($A1253="","",IF($D1253="V01",Cadrage!$C$31,IF($D1253="V02",Cadrage!$D$31,Cadrage!$E$31)))</f>
        <v/>
      </c>
      <c r="J1253">
        <f>IF($A1253="","",IF($D1253="V01",Cadrage!$C$32,IF($D1253="V02",Cadrage!$D$32,Cadrage!$E$32)))</f>
        <v/>
      </c>
      <c r="K1253">
        <f>IF($A1253="","",IF($D1253="V01",Cadrage!$C$33,IF($D1253="V02",Cadrage!$D$33,Cadrage!$E$33)))</f>
        <v/>
      </c>
      <c r="L1253">
        <f>IF($A1253="","",IF($D1253="V01",Cadrage!$C$34,IF($D1253="V02",Cadrage!$D$34,Cadrage!$E$34)))</f>
        <v/>
      </c>
      <c r="M1253">
        <f>IF($A1253="","",IF($D1253="V01",Cadrage!$C$35,IF($D1253="V02",Cadrage!$D$35,Cadrage!$E$35)))</f>
        <v/>
      </c>
      <c r="N1253">
        <f>IF($A1253="","",IF($D1253="V01",$R$2,IF($D1253="V02",$R$3,$R$4)))</f>
        <v/>
      </c>
      <c r="O1253">
        <f>IF($A1253="","",IF(OR($B1253="7062",$B1253="706",$B1253="708"),$N1253,IF($B1253="6231",1+$G1253,IF($B1253="6236",1+$H1253,IF(OR($B1253="621",$B1253="604",$B1253="6063"),$N1253*(1-$L1253),IF(OR($B1253="6411",$B1253="6413",$B1253="6414",$B1253="645"),(1+$J1253)*(1+$K1253),IF(OR($B1253="613",$B1253="615",$B1253="616",$B1253="6226",$B1253="625",$B1253="626",$B1253="6281"),(1+$I1253)*(1-$L1253)*(1+$M1253),IF(OR($B1253="6331",$B1253="63511",$B1253="6333"),(1+$I1253)*(1-$L1253),IF($B1253="6811",1+$I1253,1)))))))))</f>
        <v/>
      </c>
      <c r="P1253">
        <f>IF($A1253="","",IF($E1253=1,$F1253*$O1253,PNL!G1253))</f>
        <v/>
      </c>
      <c r="T1253">
        <f>IF($A1253="","",IF($E1253=1,IF(OR($B1253="7062",$B1253="706",$B1253="708"),$P1253,IF(AND(LEFT($B1253,1)="6",$B1253&lt;&gt;"6811"),-$P1253,0)),0))</f>
        <v/>
      </c>
    </row>
    <row r="1254">
      <c r="A1254">
        <f>IF(PNL!A1254="","",PNL!A1254)</f>
        <v/>
      </c>
      <c r="B1254">
        <f>IF(PNL!B1254="","",PNL!B1254)</f>
        <v/>
      </c>
      <c r="C1254">
        <f>IF(PNL!C1254="","",PNL!C1254)</f>
        <v/>
      </c>
      <c r="D1254">
        <f>IF(PNL!D1254="","",PNL!D1254)</f>
        <v/>
      </c>
      <c r="E1254">
        <f>IF($A1254="","",IF(AND($C1254="2027",OR($D1254="V01",$D1254="V02",$D1254="V03")),1,0))</f>
        <v/>
      </c>
      <c r="F1254">
        <f>IF($A1254="","",IF($E1254=1,SUMIFS(Comptabilité!$F$1:$F$675,Comptabilité!$A$1:$A$675,$A1254,Comptabilité!$B$1:$B$675,$B1254,Comptabilité!$C$1:$C$675,"2026"),0))</f>
        <v/>
      </c>
      <c r="G1254">
        <f>IF($A1254="","",IF($D1254="V01",Cadrage!$C$22,IF($D1254="V02",Cadrage!$D$22,Cadrage!$E$22)))</f>
        <v/>
      </c>
      <c r="H1254">
        <f>IF($A1254="","",IF($D1254="V01",Cadrage!$C$23,IF($D1254="V02",Cadrage!$D$23,Cadrage!$E$23)))</f>
        <v/>
      </c>
      <c r="I1254">
        <f>IF($A1254="","",IF($D1254="V01",Cadrage!$C$31,IF($D1254="V02",Cadrage!$D$31,Cadrage!$E$31)))</f>
        <v/>
      </c>
      <c r="J1254">
        <f>IF($A1254="","",IF($D1254="V01",Cadrage!$C$32,IF($D1254="V02",Cadrage!$D$32,Cadrage!$E$32)))</f>
        <v/>
      </c>
      <c r="K1254">
        <f>IF($A1254="","",IF($D1254="V01",Cadrage!$C$33,IF($D1254="V02",Cadrage!$D$33,Cadrage!$E$33)))</f>
        <v/>
      </c>
      <c r="L1254">
        <f>IF($A1254="","",IF($D1254="V01",Cadrage!$C$34,IF($D1254="V02",Cadrage!$D$34,Cadrage!$E$34)))</f>
        <v/>
      </c>
      <c r="M1254">
        <f>IF($A1254="","",IF($D1254="V01",Cadrage!$C$35,IF($D1254="V02",Cadrage!$D$35,Cadrage!$E$35)))</f>
        <v/>
      </c>
      <c r="N1254">
        <f>IF($A1254="","",IF($D1254="V01",$R$2,IF($D1254="V02",$R$3,$R$4)))</f>
        <v/>
      </c>
      <c r="O1254">
        <f>IF($A1254="","",IF(OR($B1254="7062",$B1254="706",$B1254="708"),$N1254,IF($B1254="6231",1+$G1254,IF($B1254="6236",1+$H1254,IF(OR($B1254="621",$B1254="604",$B1254="6063"),$N1254*(1-$L1254),IF(OR($B1254="6411",$B1254="6413",$B1254="6414",$B1254="645"),(1+$J1254)*(1+$K1254),IF(OR($B1254="613",$B1254="615",$B1254="616",$B1254="6226",$B1254="625",$B1254="626",$B1254="6281"),(1+$I1254)*(1-$L1254)*(1+$M1254),IF(OR($B1254="6331",$B1254="63511",$B1254="6333"),(1+$I1254)*(1-$L1254),IF($B1254="6811",1+$I1254,1)))))))))</f>
        <v/>
      </c>
      <c r="P1254">
        <f>IF($A1254="","",IF($E1254=1,$F1254*$O1254,PNL!G1254))</f>
        <v/>
      </c>
      <c r="T1254">
        <f>IF($A1254="","",IF($E1254=1,IF(OR($B1254="7062",$B1254="706",$B1254="708"),$P1254,IF(AND(LEFT($B1254,1)="6",$B1254&lt;&gt;"6811"),-$P1254,0)),0))</f>
        <v/>
      </c>
    </row>
    <row r="1255">
      <c r="A1255">
        <f>IF(PNL!A1255="","",PNL!A1255)</f>
        <v/>
      </c>
      <c r="B1255">
        <f>IF(PNL!B1255="","",PNL!B1255)</f>
        <v/>
      </c>
      <c r="C1255">
        <f>IF(PNL!C1255="","",PNL!C1255)</f>
        <v/>
      </c>
      <c r="D1255">
        <f>IF(PNL!D1255="","",PNL!D1255)</f>
        <v/>
      </c>
      <c r="E1255">
        <f>IF($A1255="","",IF(AND($C1255="2027",OR($D1255="V01",$D1255="V02",$D1255="V03")),1,0))</f>
        <v/>
      </c>
      <c r="F1255">
        <f>IF($A1255="","",IF($E1255=1,SUMIFS(Comptabilité!$F$1:$F$675,Comptabilité!$A$1:$A$675,$A1255,Comptabilité!$B$1:$B$675,$B1255,Comptabilité!$C$1:$C$675,"2026"),0))</f>
        <v/>
      </c>
      <c r="G1255">
        <f>IF($A1255="","",IF($D1255="V01",Cadrage!$C$22,IF($D1255="V02",Cadrage!$D$22,Cadrage!$E$22)))</f>
        <v/>
      </c>
      <c r="H1255">
        <f>IF($A1255="","",IF($D1255="V01",Cadrage!$C$23,IF($D1255="V02",Cadrage!$D$23,Cadrage!$E$23)))</f>
        <v/>
      </c>
      <c r="I1255">
        <f>IF($A1255="","",IF($D1255="V01",Cadrage!$C$31,IF($D1255="V02",Cadrage!$D$31,Cadrage!$E$31)))</f>
        <v/>
      </c>
      <c r="J1255">
        <f>IF($A1255="","",IF($D1255="V01",Cadrage!$C$32,IF($D1255="V02",Cadrage!$D$32,Cadrage!$E$32)))</f>
        <v/>
      </c>
      <c r="K1255">
        <f>IF($A1255="","",IF($D1255="V01",Cadrage!$C$33,IF($D1255="V02",Cadrage!$D$33,Cadrage!$E$33)))</f>
        <v/>
      </c>
      <c r="L1255">
        <f>IF($A1255="","",IF($D1255="V01",Cadrage!$C$34,IF($D1255="V02",Cadrage!$D$34,Cadrage!$E$34)))</f>
        <v/>
      </c>
      <c r="M1255">
        <f>IF($A1255="","",IF($D1255="V01",Cadrage!$C$35,IF($D1255="V02",Cadrage!$D$35,Cadrage!$E$35)))</f>
        <v/>
      </c>
      <c r="N1255">
        <f>IF($A1255="","",IF($D1255="V01",$R$2,IF($D1255="V02",$R$3,$R$4)))</f>
        <v/>
      </c>
      <c r="O1255">
        <f>IF($A1255="","",IF(OR($B1255="7062",$B1255="706",$B1255="708"),$N1255,IF($B1255="6231",1+$G1255,IF($B1255="6236",1+$H1255,IF(OR($B1255="621",$B1255="604",$B1255="6063"),$N1255*(1-$L1255),IF(OR($B1255="6411",$B1255="6413",$B1255="6414",$B1255="645"),(1+$J1255)*(1+$K1255),IF(OR($B1255="613",$B1255="615",$B1255="616",$B1255="6226",$B1255="625",$B1255="626",$B1255="6281"),(1+$I1255)*(1-$L1255)*(1+$M1255),IF(OR($B1255="6331",$B1255="63511",$B1255="6333"),(1+$I1255)*(1-$L1255),IF($B1255="6811",1+$I1255,1)))))))))</f>
        <v/>
      </c>
      <c r="P1255">
        <f>IF($A1255="","",IF($E1255=1,$F1255*$O1255,PNL!G1255))</f>
        <v/>
      </c>
      <c r="T1255">
        <f>IF($A1255="","",IF($E1255=1,IF(OR($B1255="7062",$B1255="706",$B1255="708"),$P1255,IF(AND(LEFT($B1255,1)="6",$B1255&lt;&gt;"6811"),-$P1255,0)),0))</f>
        <v/>
      </c>
    </row>
    <row r="1256">
      <c r="A1256">
        <f>IF(PNL!A1256="","",PNL!A1256)</f>
        <v/>
      </c>
      <c r="B1256">
        <f>IF(PNL!B1256="","",PNL!B1256)</f>
        <v/>
      </c>
      <c r="C1256">
        <f>IF(PNL!C1256="","",PNL!C1256)</f>
        <v/>
      </c>
      <c r="D1256">
        <f>IF(PNL!D1256="","",PNL!D1256)</f>
        <v/>
      </c>
      <c r="E1256">
        <f>IF($A1256="","",IF(AND($C1256="2027",OR($D1256="V01",$D1256="V02",$D1256="V03")),1,0))</f>
        <v/>
      </c>
      <c r="F1256">
        <f>IF($A1256="","",IF($E1256=1,SUMIFS(Comptabilité!$F$1:$F$675,Comptabilité!$A$1:$A$675,$A1256,Comptabilité!$B$1:$B$675,$B1256,Comptabilité!$C$1:$C$675,"2026"),0))</f>
        <v/>
      </c>
      <c r="G1256">
        <f>IF($A1256="","",IF($D1256="V01",Cadrage!$C$22,IF($D1256="V02",Cadrage!$D$22,Cadrage!$E$22)))</f>
        <v/>
      </c>
      <c r="H1256">
        <f>IF($A1256="","",IF($D1256="V01",Cadrage!$C$23,IF($D1256="V02",Cadrage!$D$23,Cadrage!$E$23)))</f>
        <v/>
      </c>
      <c r="I1256">
        <f>IF($A1256="","",IF($D1256="V01",Cadrage!$C$31,IF($D1256="V02",Cadrage!$D$31,Cadrage!$E$31)))</f>
        <v/>
      </c>
      <c r="J1256">
        <f>IF($A1256="","",IF($D1256="V01",Cadrage!$C$32,IF($D1256="V02",Cadrage!$D$32,Cadrage!$E$32)))</f>
        <v/>
      </c>
      <c r="K1256">
        <f>IF($A1256="","",IF($D1256="V01",Cadrage!$C$33,IF($D1256="V02",Cadrage!$D$33,Cadrage!$E$33)))</f>
        <v/>
      </c>
      <c r="L1256">
        <f>IF($A1256="","",IF($D1256="V01",Cadrage!$C$34,IF($D1256="V02",Cadrage!$D$34,Cadrage!$E$34)))</f>
        <v/>
      </c>
      <c r="M1256">
        <f>IF($A1256="","",IF($D1256="V01",Cadrage!$C$35,IF($D1256="V02",Cadrage!$D$35,Cadrage!$E$35)))</f>
        <v/>
      </c>
      <c r="N1256">
        <f>IF($A1256="","",IF($D1256="V01",$R$2,IF($D1256="V02",$R$3,$R$4)))</f>
        <v/>
      </c>
      <c r="O1256">
        <f>IF($A1256="","",IF(OR($B1256="7062",$B1256="706",$B1256="708"),$N1256,IF($B1256="6231",1+$G1256,IF($B1256="6236",1+$H1256,IF(OR($B1256="621",$B1256="604",$B1256="6063"),$N1256*(1-$L1256),IF(OR($B1256="6411",$B1256="6413",$B1256="6414",$B1256="645"),(1+$J1256)*(1+$K1256),IF(OR($B1256="613",$B1256="615",$B1256="616",$B1256="6226",$B1256="625",$B1256="626",$B1256="6281"),(1+$I1256)*(1-$L1256)*(1+$M1256),IF(OR($B1256="6331",$B1256="63511",$B1256="6333"),(1+$I1256)*(1-$L1256),IF($B1256="6811",1+$I1256,1)))))))))</f>
        <v/>
      </c>
      <c r="P1256">
        <f>IF($A1256="","",IF($E1256=1,$F1256*$O1256,PNL!G1256))</f>
        <v/>
      </c>
      <c r="T1256">
        <f>IF($A1256="","",IF($E1256=1,IF(OR($B1256="7062",$B1256="706",$B1256="708"),$P1256,IF(AND(LEFT($B1256,1)="6",$B1256&lt;&gt;"6811"),-$P1256,0)),0))</f>
        <v/>
      </c>
    </row>
    <row r="1257">
      <c r="A1257">
        <f>IF(PNL!A1257="","",PNL!A1257)</f>
        <v/>
      </c>
      <c r="B1257">
        <f>IF(PNL!B1257="","",PNL!B1257)</f>
        <v/>
      </c>
      <c r="C1257">
        <f>IF(PNL!C1257="","",PNL!C1257)</f>
        <v/>
      </c>
      <c r="D1257">
        <f>IF(PNL!D1257="","",PNL!D1257)</f>
        <v/>
      </c>
      <c r="E1257">
        <f>IF($A1257="","",IF(AND($C1257="2027",OR($D1257="V01",$D1257="V02",$D1257="V03")),1,0))</f>
        <v/>
      </c>
      <c r="F1257">
        <f>IF($A1257="","",IF($E1257=1,SUMIFS(Comptabilité!$F$1:$F$675,Comptabilité!$A$1:$A$675,$A1257,Comptabilité!$B$1:$B$675,$B1257,Comptabilité!$C$1:$C$675,"2026"),0))</f>
        <v/>
      </c>
      <c r="G1257">
        <f>IF($A1257="","",IF($D1257="V01",Cadrage!$C$22,IF($D1257="V02",Cadrage!$D$22,Cadrage!$E$22)))</f>
        <v/>
      </c>
      <c r="H1257">
        <f>IF($A1257="","",IF($D1257="V01",Cadrage!$C$23,IF($D1257="V02",Cadrage!$D$23,Cadrage!$E$23)))</f>
        <v/>
      </c>
      <c r="I1257">
        <f>IF($A1257="","",IF($D1257="V01",Cadrage!$C$31,IF($D1257="V02",Cadrage!$D$31,Cadrage!$E$31)))</f>
        <v/>
      </c>
      <c r="J1257">
        <f>IF($A1257="","",IF($D1257="V01",Cadrage!$C$32,IF($D1257="V02",Cadrage!$D$32,Cadrage!$E$32)))</f>
        <v/>
      </c>
      <c r="K1257">
        <f>IF($A1257="","",IF($D1257="V01",Cadrage!$C$33,IF($D1257="V02",Cadrage!$D$33,Cadrage!$E$33)))</f>
        <v/>
      </c>
      <c r="L1257">
        <f>IF($A1257="","",IF($D1257="V01",Cadrage!$C$34,IF($D1257="V02",Cadrage!$D$34,Cadrage!$E$34)))</f>
        <v/>
      </c>
      <c r="M1257">
        <f>IF($A1257="","",IF($D1257="V01",Cadrage!$C$35,IF($D1257="V02",Cadrage!$D$35,Cadrage!$E$35)))</f>
        <v/>
      </c>
      <c r="N1257">
        <f>IF($A1257="","",IF($D1257="V01",$R$2,IF($D1257="V02",$R$3,$R$4)))</f>
        <v/>
      </c>
      <c r="O1257">
        <f>IF($A1257="","",IF(OR($B1257="7062",$B1257="706",$B1257="708"),$N1257,IF($B1257="6231",1+$G1257,IF($B1257="6236",1+$H1257,IF(OR($B1257="621",$B1257="604",$B1257="6063"),$N1257*(1-$L1257),IF(OR($B1257="6411",$B1257="6413",$B1257="6414",$B1257="645"),(1+$J1257)*(1+$K1257),IF(OR($B1257="613",$B1257="615",$B1257="616",$B1257="6226",$B1257="625",$B1257="626",$B1257="6281"),(1+$I1257)*(1-$L1257)*(1+$M1257),IF(OR($B1257="6331",$B1257="63511",$B1257="6333"),(1+$I1257)*(1-$L1257),IF($B1257="6811",1+$I1257,1)))))))))</f>
        <v/>
      </c>
      <c r="P1257">
        <f>IF($A1257="","",IF($E1257=1,$F1257*$O1257,PNL!G1257))</f>
        <v/>
      </c>
      <c r="T1257">
        <f>IF($A1257="","",IF($E1257=1,IF(OR($B1257="7062",$B1257="706",$B1257="708"),$P1257,IF(AND(LEFT($B1257,1)="6",$B1257&lt;&gt;"6811"),-$P1257,0)),0))</f>
        <v/>
      </c>
    </row>
    <row r="1258">
      <c r="A1258">
        <f>IF(PNL!A1258="","",PNL!A1258)</f>
        <v/>
      </c>
      <c r="B1258">
        <f>IF(PNL!B1258="","",PNL!B1258)</f>
        <v/>
      </c>
      <c r="C1258">
        <f>IF(PNL!C1258="","",PNL!C1258)</f>
        <v/>
      </c>
      <c r="D1258">
        <f>IF(PNL!D1258="","",PNL!D1258)</f>
        <v/>
      </c>
      <c r="E1258">
        <f>IF($A1258="","",IF(AND($C1258="2027",OR($D1258="V01",$D1258="V02",$D1258="V03")),1,0))</f>
        <v/>
      </c>
      <c r="F1258">
        <f>IF($A1258="","",IF($E1258=1,SUMIFS(Comptabilité!$F$1:$F$675,Comptabilité!$A$1:$A$675,$A1258,Comptabilité!$B$1:$B$675,$B1258,Comptabilité!$C$1:$C$675,"2026"),0))</f>
        <v/>
      </c>
      <c r="G1258">
        <f>IF($A1258="","",IF($D1258="V01",Cadrage!$C$22,IF($D1258="V02",Cadrage!$D$22,Cadrage!$E$22)))</f>
        <v/>
      </c>
      <c r="H1258">
        <f>IF($A1258="","",IF($D1258="V01",Cadrage!$C$23,IF($D1258="V02",Cadrage!$D$23,Cadrage!$E$23)))</f>
        <v/>
      </c>
      <c r="I1258">
        <f>IF($A1258="","",IF($D1258="V01",Cadrage!$C$31,IF($D1258="V02",Cadrage!$D$31,Cadrage!$E$31)))</f>
        <v/>
      </c>
      <c r="J1258">
        <f>IF($A1258="","",IF($D1258="V01",Cadrage!$C$32,IF($D1258="V02",Cadrage!$D$32,Cadrage!$E$32)))</f>
        <v/>
      </c>
      <c r="K1258">
        <f>IF($A1258="","",IF($D1258="V01",Cadrage!$C$33,IF($D1258="V02",Cadrage!$D$33,Cadrage!$E$33)))</f>
        <v/>
      </c>
      <c r="L1258">
        <f>IF($A1258="","",IF($D1258="V01",Cadrage!$C$34,IF($D1258="V02",Cadrage!$D$34,Cadrage!$E$34)))</f>
        <v/>
      </c>
      <c r="M1258">
        <f>IF($A1258="","",IF($D1258="V01",Cadrage!$C$35,IF($D1258="V02",Cadrage!$D$35,Cadrage!$E$35)))</f>
        <v/>
      </c>
      <c r="N1258">
        <f>IF($A1258="","",IF($D1258="V01",$R$2,IF($D1258="V02",$R$3,$R$4)))</f>
        <v/>
      </c>
      <c r="O1258">
        <f>IF($A1258="","",IF(OR($B1258="7062",$B1258="706",$B1258="708"),$N1258,IF($B1258="6231",1+$G1258,IF($B1258="6236",1+$H1258,IF(OR($B1258="621",$B1258="604",$B1258="6063"),$N1258*(1-$L1258),IF(OR($B1258="6411",$B1258="6413",$B1258="6414",$B1258="645"),(1+$J1258)*(1+$K1258),IF(OR($B1258="613",$B1258="615",$B1258="616",$B1258="6226",$B1258="625",$B1258="626",$B1258="6281"),(1+$I1258)*(1-$L1258)*(1+$M1258),IF(OR($B1258="6331",$B1258="63511",$B1258="6333"),(1+$I1258)*(1-$L1258),IF($B1258="6811",1+$I1258,1)))))))))</f>
        <v/>
      </c>
      <c r="P1258">
        <f>IF($A1258="","",IF($E1258=1,$F1258*$O1258,PNL!G1258))</f>
        <v/>
      </c>
      <c r="T1258">
        <f>IF($A1258="","",IF($E1258=1,IF(OR($B1258="7062",$B1258="706",$B1258="708"),$P1258,IF(AND(LEFT($B1258,1)="6",$B1258&lt;&gt;"6811"),-$P1258,0)),0))</f>
        <v/>
      </c>
    </row>
    <row r="1259">
      <c r="A1259">
        <f>IF(PNL!A1259="","",PNL!A1259)</f>
        <v/>
      </c>
      <c r="B1259">
        <f>IF(PNL!B1259="","",PNL!B1259)</f>
        <v/>
      </c>
      <c r="C1259">
        <f>IF(PNL!C1259="","",PNL!C1259)</f>
        <v/>
      </c>
      <c r="D1259">
        <f>IF(PNL!D1259="","",PNL!D1259)</f>
        <v/>
      </c>
      <c r="E1259">
        <f>IF($A1259="","",IF(AND($C1259="2027",OR($D1259="V01",$D1259="V02",$D1259="V03")),1,0))</f>
        <v/>
      </c>
      <c r="F1259">
        <f>IF($A1259="","",IF($E1259=1,SUMIFS(Comptabilité!$F$1:$F$675,Comptabilité!$A$1:$A$675,$A1259,Comptabilité!$B$1:$B$675,$B1259,Comptabilité!$C$1:$C$675,"2026"),0))</f>
        <v/>
      </c>
      <c r="G1259">
        <f>IF($A1259="","",IF($D1259="V01",Cadrage!$C$22,IF($D1259="V02",Cadrage!$D$22,Cadrage!$E$22)))</f>
        <v/>
      </c>
      <c r="H1259">
        <f>IF($A1259="","",IF($D1259="V01",Cadrage!$C$23,IF($D1259="V02",Cadrage!$D$23,Cadrage!$E$23)))</f>
        <v/>
      </c>
      <c r="I1259">
        <f>IF($A1259="","",IF($D1259="V01",Cadrage!$C$31,IF($D1259="V02",Cadrage!$D$31,Cadrage!$E$31)))</f>
        <v/>
      </c>
      <c r="J1259">
        <f>IF($A1259="","",IF($D1259="V01",Cadrage!$C$32,IF($D1259="V02",Cadrage!$D$32,Cadrage!$E$32)))</f>
        <v/>
      </c>
      <c r="K1259">
        <f>IF($A1259="","",IF($D1259="V01",Cadrage!$C$33,IF($D1259="V02",Cadrage!$D$33,Cadrage!$E$33)))</f>
        <v/>
      </c>
      <c r="L1259">
        <f>IF($A1259="","",IF($D1259="V01",Cadrage!$C$34,IF($D1259="V02",Cadrage!$D$34,Cadrage!$E$34)))</f>
        <v/>
      </c>
      <c r="M1259">
        <f>IF($A1259="","",IF($D1259="V01",Cadrage!$C$35,IF($D1259="V02",Cadrage!$D$35,Cadrage!$E$35)))</f>
        <v/>
      </c>
      <c r="N1259">
        <f>IF($A1259="","",IF($D1259="V01",$R$2,IF($D1259="V02",$R$3,$R$4)))</f>
        <v/>
      </c>
      <c r="O1259">
        <f>IF($A1259="","",IF(OR($B1259="7062",$B1259="706",$B1259="708"),$N1259,IF($B1259="6231",1+$G1259,IF($B1259="6236",1+$H1259,IF(OR($B1259="621",$B1259="604",$B1259="6063"),$N1259*(1-$L1259),IF(OR($B1259="6411",$B1259="6413",$B1259="6414",$B1259="645"),(1+$J1259)*(1+$K1259),IF(OR($B1259="613",$B1259="615",$B1259="616",$B1259="6226",$B1259="625",$B1259="626",$B1259="6281"),(1+$I1259)*(1-$L1259)*(1+$M1259),IF(OR($B1259="6331",$B1259="63511",$B1259="6333"),(1+$I1259)*(1-$L1259),IF($B1259="6811",1+$I1259,1)))))))))</f>
        <v/>
      </c>
      <c r="P1259">
        <f>IF($A1259="","",IF($E1259=1,$F1259*$O1259,PNL!G1259))</f>
        <v/>
      </c>
      <c r="T1259">
        <f>IF($A1259="","",IF($E1259=1,IF(OR($B1259="7062",$B1259="706",$B1259="708"),$P1259,IF(AND(LEFT($B1259,1)="6",$B1259&lt;&gt;"6811"),-$P1259,0)),0))</f>
        <v/>
      </c>
    </row>
    <row r="1260">
      <c r="A1260">
        <f>IF(PNL!A1260="","",PNL!A1260)</f>
        <v/>
      </c>
      <c r="B1260">
        <f>IF(PNL!B1260="","",PNL!B1260)</f>
        <v/>
      </c>
      <c r="C1260">
        <f>IF(PNL!C1260="","",PNL!C1260)</f>
        <v/>
      </c>
      <c r="D1260">
        <f>IF(PNL!D1260="","",PNL!D1260)</f>
        <v/>
      </c>
      <c r="E1260">
        <f>IF($A1260="","",IF(AND($C1260="2027",OR($D1260="V01",$D1260="V02",$D1260="V03")),1,0))</f>
        <v/>
      </c>
      <c r="F1260">
        <f>IF($A1260="","",IF($E1260=1,SUMIFS(Comptabilité!$F$1:$F$675,Comptabilité!$A$1:$A$675,$A1260,Comptabilité!$B$1:$B$675,$B1260,Comptabilité!$C$1:$C$675,"2026"),0))</f>
        <v/>
      </c>
      <c r="G1260">
        <f>IF($A1260="","",IF($D1260="V01",Cadrage!$C$22,IF($D1260="V02",Cadrage!$D$22,Cadrage!$E$22)))</f>
        <v/>
      </c>
      <c r="H1260">
        <f>IF($A1260="","",IF($D1260="V01",Cadrage!$C$23,IF($D1260="V02",Cadrage!$D$23,Cadrage!$E$23)))</f>
        <v/>
      </c>
      <c r="I1260">
        <f>IF($A1260="","",IF($D1260="V01",Cadrage!$C$31,IF($D1260="V02",Cadrage!$D$31,Cadrage!$E$31)))</f>
        <v/>
      </c>
      <c r="J1260">
        <f>IF($A1260="","",IF($D1260="V01",Cadrage!$C$32,IF($D1260="V02",Cadrage!$D$32,Cadrage!$E$32)))</f>
        <v/>
      </c>
      <c r="K1260">
        <f>IF($A1260="","",IF($D1260="V01",Cadrage!$C$33,IF($D1260="V02",Cadrage!$D$33,Cadrage!$E$33)))</f>
        <v/>
      </c>
      <c r="L1260">
        <f>IF($A1260="","",IF($D1260="V01",Cadrage!$C$34,IF($D1260="V02",Cadrage!$D$34,Cadrage!$E$34)))</f>
        <v/>
      </c>
      <c r="M1260">
        <f>IF($A1260="","",IF($D1260="V01",Cadrage!$C$35,IF($D1260="V02",Cadrage!$D$35,Cadrage!$E$35)))</f>
        <v/>
      </c>
      <c r="N1260">
        <f>IF($A1260="","",IF($D1260="V01",$R$2,IF($D1260="V02",$R$3,$R$4)))</f>
        <v/>
      </c>
      <c r="O1260">
        <f>IF($A1260="","",IF(OR($B1260="7062",$B1260="706",$B1260="708"),$N1260,IF($B1260="6231",1+$G1260,IF($B1260="6236",1+$H1260,IF(OR($B1260="621",$B1260="604",$B1260="6063"),$N1260*(1-$L1260),IF(OR($B1260="6411",$B1260="6413",$B1260="6414",$B1260="645"),(1+$J1260)*(1+$K1260),IF(OR($B1260="613",$B1260="615",$B1260="616",$B1260="6226",$B1260="625",$B1260="626",$B1260="6281"),(1+$I1260)*(1-$L1260)*(1+$M1260),IF(OR($B1260="6331",$B1260="63511",$B1260="6333"),(1+$I1260)*(1-$L1260),IF($B1260="6811",1+$I1260,1)))))))))</f>
        <v/>
      </c>
      <c r="P1260">
        <f>IF($A1260="","",IF($E1260=1,$F1260*$O1260,PNL!G1260))</f>
        <v/>
      </c>
      <c r="T1260">
        <f>IF($A1260="","",IF($E1260=1,IF(OR($B1260="7062",$B1260="706",$B1260="708"),$P1260,IF(AND(LEFT($B1260,1)="6",$B1260&lt;&gt;"6811"),-$P1260,0)),0))</f>
        <v/>
      </c>
    </row>
    <row r="1261">
      <c r="A1261">
        <f>IF(PNL!A1261="","",PNL!A1261)</f>
        <v/>
      </c>
      <c r="B1261">
        <f>IF(PNL!B1261="","",PNL!B1261)</f>
        <v/>
      </c>
      <c r="C1261">
        <f>IF(PNL!C1261="","",PNL!C1261)</f>
        <v/>
      </c>
      <c r="D1261">
        <f>IF(PNL!D1261="","",PNL!D1261)</f>
        <v/>
      </c>
      <c r="E1261">
        <f>IF($A1261="","",IF(AND($C1261="2027",OR($D1261="V01",$D1261="V02",$D1261="V03")),1,0))</f>
        <v/>
      </c>
      <c r="F1261">
        <f>IF($A1261="","",IF($E1261=1,SUMIFS(Comptabilité!$F$1:$F$675,Comptabilité!$A$1:$A$675,$A1261,Comptabilité!$B$1:$B$675,$B1261,Comptabilité!$C$1:$C$675,"2026"),0))</f>
        <v/>
      </c>
      <c r="G1261">
        <f>IF($A1261="","",IF($D1261="V01",Cadrage!$C$22,IF($D1261="V02",Cadrage!$D$22,Cadrage!$E$22)))</f>
        <v/>
      </c>
      <c r="H1261">
        <f>IF($A1261="","",IF($D1261="V01",Cadrage!$C$23,IF($D1261="V02",Cadrage!$D$23,Cadrage!$E$23)))</f>
        <v/>
      </c>
      <c r="I1261">
        <f>IF($A1261="","",IF($D1261="V01",Cadrage!$C$31,IF($D1261="V02",Cadrage!$D$31,Cadrage!$E$31)))</f>
        <v/>
      </c>
      <c r="J1261">
        <f>IF($A1261="","",IF($D1261="V01",Cadrage!$C$32,IF($D1261="V02",Cadrage!$D$32,Cadrage!$E$32)))</f>
        <v/>
      </c>
      <c r="K1261">
        <f>IF($A1261="","",IF($D1261="V01",Cadrage!$C$33,IF($D1261="V02",Cadrage!$D$33,Cadrage!$E$33)))</f>
        <v/>
      </c>
      <c r="L1261">
        <f>IF($A1261="","",IF($D1261="V01",Cadrage!$C$34,IF($D1261="V02",Cadrage!$D$34,Cadrage!$E$34)))</f>
        <v/>
      </c>
      <c r="M1261">
        <f>IF($A1261="","",IF($D1261="V01",Cadrage!$C$35,IF($D1261="V02",Cadrage!$D$35,Cadrage!$E$35)))</f>
        <v/>
      </c>
      <c r="N1261">
        <f>IF($A1261="","",IF($D1261="V01",$R$2,IF($D1261="V02",$R$3,$R$4)))</f>
        <v/>
      </c>
      <c r="O1261">
        <f>IF($A1261="","",IF(OR($B1261="7062",$B1261="706",$B1261="708"),$N1261,IF($B1261="6231",1+$G1261,IF($B1261="6236",1+$H1261,IF(OR($B1261="621",$B1261="604",$B1261="6063"),$N1261*(1-$L1261),IF(OR($B1261="6411",$B1261="6413",$B1261="6414",$B1261="645"),(1+$J1261)*(1+$K1261),IF(OR($B1261="613",$B1261="615",$B1261="616",$B1261="6226",$B1261="625",$B1261="626",$B1261="6281"),(1+$I1261)*(1-$L1261)*(1+$M1261),IF(OR($B1261="6331",$B1261="63511",$B1261="6333"),(1+$I1261)*(1-$L1261),IF($B1261="6811",1+$I1261,1)))))))))</f>
        <v/>
      </c>
      <c r="P1261">
        <f>IF($A1261="","",IF($E1261=1,$F1261*$O1261,PNL!G1261))</f>
        <v/>
      </c>
      <c r="T1261">
        <f>IF($A1261="","",IF($E1261=1,IF(OR($B1261="7062",$B1261="706",$B1261="708"),$P1261,IF(AND(LEFT($B1261,1)="6",$B1261&lt;&gt;"6811"),-$P1261,0)),0))</f>
        <v/>
      </c>
    </row>
    <row r="1262">
      <c r="A1262">
        <f>IF(PNL!A1262="","",PNL!A1262)</f>
        <v/>
      </c>
      <c r="B1262">
        <f>IF(PNL!B1262="","",PNL!B1262)</f>
        <v/>
      </c>
      <c r="C1262">
        <f>IF(PNL!C1262="","",PNL!C1262)</f>
        <v/>
      </c>
      <c r="D1262">
        <f>IF(PNL!D1262="","",PNL!D1262)</f>
        <v/>
      </c>
      <c r="E1262">
        <f>IF($A1262="","",IF(AND($C1262="2027",OR($D1262="V01",$D1262="V02",$D1262="V03")),1,0))</f>
        <v/>
      </c>
      <c r="F1262">
        <f>IF($A1262="","",IF($E1262=1,SUMIFS(Comptabilité!$F$1:$F$675,Comptabilité!$A$1:$A$675,$A1262,Comptabilité!$B$1:$B$675,$B1262,Comptabilité!$C$1:$C$675,"2026"),0))</f>
        <v/>
      </c>
      <c r="G1262">
        <f>IF($A1262="","",IF($D1262="V01",Cadrage!$C$22,IF($D1262="V02",Cadrage!$D$22,Cadrage!$E$22)))</f>
        <v/>
      </c>
      <c r="H1262">
        <f>IF($A1262="","",IF($D1262="V01",Cadrage!$C$23,IF($D1262="V02",Cadrage!$D$23,Cadrage!$E$23)))</f>
        <v/>
      </c>
      <c r="I1262">
        <f>IF($A1262="","",IF($D1262="V01",Cadrage!$C$31,IF($D1262="V02",Cadrage!$D$31,Cadrage!$E$31)))</f>
        <v/>
      </c>
      <c r="J1262">
        <f>IF($A1262="","",IF($D1262="V01",Cadrage!$C$32,IF($D1262="V02",Cadrage!$D$32,Cadrage!$E$32)))</f>
        <v/>
      </c>
      <c r="K1262">
        <f>IF($A1262="","",IF($D1262="V01",Cadrage!$C$33,IF($D1262="V02",Cadrage!$D$33,Cadrage!$E$33)))</f>
        <v/>
      </c>
      <c r="L1262">
        <f>IF($A1262="","",IF($D1262="V01",Cadrage!$C$34,IF($D1262="V02",Cadrage!$D$34,Cadrage!$E$34)))</f>
        <v/>
      </c>
      <c r="M1262">
        <f>IF($A1262="","",IF($D1262="V01",Cadrage!$C$35,IF($D1262="V02",Cadrage!$D$35,Cadrage!$E$35)))</f>
        <v/>
      </c>
      <c r="N1262">
        <f>IF($A1262="","",IF($D1262="V01",$R$2,IF($D1262="V02",$R$3,$R$4)))</f>
        <v/>
      </c>
      <c r="O1262">
        <f>IF($A1262="","",IF(OR($B1262="7062",$B1262="706",$B1262="708"),$N1262,IF($B1262="6231",1+$G1262,IF($B1262="6236",1+$H1262,IF(OR($B1262="621",$B1262="604",$B1262="6063"),$N1262*(1-$L1262),IF(OR($B1262="6411",$B1262="6413",$B1262="6414",$B1262="645"),(1+$J1262)*(1+$K1262),IF(OR($B1262="613",$B1262="615",$B1262="616",$B1262="6226",$B1262="625",$B1262="626",$B1262="6281"),(1+$I1262)*(1-$L1262)*(1+$M1262),IF(OR($B1262="6331",$B1262="63511",$B1262="6333"),(1+$I1262)*(1-$L1262),IF($B1262="6811",1+$I1262,1)))))))))</f>
        <v/>
      </c>
      <c r="P1262">
        <f>IF($A1262="","",IF($E1262=1,$F1262*$O1262,PNL!G1262))</f>
        <v/>
      </c>
      <c r="T1262">
        <f>IF($A1262="","",IF($E1262=1,IF(OR($B1262="7062",$B1262="706",$B1262="708"),$P1262,IF(AND(LEFT($B1262,1)="6",$B1262&lt;&gt;"6811"),-$P1262,0)),0))</f>
        <v/>
      </c>
    </row>
    <row r="1263">
      <c r="A1263">
        <f>IF(PNL!A1263="","",PNL!A1263)</f>
        <v/>
      </c>
      <c r="B1263">
        <f>IF(PNL!B1263="","",PNL!B1263)</f>
        <v/>
      </c>
      <c r="C1263">
        <f>IF(PNL!C1263="","",PNL!C1263)</f>
        <v/>
      </c>
      <c r="D1263">
        <f>IF(PNL!D1263="","",PNL!D1263)</f>
        <v/>
      </c>
      <c r="E1263">
        <f>IF($A1263="","",IF(AND($C1263="2027",OR($D1263="V01",$D1263="V02",$D1263="V03")),1,0))</f>
        <v/>
      </c>
      <c r="F1263">
        <f>IF($A1263="","",IF($E1263=1,SUMIFS(Comptabilité!$F$1:$F$675,Comptabilité!$A$1:$A$675,$A1263,Comptabilité!$B$1:$B$675,$B1263,Comptabilité!$C$1:$C$675,"2026"),0))</f>
        <v/>
      </c>
      <c r="G1263">
        <f>IF($A1263="","",IF($D1263="V01",Cadrage!$C$22,IF($D1263="V02",Cadrage!$D$22,Cadrage!$E$22)))</f>
        <v/>
      </c>
      <c r="H1263">
        <f>IF($A1263="","",IF($D1263="V01",Cadrage!$C$23,IF($D1263="V02",Cadrage!$D$23,Cadrage!$E$23)))</f>
        <v/>
      </c>
      <c r="I1263">
        <f>IF($A1263="","",IF($D1263="V01",Cadrage!$C$31,IF($D1263="V02",Cadrage!$D$31,Cadrage!$E$31)))</f>
        <v/>
      </c>
      <c r="J1263">
        <f>IF($A1263="","",IF($D1263="V01",Cadrage!$C$32,IF($D1263="V02",Cadrage!$D$32,Cadrage!$E$32)))</f>
        <v/>
      </c>
      <c r="K1263">
        <f>IF($A1263="","",IF($D1263="V01",Cadrage!$C$33,IF($D1263="V02",Cadrage!$D$33,Cadrage!$E$33)))</f>
        <v/>
      </c>
      <c r="L1263">
        <f>IF($A1263="","",IF($D1263="V01",Cadrage!$C$34,IF($D1263="V02",Cadrage!$D$34,Cadrage!$E$34)))</f>
        <v/>
      </c>
      <c r="M1263">
        <f>IF($A1263="","",IF($D1263="V01",Cadrage!$C$35,IF($D1263="V02",Cadrage!$D$35,Cadrage!$E$35)))</f>
        <v/>
      </c>
      <c r="N1263">
        <f>IF($A1263="","",IF($D1263="V01",$R$2,IF($D1263="V02",$R$3,$R$4)))</f>
        <v/>
      </c>
      <c r="O1263">
        <f>IF($A1263="","",IF(OR($B1263="7062",$B1263="706",$B1263="708"),$N1263,IF($B1263="6231",1+$G1263,IF($B1263="6236",1+$H1263,IF(OR($B1263="621",$B1263="604",$B1263="6063"),$N1263*(1-$L1263),IF(OR($B1263="6411",$B1263="6413",$B1263="6414",$B1263="645"),(1+$J1263)*(1+$K1263),IF(OR($B1263="613",$B1263="615",$B1263="616",$B1263="6226",$B1263="625",$B1263="626",$B1263="6281"),(1+$I1263)*(1-$L1263)*(1+$M1263),IF(OR($B1263="6331",$B1263="63511",$B1263="6333"),(1+$I1263)*(1-$L1263),IF($B1263="6811",1+$I1263,1)))))))))</f>
        <v/>
      </c>
      <c r="P1263">
        <f>IF($A1263="","",IF($E1263=1,$F1263*$O1263,PNL!G1263))</f>
        <v/>
      </c>
      <c r="T1263">
        <f>IF($A1263="","",IF($E1263=1,IF(OR($B1263="7062",$B1263="706",$B1263="708"),$P1263,IF(AND(LEFT($B1263,1)="6",$B1263&lt;&gt;"6811"),-$P1263,0)),0))</f>
        <v/>
      </c>
    </row>
    <row r="1264">
      <c r="A1264">
        <f>IF(PNL!A1264="","",PNL!A1264)</f>
        <v/>
      </c>
      <c r="B1264">
        <f>IF(PNL!B1264="","",PNL!B1264)</f>
        <v/>
      </c>
      <c r="C1264">
        <f>IF(PNL!C1264="","",PNL!C1264)</f>
        <v/>
      </c>
      <c r="D1264">
        <f>IF(PNL!D1264="","",PNL!D1264)</f>
        <v/>
      </c>
      <c r="E1264">
        <f>IF($A1264="","",IF(AND($C1264="2027",OR($D1264="V01",$D1264="V02",$D1264="V03")),1,0))</f>
        <v/>
      </c>
      <c r="F1264">
        <f>IF($A1264="","",IF($E1264=1,SUMIFS(Comptabilité!$F$1:$F$675,Comptabilité!$A$1:$A$675,$A1264,Comptabilité!$B$1:$B$675,$B1264,Comptabilité!$C$1:$C$675,"2026"),0))</f>
        <v/>
      </c>
      <c r="G1264">
        <f>IF($A1264="","",IF($D1264="V01",Cadrage!$C$22,IF($D1264="V02",Cadrage!$D$22,Cadrage!$E$22)))</f>
        <v/>
      </c>
      <c r="H1264">
        <f>IF($A1264="","",IF($D1264="V01",Cadrage!$C$23,IF($D1264="V02",Cadrage!$D$23,Cadrage!$E$23)))</f>
        <v/>
      </c>
      <c r="I1264">
        <f>IF($A1264="","",IF($D1264="V01",Cadrage!$C$31,IF($D1264="V02",Cadrage!$D$31,Cadrage!$E$31)))</f>
        <v/>
      </c>
      <c r="J1264">
        <f>IF($A1264="","",IF($D1264="V01",Cadrage!$C$32,IF($D1264="V02",Cadrage!$D$32,Cadrage!$E$32)))</f>
        <v/>
      </c>
      <c r="K1264">
        <f>IF($A1264="","",IF($D1264="V01",Cadrage!$C$33,IF($D1264="V02",Cadrage!$D$33,Cadrage!$E$33)))</f>
        <v/>
      </c>
      <c r="L1264">
        <f>IF($A1264="","",IF($D1264="V01",Cadrage!$C$34,IF($D1264="V02",Cadrage!$D$34,Cadrage!$E$34)))</f>
        <v/>
      </c>
      <c r="M1264">
        <f>IF($A1264="","",IF($D1264="V01",Cadrage!$C$35,IF($D1264="V02",Cadrage!$D$35,Cadrage!$E$35)))</f>
        <v/>
      </c>
      <c r="N1264">
        <f>IF($A1264="","",IF($D1264="V01",$R$2,IF($D1264="V02",$R$3,$R$4)))</f>
        <v/>
      </c>
      <c r="O1264">
        <f>IF($A1264="","",IF(OR($B1264="7062",$B1264="706",$B1264="708"),$N1264,IF($B1264="6231",1+$G1264,IF($B1264="6236",1+$H1264,IF(OR($B1264="621",$B1264="604",$B1264="6063"),$N1264*(1-$L1264),IF(OR($B1264="6411",$B1264="6413",$B1264="6414",$B1264="645"),(1+$J1264)*(1+$K1264),IF(OR($B1264="613",$B1264="615",$B1264="616",$B1264="6226",$B1264="625",$B1264="626",$B1264="6281"),(1+$I1264)*(1-$L1264)*(1+$M1264),IF(OR($B1264="6331",$B1264="63511",$B1264="6333"),(1+$I1264)*(1-$L1264),IF($B1264="6811",1+$I1264,1)))))))))</f>
        <v/>
      </c>
      <c r="P1264">
        <f>IF($A1264="","",IF($E1264=1,$F1264*$O1264,PNL!G1264))</f>
        <v/>
      </c>
      <c r="T1264">
        <f>IF($A1264="","",IF($E1264=1,IF(OR($B1264="7062",$B1264="706",$B1264="708"),$P1264,IF(AND(LEFT($B1264,1)="6",$B1264&lt;&gt;"6811"),-$P1264,0)),0))</f>
        <v/>
      </c>
    </row>
    <row r="1265">
      <c r="A1265">
        <f>IF(PNL!A1265="","",PNL!A1265)</f>
        <v/>
      </c>
      <c r="B1265">
        <f>IF(PNL!B1265="","",PNL!B1265)</f>
        <v/>
      </c>
      <c r="C1265">
        <f>IF(PNL!C1265="","",PNL!C1265)</f>
        <v/>
      </c>
      <c r="D1265">
        <f>IF(PNL!D1265="","",PNL!D1265)</f>
        <v/>
      </c>
      <c r="E1265">
        <f>IF($A1265="","",IF(AND($C1265="2027",OR($D1265="V01",$D1265="V02",$D1265="V03")),1,0))</f>
        <v/>
      </c>
      <c r="F1265">
        <f>IF($A1265="","",IF($E1265=1,SUMIFS(Comptabilité!$F$1:$F$675,Comptabilité!$A$1:$A$675,$A1265,Comptabilité!$B$1:$B$675,$B1265,Comptabilité!$C$1:$C$675,"2026"),0))</f>
        <v/>
      </c>
      <c r="G1265">
        <f>IF($A1265="","",IF($D1265="V01",Cadrage!$C$22,IF($D1265="V02",Cadrage!$D$22,Cadrage!$E$22)))</f>
        <v/>
      </c>
      <c r="H1265">
        <f>IF($A1265="","",IF($D1265="V01",Cadrage!$C$23,IF($D1265="V02",Cadrage!$D$23,Cadrage!$E$23)))</f>
        <v/>
      </c>
      <c r="I1265">
        <f>IF($A1265="","",IF($D1265="V01",Cadrage!$C$31,IF($D1265="V02",Cadrage!$D$31,Cadrage!$E$31)))</f>
        <v/>
      </c>
      <c r="J1265">
        <f>IF($A1265="","",IF($D1265="V01",Cadrage!$C$32,IF($D1265="V02",Cadrage!$D$32,Cadrage!$E$32)))</f>
        <v/>
      </c>
      <c r="K1265">
        <f>IF($A1265="","",IF($D1265="V01",Cadrage!$C$33,IF($D1265="V02",Cadrage!$D$33,Cadrage!$E$33)))</f>
        <v/>
      </c>
      <c r="L1265">
        <f>IF($A1265="","",IF($D1265="V01",Cadrage!$C$34,IF($D1265="V02",Cadrage!$D$34,Cadrage!$E$34)))</f>
        <v/>
      </c>
      <c r="M1265">
        <f>IF($A1265="","",IF($D1265="V01",Cadrage!$C$35,IF($D1265="V02",Cadrage!$D$35,Cadrage!$E$35)))</f>
        <v/>
      </c>
      <c r="N1265">
        <f>IF($A1265="","",IF($D1265="V01",$R$2,IF($D1265="V02",$R$3,$R$4)))</f>
        <v/>
      </c>
      <c r="O1265">
        <f>IF($A1265="","",IF(OR($B1265="7062",$B1265="706",$B1265="708"),$N1265,IF($B1265="6231",1+$G1265,IF($B1265="6236",1+$H1265,IF(OR($B1265="621",$B1265="604",$B1265="6063"),$N1265*(1-$L1265),IF(OR($B1265="6411",$B1265="6413",$B1265="6414",$B1265="645"),(1+$J1265)*(1+$K1265),IF(OR($B1265="613",$B1265="615",$B1265="616",$B1265="6226",$B1265="625",$B1265="626",$B1265="6281"),(1+$I1265)*(1-$L1265)*(1+$M1265),IF(OR($B1265="6331",$B1265="63511",$B1265="6333"),(1+$I1265)*(1-$L1265),IF($B1265="6811",1+$I1265,1)))))))))</f>
        <v/>
      </c>
      <c r="P1265">
        <f>IF($A1265="","",IF($E1265=1,$F1265*$O1265,PNL!G1265))</f>
        <v/>
      </c>
      <c r="T1265">
        <f>IF($A1265="","",IF($E1265=1,IF(OR($B1265="7062",$B1265="706",$B1265="708"),$P1265,IF(AND(LEFT($B1265,1)="6",$B1265&lt;&gt;"6811"),-$P1265,0)),0))</f>
        <v/>
      </c>
    </row>
    <row r="1266">
      <c r="A1266">
        <f>IF(PNL!A1266="","",PNL!A1266)</f>
        <v/>
      </c>
      <c r="B1266">
        <f>IF(PNL!B1266="","",PNL!B1266)</f>
        <v/>
      </c>
      <c r="C1266">
        <f>IF(PNL!C1266="","",PNL!C1266)</f>
        <v/>
      </c>
      <c r="D1266">
        <f>IF(PNL!D1266="","",PNL!D1266)</f>
        <v/>
      </c>
      <c r="E1266">
        <f>IF($A1266="","",IF(AND($C1266="2027",OR($D1266="V01",$D1266="V02",$D1266="V03")),1,0))</f>
        <v/>
      </c>
      <c r="F1266">
        <f>IF($A1266="","",IF($E1266=1,SUMIFS(Comptabilité!$F$1:$F$675,Comptabilité!$A$1:$A$675,$A1266,Comptabilité!$B$1:$B$675,$B1266,Comptabilité!$C$1:$C$675,"2026"),0))</f>
        <v/>
      </c>
      <c r="G1266">
        <f>IF($A1266="","",IF($D1266="V01",Cadrage!$C$22,IF($D1266="V02",Cadrage!$D$22,Cadrage!$E$22)))</f>
        <v/>
      </c>
      <c r="H1266">
        <f>IF($A1266="","",IF($D1266="V01",Cadrage!$C$23,IF($D1266="V02",Cadrage!$D$23,Cadrage!$E$23)))</f>
        <v/>
      </c>
      <c r="I1266">
        <f>IF($A1266="","",IF($D1266="V01",Cadrage!$C$31,IF($D1266="V02",Cadrage!$D$31,Cadrage!$E$31)))</f>
        <v/>
      </c>
      <c r="J1266">
        <f>IF($A1266="","",IF($D1266="V01",Cadrage!$C$32,IF($D1266="V02",Cadrage!$D$32,Cadrage!$E$32)))</f>
        <v/>
      </c>
      <c r="K1266">
        <f>IF($A1266="","",IF($D1266="V01",Cadrage!$C$33,IF($D1266="V02",Cadrage!$D$33,Cadrage!$E$33)))</f>
        <v/>
      </c>
      <c r="L1266">
        <f>IF($A1266="","",IF($D1266="V01",Cadrage!$C$34,IF($D1266="V02",Cadrage!$D$34,Cadrage!$E$34)))</f>
        <v/>
      </c>
      <c r="M1266">
        <f>IF($A1266="","",IF($D1266="V01",Cadrage!$C$35,IF($D1266="V02",Cadrage!$D$35,Cadrage!$E$35)))</f>
        <v/>
      </c>
      <c r="N1266">
        <f>IF($A1266="","",IF($D1266="V01",$R$2,IF($D1266="V02",$R$3,$R$4)))</f>
        <v/>
      </c>
      <c r="O1266">
        <f>IF($A1266="","",IF(OR($B1266="7062",$B1266="706",$B1266="708"),$N1266,IF($B1266="6231",1+$G1266,IF($B1266="6236",1+$H1266,IF(OR($B1266="621",$B1266="604",$B1266="6063"),$N1266*(1-$L1266),IF(OR($B1266="6411",$B1266="6413",$B1266="6414",$B1266="645"),(1+$J1266)*(1+$K1266),IF(OR($B1266="613",$B1266="615",$B1266="616",$B1266="6226",$B1266="625",$B1266="626",$B1266="6281"),(1+$I1266)*(1-$L1266)*(1+$M1266),IF(OR($B1266="6331",$B1266="63511",$B1266="6333"),(1+$I1266)*(1-$L1266),IF($B1266="6811",1+$I1266,1)))))))))</f>
        <v/>
      </c>
      <c r="P1266">
        <f>IF($A1266="","",IF($E1266=1,$F1266*$O1266,PNL!G1266))</f>
        <v/>
      </c>
      <c r="T1266">
        <f>IF($A1266="","",IF($E1266=1,IF(OR($B1266="7062",$B1266="706",$B1266="708"),$P1266,IF(AND(LEFT($B1266,1)="6",$B1266&lt;&gt;"6811"),-$P1266,0)),0))</f>
        <v/>
      </c>
    </row>
    <row r="1267">
      <c r="A1267">
        <f>IF(PNL!A1267="","",PNL!A1267)</f>
        <v/>
      </c>
      <c r="B1267">
        <f>IF(PNL!B1267="","",PNL!B1267)</f>
        <v/>
      </c>
      <c r="C1267">
        <f>IF(PNL!C1267="","",PNL!C1267)</f>
        <v/>
      </c>
      <c r="D1267">
        <f>IF(PNL!D1267="","",PNL!D1267)</f>
        <v/>
      </c>
      <c r="E1267">
        <f>IF($A1267="","",IF(AND($C1267="2027",OR($D1267="V01",$D1267="V02",$D1267="V03")),1,0))</f>
        <v/>
      </c>
      <c r="F1267">
        <f>IF($A1267="","",IF($E1267=1,SUMIFS(Comptabilité!$F$1:$F$675,Comptabilité!$A$1:$A$675,$A1267,Comptabilité!$B$1:$B$675,$B1267,Comptabilité!$C$1:$C$675,"2026"),0))</f>
        <v/>
      </c>
      <c r="G1267">
        <f>IF($A1267="","",IF($D1267="V01",Cadrage!$C$22,IF($D1267="V02",Cadrage!$D$22,Cadrage!$E$22)))</f>
        <v/>
      </c>
      <c r="H1267">
        <f>IF($A1267="","",IF($D1267="V01",Cadrage!$C$23,IF($D1267="V02",Cadrage!$D$23,Cadrage!$E$23)))</f>
        <v/>
      </c>
      <c r="I1267">
        <f>IF($A1267="","",IF($D1267="V01",Cadrage!$C$31,IF($D1267="V02",Cadrage!$D$31,Cadrage!$E$31)))</f>
        <v/>
      </c>
      <c r="J1267">
        <f>IF($A1267="","",IF($D1267="V01",Cadrage!$C$32,IF($D1267="V02",Cadrage!$D$32,Cadrage!$E$32)))</f>
        <v/>
      </c>
      <c r="K1267">
        <f>IF($A1267="","",IF($D1267="V01",Cadrage!$C$33,IF($D1267="V02",Cadrage!$D$33,Cadrage!$E$33)))</f>
        <v/>
      </c>
      <c r="L1267">
        <f>IF($A1267="","",IF($D1267="V01",Cadrage!$C$34,IF($D1267="V02",Cadrage!$D$34,Cadrage!$E$34)))</f>
        <v/>
      </c>
      <c r="M1267">
        <f>IF($A1267="","",IF($D1267="V01",Cadrage!$C$35,IF($D1267="V02",Cadrage!$D$35,Cadrage!$E$35)))</f>
        <v/>
      </c>
      <c r="N1267">
        <f>IF($A1267="","",IF($D1267="V01",$R$2,IF($D1267="V02",$R$3,$R$4)))</f>
        <v/>
      </c>
      <c r="O1267">
        <f>IF($A1267="","",IF(OR($B1267="7062",$B1267="706",$B1267="708"),$N1267,IF($B1267="6231",1+$G1267,IF($B1267="6236",1+$H1267,IF(OR($B1267="621",$B1267="604",$B1267="6063"),$N1267*(1-$L1267),IF(OR($B1267="6411",$B1267="6413",$B1267="6414",$B1267="645"),(1+$J1267)*(1+$K1267),IF(OR($B1267="613",$B1267="615",$B1267="616",$B1267="6226",$B1267="625",$B1267="626",$B1267="6281"),(1+$I1267)*(1-$L1267)*(1+$M1267),IF(OR($B1267="6331",$B1267="63511",$B1267="6333"),(1+$I1267)*(1-$L1267),IF($B1267="6811",1+$I1267,1)))))))))</f>
        <v/>
      </c>
      <c r="P1267">
        <f>IF($A1267="","",IF($E1267=1,$F1267*$O1267,PNL!G1267))</f>
        <v/>
      </c>
      <c r="T1267">
        <f>IF($A1267="","",IF($E1267=1,IF(OR($B1267="7062",$B1267="706",$B1267="708"),$P1267,IF(AND(LEFT($B1267,1)="6",$B1267&lt;&gt;"6811"),-$P1267,0)),0))</f>
        <v/>
      </c>
    </row>
    <row r="1268">
      <c r="A1268">
        <f>IF(PNL!A1268="","",PNL!A1268)</f>
        <v/>
      </c>
      <c r="B1268">
        <f>IF(PNL!B1268="","",PNL!B1268)</f>
        <v/>
      </c>
      <c r="C1268">
        <f>IF(PNL!C1268="","",PNL!C1268)</f>
        <v/>
      </c>
      <c r="D1268">
        <f>IF(PNL!D1268="","",PNL!D1268)</f>
        <v/>
      </c>
      <c r="E1268">
        <f>IF($A1268="","",IF(AND($C1268="2027",OR($D1268="V01",$D1268="V02",$D1268="V03")),1,0))</f>
        <v/>
      </c>
      <c r="F1268">
        <f>IF($A1268="","",IF($E1268=1,SUMIFS(Comptabilité!$F$1:$F$675,Comptabilité!$A$1:$A$675,$A1268,Comptabilité!$B$1:$B$675,$B1268,Comptabilité!$C$1:$C$675,"2026"),0))</f>
        <v/>
      </c>
      <c r="G1268">
        <f>IF($A1268="","",IF($D1268="V01",Cadrage!$C$22,IF($D1268="V02",Cadrage!$D$22,Cadrage!$E$22)))</f>
        <v/>
      </c>
      <c r="H1268">
        <f>IF($A1268="","",IF($D1268="V01",Cadrage!$C$23,IF($D1268="V02",Cadrage!$D$23,Cadrage!$E$23)))</f>
        <v/>
      </c>
      <c r="I1268">
        <f>IF($A1268="","",IF($D1268="V01",Cadrage!$C$31,IF($D1268="V02",Cadrage!$D$31,Cadrage!$E$31)))</f>
        <v/>
      </c>
      <c r="J1268">
        <f>IF($A1268="","",IF($D1268="V01",Cadrage!$C$32,IF($D1268="V02",Cadrage!$D$32,Cadrage!$E$32)))</f>
        <v/>
      </c>
      <c r="K1268">
        <f>IF($A1268="","",IF($D1268="V01",Cadrage!$C$33,IF($D1268="V02",Cadrage!$D$33,Cadrage!$E$33)))</f>
        <v/>
      </c>
      <c r="L1268">
        <f>IF($A1268="","",IF($D1268="V01",Cadrage!$C$34,IF($D1268="V02",Cadrage!$D$34,Cadrage!$E$34)))</f>
        <v/>
      </c>
      <c r="M1268">
        <f>IF($A1268="","",IF($D1268="V01",Cadrage!$C$35,IF($D1268="V02",Cadrage!$D$35,Cadrage!$E$35)))</f>
        <v/>
      </c>
      <c r="N1268">
        <f>IF($A1268="","",IF($D1268="V01",$R$2,IF($D1268="V02",$R$3,$R$4)))</f>
        <v/>
      </c>
      <c r="O1268">
        <f>IF($A1268="","",IF(OR($B1268="7062",$B1268="706",$B1268="708"),$N1268,IF($B1268="6231",1+$G1268,IF($B1268="6236",1+$H1268,IF(OR($B1268="621",$B1268="604",$B1268="6063"),$N1268*(1-$L1268),IF(OR($B1268="6411",$B1268="6413",$B1268="6414",$B1268="645"),(1+$J1268)*(1+$K1268),IF(OR($B1268="613",$B1268="615",$B1268="616",$B1268="6226",$B1268="625",$B1268="626",$B1268="6281"),(1+$I1268)*(1-$L1268)*(1+$M1268),IF(OR($B1268="6331",$B1268="63511",$B1268="6333"),(1+$I1268)*(1-$L1268),IF($B1268="6811",1+$I1268,1)))))))))</f>
        <v/>
      </c>
      <c r="P1268">
        <f>IF($A1268="","",IF($E1268=1,$F1268*$O1268,PNL!G1268))</f>
        <v/>
      </c>
      <c r="T1268">
        <f>IF($A1268="","",IF($E1268=1,IF(OR($B1268="7062",$B1268="706",$B1268="708"),$P1268,IF(AND(LEFT($B1268,1)="6",$B1268&lt;&gt;"6811"),-$P1268,0)),0))</f>
        <v/>
      </c>
    </row>
    <row r="1269">
      <c r="A1269">
        <f>IF(PNL!A1269="","",PNL!A1269)</f>
        <v/>
      </c>
      <c r="B1269">
        <f>IF(PNL!B1269="","",PNL!B1269)</f>
        <v/>
      </c>
      <c r="C1269">
        <f>IF(PNL!C1269="","",PNL!C1269)</f>
        <v/>
      </c>
      <c r="D1269">
        <f>IF(PNL!D1269="","",PNL!D1269)</f>
        <v/>
      </c>
      <c r="E1269">
        <f>IF($A1269="","",IF(AND($C1269="2027",OR($D1269="V01",$D1269="V02",$D1269="V03")),1,0))</f>
        <v/>
      </c>
      <c r="F1269">
        <f>IF($A1269="","",IF($E1269=1,SUMIFS(Comptabilité!$F$1:$F$675,Comptabilité!$A$1:$A$675,$A1269,Comptabilité!$B$1:$B$675,$B1269,Comptabilité!$C$1:$C$675,"2026"),0))</f>
        <v/>
      </c>
      <c r="G1269">
        <f>IF($A1269="","",IF($D1269="V01",Cadrage!$C$22,IF($D1269="V02",Cadrage!$D$22,Cadrage!$E$22)))</f>
        <v/>
      </c>
      <c r="H1269">
        <f>IF($A1269="","",IF($D1269="V01",Cadrage!$C$23,IF($D1269="V02",Cadrage!$D$23,Cadrage!$E$23)))</f>
        <v/>
      </c>
      <c r="I1269">
        <f>IF($A1269="","",IF($D1269="V01",Cadrage!$C$31,IF($D1269="V02",Cadrage!$D$31,Cadrage!$E$31)))</f>
        <v/>
      </c>
      <c r="J1269">
        <f>IF($A1269="","",IF($D1269="V01",Cadrage!$C$32,IF($D1269="V02",Cadrage!$D$32,Cadrage!$E$32)))</f>
        <v/>
      </c>
      <c r="K1269">
        <f>IF($A1269="","",IF($D1269="V01",Cadrage!$C$33,IF($D1269="V02",Cadrage!$D$33,Cadrage!$E$33)))</f>
        <v/>
      </c>
      <c r="L1269">
        <f>IF($A1269="","",IF($D1269="V01",Cadrage!$C$34,IF($D1269="V02",Cadrage!$D$34,Cadrage!$E$34)))</f>
        <v/>
      </c>
      <c r="M1269">
        <f>IF($A1269="","",IF($D1269="V01",Cadrage!$C$35,IF($D1269="V02",Cadrage!$D$35,Cadrage!$E$35)))</f>
        <v/>
      </c>
      <c r="N1269">
        <f>IF($A1269="","",IF($D1269="V01",$R$2,IF($D1269="V02",$R$3,$R$4)))</f>
        <v/>
      </c>
      <c r="O1269">
        <f>IF($A1269="","",IF(OR($B1269="7062",$B1269="706",$B1269="708"),$N1269,IF($B1269="6231",1+$G1269,IF($B1269="6236",1+$H1269,IF(OR($B1269="621",$B1269="604",$B1269="6063"),$N1269*(1-$L1269),IF(OR($B1269="6411",$B1269="6413",$B1269="6414",$B1269="645"),(1+$J1269)*(1+$K1269),IF(OR($B1269="613",$B1269="615",$B1269="616",$B1269="6226",$B1269="625",$B1269="626",$B1269="6281"),(1+$I1269)*(1-$L1269)*(1+$M1269),IF(OR($B1269="6331",$B1269="63511",$B1269="6333"),(1+$I1269)*(1-$L1269),IF($B1269="6811",1+$I1269,1)))))))))</f>
        <v/>
      </c>
      <c r="P1269">
        <f>IF($A1269="","",IF($E1269=1,$F1269*$O1269,PNL!G1269))</f>
        <v/>
      </c>
      <c r="T1269">
        <f>IF($A1269="","",IF($E1269=1,IF(OR($B1269="7062",$B1269="706",$B1269="708"),$P1269,IF(AND(LEFT($B1269,1)="6",$B1269&lt;&gt;"6811"),-$P1269,0)),0))</f>
        <v/>
      </c>
    </row>
    <row r="1270">
      <c r="A1270">
        <f>IF(PNL!A1270="","",PNL!A1270)</f>
        <v/>
      </c>
      <c r="B1270">
        <f>IF(PNL!B1270="","",PNL!B1270)</f>
        <v/>
      </c>
      <c r="C1270">
        <f>IF(PNL!C1270="","",PNL!C1270)</f>
        <v/>
      </c>
      <c r="D1270">
        <f>IF(PNL!D1270="","",PNL!D1270)</f>
        <v/>
      </c>
      <c r="E1270">
        <f>IF($A1270="","",IF(AND($C1270="2027",OR($D1270="V01",$D1270="V02",$D1270="V03")),1,0))</f>
        <v/>
      </c>
      <c r="F1270">
        <f>IF($A1270="","",IF($E1270=1,SUMIFS(Comptabilité!$F$1:$F$675,Comptabilité!$A$1:$A$675,$A1270,Comptabilité!$B$1:$B$675,$B1270,Comptabilité!$C$1:$C$675,"2026"),0))</f>
        <v/>
      </c>
      <c r="G1270">
        <f>IF($A1270="","",IF($D1270="V01",Cadrage!$C$22,IF($D1270="V02",Cadrage!$D$22,Cadrage!$E$22)))</f>
        <v/>
      </c>
      <c r="H1270">
        <f>IF($A1270="","",IF($D1270="V01",Cadrage!$C$23,IF($D1270="V02",Cadrage!$D$23,Cadrage!$E$23)))</f>
        <v/>
      </c>
      <c r="I1270">
        <f>IF($A1270="","",IF($D1270="V01",Cadrage!$C$31,IF($D1270="V02",Cadrage!$D$31,Cadrage!$E$31)))</f>
        <v/>
      </c>
      <c r="J1270">
        <f>IF($A1270="","",IF($D1270="V01",Cadrage!$C$32,IF($D1270="V02",Cadrage!$D$32,Cadrage!$E$32)))</f>
        <v/>
      </c>
      <c r="K1270">
        <f>IF($A1270="","",IF($D1270="V01",Cadrage!$C$33,IF($D1270="V02",Cadrage!$D$33,Cadrage!$E$33)))</f>
        <v/>
      </c>
      <c r="L1270">
        <f>IF($A1270="","",IF($D1270="V01",Cadrage!$C$34,IF($D1270="V02",Cadrage!$D$34,Cadrage!$E$34)))</f>
        <v/>
      </c>
      <c r="M1270">
        <f>IF($A1270="","",IF($D1270="V01",Cadrage!$C$35,IF($D1270="V02",Cadrage!$D$35,Cadrage!$E$35)))</f>
        <v/>
      </c>
      <c r="N1270">
        <f>IF($A1270="","",IF($D1270="V01",$R$2,IF($D1270="V02",$R$3,$R$4)))</f>
        <v/>
      </c>
      <c r="O1270">
        <f>IF($A1270="","",IF(OR($B1270="7062",$B1270="706",$B1270="708"),$N1270,IF($B1270="6231",1+$G1270,IF($B1270="6236",1+$H1270,IF(OR($B1270="621",$B1270="604",$B1270="6063"),$N1270*(1-$L1270),IF(OR($B1270="6411",$B1270="6413",$B1270="6414",$B1270="645"),(1+$J1270)*(1+$K1270),IF(OR($B1270="613",$B1270="615",$B1270="616",$B1270="6226",$B1270="625",$B1270="626",$B1270="6281"),(1+$I1270)*(1-$L1270)*(1+$M1270),IF(OR($B1270="6331",$B1270="63511",$B1270="6333"),(1+$I1270)*(1-$L1270),IF($B1270="6811",1+$I1270,1)))))))))</f>
        <v/>
      </c>
      <c r="P1270">
        <f>IF($A1270="","",IF($E1270=1,$F1270*$O1270,PNL!G1270))</f>
        <v/>
      </c>
      <c r="T1270">
        <f>IF($A1270="","",IF($E1270=1,IF(OR($B1270="7062",$B1270="706",$B1270="708"),$P1270,IF(AND(LEFT($B1270,1)="6",$B1270&lt;&gt;"6811"),-$P1270,0)),0))</f>
        <v/>
      </c>
    </row>
    <row r="1271">
      <c r="A1271">
        <f>IF(PNL!A1271="","",PNL!A1271)</f>
        <v/>
      </c>
      <c r="B1271">
        <f>IF(PNL!B1271="","",PNL!B1271)</f>
        <v/>
      </c>
      <c r="C1271">
        <f>IF(PNL!C1271="","",PNL!C1271)</f>
        <v/>
      </c>
      <c r="D1271">
        <f>IF(PNL!D1271="","",PNL!D1271)</f>
        <v/>
      </c>
      <c r="E1271">
        <f>IF($A1271="","",IF(AND($C1271="2027",OR($D1271="V01",$D1271="V02",$D1271="V03")),1,0))</f>
        <v/>
      </c>
      <c r="F1271">
        <f>IF($A1271="","",IF($E1271=1,SUMIFS(Comptabilité!$F$1:$F$675,Comptabilité!$A$1:$A$675,$A1271,Comptabilité!$B$1:$B$675,$B1271,Comptabilité!$C$1:$C$675,"2026"),0))</f>
        <v/>
      </c>
      <c r="G1271">
        <f>IF($A1271="","",IF($D1271="V01",Cadrage!$C$22,IF($D1271="V02",Cadrage!$D$22,Cadrage!$E$22)))</f>
        <v/>
      </c>
      <c r="H1271">
        <f>IF($A1271="","",IF($D1271="V01",Cadrage!$C$23,IF($D1271="V02",Cadrage!$D$23,Cadrage!$E$23)))</f>
        <v/>
      </c>
      <c r="I1271">
        <f>IF($A1271="","",IF($D1271="V01",Cadrage!$C$31,IF($D1271="V02",Cadrage!$D$31,Cadrage!$E$31)))</f>
        <v/>
      </c>
      <c r="J1271">
        <f>IF($A1271="","",IF($D1271="V01",Cadrage!$C$32,IF($D1271="V02",Cadrage!$D$32,Cadrage!$E$32)))</f>
        <v/>
      </c>
      <c r="K1271">
        <f>IF($A1271="","",IF($D1271="V01",Cadrage!$C$33,IF($D1271="V02",Cadrage!$D$33,Cadrage!$E$33)))</f>
        <v/>
      </c>
      <c r="L1271">
        <f>IF($A1271="","",IF($D1271="V01",Cadrage!$C$34,IF($D1271="V02",Cadrage!$D$34,Cadrage!$E$34)))</f>
        <v/>
      </c>
      <c r="M1271">
        <f>IF($A1271="","",IF($D1271="V01",Cadrage!$C$35,IF($D1271="V02",Cadrage!$D$35,Cadrage!$E$35)))</f>
        <v/>
      </c>
      <c r="N1271">
        <f>IF($A1271="","",IF($D1271="V01",$R$2,IF($D1271="V02",$R$3,$R$4)))</f>
        <v/>
      </c>
      <c r="O1271">
        <f>IF($A1271="","",IF(OR($B1271="7062",$B1271="706",$B1271="708"),$N1271,IF($B1271="6231",1+$G1271,IF($B1271="6236",1+$H1271,IF(OR($B1271="621",$B1271="604",$B1271="6063"),$N1271*(1-$L1271),IF(OR($B1271="6411",$B1271="6413",$B1271="6414",$B1271="645"),(1+$J1271)*(1+$K1271),IF(OR($B1271="613",$B1271="615",$B1271="616",$B1271="6226",$B1271="625",$B1271="626",$B1271="6281"),(1+$I1271)*(1-$L1271)*(1+$M1271),IF(OR($B1271="6331",$B1271="63511",$B1271="6333"),(1+$I1271)*(1-$L1271),IF($B1271="6811",1+$I1271,1)))))))))</f>
        <v/>
      </c>
      <c r="P1271">
        <f>IF($A1271="","",IF($E1271=1,$F1271*$O1271,PNL!G1271))</f>
        <v/>
      </c>
      <c r="T1271">
        <f>IF($A1271="","",IF($E1271=1,IF(OR($B1271="7062",$B1271="706",$B1271="708"),$P1271,IF(AND(LEFT($B1271,1)="6",$B1271&lt;&gt;"6811"),-$P1271,0)),0))</f>
        <v/>
      </c>
    </row>
    <row r="1272">
      <c r="A1272">
        <f>IF(PNL!A1272="","",PNL!A1272)</f>
        <v/>
      </c>
      <c r="B1272">
        <f>IF(PNL!B1272="","",PNL!B1272)</f>
        <v/>
      </c>
      <c r="C1272">
        <f>IF(PNL!C1272="","",PNL!C1272)</f>
        <v/>
      </c>
      <c r="D1272">
        <f>IF(PNL!D1272="","",PNL!D1272)</f>
        <v/>
      </c>
      <c r="E1272">
        <f>IF($A1272="","",IF(AND($C1272="2027",OR($D1272="V01",$D1272="V02",$D1272="V03")),1,0))</f>
        <v/>
      </c>
      <c r="F1272">
        <f>IF($A1272="","",IF($E1272=1,SUMIFS(Comptabilité!$F$1:$F$675,Comptabilité!$A$1:$A$675,$A1272,Comptabilité!$B$1:$B$675,$B1272,Comptabilité!$C$1:$C$675,"2026"),0))</f>
        <v/>
      </c>
      <c r="G1272">
        <f>IF($A1272="","",IF($D1272="V01",Cadrage!$C$22,IF($D1272="V02",Cadrage!$D$22,Cadrage!$E$22)))</f>
        <v/>
      </c>
      <c r="H1272">
        <f>IF($A1272="","",IF($D1272="V01",Cadrage!$C$23,IF($D1272="V02",Cadrage!$D$23,Cadrage!$E$23)))</f>
        <v/>
      </c>
      <c r="I1272">
        <f>IF($A1272="","",IF($D1272="V01",Cadrage!$C$31,IF($D1272="V02",Cadrage!$D$31,Cadrage!$E$31)))</f>
        <v/>
      </c>
      <c r="J1272">
        <f>IF($A1272="","",IF($D1272="V01",Cadrage!$C$32,IF($D1272="V02",Cadrage!$D$32,Cadrage!$E$32)))</f>
        <v/>
      </c>
      <c r="K1272">
        <f>IF($A1272="","",IF($D1272="V01",Cadrage!$C$33,IF($D1272="V02",Cadrage!$D$33,Cadrage!$E$33)))</f>
        <v/>
      </c>
      <c r="L1272">
        <f>IF($A1272="","",IF($D1272="V01",Cadrage!$C$34,IF($D1272="V02",Cadrage!$D$34,Cadrage!$E$34)))</f>
        <v/>
      </c>
      <c r="M1272">
        <f>IF($A1272="","",IF($D1272="V01",Cadrage!$C$35,IF($D1272="V02",Cadrage!$D$35,Cadrage!$E$35)))</f>
        <v/>
      </c>
      <c r="N1272">
        <f>IF($A1272="","",IF($D1272="V01",$R$2,IF($D1272="V02",$R$3,$R$4)))</f>
        <v/>
      </c>
      <c r="O1272">
        <f>IF($A1272="","",IF(OR($B1272="7062",$B1272="706",$B1272="708"),$N1272,IF($B1272="6231",1+$G1272,IF($B1272="6236",1+$H1272,IF(OR($B1272="621",$B1272="604",$B1272="6063"),$N1272*(1-$L1272),IF(OR($B1272="6411",$B1272="6413",$B1272="6414",$B1272="645"),(1+$J1272)*(1+$K1272),IF(OR($B1272="613",$B1272="615",$B1272="616",$B1272="6226",$B1272="625",$B1272="626",$B1272="6281"),(1+$I1272)*(1-$L1272)*(1+$M1272),IF(OR($B1272="6331",$B1272="63511",$B1272="6333"),(1+$I1272)*(1-$L1272),IF($B1272="6811",1+$I1272,1)))))))))</f>
        <v/>
      </c>
      <c r="P1272">
        <f>IF($A1272="","",IF($E1272=1,$F1272*$O1272,PNL!G1272))</f>
        <v/>
      </c>
      <c r="T1272">
        <f>IF($A1272="","",IF($E1272=1,IF(OR($B1272="7062",$B1272="706",$B1272="708"),$P1272,IF(AND(LEFT($B1272,1)="6",$B1272&lt;&gt;"6811"),-$P1272,0)),0))</f>
        <v/>
      </c>
    </row>
    <row r="1273">
      <c r="A1273">
        <f>IF(PNL!A1273="","",PNL!A1273)</f>
        <v/>
      </c>
      <c r="B1273">
        <f>IF(PNL!B1273="","",PNL!B1273)</f>
        <v/>
      </c>
      <c r="C1273">
        <f>IF(PNL!C1273="","",PNL!C1273)</f>
        <v/>
      </c>
      <c r="D1273">
        <f>IF(PNL!D1273="","",PNL!D1273)</f>
        <v/>
      </c>
      <c r="E1273">
        <f>IF($A1273="","",IF(AND($C1273="2027",OR($D1273="V01",$D1273="V02",$D1273="V03")),1,0))</f>
        <v/>
      </c>
      <c r="F1273">
        <f>IF($A1273="","",IF($E1273=1,SUMIFS(Comptabilité!$F$1:$F$675,Comptabilité!$A$1:$A$675,$A1273,Comptabilité!$B$1:$B$675,$B1273,Comptabilité!$C$1:$C$675,"2026"),0))</f>
        <v/>
      </c>
      <c r="G1273">
        <f>IF($A1273="","",IF($D1273="V01",Cadrage!$C$22,IF($D1273="V02",Cadrage!$D$22,Cadrage!$E$22)))</f>
        <v/>
      </c>
      <c r="H1273">
        <f>IF($A1273="","",IF($D1273="V01",Cadrage!$C$23,IF($D1273="V02",Cadrage!$D$23,Cadrage!$E$23)))</f>
        <v/>
      </c>
      <c r="I1273">
        <f>IF($A1273="","",IF($D1273="V01",Cadrage!$C$31,IF($D1273="V02",Cadrage!$D$31,Cadrage!$E$31)))</f>
        <v/>
      </c>
      <c r="J1273">
        <f>IF($A1273="","",IF($D1273="V01",Cadrage!$C$32,IF($D1273="V02",Cadrage!$D$32,Cadrage!$E$32)))</f>
        <v/>
      </c>
      <c r="K1273">
        <f>IF($A1273="","",IF($D1273="V01",Cadrage!$C$33,IF($D1273="V02",Cadrage!$D$33,Cadrage!$E$33)))</f>
        <v/>
      </c>
      <c r="L1273">
        <f>IF($A1273="","",IF($D1273="V01",Cadrage!$C$34,IF($D1273="V02",Cadrage!$D$34,Cadrage!$E$34)))</f>
        <v/>
      </c>
      <c r="M1273">
        <f>IF($A1273="","",IF($D1273="V01",Cadrage!$C$35,IF($D1273="V02",Cadrage!$D$35,Cadrage!$E$35)))</f>
        <v/>
      </c>
      <c r="N1273">
        <f>IF($A1273="","",IF($D1273="V01",$R$2,IF($D1273="V02",$R$3,$R$4)))</f>
        <v/>
      </c>
      <c r="O1273">
        <f>IF($A1273="","",IF(OR($B1273="7062",$B1273="706",$B1273="708"),$N1273,IF($B1273="6231",1+$G1273,IF($B1273="6236",1+$H1273,IF(OR($B1273="621",$B1273="604",$B1273="6063"),$N1273*(1-$L1273),IF(OR($B1273="6411",$B1273="6413",$B1273="6414",$B1273="645"),(1+$J1273)*(1+$K1273),IF(OR($B1273="613",$B1273="615",$B1273="616",$B1273="6226",$B1273="625",$B1273="626",$B1273="6281"),(1+$I1273)*(1-$L1273)*(1+$M1273),IF(OR($B1273="6331",$B1273="63511",$B1273="6333"),(1+$I1273)*(1-$L1273),IF($B1273="6811",1+$I1273,1)))))))))</f>
        <v/>
      </c>
      <c r="P1273">
        <f>IF($A1273="","",IF($E1273=1,$F1273*$O1273,PNL!G1273))</f>
        <v/>
      </c>
      <c r="T1273">
        <f>IF($A1273="","",IF($E1273=1,IF(OR($B1273="7062",$B1273="706",$B1273="708"),$P1273,IF(AND(LEFT($B1273,1)="6",$B1273&lt;&gt;"6811"),-$P1273,0)),0))</f>
        <v/>
      </c>
    </row>
    <row r="1274">
      <c r="A1274">
        <f>IF(PNL!A1274="","",PNL!A1274)</f>
        <v/>
      </c>
      <c r="B1274">
        <f>IF(PNL!B1274="","",PNL!B1274)</f>
        <v/>
      </c>
      <c r="C1274">
        <f>IF(PNL!C1274="","",PNL!C1274)</f>
        <v/>
      </c>
      <c r="D1274">
        <f>IF(PNL!D1274="","",PNL!D1274)</f>
        <v/>
      </c>
      <c r="E1274">
        <f>IF($A1274="","",IF(AND($C1274="2027",OR($D1274="V01",$D1274="V02",$D1274="V03")),1,0))</f>
        <v/>
      </c>
      <c r="F1274">
        <f>IF($A1274="","",IF($E1274=1,SUMIFS(Comptabilité!$F$1:$F$675,Comptabilité!$A$1:$A$675,$A1274,Comptabilité!$B$1:$B$675,$B1274,Comptabilité!$C$1:$C$675,"2026"),0))</f>
        <v/>
      </c>
      <c r="G1274">
        <f>IF($A1274="","",IF($D1274="V01",Cadrage!$C$22,IF($D1274="V02",Cadrage!$D$22,Cadrage!$E$22)))</f>
        <v/>
      </c>
      <c r="H1274">
        <f>IF($A1274="","",IF($D1274="V01",Cadrage!$C$23,IF($D1274="V02",Cadrage!$D$23,Cadrage!$E$23)))</f>
        <v/>
      </c>
      <c r="I1274">
        <f>IF($A1274="","",IF($D1274="V01",Cadrage!$C$31,IF($D1274="V02",Cadrage!$D$31,Cadrage!$E$31)))</f>
        <v/>
      </c>
      <c r="J1274">
        <f>IF($A1274="","",IF($D1274="V01",Cadrage!$C$32,IF($D1274="V02",Cadrage!$D$32,Cadrage!$E$32)))</f>
        <v/>
      </c>
      <c r="K1274">
        <f>IF($A1274="","",IF($D1274="V01",Cadrage!$C$33,IF($D1274="V02",Cadrage!$D$33,Cadrage!$E$33)))</f>
        <v/>
      </c>
      <c r="L1274">
        <f>IF($A1274="","",IF($D1274="V01",Cadrage!$C$34,IF($D1274="V02",Cadrage!$D$34,Cadrage!$E$34)))</f>
        <v/>
      </c>
      <c r="M1274">
        <f>IF($A1274="","",IF($D1274="V01",Cadrage!$C$35,IF($D1274="V02",Cadrage!$D$35,Cadrage!$E$35)))</f>
        <v/>
      </c>
      <c r="N1274">
        <f>IF($A1274="","",IF($D1274="V01",$R$2,IF($D1274="V02",$R$3,$R$4)))</f>
        <v/>
      </c>
      <c r="O1274">
        <f>IF($A1274="","",IF(OR($B1274="7062",$B1274="706",$B1274="708"),$N1274,IF($B1274="6231",1+$G1274,IF($B1274="6236",1+$H1274,IF(OR($B1274="621",$B1274="604",$B1274="6063"),$N1274*(1-$L1274),IF(OR($B1274="6411",$B1274="6413",$B1274="6414",$B1274="645"),(1+$J1274)*(1+$K1274),IF(OR($B1274="613",$B1274="615",$B1274="616",$B1274="6226",$B1274="625",$B1274="626",$B1274="6281"),(1+$I1274)*(1-$L1274)*(1+$M1274),IF(OR($B1274="6331",$B1274="63511",$B1274="6333"),(1+$I1274)*(1-$L1274),IF($B1274="6811",1+$I1274,1)))))))))</f>
        <v/>
      </c>
      <c r="P1274">
        <f>IF($A1274="","",IF($E1274=1,$F1274*$O1274,PNL!G1274))</f>
        <v/>
      </c>
      <c r="T1274">
        <f>IF($A1274="","",IF($E1274=1,IF(OR($B1274="7062",$B1274="706",$B1274="708"),$P1274,IF(AND(LEFT($B1274,1)="6",$B1274&lt;&gt;"6811"),-$P1274,0)),0))</f>
        <v/>
      </c>
    </row>
    <row r="1275">
      <c r="A1275">
        <f>IF(PNL!A1275="","",PNL!A1275)</f>
        <v/>
      </c>
      <c r="B1275">
        <f>IF(PNL!B1275="","",PNL!B1275)</f>
        <v/>
      </c>
      <c r="C1275">
        <f>IF(PNL!C1275="","",PNL!C1275)</f>
        <v/>
      </c>
      <c r="D1275">
        <f>IF(PNL!D1275="","",PNL!D1275)</f>
        <v/>
      </c>
      <c r="E1275">
        <f>IF($A1275="","",IF(AND($C1275="2027",OR($D1275="V01",$D1275="V02",$D1275="V03")),1,0))</f>
        <v/>
      </c>
      <c r="F1275">
        <f>IF($A1275="","",IF($E1275=1,SUMIFS(Comptabilité!$F$1:$F$675,Comptabilité!$A$1:$A$675,$A1275,Comptabilité!$B$1:$B$675,$B1275,Comptabilité!$C$1:$C$675,"2026"),0))</f>
        <v/>
      </c>
      <c r="G1275">
        <f>IF($A1275="","",IF($D1275="V01",Cadrage!$C$22,IF($D1275="V02",Cadrage!$D$22,Cadrage!$E$22)))</f>
        <v/>
      </c>
      <c r="H1275">
        <f>IF($A1275="","",IF($D1275="V01",Cadrage!$C$23,IF($D1275="V02",Cadrage!$D$23,Cadrage!$E$23)))</f>
        <v/>
      </c>
      <c r="I1275">
        <f>IF($A1275="","",IF($D1275="V01",Cadrage!$C$31,IF($D1275="V02",Cadrage!$D$31,Cadrage!$E$31)))</f>
        <v/>
      </c>
      <c r="J1275">
        <f>IF($A1275="","",IF($D1275="V01",Cadrage!$C$32,IF($D1275="V02",Cadrage!$D$32,Cadrage!$E$32)))</f>
        <v/>
      </c>
      <c r="K1275">
        <f>IF($A1275="","",IF($D1275="V01",Cadrage!$C$33,IF($D1275="V02",Cadrage!$D$33,Cadrage!$E$33)))</f>
        <v/>
      </c>
      <c r="L1275">
        <f>IF($A1275="","",IF($D1275="V01",Cadrage!$C$34,IF($D1275="V02",Cadrage!$D$34,Cadrage!$E$34)))</f>
        <v/>
      </c>
      <c r="M1275">
        <f>IF($A1275="","",IF($D1275="V01",Cadrage!$C$35,IF($D1275="V02",Cadrage!$D$35,Cadrage!$E$35)))</f>
        <v/>
      </c>
      <c r="N1275">
        <f>IF($A1275="","",IF($D1275="V01",$R$2,IF($D1275="V02",$R$3,$R$4)))</f>
        <v/>
      </c>
      <c r="O1275">
        <f>IF($A1275="","",IF(OR($B1275="7062",$B1275="706",$B1275="708"),$N1275,IF($B1275="6231",1+$G1275,IF($B1275="6236",1+$H1275,IF(OR($B1275="621",$B1275="604",$B1275="6063"),$N1275*(1-$L1275),IF(OR($B1275="6411",$B1275="6413",$B1275="6414",$B1275="645"),(1+$J1275)*(1+$K1275),IF(OR($B1275="613",$B1275="615",$B1275="616",$B1275="6226",$B1275="625",$B1275="626",$B1275="6281"),(1+$I1275)*(1-$L1275)*(1+$M1275),IF(OR($B1275="6331",$B1275="63511",$B1275="6333"),(1+$I1275)*(1-$L1275),IF($B1275="6811",1+$I1275,1)))))))))</f>
        <v/>
      </c>
      <c r="P1275">
        <f>IF($A1275="","",IF($E1275=1,$F1275*$O1275,PNL!G1275))</f>
        <v/>
      </c>
      <c r="T1275">
        <f>IF($A1275="","",IF($E1275=1,IF(OR($B1275="7062",$B1275="706",$B1275="708"),$P1275,IF(AND(LEFT($B1275,1)="6",$B1275&lt;&gt;"6811"),-$P1275,0)),0))</f>
        <v/>
      </c>
    </row>
    <row r="1276">
      <c r="A1276">
        <f>IF(PNL!A1276="","",PNL!A1276)</f>
        <v/>
      </c>
      <c r="B1276">
        <f>IF(PNL!B1276="","",PNL!B1276)</f>
        <v/>
      </c>
      <c r="C1276">
        <f>IF(PNL!C1276="","",PNL!C1276)</f>
        <v/>
      </c>
      <c r="D1276">
        <f>IF(PNL!D1276="","",PNL!D1276)</f>
        <v/>
      </c>
      <c r="E1276">
        <f>IF($A1276="","",IF(AND($C1276="2027",OR($D1276="V01",$D1276="V02",$D1276="V03")),1,0))</f>
        <v/>
      </c>
      <c r="F1276">
        <f>IF($A1276="","",IF($E1276=1,SUMIFS(Comptabilité!$F$1:$F$675,Comptabilité!$A$1:$A$675,$A1276,Comptabilité!$B$1:$B$675,$B1276,Comptabilité!$C$1:$C$675,"2026"),0))</f>
        <v/>
      </c>
      <c r="G1276">
        <f>IF($A1276="","",IF($D1276="V01",Cadrage!$C$22,IF($D1276="V02",Cadrage!$D$22,Cadrage!$E$22)))</f>
        <v/>
      </c>
      <c r="H1276">
        <f>IF($A1276="","",IF($D1276="V01",Cadrage!$C$23,IF($D1276="V02",Cadrage!$D$23,Cadrage!$E$23)))</f>
        <v/>
      </c>
      <c r="I1276">
        <f>IF($A1276="","",IF($D1276="V01",Cadrage!$C$31,IF($D1276="V02",Cadrage!$D$31,Cadrage!$E$31)))</f>
        <v/>
      </c>
      <c r="J1276">
        <f>IF($A1276="","",IF($D1276="V01",Cadrage!$C$32,IF($D1276="V02",Cadrage!$D$32,Cadrage!$E$32)))</f>
        <v/>
      </c>
      <c r="K1276">
        <f>IF($A1276="","",IF($D1276="V01",Cadrage!$C$33,IF($D1276="V02",Cadrage!$D$33,Cadrage!$E$33)))</f>
        <v/>
      </c>
      <c r="L1276">
        <f>IF($A1276="","",IF($D1276="V01",Cadrage!$C$34,IF($D1276="V02",Cadrage!$D$34,Cadrage!$E$34)))</f>
        <v/>
      </c>
      <c r="M1276">
        <f>IF($A1276="","",IF($D1276="V01",Cadrage!$C$35,IF($D1276="V02",Cadrage!$D$35,Cadrage!$E$35)))</f>
        <v/>
      </c>
      <c r="N1276">
        <f>IF($A1276="","",IF($D1276="V01",$R$2,IF($D1276="V02",$R$3,$R$4)))</f>
        <v/>
      </c>
      <c r="O1276">
        <f>IF($A1276="","",IF(OR($B1276="7062",$B1276="706",$B1276="708"),$N1276,IF($B1276="6231",1+$G1276,IF($B1276="6236",1+$H1276,IF(OR($B1276="621",$B1276="604",$B1276="6063"),$N1276*(1-$L1276),IF(OR($B1276="6411",$B1276="6413",$B1276="6414",$B1276="645"),(1+$J1276)*(1+$K1276),IF(OR($B1276="613",$B1276="615",$B1276="616",$B1276="6226",$B1276="625",$B1276="626",$B1276="6281"),(1+$I1276)*(1-$L1276)*(1+$M1276),IF(OR($B1276="6331",$B1276="63511",$B1276="6333"),(1+$I1276)*(1-$L1276),IF($B1276="6811",1+$I1276,1)))))))))</f>
        <v/>
      </c>
      <c r="P1276">
        <f>IF($A1276="","",IF($E1276=1,$F1276*$O1276,PNL!G1276))</f>
        <v/>
      </c>
      <c r="T1276">
        <f>IF($A1276="","",IF($E1276=1,IF(OR($B1276="7062",$B1276="706",$B1276="708"),$P1276,IF(AND(LEFT($B1276,1)="6",$B1276&lt;&gt;"6811"),-$P1276,0)),0))</f>
        <v/>
      </c>
    </row>
    <row r="1277">
      <c r="A1277">
        <f>IF(PNL!A1277="","",PNL!A1277)</f>
        <v/>
      </c>
      <c r="B1277">
        <f>IF(PNL!B1277="","",PNL!B1277)</f>
        <v/>
      </c>
      <c r="C1277">
        <f>IF(PNL!C1277="","",PNL!C1277)</f>
        <v/>
      </c>
      <c r="D1277">
        <f>IF(PNL!D1277="","",PNL!D1277)</f>
        <v/>
      </c>
      <c r="E1277">
        <f>IF($A1277="","",IF(AND($C1277="2027",OR($D1277="V01",$D1277="V02",$D1277="V03")),1,0))</f>
        <v/>
      </c>
      <c r="F1277">
        <f>IF($A1277="","",IF($E1277=1,SUMIFS(Comptabilité!$F$1:$F$675,Comptabilité!$A$1:$A$675,$A1277,Comptabilité!$B$1:$B$675,$B1277,Comptabilité!$C$1:$C$675,"2026"),0))</f>
        <v/>
      </c>
      <c r="G1277">
        <f>IF($A1277="","",IF($D1277="V01",Cadrage!$C$22,IF($D1277="V02",Cadrage!$D$22,Cadrage!$E$22)))</f>
        <v/>
      </c>
      <c r="H1277">
        <f>IF($A1277="","",IF($D1277="V01",Cadrage!$C$23,IF($D1277="V02",Cadrage!$D$23,Cadrage!$E$23)))</f>
        <v/>
      </c>
      <c r="I1277">
        <f>IF($A1277="","",IF($D1277="V01",Cadrage!$C$31,IF($D1277="V02",Cadrage!$D$31,Cadrage!$E$31)))</f>
        <v/>
      </c>
      <c r="J1277">
        <f>IF($A1277="","",IF($D1277="V01",Cadrage!$C$32,IF($D1277="V02",Cadrage!$D$32,Cadrage!$E$32)))</f>
        <v/>
      </c>
      <c r="K1277">
        <f>IF($A1277="","",IF($D1277="V01",Cadrage!$C$33,IF($D1277="V02",Cadrage!$D$33,Cadrage!$E$33)))</f>
        <v/>
      </c>
      <c r="L1277">
        <f>IF($A1277="","",IF($D1277="V01",Cadrage!$C$34,IF($D1277="V02",Cadrage!$D$34,Cadrage!$E$34)))</f>
        <v/>
      </c>
      <c r="M1277">
        <f>IF($A1277="","",IF($D1277="V01",Cadrage!$C$35,IF($D1277="V02",Cadrage!$D$35,Cadrage!$E$35)))</f>
        <v/>
      </c>
      <c r="N1277">
        <f>IF($A1277="","",IF($D1277="V01",$R$2,IF($D1277="V02",$R$3,$R$4)))</f>
        <v/>
      </c>
      <c r="O1277">
        <f>IF($A1277="","",IF(OR($B1277="7062",$B1277="706",$B1277="708"),$N1277,IF($B1277="6231",1+$G1277,IF($B1277="6236",1+$H1277,IF(OR($B1277="621",$B1277="604",$B1277="6063"),$N1277*(1-$L1277),IF(OR($B1277="6411",$B1277="6413",$B1277="6414",$B1277="645"),(1+$J1277)*(1+$K1277),IF(OR($B1277="613",$B1277="615",$B1277="616",$B1277="6226",$B1277="625",$B1277="626",$B1277="6281"),(1+$I1277)*(1-$L1277)*(1+$M1277),IF(OR($B1277="6331",$B1277="63511",$B1277="6333"),(1+$I1277)*(1-$L1277),IF($B1277="6811",1+$I1277,1)))))))))</f>
        <v/>
      </c>
      <c r="P1277">
        <f>IF($A1277="","",IF($E1277=1,$F1277*$O1277,PNL!G1277))</f>
        <v/>
      </c>
      <c r="T1277">
        <f>IF($A1277="","",IF($E1277=1,IF(OR($B1277="7062",$B1277="706",$B1277="708"),$P1277,IF(AND(LEFT($B1277,1)="6",$B1277&lt;&gt;"6811"),-$P1277,0)),0))</f>
        <v/>
      </c>
    </row>
    <row r="1278">
      <c r="A1278">
        <f>IF(PNL!A1278="","",PNL!A1278)</f>
        <v/>
      </c>
      <c r="B1278">
        <f>IF(PNL!B1278="","",PNL!B1278)</f>
        <v/>
      </c>
      <c r="C1278">
        <f>IF(PNL!C1278="","",PNL!C1278)</f>
        <v/>
      </c>
      <c r="D1278">
        <f>IF(PNL!D1278="","",PNL!D1278)</f>
        <v/>
      </c>
      <c r="E1278">
        <f>IF($A1278="","",IF(AND($C1278="2027",OR($D1278="V01",$D1278="V02",$D1278="V03")),1,0))</f>
        <v/>
      </c>
      <c r="F1278">
        <f>IF($A1278="","",IF($E1278=1,SUMIFS(Comptabilité!$F$1:$F$675,Comptabilité!$A$1:$A$675,$A1278,Comptabilité!$B$1:$B$675,$B1278,Comptabilité!$C$1:$C$675,"2026"),0))</f>
        <v/>
      </c>
      <c r="G1278">
        <f>IF($A1278="","",IF($D1278="V01",Cadrage!$C$22,IF($D1278="V02",Cadrage!$D$22,Cadrage!$E$22)))</f>
        <v/>
      </c>
      <c r="H1278">
        <f>IF($A1278="","",IF($D1278="V01",Cadrage!$C$23,IF($D1278="V02",Cadrage!$D$23,Cadrage!$E$23)))</f>
        <v/>
      </c>
      <c r="I1278">
        <f>IF($A1278="","",IF($D1278="V01",Cadrage!$C$31,IF($D1278="V02",Cadrage!$D$31,Cadrage!$E$31)))</f>
        <v/>
      </c>
      <c r="J1278">
        <f>IF($A1278="","",IF($D1278="V01",Cadrage!$C$32,IF($D1278="V02",Cadrage!$D$32,Cadrage!$E$32)))</f>
        <v/>
      </c>
      <c r="K1278">
        <f>IF($A1278="","",IF($D1278="V01",Cadrage!$C$33,IF($D1278="V02",Cadrage!$D$33,Cadrage!$E$33)))</f>
        <v/>
      </c>
      <c r="L1278">
        <f>IF($A1278="","",IF($D1278="V01",Cadrage!$C$34,IF($D1278="V02",Cadrage!$D$34,Cadrage!$E$34)))</f>
        <v/>
      </c>
      <c r="M1278">
        <f>IF($A1278="","",IF($D1278="V01",Cadrage!$C$35,IF($D1278="V02",Cadrage!$D$35,Cadrage!$E$35)))</f>
        <v/>
      </c>
      <c r="N1278">
        <f>IF($A1278="","",IF($D1278="V01",$R$2,IF($D1278="V02",$R$3,$R$4)))</f>
        <v/>
      </c>
      <c r="O1278">
        <f>IF($A1278="","",IF(OR($B1278="7062",$B1278="706",$B1278="708"),$N1278,IF($B1278="6231",1+$G1278,IF($B1278="6236",1+$H1278,IF(OR($B1278="621",$B1278="604",$B1278="6063"),$N1278*(1-$L1278),IF(OR($B1278="6411",$B1278="6413",$B1278="6414",$B1278="645"),(1+$J1278)*(1+$K1278),IF(OR($B1278="613",$B1278="615",$B1278="616",$B1278="6226",$B1278="625",$B1278="626",$B1278="6281"),(1+$I1278)*(1-$L1278)*(1+$M1278),IF(OR($B1278="6331",$B1278="63511",$B1278="6333"),(1+$I1278)*(1-$L1278),IF($B1278="6811",1+$I1278,1)))))))))</f>
        <v/>
      </c>
      <c r="P1278">
        <f>IF($A1278="","",IF($E1278=1,$F1278*$O1278,PNL!G1278))</f>
        <v/>
      </c>
      <c r="T1278">
        <f>IF($A1278="","",IF($E1278=1,IF(OR($B1278="7062",$B1278="706",$B1278="708"),$P1278,IF(AND(LEFT($B1278,1)="6",$B1278&lt;&gt;"6811"),-$P1278,0)),0))</f>
        <v/>
      </c>
    </row>
    <row r="1279">
      <c r="A1279">
        <f>IF(PNL!A1279="","",PNL!A1279)</f>
        <v/>
      </c>
      <c r="B1279">
        <f>IF(PNL!B1279="","",PNL!B1279)</f>
        <v/>
      </c>
      <c r="C1279">
        <f>IF(PNL!C1279="","",PNL!C1279)</f>
        <v/>
      </c>
      <c r="D1279">
        <f>IF(PNL!D1279="","",PNL!D1279)</f>
        <v/>
      </c>
      <c r="E1279">
        <f>IF($A1279="","",IF(AND($C1279="2027",OR($D1279="V01",$D1279="V02",$D1279="V03")),1,0))</f>
        <v/>
      </c>
      <c r="F1279">
        <f>IF($A1279="","",IF($E1279=1,SUMIFS(Comptabilité!$F$1:$F$675,Comptabilité!$A$1:$A$675,$A1279,Comptabilité!$B$1:$B$675,$B1279,Comptabilité!$C$1:$C$675,"2026"),0))</f>
        <v/>
      </c>
      <c r="G1279">
        <f>IF($A1279="","",IF($D1279="V01",Cadrage!$C$22,IF($D1279="V02",Cadrage!$D$22,Cadrage!$E$22)))</f>
        <v/>
      </c>
      <c r="H1279">
        <f>IF($A1279="","",IF($D1279="V01",Cadrage!$C$23,IF($D1279="V02",Cadrage!$D$23,Cadrage!$E$23)))</f>
        <v/>
      </c>
      <c r="I1279">
        <f>IF($A1279="","",IF($D1279="V01",Cadrage!$C$31,IF($D1279="V02",Cadrage!$D$31,Cadrage!$E$31)))</f>
        <v/>
      </c>
      <c r="J1279">
        <f>IF($A1279="","",IF($D1279="V01",Cadrage!$C$32,IF($D1279="V02",Cadrage!$D$32,Cadrage!$E$32)))</f>
        <v/>
      </c>
      <c r="K1279">
        <f>IF($A1279="","",IF($D1279="V01",Cadrage!$C$33,IF($D1279="V02",Cadrage!$D$33,Cadrage!$E$33)))</f>
        <v/>
      </c>
      <c r="L1279">
        <f>IF($A1279="","",IF($D1279="V01",Cadrage!$C$34,IF($D1279="V02",Cadrage!$D$34,Cadrage!$E$34)))</f>
        <v/>
      </c>
      <c r="M1279">
        <f>IF($A1279="","",IF($D1279="V01",Cadrage!$C$35,IF($D1279="V02",Cadrage!$D$35,Cadrage!$E$35)))</f>
        <v/>
      </c>
      <c r="N1279">
        <f>IF($A1279="","",IF($D1279="V01",$R$2,IF($D1279="V02",$R$3,$R$4)))</f>
        <v/>
      </c>
      <c r="O1279">
        <f>IF($A1279="","",IF(OR($B1279="7062",$B1279="706",$B1279="708"),$N1279,IF($B1279="6231",1+$G1279,IF($B1279="6236",1+$H1279,IF(OR($B1279="621",$B1279="604",$B1279="6063"),$N1279*(1-$L1279),IF(OR($B1279="6411",$B1279="6413",$B1279="6414",$B1279="645"),(1+$J1279)*(1+$K1279),IF(OR($B1279="613",$B1279="615",$B1279="616",$B1279="6226",$B1279="625",$B1279="626",$B1279="6281"),(1+$I1279)*(1-$L1279)*(1+$M1279),IF(OR($B1279="6331",$B1279="63511",$B1279="6333"),(1+$I1279)*(1-$L1279),IF($B1279="6811",1+$I1279,1)))))))))</f>
        <v/>
      </c>
      <c r="P1279">
        <f>IF($A1279="","",IF($E1279=1,$F1279*$O1279,PNL!G1279))</f>
        <v/>
      </c>
      <c r="T1279">
        <f>IF($A1279="","",IF($E1279=1,IF(OR($B1279="7062",$B1279="706",$B1279="708"),$P1279,IF(AND(LEFT($B1279,1)="6",$B1279&lt;&gt;"6811"),-$P1279,0)),0))</f>
        <v/>
      </c>
    </row>
    <row r="1280">
      <c r="A1280">
        <f>IF(PNL!A1280="","",PNL!A1280)</f>
        <v/>
      </c>
      <c r="B1280">
        <f>IF(PNL!B1280="","",PNL!B1280)</f>
        <v/>
      </c>
      <c r="C1280">
        <f>IF(PNL!C1280="","",PNL!C1280)</f>
        <v/>
      </c>
      <c r="D1280">
        <f>IF(PNL!D1280="","",PNL!D1280)</f>
        <v/>
      </c>
      <c r="E1280">
        <f>IF($A1280="","",IF(AND($C1280="2027",OR($D1280="V01",$D1280="V02",$D1280="V03")),1,0))</f>
        <v/>
      </c>
      <c r="F1280">
        <f>IF($A1280="","",IF($E1280=1,SUMIFS(Comptabilité!$F$1:$F$675,Comptabilité!$A$1:$A$675,$A1280,Comptabilité!$B$1:$B$675,$B1280,Comptabilité!$C$1:$C$675,"2026"),0))</f>
        <v/>
      </c>
      <c r="G1280">
        <f>IF($A1280="","",IF($D1280="V01",Cadrage!$C$22,IF($D1280="V02",Cadrage!$D$22,Cadrage!$E$22)))</f>
        <v/>
      </c>
      <c r="H1280">
        <f>IF($A1280="","",IF($D1280="V01",Cadrage!$C$23,IF($D1280="V02",Cadrage!$D$23,Cadrage!$E$23)))</f>
        <v/>
      </c>
      <c r="I1280">
        <f>IF($A1280="","",IF($D1280="V01",Cadrage!$C$31,IF($D1280="V02",Cadrage!$D$31,Cadrage!$E$31)))</f>
        <v/>
      </c>
      <c r="J1280">
        <f>IF($A1280="","",IF($D1280="V01",Cadrage!$C$32,IF($D1280="V02",Cadrage!$D$32,Cadrage!$E$32)))</f>
        <v/>
      </c>
      <c r="K1280">
        <f>IF($A1280="","",IF($D1280="V01",Cadrage!$C$33,IF($D1280="V02",Cadrage!$D$33,Cadrage!$E$33)))</f>
        <v/>
      </c>
      <c r="L1280">
        <f>IF($A1280="","",IF($D1280="V01",Cadrage!$C$34,IF($D1280="V02",Cadrage!$D$34,Cadrage!$E$34)))</f>
        <v/>
      </c>
      <c r="M1280">
        <f>IF($A1280="","",IF($D1280="V01",Cadrage!$C$35,IF($D1280="V02",Cadrage!$D$35,Cadrage!$E$35)))</f>
        <v/>
      </c>
      <c r="N1280">
        <f>IF($A1280="","",IF($D1280="V01",$R$2,IF($D1280="V02",$R$3,$R$4)))</f>
        <v/>
      </c>
      <c r="O1280">
        <f>IF($A1280="","",IF(OR($B1280="7062",$B1280="706",$B1280="708"),$N1280,IF($B1280="6231",1+$G1280,IF($B1280="6236",1+$H1280,IF(OR($B1280="621",$B1280="604",$B1280="6063"),$N1280*(1-$L1280),IF(OR($B1280="6411",$B1280="6413",$B1280="6414",$B1280="645"),(1+$J1280)*(1+$K1280),IF(OR($B1280="613",$B1280="615",$B1280="616",$B1280="6226",$B1280="625",$B1280="626",$B1280="6281"),(1+$I1280)*(1-$L1280)*(1+$M1280),IF(OR($B1280="6331",$B1280="63511",$B1280="6333"),(1+$I1280)*(1-$L1280),IF($B1280="6811",1+$I1280,1)))))))))</f>
        <v/>
      </c>
      <c r="P1280">
        <f>IF($A1280="","",IF($E1280=1,$F1280*$O1280,PNL!G1280))</f>
        <v/>
      </c>
      <c r="T1280">
        <f>IF($A1280="","",IF($E1280=1,IF(OR($B1280="7062",$B1280="706",$B1280="708"),$P1280,IF(AND(LEFT($B1280,1)="6",$B1280&lt;&gt;"6811"),-$P1280,0)),0))</f>
        <v/>
      </c>
    </row>
    <row r="1281">
      <c r="A1281">
        <f>IF(PNL!A1281="","",PNL!A1281)</f>
        <v/>
      </c>
      <c r="B1281">
        <f>IF(PNL!B1281="","",PNL!B1281)</f>
        <v/>
      </c>
      <c r="C1281">
        <f>IF(PNL!C1281="","",PNL!C1281)</f>
        <v/>
      </c>
      <c r="D1281">
        <f>IF(PNL!D1281="","",PNL!D1281)</f>
        <v/>
      </c>
      <c r="E1281">
        <f>IF($A1281="","",IF(AND($C1281="2027",OR($D1281="V01",$D1281="V02",$D1281="V03")),1,0))</f>
        <v/>
      </c>
      <c r="F1281">
        <f>IF($A1281="","",IF($E1281=1,SUMIFS(Comptabilité!$F$1:$F$675,Comptabilité!$A$1:$A$675,$A1281,Comptabilité!$B$1:$B$675,$B1281,Comptabilité!$C$1:$C$675,"2026"),0))</f>
        <v/>
      </c>
      <c r="G1281">
        <f>IF($A1281="","",IF($D1281="V01",Cadrage!$C$22,IF($D1281="V02",Cadrage!$D$22,Cadrage!$E$22)))</f>
        <v/>
      </c>
      <c r="H1281">
        <f>IF($A1281="","",IF($D1281="V01",Cadrage!$C$23,IF($D1281="V02",Cadrage!$D$23,Cadrage!$E$23)))</f>
        <v/>
      </c>
      <c r="I1281">
        <f>IF($A1281="","",IF($D1281="V01",Cadrage!$C$31,IF($D1281="V02",Cadrage!$D$31,Cadrage!$E$31)))</f>
        <v/>
      </c>
      <c r="J1281">
        <f>IF($A1281="","",IF($D1281="V01",Cadrage!$C$32,IF($D1281="V02",Cadrage!$D$32,Cadrage!$E$32)))</f>
        <v/>
      </c>
      <c r="K1281">
        <f>IF($A1281="","",IF($D1281="V01",Cadrage!$C$33,IF($D1281="V02",Cadrage!$D$33,Cadrage!$E$33)))</f>
        <v/>
      </c>
      <c r="L1281">
        <f>IF($A1281="","",IF($D1281="V01",Cadrage!$C$34,IF($D1281="V02",Cadrage!$D$34,Cadrage!$E$34)))</f>
        <v/>
      </c>
      <c r="M1281">
        <f>IF($A1281="","",IF($D1281="V01",Cadrage!$C$35,IF($D1281="V02",Cadrage!$D$35,Cadrage!$E$35)))</f>
        <v/>
      </c>
      <c r="N1281">
        <f>IF($A1281="","",IF($D1281="V01",$R$2,IF($D1281="V02",$R$3,$R$4)))</f>
        <v/>
      </c>
      <c r="O1281">
        <f>IF($A1281="","",IF(OR($B1281="7062",$B1281="706",$B1281="708"),$N1281,IF($B1281="6231",1+$G1281,IF($B1281="6236",1+$H1281,IF(OR($B1281="621",$B1281="604",$B1281="6063"),$N1281*(1-$L1281),IF(OR($B1281="6411",$B1281="6413",$B1281="6414",$B1281="645"),(1+$J1281)*(1+$K1281),IF(OR($B1281="613",$B1281="615",$B1281="616",$B1281="6226",$B1281="625",$B1281="626",$B1281="6281"),(1+$I1281)*(1-$L1281)*(1+$M1281),IF(OR($B1281="6331",$B1281="63511",$B1281="6333"),(1+$I1281)*(1-$L1281),IF($B1281="6811",1+$I1281,1)))))))))</f>
        <v/>
      </c>
      <c r="P1281">
        <f>IF($A1281="","",IF($E1281=1,$F1281*$O1281,PNL!G1281))</f>
        <v/>
      </c>
      <c r="T1281">
        <f>IF($A1281="","",IF($E1281=1,IF(OR($B1281="7062",$B1281="706",$B1281="708"),$P1281,IF(AND(LEFT($B1281,1)="6",$B1281&lt;&gt;"6811"),-$P1281,0)),0))</f>
        <v/>
      </c>
    </row>
    <row r="1282">
      <c r="A1282">
        <f>IF(PNL!A1282="","",PNL!A1282)</f>
        <v/>
      </c>
      <c r="B1282">
        <f>IF(PNL!B1282="","",PNL!B1282)</f>
        <v/>
      </c>
      <c r="C1282">
        <f>IF(PNL!C1282="","",PNL!C1282)</f>
        <v/>
      </c>
      <c r="D1282">
        <f>IF(PNL!D1282="","",PNL!D1282)</f>
        <v/>
      </c>
      <c r="E1282">
        <f>IF($A1282="","",IF(AND($C1282="2027",OR($D1282="V01",$D1282="V02",$D1282="V03")),1,0))</f>
        <v/>
      </c>
      <c r="F1282">
        <f>IF($A1282="","",IF($E1282=1,SUMIFS(Comptabilité!$F$1:$F$675,Comptabilité!$A$1:$A$675,$A1282,Comptabilité!$B$1:$B$675,$B1282,Comptabilité!$C$1:$C$675,"2026"),0))</f>
        <v/>
      </c>
      <c r="G1282">
        <f>IF($A1282="","",IF($D1282="V01",Cadrage!$C$22,IF($D1282="V02",Cadrage!$D$22,Cadrage!$E$22)))</f>
        <v/>
      </c>
      <c r="H1282">
        <f>IF($A1282="","",IF($D1282="V01",Cadrage!$C$23,IF($D1282="V02",Cadrage!$D$23,Cadrage!$E$23)))</f>
        <v/>
      </c>
      <c r="I1282">
        <f>IF($A1282="","",IF($D1282="V01",Cadrage!$C$31,IF($D1282="V02",Cadrage!$D$31,Cadrage!$E$31)))</f>
        <v/>
      </c>
      <c r="J1282">
        <f>IF($A1282="","",IF($D1282="V01",Cadrage!$C$32,IF($D1282="V02",Cadrage!$D$32,Cadrage!$E$32)))</f>
        <v/>
      </c>
      <c r="K1282">
        <f>IF($A1282="","",IF($D1282="V01",Cadrage!$C$33,IF($D1282="V02",Cadrage!$D$33,Cadrage!$E$33)))</f>
        <v/>
      </c>
      <c r="L1282">
        <f>IF($A1282="","",IF($D1282="V01",Cadrage!$C$34,IF($D1282="V02",Cadrage!$D$34,Cadrage!$E$34)))</f>
        <v/>
      </c>
      <c r="M1282">
        <f>IF($A1282="","",IF($D1282="V01",Cadrage!$C$35,IF($D1282="V02",Cadrage!$D$35,Cadrage!$E$35)))</f>
        <v/>
      </c>
      <c r="N1282">
        <f>IF($A1282="","",IF($D1282="V01",$R$2,IF($D1282="V02",$R$3,$R$4)))</f>
        <v/>
      </c>
      <c r="O1282">
        <f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>
        <f>IF($A1282="","",IF($E1282=1,$F1282*$O1282,PNL!G1282))</f>
        <v/>
      </c>
      <c r="T1282">
        <f>IF($A1282="","",IF($E1282=1,IF(OR($B1282="7062",$B1282="706",$B1282="708"),$P1282,IF(AND(LEFT($B1282,1)="6",$B1282&lt;&gt;"6811"),-$P1282,0)),0))</f>
        <v/>
      </c>
    </row>
    <row r="1283">
      <c r="A1283">
        <f>IF(PNL!A1283="","",PNL!A1283)</f>
        <v/>
      </c>
      <c r="B1283">
        <f>IF(PNL!B1283="","",PNL!B1283)</f>
        <v/>
      </c>
      <c r="C1283">
        <f>IF(PNL!C1283="","",PNL!C1283)</f>
        <v/>
      </c>
      <c r="D1283">
        <f>IF(PNL!D1283="","",PNL!D1283)</f>
        <v/>
      </c>
      <c r="E1283">
        <f>IF($A1283="","",IF(AND($C1283="2027",OR($D1283="V01",$D1283="V02",$D1283="V03")),1,0))</f>
        <v/>
      </c>
      <c r="F1283">
        <f>IF($A1283="","",IF($E1283=1,SUMIFS(Comptabilité!$F$1:$F$675,Comptabilité!$A$1:$A$675,$A1283,Comptabilité!$B$1:$B$675,$B1283,Comptabilité!$C$1:$C$675,"2026"),0))</f>
        <v/>
      </c>
      <c r="G1283">
        <f>IF($A1283="","",IF($D1283="V01",Cadrage!$C$22,IF($D1283="V02",Cadrage!$D$22,Cadrage!$E$22)))</f>
        <v/>
      </c>
      <c r="H1283">
        <f>IF($A1283="","",IF($D1283="V01",Cadrage!$C$23,IF($D1283="V02",Cadrage!$D$23,Cadrage!$E$23)))</f>
        <v/>
      </c>
      <c r="I1283">
        <f>IF($A1283="","",IF($D1283="V01",Cadrage!$C$31,IF($D1283="V02",Cadrage!$D$31,Cadrage!$E$31)))</f>
        <v/>
      </c>
      <c r="J1283">
        <f>IF($A1283="","",IF($D1283="V01",Cadrage!$C$32,IF($D1283="V02",Cadrage!$D$32,Cadrage!$E$32)))</f>
        <v/>
      </c>
      <c r="K1283">
        <f>IF($A1283="","",IF($D1283="V01",Cadrage!$C$33,IF($D1283="V02",Cadrage!$D$33,Cadrage!$E$33)))</f>
        <v/>
      </c>
      <c r="L1283">
        <f>IF($A1283="","",IF($D1283="V01",Cadrage!$C$34,IF($D1283="V02",Cadrage!$D$34,Cadrage!$E$34)))</f>
        <v/>
      </c>
      <c r="M1283">
        <f>IF($A1283="","",IF($D1283="V01",Cadrage!$C$35,IF($D1283="V02",Cadrage!$D$35,Cadrage!$E$35)))</f>
        <v/>
      </c>
      <c r="N1283">
        <f>IF($A1283="","",IF($D1283="V01",$R$2,IF($D1283="V02",$R$3,$R$4)))</f>
        <v/>
      </c>
      <c r="O1283">
        <f>IF($A1283="","",IF(OR($B1283="7062",$B1283="706",$B1283="708"),$N1283,IF($B1283="6231",1+$G1283,IF($B1283="6236",1+$H1283,IF(OR($B1283="621",$B1283="604",$B1283="6063"),$N1283*(1-$L1283),IF(OR($B1283="6411",$B1283="6413",$B1283="6414",$B1283="645"),(1+$J1283)*(1+$K1283),IF(OR($B1283="613",$B1283="615",$B1283="616",$B1283="6226",$B1283="625",$B1283="626",$B1283="6281"),(1+$I1283)*(1-$L1283)*(1+$M1283),IF(OR($B1283="6331",$B1283="63511",$B1283="6333"),(1+$I1283)*(1-$L1283),IF($B1283="6811",1+$I1283,1)))))))))</f>
        <v/>
      </c>
      <c r="P1283">
        <f>IF($A1283="","",IF($E1283=1,$F1283*$O1283,PNL!G1283))</f>
        <v/>
      </c>
      <c r="T1283">
        <f>IF($A1283="","",IF($E1283=1,IF(OR($B1283="7062",$B1283="706",$B1283="708"),$P1283,IF(AND(LEFT($B1283,1)="6",$B1283&lt;&gt;"6811"),-$P1283,0)),0))</f>
        <v/>
      </c>
    </row>
    <row r="1284">
      <c r="A1284">
        <f>IF(PNL!A1284="","",PNL!A1284)</f>
        <v/>
      </c>
      <c r="B1284">
        <f>IF(PNL!B1284="","",PNL!B1284)</f>
        <v/>
      </c>
      <c r="C1284">
        <f>IF(PNL!C1284="","",PNL!C1284)</f>
        <v/>
      </c>
      <c r="D1284">
        <f>IF(PNL!D1284="","",PNL!D1284)</f>
        <v/>
      </c>
      <c r="E1284">
        <f>IF($A1284="","",IF(AND($C1284="2027",OR($D1284="V01",$D1284="V02",$D1284="V03")),1,0))</f>
        <v/>
      </c>
      <c r="F1284">
        <f>IF($A1284="","",IF($E1284=1,SUMIFS(Comptabilité!$F$1:$F$675,Comptabilité!$A$1:$A$675,$A1284,Comptabilité!$B$1:$B$675,$B1284,Comptabilité!$C$1:$C$675,"2026"),0))</f>
        <v/>
      </c>
      <c r="G1284">
        <f>IF($A1284="","",IF($D1284="V01",Cadrage!$C$22,IF($D1284="V02",Cadrage!$D$22,Cadrage!$E$22)))</f>
        <v/>
      </c>
      <c r="H1284">
        <f>IF($A1284="","",IF($D1284="V01",Cadrage!$C$23,IF($D1284="V02",Cadrage!$D$23,Cadrage!$E$23)))</f>
        <v/>
      </c>
      <c r="I1284">
        <f>IF($A1284="","",IF($D1284="V01",Cadrage!$C$31,IF($D1284="V02",Cadrage!$D$31,Cadrage!$E$31)))</f>
        <v/>
      </c>
      <c r="J1284">
        <f>IF($A1284="","",IF($D1284="V01",Cadrage!$C$32,IF($D1284="V02",Cadrage!$D$32,Cadrage!$E$32)))</f>
        <v/>
      </c>
      <c r="K1284">
        <f>IF($A1284="","",IF($D1284="V01",Cadrage!$C$33,IF($D1284="V02",Cadrage!$D$33,Cadrage!$E$33)))</f>
        <v/>
      </c>
      <c r="L1284">
        <f>IF($A1284="","",IF($D1284="V01",Cadrage!$C$34,IF($D1284="V02",Cadrage!$D$34,Cadrage!$E$34)))</f>
        <v/>
      </c>
      <c r="M1284">
        <f>IF($A1284="","",IF($D1284="V01",Cadrage!$C$35,IF($D1284="V02",Cadrage!$D$35,Cadrage!$E$35)))</f>
        <v/>
      </c>
      <c r="N1284">
        <f>IF($A1284="","",IF($D1284="V01",$R$2,IF($D1284="V02",$R$3,$R$4)))</f>
        <v/>
      </c>
      <c r="O1284">
        <f>IF($A1284="","",IF(OR($B1284="7062",$B1284="706",$B1284="708"),$N1284,IF($B1284="6231",1+$G1284,IF($B1284="6236",1+$H1284,IF(OR($B1284="621",$B1284="604",$B1284="6063"),$N1284*(1-$L1284),IF(OR($B1284="6411",$B1284="6413",$B1284="6414",$B1284="645"),(1+$J1284)*(1+$K1284),IF(OR($B1284="613",$B1284="615",$B1284="616",$B1284="6226",$B1284="625",$B1284="626",$B1284="6281"),(1+$I1284)*(1-$L1284)*(1+$M1284),IF(OR($B1284="6331",$B1284="63511",$B1284="6333"),(1+$I1284)*(1-$L1284),IF($B1284="6811",1+$I1284,1)))))))))</f>
        <v/>
      </c>
      <c r="P1284">
        <f>IF($A1284="","",IF($E1284=1,$F1284*$O1284,PNL!G1284))</f>
        <v/>
      </c>
      <c r="T1284">
        <f>IF($A1284="","",IF($E1284=1,IF(OR($B1284="7062",$B1284="706",$B1284="708"),$P1284,IF(AND(LEFT($B1284,1)="6",$B1284&lt;&gt;"6811"),-$P1284,0)),0))</f>
        <v/>
      </c>
    </row>
    <row r="1285">
      <c r="A1285">
        <f>IF(PNL!A1285="","",PNL!A1285)</f>
        <v/>
      </c>
      <c r="B1285">
        <f>IF(PNL!B1285="","",PNL!B1285)</f>
        <v/>
      </c>
      <c r="C1285">
        <f>IF(PNL!C1285="","",PNL!C1285)</f>
        <v/>
      </c>
      <c r="D1285">
        <f>IF(PNL!D1285="","",PNL!D1285)</f>
        <v/>
      </c>
      <c r="E1285">
        <f>IF($A1285="","",IF(AND($C1285="2027",OR($D1285="V01",$D1285="V02",$D1285="V03")),1,0))</f>
        <v/>
      </c>
      <c r="F1285">
        <f>IF($A1285="","",IF($E1285=1,SUMIFS(Comptabilité!$F$1:$F$675,Comptabilité!$A$1:$A$675,$A1285,Comptabilité!$B$1:$B$675,$B1285,Comptabilité!$C$1:$C$675,"2026"),0))</f>
        <v/>
      </c>
      <c r="G1285">
        <f>IF($A1285="","",IF($D1285="V01",Cadrage!$C$22,IF($D1285="V02",Cadrage!$D$22,Cadrage!$E$22)))</f>
        <v/>
      </c>
      <c r="H1285">
        <f>IF($A1285="","",IF($D1285="V01",Cadrage!$C$23,IF($D1285="V02",Cadrage!$D$23,Cadrage!$E$23)))</f>
        <v/>
      </c>
      <c r="I1285">
        <f>IF($A1285="","",IF($D1285="V01",Cadrage!$C$31,IF($D1285="V02",Cadrage!$D$31,Cadrage!$E$31)))</f>
        <v/>
      </c>
      <c r="J1285">
        <f>IF($A1285="","",IF($D1285="V01",Cadrage!$C$32,IF($D1285="V02",Cadrage!$D$32,Cadrage!$E$32)))</f>
        <v/>
      </c>
      <c r="K1285">
        <f>IF($A1285="","",IF($D1285="V01",Cadrage!$C$33,IF($D1285="V02",Cadrage!$D$33,Cadrage!$E$33)))</f>
        <v/>
      </c>
      <c r="L1285">
        <f>IF($A1285="","",IF($D1285="V01",Cadrage!$C$34,IF($D1285="V02",Cadrage!$D$34,Cadrage!$E$34)))</f>
        <v/>
      </c>
      <c r="M1285">
        <f>IF($A1285="","",IF($D1285="V01",Cadrage!$C$35,IF($D1285="V02",Cadrage!$D$35,Cadrage!$E$35)))</f>
        <v/>
      </c>
      <c r="N1285">
        <f>IF($A1285="","",IF($D1285="V01",$R$2,IF($D1285="V02",$R$3,$R$4)))</f>
        <v/>
      </c>
      <c r="O1285">
        <f>IF($A1285="","",IF(OR($B1285="7062",$B1285="706",$B1285="708"),$N1285,IF($B1285="6231",1+$G1285,IF($B1285="6236",1+$H1285,IF(OR($B1285="621",$B1285="604",$B1285="6063"),$N1285*(1-$L1285),IF(OR($B1285="6411",$B1285="6413",$B1285="6414",$B1285="645"),(1+$J1285)*(1+$K1285),IF(OR($B1285="613",$B1285="615",$B1285="616",$B1285="6226",$B1285="625",$B1285="626",$B1285="6281"),(1+$I1285)*(1-$L1285)*(1+$M1285),IF(OR($B1285="6331",$B1285="63511",$B1285="6333"),(1+$I1285)*(1-$L1285),IF($B1285="6811",1+$I1285,1)))))))))</f>
        <v/>
      </c>
      <c r="P1285">
        <f>IF($A1285="","",IF($E1285=1,$F1285*$O1285,PNL!G1285))</f>
        <v/>
      </c>
      <c r="T1285">
        <f>IF($A1285="","",IF($E1285=1,IF(OR($B1285="7062",$B1285="706",$B1285="708"),$P1285,IF(AND(LEFT($B1285,1)="6",$B1285&lt;&gt;"6811"),-$P1285,0)),0))</f>
        <v/>
      </c>
    </row>
    <row r="1286">
      <c r="A1286">
        <f>IF(PNL!A1286="","",PNL!A1286)</f>
        <v/>
      </c>
      <c r="B1286">
        <f>IF(PNL!B1286="","",PNL!B1286)</f>
        <v/>
      </c>
      <c r="C1286">
        <f>IF(PNL!C1286="","",PNL!C1286)</f>
        <v/>
      </c>
      <c r="D1286">
        <f>IF(PNL!D1286="","",PNL!D1286)</f>
        <v/>
      </c>
      <c r="E1286">
        <f>IF($A1286="","",IF(AND($C1286="2027",OR($D1286="V01",$D1286="V02",$D1286="V03")),1,0))</f>
        <v/>
      </c>
      <c r="F1286">
        <f>IF($A1286="","",IF($E1286=1,SUMIFS(Comptabilité!$F$1:$F$675,Comptabilité!$A$1:$A$675,$A1286,Comptabilité!$B$1:$B$675,$B1286,Comptabilité!$C$1:$C$675,"2026"),0))</f>
        <v/>
      </c>
      <c r="G1286">
        <f>IF($A1286="","",IF($D1286="V01",Cadrage!$C$22,IF($D1286="V02",Cadrage!$D$22,Cadrage!$E$22)))</f>
        <v/>
      </c>
      <c r="H1286">
        <f>IF($A1286="","",IF($D1286="V01",Cadrage!$C$23,IF($D1286="V02",Cadrage!$D$23,Cadrage!$E$23)))</f>
        <v/>
      </c>
      <c r="I1286">
        <f>IF($A1286="","",IF($D1286="V01",Cadrage!$C$31,IF($D1286="V02",Cadrage!$D$31,Cadrage!$E$31)))</f>
        <v/>
      </c>
      <c r="J1286">
        <f>IF($A1286="","",IF($D1286="V01",Cadrage!$C$32,IF($D1286="V02",Cadrage!$D$32,Cadrage!$E$32)))</f>
        <v/>
      </c>
      <c r="K1286">
        <f>IF($A1286="","",IF($D1286="V01",Cadrage!$C$33,IF($D1286="V02",Cadrage!$D$33,Cadrage!$E$33)))</f>
        <v/>
      </c>
      <c r="L1286">
        <f>IF($A1286="","",IF($D1286="V01",Cadrage!$C$34,IF($D1286="V02",Cadrage!$D$34,Cadrage!$E$34)))</f>
        <v/>
      </c>
      <c r="M1286">
        <f>IF($A1286="","",IF($D1286="V01",Cadrage!$C$35,IF($D1286="V02",Cadrage!$D$35,Cadrage!$E$35)))</f>
        <v/>
      </c>
      <c r="N1286">
        <f>IF($A1286="","",IF($D1286="V01",$R$2,IF($D1286="V02",$R$3,$R$4)))</f>
        <v/>
      </c>
      <c r="O1286">
        <f>IF($A1286="","",IF(OR($B1286="7062",$B1286="706",$B1286="708"),$N1286,IF($B1286="6231",1+$G1286,IF($B1286="6236",1+$H1286,IF(OR($B1286="621",$B1286="604",$B1286="6063"),$N1286*(1-$L1286),IF(OR($B1286="6411",$B1286="6413",$B1286="6414",$B1286="645"),(1+$J1286)*(1+$K1286),IF(OR($B1286="613",$B1286="615",$B1286="616",$B1286="6226",$B1286="625",$B1286="626",$B1286="6281"),(1+$I1286)*(1-$L1286)*(1+$M1286),IF(OR($B1286="6331",$B1286="63511",$B1286="6333"),(1+$I1286)*(1-$L1286),IF($B1286="6811",1+$I1286,1)))))))))</f>
        <v/>
      </c>
      <c r="P1286">
        <f>IF($A1286="","",IF($E1286=1,$F1286*$O1286,PNL!G1286))</f>
        <v/>
      </c>
      <c r="T1286">
        <f>IF($A1286="","",IF($E1286=1,IF(OR($B1286="7062",$B1286="706",$B1286="708"),$P1286,IF(AND(LEFT($B1286,1)="6",$B1286&lt;&gt;"6811"),-$P1286,0)),0))</f>
        <v/>
      </c>
    </row>
    <row r="1287">
      <c r="A1287">
        <f>IF(PNL!A1287="","",PNL!A1287)</f>
        <v/>
      </c>
      <c r="B1287">
        <f>IF(PNL!B1287="","",PNL!B1287)</f>
        <v/>
      </c>
      <c r="C1287">
        <f>IF(PNL!C1287="","",PNL!C1287)</f>
        <v/>
      </c>
      <c r="D1287">
        <f>IF(PNL!D1287="","",PNL!D1287)</f>
        <v/>
      </c>
      <c r="E1287">
        <f>IF($A1287="","",IF(AND($C1287="2027",OR($D1287="V01",$D1287="V02",$D1287="V03")),1,0))</f>
        <v/>
      </c>
      <c r="F1287">
        <f>IF($A1287="","",IF($E1287=1,SUMIFS(Comptabilité!$F$1:$F$675,Comptabilité!$A$1:$A$675,$A1287,Comptabilité!$B$1:$B$675,$B1287,Comptabilité!$C$1:$C$675,"2026"),0))</f>
        <v/>
      </c>
      <c r="G1287">
        <f>IF($A1287="","",IF($D1287="V01",Cadrage!$C$22,IF($D1287="V02",Cadrage!$D$22,Cadrage!$E$22)))</f>
        <v/>
      </c>
      <c r="H1287">
        <f>IF($A1287="","",IF($D1287="V01",Cadrage!$C$23,IF($D1287="V02",Cadrage!$D$23,Cadrage!$E$23)))</f>
        <v/>
      </c>
      <c r="I1287">
        <f>IF($A1287="","",IF($D1287="V01",Cadrage!$C$31,IF($D1287="V02",Cadrage!$D$31,Cadrage!$E$31)))</f>
        <v/>
      </c>
      <c r="J1287">
        <f>IF($A1287="","",IF($D1287="V01",Cadrage!$C$32,IF($D1287="V02",Cadrage!$D$32,Cadrage!$E$32)))</f>
        <v/>
      </c>
      <c r="K1287">
        <f>IF($A1287="","",IF($D1287="V01",Cadrage!$C$33,IF($D1287="V02",Cadrage!$D$33,Cadrage!$E$33)))</f>
        <v/>
      </c>
      <c r="L1287">
        <f>IF($A1287="","",IF($D1287="V01",Cadrage!$C$34,IF($D1287="V02",Cadrage!$D$34,Cadrage!$E$34)))</f>
        <v/>
      </c>
      <c r="M1287">
        <f>IF($A1287="","",IF($D1287="V01",Cadrage!$C$35,IF($D1287="V02",Cadrage!$D$35,Cadrage!$E$35)))</f>
        <v/>
      </c>
      <c r="N1287">
        <f>IF($A1287="","",IF($D1287="V01",$R$2,IF($D1287="V02",$R$3,$R$4)))</f>
        <v/>
      </c>
      <c r="O1287">
        <f>IF($A1287="","",IF(OR($B1287="7062",$B1287="706",$B1287="708"),$N1287,IF($B1287="6231",1+$G1287,IF($B1287="6236",1+$H1287,IF(OR($B1287="621",$B1287="604",$B1287="6063"),$N1287*(1-$L1287),IF(OR($B1287="6411",$B1287="6413",$B1287="6414",$B1287="645"),(1+$J1287)*(1+$K1287),IF(OR($B1287="613",$B1287="615",$B1287="616",$B1287="6226",$B1287="625",$B1287="626",$B1287="6281"),(1+$I1287)*(1-$L1287)*(1+$M1287),IF(OR($B1287="6331",$B1287="63511",$B1287="6333"),(1+$I1287)*(1-$L1287),IF($B1287="6811",1+$I1287,1)))))))))</f>
        <v/>
      </c>
      <c r="P1287">
        <f>IF($A1287="","",IF($E1287=1,$F1287*$O1287,PNL!G1287))</f>
        <v/>
      </c>
      <c r="T1287">
        <f>IF($A1287="","",IF($E1287=1,IF(OR($B1287="7062",$B1287="706",$B1287="708"),$P1287,IF(AND(LEFT($B1287,1)="6",$B1287&lt;&gt;"6811"),-$P1287,0)),0))</f>
        <v/>
      </c>
    </row>
    <row r="1288">
      <c r="A1288">
        <f>IF(PNL!A1288="","",PNL!A1288)</f>
        <v/>
      </c>
      <c r="B1288">
        <f>IF(PNL!B1288="","",PNL!B1288)</f>
        <v/>
      </c>
      <c r="C1288">
        <f>IF(PNL!C1288="","",PNL!C1288)</f>
        <v/>
      </c>
      <c r="D1288">
        <f>IF(PNL!D1288="","",PNL!D1288)</f>
        <v/>
      </c>
      <c r="E1288">
        <f>IF($A1288="","",IF(AND($C1288="2027",OR($D1288="V01",$D1288="V02",$D1288="V03")),1,0))</f>
        <v/>
      </c>
      <c r="F1288">
        <f>IF($A1288="","",IF($E1288=1,SUMIFS(Comptabilité!$F$1:$F$675,Comptabilité!$A$1:$A$675,$A1288,Comptabilité!$B$1:$B$675,$B1288,Comptabilité!$C$1:$C$675,"2026"),0))</f>
        <v/>
      </c>
      <c r="G1288">
        <f>IF($A1288="","",IF($D1288="V01",Cadrage!$C$22,IF($D1288="V02",Cadrage!$D$22,Cadrage!$E$22)))</f>
        <v/>
      </c>
      <c r="H1288">
        <f>IF($A1288="","",IF($D1288="V01",Cadrage!$C$23,IF($D1288="V02",Cadrage!$D$23,Cadrage!$E$23)))</f>
        <v/>
      </c>
      <c r="I1288">
        <f>IF($A1288="","",IF($D1288="V01",Cadrage!$C$31,IF($D1288="V02",Cadrage!$D$31,Cadrage!$E$31)))</f>
        <v/>
      </c>
      <c r="J1288">
        <f>IF($A1288="","",IF($D1288="V01",Cadrage!$C$32,IF($D1288="V02",Cadrage!$D$32,Cadrage!$E$32)))</f>
        <v/>
      </c>
      <c r="K1288">
        <f>IF($A1288="","",IF($D1288="V01",Cadrage!$C$33,IF($D1288="V02",Cadrage!$D$33,Cadrage!$E$33)))</f>
        <v/>
      </c>
      <c r="L1288">
        <f>IF($A1288="","",IF($D1288="V01",Cadrage!$C$34,IF($D1288="V02",Cadrage!$D$34,Cadrage!$E$34)))</f>
        <v/>
      </c>
      <c r="M1288">
        <f>IF($A1288="","",IF($D1288="V01",Cadrage!$C$35,IF($D1288="V02",Cadrage!$D$35,Cadrage!$E$35)))</f>
        <v/>
      </c>
      <c r="N1288">
        <f>IF($A1288="","",IF($D1288="V01",$R$2,IF($D1288="V02",$R$3,$R$4)))</f>
        <v/>
      </c>
      <c r="O1288">
        <f>IF($A1288="","",IF(OR($B1288="7062",$B1288="706",$B1288="708"),$N1288,IF($B1288="6231",1+$G1288,IF($B1288="6236",1+$H1288,IF(OR($B1288="621",$B1288="604",$B1288="6063"),$N1288*(1-$L1288),IF(OR($B1288="6411",$B1288="6413",$B1288="6414",$B1288="645"),(1+$J1288)*(1+$K1288),IF(OR($B1288="613",$B1288="615",$B1288="616",$B1288="6226",$B1288="625",$B1288="626",$B1288="6281"),(1+$I1288)*(1-$L1288)*(1+$M1288),IF(OR($B1288="6331",$B1288="63511",$B1288="6333"),(1+$I1288)*(1-$L1288),IF($B1288="6811",1+$I1288,1)))))))))</f>
        <v/>
      </c>
      <c r="P1288">
        <f>IF($A1288="","",IF($E1288=1,$F1288*$O1288,PNL!G1288))</f>
        <v/>
      </c>
      <c r="T1288">
        <f>IF($A1288="","",IF($E1288=1,IF(OR($B1288="7062",$B1288="706",$B1288="708"),$P1288,IF(AND(LEFT($B1288,1)="6",$B1288&lt;&gt;"6811"),-$P1288,0)),0))</f>
        <v/>
      </c>
    </row>
    <row r="1289">
      <c r="A1289">
        <f>IF(PNL!A1289="","",PNL!A1289)</f>
        <v/>
      </c>
      <c r="B1289">
        <f>IF(PNL!B1289="","",PNL!B1289)</f>
        <v/>
      </c>
      <c r="C1289">
        <f>IF(PNL!C1289="","",PNL!C1289)</f>
        <v/>
      </c>
      <c r="D1289">
        <f>IF(PNL!D1289="","",PNL!D1289)</f>
        <v/>
      </c>
      <c r="E1289">
        <f>IF($A1289="","",IF(AND($C1289="2027",OR($D1289="V01",$D1289="V02",$D1289="V03")),1,0))</f>
        <v/>
      </c>
      <c r="F1289">
        <f>IF($A1289="","",IF($E1289=1,SUMIFS(Comptabilité!$F$1:$F$675,Comptabilité!$A$1:$A$675,$A1289,Comptabilité!$B$1:$B$675,$B1289,Comptabilité!$C$1:$C$675,"2026"),0))</f>
        <v/>
      </c>
      <c r="G1289">
        <f>IF($A1289="","",IF($D1289="V01",Cadrage!$C$22,IF($D1289="V02",Cadrage!$D$22,Cadrage!$E$22)))</f>
        <v/>
      </c>
      <c r="H1289">
        <f>IF($A1289="","",IF($D1289="V01",Cadrage!$C$23,IF($D1289="V02",Cadrage!$D$23,Cadrage!$E$23)))</f>
        <v/>
      </c>
      <c r="I1289">
        <f>IF($A1289="","",IF($D1289="V01",Cadrage!$C$31,IF($D1289="V02",Cadrage!$D$31,Cadrage!$E$31)))</f>
        <v/>
      </c>
      <c r="J1289">
        <f>IF($A1289="","",IF($D1289="V01",Cadrage!$C$32,IF($D1289="V02",Cadrage!$D$32,Cadrage!$E$32)))</f>
        <v/>
      </c>
      <c r="K1289">
        <f>IF($A1289="","",IF($D1289="V01",Cadrage!$C$33,IF($D1289="V02",Cadrage!$D$33,Cadrage!$E$33)))</f>
        <v/>
      </c>
      <c r="L1289">
        <f>IF($A1289="","",IF($D1289="V01",Cadrage!$C$34,IF($D1289="V02",Cadrage!$D$34,Cadrage!$E$34)))</f>
        <v/>
      </c>
      <c r="M1289">
        <f>IF($A1289="","",IF($D1289="V01",Cadrage!$C$35,IF($D1289="V02",Cadrage!$D$35,Cadrage!$E$35)))</f>
        <v/>
      </c>
      <c r="N1289">
        <f>IF($A1289="","",IF($D1289="V01",$R$2,IF($D1289="V02",$R$3,$R$4)))</f>
        <v/>
      </c>
      <c r="O1289">
        <f>IF($A1289="","",IF(OR($B1289="7062",$B1289="706",$B1289="708"),$N1289,IF($B1289="6231",1+$G1289,IF($B1289="6236",1+$H1289,IF(OR($B1289="621",$B1289="604",$B1289="6063"),$N1289*(1-$L1289),IF(OR($B1289="6411",$B1289="6413",$B1289="6414",$B1289="645"),(1+$J1289)*(1+$K1289),IF(OR($B1289="613",$B1289="615",$B1289="616",$B1289="6226",$B1289="625",$B1289="626",$B1289="6281"),(1+$I1289)*(1-$L1289)*(1+$M1289),IF(OR($B1289="6331",$B1289="63511",$B1289="6333"),(1+$I1289)*(1-$L1289),IF($B1289="6811",1+$I1289,1)))))))))</f>
        <v/>
      </c>
      <c r="P1289">
        <f>IF($A1289="","",IF($E1289=1,$F1289*$O1289,PNL!G1289))</f>
        <v/>
      </c>
      <c r="T1289">
        <f>IF($A1289="","",IF($E1289=1,IF(OR($B1289="7062",$B1289="706",$B1289="708"),$P1289,IF(AND(LEFT($B1289,1)="6",$B1289&lt;&gt;"6811"),-$P1289,0)),0))</f>
        <v/>
      </c>
    </row>
    <row r="1290">
      <c r="A1290">
        <f>IF(PNL!A1290="","",PNL!A1290)</f>
        <v/>
      </c>
      <c r="B1290">
        <f>IF(PNL!B1290="","",PNL!B1290)</f>
        <v/>
      </c>
      <c r="C1290">
        <f>IF(PNL!C1290="","",PNL!C1290)</f>
        <v/>
      </c>
      <c r="D1290">
        <f>IF(PNL!D1290="","",PNL!D1290)</f>
        <v/>
      </c>
      <c r="E1290">
        <f>IF($A1290="","",IF(AND($C1290="2027",OR($D1290="V01",$D1290="V02",$D1290="V03")),1,0))</f>
        <v/>
      </c>
      <c r="F1290">
        <f>IF($A1290="","",IF($E1290=1,SUMIFS(Comptabilité!$F$1:$F$675,Comptabilité!$A$1:$A$675,$A1290,Comptabilité!$B$1:$B$675,$B1290,Comptabilité!$C$1:$C$675,"2026"),0))</f>
        <v/>
      </c>
      <c r="G1290">
        <f>IF($A1290="","",IF($D1290="V01",Cadrage!$C$22,IF($D1290="V02",Cadrage!$D$22,Cadrage!$E$22)))</f>
        <v/>
      </c>
      <c r="H1290">
        <f>IF($A1290="","",IF($D1290="V01",Cadrage!$C$23,IF($D1290="V02",Cadrage!$D$23,Cadrage!$E$23)))</f>
        <v/>
      </c>
      <c r="I1290">
        <f>IF($A1290="","",IF($D1290="V01",Cadrage!$C$31,IF($D1290="V02",Cadrage!$D$31,Cadrage!$E$31)))</f>
        <v/>
      </c>
      <c r="J1290">
        <f>IF($A1290="","",IF($D1290="V01",Cadrage!$C$32,IF($D1290="V02",Cadrage!$D$32,Cadrage!$E$32)))</f>
        <v/>
      </c>
      <c r="K1290">
        <f>IF($A1290="","",IF($D1290="V01",Cadrage!$C$33,IF($D1290="V02",Cadrage!$D$33,Cadrage!$E$33)))</f>
        <v/>
      </c>
      <c r="L1290">
        <f>IF($A1290="","",IF($D1290="V01",Cadrage!$C$34,IF($D1290="V02",Cadrage!$D$34,Cadrage!$E$34)))</f>
        <v/>
      </c>
      <c r="M1290">
        <f>IF($A1290="","",IF($D1290="V01",Cadrage!$C$35,IF($D1290="V02",Cadrage!$D$35,Cadrage!$E$35)))</f>
        <v/>
      </c>
      <c r="N1290">
        <f>IF($A1290="","",IF($D1290="V01",$R$2,IF($D1290="V02",$R$3,$R$4)))</f>
        <v/>
      </c>
      <c r="O1290">
        <f>IF($A1290="","",IF(OR($B1290="7062",$B1290="706",$B1290="708"),$N1290,IF($B1290="6231",1+$G1290,IF($B1290="6236",1+$H1290,IF(OR($B1290="621",$B1290="604",$B1290="6063"),$N1290*(1-$L1290),IF(OR($B1290="6411",$B1290="6413",$B1290="6414",$B1290="645"),(1+$J1290)*(1+$K1290),IF(OR($B1290="613",$B1290="615",$B1290="616",$B1290="6226",$B1290="625",$B1290="626",$B1290="6281"),(1+$I1290)*(1-$L1290)*(1+$M1290),IF(OR($B1290="6331",$B1290="63511",$B1290="6333"),(1+$I1290)*(1-$L1290),IF($B1290="6811",1+$I1290,1)))))))))</f>
        <v/>
      </c>
      <c r="P1290">
        <f>IF($A1290="","",IF($E1290=1,$F1290*$O1290,PNL!G1290))</f>
        <v/>
      </c>
      <c r="T1290">
        <f>IF($A1290="","",IF($E1290=1,IF(OR($B1290="7062",$B1290="706",$B1290="708"),$P1290,IF(AND(LEFT($B1290,1)="6",$B1290&lt;&gt;"6811"),-$P1290,0)),0))</f>
        <v/>
      </c>
    </row>
    <row r="1291">
      <c r="A1291">
        <f>IF(PNL!A1291="","",PNL!A1291)</f>
        <v/>
      </c>
      <c r="B1291">
        <f>IF(PNL!B1291="","",PNL!B1291)</f>
        <v/>
      </c>
      <c r="C1291">
        <f>IF(PNL!C1291="","",PNL!C1291)</f>
        <v/>
      </c>
      <c r="D1291">
        <f>IF(PNL!D1291="","",PNL!D1291)</f>
        <v/>
      </c>
      <c r="E1291">
        <f>IF($A1291="","",IF(AND($C1291="2027",OR($D1291="V01",$D1291="V02",$D1291="V03")),1,0))</f>
        <v/>
      </c>
      <c r="F1291">
        <f>IF($A1291="","",IF($E1291=1,SUMIFS(Comptabilité!$F$1:$F$675,Comptabilité!$A$1:$A$675,$A1291,Comptabilité!$B$1:$B$675,$B1291,Comptabilité!$C$1:$C$675,"2026"),0))</f>
        <v/>
      </c>
      <c r="G1291">
        <f>IF($A1291="","",IF($D1291="V01",Cadrage!$C$22,IF($D1291="V02",Cadrage!$D$22,Cadrage!$E$22)))</f>
        <v/>
      </c>
      <c r="H1291">
        <f>IF($A1291="","",IF($D1291="V01",Cadrage!$C$23,IF($D1291="V02",Cadrage!$D$23,Cadrage!$E$23)))</f>
        <v/>
      </c>
      <c r="I1291">
        <f>IF($A1291="","",IF($D1291="V01",Cadrage!$C$31,IF($D1291="V02",Cadrage!$D$31,Cadrage!$E$31)))</f>
        <v/>
      </c>
      <c r="J1291">
        <f>IF($A1291="","",IF($D1291="V01",Cadrage!$C$32,IF($D1291="V02",Cadrage!$D$32,Cadrage!$E$32)))</f>
        <v/>
      </c>
      <c r="K1291">
        <f>IF($A1291="","",IF($D1291="V01",Cadrage!$C$33,IF($D1291="V02",Cadrage!$D$33,Cadrage!$E$33)))</f>
        <v/>
      </c>
      <c r="L1291">
        <f>IF($A1291="","",IF($D1291="V01",Cadrage!$C$34,IF($D1291="V02",Cadrage!$D$34,Cadrage!$E$34)))</f>
        <v/>
      </c>
      <c r="M1291">
        <f>IF($A1291="","",IF($D1291="V01",Cadrage!$C$35,IF($D1291="V02",Cadrage!$D$35,Cadrage!$E$35)))</f>
        <v/>
      </c>
      <c r="N1291">
        <f>IF($A1291="","",IF($D1291="V01",$R$2,IF($D1291="V02",$R$3,$R$4)))</f>
        <v/>
      </c>
      <c r="O1291">
        <f>IF($A1291="","",IF(OR($B1291="7062",$B1291="706",$B1291="708"),$N1291,IF($B1291="6231",1+$G1291,IF($B1291="6236",1+$H1291,IF(OR($B1291="621",$B1291="604",$B1291="6063"),$N1291*(1-$L1291),IF(OR($B1291="6411",$B1291="6413",$B1291="6414",$B1291="645"),(1+$J1291)*(1+$K1291),IF(OR($B1291="613",$B1291="615",$B1291="616",$B1291="6226",$B1291="625",$B1291="626",$B1291="6281"),(1+$I1291)*(1-$L1291)*(1+$M1291),IF(OR($B1291="6331",$B1291="63511",$B1291="6333"),(1+$I1291)*(1-$L1291),IF($B1291="6811",1+$I1291,1)))))))))</f>
        <v/>
      </c>
      <c r="P1291">
        <f>IF($A1291="","",IF($E1291=1,$F1291*$O1291,PNL!G1291))</f>
        <v/>
      </c>
      <c r="T1291">
        <f>IF($A1291="","",IF($E1291=1,IF(OR($B1291="7062",$B1291="706",$B1291="708"),$P1291,IF(AND(LEFT($B1291,1)="6",$B1291&lt;&gt;"6811"),-$P1291,0)),0))</f>
        <v/>
      </c>
    </row>
    <row r="1292">
      <c r="A1292">
        <f>IF(PNL!A1292="","",PNL!A1292)</f>
        <v/>
      </c>
      <c r="B1292">
        <f>IF(PNL!B1292="","",PNL!B1292)</f>
        <v/>
      </c>
      <c r="C1292">
        <f>IF(PNL!C1292="","",PNL!C1292)</f>
        <v/>
      </c>
      <c r="D1292">
        <f>IF(PNL!D1292="","",PNL!D1292)</f>
        <v/>
      </c>
      <c r="E1292">
        <f>IF($A1292="","",IF(AND($C1292="2027",OR($D1292="V01",$D1292="V02",$D1292="V03")),1,0))</f>
        <v/>
      </c>
      <c r="F1292">
        <f>IF($A1292="","",IF($E1292=1,SUMIFS(Comptabilité!$F$1:$F$675,Comptabilité!$A$1:$A$675,$A1292,Comptabilité!$B$1:$B$675,$B1292,Comptabilité!$C$1:$C$675,"2026"),0))</f>
        <v/>
      </c>
      <c r="G1292">
        <f>IF($A1292="","",IF($D1292="V01",Cadrage!$C$22,IF($D1292="V02",Cadrage!$D$22,Cadrage!$E$22)))</f>
        <v/>
      </c>
      <c r="H1292">
        <f>IF($A1292="","",IF($D1292="V01",Cadrage!$C$23,IF($D1292="V02",Cadrage!$D$23,Cadrage!$E$23)))</f>
        <v/>
      </c>
      <c r="I1292">
        <f>IF($A1292="","",IF($D1292="V01",Cadrage!$C$31,IF($D1292="V02",Cadrage!$D$31,Cadrage!$E$31)))</f>
        <v/>
      </c>
      <c r="J1292">
        <f>IF($A1292="","",IF($D1292="V01",Cadrage!$C$32,IF($D1292="V02",Cadrage!$D$32,Cadrage!$E$32)))</f>
        <v/>
      </c>
      <c r="K1292">
        <f>IF($A1292="","",IF($D1292="V01",Cadrage!$C$33,IF($D1292="V02",Cadrage!$D$33,Cadrage!$E$33)))</f>
        <v/>
      </c>
      <c r="L1292">
        <f>IF($A1292="","",IF($D1292="V01",Cadrage!$C$34,IF($D1292="V02",Cadrage!$D$34,Cadrage!$E$34)))</f>
        <v/>
      </c>
      <c r="M1292">
        <f>IF($A1292="","",IF($D1292="V01",Cadrage!$C$35,IF($D1292="V02",Cadrage!$D$35,Cadrage!$E$35)))</f>
        <v/>
      </c>
      <c r="N1292">
        <f>IF($A1292="","",IF($D1292="V01",$R$2,IF($D1292="V02",$R$3,$R$4)))</f>
        <v/>
      </c>
      <c r="O1292">
        <f>IF($A1292="","",IF(OR($B1292="7062",$B1292="706",$B1292="708"),$N1292,IF($B1292="6231",1+$G1292,IF($B1292="6236",1+$H1292,IF(OR($B1292="621",$B1292="604",$B1292="6063"),$N1292*(1-$L1292),IF(OR($B1292="6411",$B1292="6413",$B1292="6414",$B1292="645"),(1+$J1292)*(1+$K1292),IF(OR($B1292="613",$B1292="615",$B1292="616",$B1292="6226",$B1292="625",$B1292="626",$B1292="6281"),(1+$I1292)*(1-$L1292)*(1+$M1292),IF(OR($B1292="6331",$B1292="63511",$B1292="6333"),(1+$I1292)*(1-$L1292),IF($B1292="6811",1+$I1292,1)))))))))</f>
        <v/>
      </c>
      <c r="P1292">
        <f>IF($A1292="","",IF($E1292=1,$F1292*$O1292,PNL!G1292))</f>
        <v/>
      </c>
      <c r="T1292">
        <f>IF($A1292="","",IF($E1292=1,IF(OR($B1292="7062",$B1292="706",$B1292="708"),$P1292,IF(AND(LEFT($B1292,1)="6",$B1292&lt;&gt;"6811"),-$P1292,0)),0))</f>
        <v/>
      </c>
    </row>
    <row r="1293">
      <c r="A1293">
        <f>IF(PNL!A1293="","",PNL!A1293)</f>
        <v/>
      </c>
      <c r="B1293">
        <f>IF(PNL!B1293="","",PNL!B1293)</f>
        <v/>
      </c>
      <c r="C1293">
        <f>IF(PNL!C1293="","",PNL!C1293)</f>
        <v/>
      </c>
      <c r="D1293">
        <f>IF(PNL!D1293="","",PNL!D1293)</f>
        <v/>
      </c>
      <c r="E1293">
        <f>IF($A1293="","",IF(AND($C1293="2027",OR($D1293="V01",$D1293="V02",$D1293="V03")),1,0))</f>
        <v/>
      </c>
      <c r="F1293">
        <f>IF($A1293="","",IF($E1293=1,SUMIFS(Comptabilité!$F$1:$F$675,Comptabilité!$A$1:$A$675,$A1293,Comptabilité!$B$1:$B$675,$B1293,Comptabilité!$C$1:$C$675,"2026"),0))</f>
        <v/>
      </c>
      <c r="G1293">
        <f>IF($A1293="","",IF($D1293="V01",Cadrage!$C$22,IF($D1293="V02",Cadrage!$D$22,Cadrage!$E$22)))</f>
        <v/>
      </c>
      <c r="H1293">
        <f>IF($A1293="","",IF($D1293="V01",Cadrage!$C$23,IF($D1293="V02",Cadrage!$D$23,Cadrage!$E$23)))</f>
        <v/>
      </c>
      <c r="I1293">
        <f>IF($A1293="","",IF($D1293="V01",Cadrage!$C$31,IF($D1293="V02",Cadrage!$D$31,Cadrage!$E$31)))</f>
        <v/>
      </c>
      <c r="J1293">
        <f>IF($A1293="","",IF($D1293="V01",Cadrage!$C$32,IF($D1293="V02",Cadrage!$D$32,Cadrage!$E$32)))</f>
        <v/>
      </c>
      <c r="K1293">
        <f>IF($A1293="","",IF($D1293="V01",Cadrage!$C$33,IF($D1293="V02",Cadrage!$D$33,Cadrage!$E$33)))</f>
        <v/>
      </c>
      <c r="L1293">
        <f>IF($A1293="","",IF($D1293="V01",Cadrage!$C$34,IF($D1293="V02",Cadrage!$D$34,Cadrage!$E$34)))</f>
        <v/>
      </c>
      <c r="M1293">
        <f>IF($A1293="","",IF($D1293="V01",Cadrage!$C$35,IF($D1293="V02",Cadrage!$D$35,Cadrage!$E$35)))</f>
        <v/>
      </c>
      <c r="N1293">
        <f>IF($A1293="","",IF($D1293="V01",$R$2,IF($D1293="V02",$R$3,$R$4)))</f>
        <v/>
      </c>
      <c r="O1293">
        <f>IF($A1293="","",IF(OR($B1293="7062",$B1293="706",$B1293="708"),$N1293,IF($B1293="6231",1+$G1293,IF($B1293="6236",1+$H1293,IF(OR($B1293="621",$B1293="604",$B1293="6063"),$N1293*(1-$L1293),IF(OR($B1293="6411",$B1293="6413",$B1293="6414",$B1293="645"),(1+$J1293)*(1+$K1293),IF(OR($B1293="613",$B1293="615",$B1293="616",$B1293="6226",$B1293="625",$B1293="626",$B1293="6281"),(1+$I1293)*(1-$L1293)*(1+$M1293),IF(OR($B1293="6331",$B1293="63511",$B1293="6333"),(1+$I1293)*(1-$L1293),IF($B1293="6811",1+$I1293,1)))))))))</f>
        <v/>
      </c>
      <c r="P1293">
        <f>IF($A1293="","",IF($E1293=1,$F1293*$O1293,PNL!G1293))</f>
        <v/>
      </c>
      <c r="T1293">
        <f>IF($A1293="","",IF($E1293=1,IF(OR($B1293="7062",$B1293="706",$B1293="708"),$P1293,IF(AND(LEFT($B1293,1)="6",$B1293&lt;&gt;"6811"),-$P1293,0)),0))</f>
        <v/>
      </c>
    </row>
    <row r="1294">
      <c r="A1294">
        <f>IF(PNL!A1294="","",PNL!A1294)</f>
        <v/>
      </c>
      <c r="B1294">
        <f>IF(PNL!B1294="","",PNL!B1294)</f>
        <v/>
      </c>
      <c r="C1294">
        <f>IF(PNL!C1294="","",PNL!C1294)</f>
        <v/>
      </c>
      <c r="D1294">
        <f>IF(PNL!D1294="","",PNL!D1294)</f>
        <v/>
      </c>
      <c r="E1294">
        <f>IF($A1294="","",IF(AND($C1294="2027",OR($D1294="V01",$D1294="V02",$D1294="V03")),1,0))</f>
        <v/>
      </c>
      <c r="F1294">
        <f>IF($A1294="","",IF($E1294=1,SUMIFS(Comptabilité!$F$1:$F$675,Comptabilité!$A$1:$A$675,$A1294,Comptabilité!$B$1:$B$675,$B1294,Comptabilité!$C$1:$C$675,"2026"),0))</f>
        <v/>
      </c>
      <c r="G1294">
        <f>IF($A1294="","",IF($D1294="V01",Cadrage!$C$22,IF($D1294="V02",Cadrage!$D$22,Cadrage!$E$22)))</f>
        <v/>
      </c>
      <c r="H1294">
        <f>IF($A1294="","",IF($D1294="V01",Cadrage!$C$23,IF($D1294="V02",Cadrage!$D$23,Cadrage!$E$23)))</f>
        <v/>
      </c>
      <c r="I1294">
        <f>IF($A1294="","",IF($D1294="V01",Cadrage!$C$31,IF($D1294="V02",Cadrage!$D$31,Cadrage!$E$31)))</f>
        <v/>
      </c>
      <c r="J1294">
        <f>IF($A1294="","",IF($D1294="V01",Cadrage!$C$32,IF($D1294="V02",Cadrage!$D$32,Cadrage!$E$32)))</f>
        <v/>
      </c>
      <c r="K1294">
        <f>IF($A1294="","",IF($D1294="V01",Cadrage!$C$33,IF($D1294="V02",Cadrage!$D$33,Cadrage!$E$33)))</f>
        <v/>
      </c>
      <c r="L1294">
        <f>IF($A1294="","",IF($D1294="V01",Cadrage!$C$34,IF($D1294="V02",Cadrage!$D$34,Cadrage!$E$34)))</f>
        <v/>
      </c>
      <c r="M1294">
        <f>IF($A1294="","",IF($D1294="V01",Cadrage!$C$35,IF($D1294="V02",Cadrage!$D$35,Cadrage!$E$35)))</f>
        <v/>
      </c>
      <c r="N1294">
        <f>IF($A1294="","",IF($D1294="V01",$R$2,IF($D1294="V02",$R$3,$R$4)))</f>
        <v/>
      </c>
      <c r="O1294">
        <f>IF($A1294="","",IF(OR($B1294="7062",$B1294="706",$B1294="708"),$N1294,IF($B1294="6231",1+$G1294,IF($B1294="6236",1+$H1294,IF(OR($B1294="621",$B1294="604",$B1294="6063"),$N1294*(1-$L1294),IF(OR($B1294="6411",$B1294="6413",$B1294="6414",$B1294="645"),(1+$J1294)*(1+$K1294),IF(OR($B1294="613",$B1294="615",$B1294="616",$B1294="6226",$B1294="625",$B1294="626",$B1294="6281"),(1+$I1294)*(1-$L1294)*(1+$M1294),IF(OR($B1294="6331",$B1294="63511",$B1294="6333"),(1+$I1294)*(1-$L1294),IF($B1294="6811",1+$I1294,1)))))))))</f>
        <v/>
      </c>
      <c r="P1294">
        <f>IF($A1294="","",IF($E1294=1,$F1294*$O1294,PNL!G1294))</f>
        <v/>
      </c>
      <c r="T1294">
        <f>IF($A1294="","",IF($E1294=1,IF(OR($B1294="7062",$B1294="706",$B1294="708"),$P1294,IF(AND(LEFT($B1294,1)="6",$B1294&lt;&gt;"6811"),-$P1294,0)),0))</f>
        <v/>
      </c>
    </row>
    <row r="1295">
      <c r="A1295">
        <f>IF(PNL!A1295="","",PNL!A1295)</f>
        <v/>
      </c>
      <c r="B1295">
        <f>IF(PNL!B1295="","",PNL!B1295)</f>
        <v/>
      </c>
      <c r="C1295">
        <f>IF(PNL!C1295="","",PNL!C1295)</f>
        <v/>
      </c>
      <c r="D1295">
        <f>IF(PNL!D1295="","",PNL!D1295)</f>
        <v/>
      </c>
      <c r="E1295">
        <f>IF($A1295="","",IF(AND($C1295="2027",OR($D1295="V01",$D1295="V02",$D1295="V03")),1,0))</f>
        <v/>
      </c>
      <c r="F1295">
        <f>IF($A1295="","",IF($E1295=1,SUMIFS(Comptabilité!$F$1:$F$675,Comptabilité!$A$1:$A$675,$A1295,Comptabilité!$B$1:$B$675,$B1295,Comptabilité!$C$1:$C$675,"2026"),0))</f>
        <v/>
      </c>
      <c r="G1295">
        <f>IF($A1295="","",IF($D1295="V01",Cadrage!$C$22,IF($D1295="V02",Cadrage!$D$22,Cadrage!$E$22)))</f>
        <v/>
      </c>
      <c r="H1295">
        <f>IF($A1295="","",IF($D1295="V01",Cadrage!$C$23,IF($D1295="V02",Cadrage!$D$23,Cadrage!$E$23)))</f>
        <v/>
      </c>
      <c r="I1295">
        <f>IF($A1295="","",IF($D1295="V01",Cadrage!$C$31,IF($D1295="V02",Cadrage!$D$31,Cadrage!$E$31)))</f>
        <v/>
      </c>
      <c r="J1295">
        <f>IF($A1295="","",IF($D1295="V01",Cadrage!$C$32,IF($D1295="V02",Cadrage!$D$32,Cadrage!$E$32)))</f>
        <v/>
      </c>
      <c r="K1295">
        <f>IF($A1295="","",IF($D1295="V01",Cadrage!$C$33,IF($D1295="V02",Cadrage!$D$33,Cadrage!$E$33)))</f>
        <v/>
      </c>
      <c r="L1295">
        <f>IF($A1295="","",IF($D1295="V01",Cadrage!$C$34,IF($D1295="V02",Cadrage!$D$34,Cadrage!$E$34)))</f>
        <v/>
      </c>
      <c r="M1295">
        <f>IF($A1295="","",IF($D1295="V01",Cadrage!$C$35,IF($D1295="V02",Cadrage!$D$35,Cadrage!$E$35)))</f>
        <v/>
      </c>
      <c r="N1295">
        <f>IF($A1295="","",IF($D1295="V01",$R$2,IF($D1295="V02",$R$3,$R$4)))</f>
        <v/>
      </c>
      <c r="O1295">
        <f>IF($A1295="","",IF(OR($B1295="7062",$B1295="706",$B1295="708"),$N1295,IF($B1295="6231",1+$G1295,IF($B1295="6236",1+$H1295,IF(OR($B1295="621",$B1295="604",$B1295="6063"),$N1295*(1-$L1295),IF(OR($B1295="6411",$B1295="6413",$B1295="6414",$B1295="645"),(1+$J1295)*(1+$K1295),IF(OR($B1295="613",$B1295="615",$B1295="616",$B1295="6226",$B1295="625",$B1295="626",$B1295="6281"),(1+$I1295)*(1-$L1295)*(1+$M1295),IF(OR($B1295="6331",$B1295="63511",$B1295="6333"),(1+$I1295)*(1-$L1295),IF($B1295="6811",1+$I1295,1)))))))))</f>
        <v/>
      </c>
      <c r="P1295">
        <f>IF($A1295="","",IF($E1295=1,$F1295*$O1295,PNL!G1295))</f>
        <v/>
      </c>
      <c r="T1295">
        <f>IF($A1295="","",IF($E1295=1,IF(OR($B1295="7062",$B1295="706",$B1295="708"),$P1295,IF(AND(LEFT($B1295,1)="6",$B1295&lt;&gt;"6811"),-$P1295,0)),0))</f>
        <v/>
      </c>
    </row>
    <row r="1296">
      <c r="A1296">
        <f>IF(PNL!A1296="","",PNL!A1296)</f>
        <v/>
      </c>
      <c r="B1296">
        <f>IF(PNL!B1296="","",PNL!B1296)</f>
        <v/>
      </c>
      <c r="C1296">
        <f>IF(PNL!C1296="","",PNL!C1296)</f>
        <v/>
      </c>
      <c r="D1296">
        <f>IF(PNL!D1296="","",PNL!D1296)</f>
        <v/>
      </c>
      <c r="E1296">
        <f>IF($A1296="","",IF(AND($C1296="2027",OR($D1296="V01",$D1296="V02",$D1296="V03")),1,0))</f>
        <v/>
      </c>
      <c r="F1296">
        <f>IF($A1296="","",IF($E1296=1,SUMIFS(Comptabilité!$F$1:$F$675,Comptabilité!$A$1:$A$675,$A1296,Comptabilité!$B$1:$B$675,$B1296,Comptabilité!$C$1:$C$675,"2026"),0))</f>
        <v/>
      </c>
      <c r="G1296">
        <f>IF($A1296="","",IF($D1296="V01",Cadrage!$C$22,IF($D1296="V02",Cadrage!$D$22,Cadrage!$E$22)))</f>
        <v/>
      </c>
      <c r="H1296">
        <f>IF($A1296="","",IF($D1296="V01",Cadrage!$C$23,IF($D1296="V02",Cadrage!$D$23,Cadrage!$E$23)))</f>
        <v/>
      </c>
      <c r="I1296">
        <f>IF($A1296="","",IF($D1296="V01",Cadrage!$C$31,IF($D1296="V02",Cadrage!$D$31,Cadrage!$E$31)))</f>
        <v/>
      </c>
      <c r="J1296">
        <f>IF($A1296="","",IF($D1296="V01",Cadrage!$C$32,IF($D1296="V02",Cadrage!$D$32,Cadrage!$E$32)))</f>
        <v/>
      </c>
      <c r="K1296">
        <f>IF($A1296="","",IF($D1296="V01",Cadrage!$C$33,IF($D1296="V02",Cadrage!$D$33,Cadrage!$E$33)))</f>
        <v/>
      </c>
      <c r="L1296">
        <f>IF($A1296="","",IF($D1296="V01",Cadrage!$C$34,IF($D1296="V02",Cadrage!$D$34,Cadrage!$E$34)))</f>
        <v/>
      </c>
      <c r="M1296">
        <f>IF($A1296="","",IF($D1296="V01",Cadrage!$C$35,IF($D1296="V02",Cadrage!$D$35,Cadrage!$E$35)))</f>
        <v/>
      </c>
      <c r="N1296">
        <f>IF($A1296="","",IF($D1296="V01",$R$2,IF($D1296="V02",$R$3,$R$4)))</f>
        <v/>
      </c>
      <c r="O1296">
        <f>IF($A1296="","",IF(OR($B1296="7062",$B1296="706",$B1296="708"),$N1296,IF($B1296="6231",1+$G1296,IF($B1296="6236",1+$H1296,IF(OR($B1296="621",$B1296="604",$B1296="6063"),$N1296*(1-$L1296),IF(OR($B1296="6411",$B1296="6413",$B1296="6414",$B1296="645"),(1+$J1296)*(1+$K1296),IF(OR($B1296="613",$B1296="615",$B1296="616",$B1296="6226",$B1296="625",$B1296="626",$B1296="6281"),(1+$I1296)*(1-$L1296)*(1+$M1296),IF(OR($B1296="6331",$B1296="63511",$B1296="6333"),(1+$I1296)*(1-$L1296),IF($B1296="6811",1+$I1296,1)))))))))</f>
        <v/>
      </c>
      <c r="P1296">
        <f>IF($A1296="","",IF($E1296=1,$F1296*$O1296,PNL!G1296))</f>
        <v/>
      </c>
      <c r="T1296">
        <f>IF($A1296="","",IF($E1296=1,IF(OR($B1296="7062",$B1296="706",$B1296="708"),$P1296,IF(AND(LEFT($B1296,1)="6",$B1296&lt;&gt;"6811"),-$P1296,0)),0))</f>
        <v/>
      </c>
    </row>
    <row r="1297">
      <c r="A1297">
        <f>IF(PNL!A1297="","",PNL!A1297)</f>
        <v/>
      </c>
      <c r="B1297">
        <f>IF(PNL!B1297="","",PNL!B1297)</f>
        <v/>
      </c>
      <c r="C1297">
        <f>IF(PNL!C1297="","",PNL!C1297)</f>
        <v/>
      </c>
      <c r="D1297">
        <f>IF(PNL!D1297="","",PNL!D1297)</f>
        <v/>
      </c>
      <c r="E1297">
        <f>IF($A1297="","",IF(AND($C1297="2027",OR($D1297="V01",$D1297="V02",$D1297="V03")),1,0))</f>
        <v/>
      </c>
      <c r="F1297">
        <f>IF($A1297="","",IF($E1297=1,SUMIFS(Comptabilité!$F$1:$F$675,Comptabilité!$A$1:$A$675,$A1297,Comptabilité!$B$1:$B$675,$B1297,Comptabilité!$C$1:$C$675,"2026"),0))</f>
        <v/>
      </c>
      <c r="G1297">
        <f>IF($A1297="","",IF($D1297="V01",Cadrage!$C$22,IF($D1297="V02",Cadrage!$D$22,Cadrage!$E$22)))</f>
        <v/>
      </c>
      <c r="H1297">
        <f>IF($A1297="","",IF($D1297="V01",Cadrage!$C$23,IF($D1297="V02",Cadrage!$D$23,Cadrage!$E$23)))</f>
        <v/>
      </c>
      <c r="I1297">
        <f>IF($A1297="","",IF($D1297="V01",Cadrage!$C$31,IF($D1297="V02",Cadrage!$D$31,Cadrage!$E$31)))</f>
        <v/>
      </c>
      <c r="J1297">
        <f>IF($A1297="","",IF($D1297="V01",Cadrage!$C$32,IF($D1297="V02",Cadrage!$D$32,Cadrage!$E$32)))</f>
        <v/>
      </c>
      <c r="K1297">
        <f>IF($A1297="","",IF($D1297="V01",Cadrage!$C$33,IF($D1297="V02",Cadrage!$D$33,Cadrage!$E$33)))</f>
        <v/>
      </c>
      <c r="L1297">
        <f>IF($A1297="","",IF($D1297="V01",Cadrage!$C$34,IF($D1297="V02",Cadrage!$D$34,Cadrage!$E$34)))</f>
        <v/>
      </c>
      <c r="M1297">
        <f>IF($A1297="","",IF($D1297="V01",Cadrage!$C$35,IF($D1297="V02",Cadrage!$D$35,Cadrage!$E$35)))</f>
        <v/>
      </c>
      <c r="N1297">
        <f>IF($A1297="","",IF($D1297="V01",$R$2,IF($D1297="V02",$R$3,$R$4)))</f>
        <v/>
      </c>
      <c r="O1297">
        <f>IF($A1297="","",IF(OR($B1297="7062",$B1297="706",$B1297="708"),$N1297,IF($B1297="6231",1+$G1297,IF($B1297="6236",1+$H1297,IF(OR($B1297="621",$B1297="604",$B1297="6063"),$N1297*(1-$L1297),IF(OR($B1297="6411",$B1297="6413",$B1297="6414",$B1297="645"),(1+$J1297)*(1+$K1297),IF(OR($B1297="613",$B1297="615",$B1297="616",$B1297="6226",$B1297="625",$B1297="626",$B1297="6281"),(1+$I1297)*(1-$L1297)*(1+$M1297),IF(OR($B1297="6331",$B1297="63511",$B1297="6333"),(1+$I1297)*(1-$L1297),IF($B1297="6811",1+$I1297,1)))))))))</f>
        <v/>
      </c>
      <c r="P1297">
        <f>IF($A1297="","",IF($E1297=1,$F1297*$O1297,PNL!G1297))</f>
        <v/>
      </c>
      <c r="T1297">
        <f>IF($A1297="","",IF($E1297=1,IF(OR($B1297="7062",$B1297="706",$B1297="708"),$P1297,IF(AND(LEFT($B1297,1)="6",$B1297&lt;&gt;"6811"),-$P1297,0)),0))</f>
        <v/>
      </c>
    </row>
    <row r="1298">
      <c r="A1298">
        <f>IF(PNL!A1298="","",PNL!A1298)</f>
        <v/>
      </c>
      <c r="B1298">
        <f>IF(PNL!B1298="","",PNL!B1298)</f>
        <v/>
      </c>
      <c r="C1298">
        <f>IF(PNL!C1298="","",PNL!C1298)</f>
        <v/>
      </c>
      <c r="D1298">
        <f>IF(PNL!D1298="","",PNL!D1298)</f>
        <v/>
      </c>
      <c r="E1298">
        <f>IF($A1298="","",IF(AND($C1298="2027",OR($D1298="V01",$D1298="V02",$D1298="V03")),1,0))</f>
        <v/>
      </c>
      <c r="F1298">
        <f>IF($A1298="","",IF($E1298=1,SUMIFS(Comptabilité!$F$1:$F$675,Comptabilité!$A$1:$A$675,$A1298,Comptabilité!$B$1:$B$675,$B1298,Comptabilité!$C$1:$C$675,"2026"),0))</f>
        <v/>
      </c>
      <c r="G1298">
        <f>IF($A1298="","",IF($D1298="V01",Cadrage!$C$22,IF($D1298="V02",Cadrage!$D$22,Cadrage!$E$22)))</f>
        <v/>
      </c>
      <c r="H1298">
        <f>IF($A1298="","",IF($D1298="V01",Cadrage!$C$23,IF($D1298="V02",Cadrage!$D$23,Cadrage!$E$23)))</f>
        <v/>
      </c>
      <c r="I1298">
        <f>IF($A1298="","",IF($D1298="V01",Cadrage!$C$31,IF($D1298="V02",Cadrage!$D$31,Cadrage!$E$31)))</f>
        <v/>
      </c>
      <c r="J1298">
        <f>IF($A1298="","",IF($D1298="V01",Cadrage!$C$32,IF($D1298="V02",Cadrage!$D$32,Cadrage!$E$32)))</f>
        <v/>
      </c>
      <c r="K1298">
        <f>IF($A1298="","",IF($D1298="V01",Cadrage!$C$33,IF($D1298="V02",Cadrage!$D$33,Cadrage!$E$33)))</f>
        <v/>
      </c>
      <c r="L1298">
        <f>IF($A1298="","",IF($D1298="V01",Cadrage!$C$34,IF($D1298="V02",Cadrage!$D$34,Cadrage!$E$34)))</f>
        <v/>
      </c>
      <c r="M1298">
        <f>IF($A1298="","",IF($D1298="V01",Cadrage!$C$35,IF($D1298="V02",Cadrage!$D$35,Cadrage!$E$35)))</f>
        <v/>
      </c>
      <c r="N1298">
        <f>IF($A1298="","",IF($D1298="V01",$R$2,IF($D1298="V02",$R$3,$R$4)))</f>
        <v/>
      </c>
      <c r="O1298">
        <f>IF($A1298="","",IF(OR($B1298="7062",$B1298="706",$B1298="708"),$N1298,IF($B1298="6231",1+$G1298,IF($B1298="6236",1+$H1298,IF(OR($B1298="621",$B1298="604",$B1298="6063"),$N1298*(1-$L1298),IF(OR($B1298="6411",$B1298="6413",$B1298="6414",$B1298="645"),(1+$J1298)*(1+$K1298),IF(OR($B1298="613",$B1298="615",$B1298="616",$B1298="6226",$B1298="625",$B1298="626",$B1298="6281"),(1+$I1298)*(1-$L1298)*(1+$M1298),IF(OR($B1298="6331",$B1298="63511",$B1298="6333"),(1+$I1298)*(1-$L1298),IF($B1298="6811",1+$I1298,1)))))))))</f>
        <v/>
      </c>
      <c r="P1298">
        <f>IF($A1298="","",IF($E1298=1,$F1298*$O1298,PNL!G1298))</f>
        <v/>
      </c>
      <c r="T1298">
        <f>IF($A1298="","",IF($E1298=1,IF(OR($B1298="7062",$B1298="706",$B1298="708"),$P1298,IF(AND(LEFT($B1298,1)="6",$B1298&lt;&gt;"6811"),-$P1298,0)),0))</f>
        <v/>
      </c>
    </row>
    <row r="1299">
      <c r="A1299">
        <f>IF(PNL!A1299="","",PNL!A1299)</f>
        <v/>
      </c>
      <c r="B1299">
        <f>IF(PNL!B1299="","",PNL!B1299)</f>
        <v/>
      </c>
      <c r="C1299">
        <f>IF(PNL!C1299="","",PNL!C1299)</f>
        <v/>
      </c>
      <c r="D1299">
        <f>IF(PNL!D1299="","",PNL!D1299)</f>
        <v/>
      </c>
      <c r="E1299">
        <f>IF($A1299="","",IF(AND($C1299="2027",OR($D1299="V01",$D1299="V02",$D1299="V03")),1,0))</f>
        <v/>
      </c>
      <c r="F1299">
        <f>IF($A1299="","",IF($E1299=1,SUMIFS(Comptabilité!$F$1:$F$675,Comptabilité!$A$1:$A$675,$A1299,Comptabilité!$B$1:$B$675,$B1299,Comptabilité!$C$1:$C$675,"2026"),0))</f>
        <v/>
      </c>
      <c r="G1299">
        <f>IF($A1299="","",IF($D1299="V01",Cadrage!$C$22,IF($D1299="V02",Cadrage!$D$22,Cadrage!$E$22)))</f>
        <v/>
      </c>
      <c r="H1299">
        <f>IF($A1299="","",IF($D1299="V01",Cadrage!$C$23,IF($D1299="V02",Cadrage!$D$23,Cadrage!$E$23)))</f>
        <v/>
      </c>
      <c r="I1299">
        <f>IF($A1299="","",IF($D1299="V01",Cadrage!$C$31,IF($D1299="V02",Cadrage!$D$31,Cadrage!$E$31)))</f>
        <v/>
      </c>
      <c r="J1299">
        <f>IF($A1299="","",IF($D1299="V01",Cadrage!$C$32,IF($D1299="V02",Cadrage!$D$32,Cadrage!$E$32)))</f>
        <v/>
      </c>
      <c r="K1299">
        <f>IF($A1299="","",IF($D1299="V01",Cadrage!$C$33,IF($D1299="V02",Cadrage!$D$33,Cadrage!$E$33)))</f>
        <v/>
      </c>
      <c r="L1299">
        <f>IF($A1299="","",IF($D1299="V01",Cadrage!$C$34,IF($D1299="V02",Cadrage!$D$34,Cadrage!$E$34)))</f>
        <v/>
      </c>
      <c r="M1299">
        <f>IF($A1299="","",IF($D1299="V01",Cadrage!$C$35,IF($D1299="V02",Cadrage!$D$35,Cadrage!$E$35)))</f>
        <v/>
      </c>
      <c r="N1299">
        <f>IF($A1299="","",IF($D1299="V01",$R$2,IF($D1299="V02",$R$3,$R$4)))</f>
        <v/>
      </c>
      <c r="O1299">
        <f>IF($A1299="","",IF(OR($B1299="7062",$B1299="706",$B1299="708"),$N1299,IF($B1299="6231",1+$G1299,IF($B1299="6236",1+$H1299,IF(OR($B1299="621",$B1299="604",$B1299="6063"),$N1299*(1-$L1299),IF(OR($B1299="6411",$B1299="6413",$B1299="6414",$B1299="645"),(1+$J1299)*(1+$K1299),IF(OR($B1299="613",$B1299="615",$B1299="616",$B1299="6226",$B1299="625",$B1299="626",$B1299="6281"),(1+$I1299)*(1-$L1299)*(1+$M1299),IF(OR($B1299="6331",$B1299="63511",$B1299="6333"),(1+$I1299)*(1-$L1299),IF($B1299="6811",1+$I1299,1)))))))))</f>
        <v/>
      </c>
      <c r="P1299">
        <f>IF($A1299="","",IF($E1299=1,$F1299*$O1299,PNL!G1299))</f>
        <v/>
      </c>
      <c r="T1299">
        <f>IF($A1299="","",IF($E1299=1,IF(OR($B1299="7062",$B1299="706",$B1299="708"),$P1299,IF(AND(LEFT($B1299,1)="6",$B1299&lt;&gt;"6811"),-$P1299,0)),0))</f>
        <v/>
      </c>
    </row>
    <row r="1300">
      <c r="A1300">
        <f>IF(PNL!A1300="","",PNL!A1300)</f>
        <v/>
      </c>
      <c r="B1300">
        <f>IF(PNL!B1300="","",PNL!B1300)</f>
        <v/>
      </c>
      <c r="C1300">
        <f>IF(PNL!C1300="","",PNL!C1300)</f>
        <v/>
      </c>
      <c r="D1300">
        <f>IF(PNL!D1300="","",PNL!D1300)</f>
        <v/>
      </c>
      <c r="E1300">
        <f>IF($A1300="","",IF(AND($C1300="2027",OR($D1300="V01",$D1300="V02",$D1300="V03")),1,0))</f>
        <v/>
      </c>
      <c r="F1300">
        <f>IF($A1300="","",IF($E1300=1,SUMIFS(Comptabilité!$F$1:$F$675,Comptabilité!$A$1:$A$675,$A1300,Comptabilité!$B$1:$B$675,$B1300,Comptabilité!$C$1:$C$675,"2026"),0))</f>
        <v/>
      </c>
      <c r="G1300">
        <f>IF($A1300="","",IF($D1300="V01",Cadrage!$C$22,IF($D1300="V02",Cadrage!$D$22,Cadrage!$E$22)))</f>
        <v/>
      </c>
      <c r="H1300">
        <f>IF($A1300="","",IF($D1300="V01",Cadrage!$C$23,IF($D1300="V02",Cadrage!$D$23,Cadrage!$E$23)))</f>
        <v/>
      </c>
      <c r="I1300">
        <f>IF($A1300="","",IF($D1300="V01",Cadrage!$C$31,IF($D1300="V02",Cadrage!$D$31,Cadrage!$E$31)))</f>
        <v/>
      </c>
      <c r="J1300">
        <f>IF($A1300="","",IF($D1300="V01",Cadrage!$C$32,IF($D1300="V02",Cadrage!$D$32,Cadrage!$E$32)))</f>
        <v/>
      </c>
      <c r="K1300">
        <f>IF($A1300="","",IF($D1300="V01",Cadrage!$C$33,IF($D1300="V02",Cadrage!$D$33,Cadrage!$E$33)))</f>
        <v/>
      </c>
      <c r="L1300">
        <f>IF($A1300="","",IF($D1300="V01",Cadrage!$C$34,IF($D1300="V02",Cadrage!$D$34,Cadrage!$E$34)))</f>
        <v/>
      </c>
      <c r="M1300">
        <f>IF($A1300="","",IF($D1300="V01",Cadrage!$C$35,IF($D1300="V02",Cadrage!$D$35,Cadrage!$E$35)))</f>
        <v/>
      </c>
      <c r="N1300">
        <f>IF($A1300="","",IF($D1300="V01",$R$2,IF($D1300="V02",$R$3,$R$4)))</f>
        <v/>
      </c>
      <c r="O1300">
        <f>IF($A1300="","",IF(OR($B1300="7062",$B1300="706",$B1300="708"),$N1300,IF($B1300="6231",1+$G1300,IF($B1300="6236",1+$H1300,IF(OR($B1300="621",$B1300="604",$B1300="6063"),$N1300*(1-$L1300),IF(OR($B1300="6411",$B1300="6413",$B1300="6414",$B1300="645"),(1+$J1300)*(1+$K1300),IF(OR($B1300="613",$B1300="615",$B1300="616",$B1300="6226",$B1300="625",$B1300="626",$B1300="6281"),(1+$I1300)*(1-$L1300)*(1+$M1300),IF(OR($B1300="6331",$B1300="63511",$B1300="6333"),(1+$I1300)*(1-$L1300),IF($B1300="6811",1+$I1300,1)))))))))</f>
        <v/>
      </c>
      <c r="P1300">
        <f>IF($A1300="","",IF($E1300=1,$F1300*$O1300,PNL!G1300))</f>
        <v/>
      </c>
      <c r="T1300">
        <f>IF($A1300="","",IF($E1300=1,IF(OR($B1300="7062",$B1300="706",$B1300="708"),$P1300,IF(AND(LEFT($B1300,1)="6",$B1300&lt;&gt;"6811"),-$P1300,0)),0))</f>
        <v/>
      </c>
    </row>
    <row r="1301">
      <c r="A1301">
        <f>IF(PNL!A1301="","",PNL!A1301)</f>
        <v/>
      </c>
      <c r="B1301">
        <f>IF(PNL!B1301="","",PNL!B1301)</f>
        <v/>
      </c>
      <c r="C1301">
        <f>IF(PNL!C1301="","",PNL!C1301)</f>
        <v/>
      </c>
      <c r="D1301">
        <f>IF(PNL!D1301="","",PNL!D1301)</f>
        <v/>
      </c>
      <c r="E1301">
        <f>IF($A1301="","",IF(AND($C1301="2027",OR($D1301="V01",$D1301="V02",$D1301="V03")),1,0))</f>
        <v/>
      </c>
      <c r="F1301">
        <f>IF($A1301="","",IF($E1301=1,SUMIFS(Comptabilité!$F$1:$F$675,Comptabilité!$A$1:$A$675,$A1301,Comptabilité!$B$1:$B$675,$B1301,Comptabilité!$C$1:$C$675,"2026"),0))</f>
        <v/>
      </c>
      <c r="G1301">
        <f>IF($A1301="","",IF($D1301="V01",Cadrage!$C$22,IF($D1301="V02",Cadrage!$D$22,Cadrage!$E$22)))</f>
        <v/>
      </c>
      <c r="H1301">
        <f>IF($A1301="","",IF($D1301="V01",Cadrage!$C$23,IF($D1301="V02",Cadrage!$D$23,Cadrage!$E$23)))</f>
        <v/>
      </c>
      <c r="I1301">
        <f>IF($A1301="","",IF($D1301="V01",Cadrage!$C$31,IF($D1301="V02",Cadrage!$D$31,Cadrage!$E$31)))</f>
        <v/>
      </c>
      <c r="J1301">
        <f>IF($A1301="","",IF($D1301="V01",Cadrage!$C$32,IF($D1301="V02",Cadrage!$D$32,Cadrage!$E$32)))</f>
        <v/>
      </c>
      <c r="K1301">
        <f>IF($A1301="","",IF($D1301="V01",Cadrage!$C$33,IF($D1301="V02",Cadrage!$D$33,Cadrage!$E$33)))</f>
        <v/>
      </c>
      <c r="L1301">
        <f>IF($A1301="","",IF($D1301="V01",Cadrage!$C$34,IF($D1301="V02",Cadrage!$D$34,Cadrage!$E$34)))</f>
        <v/>
      </c>
      <c r="M1301">
        <f>IF($A1301="","",IF($D1301="V01",Cadrage!$C$35,IF($D1301="V02",Cadrage!$D$35,Cadrage!$E$35)))</f>
        <v/>
      </c>
      <c r="N1301">
        <f>IF($A1301="","",IF($D1301="V01",$R$2,IF($D1301="V02",$R$3,$R$4)))</f>
        <v/>
      </c>
      <c r="O1301">
        <f>IF($A1301="","",IF(OR($B1301="7062",$B1301="706",$B1301="708"),$N1301,IF($B1301="6231",1+$G1301,IF($B1301="6236",1+$H1301,IF(OR($B1301="621",$B1301="604",$B1301="6063"),$N1301*(1-$L1301),IF(OR($B1301="6411",$B1301="6413",$B1301="6414",$B1301="645"),(1+$J1301)*(1+$K1301),IF(OR($B1301="613",$B1301="615",$B1301="616",$B1301="6226",$B1301="625",$B1301="626",$B1301="6281"),(1+$I1301)*(1-$L1301)*(1+$M1301),IF(OR($B1301="6331",$B1301="63511",$B1301="6333"),(1+$I1301)*(1-$L1301),IF($B1301="6811",1+$I1301,1)))))))))</f>
        <v/>
      </c>
      <c r="P1301">
        <f>IF($A1301="","",IF($E1301=1,$F1301*$O1301,PNL!G1301))</f>
        <v/>
      </c>
      <c r="T1301">
        <f>IF($A1301="","",IF($E1301=1,IF(OR($B1301="7062",$B1301="706",$B1301="708"),$P1301,IF(AND(LEFT($B1301,1)="6",$B1301&lt;&gt;"6811"),-$P1301,0)),0))</f>
        <v/>
      </c>
    </row>
    <row r="1302">
      <c r="A1302">
        <f>IF(PNL!A1302="","",PNL!A1302)</f>
        <v/>
      </c>
      <c r="B1302">
        <f>IF(PNL!B1302="","",PNL!B1302)</f>
        <v/>
      </c>
      <c r="C1302">
        <f>IF(PNL!C1302="","",PNL!C1302)</f>
        <v/>
      </c>
      <c r="D1302">
        <f>IF(PNL!D1302="","",PNL!D1302)</f>
        <v/>
      </c>
      <c r="E1302">
        <f>IF($A1302="","",IF(AND($C1302="2027",OR($D1302="V01",$D1302="V02",$D1302="V03")),1,0))</f>
        <v/>
      </c>
      <c r="F1302">
        <f>IF($A1302="","",IF($E1302=1,SUMIFS(Comptabilité!$F$1:$F$675,Comptabilité!$A$1:$A$675,$A1302,Comptabilité!$B$1:$B$675,$B1302,Comptabilité!$C$1:$C$675,"2026"),0))</f>
        <v/>
      </c>
      <c r="G1302">
        <f>IF($A1302="","",IF($D1302="V01",Cadrage!$C$22,IF($D1302="V02",Cadrage!$D$22,Cadrage!$E$22)))</f>
        <v/>
      </c>
      <c r="H1302">
        <f>IF($A1302="","",IF($D1302="V01",Cadrage!$C$23,IF($D1302="V02",Cadrage!$D$23,Cadrage!$E$23)))</f>
        <v/>
      </c>
      <c r="I1302">
        <f>IF($A1302="","",IF($D1302="V01",Cadrage!$C$31,IF($D1302="V02",Cadrage!$D$31,Cadrage!$E$31)))</f>
        <v/>
      </c>
      <c r="J1302">
        <f>IF($A1302="","",IF($D1302="V01",Cadrage!$C$32,IF($D1302="V02",Cadrage!$D$32,Cadrage!$E$32)))</f>
        <v/>
      </c>
      <c r="K1302">
        <f>IF($A1302="","",IF($D1302="V01",Cadrage!$C$33,IF($D1302="V02",Cadrage!$D$33,Cadrage!$E$33)))</f>
        <v/>
      </c>
      <c r="L1302">
        <f>IF($A1302="","",IF($D1302="V01",Cadrage!$C$34,IF($D1302="V02",Cadrage!$D$34,Cadrage!$E$34)))</f>
        <v/>
      </c>
      <c r="M1302">
        <f>IF($A1302="","",IF($D1302="V01",Cadrage!$C$35,IF($D1302="V02",Cadrage!$D$35,Cadrage!$E$35)))</f>
        <v/>
      </c>
      <c r="N1302">
        <f>IF($A1302="","",IF($D1302="V01",$R$2,IF($D1302="V02",$R$3,$R$4)))</f>
        <v/>
      </c>
      <c r="O1302">
        <f>IF($A1302="","",IF(OR($B1302="7062",$B1302="706",$B1302="708"),$N1302,IF($B1302="6231",1+$G1302,IF($B1302="6236",1+$H1302,IF(OR($B1302="621",$B1302="604",$B1302="6063"),$N1302*(1-$L1302),IF(OR($B1302="6411",$B1302="6413",$B1302="6414",$B1302="645"),(1+$J1302)*(1+$K1302),IF(OR($B1302="613",$B1302="615",$B1302="616",$B1302="6226",$B1302="625",$B1302="626",$B1302="6281"),(1+$I1302)*(1-$L1302)*(1+$M1302),IF(OR($B1302="6331",$B1302="63511",$B1302="6333"),(1+$I1302)*(1-$L1302),IF($B1302="6811",1+$I1302,1)))))))))</f>
        <v/>
      </c>
      <c r="P1302">
        <f>IF($A1302="","",IF($E1302=1,$F1302*$O1302,PNL!G1302))</f>
        <v/>
      </c>
      <c r="T1302">
        <f>IF($A1302="","",IF($E1302=1,IF(OR($B1302="7062",$B1302="706",$B1302="708"),$P1302,IF(AND(LEFT($B1302,1)="6",$B1302&lt;&gt;"6811"),-$P1302,0)),0))</f>
        <v/>
      </c>
    </row>
    <row r="1303">
      <c r="A1303">
        <f>IF(PNL!A1303="","",PNL!A1303)</f>
        <v/>
      </c>
      <c r="B1303">
        <f>IF(PNL!B1303="","",PNL!B1303)</f>
        <v/>
      </c>
      <c r="C1303">
        <f>IF(PNL!C1303="","",PNL!C1303)</f>
        <v/>
      </c>
      <c r="D1303">
        <f>IF(PNL!D1303="","",PNL!D1303)</f>
        <v/>
      </c>
      <c r="E1303">
        <f>IF($A1303="","",IF(AND($C1303="2027",OR($D1303="V01",$D1303="V02",$D1303="V03")),1,0))</f>
        <v/>
      </c>
      <c r="F1303">
        <f>IF($A1303="","",IF($E1303=1,SUMIFS(Comptabilité!$F$1:$F$675,Comptabilité!$A$1:$A$675,$A1303,Comptabilité!$B$1:$B$675,$B1303,Comptabilité!$C$1:$C$675,"2026"),0))</f>
        <v/>
      </c>
      <c r="G1303">
        <f>IF($A1303="","",IF($D1303="V01",Cadrage!$C$22,IF($D1303="V02",Cadrage!$D$22,Cadrage!$E$22)))</f>
        <v/>
      </c>
      <c r="H1303">
        <f>IF($A1303="","",IF($D1303="V01",Cadrage!$C$23,IF($D1303="V02",Cadrage!$D$23,Cadrage!$E$23)))</f>
        <v/>
      </c>
      <c r="I1303">
        <f>IF($A1303="","",IF($D1303="V01",Cadrage!$C$31,IF($D1303="V02",Cadrage!$D$31,Cadrage!$E$31)))</f>
        <v/>
      </c>
      <c r="J1303">
        <f>IF($A1303="","",IF($D1303="V01",Cadrage!$C$32,IF($D1303="V02",Cadrage!$D$32,Cadrage!$E$32)))</f>
        <v/>
      </c>
      <c r="K1303">
        <f>IF($A1303="","",IF($D1303="V01",Cadrage!$C$33,IF($D1303="V02",Cadrage!$D$33,Cadrage!$E$33)))</f>
        <v/>
      </c>
      <c r="L1303">
        <f>IF($A1303="","",IF($D1303="V01",Cadrage!$C$34,IF($D1303="V02",Cadrage!$D$34,Cadrage!$E$34)))</f>
        <v/>
      </c>
      <c r="M1303">
        <f>IF($A1303="","",IF($D1303="V01",Cadrage!$C$35,IF($D1303="V02",Cadrage!$D$35,Cadrage!$E$35)))</f>
        <v/>
      </c>
      <c r="N1303">
        <f>IF($A1303="","",IF($D1303="V01",$R$2,IF($D1303="V02",$R$3,$R$4)))</f>
        <v/>
      </c>
      <c r="O1303">
        <f>IF($A1303="","",IF(OR($B1303="7062",$B1303="706",$B1303="708"),$N1303,IF($B1303="6231",1+$G1303,IF($B1303="6236",1+$H1303,IF(OR($B1303="621",$B1303="604",$B1303="6063"),$N1303*(1-$L1303),IF(OR($B1303="6411",$B1303="6413",$B1303="6414",$B1303="645"),(1+$J1303)*(1+$K1303),IF(OR($B1303="613",$B1303="615",$B1303="616",$B1303="6226",$B1303="625",$B1303="626",$B1303="6281"),(1+$I1303)*(1-$L1303)*(1+$M1303),IF(OR($B1303="6331",$B1303="63511",$B1303="6333"),(1+$I1303)*(1-$L1303),IF($B1303="6811",1+$I1303,1)))))))))</f>
        <v/>
      </c>
      <c r="P1303">
        <f>IF($A1303="","",IF($E1303=1,$F1303*$O1303,PNL!G1303))</f>
        <v/>
      </c>
      <c r="T1303">
        <f>IF($A1303="","",IF($E1303=1,IF(OR($B1303="7062",$B1303="706",$B1303="708"),$P1303,IF(AND(LEFT($B1303,1)="6",$B1303&lt;&gt;"6811"),-$P1303,0)),0))</f>
        <v/>
      </c>
    </row>
    <row r="1304">
      <c r="A1304">
        <f>IF(PNL!A1304="","",PNL!A1304)</f>
        <v/>
      </c>
      <c r="B1304">
        <f>IF(PNL!B1304="","",PNL!B1304)</f>
        <v/>
      </c>
      <c r="C1304">
        <f>IF(PNL!C1304="","",PNL!C1304)</f>
        <v/>
      </c>
      <c r="D1304">
        <f>IF(PNL!D1304="","",PNL!D1304)</f>
        <v/>
      </c>
      <c r="E1304">
        <f>IF($A1304="","",IF(AND($C1304="2027",OR($D1304="V01",$D1304="V02",$D1304="V03")),1,0))</f>
        <v/>
      </c>
      <c r="F1304">
        <f>IF($A1304="","",IF($E1304=1,SUMIFS(Comptabilité!$F$1:$F$675,Comptabilité!$A$1:$A$675,$A1304,Comptabilité!$B$1:$B$675,$B1304,Comptabilité!$C$1:$C$675,"2026"),0))</f>
        <v/>
      </c>
      <c r="G1304">
        <f>IF($A1304="","",IF($D1304="V01",Cadrage!$C$22,IF($D1304="V02",Cadrage!$D$22,Cadrage!$E$22)))</f>
        <v/>
      </c>
      <c r="H1304">
        <f>IF($A1304="","",IF($D1304="V01",Cadrage!$C$23,IF($D1304="V02",Cadrage!$D$23,Cadrage!$E$23)))</f>
        <v/>
      </c>
      <c r="I1304">
        <f>IF($A1304="","",IF($D1304="V01",Cadrage!$C$31,IF($D1304="V02",Cadrage!$D$31,Cadrage!$E$31)))</f>
        <v/>
      </c>
      <c r="J1304">
        <f>IF($A1304="","",IF($D1304="V01",Cadrage!$C$32,IF($D1304="V02",Cadrage!$D$32,Cadrage!$E$32)))</f>
        <v/>
      </c>
      <c r="K1304">
        <f>IF($A1304="","",IF($D1304="V01",Cadrage!$C$33,IF($D1304="V02",Cadrage!$D$33,Cadrage!$E$33)))</f>
        <v/>
      </c>
      <c r="L1304">
        <f>IF($A1304="","",IF($D1304="V01",Cadrage!$C$34,IF($D1304="V02",Cadrage!$D$34,Cadrage!$E$34)))</f>
        <v/>
      </c>
      <c r="M1304">
        <f>IF($A1304="","",IF($D1304="V01",Cadrage!$C$35,IF($D1304="V02",Cadrage!$D$35,Cadrage!$E$35)))</f>
        <v/>
      </c>
      <c r="N1304">
        <f>IF($A1304="","",IF($D1304="V01",$R$2,IF($D1304="V02",$R$3,$R$4)))</f>
        <v/>
      </c>
      <c r="O1304">
        <f>IF($A1304="","",IF(OR($B1304="7062",$B1304="706",$B1304="708"),$N1304,IF($B1304="6231",1+$G1304,IF($B1304="6236",1+$H1304,IF(OR($B1304="621",$B1304="604",$B1304="6063"),$N1304*(1-$L1304),IF(OR($B1304="6411",$B1304="6413",$B1304="6414",$B1304="645"),(1+$J1304)*(1+$K1304),IF(OR($B1304="613",$B1304="615",$B1304="616",$B1304="6226",$B1304="625",$B1304="626",$B1304="6281"),(1+$I1304)*(1-$L1304)*(1+$M1304),IF(OR($B1304="6331",$B1304="63511",$B1304="6333"),(1+$I1304)*(1-$L1304),IF($B1304="6811",1+$I1304,1)))))))))</f>
        <v/>
      </c>
      <c r="P1304">
        <f>IF($A1304="","",IF($E1304=1,$F1304*$O1304,PNL!G1304))</f>
        <v/>
      </c>
      <c r="T1304">
        <f>IF($A1304="","",IF($E1304=1,IF(OR($B1304="7062",$B1304="706",$B1304="708"),$P1304,IF(AND(LEFT($B1304,1)="6",$B1304&lt;&gt;"6811"),-$P1304,0)),0))</f>
        <v/>
      </c>
    </row>
    <row r="1305">
      <c r="A1305">
        <f>IF(PNL!A1305="","",PNL!A1305)</f>
        <v/>
      </c>
      <c r="B1305">
        <f>IF(PNL!B1305="","",PNL!B1305)</f>
        <v/>
      </c>
      <c r="C1305">
        <f>IF(PNL!C1305="","",PNL!C1305)</f>
        <v/>
      </c>
      <c r="D1305">
        <f>IF(PNL!D1305="","",PNL!D1305)</f>
        <v/>
      </c>
      <c r="E1305">
        <f>IF($A1305="","",IF(AND($C1305="2027",OR($D1305="V01",$D1305="V02",$D1305="V03")),1,0))</f>
        <v/>
      </c>
      <c r="F1305">
        <f>IF($A1305="","",IF($E1305=1,SUMIFS(Comptabilité!$F$1:$F$675,Comptabilité!$A$1:$A$675,$A1305,Comptabilité!$B$1:$B$675,$B1305,Comptabilité!$C$1:$C$675,"2026"),0))</f>
        <v/>
      </c>
      <c r="G1305">
        <f>IF($A1305="","",IF($D1305="V01",Cadrage!$C$22,IF($D1305="V02",Cadrage!$D$22,Cadrage!$E$22)))</f>
        <v/>
      </c>
      <c r="H1305">
        <f>IF($A1305="","",IF($D1305="V01",Cadrage!$C$23,IF($D1305="V02",Cadrage!$D$23,Cadrage!$E$23)))</f>
        <v/>
      </c>
      <c r="I1305">
        <f>IF($A1305="","",IF($D1305="V01",Cadrage!$C$31,IF($D1305="V02",Cadrage!$D$31,Cadrage!$E$31)))</f>
        <v/>
      </c>
      <c r="J1305">
        <f>IF($A1305="","",IF($D1305="V01",Cadrage!$C$32,IF($D1305="V02",Cadrage!$D$32,Cadrage!$E$32)))</f>
        <v/>
      </c>
      <c r="K1305">
        <f>IF($A1305="","",IF($D1305="V01",Cadrage!$C$33,IF($D1305="V02",Cadrage!$D$33,Cadrage!$E$33)))</f>
        <v/>
      </c>
      <c r="L1305">
        <f>IF($A1305="","",IF($D1305="V01",Cadrage!$C$34,IF($D1305="V02",Cadrage!$D$34,Cadrage!$E$34)))</f>
        <v/>
      </c>
      <c r="M1305">
        <f>IF($A1305="","",IF($D1305="V01",Cadrage!$C$35,IF($D1305="V02",Cadrage!$D$35,Cadrage!$E$35)))</f>
        <v/>
      </c>
      <c r="N1305">
        <f>IF($A1305="","",IF($D1305="V01",$R$2,IF($D1305="V02",$R$3,$R$4)))</f>
        <v/>
      </c>
      <c r="O1305">
        <f>IF($A1305="","",IF(OR($B1305="7062",$B1305="706",$B1305="708"),$N1305,IF($B1305="6231",1+$G1305,IF($B1305="6236",1+$H1305,IF(OR($B1305="621",$B1305="604",$B1305="6063"),$N1305*(1-$L1305),IF(OR($B1305="6411",$B1305="6413",$B1305="6414",$B1305="645"),(1+$J1305)*(1+$K1305),IF(OR($B1305="613",$B1305="615",$B1305="616",$B1305="6226",$B1305="625",$B1305="626",$B1305="6281"),(1+$I1305)*(1-$L1305)*(1+$M1305),IF(OR($B1305="6331",$B1305="63511",$B1305="6333"),(1+$I1305)*(1-$L1305),IF($B1305="6811",1+$I1305,1)))))))))</f>
        <v/>
      </c>
      <c r="P1305">
        <f>IF($A1305="","",IF($E1305=1,$F1305*$O1305,PNL!G1305))</f>
        <v/>
      </c>
      <c r="T1305">
        <f>IF($A1305="","",IF($E1305=1,IF(OR($B1305="7062",$B1305="706",$B1305="708"),$P1305,IF(AND(LEFT($B1305,1)="6",$B1305&lt;&gt;"6811"),-$P1305,0)),0))</f>
        <v/>
      </c>
    </row>
    <row r="1306">
      <c r="A1306">
        <f>IF(PNL!A1306="","",PNL!A1306)</f>
        <v/>
      </c>
      <c r="B1306">
        <f>IF(PNL!B1306="","",PNL!B1306)</f>
        <v/>
      </c>
      <c r="C1306">
        <f>IF(PNL!C1306="","",PNL!C1306)</f>
        <v/>
      </c>
      <c r="D1306">
        <f>IF(PNL!D1306="","",PNL!D1306)</f>
        <v/>
      </c>
      <c r="E1306">
        <f>IF($A1306="","",IF(AND($C1306="2027",OR($D1306="V01",$D1306="V02",$D1306="V03")),1,0))</f>
        <v/>
      </c>
      <c r="F1306">
        <f>IF($A1306="","",IF($E1306=1,SUMIFS(Comptabilité!$F$1:$F$675,Comptabilité!$A$1:$A$675,$A1306,Comptabilité!$B$1:$B$675,$B1306,Comptabilité!$C$1:$C$675,"2026"),0))</f>
        <v/>
      </c>
      <c r="G1306">
        <f>IF($A1306="","",IF($D1306="V01",Cadrage!$C$22,IF($D1306="V02",Cadrage!$D$22,Cadrage!$E$22)))</f>
        <v/>
      </c>
      <c r="H1306">
        <f>IF($A1306="","",IF($D1306="V01",Cadrage!$C$23,IF($D1306="V02",Cadrage!$D$23,Cadrage!$E$23)))</f>
        <v/>
      </c>
      <c r="I1306">
        <f>IF($A1306="","",IF($D1306="V01",Cadrage!$C$31,IF($D1306="V02",Cadrage!$D$31,Cadrage!$E$31)))</f>
        <v/>
      </c>
      <c r="J1306">
        <f>IF($A1306="","",IF($D1306="V01",Cadrage!$C$32,IF($D1306="V02",Cadrage!$D$32,Cadrage!$E$32)))</f>
        <v/>
      </c>
      <c r="K1306">
        <f>IF($A1306="","",IF($D1306="V01",Cadrage!$C$33,IF($D1306="V02",Cadrage!$D$33,Cadrage!$E$33)))</f>
        <v/>
      </c>
      <c r="L1306">
        <f>IF($A1306="","",IF($D1306="V01",Cadrage!$C$34,IF($D1306="V02",Cadrage!$D$34,Cadrage!$E$34)))</f>
        <v/>
      </c>
      <c r="M1306">
        <f>IF($A1306="","",IF($D1306="V01",Cadrage!$C$35,IF($D1306="V02",Cadrage!$D$35,Cadrage!$E$35)))</f>
        <v/>
      </c>
      <c r="N1306">
        <f>IF($A1306="","",IF($D1306="V01",$R$2,IF($D1306="V02",$R$3,$R$4)))</f>
        <v/>
      </c>
      <c r="O1306">
        <f>IF($A1306="","",IF(OR($B1306="7062",$B1306="706",$B1306="708"),$N1306,IF($B1306="6231",1+$G1306,IF($B1306="6236",1+$H1306,IF(OR($B1306="621",$B1306="604",$B1306="6063"),$N1306*(1-$L1306),IF(OR($B1306="6411",$B1306="6413",$B1306="6414",$B1306="645"),(1+$J1306)*(1+$K1306),IF(OR($B1306="613",$B1306="615",$B1306="616",$B1306="6226",$B1306="625",$B1306="626",$B1306="6281"),(1+$I1306)*(1-$L1306)*(1+$M1306),IF(OR($B1306="6331",$B1306="63511",$B1306="6333"),(1+$I1306)*(1-$L1306),IF($B1306="6811",1+$I1306,1)))))))))</f>
        <v/>
      </c>
      <c r="P1306">
        <f>IF($A1306="","",IF($E1306=1,$F1306*$O1306,PNL!G1306))</f>
        <v/>
      </c>
      <c r="T1306">
        <f>IF($A1306="","",IF($E1306=1,IF(OR($B1306="7062",$B1306="706",$B1306="708"),$P1306,IF(AND(LEFT($B1306,1)="6",$B1306&lt;&gt;"6811"),-$P1306,0)),0))</f>
        <v/>
      </c>
    </row>
    <row r="1307">
      <c r="A1307">
        <f>IF(PNL!A1307="","",PNL!A1307)</f>
        <v/>
      </c>
      <c r="B1307">
        <f>IF(PNL!B1307="","",PNL!B1307)</f>
        <v/>
      </c>
      <c r="C1307">
        <f>IF(PNL!C1307="","",PNL!C1307)</f>
        <v/>
      </c>
      <c r="D1307">
        <f>IF(PNL!D1307="","",PNL!D1307)</f>
        <v/>
      </c>
      <c r="E1307">
        <f>IF($A1307="","",IF(AND($C1307="2027",OR($D1307="V01",$D1307="V02",$D1307="V03")),1,0))</f>
        <v/>
      </c>
      <c r="F1307">
        <f>IF($A1307="","",IF($E1307=1,SUMIFS(Comptabilité!$F$1:$F$675,Comptabilité!$A$1:$A$675,$A1307,Comptabilité!$B$1:$B$675,$B1307,Comptabilité!$C$1:$C$675,"2026"),0))</f>
        <v/>
      </c>
      <c r="G1307">
        <f>IF($A1307="","",IF($D1307="V01",Cadrage!$C$22,IF($D1307="V02",Cadrage!$D$22,Cadrage!$E$22)))</f>
        <v/>
      </c>
      <c r="H1307">
        <f>IF($A1307="","",IF($D1307="V01",Cadrage!$C$23,IF($D1307="V02",Cadrage!$D$23,Cadrage!$E$23)))</f>
        <v/>
      </c>
      <c r="I1307">
        <f>IF($A1307="","",IF($D1307="V01",Cadrage!$C$31,IF($D1307="V02",Cadrage!$D$31,Cadrage!$E$31)))</f>
        <v/>
      </c>
      <c r="J1307">
        <f>IF($A1307="","",IF($D1307="V01",Cadrage!$C$32,IF($D1307="V02",Cadrage!$D$32,Cadrage!$E$32)))</f>
        <v/>
      </c>
      <c r="K1307">
        <f>IF($A1307="","",IF($D1307="V01",Cadrage!$C$33,IF($D1307="V02",Cadrage!$D$33,Cadrage!$E$33)))</f>
        <v/>
      </c>
      <c r="L1307">
        <f>IF($A1307="","",IF($D1307="V01",Cadrage!$C$34,IF($D1307="V02",Cadrage!$D$34,Cadrage!$E$34)))</f>
        <v/>
      </c>
      <c r="M1307">
        <f>IF($A1307="","",IF($D1307="V01",Cadrage!$C$35,IF($D1307="V02",Cadrage!$D$35,Cadrage!$E$35)))</f>
        <v/>
      </c>
      <c r="N1307">
        <f>IF($A1307="","",IF($D1307="V01",$R$2,IF($D1307="V02",$R$3,$R$4)))</f>
        <v/>
      </c>
      <c r="O1307">
        <f>IF($A1307="","",IF(OR($B1307="7062",$B1307="706",$B1307="708"),$N1307,IF($B1307="6231",1+$G1307,IF($B1307="6236",1+$H1307,IF(OR($B1307="621",$B1307="604",$B1307="6063"),$N1307*(1-$L1307),IF(OR($B1307="6411",$B1307="6413",$B1307="6414",$B1307="645"),(1+$J1307)*(1+$K1307),IF(OR($B1307="613",$B1307="615",$B1307="616",$B1307="6226",$B1307="625",$B1307="626",$B1307="6281"),(1+$I1307)*(1-$L1307)*(1+$M1307),IF(OR($B1307="6331",$B1307="63511",$B1307="6333"),(1+$I1307)*(1-$L1307),IF($B1307="6811",1+$I1307,1)))))))))</f>
        <v/>
      </c>
      <c r="P1307">
        <f>IF($A1307="","",IF($E1307=1,$F1307*$O1307,PNL!G1307))</f>
        <v/>
      </c>
      <c r="T1307">
        <f>IF($A1307="","",IF($E1307=1,IF(OR($B1307="7062",$B1307="706",$B1307="708"),$P1307,IF(AND(LEFT($B1307,1)="6",$B1307&lt;&gt;"6811"),-$P1307,0)),0))</f>
        <v/>
      </c>
    </row>
    <row r="1308">
      <c r="A1308">
        <f>IF(PNL!A1308="","",PNL!A1308)</f>
        <v/>
      </c>
      <c r="B1308">
        <f>IF(PNL!B1308="","",PNL!B1308)</f>
        <v/>
      </c>
      <c r="C1308">
        <f>IF(PNL!C1308="","",PNL!C1308)</f>
        <v/>
      </c>
      <c r="D1308">
        <f>IF(PNL!D1308="","",PNL!D1308)</f>
        <v/>
      </c>
      <c r="E1308">
        <f>IF($A1308="","",IF(AND($C1308="2027",OR($D1308="V01",$D1308="V02",$D1308="V03")),1,0))</f>
        <v/>
      </c>
      <c r="F1308">
        <f>IF($A1308="","",IF($E1308=1,SUMIFS(Comptabilité!$F$1:$F$675,Comptabilité!$A$1:$A$675,$A1308,Comptabilité!$B$1:$B$675,$B1308,Comptabilité!$C$1:$C$675,"2026"),0))</f>
        <v/>
      </c>
      <c r="G1308">
        <f>IF($A1308="","",IF($D1308="V01",Cadrage!$C$22,IF($D1308="V02",Cadrage!$D$22,Cadrage!$E$22)))</f>
        <v/>
      </c>
      <c r="H1308">
        <f>IF($A1308="","",IF($D1308="V01",Cadrage!$C$23,IF($D1308="V02",Cadrage!$D$23,Cadrage!$E$23)))</f>
        <v/>
      </c>
      <c r="I1308">
        <f>IF($A1308="","",IF($D1308="V01",Cadrage!$C$31,IF($D1308="V02",Cadrage!$D$31,Cadrage!$E$31)))</f>
        <v/>
      </c>
      <c r="J1308">
        <f>IF($A1308="","",IF($D1308="V01",Cadrage!$C$32,IF($D1308="V02",Cadrage!$D$32,Cadrage!$E$32)))</f>
        <v/>
      </c>
      <c r="K1308">
        <f>IF($A1308="","",IF($D1308="V01",Cadrage!$C$33,IF($D1308="V02",Cadrage!$D$33,Cadrage!$E$33)))</f>
        <v/>
      </c>
      <c r="L1308">
        <f>IF($A1308="","",IF($D1308="V01",Cadrage!$C$34,IF($D1308="V02",Cadrage!$D$34,Cadrage!$E$34)))</f>
        <v/>
      </c>
      <c r="M1308">
        <f>IF($A1308="","",IF($D1308="V01",Cadrage!$C$35,IF($D1308="V02",Cadrage!$D$35,Cadrage!$E$35)))</f>
        <v/>
      </c>
      <c r="N1308">
        <f>IF($A1308="","",IF($D1308="V01",$R$2,IF($D1308="V02",$R$3,$R$4)))</f>
        <v/>
      </c>
      <c r="O1308">
        <f>IF($A1308="","",IF(OR($B1308="7062",$B1308="706",$B1308="708"),$N1308,IF($B1308="6231",1+$G1308,IF($B1308="6236",1+$H1308,IF(OR($B1308="621",$B1308="604",$B1308="6063"),$N1308*(1-$L1308),IF(OR($B1308="6411",$B1308="6413",$B1308="6414",$B1308="645"),(1+$J1308)*(1+$K1308),IF(OR($B1308="613",$B1308="615",$B1308="616",$B1308="6226",$B1308="625",$B1308="626",$B1308="6281"),(1+$I1308)*(1-$L1308)*(1+$M1308),IF(OR($B1308="6331",$B1308="63511",$B1308="6333"),(1+$I1308)*(1-$L1308),IF($B1308="6811",1+$I1308,1)))))))))</f>
        <v/>
      </c>
      <c r="P1308">
        <f>IF($A1308="","",IF($E1308=1,$F1308*$O1308,PNL!G1308))</f>
        <v/>
      </c>
      <c r="T1308">
        <f>IF($A1308="","",IF($E1308=1,IF(OR($B1308="7062",$B1308="706",$B1308="708"),$P1308,IF(AND(LEFT($B1308,1)="6",$B1308&lt;&gt;"6811"),-$P1308,0)),0))</f>
        <v/>
      </c>
    </row>
    <row r="1309">
      <c r="A1309">
        <f>IF(PNL!A1309="","",PNL!A1309)</f>
        <v/>
      </c>
      <c r="B1309">
        <f>IF(PNL!B1309="","",PNL!B1309)</f>
        <v/>
      </c>
      <c r="C1309">
        <f>IF(PNL!C1309="","",PNL!C1309)</f>
        <v/>
      </c>
      <c r="D1309">
        <f>IF(PNL!D1309="","",PNL!D1309)</f>
        <v/>
      </c>
      <c r="E1309">
        <f>IF($A1309="","",IF(AND($C1309="2027",OR($D1309="V01",$D1309="V02",$D1309="V03")),1,0))</f>
        <v/>
      </c>
      <c r="F1309">
        <f>IF($A1309="","",IF($E1309=1,SUMIFS(Comptabilité!$F$1:$F$675,Comptabilité!$A$1:$A$675,$A1309,Comptabilité!$B$1:$B$675,$B1309,Comptabilité!$C$1:$C$675,"2026"),0))</f>
        <v/>
      </c>
      <c r="G1309">
        <f>IF($A1309="","",IF($D1309="V01",Cadrage!$C$22,IF($D1309="V02",Cadrage!$D$22,Cadrage!$E$22)))</f>
        <v/>
      </c>
      <c r="H1309">
        <f>IF($A1309="","",IF($D1309="V01",Cadrage!$C$23,IF($D1309="V02",Cadrage!$D$23,Cadrage!$E$23)))</f>
        <v/>
      </c>
      <c r="I1309">
        <f>IF($A1309="","",IF($D1309="V01",Cadrage!$C$31,IF($D1309="V02",Cadrage!$D$31,Cadrage!$E$31)))</f>
        <v/>
      </c>
      <c r="J1309">
        <f>IF($A1309="","",IF($D1309="V01",Cadrage!$C$32,IF($D1309="V02",Cadrage!$D$32,Cadrage!$E$32)))</f>
        <v/>
      </c>
      <c r="K1309">
        <f>IF($A1309="","",IF($D1309="V01",Cadrage!$C$33,IF($D1309="V02",Cadrage!$D$33,Cadrage!$E$33)))</f>
        <v/>
      </c>
      <c r="L1309">
        <f>IF($A1309="","",IF($D1309="V01",Cadrage!$C$34,IF($D1309="V02",Cadrage!$D$34,Cadrage!$E$34)))</f>
        <v/>
      </c>
      <c r="M1309">
        <f>IF($A1309="","",IF($D1309="V01",Cadrage!$C$35,IF($D1309="V02",Cadrage!$D$35,Cadrage!$E$35)))</f>
        <v/>
      </c>
      <c r="N1309">
        <f>IF($A1309="","",IF($D1309="V01",$R$2,IF($D1309="V02",$R$3,$R$4)))</f>
        <v/>
      </c>
      <c r="O1309">
        <f>IF($A1309="","",IF(OR($B1309="7062",$B1309="706",$B1309="708"),$N1309,IF($B1309="6231",1+$G1309,IF($B1309="6236",1+$H1309,IF(OR($B1309="621",$B1309="604",$B1309="6063"),$N1309*(1-$L1309),IF(OR($B1309="6411",$B1309="6413",$B1309="6414",$B1309="645"),(1+$J1309)*(1+$K1309),IF(OR($B1309="613",$B1309="615",$B1309="616",$B1309="6226",$B1309="625",$B1309="626",$B1309="6281"),(1+$I1309)*(1-$L1309)*(1+$M1309),IF(OR($B1309="6331",$B1309="63511",$B1309="6333"),(1+$I1309)*(1-$L1309),IF($B1309="6811",1+$I1309,1)))))))))</f>
        <v/>
      </c>
      <c r="P1309">
        <f>IF($A1309="","",IF($E1309=1,$F1309*$O1309,PNL!G1309))</f>
        <v/>
      </c>
      <c r="T1309">
        <f>IF($A1309="","",IF($E1309=1,IF(OR($B1309="7062",$B1309="706",$B1309="708"),$P1309,IF(AND(LEFT($B1309,1)="6",$B1309&lt;&gt;"6811"),-$P1309,0)),0))</f>
        <v/>
      </c>
    </row>
    <row r="1310">
      <c r="A1310">
        <f>IF(PNL!A1310="","",PNL!A1310)</f>
        <v/>
      </c>
      <c r="B1310">
        <f>IF(PNL!B1310="","",PNL!B1310)</f>
        <v/>
      </c>
      <c r="C1310">
        <f>IF(PNL!C1310="","",PNL!C1310)</f>
        <v/>
      </c>
      <c r="D1310">
        <f>IF(PNL!D1310="","",PNL!D1310)</f>
        <v/>
      </c>
      <c r="E1310">
        <f>IF($A1310="","",IF(AND($C1310="2027",OR($D1310="V01",$D1310="V02",$D1310="V03")),1,0))</f>
        <v/>
      </c>
      <c r="F1310">
        <f>IF($A1310="","",IF($E1310=1,SUMIFS(Comptabilité!$F$1:$F$675,Comptabilité!$A$1:$A$675,$A1310,Comptabilité!$B$1:$B$675,$B1310,Comptabilité!$C$1:$C$675,"2026"),0))</f>
        <v/>
      </c>
      <c r="G1310">
        <f>IF($A1310="","",IF($D1310="V01",Cadrage!$C$22,IF($D1310="V02",Cadrage!$D$22,Cadrage!$E$22)))</f>
        <v/>
      </c>
      <c r="H1310">
        <f>IF($A1310="","",IF($D1310="V01",Cadrage!$C$23,IF($D1310="V02",Cadrage!$D$23,Cadrage!$E$23)))</f>
        <v/>
      </c>
      <c r="I1310">
        <f>IF($A1310="","",IF($D1310="V01",Cadrage!$C$31,IF($D1310="V02",Cadrage!$D$31,Cadrage!$E$31)))</f>
        <v/>
      </c>
      <c r="J1310">
        <f>IF($A1310="","",IF($D1310="V01",Cadrage!$C$32,IF($D1310="V02",Cadrage!$D$32,Cadrage!$E$32)))</f>
        <v/>
      </c>
      <c r="K1310">
        <f>IF($A1310="","",IF($D1310="V01",Cadrage!$C$33,IF($D1310="V02",Cadrage!$D$33,Cadrage!$E$33)))</f>
        <v/>
      </c>
      <c r="L1310">
        <f>IF($A1310="","",IF($D1310="V01",Cadrage!$C$34,IF($D1310="V02",Cadrage!$D$34,Cadrage!$E$34)))</f>
        <v/>
      </c>
      <c r="M1310">
        <f>IF($A1310="","",IF($D1310="V01",Cadrage!$C$35,IF($D1310="V02",Cadrage!$D$35,Cadrage!$E$35)))</f>
        <v/>
      </c>
      <c r="N1310">
        <f>IF($A1310="","",IF($D1310="V01",$R$2,IF($D1310="V02",$R$3,$R$4)))</f>
        <v/>
      </c>
      <c r="O1310">
        <f>IF($A1310="","",IF(OR($B1310="7062",$B1310="706",$B1310="708"),$N1310,IF($B1310="6231",1+$G1310,IF($B1310="6236",1+$H1310,IF(OR($B1310="621",$B1310="604",$B1310="6063"),$N1310*(1-$L1310),IF(OR($B1310="6411",$B1310="6413",$B1310="6414",$B1310="645"),(1+$J1310)*(1+$K1310),IF(OR($B1310="613",$B1310="615",$B1310="616",$B1310="6226",$B1310="625",$B1310="626",$B1310="6281"),(1+$I1310)*(1-$L1310)*(1+$M1310),IF(OR($B1310="6331",$B1310="63511",$B1310="6333"),(1+$I1310)*(1-$L1310),IF($B1310="6811",1+$I1310,1)))))))))</f>
        <v/>
      </c>
      <c r="P1310">
        <f>IF($A1310="","",IF($E1310=1,$F1310*$O1310,PNL!G1310))</f>
        <v/>
      </c>
      <c r="T1310">
        <f>IF($A1310="","",IF($E1310=1,IF(OR($B1310="7062",$B1310="706",$B1310="708"),$P1310,IF(AND(LEFT($B1310,1)="6",$B1310&lt;&gt;"6811"),-$P1310,0)),0))</f>
        <v/>
      </c>
    </row>
    <row r="1311">
      <c r="A1311">
        <f>IF(PNL!A1311="","",PNL!A1311)</f>
        <v/>
      </c>
      <c r="B1311">
        <f>IF(PNL!B1311="","",PNL!B1311)</f>
        <v/>
      </c>
      <c r="C1311">
        <f>IF(PNL!C1311="","",PNL!C1311)</f>
        <v/>
      </c>
      <c r="D1311">
        <f>IF(PNL!D1311="","",PNL!D1311)</f>
        <v/>
      </c>
      <c r="E1311">
        <f>IF($A1311="","",IF(AND($C1311="2027",OR($D1311="V01",$D1311="V02",$D1311="V03")),1,0))</f>
        <v/>
      </c>
      <c r="F1311">
        <f>IF($A1311="","",IF($E1311=1,SUMIFS(Comptabilité!$F$1:$F$675,Comptabilité!$A$1:$A$675,$A1311,Comptabilité!$B$1:$B$675,$B1311,Comptabilité!$C$1:$C$675,"2026"),0))</f>
        <v/>
      </c>
      <c r="G1311">
        <f>IF($A1311="","",IF($D1311="V01",Cadrage!$C$22,IF($D1311="V02",Cadrage!$D$22,Cadrage!$E$22)))</f>
        <v/>
      </c>
      <c r="H1311">
        <f>IF($A1311="","",IF($D1311="V01",Cadrage!$C$23,IF($D1311="V02",Cadrage!$D$23,Cadrage!$E$23)))</f>
        <v/>
      </c>
      <c r="I1311">
        <f>IF($A1311="","",IF($D1311="V01",Cadrage!$C$31,IF($D1311="V02",Cadrage!$D$31,Cadrage!$E$31)))</f>
        <v/>
      </c>
      <c r="J1311">
        <f>IF($A1311="","",IF($D1311="V01",Cadrage!$C$32,IF($D1311="V02",Cadrage!$D$32,Cadrage!$E$32)))</f>
        <v/>
      </c>
      <c r="K1311">
        <f>IF($A1311="","",IF($D1311="V01",Cadrage!$C$33,IF($D1311="V02",Cadrage!$D$33,Cadrage!$E$33)))</f>
        <v/>
      </c>
      <c r="L1311">
        <f>IF($A1311="","",IF($D1311="V01",Cadrage!$C$34,IF($D1311="V02",Cadrage!$D$34,Cadrage!$E$34)))</f>
        <v/>
      </c>
      <c r="M1311">
        <f>IF($A1311="","",IF($D1311="V01",Cadrage!$C$35,IF($D1311="V02",Cadrage!$D$35,Cadrage!$E$35)))</f>
        <v/>
      </c>
      <c r="N1311">
        <f>IF($A1311="","",IF($D1311="V01",$R$2,IF($D1311="V02",$R$3,$R$4)))</f>
        <v/>
      </c>
      <c r="O1311">
        <f>IF($A1311="","",IF(OR($B1311="7062",$B1311="706",$B1311="708"),$N1311,IF($B1311="6231",1+$G1311,IF($B1311="6236",1+$H1311,IF(OR($B1311="621",$B1311="604",$B1311="6063"),$N1311*(1-$L1311),IF(OR($B1311="6411",$B1311="6413",$B1311="6414",$B1311="645"),(1+$J1311)*(1+$K1311),IF(OR($B1311="613",$B1311="615",$B1311="616",$B1311="6226",$B1311="625",$B1311="626",$B1311="6281"),(1+$I1311)*(1-$L1311)*(1+$M1311),IF(OR($B1311="6331",$B1311="63511",$B1311="6333"),(1+$I1311)*(1-$L1311),IF($B1311="6811",1+$I1311,1)))))))))</f>
        <v/>
      </c>
      <c r="P1311">
        <f>IF($A1311="","",IF($E1311=1,$F1311*$O1311,PNL!G1311))</f>
        <v/>
      </c>
      <c r="T1311">
        <f>IF($A1311="","",IF($E1311=1,IF(OR($B1311="7062",$B1311="706",$B1311="708"),$P1311,IF(AND(LEFT($B1311,1)="6",$B1311&lt;&gt;"6811"),-$P1311,0)),0))</f>
        <v/>
      </c>
    </row>
    <row r="1312">
      <c r="A1312">
        <f>IF(PNL!A1312="","",PNL!A1312)</f>
        <v/>
      </c>
      <c r="B1312">
        <f>IF(PNL!B1312="","",PNL!B1312)</f>
        <v/>
      </c>
      <c r="C1312">
        <f>IF(PNL!C1312="","",PNL!C1312)</f>
        <v/>
      </c>
      <c r="D1312">
        <f>IF(PNL!D1312="","",PNL!D1312)</f>
        <v/>
      </c>
      <c r="E1312">
        <f>IF($A1312="","",IF(AND($C1312="2027",OR($D1312="V01",$D1312="V02",$D1312="V03")),1,0))</f>
        <v/>
      </c>
      <c r="F1312">
        <f>IF($A1312="","",IF($E1312=1,SUMIFS(Comptabilité!$F$1:$F$675,Comptabilité!$A$1:$A$675,$A1312,Comptabilité!$B$1:$B$675,$B1312,Comptabilité!$C$1:$C$675,"2026"),0))</f>
        <v/>
      </c>
      <c r="G1312">
        <f>IF($A1312="","",IF($D1312="V01",Cadrage!$C$22,IF($D1312="V02",Cadrage!$D$22,Cadrage!$E$22)))</f>
        <v/>
      </c>
      <c r="H1312">
        <f>IF($A1312="","",IF($D1312="V01",Cadrage!$C$23,IF($D1312="V02",Cadrage!$D$23,Cadrage!$E$23)))</f>
        <v/>
      </c>
      <c r="I1312">
        <f>IF($A1312="","",IF($D1312="V01",Cadrage!$C$31,IF($D1312="V02",Cadrage!$D$31,Cadrage!$E$31)))</f>
        <v/>
      </c>
      <c r="J1312">
        <f>IF($A1312="","",IF($D1312="V01",Cadrage!$C$32,IF($D1312="V02",Cadrage!$D$32,Cadrage!$E$32)))</f>
        <v/>
      </c>
      <c r="K1312">
        <f>IF($A1312="","",IF($D1312="V01",Cadrage!$C$33,IF($D1312="V02",Cadrage!$D$33,Cadrage!$E$33)))</f>
        <v/>
      </c>
      <c r="L1312">
        <f>IF($A1312="","",IF($D1312="V01",Cadrage!$C$34,IF($D1312="V02",Cadrage!$D$34,Cadrage!$E$34)))</f>
        <v/>
      </c>
      <c r="M1312">
        <f>IF($A1312="","",IF($D1312="V01",Cadrage!$C$35,IF($D1312="V02",Cadrage!$D$35,Cadrage!$E$35)))</f>
        <v/>
      </c>
      <c r="N1312">
        <f>IF($A1312="","",IF($D1312="V01",$R$2,IF($D1312="V02",$R$3,$R$4)))</f>
        <v/>
      </c>
      <c r="O1312">
        <f>IF($A1312="","",IF(OR($B1312="7062",$B1312="706",$B1312="708"),$N1312,IF($B1312="6231",1+$G1312,IF($B1312="6236",1+$H1312,IF(OR($B1312="621",$B1312="604",$B1312="6063"),$N1312*(1-$L1312),IF(OR($B1312="6411",$B1312="6413",$B1312="6414",$B1312="645"),(1+$J1312)*(1+$K1312),IF(OR($B1312="613",$B1312="615",$B1312="616",$B1312="6226",$B1312="625",$B1312="626",$B1312="6281"),(1+$I1312)*(1-$L1312)*(1+$M1312),IF(OR($B1312="6331",$B1312="63511",$B1312="6333"),(1+$I1312)*(1-$L1312),IF($B1312="6811",1+$I1312,1)))))))))</f>
        <v/>
      </c>
      <c r="P1312">
        <f>IF($A1312="","",IF($E1312=1,$F1312*$O1312,PNL!G1312))</f>
        <v/>
      </c>
      <c r="T1312">
        <f>IF($A1312="","",IF($E1312=1,IF(OR($B1312="7062",$B1312="706",$B1312="708"),$P1312,IF(AND(LEFT($B1312,1)="6",$B1312&lt;&gt;"6811"),-$P1312,0)),0))</f>
        <v/>
      </c>
    </row>
    <row r="1313">
      <c r="A1313">
        <f>IF(PNL!A1313="","",PNL!A1313)</f>
        <v/>
      </c>
      <c r="B1313">
        <f>IF(PNL!B1313="","",PNL!B1313)</f>
        <v/>
      </c>
      <c r="C1313">
        <f>IF(PNL!C1313="","",PNL!C1313)</f>
        <v/>
      </c>
      <c r="D1313">
        <f>IF(PNL!D1313="","",PNL!D1313)</f>
        <v/>
      </c>
      <c r="E1313">
        <f>IF($A1313="","",IF(AND($C1313="2027",OR($D1313="V01",$D1313="V02",$D1313="V03")),1,0))</f>
        <v/>
      </c>
      <c r="F1313">
        <f>IF($A1313="","",IF($E1313=1,SUMIFS(Comptabilité!$F$1:$F$675,Comptabilité!$A$1:$A$675,$A1313,Comptabilité!$B$1:$B$675,$B1313,Comptabilité!$C$1:$C$675,"2026"),0))</f>
        <v/>
      </c>
      <c r="G1313">
        <f>IF($A1313="","",IF($D1313="V01",Cadrage!$C$22,IF($D1313="V02",Cadrage!$D$22,Cadrage!$E$22)))</f>
        <v/>
      </c>
      <c r="H1313">
        <f>IF($A1313="","",IF($D1313="V01",Cadrage!$C$23,IF($D1313="V02",Cadrage!$D$23,Cadrage!$E$23)))</f>
        <v/>
      </c>
      <c r="I1313">
        <f>IF($A1313="","",IF($D1313="V01",Cadrage!$C$31,IF($D1313="V02",Cadrage!$D$31,Cadrage!$E$31)))</f>
        <v/>
      </c>
      <c r="J1313">
        <f>IF($A1313="","",IF($D1313="V01",Cadrage!$C$32,IF($D1313="V02",Cadrage!$D$32,Cadrage!$E$32)))</f>
        <v/>
      </c>
      <c r="K1313">
        <f>IF($A1313="","",IF($D1313="V01",Cadrage!$C$33,IF($D1313="V02",Cadrage!$D$33,Cadrage!$E$33)))</f>
        <v/>
      </c>
      <c r="L1313">
        <f>IF($A1313="","",IF($D1313="V01",Cadrage!$C$34,IF($D1313="V02",Cadrage!$D$34,Cadrage!$E$34)))</f>
        <v/>
      </c>
      <c r="M1313">
        <f>IF($A1313="","",IF($D1313="V01",Cadrage!$C$35,IF($D1313="V02",Cadrage!$D$35,Cadrage!$E$35)))</f>
        <v/>
      </c>
      <c r="N1313">
        <f>IF($A1313="","",IF($D1313="V01",$R$2,IF($D1313="V02",$R$3,$R$4)))</f>
        <v/>
      </c>
      <c r="O1313">
        <f>IF($A1313="","",IF(OR($B1313="7062",$B1313="706",$B1313="708"),$N1313,IF($B1313="6231",1+$G1313,IF($B1313="6236",1+$H1313,IF(OR($B1313="621",$B1313="604",$B1313="6063"),$N1313*(1-$L1313),IF(OR($B1313="6411",$B1313="6413",$B1313="6414",$B1313="645"),(1+$J1313)*(1+$K1313),IF(OR($B1313="613",$B1313="615",$B1313="616",$B1313="6226",$B1313="625",$B1313="626",$B1313="6281"),(1+$I1313)*(1-$L1313)*(1+$M1313),IF(OR($B1313="6331",$B1313="63511",$B1313="6333"),(1+$I1313)*(1-$L1313),IF($B1313="6811",1+$I1313,1)))))))))</f>
        <v/>
      </c>
      <c r="P1313">
        <f>IF($A1313="","",IF($E1313=1,$F1313*$O1313,PNL!G1313))</f>
        <v/>
      </c>
      <c r="T1313">
        <f>IF($A1313="","",IF($E1313=1,IF(OR($B1313="7062",$B1313="706",$B1313="708"),$P1313,IF(AND(LEFT($B1313,1)="6",$B1313&lt;&gt;"6811"),-$P1313,0)),0))</f>
        <v/>
      </c>
    </row>
    <row r="1314">
      <c r="A1314">
        <f>IF(PNL!A1314="","",PNL!A1314)</f>
        <v/>
      </c>
      <c r="B1314">
        <f>IF(PNL!B1314="","",PNL!B1314)</f>
        <v/>
      </c>
      <c r="C1314">
        <f>IF(PNL!C1314="","",PNL!C1314)</f>
        <v/>
      </c>
      <c r="D1314">
        <f>IF(PNL!D1314="","",PNL!D1314)</f>
        <v/>
      </c>
      <c r="E1314">
        <f>IF($A1314="","",IF(AND($C1314="2027",OR($D1314="V01",$D1314="V02",$D1314="V03")),1,0))</f>
        <v/>
      </c>
      <c r="F1314">
        <f>IF($A1314="","",IF($E1314=1,SUMIFS(Comptabilité!$F$1:$F$675,Comptabilité!$A$1:$A$675,$A1314,Comptabilité!$B$1:$B$675,$B1314,Comptabilité!$C$1:$C$675,"2026"),0))</f>
        <v/>
      </c>
      <c r="G1314">
        <f>IF($A1314="","",IF($D1314="V01",Cadrage!$C$22,IF($D1314="V02",Cadrage!$D$22,Cadrage!$E$22)))</f>
        <v/>
      </c>
      <c r="H1314">
        <f>IF($A1314="","",IF($D1314="V01",Cadrage!$C$23,IF($D1314="V02",Cadrage!$D$23,Cadrage!$E$23)))</f>
        <v/>
      </c>
      <c r="I1314">
        <f>IF($A1314="","",IF($D1314="V01",Cadrage!$C$31,IF($D1314="V02",Cadrage!$D$31,Cadrage!$E$31)))</f>
        <v/>
      </c>
      <c r="J1314">
        <f>IF($A1314="","",IF($D1314="V01",Cadrage!$C$32,IF($D1314="V02",Cadrage!$D$32,Cadrage!$E$32)))</f>
        <v/>
      </c>
      <c r="K1314">
        <f>IF($A1314="","",IF($D1314="V01",Cadrage!$C$33,IF($D1314="V02",Cadrage!$D$33,Cadrage!$E$33)))</f>
        <v/>
      </c>
      <c r="L1314">
        <f>IF($A1314="","",IF($D1314="V01",Cadrage!$C$34,IF($D1314="V02",Cadrage!$D$34,Cadrage!$E$34)))</f>
        <v/>
      </c>
      <c r="M1314">
        <f>IF($A1314="","",IF($D1314="V01",Cadrage!$C$35,IF($D1314="V02",Cadrage!$D$35,Cadrage!$E$35)))</f>
        <v/>
      </c>
      <c r="N1314">
        <f>IF($A1314="","",IF($D1314="V01",$R$2,IF($D1314="V02",$R$3,$R$4)))</f>
        <v/>
      </c>
      <c r="O1314">
        <f>IF($A1314="","",IF(OR($B1314="7062",$B1314="706",$B1314="708"),$N1314,IF($B1314="6231",1+$G1314,IF($B1314="6236",1+$H1314,IF(OR($B1314="621",$B1314="604",$B1314="6063"),$N1314*(1-$L1314),IF(OR($B1314="6411",$B1314="6413",$B1314="6414",$B1314="645"),(1+$J1314)*(1+$K1314),IF(OR($B1314="613",$B1314="615",$B1314="616",$B1314="6226",$B1314="625",$B1314="626",$B1314="6281"),(1+$I1314)*(1-$L1314)*(1+$M1314),IF(OR($B1314="6331",$B1314="63511",$B1314="6333"),(1+$I1314)*(1-$L1314),IF($B1314="6811",1+$I1314,1)))))))))</f>
        <v/>
      </c>
      <c r="P1314">
        <f>IF($A1314="","",IF($E1314=1,$F1314*$O1314,PNL!G1314))</f>
        <v/>
      </c>
      <c r="T1314">
        <f>IF($A1314="","",IF($E1314=1,IF(OR($B1314="7062",$B1314="706",$B1314="708"),$P1314,IF(AND(LEFT($B1314,1)="6",$B1314&lt;&gt;"6811"),-$P1314,0)),0))</f>
        <v/>
      </c>
    </row>
    <row r="1315">
      <c r="A1315">
        <f>IF(PNL!A1315="","",PNL!A1315)</f>
        <v/>
      </c>
      <c r="B1315">
        <f>IF(PNL!B1315="","",PNL!B1315)</f>
        <v/>
      </c>
      <c r="C1315">
        <f>IF(PNL!C1315="","",PNL!C1315)</f>
        <v/>
      </c>
      <c r="D1315">
        <f>IF(PNL!D1315="","",PNL!D1315)</f>
        <v/>
      </c>
      <c r="E1315">
        <f>IF($A1315="","",IF(AND($C1315="2027",OR($D1315="V01",$D1315="V02",$D1315="V03")),1,0))</f>
        <v/>
      </c>
      <c r="F1315">
        <f>IF($A1315="","",IF($E1315=1,SUMIFS(Comptabilité!$F$1:$F$675,Comptabilité!$A$1:$A$675,$A1315,Comptabilité!$B$1:$B$675,$B1315,Comptabilité!$C$1:$C$675,"2026"),0))</f>
        <v/>
      </c>
      <c r="G1315">
        <f>IF($A1315="","",IF($D1315="V01",Cadrage!$C$22,IF($D1315="V02",Cadrage!$D$22,Cadrage!$E$22)))</f>
        <v/>
      </c>
      <c r="H1315">
        <f>IF($A1315="","",IF($D1315="V01",Cadrage!$C$23,IF($D1315="V02",Cadrage!$D$23,Cadrage!$E$23)))</f>
        <v/>
      </c>
      <c r="I1315">
        <f>IF($A1315="","",IF($D1315="V01",Cadrage!$C$31,IF($D1315="V02",Cadrage!$D$31,Cadrage!$E$31)))</f>
        <v/>
      </c>
      <c r="J1315">
        <f>IF($A1315="","",IF($D1315="V01",Cadrage!$C$32,IF($D1315="V02",Cadrage!$D$32,Cadrage!$E$32)))</f>
        <v/>
      </c>
      <c r="K1315">
        <f>IF($A1315="","",IF($D1315="V01",Cadrage!$C$33,IF($D1315="V02",Cadrage!$D$33,Cadrage!$E$33)))</f>
        <v/>
      </c>
      <c r="L1315">
        <f>IF($A1315="","",IF($D1315="V01",Cadrage!$C$34,IF($D1315="V02",Cadrage!$D$34,Cadrage!$E$34)))</f>
        <v/>
      </c>
      <c r="M1315">
        <f>IF($A1315="","",IF($D1315="V01",Cadrage!$C$35,IF($D1315="V02",Cadrage!$D$35,Cadrage!$E$35)))</f>
        <v/>
      </c>
      <c r="N1315">
        <f>IF($A1315="","",IF($D1315="V01",$R$2,IF($D1315="V02",$R$3,$R$4)))</f>
        <v/>
      </c>
      <c r="O1315">
        <f>IF($A1315="","",IF(OR($B1315="7062",$B1315="706",$B1315="708"),$N1315,IF($B1315="6231",1+$G1315,IF($B1315="6236",1+$H1315,IF(OR($B1315="621",$B1315="604",$B1315="6063"),$N1315*(1-$L1315),IF(OR($B1315="6411",$B1315="6413",$B1315="6414",$B1315="645"),(1+$J1315)*(1+$K1315),IF(OR($B1315="613",$B1315="615",$B1315="616",$B1315="6226",$B1315="625",$B1315="626",$B1315="6281"),(1+$I1315)*(1-$L1315)*(1+$M1315),IF(OR($B1315="6331",$B1315="63511",$B1315="6333"),(1+$I1315)*(1-$L1315),IF($B1315="6811",1+$I1315,1)))))))))</f>
        <v/>
      </c>
      <c r="P1315">
        <f>IF($A1315="","",IF($E1315=1,$F1315*$O1315,PNL!G1315))</f>
        <v/>
      </c>
      <c r="T1315">
        <f>IF($A1315="","",IF($E1315=1,IF(OR($B1315="7062",$B1315="706",$B1315="708"),$P1315,IF(AND(LEFT($B1315,1)="6",$B1315&lt;&gt;"6811"),-$P1315,0)),0))</f>
        <v/>
      </c>
    </row>
    <row r="1316">
      <c r="A1316">
        <f>IF(PNL!A1316="","",PNL!A1316)</f>
        <v/>
      </c>
      <c r="B1316">
        <f>IF(PNL!B1316="","",PNL!B1316)</f>
        <v/>
      </c>
      <c r="C1316">
        <f>IF(PNL!C1316="","",PNL!C1316)</f>
        <v/>
      </c>
      <c r="D1316">
        <f>IF(PNL!D1316="","",PNL!D1316)</f>
        <v/>
      </c>
      <c r="E1316">
        <f>IF($A1316="","",IF(AND($C1316="2027",OR($D1316="V01",$D1316="V02",$D1316="V03")),1,0))</f>
        <v/>
      </c>
      <c r="F1316">
        <f>IF($A1316="","",IF($E1316=1,SUMIFS(Comptabilité!$F$1:$F$675,Comptabilité!$A$1:$A$675,$A1316,Comptabilité!$B$1:$B$675,$B1316,Comptabilité!$C$1:$C$675,"2026"),0))</f>
        <v/>
      </c>
      <c r="G1316">
        <f>IF($A1316="","",IF($D1316="V01",Cadrage!$C$22,IF($D1316="V02",Cadrage!$D$22,Cadrage!$E$22)))</f>
        <v/>
      </c>
      <c r="H1316">
        <f>IF($A1316="","",IF($D1316="V01",Cadrage!$C$23,IF($D1316="V02",Cadrage!$D$23,Cadrage!$E$23)))</f>
        <v/>
      </c>
      <c r="I1316">
        <f>IF($A1316="","",IF($D1316="V01",Cadrage!$C$31,IF($D1316="V02",Cadrage!$D$31,Cadrage!$E$31)))</f>
        <v/>
      </c>
      <c r="J1316">
        <f>IF($A1316="","",IF($D1316="V01",Cadrage!$C$32,IF($D1316="V02",Cadrage!$D$32,Cadrage!$E$32)))</f>
        <v/>
      </c>
      <c r="K1316">
        <f>IF($A1316="","",IF($D1316="V01",Cadrage!$C$33,IF($D1316="V02",Cadrage!$D$33,Cadrage!$E$33)))</f>
        <v/>
      </c>
      <c r="L1316">
        <f>IF($A1316="","",IF($D1316="V01",Cadrage!$C$34,IF($D1316="V02",Cadrage!$D$34,Cadrage!$E$34)))</f>
        <v/>
      </c>
      <c r="M1316">
        <f>IF($A1316="","",IF($D1316="V01",Cadrage!$C$35,IF($D1316="V02",Cadrage!$D$35,Cadrage!$E$35)))</f>
        <v/>
      </c>
      <c r="N1316">
        <f>IF($A1316="","",IF($D1316="V01",$R$2,IF($D1316="V02",$R$3,$R$4)))</f>
        <v/>
      </c>
      <c r="O1316">
        <f>IF($A1316="","",IF(OR($B1316="7062",$B1316="706",$B1316="708"),$N1316,IF($B1316="6231",1+$G1316,IF($B1316="6236",1+$H1316,IF(OR($B1316="621",$B1316="604",$B1316="6063"),$N1316*(1-$L1316),IF(OR($B1316="6411",$B1316="6413",$B1316="6414",$B1316="645"),(1+$J1316)*(1+$K1316),IF(OR($B1316="613",$B1316="615",$B1316="616",$B1316="6226",$B1316="625",$B1316="626",$B1316="6281"),(1+$I1316)*(1-$L1316)*(1+$M1316),IF(OR($B1316="6331",$B1316="63511",$B1316="6333"),(1+$I1316)*(1-$L1316),IF($B1316="6811",1+$I1316,1)))))))))</f>
        <v/>
      </c>
      <c r="P1316">
        <f>IF($A1316="","",IF($E1316=1,$F1316*$O1316,PNL!G1316))</f>
        <v/>
      </c>
      <c r="T1316">
        <f>IF($A1316="","",IF($E1316=1,IF(OR($B1316="7062",$B1316="706",$B1316="708"),$P1316,IF(AND(LEFT($B1316,1)="6",$B1316&lt;&gt;"6811"),-$P1316,0)),0))</f>
        <v/>
      </c>
    </row>
    <row r="1317">
      <c r="A1317">
        <f>IF(PNL!A1317="","",PNL!A1317)</f>
        <v/>
      </c>
      <c r="B1317">
        <f>IF(PNL!B1317="","",PNL!B1317)</f>
        <v/>
      </c>
      <c r="C1317">
        <f>IF(PNL!C1317="","",PNL!C1317)</f>
        <v/>
      </c>
      <c r="D1317">
        <f>IF(PNL!D1317="","",PNL!D1317)</f>
        <v/>
      </c>
      <c r="E1317">
        <f>IF($A1317="","",IF(AND($C1317="2027",OR($D1317="V01",$D1317="V02",$D1317="V03")),1,0))</f>
        <v/>
      </c>
      <c r="F1317">
        <f>IF($A1317="","",IF($E1317=1,SUMIFS(Comptabilité!$F$1:$F$675,Comptabilité!$A$1:$A$675,$A1317,Comptabilité!$B$1:$B$675,$B1317,Comptabilité!$C$1:$C$675,"2026"),0))</f>
        <v/>
      </c>
      <c r="G1317">
        <f>IF($A1317="","",IF($D1317="V01",Cadrage!$C$22,IF($D1317="V02",Cadrage!$D$22,Cadrage!$E$22)))</f>
        <v/>
      </c>
      <c r="H1317">
        <f>IF($A1317="","",IF($D1317="V01",Cadrage!$C$23,IF($D1317="V02",Cadrage!$D$23,Cadrage!$E$23)))</f>
        <v/>
      </c>
      <c r="I1317">
        <f>IF($A1317="","",IF($D1317="V01",Cadrage!$C$31,IF($D1317="V02",Cadrage!$D$31,Cadrage!$E$31)))</f>
        <v/>
      </c>
      <c r="J1317">
        <f>IF($A1317="","",IF($D1317="V01",Cadrage!$C$32,IF($D1317="V02",Cadrage!$D$32,Cadrage!$E$32)))</f>
        <v/>
      </c>
      <c r="K1317">
        <f>IF($A1317="","",IF($D1317="V01",Cadrage!$C$33,IF($D1317="V02",Cadrage!$D$33,Cadrage!$E$33)))</f>
        <v/>
      </c>
      <c r="L1317">
        <f>IF($A1317="","",IF($D1317="V01",Cadrage!$C$34,IF($D1317="V02",Cadrage!$D$34,Cadrage!$E$34)))</f>
        <v/>
      </c>
      <c r="M1317">
        <f>IF($A1317="","",IF($D1317="V01",Cadrage!$C$35,IF($D1317="V02",Cadrage!$D$35,Cadrage!$E$35)))</f>
        <v/>
      </c>
      <c r="N1317">
        <f>IF($A1317="","",IF($D1317="V01",$R$2,IF($D1317="V02",$R$3,$R$4)))</f>
        <v/>
      </c>
      <c r="O1317">
        <f>IF($A1317="","",IF(OR($B1317="7062",$B1317="706",$B1317="708"),$N1317,IF($B1317="6231",1+$G1317,IF($B1317="6236",1+$H1317,IF(OR($B1317="621",$B1317="604",$B1317="6063"),$N1317*(1-$L1317),IF(OR($B1317="6411",$B1317="6413",$B1317="6414",$B1317="645"),(1+$J1317)*(1+$K1317),IF(OR($B1317="613",$B1317="615",$B1317="616",$B1317="6226",$B1317="625",$B1317="626",$B1317="6281"),(1+$I1317)*(1-$L1317)*(1+$M1317),IF(OR($B1317="6331",$B1317="63511",$B1317="6333"),(1+$I1317)*(1-$L1317),IF($B1317="6811",1+$I1317,1)))))))))</f>
        <v/>
      </c>
      <c r="P1317">
        <f>IF($A1317="","",IF($E1317=1,$F1317*$O1317,PNL!G1317))</f>
        <v/>
      </c>
      <c r="T1317">
        <f>IF($A1317="","",IF($E1317=1,IF(OR($B1317="7062",$B1317="706",$B1317="708"),$P1317,IF(AND(LEFT($B1317,1)="6",$B1317&lt;&gt;"6811"),-$P1317,0)),0))</f>
        <v/>
      </c>
    </row>
    <row r="1318">
      <c r="A1318">
        <f>IF(PNL!A1318="","",PNL!A1318)</f>
        <v/>
      </c>
      <c r="B1318">
        <f>IF(PNL!B1318="","",PNL!B1318)</f>
        <v/>
      </c>
      <c r="C1318">
        <f>IF(PNL!C1318="","",PNL!C1318)</f>
        <v/>
      </c>
      <c r="D1318">
        <f>IF(PNL!D1318="","",PNL!D1318)</f>
        <v/>
      </c>
      <c r="E1318">
        <f>IF($A1318="","",IF(AND($C1318="2027",OR($D1318="V01",$D1318="V02",$D1318="V03")),1,0))</f>
        <v/>
      </c>
      <c r="F1318">
        <f>IF($A1318="","",IF($E1318=1,SUMIFS(Comptabilité!$F$1:$F$675,Comptabilité!$A$1:$A$675,$A1318,Comptabilité!$B$1:$B$675,$B1318,Comptabilité!$C$1:$C$675,"2026"),0))</f>
        <v/>
      </c>
      <c r="G1318">
        <f>IF($A1318="","",IF($D1318="V01",Cadrage!$C$22,IF($D1318="V02",Cadrage!$D$22,Cadrage!$E$22)))</f>
        <v/>
      </c>
      <c r="H1318">
        <f>IF($A1318="","",IF($D1318="V01",Cadrage!$C$23,IF($D1318="V02",Cadrage!$D$23,Cadrage!$E$23)))</f>
        <v/>
      </c>
      <c r="I1318">
        <f>IF($A1318="","",IF($D1318="V01",Cadrage!$C$31,IF($D1318="V02",Cadrage!$D$31,Cadrage!$E$31)))</f>
        <v/>
      </c>
      <c r="J1318">
        <f>IF($A1318="","",IF($D1318="V01",Cadrage!$C$32,IF($D1318="V02",Cadrage!$D$32,Cadrage!$E$32)))</f>
        <v/>
      </c>
      <c r="K1318">
        <f>IF($A1318="","",IF($D1318="V01",Cadrage!$C$33,IF($D1318="V02",Cadrage!$D$33,Cadrage!$E$33)))</f>
        <v/>
      </c>
      <c r="L1318">
        <f>IF($A1318="","",IF($D1318="V01",Cadrage!$C$34,IF($D1318="V02",Cadrage!$D$34,Cadrage!$E$34)))</f>
        <v/>
      </c>
      <c r="M1318">
        <f>IF($A1318="","",IF($D1318="V01",Cadrage!$C$35,IF($D1318="V02",Cadrage!$D$35,Cadrage!$E$35)))</f>
        <v/>
      </c>
      <c r="N1318">
        <f>IF($A1318="","",IF($D1318="V01",$R$2,IF($D1318="V02",$R$3,$R$4)))</f>
        <v/>
      </c>
      <c r="O1318">
        <f>IF($A1318="","",IF(OR($B1318="7062",$B1318="706",$B1318="708"),$N1318,IF($B1318="6231",1+$G1318,IF($B1318="6236",1+$H1318,IF(OR($B1318="621",$B1318="604",$B1318="6063"),$N1318*(1-$L1318),IF(OR($B1318="6411",$B1318="6413",$B1318="6414",$B1318="645"),(1+$J1318)*(1+$K1318),IF(OR($B1318="613",$B1318="615",$B1318="616",$B1318="6226",$B1318="625",$B1318="626",$B1318="6281"),(1+$I1318)*(1-$L1318)*(1+$M1318),IF(OR($B1318="6331",$B1318="63511",$B1318="6333"),(1+$I1318)*(1-$L1318),IF($B1318="6811",1+$I1318,1)))))))))</f>
        <v/>
      </c>
      <c r="P1318">
        <f>IF($A1318="","",IF($E1318=1,$F1318*$O1318,PNL!G1318))</f>
        <v/>
      </c>
      <c r="T1318">
        <f>IF($A1318="","",IF($E1318=1,IF(OR($B1318="7062",$B1318="706",$B1318="708"),$P1318,IF(AND(LEFT($B1318,1)="6",$B1318&lt;&gt;"6811"),-$P1318,0)),0))</f>
        <v/>
      </c>
    </row>
    <row r="1319">
      <c r="A1319">
        <f>IF(PNL!A1319="","",PNL!A1319)</f>
        <v/>
      </c>
      <c r="B1319">
        <f>IF(PNL!B1319="","",PNL!B1319)</f>
        <v/>
      </c>
      <c r="C1319">
        <f>IF(PNL!C1319="","",PNL!C1319)</f>
        <v/>
      </c>
      <c r="D1319">
        <f>IF(PNL!D1319="","",PNL!D1319)</f>
        <v/>
      </c>
      <c r="E1319">
        <f>IF($A1319="","",IF(AND($C1319="2027",OR($D1319="V01",$D1319="V02",$D1319="V03")),1,0))</f>
        <v/>
      </c>
      <c r="F1319">
        <f>IF($A1319="","",IF($E1319=1,SUMIFS(Comptabilité!$F$1:$F$675,Comptabilité!$A$1:$A$675,$A1319,Comptabilité!$B$1:$B$675,$B1319,Comptabilité!$C$1:$C$675,"2026"),0))</f>
        <v/>
      </c>
      <c r="G1319">
        <f>IF($A1319="","",IF($D1319="V01",Cadrage!$C$22,IF($D1319="V02",Cadrage!$D$22,Cadrage!$E$22)))</f>
        <v/>
      </c>
      <c r="H1319">
        <f>IF($A1319="","",IF($D1319="V01",Cadrage!$C$23,IF($D1319="V02",Cadrage!$D$23,Cadrage!$E$23)))</f>
        <v/>
      </c>
      <c r="I1319">
        <f>IF($A1319="","",IF($D1319="V01",Cadrage!$C$31,IF($D1319="V02",Cadrage!$D$31,Cadrage!$E$31)))</f>
        <v/>
      </c>
      <c r="J1319">
        <f>IF($A1319="","",IF($D1319="V01",Cadrage!$C$32,IF($D1319="V02",Cadrage!$D$32,Cadrage!$E$32)))</f>
        <v/>
      </c>
      <c r="K1319">
        <f>IF($A1319="","",IF($D1319="V01",Cadrage!$C$33,IF($D1319="V02",Cadrage!$D$33,Cadrage!$E$33)))</f>
        <v/>
      </c>
      <c r="L1319">
        <f>IF($A1319="","",IF($D1319="V01",Cadrage!$C$34,IF($D1319="V02",Cadrage!$D$34,Cadrage!$E$34)))</f>
        <v/>
      </c>
      <c r="M1319">
        <f>IF($A1319="","",IF($D1319="V01",Cadrage!$C$35,IF($D1319="V02",Cadrage!$D$35,Cadrage!$E$35)))</f>
        <v/>
      </c>
      <c r="N1319">
        <f>IF($A1319="","",IF($D1319="V01",$R$2,IF($D1319="V02",$R$3,$R$4)))</f>
        <v/>
      </c>
      <c r="O1319">
        <f>IF($A1319="","",IF(OR($B1319="7062",$B1319="706",$B1319="708"),$N1319,IF($B1319="6231",1+$G1319,IF($B1319="6236",1+$H1319,IF(OR($B1319="621",$B1319="604",$B1319="6063"),$N1319*(1-$L1319),IF(OR($B1319="6411",$B1319="6413",$B1319="6414",$B1319="645"),(1+$J1319)*(1+$K1319),IF(OR($B1319="613",$B1319="615",$B1319="616",$B1319="6226",$B1319="625",$B1319="626",$B1319="6281"),(1+$I1319)*(1-$L1319)*(1+$M1319),IF(OR($B1319="6331",$B1319="63511",$B1319="6333"),(1+$I1319)*(1-$L1319),IF($B1319="6811",1+$I1319,1)))))))))</f>
        <v/>
      </c>
      <c r="P1319">
        <f>IF($A1319="","",IF($E1319=1,$F1319*$O1319,PNL!G1319))</f>
        <v/>
      </c>
      <c r="T1319">
        <f>IF($A1319="","",IF($E1319=1,IF(OR($B1319="7062",$B1319="706",$B1319="708"),$P1319,IF(AND(LEFT($B1319,1)="6",$B1319&lt;&gt;"6811"),-$P1319,0)),0))</f>
        <v/>
      </c>
    </row>
    <row r="1320">
      <c r="A1320">
        <f>IF(PNL!A1320="","",PNL!A1320)</f>
        <v/>
      </c>
      <c r="B1320">
        <f>IF(PNL!B1320="","",PNL!B1320)</f>
        <v/>
      </c>
      <c r="C1320">
        <f>IF(PNL!C1320="","",PNL!C1320)</f>
        <v/>
      </c>
      <c r="D1320">
        <f>IF(PNL!D1320="","",PNL!D1320)</f>
        <v/>
      </c>
      <c r="E1320">
        <f>IF($A1320="","",IF(AND($C1320="2027",OR($D1320="V01",$D1320="V02",$D1320="V03")),1,0))</f>
        <v/>
      </c>
      <c r="F1320">
        <f>IF($A1320="","",IF($E1320=1,SUMIFS(Comptabilité!$F$1:$F$675,Comptabilité!$A$1:$A$675,$A1320,Comptabilité!$B$1:$B$675,$B1320,Comptabilité!$C$1:$C$675,"2026"),0))</f>
        <v/>
      </c>
      <c r="G1320">
        <f>IF($A1320="","",IF($D1320="V01",Cadrage!$C$22,IF($D1320="V02",Cadrage!$D$22,Cadrage!$E$22)))</f>
        <v/>
      </c>
      <c r="H1320">
        <f>IF($A1320="","",IF($D1320="V01",Cadrage!$C$23,IF($D1320="V02",Cadrage!$D$23,Cadrage!$E$23)))</f>
        <v/>
      </c>
      <c r="I1320">
        <f>IF($A1320="","",IF($D1320="V01",Cadrage!$C$31,IF($D1320="V02",Cadrage!$D$31,Cadrage!$E$31)))</f>
        <v/>
      </c>
      <c r="J1320">
        <f>IF($A1320="","",IF($D1320="V01",Cadrage!$C$32,IF($D1320="V02",Cadrage!$D$32,Cadrage!$E$32)))</f>
        <v/>
      </c>
      <c r="K1320">
        <f>IF($A1320="","",IF($D1320="V01",Cadrage!$C$33,IF($D1320="V02",Cadrage!$D$33,Cadrage!$E$33)))</f>
        <v/>
      </c>
      <c r="L1320">
        <f>IF($A1320="","",IF($D1320="V01",Cadrage!$C$34,IF($D1320="V02",Cadrage!$D$34,Cadrage!$E$34)))</f>
        <v/>
      </c>
      <c r="M1320">
        <f>IF($A1320="","",IF($D1320="V01",Cadrage!$C$35,IF($D1320="V02",Cadrage!$D$35,Cadrage!$E$35)))</f>
        <v/>
      </c>
      <c r="N1320">
        <f>IF($A1320="","",IF($D1320="V01",$R$2,IF($D1320="V02",$R$3,$R$4)))</f>
        <v/>
      </c>
      <c r="O1320">
        <f>IF($A1320="","",IF(OR($B1320="7062",$B1320="706",$B1320="708"),$N1320,IF($B1320="6231",1+$G1320,IF($B1320="6236",1+$H1320,IF(OR($B1320="621",$B1320="604",$B1320="6063"),$N1320*(1-$L1320),IF(OR($B1320="6411",$B1320="6413",$B1320="6414",$B1320="645"),(1+$J1320)*(1+$K1320),IF(OR($B1320="613",$B1320="615",$B1320="616",$B1320="6226",$B1320="625",$B1320="626",$B1320="6281"),(1+$I1320)*(1-$L1320)*(1+$M1320),IF(OR($B1320="6331",$B1320="63511",$B1320="6333"),(1+$I1320)*(1-$L1320),IF($B1320="6811",1+$I1320,1)))))))))</f>
        <v/>
      </c>
      <c r="P1320">
        <f>IF($A1320="","",IF($E1320=1,$F1320*$O1320,PNL!G1320))</f>
        <v/>
      </c>
      <c r="T1320">
        <f>IF($A1320="","",IF($E1320=1,IF(OR($B1320="7062",$B1320="706",$B1320="708"),$P1320,IF(AND(LEFT($B1320,1)="6",$B1320&lt;&gt;"6811"),-$P1320,0)),0))</f>
        <v/>
      </c>
    </row>
    <row r="1321">
      <c r="A1321">
        <f>IF(PNL!A1321="","",PNL!A1321)</f>
        <v/>
      </c>
      <c r="B1321">
        <f>IF(PNL!B1321="","",PNL!B1321)</f>
        <v/>
      </c>
      <c r="C1321">
        <f>IF(PNL!C1321="","",PNL!C1321)</f>
        <v/>
      </c>
      <c r="D1321">
        <f>IF(PNL!D1321="","",PNL!D1321)</f>
        <v/>
      </c>
      <c r="E1321">
        <f>IF($A1321="","",IF(AND($C1321="2027",OR($D1321="V01",$D1321="V02",$D1321="V03")),1,0))</f>
        <v/>
      </c>
      <c r="F1321">
        <f>IF($A1321="","",IF($E1321=1,SUMIFS(Comptabilité!$F$1:$F$675,Comptabilité!$A$1:$A$675,$A1321,Comptabilité!$B$1:$B$675,$B1321,Comptabilité!$C$1:$C$675,"2026"),0))</f>
        <v/>
      </c>
      <c r="G1321">
        <f>IF($A1321="","",IF($D1321="V01",Cadrage!$C$22,IF($D1321="V02",Cadrage!$D$22,Cadrage!$E$22)))</f>
        <v/>
      </c>
      <c r="H1321">
        <f>IF($A1321="","",IF($D1321="V01",Cadrage!$C$23,IF($D1321="V02",Cadrage!$D$23,Cadrage!$E$23)))</f>
        <v/>
      </c>
      <c r="I1321">
        <f>IF($A1321="","",IF($D1321="V01",Cadrage!$C$31,IF($D1321="V02",Cadrage!$D$31,Cadrage!$E$31)))</f>
        <v/>
      </c>
      <c r="J1321">
        <f>IF($A1321="","",IF($D1321="V01",Cadrage!$C$32,IF($D1321="V02",Cadrage!$D$32,Cadrage!$E$32)))</f>
        <v/>
      </c>
      <c r="K1321">
        <f>IF($A1321="","",IF($D1321="V01",Cadrage!$C$33,IF($D1321="V02",Cadrage!$D$33,Cadrage!$E$33)))</f>
        <v/>
      </c>
      <c r="L1321">
        <f>IF($A1321="","",IF($D1321="V01",Cadrage!$C$34,IF($D1321="V02",Cadrage!$D$34,Cadrage!$E$34)))</f>
        <v/>
      </c>
      <c r="M1321">
        <f>IF($A1321="","",IF($D1321="V01",Cadrage!$C$35,IF($D1321="V02",Cadrage!$D$35,Cadrage!$E$35)))</f>
        <v/>
      </c>
      <c r="N1321">
        <f>IF($A1321="","",IF($D1321="V01",$R$2,IF($D1321="V02",$R$3,$R$4)))</f>
        <v/>
      </c>
      <c r="O1321">
        <f>IF($A1321="","",IF(OR($B1321="7062",$B1321="706",$B1321="708"),$N1321,IF($B1321="6231",1+$G1321,IF($B1321="6236",1+$H1321,IF(OR($B1321="621",$B1321="604",$B1321="6063"),$N1321*(1-$L1321),IF(OR($B1321="6411",$B1321="6413",$B1321="6414",$B1321="645"),(1+$J1321)*(1+$K1321),IF(OR($B1321="613",$B1321="615",$B1321="616",$B1321="6226",$B1321="625",$B1321="626",$B1321="6281"),(1+$I1321)*(1-$L1321)*(1+$M1321),IF(OR($B1321="6331",$B1321="63511",$B1321="6333"),(1+$I1321)*(1-$L1321),IF($B1321="6811",1+$I1321,1)))))))))</f>
        <v/>
      </c>
      <c r="P1321">
        <f>IF($A1321="","",IF($E1321=1,$F1321*$O1321,PNL!G1321))</f>
        <v/>
      </c>
      <c r="T1321">
        <f>IF($A1321="","",IF($E1321=1,IF(OR($B1321="7062",$B1321="706",$B1321="708"),$P1321,IF(AND(LEFT($B1321,1)="6",$B1321&lt;&gt;"6811"),-$P1321,0)),0))</f>
        <v/>
      </c>
    </row>
    <row r="1322">
      <c r="A1322">
        <f>IF(PNL!A1322="","",PNL!A1322)</f>
        <v/>
      </c>
      <c r="B1322">
        <f>IF(PNL!B1322="","",PNL!B1322)</f>
        <v/>
      </c>
      <c r="C1322">
        <f>IF(PNL!C1322="","",PNL!C1322)</f>
        <v/>
      </c>
      <c r="D1322">
        <f>IF(PNL!D1322="","",PNL!D1322)</f>
        <v/>
      </c>
      <c r="E1322">
        <f>IF($A1322="","",IF(AND($C1322="2027",OR($D1322="V01",$D1322="V02",$D1322="V03")),1,0))</f>
        <v/>
      </c>
      <c r="F1322">
        <f>IF($A1322="","",IF($E1322=1,SUMIFS(Comptabilité!$F$1:$F$675,Comptabilité!$A$1:$A$675,$A1322,Comptabilité!$B$1:$B$675,$B1322,Comptabilité!$C$1:$C$675,"2026"),0))</f>
        <v/>
      </c>
      <c r="G1322">
        <f>IF($A1322="","",IF($D1322="V01",Cadrage!$C$22,IF($D1322="V02",Cadrage!$D$22,Cadrage!$E$22)))</f>
        <v/>
      </c>
      <c r="H1322">
        <f>IF($A1322="","",IF($D1322="V01",Cadrage!$C$23,IF($D1322="V02",Cadrage!$D$23,Cadrage!$E$23)))</f>
        <v/>
      </c>
      <c r="I1322">
        <f>IF($A1322="","",IF($D1322="V01",Cadrage!$C$31,IF($D1322="V02",Cadrage!$D$31,Cadrage!$E$31)))</f>
        <v/>
      </c>
      <c r="J1322">
        <f>IF($A1322="","",IF($D1322="V01",Cadrage!$C$32,IF($D1322="V02",Cadrage!$D$32,Cadrage!$E$32)))</f>
        <v/>
      </c>
      <c r="K1322">
        <f>IF($A1322="","",IF($D1322="V01",Cadrage!$C$33,IF($D1322="V02",Cadrage!$D$33,Cadrage!$E$33)))</f>
        <v/>
      </c>
      <c r="L1322">
        <f>IF($A1322="","",IF($D1322="V01",Cadrage!$C$34,IF($D1322="V02",Cadrage!$D$34,Cadrage!$E$34)))</f>
        <v/>
      </c>
      <c r="M1322">
        <f>IF($A1322="","",IF($D1322="V01",Cadrage!$C$35,IF($D1322="V02",Cadrage!$D$35,Cadrage!$E$35)))</f>
        <v/>
      </c>
      <c r="N1322">
        <f>IF($A1322="","",IF($D1322="V01",$R$2,IF($D1322="V02",$R$3,$R$4)))</f>
        <v/>
      </c>
      <c r="O1322">
        <f>IF($A1322="","",IF(OR($B1322="7062",$B1322="706",$B1322="708"),$N1322,IF($B1322="6231",1+$G1322,IF($B1322="6236",1+$H1322,IF(OR($B1322="621",$B1322="604",$B1322="6063"),$N1322*(1-$L1322),IF(OR($B1322="6411",$B1322="6413",$B1322="6414",$B1322="645"),(1+$J1322)*(1+$K1322),IF(OR($B1322="613",$B1322="615",$B1322="616",$B1322="6226",$B1322="625",$B1322="626",$B1322="6281"),(1+$I1322)*(1-$L1322)*(1+$M1322),IF(OR($B1322="6331",$B1322="63511",$B1322="6333"),(1+$I1322)*(1-$L1322),IF($B1322="6811",1+$I1322,1)))))))))</f>
        <v/>
      </c>
      <c r="P1322">
        <f>IF($A1322="","",IF($E1322=1,$F1322*$O1322,PNL!G1322))</f>
        <v/>
      </c>
      <c r="T1322">
        <f>IF($A1322="","",IF($E1322=1,IF(OR($B1322="7062",$B1322="706",$B1322="708"),$P1322,IF(AND(LEFT($B1322,1)="6",$B1322&lt;&gt;"6811"),-$P1322,0)),0))</f>
        <v/>
      </c>
    </row>
    <row r="1323">
      <c r="A1323">
        <f>IF(PNL!A1323="","",PNL!A1323)</f>
        <v/>
      </c>
      <c r="B1323">
        <f>IF(PNL!B1323="","",PNL!B1323)</f>
        <v/>
      </c>
      <c r="C1323">
        <f>IF(PNL!C1323="","",PNL!C1323)</f>
        <v/>
      </c>
      <c r="D1323">
        <f>IF(PNL!D1323="","",PNL!D1323)</f>
        <v/>
      </c>
      <c r="E1323">
        <f>IF($A1323="","",IF(AND($C1323="2027",OR($D1323="V01",$D1323="V02",$D1323="V03")),1,0))</f>
        <v/>
      </c>
      <c r="F1323">
        <f>IF($A1323="","",IF($E1323=1,SUMIFS(Comptabilité!$F$1:$F$675,Comptabilité!$A$1:$A$675,$A1323,Comptabilité!$B$1:$B$675,$B1323,Comptabilité!$C$1:$C$675,"2026"),0))</f>
        <v/>
      </c>
      <c r="G1323">
        <f>IF($A1323="","",IF($D1323="V01",Cadrage!$C$22,IF($D1323="V02",Cadrage!$D$22,Cadrage!$E$22)))</f>
        <v/>
      </c>
      <c r="H1323">
        <f>IF($A1323="","",IF($D1323="V01",Cadrage!$C$23,IF($D1323="V02",Cadrage!$D$23,Cadrage!$E$23)))</f>
        <v/>
      </c>
      <c r="I1323">
        <f>IF($A1323="","",IF($D1323="V01",Cadrage!$C$31,IF($D1323="V02",Cadrage!$D$31,Cadrage!$E$31)))</f>
        <v/>
      </c>
      <c r="J1323">
        <f>IF($A1323="","",IF($D1323="V01",Cadrage!$C$32,IF($D1323="V02",Cadrage!$D$32,Cadrage!$E$32)))</f>
        <v/>
      </c>
      <c r="K1323">
        <f>IF($A1323="","",IF($D1323="V01",Cadrage!$C$33,IF($D1323="V02",Cadrage!$D$33,Cadrage!$E$33)))</f>
        <v/>
      </c>
      <c r="L1323">
        <f>IF($A1323="","",IF($D1323="V01",Cadrage!$C$34,IF($D1323="V02",Cadrage!$D$34,Cadrage!$E$34)))</f>
        <v/>
      </c>
      <c r="M1323">
        <f>IF($A1323="","",IF($D1323="V01",Cadrage!$C$35,IF($D1323="V02",Cadrage!$D$35,Cadrage!$E$35)))</f>
        <v/>
      </c>
      <c r="N1323">
        <f>IF($A1323="","",IF($D1323="V01",$R$2,IF($D1323="V02",$R$3,$R$4)))</f>
        <v/>
      </c>
      <c r="O1323">
        <f>IF($A1323="","",IF(OR($B1323="7062",$B1323="706",$B1323="708"),$N1323,IF($B1323="6231",1+$G1323,IF($B1323="6236",1+$H1323,IF(OR($B1323="621",$B1323="604",$B1323="6063"),$N1323*(1-$L1323),IF(OR($B1323="6411",$B1323="6413",$B1323="6414",$B1323="645"),(1+$J1323)*(1+$K1323),IF(OR($B1323="613",$B1323="615",$B1323="616",$B1323="6226",$B1323="625",$B1323="626",$B1323="6281"),(1+$I1323)*(1-$L1323)*(1+$M1323),IF(OR($B1323="6331",$B1323="63511",$B1323="6333"),(1+$I1323)*(1-$L1323),IF($B1323="6811",1+$I1323,1)))))))))</f>
        <v/>
      </c>
      <c r="P1323">
        <f>IF($A1323="","",IF($E1323=1,$F1323*$O1323,PNL!G1323))</f>
        <v/>
      </c>
      <c r="T1323">
        <f>IF($A1323="","",IF($E1323=1,IF(OR($B1323="7062",$B1323="706",$B1323="708"),$P1323,IF(AND(LEFT($B1323,1)="6",$B1323&lt;&gt;"6811"),-$P1323,0)),0))</f>
        <v/>
      </c>
    </row>
    <row r="1324">
      <c r="A1324">
        <f>IF(PNL!A1324="","",PNL!A1324)</f>
        <v/>
      </c>
      <c r="B1324">
        <f>IF(PNL!B1324="","",PNL!B1324)</f>
        <v/>
      </c>
      <c r="C1324">
        <f>IF(PNL!C1324="","",PNL!C1324)</f>
        <v/>
      </c>
      <c r="D1324">
        <f>IF(PNL!D1324="","",PNL!D1324)</f>
        <v/>
      </c>
      <c r="E1324">
        <f>IF($A1324="","",IF(AND($C1324="2027",OR($D1324="V01",$D1324="V02",$D1324="V03")),1,0))</f>
        <v/>
      </c>
      <c r="F1324">
        <f>IF($A1324="","",IF($E1324=1,SUMIFS(Comptabilité!$F$1:$F$675,Comptabilité!$A$1:$A$675,$A1324,Comptabilité!$B$1:$B$675,$B1324,Comptabilité!$C$1:$C$675,"2026"),0))</f>
        <v/>
      </c>
      <c r="G1324">
        <f>IF($A1324="","",IF($D1324="V01",Cadrage!$C$22,IF($D1324="V02",Cadrage!$D$22,Cadrage!$E$22)))</f>
        <v/>
      </c>
      <c r="H1324">
        <f>IF($A1324="","",IF($D1324="V01",Cadrage!$C$23,IF($D1324="V02",Cadrage!$D$23,Cadrage!$E$23)))</f>
        <v/>
      </c>
      <c r="I1324">
        <f>IF($A1324="","",IF($D1324="V01",Cadrage!$C$31,IF($D1324="V02",Cadrage!$D$31,Cadrage!$E$31)))</f>
        <v/>
      </c>
      <c r="J1324">
        <f>IF($A1324="","",IF($D1324="V01",Cadrage!$C$32,IF($D1324="V02",Cadrage!$D$32,Cadrage!$E$32)))</f>
        <v/>
      </c>
      <c r="K1324">
        <f>IF($A1324="","",IF($D1324="V01",Cadrage!$C$33,IF($D1324="V02",Cadrage!$D$33,Cadrage!$E$33)))</f>
        <v/>
      </c>
      <c r="L1324">
        <f>IF($A1324="","",IF($D1324="V01",Cadrage!$C$34,IF($D1324="V02",Cadrage!$D$34,Cadrage!$E$34)))</f>
        <v/>
      </c>
      <c r="M1324">
        <f>IF($A1324="","",IF($D1324="V01",Cadrage!$C$35,IF($D1324="V02",Cadrage!$D$35,Cadrage!$E$35)))</f>
        <v/>
      </c>
      <c r="N1324">
        <f>IF($A1324="","",IF($D1324="V01",$R$2,IF($D1324="V02",$R$3,$R$4)))</f>
        <v/>
      </c>
      <c r="O1324">
        <f>IF($A1324="","",IF(OR($B1324="7062",$B1324="706",$B1324="708"),$N1324,IF($B1324="6231",1+$G1324,IF($B1324="6236",1+$H1324,IF(OR($B1324="621",$B1324="604",$B1324="6063"),$N1324*(1-$L1324),IF(OR($B1324="6411",$B1324="6413",$B1324="6414",$B1324="645"),(1+$J1324)*(1+$K1324),IF(OR($B1324="613",$B1324="615",$B1324="616",$B1324="6226",$B1324="625",$B1324="626",$B1324="6281"),(1+$I1324)*(1-$L1324)*(1+$M1324),IF(OR($B1324="6331",$B1324="63511",$B1324="6333"),(1+$I1324)*(1-$L1324),IF($B1324="6811",1+$I1324,1)))))))))</f>
        <v/>
      </c>
      <c r="P1324">
        <f>IF($A1324="","",IF($E1324=1,$F1324*$O1324,PNL!G1324))</f>
        <v/>
      </c>
      <c r="T1324">
        <f>IF($A1324="","",IF($E1324=1,IF(OR($B1324="7062",$B1324="706",$B1324="708"),$P1324,IF(AND(LEFT($B1324,1)="6",$B1324&lt;&gt;"6811"),-$P1324,0)),0))</f>
        <v/>
      </c>
    </row>
    <row r="1325">
      <c r="A1325">
        <f>IF(PNL!A1325="","",PNL!A1325)</f>
        <v/>
      </c>
      <c r="B1325">
        <f>IF(PNL!B1325="","",PNL!B1325)</f>
        <v/>
      </c>
      <c r="C1325">
        <f>IF(PNL!C1325="","",PNL!C1325)</f>
        <v/>
      </c>
      <c r="D1325">
        <f>IF(PNL!D1325="","",PNL!D1325)</f>
        <v/>
      </c>
      <c r="E1325">
        <f>IF($A1325="","",IF(AND($C1325="2027",OR($D1325="V01",$D1325="V02",$D1325="V03")),1,0))</f>
        <v/>
      </c>
      <c r="F1325">
        <f>IF($A1325="","",IF($E1325=1,SUMIFS(Comptabilité!$F$1:$F$675,Comptabilité!$A$1:$A$675,$A1325,Comptabilité!$B$1:$B$675,$B1325,Comptabilité!$C$1:$C$675,"2026"),0))</f>
        <v/>
      </c>
      <c r="G1325">
        <f>IF($A1325="","",IF($D1325="V01",Cadrage!$C$22,IF($D1325="V02",Cadrage!$D$22,Cadrage!$E$22)))</f>
        <v/>
      </c>
      <c r="H1325">
        <f>IF($A1325="","",IF($D1325="V01",Cadrage!$C$23,IF($D1325="V02",Cadrage!$D$23,Cadrage!$E$23)))</f>
        <v/>
      </c>
      <c r="I1325">
        <f>IF($A1325="","",IF($D1325="V01",Cadrage!$C$31,IF($D1325="V02",Cadrage!$D$31,Cadrage!$E$31)))</f>
        <v/>
      </c>
      <c r="J1325">
        <f>IF($A1325="","",IF($D1325="V01",Cadrage!$C$32,IF($D1325="V02",Cadrage!$D$32,Cadrage!$E$32)))</f>
        <v/>
      </c>
      <c r="K1325">
        <f>IF($A1325="","",IF($D1325="V01",Cadrage!$C$33,IF($D1325="V02",Cadrage!$D$33,Cadrage!$E$33)))</f>
        <v/>
      </c>
      <c r="L1325">
        <f>IF($A1325="","",IF($D1325="V01",Cadrage!$C$34,IF($D1325="V02",Cadrage!$D$34,Cadrage!$E$34)))</f>
        <v/>
      </c>
      <c r="M1325">
        <f>IF($A1325="","",IF($D1325="V01",Cadrage!$C$35,IF($D1325="V02",Cadrage!$D$35,Cadrage!$E$35)))</f>
        <v/>
      </c>
      <c r="N1325">
        <f>IF($A1325="","",IF($D1325="V01",$R$2,IF($D1325="V02",$R$3,$R$4)))</f>
        <v/>
      </c>
      <c r="O1325">
        <f>IF($A1325="","",IF(OR($B1325="7062",$B1325="706",$B1325="708"),$N1325,IF($B1325="6231",1+$G1325,IF($B1325="6236",1+$H1325,IF(OR($B1325="621",$B1325="604",$B1325="6063"),$N1325*(1-$L1325),IF(OR($B1325="6411",$B1325="6413",$B1325="6414",$B1325="645"),(1+$J1325)*(1+$K1325),IF(OR($B1325="613",$B1325="615",$B1325="616",$B1325="6226",$B1325="625",$B1325="626",$B1325="6281"),(1+$I1325)*(1-$L1325)*(1+$M1325),IF(OR($B1325="6331",$B1325="63511",$B1325="6333"),(1+$I1325)*(1-$L1325),IF($B1325="6811",1+$I1325,1)))))))))</f>
        <v/>
      </c>
      <c r="P1325">
        <f>IF($A1325="","",IF($E1325=1,$F1325*$O1325,PNL!G1325))</f>
        <v/>
      </c>
      <c r="T1325">
        <f>IF($A1325="","",IF($E1325=1,IF(OR($B1325="7062",$B1325="706",$B1325="708"),$P1325,IF(AND(LEFT($B1325,1)="6",$B1325&lt;&gt;"6811"),-$P1325,0)),0))</f>
        <v/>
      </c>
    </row>
    <row r="1326">
      <c r="A1326">
        <f>IF(PNL!A1326="","",PNL!A1326)</f>
        <v/>
      </c>
      <c r="B1326">
        <f>IF(PNL!B1326="","",PNL!B1326)</f>
        <v/>
      </c>
      <c r="C1326">
        <f>IF(PNL!C1326="","",PNL!C1326)</f>
        <v/>
      </c>
      <c r="D1326">
        <f>IF(PNL!D1326="","",PNL!D1326)</f>
        <v/>
      </c>
      <c r="E1326">
        <f>IF($A1326="","",IF(AND($C1326="2027",OR($D1326="V01",$D1326="V02",$D1326="V03")),1,0))</f>
        <v/>
      </c>
      <c r="F1326">
        <f>IF($A1326="","",IF($E1326=1,SUMIFS(Comptabilité!$F$1:$F$675,Comptabilité!$A$1:$A$675,$A1326,Comptabilité!$B$1:$B$675,$B1326,Comptabilité!$C$1:$C$675,"2026"),0))</f>
        <v/>
      </c>
      <c r="G1326">
        <f>IF($A1326="","",IF($D1326="V01",Cadrage!$C$22,IF($D1326="V02",Cadrage!$D$22,Cadrage!$E$22)))</f>
        <v/>
      </c>
      <c r="H1326">
        <f>IF($A1326="","",IF($D1326="V01",Cadrage!$C$23,IF($D1326="V02",Cadrage!$D$23,Cadrage!$E$23)))</f>
        <v/>
      </c>
      <c r="I1326">
        <f>IF($A1326="","",IF($D1326="V01",Cadrage!$C$31,IF($D1326="V02",Cadrage!$D$31,Cadrage!$E$31)))</f>
        <v/>
      </c>
      <c r="J1326">
        <f>IF($A1326="","",IF($D1326="V01",Cadrage!$C$32,IF($D1326="V02",Cadrage!$D$32,Cadrage!$E$32)))</f>
        <v/>
      </c>
      <c r="K1326">
        <f>IF($A1326="","",IF($D1326="V01",Cadrage!$C$33,IF($D1326="V02",Cadrage!$D$33,Cadrage!$E$33)))</f>
        <v/>
      </c>
      <c r="L1326">
        <f>IF($A1326="","",IF($D1326="V01",Cadrage!$C$34,IF($D1326="V02",Cadrage!$D$34,Cadrage!$E$34)))</f>
        <v/>
      </c>
      <c r="M1326">
        <f>IF($A1326="","",IF($D1326="V01",Cadrage!$C$35,IF($D1326="V02",Cadrage!$D$35,Cadrage!$E$35)))</f>
        <v/>
      </c>
      <c r="N1326">
        <f>IF($A1326="","",IF($D1326="V01",$R$2,IF($D1326="V02",$R$3,$R$4)))</f>
        <v/>
      </c>
      <c r="O1326">
        <f>IF($A1326="","",IF(OR($B1326="7062",$B1326="706",$B1326="708"),$N1326,IF($B1326="6231",1+$G1326,IF($B1326="6236",1+$H1326,IF(OR($B1326="621",$B1326="604",$B1326="6063"),$N1326*(1-$L1326),IF(OR($B1326="6411",$B1326="6413",$B1326="6414",$B1326="645"),(1+$J1326)*(1+$K1326),IF(OR($B1326="613",$B1326="615",$B1326="616",$B1326="6226",$B1326="625",$B1326="626",$B1326="6281"),(1+$I1326)*(1-$L1326)*(1+$M1326),IF(OR($B1326="6331",$B1326="63511",$B1326="6333"),(1+$I1326)*(1-$L1326),IF($B1326="6811",1+$I1326,1)))))))))</f>
        <v/>
      </c>
      <c r="P1326">
        <f>IF($A1326="","",IF($E1326=1,$F1326*$O1326,PNL!G1326))</f>
        <v/>
      </c>
      <c r="T1326">
        <f>IF($A1326="","",IF($E1326=1,IF(OR($B1326="7062",$B1326="706",$B1326="708"),$P1326,IF(AND(LEFT($B1326,1)="6",$B1326&lt;&gt;"6811"),-$P1326,0)),0))</f>
        <v/>
      </c>
    </row>
    <row r="1327">
      <c r="A1327">
        <f>IF(PNL!A1327="","",PNL!A1327)</f>
        <v/>
      </c>
      <c r="B1327">
        <f>IF(PNL!B1327="","",PNL!B1327)</f>
        <v/>
      </c>
      <c r="C1327">
        <f>IF(PNL!C1327="","",PNL!C1327)</f>
        <v/>
      </c>
      <c r="D1327">
        <f>IF(PNL!D1327="","",PNL!D1327)</f>
        <v/>
      </c>
      <c r="E1327">
        <f>IF($A1327="","",IF(AND($C1327="2027",OR($D1327="V01",$D1327="V02",$D1327="V03")),1,0))</f>
        <v/>
      </c>
      <c r="F1327">
        <f>IF($A1327="","",IF($E1327=1,SUMIFS(Comptabilité!$F$1:$F$675,Comptabilité!$A$1:$A$675,$A1327,Comptabilité!$B$1:$B$675,$B1327,Comptabilité!$C$1:$C$675,"2026"),0))</f>
        <v/>
      </c>
      <c r="G1327">
        <f>IF($A1327="","",IF($D1327="V01",Cadrage!$C$22,IF($D1327="V02",Cadrage!$D$22,Cadrage!$E$22)))</f>
        <v/>
      </c>
      <c r="H1327">
        <f>IF($A1327="","",IF($D1327="V01",Cadrage!$C$23,IF($D1327="V02",Cadrage!$D$23,Cadrage!$E$23)))</f>
        <v/>
      </c>
      <c r="I1327">
        <f>IF($A1327="","",IF($D1327="V01",Cadrage!$C$31,IF($D1327="V02",Cadrage!$D$31,Cadrage!$E$31)))</f>
        <v/>
      </c>
      <c r="J1327">
        <f>IF($A1327="","",IF($D1327="V01",Cadrage!$C$32,IF($D1327="V02",Cadrage!$D$32,Cadrage!$E$32)))</f>
        <v/>
      </c>
      <c r="K1327">
        <f>IF($A1327="","",IF($D1327="V01",Cadrage!$C$33,IF($D1327="V02",Cadrage!$D$33,Cadrage!$E$33)))</f>
        <v/>
      </c>
      <c r="L1327">
        <f>IF($A1327="","",IF($D1327="V01",Cadrage!$C$34,IF($D1327="V02",Cadrage!$D$34,Cadrage!$E$34)))</f>
        <v/>
      </c>
      <c r="M1327">
        <f>IF($A1327="","",IF($D1327="V01",Cadrage!$C$35,IF($D1327="V02",Cadrage!$D$35,Cadrage!$E$35)))</f>
        <v/>
      </c>
      <c r="N1327">
        <f>IF($A1327="","",IF($D1327="V01",$R$2,IF($D1327="V02",$R$3,$R$4)))</f>
        <v/>
      </c>
      <c r="O1327">
        <f>IF($A1327="","",IF(OR($B1327="7062",$B1327="706",$B1327="708"),$N1327,IF($B1327="6231",1+$G1327,IF($B1327="6236",1+$H1327,IF(OR($B1327="621",$B1327="604",$B1327="6063"),$N1327*(1-$L1327),IF(OR($B1327="6411",$B1327="6413",$B1327="6414",$B1327="645"),(1+$J1327)*(1+$K1327),IF(OR($B1327="613",$B1327="615",$B1327="616",$B1327="6226",$B1327="625",$B1327="626",$B1327="6281"),(1+$I1327)*(1-$L1327)*(1+$M1327),IF(OR($B1327="6331",$B1327="63511",$B1327="6333"),(1+$I1327)*(1-$L1327),IF($B1327="6811",1+$I1327,1)))))))))</f>
        <v/>
      </c>
      <c r="P1327">
        <f>IF($A1327="","",IF($E1327=1,$F1327*$O1327,PNL!G1327))</f>
        <v/>
      </c>
      <c r="T1327">
        <f>IF($A1327="","",IF($E1327=1,IF(OR($B1327="7062",$B1327="706",$B1327="708"),$P1327,IF(AND(LEFT($B1327,1)="6",$B1327&lt;&gt;"6811"),-$P1327,0)),0))</f>
        <v/>
      </c>
    </row>
    <row r="1328">
      <c r="A1328">
        <f>IF(PNL!A1328="","",PNL!A1328)</f>
        <v/>
      </c>
      <c r="B1328">
        <f>IF(PNL!B1328="","",PNL!B1328)</f>
        <v/>
      </c>
      <c r="C1328">
        <f>IF(PNL!C1328="","",PNL!C1328)</f>
        <v/>
      </c>
      <c r="D1328">
        <f>IF(PNL!D1328="","",PNL!D1328)</f>
        <v/>
      </c>
      <c r="E1328">
        <f>IF($A1328="","",IF(AND($C1328="2027",OR($D1328="V01",$D1328="V02",$D1328="V03")),1,0))</f>
        <v/>
      </c>
      <c r="F1328">
        <f>IF($A1328="","",IF($E1328=1,SUMIFS(Comptabilité!$F$1:$F$675,Comptabilité!$A$1:$A$675,$A1328,Comptabilité!$B$1:$B$675,$B1328,Comptabilité!$C$1:$C$675,"2026"),0))</f>
        <v/>
      </c>
      <c r="G1328">
        <f>IF($A1328="","",IF($D1328="V01",Cadrage!$C$22,IF($D1328="V02",Cadrage!$D$22,Cadrage!$E$22)))</f>
        <v/>
      </c>
      <c r="H1328">
        <f>IF($A1328="","",IF($D1328="V01",Cadrage!$C$23,IF($D1328="V02",Cadrage!$D$23,Cadrage!$E$23)))</f>
        <v/>
      </c>
      <c r="I1328">
        <f>IF($A1328="","",IF($D1328="V01",Cadrage!$C$31,IF($D1328="V02",Cadrage!$D$31,Cadrage!$E$31)))</f>
        <v/>
      </c>
      <c r="J1328">
        <f>IF($A1328="","",IF($D1328="V01",Cadrage!$C$32,IF($D1328="V02",Cadrage!$D$32,Cadrage!$E$32)))</f>
        <v/>
      </c>
      <c r="K1328">
        <f>IF($A1328="","",IF($D1328="V01",Cadrage!$C$33,IF($D1328="V02",Cadrage!$D$33,Cadrage!$E$33)))</f>
        <v/>
      </c>
      <c r="L1328">
        <f>IF($A1328="","",IF($D1328="V01",Cadrage!$C$34,IF($D1328="V02",Cadrage!$D$34,Cadrage!$E$34)))</f>
        <v/>
      </c>
      <c r="M1328">
        <f>IF($A1328="","",IF($D1328="V01",Cadrage!$C$35,IF($D1328="V02",Cadrage!$D$35,Cadrage!$E$35)))</f>
        <v/>
      </c>
      <c r="N1328">
        <f>IF($A1328="","",IF($D1328="V01",$R$2,IF($D1328="V02",$R$3,$R$4)))</f>
        <v/>
      </c>
      <c r="O1328">
        <f>IF($A1328="","",IF(OR($B1328="7062",$B1328="706",$B1328="708"),$N1328,IF($B1328="6231",1+$G1328,IF($B1328="6236",1+$H1328,IF(OR($B1328="621",$B1328="604",$B1328="6063"),$N1328*(1-$L1328),IF(OR($B1328="6411",$B1328="6413",$B1328="6414",$B1328="645"),(1+$J1328)*(1+$K1328),IF(OR($B1328="613",$B1328="615",$B1328="616",$B1328="6226",$B1328="625",$B1328="626",$B1328="6281"),(1+$I1328)*(1-$L1328)*(1+$M1328),IF(OR($B1328="6331",$B1328="63511",$B1328="6333"),(1+$I1328)*(1-$L1328),IF($B1328="6811",1+$I1328,1)))))))))</f>
        <v/>
      </c>
      <c r="P1328">
        <f>IF($A1328="","",IF($E1328=1,$F1328*$O1328,PNL!G1328))</f>
        <v/>
      </c>
      <c r="T1328">
        <f>IF($A1328="","",IF($E1328=1,IF(OR($B1328="7062",$B1328="706",$B1328="708"),$P1328,IF(AND(LEFT($B1328,1)="6",$B1328&lt;&gt;"6811"),-$P1328,0)),0))</f>
        <v/>
      </c>
    </row>
    <row r="1329">
      <c r="A1329">
        <f>IF(PNL!A1329="","",PNL!A1329)</f>
        <v/>
      </c>
      <c r="B1329">
        <f>IF(PNL!B1329="","",PNL!B1329)</f>
        <v/>
      </c>
      <c r="C1329">
        <f>IF(PNL!C1329="","",PNL!C1329)</f>
        <v/>
      </c>
      <c r="D1329">
        <f>IF(PNL!D1329="","",PNL!D1329)</f>
        <v/>
      </c>
      <c r="E1329">
        <f>IF($A1329="","",IF(AND($C1329="2027",OR($D1329="V01",$D1329="V02",$D1329="V03")),1,0))</f>
        <v/>
      </c>
      <c r="F1329">
        <f>IF($A1329="","",IF($E1329=1,SUMIFS(Comptabilité!$F$1:$F$675,Comptabilité!$A$1:$A$675,$A1329,Comptabilité!$B$1:$B$675,$B1329,Comptabilité!$C$1:$C$675,"2026"),0))</f>
        <v/>
      </c>
      <c r="G1329">
        <f>IF($A1329="","",IF($D1329="V01",Cadrage!$C$22,IF($D1329="V02",Cadrage!$D$22,Cadrage!$E$22)))</f>
        <v/>
      </c>
      <c r="H1329">
        <f>IF($A1329="","",IF($D1329="V01",Cadrage!$C$23,IF($D1329="V02",Cadrage!$D$23,Cadrage!$E$23)))</f>
        <v/>
      </c>
      <c r="I1329">
        <f>IF($A1329="","",IF($D1329="V01",Cadrage!$C$31,IF($D1329="V02",Cadrage!$D$31,Cadrage!$E$31)))</f>
        <v/>
      </c>
      <c r="J1329">
        <f>IF($A1329="","",IF($D1329="V01",Cadrage!$C$32,IF($D1329="V02",Cadrage!$D$32,Cadrage!$E$32)))</f>
        <v/>
      </c>
      <c r="K1329">
        <f>IF($A1329="","",IF($D1329="V01",Cadrage!$C$33,IF($D1329="V02",Cadrage!$D$33,Cadrage!$E$33)))</f>
        <v/>
      </c>
      <c r="L1329">
        <f>IF($A1329="","",IF($D1329="V01",Cadrage!$C$34,IF($D1329="V02",Cadrage!$D$34,Cadrage!$E$34)))</f>
        <v/>
      </c>
      <c r="M1329">
        <f>IF($A1329="","",IF($D1329="V01",Cadrage!$C$35,IF($D1329="V02",Cadrage!$D$35,Cadrage!$E$35)))</f>
        <v/>
      </c>
      <c r="N1329">
        <f>IF($A1329="","",IF($D1329="V01",$R$2,IF($D1329="V02",$R$3,$R$4)))</f>
        <v/>
      </c>
      <c r="O1329">
        <f>IF($A1329="","",IF(OR($B1329="7062",$B1329="706",$B1329="708"),$N1329,IF($B1329="6231",1+$G1329,IF($B1329="6236",1+$H1329,IF(OR($B1329="621",$B1329="604",$B1329="6063"),$N1329*(1-$L1329),IF(OR($B1329="6411",$B1329="6413",$B1329="6414",$B1329="645"),(1+$J1329)*(1+$K1329),IF(OR($B1329="613",$B1329="615",$B1329="616",$B1329="6226",$B1329="625",$B1329="626",$B1329="6281"),(1+$I1329)*(1-$L1329)*(1+$M1329),IF(OR($B1329="6331",$B1329="63511",$B1329="6333"),(1+$I1329)*(1-$L1329),IF($B1329="6811",1+$I1329,1)))))))))</f>
        <v/>
      </c>
      <c r="P1329">
        <f>IF($A1329="","",IF($E1329=1,$F1329*$O1329,PNL!G1329))</f>
        <v/>
      </c>
      <c r="T1329">
        <f>IF($A1329="","",IF($E1329=1,IF(OR($B1329="7062",$B1329="706",$B1329="708"),$P1329,IF(AND(LEFT($B1329,1)="6",$B1329&lt;&gt;"6811"),-$P1329,0)),0))</f>
        <v/>
      </c>
    </row>
    <row r="1330">
      <c r="A1330">
        <f>IF(PNL!A1330="","",PNL!A1330)</f>
        <v/>
      </c>
      <c r="B1330">
        <f>IF(PNL!B1330="","",PNL!B1330)</f>
        <v/>
      </c>
      <c r="C1330">
        <f>IF(PNL!C1330="","",PNL!C1330)</f>
        <v/>
      </c>
      <c r="D1330">
        <f>IF(PNL!D1330="","",PNL!D1330)</f>
        <v/>
      </c>
      <c r="E1330">
        <f>IF($A1330="","",IF(AND($C1330="2027",OR($D1330="V01",$D1330="V02",$D1330="V03")),1,0))</f>
        <v/>
      </c>
      <c r="F1330">
        <f>IF($A1330="","",IF($E1330=1,SUMIFS(Comptabilité!$F$1:$F$675,Comptabilité!$A$1:$A$675,$A1330,Comptabilité!$B$1:$B$675,$B1330,Comptabilité!$C$1:$C$675,"2026"),0))</f>
        <v/>
      </c>
      <c r="G1330">
        <f>IF($A1330="","",IF($D1330="V01",Cadrage!$C$22,IF($D1330="V02",Cadrage!$D$22,Cadrage!$E$22)))</f>
        <v/>
      </c>
      <c r="H1330">
        <f>IF($A1330="","",IF($D1330="V01",Cadrage!$C$23,IF($D1330="V02",Cadrage!$D$23,Cadrage!$E$23)))</f>
        <v/>
      </c>
      <c r="I1330">
        <f>IF($A1330="","",IF($D1330="V01",Cadrage!$C$31,IF($D1330="V02",Cadrage!$D$31,Cadrage!$E$31)))</f>
        <v/>
      </c>
      <c r="J1330">
        <f>IF($A1330="","",IF($D1330="V01",Cadrage!$C$32,IF($D1330="V02",Cadrage!$D$32,Cadrage!$E$32)))</f>
        <v/>
      </c>
      <c r="K1330">
        <f>IF($A1330="","",IF($D1330="V01",Cadrage!$C$33,IF($D1330="V02",Cadrage!$D$33,Cadrage!$E$33)))</f>
        <v/>
      </c>
      <c r="L1330">
        <f>IF($A1330="","",IF($D1330="V01",Cadrage!$C$34,IF($D1330="V02",Cadrage!$D$34,Cadrage!$E$34)))</f>
        <v/>
      </c>
      <c r="M1330">
        <f>IF($A1330="","",IF($D1330="V01",Cadrage!$C$35,IF($D1330="V02",Cadrage!$D$35,Cadrage!$E$35)))</f>
        <v/>
      </c>
      <c r="N1330">
        <f>IF($A1330="","",IF($D1330="V01",$R$2,IF($D1330="V02",$R$3,$R$4)))</f>
        <v/>
      </c>
      <c r="O1330">
        <f>IF($A1330="","",IF(OR($B1330="7062",$B1330="706",$B1330="708"),$N1330,IF($B1330="6231",1+$G1330,IF($B1330="6236",1+$H1330,IF(OR($B1330="621",$B1330="604",$B1330="6063"),$N1330*(1-$L1330),IF(OR($B1330="6411",$B1330="6413",$B1330="6414",$B1330="645"),(1+$J1330)*(1+$K1330),IF(OR($B1330="613",$B1330="615",$B1330="616",$B1330="6226",$B1330="625",$B1330="626",$B1330="6281"),(1+$I1330)*(1-$L1330)*(1+$M1330),IF(OR($B1330="6331",$B1330="63511",$B1330="6333"),(1+$I1330)*(1-$L1330),IF($B1330="6811",1+$I1330,1)))))))))</f>
        <v/>
      </c>
      <c r="P1330">
        <f>IF($A1330="","",IF($E1330=1,$F1330*$O1330,PNL!G1330))</f>
        <v/>
      </c>
      <c r="T1330">
        <f>IF($A1330="","",IF($E1330=1,IF(OR($B1330="7062",$B1330="706",$B1330="708"),$P1330,IF(AND(LEFT($B1330,1)="6",$B1330&lt;&gt;"6811"),-$P1330,0)),0))</f>
        <v/>
      </c>
    </row>
    <row r="1331">
      <c r="A1331">
        <f>IF(PNL!A1331="","",PNL!A1331)</f>
        <v/>
      </c>
      <c r="B1331">
        <f>IF(PNL!B1331="","",PNL!B1331)</f>
        <v/>
      </c>
      <c r="C1331">
        <f>IF(PNL!C1331="","",PNL!C1331)</f>
        <v/>
      </c>
      <c r="D1331">
        <f>IF(PNL!D1331="","",PNL!D1331)</f>
        <v/>
      </c>
      <c r="E1331">
        <f>IF($A1331="","",IF(AND($C1331="2027",OR($D1331="V01",$D1331="V02",$D1331="V03")),1,0))</f>
        <v/>
      </c>
      <c r="F1331">
        <f>IF($A1331="","",IF($E1331=1,SUMIFS(Comptabilité!$F$1:$F$675,Comptabilité!$A$1:$A$675,$A1331,Comptabilité!$B$1:$B$675,$B1331,Comptabilité!$C$1:$C$675,"2026"),0))</f>
        <v/>
      </c>
      <c r="G1331">
        <f>IF($A1331="","",IF($D1331="V01",Cadrage!$C$22,IF($D1331="V02",Cadrage!$D$22,Cadrage!$E$22)))</f>
        <v/>
      </c>
      <c r="H1331">
        <f>IF($A1331="","",IF($D1331="V01",Cadrage!$C$23,IF($D1331="V02",Cadrage!$D$23,Cadrage!$E$23)))</f>
        <v/>
      </c>
      <c r="I1331">
        <f>IF($A1331="","",IF($D1331="V01",Cadrage!$C$31,IF($D1331="V02",Cadrage!$D$31,Cadrage!$E$31)))</f>
        <v/>
      </c>
      <c r="J1331">
        <f>IF($A1331="","",IF($D1331="V01",Cadrage!$C$32,IF($D1331="V02",Cadrage!$D$32,Cadrage!$E$32)))</f>
        <v/>
      </c>
      <c r="K1331">
        <f>IF($A1331="","",IF($D1331="V01",Cadrage!$C$33,IF($D1331="V02",Cadrage!$D$33,Cadrage!$E$33)))</f>
        <v/>
      </c>
      <c r="L1331">
        <f>IF($A1331="","",IF($D1331="V01",Cadrage!$C$34,IF($D1331="V02",Cadrage!$D$34,Cadrage!$E$34)))</f>
        <v/>
      </c>
      <c r="M1331">
        <f>IF($A1331="","",IF($D1331="V01",Cadrage!$C$35,IF($D1331="V02",Cadrage!$D$35,Cadrage!$E$35)))</f>
        <v/>
      </c>
      <c r="N1331">
        <f>IF($A1331="","",IF($D1331="V01",$R$2,IF($D1331="V02",$R$3,$R$4)))</f>
        <v/>
      </c>
      <c r="O1331">
        <f>IF($A1331="","",IF(OR($B1331="7062",$B1331="706",$B1331="708"),$N1331,IF($B1331="6231",1+$G1331,IF($B1331="6236",1+$H1331,IF(OR($B1331="621",$B1331="604",$B1331="6063"),$N1331*(1-$L1331),IF(OR($B1331="6411",$B1331="6413",$B1331="6414",$B1331="645"),(1+$J1331)*(1+$K1331),IF(OR($B1331="613",$B1331="615",$B1331="616",$B1331="6226",$B1331="625",$B1331="626",$B1331="6281"),(1+$I1331)*(1-$L1331)*(1+$M1331),IF(OR($B1331="6331",$B1331="63511",$B1331="6333"),(1+$I1331)*(1-$L1331),IF($B1331="6811",1+$I1331,1)))))))))</f>
        <v/>
      </c>
      <c r="P1331">
        <f>IF($A1331="","",IF($E1331=1,$F1331*$O1331,PNL!G1331))</f>
        <v/>
      </c>
      <c r="T1331">
        <f>IF($A1331="","",IF($E1331=1,IF(OR($B1331="7062",$B1331="706",$B1331="708"),$P1331,IF(AND(LEFT($B1331,1)="6",$B1331&lt;&gt;"6811"),-$P1331,0)),0))</f>
        <v/>
      </c>
    </row>
    <row r="1332">
      <c r="A1332">
        <f>IF(PNL!A1332="","",PNL!A1332)</f>
        <v/>
      </c>
      <c r="B1332">
        <f>IF(PNL!B1332="","",PNL!B1332)</f>
        <v/>
      </c>
      <c r="C1332">
        <f>IF(PNL!C1332="","",PNL!C1332)</f>
        <v/>
      </c>
      <c r="D1332">
        <f>IF(PNL!D1332="","",PNL!D1332)</f>
        <v/>
      </c>
      <c r="E1332">
        <f>IF($A1332="","",IF(AND($C1332="2027",OR($D1332="V01",$D1332="V02",$D1332="V03")),1,0))</f>
        <v/>
      </c>
      <c r="F1332">
        <f>IF($A1332="","",IF($E1332=1,SUMIFS(Comptabilité!$F$1:$F$675,Comptabilité!$A$1:$A$675,$A1332,Comptabilité!$B$1:$B$675,$B1332,Comptabilité!$C$1:$C$675,"2026"),0))</f>
        <v/>
      </c>
      <c r="G1332">
        <f>IF($A1332="","",IF($D1332="V01",Cadrage!$C$22,IF($D1332="V02",Cadrage!$D$22,Cadrage!$E$22)))</f>
        <v/>
      </c>
      <c r="H1332">
        <f>IF($A1332="","",IF($D1332="V01",Cadrage!$C$23,IF($D1332="V02",Cadrage!$D$23,Cadrage!$E$23)))</f>
        <v/>
      </c>
      <c r="I1332">
        <f>IF($A1332="","",IF($D1332="V01",Cadrage!$C$31,IF($D1332="V02",Cadrage!$D$31,Cadrage!$E$31)))</f>
        <v/>
      </c>
      <c r="J1332">
        <f>IF($A1332="","",IF($D1332="V01",Cadrage!$C$32,IF($D1332="V02",Cadrage!$D$32,Cadrage!$E$32)))</f>
        <v/>
      </c>
      <c r="K1332">
        <f>IF($A1332="","",IF($D1332="V01",Cadrage!$C$33,IF($D1332="V02",Cadrage!$D$33,Cadrage!$E$33)))</f>
        <v/>
      </c>
      <c r="L1332">
        <f>IF($A1332="","",IF($D1332="V01",Cadrage!$C$34,IF($D1332="V02",Cadrage!$D$34,Cadrage!$E$34)))</f>
        <v/>
      </c>
      <c r="M1332">
        <f>IF($A1332="","",IF($D1332="V01",Cadrage!$C$35,IF($D1332="V02",Cadrage!$D$35,Cadrage!$E$35)))</f>
        <v/>
      </c>
      <c r="N1332">
        <f>IF($A1332="","",IF($D1332="V01",$R$2,IF($D1332="V02",$R$3,$R$4)))</f>
        <v/>
      </c>
      <c r="O1332">
        <f>IF($A1332="","",IF(OR($B1332="7062",$B1332="706",$B1332="708"),$N1332,IF($B1332="6231",1+$G1332,IF($B1332="6236",1+$H1332,IF(OR($B1332="621",$B1332="604",$B1332="6063"),$N1332*(1-$L1332),IF(OR($B1332="6411",$B1332="6413",$B1332="6414",$B1332="645"),(1+$J1332)*(1+$K1332),IF(OR($B1332="613",$B1332="615",$B1332="616",$B1332="6226",$B1332="625",$B1332="626",$B1332="6281"),(1+$I1332)*(1-$L1332)*(1+$M1332),IF(OR($B1332="6331",$B1332="63511",$B1332="6333"),(1+$I1332)*(1-$L1332),IF($B1332="6811",1+$I1332,1)))))))))</f>
        <v/>
      </c>
      <c r="P1332">
        <f>IF($A1332="","",IF($E1332=1,$F1332*$O1332,PNL!G1332))</f>
        <v/>
      </c>
      <c r="T1332">
        <f>IF($A1332="","",IF($E1332=1,IF(OR($B1332="7062",$B1332="706",$B1332="708"),$P1332,IF(AND(LEFT($B1332,1)="6",$B1332&lt;&gt;"6811"),-$P1332,0)),0))</f>
        <v/>
      </c>
    </row>
    <row r="1333">
      <c r="A1333">
        <f>IF(PNL!A1333="","",PNL!A1333)</f>
        <v/>
      </c>
      <c r="B1333">
        <f>IF(PNL!B1333="","",PNL!B1333)</f>
        <v/>
      </c>
      <c r="C1333">
        <f>IF(PNL!C1333="","",PNL!C1333)</f>
        <v/>
      </c>
      <c r="D1333">
        <f>IF(PNL!D1333="","",PNL!D1333)</f>
        <v/>
      </c>
      <c r="E1333">
        <f>IF($A1333="","",IF(AND($C1333="2027",OR($D1333="V01",$D1333="V02",$D1333="V03")),1,0))</f>
        <v/>
      </c>
      <c r="F1333">
        <f>IF($A1333="","",IF($E1333=1,SUMIFS(Comptabilité!$F$1:$F$675,Comptabilité!$A$1:$A$675,$A1333,Comptabilité!$B$1:$B$675,$B1333,Comptabilité!$C$1:$C$675,"2026"),0))</f>
        <v/>
      </c>
      <c r="G1333">
        <f>IF($A1333="","",IF($D1333="V01",Cadrage!$C$22,IF($D1333="V02",Cadrage!$D$22,Cadrage!$E$22)))</f>
        <v/>
      </c>
      <c r="H1333">
        <f>IF($A1333="","",IF($D1333="V01",Cadrage!$C$23,IF($D1333="V02",Cadrage!$D$23,Cadrage!$E$23)))</f>
        <v/>
      </c>
      <c r="I1333">
        <f>IF($A1333="","",IF($D1333="V01",Cadrage!$C$31,IF($D1333="V02",Cadrage!$D$31,Cadrage!$E$31)))</f>
        <v/>
      </c>
      <c r="J1333">
        <f>IF($A1333="","",IF($D1333="V01",Cadrage!$C$32,IF($D1333="V02",Cadrage!$D$32,Cadrage!$E$32)))</f>
        <v/>
      </c>
      <c r="K1333">
        <f>IF($A1333="","",IF($D1333="V01",Cadrage!$C$33,IF($D1333="V02",Cadrage!$D$33,Cadrage!$E$33)))</f>
        <v/>
      </c>
      <c r="L1333">
        <f>IF($A1333="","",IF($D1333="V01",Cadrage!$C$34,IF($D1333="V02",Cadrage!$D$34,Cadrage!$E$34)))</f>
        <v/>
      </c>
      <c r="M1333">
        <f>IF($A1333="","",IF($D1333="V01",Cadrage!$C$35,IF($D1333="V02",Cadrage!$D$35,Cadrage!$E$35)))</f>
        <v/>
      </c>
      <c r="N1333">
        <f>IF($A1333="","",IF($D1333="V01",$R$2,IF($D1333="V02",$R$3,$R$4)))</f>
        <v/>
      </c>
      <c r="O1333">
        <f>IF($A1333="","",IF(OR($B1333="7062",$B1333="706",$B1333="708"),$N1333,IF($B1333="6231",1+$G1333,IF($B1333="6236",1+$H1333,IF(OR($B1333="621",$B1333="604",$B1333="6063"),$N1333*(1-$L1333),IF(OR($B1333="6411",$B1333="6413",$B1333="6414",$B1333="645"),(1+$J1333)*(1+$K1333),IF(OR($B1333="613",$B1333="615",$B1333="616",$B1333="6226",$B1333="625",$B1333="626",$B1333="6281"),(1+$I1333)*(1-$L1333)*(1+$M1333),IF(OR($B1333="6331",$B1333="63511",$B1333="6333"),(1+$I1333)*(1-$L1333),IF($B1333="6811",1+$I1333,1)))))))))</f>
        <v/>
      </c>
      <c r="P1333">
        <f>IF($A1333="","",IF($E1333=1,$F1333*$O1333,PNL!G1333))</f>
        <v/>
      </c>
      <c r="T1333">
        <f>IF($A1333="","",IF($E1333=1,IF(OR($B1333="7062",$B1333="706",$B1333="708"),$P1333,IF(AND(LEFT($B1333,1)="6",$B1333&lt;&gt;"6811"),-$P1333,0)),0))</f>
        <v/>
      </c>
    </row>
    <row r="1334">
      <c r="A1334">
        <f>IF(PNL!A1334="","",PNL!A1334)</f>
        <v/>
      </c>
      <c r="B1334">
        <f>IF(PNL!B1334="","",PNL!B1334)</f>
        <v/>
      </c>
      <c r="C1334">
        <f>IF(PNL!C1334="","",PNL!C1334)</f>
        <v/>
      </c>
      <c r="D1334">
        <f>IF(PNL!D1334="","",PNL!D1334)</f>
        <v/>
      </c>
      <c r="E1334">
        <f>IF($A1334="","",IF(AND($C1334="2027",OR($D1334="V01",$D1334="V02",$D1334="V03")),1,0))</f>
        <v/>
      </c>
      <c r="F1334">
        <f>IF($A1334="","",IF($E1334=1,SUMIFS(Comptabilité!$F$1:$F$675,Comptabilité!$A$1:$A$675,$A1334,Comptabilité!$B$1:$B$675,$B1334,Comptabilité!$C$1:$C$675,"2026"),0))</f>
        <v/>
      </c>
      <c r="G1334">
        <f>IF($A1334="","",IF($D1334="V01",Cadrage!$C$22,IF($D1334="V02",Cadrage!$D$22,Cadrage!$E$22)))</f>
        <v/>
      </c>
      <c r="H1334">
        <f>IF($A1334="","",IF($D1334="V01",Cadrage!$C$23,IF($D1334="V02",Cadrage!$D$23,Cadrage!$E$23)))</f>
        <v/>
      </c>
      <c r="I1334">
        <f>IF($A1334="","",IF($D1334="V01",Cadrage!$C$31,IF($D1334="V02",Cadrage!$D$31,Cadrage!$E$31)))</f>
        <v/>
      </c>
      <c r="J1334">
        <f>IF($A1334="","",IF($D1334="V01",Cadrage!$C$32,IF($D1334="V02",Cadrage!$D$32,Cadrage!$E$32)))</f>
        <v/>
      </c>
      <c r="K1334">
        <f>IF($A1334="","",IF($D1334="V01",Cadrage!$C$33,IF($D1334="V02",Cadrage!$D$33,Cadrage!$E$33)))</f>
        <v/>
      </c>
      <c r="L1334">
        <f>IF($A1334="","",IF($D1334="V01",Cadrage!$C$34,IF($D1334="V02",Cadrage!$D$34,Cadrage!$E$34)))</f>
        <v/>
      </c>
      <c r="M1334">
        <f>IF($A1334="","",IF($D1334="V01",Cadrage!$C$35,IF($D1334="V02",Cadrage!$D$35,Cadrage!$E$35)))</f>
        <v/>
      </c>
      <c r="N1334">
        <f>IF($A1334="","",IF($D1334="V01",$R$2,IF($D1334="V02",$R$3,$R$4)))</f>
        <v/>
      </c>
      <c r="O1334">
        <f>IF($A1334="","",IF(OR($B1334="7062",$B1334="706",$B1334="708"),$N1334,IF($B1334="6231",1+$G1334,IF($B1334="6236",1+$H1334,IF(OR($B1334="621",$B1334="604",$B1334="6063"),$N1334*(1-$L1334),IF(OR($B1334="6411",$B1334="6413",$B1334="6414",$B1334="645"),(1+$J1334)*(1+$K1334),IF(OR($B1334="613",$B1334="615",$B1334="616",$B1334="6226",$B1334="625",$B1334="626",$B1334="6281"),(1+$I1334)*(1-$L1334)*(1+$M1334),IF(OR($B1334="6331",$B1334="63511",$B1334="6333"),(1+$I1334)*(1-$L1334),IF($B1334="6811",1+$I1334,1)))))))))</f>
        <v/>
      </c>
      <c r="P1334">
        <f>IF($A1334="","",IF($E1334=1,$F1334*$O1334,PNL!G1334))</f>
        <v/>
      </c>
      <c r="T1334">
        <f>IF($A1334="","",IF($E1334=1,IF(OR($B1334="7062",$B1334="706",$B1334="708"),$P1334,IF(AND(LEFT($B1334,1)="6",$B1334&lt;&gt;"6811"),-$P1334,0)),0))</f>
        <v/>
      </c>
    </row>
    <row r="1335">
      <c r="A1335">
        <f>IF(PNL!A1335="","",PNL!A1335)</f>
        <v/>
      </c>
      <c r="B1335">
        <f>IF(PNL!B1335="","",PNL!B1335)</f>
        <v/>
      </c>
      <c r="C1335">
        <f>IF(PNL!C1335="","",PNL!C1335)</f>
        <v/>
      </c>
      <c r="D1335">
        <f>IF(PNL!D1335="","",PNL!D1335)</f>
        <v/>
      </c>
      <c r="E1335">
        <f>IF($A1335="","",IF(AND($C1335="2027",OR($D1335="V01",$D1335="V02",$D1335="V03")),1,0))</f>
        <v/>
      </c>
      <c r="F1335">
        <f>IF($A1335="","",IF($E1335=1,SUMIFS(Comptabilité!$F$1:$F$675,Comptabilité!$A$1:$A$675,$A1335,Comptabilité!$B$1:$B$675,$B1335,Comptabilité!$C$1:$C$675,"2026"),0))</f>
        <v/>
      </c>
      <c r="G1335">
        <f>IF($A1335="","",IF($D1335="V01",Cadrage!$C$22,IF($D1335="V02",Cadrage!$D$22,Cadrage!$E$22)))</f>
        <v/>
      </c>
      <c r="H1335">
        <f>IF($A1335="","",IF($D1335="V01",Cadrage!$C$23,IF($D1335="V02",Cadrage!$D$23,Cadrage!$E$23)))</f>
        <v/>
      </c>
      <c r="I1335">
        <f>IF($A1335="","",IF($D1335="V01",Cadrage!$C$31,IF($D1335="V02",Cadrage!$D$31,Cadrage!$E$31)))</f>
        <v/>
      </c>
      <c r="J1335">
        <f>IF($A1335="","",IF($D1335="V01",Cadrage!$C$32,IF($D1335="V02",Cadrage!$D$32,Cadrage!$E$32)))</f>
        <v/>
      </c>
      <c r="K1335">
        <f>IF($A1335="","",IF($D1335="V01",Cadrage!$C$33,IF($D1335="V02",Cadrage!$D$33,Cadrage!$E$33)))</f>
        <v/>
      </c>
      <c r="L1335">
        <f>IF($A1335="","",IF($D1335="V01",Cadrage!$C$34,IF($D1335="V02",Cadrage!$D$34,Cadrage!$E$34)))</f>
        <v/>
      </c>
      <c r="M1335">
        <f>IF($A1335="","",IF($D1335="V01",Cadrage!$C$35,IF($D1335="V02",Cadrage!$D$35,Cadrage!$E$35)))</f>
        <v/>
      </c>
      <c r="N1335">
        <f>IF($A1335="","",IF($D1335="V01",$R$2,IF($D1335="V02",$R$3,$R$4)))</f>
        <v/>
      </c>
      <c r="O1335">
        <f>IF($A1335="","",IF(OR($B1335="7062",$B1335="706",$B1335="708"),$N1335,IF($B1335="6231",1+$G1335,IF($B1335="6236",1+$H1335,IF(OR($B1335="621",$B1335="604",$B1335="6063"),$N1335*(1-$L1335),IF(OR($B1335="6411",$B1335="6413",$B1335="6414",$B1335="645"),(1+$J1335)*(1+$K1335),IF(OR($B1335="613",$B1335="615",$B1335="616",$B1335="6226",$B1335="625",$B1335="626",$B1335="6281"),(1+$I1335)*(1-$L1335)*(1+$M1335),IF(OR($B1335="6331",$B1335="63511",$B1335="6333"),(1+$I1335)*(1-$L1335),IF($B1335="6811",1+$I1335,1)))))))))</f>
        <v/>
      </c>
      <c r="P1335">
        <f>IF($A1335="","",IF($E1335=1,$F1335*$O1335,PNL!G1335))</f>
        <v/>
      </c>
      <c r="T1335">
        <f>IF($A1335="","",IF($E1335=1,IF(OR($B1335="7062",$B1335="706",$B1335="708"),$P1335,IF(AND(LEFT($B1335,1)="6",$B1335&lt;&gt;"6811"),-$P1335,0)),0))</f>
        <v/>
      </c>
    </row>
    <row r="1336">
      <c r="A1336">
        <f>IF(PNL!A1336="","",PNL!A1336)</f>
        <v/>
      </c>
      <c r="B1336">
        <f>IF(PNL!B1336="","",PNL!B1336)</f>
        <v/>
      </c>
      <c r="C1336">
        <f>IF(PNL!C1336="","",PNL!C1336)</f>
        <v/>
      </c>
      <c r="D1336">
        <f>IF(PNL!D1336="","",PNL!D1336)</f>
        <v/>
      </c>
      <c r="E1336">
        <f>IF($A1336="","",IF(AND($C1336="2027",OR($D1336="V01",$D1336="V02",$D1336="V03")),1,0))</f>
        <v/>
      </c>
      <c r="F1336">
        <f>IF($A1336="","",IF($E1336=1,SUMIFS(Comptabilité!$F$1:$F$675,Comptabilité!$A$1:$A$675,$A1336,Comptabilité!$B$1:$B$675,$B1336,Comptabilité!$C$1:$C$675,"2026"),0))</f>
        <v/>
      </c>
      <c r="G1336">
        <f>IF($A1336="","",IF($D1336="V01",Cadrage!$C$22,IF($D1336="V02",Cadrage!$D$22,Cadrage!$E$22)))</f>
        <v/>
      </c>
      <c r="H1336">
        <f>IF($A1336="","",IF($D1336="V01",Cadrage!$C$23,IF($D1336="V02",Cadrage!$D$23,Cadrage!$E$23)))</f>
        <v/>
      </c>
      <c r="I1336">
        <f>IF($A1336="","",IF($D1336="V01",Cadrage!$C$31,IF($D1336="V02",Cadrage!$D$31,Cadrage!$E$31)))</f>
        <v/>
      </c>
      <c r="J1336">
        <f>IF($A1336="","",IF($D1336="V01",Cadrage!$C$32,IF($D1336="V02",Cadrage!$D$32,Cadrage!$E$32)))</f>
        <v/>
      </c>
      <c r="K1336">
        <f>IF($A1336="","",IF($D1336="V01",Cadrage!$C$33,IF($D1336="V02",Cadrage!$D$33,Cadrage!$E$33)))</f>
        <v/>
      </c>
      <c r="L1336">
        <f>IF($A1336="","",IF($D1336="V01",Cadrage!$C$34,IF($D1336="V02",Cadrage!$D$34,Cadrage!$E$34)))</f>
        <v/>
      </c>
      <c r="M1336">
        <f>IF($A1336="","",IF($D1336="V01",Cadrage!$C$35,IF($D1336="V02",Cadrage!$D$35,Cadrage!$E$35)))</f>
        <v/>
      </c>
      <c r="N1336">
        <f>IF($A1336="","",IF($D1336="V01",$R$2,IF($D1336="V02",$R$3,$R$4)))</f>
        <v/>
      </c>
      <c r="O1336">
        <f>IF($A1336="","",IF(OR($B1336="7062",$B1336="706",$B1336="708"),$N1336,IF($B1336="6231",1+$G1336,IF($B1336="6236",1+$H1336,IF(OR($B1336="621",$B1336="604",$B1336="6063"),$N1336*(1-$L1336),IF(OR($B1336="6411",$B1336="6413",$B1336="6414",$B1336="645"),(1+$J1336)*(1+$K1336),IF(OR($B1336="613",$B1336="615",$B1336="616",$B1336="6226",$B1336="625",$B1336="626",$B1336="6281"),(1+$I1336)*(1-$L1336)*(1+$M1336),IF(OR($B1336="6331",$B1336="63511",$B1336="6333"),(1+$I1336)*(1-$L1336),IF($B1336="6811",1+$I1336,1)))))))))</f>
        <v/>
      </c>
      <c r="P1336">
        <f>IF($A1336="","",IF($E1336=1,$F1336*$O1336,PNL!G1336))</f>
        <v/>
      </c>
      <c r="T1336">
        <f>IF($A1336="","",IF($E1336=1,IF(OR($B1336="7062",$B1336="706",$B1336="708"),$P1336,IF(AND(LEFT($B1336,1)="6",$B1336&lt;&gt;"6811"),-$P1336,0)),0))</f>
        <v/>
      </c>
    </row>
    <row r="1337">
      <c r="A1337">
        <f>IF(PNL!A1337="","",PNL!A1337)</f>
        <v/>
      </c>
      <c r="B1337">
        <f>IF(PNL!B1337="","",PNL!B1337)</f>
        <v/>
      </c>
      <c r="C1337">
        <f>IF(PNL!C1337="","",PNL!C1337)</f>
        <v/>
      </c>
      <c r="D1337">
        <f>IF(PNL!D1337="","",PNL!D1337)</f>
        <v/>
      </c>
      <c r="E1337">
        <f>IF($A1337="","",IF(AND($C1337="2027",OR($D1337="V01",$D1337="V02",$D1337="V03")),1,0))</f>
        <v/>
      </c>
      <c r="F1337">
        <f>IF($A1337="","",IF($E1337=1,SUMIFS(Comptabilité!$F$1:$F$675,Comptabilité!$A$1:$A$675,$A1337,Comptabilité!$B$1:$B$675,$B1337,Comptabilité!$C$1:$C$675,"2026"),0))</f>
        <v/>
      </c>
      <c r="G1337">
        <f>IF($A1337="","",IF($D1337="V01",Cadrage!$C$22,IF($D1337="V02",Cadrage!$D$22,Cadrage!$E$22)))</f>
        <v/>
      </c>
      <c r="H1337">
        <f>IF($A1337="","",IF($D1337="V01",Cadrage!$C$23,IF($D1337="V02",Cadrage!$D$23,Cadrage!$E$23)))</f>
        <v/>
      </c>
      <c r="I1337">
        <f>IF($A1337="","",IF($D1337="V01",Cadrage!$C$31,IF($D1337="V02",Cadrage!$D$31,Cadrage!$E$31)))</f>
        <v/>
      </c>
      <c r="J1337">
        <f>IF($A1337="","",IF($D1337="V01",Cadrage!$C$32,IF($D1337="V02",Cadrage!$D$32,Cadrage!$E$32)))</f>
        <v/>
      </c>
      <c r="K1337">
        <f>IF($A1337="","",IF($D1337="V01",Cadrage!$C$33,IF($D1337="V02",Cadrage!$D$33,Cadrage!$E$33)))</f>
        <v/>
      </c>
      <c r="L1337">
        <f>IF($A1337="","",IF($D1337="V01",Cadrage!$C$34,IF($D1337="V02",Cadrage!$D$34,Cadrage!$E$34)))</f>
        <v/>
      </c>
      <c r="M1337">
        <f>IF($A1337="","",IF($D1337="V01",Cadrage!$C$35,IF($D1337="V02",Cadrage!$D$35,Cadrage!$E$35)))</f>
        <v/>
      </c>
      <c r="N1337">
        <f>IF($A1337="","",IF($D1337="V01",$R$2,IF($D1337="V02",$R$3,$R$4)))</f>
        <v/>
      </c>
      <c r="O1337">
        <f>IF($A1337="","",IF(OR($B1337="7062",$B1337="706",$B1337="708"),$N1337,IF($B1337="6231",1+$G1337,IF($B1337="6236",1+$H1337,IF(OR($B1337="621",$B1337="604",$B1337="6063"),$N1337*(1-$L1337),IF(OR($B1337="6411",$B1337="6413",$B1337="6414",$B1337="645"),(1+$J1337)*(1+$K1337),IF(OR($B1337="613",$B1337="615",$B1337="616",$B1337="6226",$B1337="625",$B1337="626",$B1337="6281"),(1+$I1337)*(1-$L1337)*(1+$M1337),IF(OR($B1337="6331",$B1337="63511",$B1337="6333"),(1+$I1337)*(1-$L1337),IF($B1337="6811",1+$I1337,1)))))))))</f>
        <v/>
      </c>
      <c r="P1337">
        <f>IF($A1337="","",IF($E1337=1,$F1337*$O1337,PNL!G1337))</f>
        <v/>
      </c>
      <c r="T1337">
        <f>IF($A1337="","",IF($E1337=1,IF(OR($B1337="7062",$B1337="706",$B1337="708"),$P1337,IF(AND(LEFT($B1337,1)="6",$B1337&lt;&gt;"6811"),-$P1337,0)),0))</f>
        <v/>
      </c>
    </row>
    <row r="1338">
      <c r="A1338">
        <f>IF(PNL!A1338="","",PNL!A1338)</f>
        <v/>
      </c>
      <c r="B1338">
        <f>IF(PNL!B1338="","",PNL!B1338)</f>
        <v/>
      </c>
      <c r="C1338">
        <f>IF(PNL!C1338="","",PNL!C1338)</f>
        <v/>
      </c>
      <c r="D1338">
        <f>IF(PNL!D1338="","",PNL!D1338)</f>
        <v/>
      </c>
      <c r="E1338">
        <f>IF($A1338="","",IF(AND($C1338="2027",OR($D1338="V01",$D1338="V02",$D1338="V03")),1,0))</f>
        <v/>
      </c>
      <c r="F1338">
        <f>IF($A1338="","",IF($E1338=1,SUMIFS(Comptabilité!$F$1:$F$675,Comptabilité!$A$1:$A$675,$A1338,Comptabilité!$B$1:$B$675,$B1338,Comptabilité!$C$1:$C$675,"2026"),0))</f>
        <v/>
      </c>
      <c r="G1338">
        <f>IF($A1338="","",IF($D1338="V01",Cadrage!$C$22,IF($D1338="V02",Cadrage!$D$22,Cadrage!$E$22)))</f>
        <v/>
      </c>
      <c r="H1338">
        <f>IF($A1338="","",IF($D1338="V01",Cadrage!$C$23,IF($D1338="V02",Cadrage!$D$23,Cadrage!$E$23)))</f>
        <v/>
      </c>
      <c r="I1338">
        <f>IF($A1338="","",IF($D1338="V01",Cadrage!$C$31,IF($D1338="V02",Cadrage!$D$31,Cadrage!$E$31)))</f>
        <v/>
      </c>
      <c r="J1338">
        <f>IF($A1338="","",IF($D1338="V01",Cadrage!$C$32,IF($D1338="V02",Cadrage!$D$32,Cadrage!$E$32)))</f>
        <v/>
      </c>
      <c r="K1338">
        <f>IF($A1338="","",IF($D1338="V01",Cadrage!$C$33,IF($D1338="V02",Cadrage!$D$33,Cadrage!$E$33)))</f>
        <v/>
      </c>
      <c r="L1338">
        <f>IF($A1338="","",IF($D1338="V01",Cadrage!$C$34,IF($D1338="V02",Cadrage!$D$34,Cadrage!$E$34)))</f>
        <v/>
      </c>
      <c r="M1338">
        <f>IF($A1338="","",IF($D1338="V01",Cadrage!$C$35,IF($D1338="V02",Cadrage!$D$35,Cadrage!$E$35)))</f>
        <v/>
      </c>
      <c r="N1338">
        <f>IF($A1338="","",IF($D1338="V01",$R$2,IF($D1338="V02",$R$3,$R$4)))</f>
        <v/>
      </c>
      <c r="O1338">
        <f>IF($A1338="","",IF(OR($B1338="7062",$B1338="706",$B1338="708"),$N1338,IF($B1338="6231",1+$G1338,IF($B1338="6236",1+$H1338,IF(OR($B1338="621",$B1338="604",$B1338="6063"),$N1338*(1-$L1338),IF(OR($B1338="6411",$B1338="6413",$B1338="6414",$B1338="645"),(1+$J1338)*(1+$K1338),IF(OR($B1338="613",$B1338="615",$B1338="616",$B1338="6226",$B1338="625",$B1338="626",$B1338="6281"),(1+$I1338)*(1-$L1338)*(1+$M1338),IF(OR($B1338="6331",$B1338="63511",$B1338="6333"),(1+$I1338)*(1-$L1338),IF($B1338="6811",1+$I1338,1)))))))))</f>
        <v/>
      </c>
      <c r="P1338">
        <f>IF($A1338="","",IF($E1338=1,$F1338*$O1338,PNL!G1338))</f>
        <v/>
      </c>
      <c r="T1338">
        <f>IF($A1338="","",IF($E1338=1,IF(OR($B1338="7062",$B1338="706",$B1338="708"),$P1338,IF(AND(LEFT($B1338,1)="6",$B1338&lt;&gt;"6811"),-$P1338,0)),0))</f>
        <v/>
      </c>
    </row>
    <row r="1339">
      <c r="A1339">
        <f>IF(PNL!A1339="","",PNL!A1339)</f>
        <v/>
      </c>
      <c r="B1339">
        <f>IF(PNL!B1339="","",PNL!B1339)</f>
        <v/>
      </c>
      <c r="C1339">
        <f>IF(PNL!C1339="","",PNL!C1339)</f>
        <v/>
      </c>
      <c r="D1339">
        <f>IF(PNL!D1339="","",PNL!D1339)</f>
        <v/>
      </c>
      <c r="E1339">
        <f>IF($A1339="","",IF(AND($C1339="2027",OR($D1339="V01",$D1339="V02",$D1339="V03")),1,0))</f>
        <v/>
      </c>
      <c r="F1339">
        <f>IF($A1339="","",IF($E1339=1,SUMIFS(Comptabilité!$F$1:$F$675,Comptabilité!$A$1:$A$675,$A1339,Comptabilité!$B$1:$B$675,$B1339,Comptabilité!$C$1:$C$675,"2026"),0))</f>
        <v/>
      </c>
      <c r="G1339">
        <f>IF($A1339="","",IF($D1339="V01",Cadrage!$C$22,IF($D1339="V02",Cadrage!$D$22,Cadrage!$E$22)))</f>
        <v/>
      </c>
      <c r="H1339">
        <f>IF($A1339="","",IF($D1339="V01",Cadrage!$C$23,IF($D1339="V02",Cadrage!$D$23,Cadrage!$E$23)))</f>
        <v/>
      </c>
      <c r="I1339">
        <f>IF($A1339="","",IF($D1339="V01",Cadrage!$C$31,IF($D1339="V02",Cadrage!$D$31,Cadrage!$E$31)))</f>
        <v/>
      </c>
      <c r="J1339">
        <f>IF($A1339="","",IF($D1339="V01",Cadrage!$C$32,IF($D1339="V02",Cadrage!$D$32,Cadrage!$E$32)))</f>
        <v/>
      </c>
      <c r="K1339">
        <f>IF($A1339="","",IF($D1339="V01",Cadrage!$C$33,IF($D1339="V02",Cadrage!$D$33,Cadrage!$E$33)))</f>
        <v/>
      </c>
      <c r="L1339">
        <f>IF($A1339="","",IF($D1339="V01",Cadrage!$C$34,IF($D1339="V02",Cadrage!$D$34,Cadrage!$E$34)))</f>
        <v/>
      </c>
      <c r="M1339">
        <f>IF($A1339="","",IF($D1339="V01",Cadrage!$C$35,IF($D1339="V02",Cadrage!$D$35,Cadrage!$E$35)))</f>
        <v/>
      </c>
      <c r="N1339">
        <f>IF($A1339="","",IF($D1339="V01",$R$2,IF($D1339="V02",$R$3,$R$4)))</f>
        <v/>
      </c>
      <c r="O1339">
        <f>IF($A1339="","",IF(OR($B1339="7062",$B1339="706",$B1339="708"),$N1339,IF($B1339="6231",1+$G1339,IF($B1339="6236",1+$H1339,IF(OR($B1339="621",$B1339="604",$B1339="6063"),$N1339*(1-$L1339),IF(OR($B1339="6411",$B1339="6413",$B1339="6414",$B1339="645"),(1+$J1339)*(1+$K1339),IF(OR($B1339="613",$B1339="615",$B1339="616",$B1339="6226",$B1339="625",$B1339="626",$B1339="6281"),(1+$I1339)*(1-$L1339)*(1+$M1339),IF(OR($B1339="6331",$B1339="63511",$B1339="6333"),(1+$I1339)*(1-$L1339),IF($B1339="6811",1+$I1339,1)))))))))</f>
        <v/>
      </c>
      <c r="P1339">
        <f>IF($A1339="","",IF($E1339=1,$F1339*$O1339,PNL!G1339))</f>
        <v/>
      </c>
      <c r="T1339">
        <f>IF($A1339="","",IF($E1339=1,IF(OR($B1339="7062",$B1339="706",$B1339="708"),$P1339,IF(AND(LEFT($B1339,1)="6",$B1339&lt;&gt;"6811"),-$P1339,0)),0))</f>
        <v/>
      </c>
    </row>
    <row r="1340">
      <c r="A1340">
        <f>IF(PNL!A1340="","",PNL!A1340)</f>
        <v/>
      </c>
      <c r="B1340">
        <f>IF(PNL!B1340="","",PNL!B1340)</f>
        <v/>
      </c>
      <c r="C1340">
        <f>IF(PNL!C1340="","",PNL!C1340)</f>
        <v/>
      </c>
      <c r="D1340">
        <f>IF(PNL!D1340="","",PNL!D1340)</f>
        <v/>
      </c>
      <c r="E1340">
        <f>IF($A1340="","",IF(AND($C1340="2027",OR($D1340="V01",$D1340="V02",$D1340="V03")),1,0))</f>
        <v/>
      </c>
      <c r="F1340">
        <f>IF($A1340="","",IF($E1340=1,SUMIFS(Comptabilité!$F$1:$F$675,Comptabilité!$A$1:$A$675,$A1340,Comptabilité!$B$1:$B$675,$B1340,Comptabilité!$C$1:$C$675,"2026"),0))</f>
        <v/>
      </c>
      <c r="G1340">
        <f>IF($A1340="","",IF($D1340="V01",Cadrage!$C$22,IF($D1340="V02",Cadrage!$D$22,Cadrage!$E$22)))</f>
        <v/>
      </c>
      <c r="H1340">
        <f>IF($A1340="","",IF($D1340="V01",Cadrage!$C$23,IF($D1340="V02",Cadrage!$D$23,Cadrage!$E$23)))</f>
        <v/>
      </c>
      <c r="I1340">
        <f>IF($A1340="","",IF($D1340="V01",Cadrage!$C$31,IF($D1340="V02",Cadrage!$D$31,Cadrage!$E$31)))</f>
        <v/>
      </c>
      <c r="J1340">
        <f>IF($A1340="","",IF($D1340="V01",Cadrage!$C$32,IF($D1340="V02",Cadrage!$D$32,Cadrage!$E$32)))</f>
        <v/>
      </c>
      <c r="K1340">
        <f>IF($A1340="","",IF($D1340="V01",Cadrage!$C$33,IF($D1340="V02",Cadrage!$D$33,Cadrage!$E$33)))</f>
        <v/>
      </c>
      <c r="L1340">
        <f>IF($A1340="","",IF($D1340="V01",Cadrage!$C$34,IF($D1340="V02",Cadrage!$D$34,Cadrage!$E$34)))</f>
        <v/>
      </c>
      <c r="M1340">
        <f>IF($A1340="","",IF($D1340="V01",Cadrage!$C$35,IF($D1340="V02",Cadrage!$D$35,Cadrage!$E$35)))</f>
        <v/>
      </c>
      <c r="N1340">
        <f>IF($A1340="","",IF($D1340="V01",$R$2,IF($D1340="V02",$R$3,$R$4)))</f>
        <v/>
      </c>
      <c r="O1340">
        <f>IF($A1340="","",IF(OR($B1340="7062",$B1340="706",$B1340="708"),$N1340,IF($B1340="6231",1+$G1340,IF($B1340="6236",1+$H1340,IF(OR($B1340="621",$B1340="604",$B1340="6063"),$N1340*(1-$L1340),IF(OR($B1340="6411",$B1340="6413",$B1340="6414",$B1340="645"),(1+$J1340)*(1+$K1340),IF(OR($B1340="613",$B1340="615",$B1340="616",$B1340="6226",$B1340="625",$B1340="626",$B1340="6281"),(1+$I1340)*(1-$L1340)*(1+$M1340),IF(OR($B1340="6331",$B1340="63511",$B1340="6333"),(1+$I1340)*(1-$L1340),IF($B1340="6811",1+$I1340,1)))))))))</f>
        <v/>
      </c>
      <c r="P1340">
        <f>IF($A1340="","",IF($E1340=1,$F1340*$O1340,PNL!G1340))</f>
        <v/>
      </c>
      <c r="T1340">
        <f>IF($A1340="","",IF($E1340=1,IF(OR($B1340="7062",$B1340="706",$B1340="708"),$P1340,IF(AND(LEFT($B1340,1)="6",$B1340&lt;&gt;"6811"),-$P1340,0)),0))</f>
        <v/>
      </c>
    </row>
    <row r="1341">
      <c r="A1341">
        <f>IF(PNL!A1341="","",PNL!A1341)</f>
        <v/>
      </c>
      <c r="B1341">
        <f>IF(PNL!B1341="","",PNL!B1341)</f>
        <v/>
      </c>
      <c r="C1341">
        <f>IF(PNL!C1341="","",PNL!C1341)</f>
        <v/>
      </c>
      <c r="D1341">
        <f>IF(PNL!D1341="","",PNL!D1341)</f>
        <v/>
      </c>
      <c r="E1341">
        <f>IF($A1341="","",IF(AND($C1341="2027",OR($D1341="V01",$D1341="V02",$D1341="V03")),1,0))</f>
        <v/>
      </c>
      <c r="F1341">
        <f>IF($A1341="","",IF($E1341=1,SUMIFS(Comptabilité!$F$1:$F$675,Comptabilité!$A$1:$A$675,$A1341,Comptabilité!$B$1:$B$675,$B1341,Comptabilité!$C$1:$C$675,"2026"),0))</f>
        <v/>
      </c>
      <c r="G1341">
        <f>IF($A1341="","",IF($D1341="V01",Cadrage!$C$22,IF($D1341="V02",Cadrage!$D$22,Cadrage!$E$22)))</f>
        <v/>
      </c>
      <c r="H1341">
        <f>IF($A1341="","",IF($D1341="V01",Cadrage!$C$23,IF($D1341="V02",Cadrage!$D$23,Cadrage!$E$23)))</f>
        <v/>
      </c>
      <c r="I1341">
        <f>IF($A1341="","",IF($D1341="V01",Cadrage!$C$31,IF($D1341="V02",Cadrage!$D$31,Cadrage!$E$31)))</f>
        <v/>
      </c>
      <c r="J1341">
        <f>IF($A1341="","",IF($D1341="V01",Cadrage!$C$32,IF($D1341="V02",Cadrage!$D$32,Cadrage!$E$32)))</f>
        <v/>
      </c>
      <c r="K1341">
        <f>IF($A1341="","",IF($D1341="V01",Cadrage!$C$33,IF($D1341="V02",Cadrage!$D$33,Cadrage!$E$33)))</f>
        <v/>
      </c>
      <c r="L1341">
        <f>IF($A1341="","",IF($D1341="V01",Cadrage!$C$34,IF($D1341="V02",Cadrage!$D$34,Cadrage!$E$34)))</f>
        <v/>
      </c>
      <c r="M1341">
        <f>IF($A1341="","",IF($D1341="V01",Cadrage!$C$35,IF($D1341="V02",Cadrage!$D$35,Cadrage!$E$35)))</f>
        <v/>
      </c>
      <c r="N1341">
        <f>IF($A1341="","",IF($D1341="V01",$R$2,IF($D1341="V02",$R$3,$R$4)))</f>
        <v/>
      </c>
      <c r="O1341">
        <f>IF($A1341="","",IF(OR($B1341="7062",$B1341="706",$B1341="708"),$N1341,IF($B1341="6231",1+$G1341,IF($B1341="6236",1+$H1341,IF(OR($B1341="621",$B1341="604",$B1341="6063"),$N1341*(1-$L1341),IF(OR($B1341="6411",$B1341="6413",$B1341="6414",$B1341="645"),(1+$J1341)*(1+$K1341),IF(OR($B1341="613",$B1341="615",$B1341="616",$B1341="6226",$B1341="625",$B1341="626",$B1341="6281"),(1+$I1341)*(1-$L1341)*(1+$M1341),IF(OR($B1341="6331",$B1341="63511",$B1341="6333"),(1+$I1341)*(1-$L1341),IF($B1341="6811",1+$I1341,1)))))))))</f>
        <v/>
      </c>
      <c r="P1341">
        <f>IF($A1341="","",IF($E1341=1,$F1341*$O1341,PNL!G1341))</f>
        <v/>
      </c>
      <c r="T1341">
        <f>IF($A1341="","",IF($E1341=1,IF(OR($B1341="7062",$B1341="706",$B1341="708"),$P1341,IF(AND(LEFT($B1341,1)="6",$B1341&lt;&gt;"6811"),-$P1341,0)),0))</f>
        <v/>
      </c>
    </row>
    <row r="1342">
      <c r="A1342">
        <f>IF(PNL!A1342="","",PNL!A1342)</f>
        <v/>
      </c>
      <c r="B1342">
        <f>IF(PNL!B1342="","",PNL!B1342)</f>
        <v/>
      </c>
      <c r="C1342">
        <f>IF(PNL!C1342="","",PNL!C1342)</f>
        <v/>
      </c>
      <c r="D1342">
        <f>IF(PNL!D1342="","",PNL!D1342)</f>
        <v/>
      </c>
      <c r="E1342">
        <f>IF($A1342="","",IF(AND($C1342="2027",OR($D1342="V01",$D1342="V02",$D1342="V03")),1,0))</f>
        <v/>
      </c>
      <c r="F1342">
        <f>IF($A1342="","",IF($E1342=1,SUMIFS(Comptabilité!$F$1:$F$675,Comptabilité!$A$1:$A$675,$A1342,Comptabilité!$B$1:$B$675,$B1342,Comptabilité!$C$1:$C$675,"2026"),0))</f>
        <v/>
      </c>
      <c r="G1342">
        <f>IF($A1342="","",IF($D1342="V01",Cadrage!$C$22,IF($D1342="V02",Cadrage!$D$22,Cadrage!$E$22)))</f>
        <v/>
      </c>
      <c r="H1342">
        <f>IF($A1342="","",IF($D1342="V01",Cadrage!$C$23,IF($D1342="V02",Cadrage!$D$23,Cadrage!$E$23)))</f>
        <v/>
      </c>
      <c r="I1342">
        <f>IF($A1342="","",IF($D1342="V01",Cadrage!$C$31,IF($D1342="V02",Cadrage!$D$31,Cadrage!$E$31)))</f>
        <v/>
      </c>
      <c r="J1342">
        <f>IF($A1342="","",IF($D1342="V01",Cadrage!$C$32,IF($D1342="V02",Cadrage!$D$32,Cadrage!$E$32)))</f>
        <v/>
      </c>
      <c r="K1342">
        <f>IF($A1342="","",IF($D1342="V01",Cadrage!$C$33,IF($D1342="V02",Cadrage!$D$33,Cadrage!$E$33)))</f>
        <v/>
      </c>
      <c r="L1342">
        <f>IF($A1342="","",IF($D1342="V01",Cadrage!$C$34,IF($D1342="V02",Cadrage!$D$34,Cadrage!$E$34)))</f>
        <v/>
      </c>
      <c r="M1342">
        <f>IF($A1342="","",IF($D1342="V01",Cadrage!$C$35,IF($D1342="V02",Cadrage!$D$35,Cadrage!$E$35)))</f>
        <v/>
      </c>
      <c r="N1342">
        <f>IF($A1342="","",IF($D1342="V01",$R$2,IF($D1342="V02",$R$3,$R$4)))</f>
        <v/>
      </c>
      <c r="O1342">
        <f>IF($A1342="","",IF(OR($B1342="7062",$B1342="706",$B1342="708"),$N1342,IF($B1342="6231",1+$G1342,IF($B1342="6236",1+$H1342,IF(OR($B1342="621",$B1342="604",$B1342="6063"),$N1342*(1-$L1342),IF(OR($B1342="6411",$B1342="6413",$B1342="6414",$B1342="645"),(1+$J1342)*(1+$K1342),IF(OR($B1342="613",$B1342="615",$B1342="616",$B1342="6226",$B1342="625",$B1342="626",$B1342="6281"),(1+$I1342)*(1-$L1342)*(1+$M1342),IF(OR($B1342="6331",$B1342="63511",$B1342="6333"),(1+$I1342)*(1-$L1342),IF($B1342="6811",1+$I1342,1)))))))))</f>
        <v/>
      </c>
      <c r="P1342">
        <f>IF($A1342="","",IF($E1342=1,$F1342*$O1342,PNL!G1342))</f>
        <v/>
      </c>
      <c r="T1342">
        <f>IF($A1342="","",IF($E1342=1,IF(OR($B1342="7062",$B1342="706",$B1342="708"),$P1342,IF(AND(LEFT($B1342,1)="6",$B1342&lt;&gt;"6811"),-$P1342,0)),0))</f>
        <v/>
      </c>
    </row>
    <row r="1343">
      <c r="A1343">
        <f>IF(PNL!A1343="","",PNL!A1343)</f>
        <v/>
      </c>
      <c r="B1343">
        <f>IF(PNL!B1343="","",PNL!B1343)</f>
        <v/>
      </c>
      <c r="C1343">
        <f>IF(PNL!C1343="","",PNL!C1343)</f>
        <v/>
      </c>
      <c r="D1343">
        <f>IF(PNL!D1343="","",PNL!D1343)</f>
        <v/>
      </c>
      <c r="E1343">
        <f>IF($A1343="","",IF(AND($C1343="2027",OR($D1343="V01",$D1343="V02",$D1343="V03")),1,0))</f>
        <v/>
      </c>
      <c r="F1343">
        <f>IF($A1343="","",IF($E1343=1,SUMIFS(Comptabilité!$F$1:$F$675,Comptabilité!$A$1:$A$675,$A1343,Comptabilité!$B$1:$B$675,$B1343,Comptabilité!$C$1:$C$675,"2026"),0))</f>
        <v/>
      </c>
      <c r="G1343">
        <f>IF($A1343="","",IF($D1343="V01",Cadrage!$C$22,IF($D1343="V02",Cadrage!$D$22,Cadrage!$E$22)))</f>
        <v/>
      </c>
      <c r="H1343">
        <f>IF($A1343="","",IF($D1343="V01",Cadrage!$C$23,IF($D1343="V02",Cadrage!$D$23,Cadrage!$E$23)))</f>
        <v/>
      </c>
      <c r="I1343">
        <f>IF($A1343="","",IF($D1343="V01",Cadrage!$C$31,IF($D1343="V02",Cadrage!$D$31,Cadrage!$E$31)))</f>
        <v/>
      </c>
      <c r="J1343">
        <f>IF($A1343="","",IF($D1343="V01",Cadrage!$C$32,IF($D1343="V02",Cadrage!$D$32,Cadrage!$E$32)))</f>
        <v/>
      </c>
      <c r="K1343">
        <f>IF($A1343="","",IF($D1343="V01",Cadrage!$C$33,IF($D1343="V02",Cadrage!$D$33,Cadrage!$E$33)))</f>
        <v/>
      </c>
      <c r="L1343">
        <f>IF($A1343="","",IF($D1343="V01",Cadrage!$C$34,IF($D1343="V02",Cadrage!$D$34,Cadrage!$E$34)))</f>
        <v/>
      </c>
      <c r="M1343">
        <f>IF($A1343="","",IF($D1343="V01",Cadrage!$C$35,IF($D1343="V02",Cadrage!$D$35,Cadrage!$E$35)))</f>
        <v/>
      </c>
      <c r="N1343">
        <f>IF($A1343="","",IF($D1343="V01",$R$2,IF($D1343="V02",$R$3,$R$4)))</f>
        <v/>
      </c>
      <c r="O1343">
        <f>IF($A1343="","",IF(OR($B1343="7062",$B1343="706",$B1343="708"),$N1343,IF($B1343="6231",1+$G1343,IF($B1343="6236",1+$H1343,IF(OR($B1343="621",$B1343="604",$B1343="6063"),$N1343*(1-$L1343),IF(OR($B1343="6411",$B1343="6413",$B1343="6414",$B1343="645"),(1+$J1343)*(1+$K1343),IF(OR($B1343="613",$B1343="615",$B1343="616",$B1343="6226",$B1343="625",$B1343="626",$B1343="6281"),(1+$I1343)*(1-$L1343)*(1+$M1343),IF(OR($B1343="6331",$B1343="63511",$B1343="6333"),(1+$I1343)*(1-$L1343),IF($B1343="6811",1+$I1343,1)))))))))</f>
        <v/>
      </c>
      <c r="P1343">
        <f>IF($A1343="","",IF($E1343=1,$F1343*$O1343,PNL!G1343))</f>
        <v/>
      </c>
      <c r="T1343">
        <f>IF($A1343="","",IF($E1343=1,IF(OR($B1343="7062",$B1343="706",$B1343="708"),$P1343,IF(AND(LEFT($B1343,1)="6",$B1343&lt;&gt;"6811"),-$P1343,0)),0))</f>
        <v/>
      </c>
    </row>
    <row r="1344">
      <c r="A1344">
        <f>IF(PNL!A1344="","",PNL!A1344)</f>
        <v/>
      </c>
      <c r="B1344">
        <f>IF(PNL!B1344="","",PNL!B1344)</f>
        <v/>
      </c>
      <c r="C1344">
        <f>IF(PNL!C1344="","",PNL!C1344)</f>
        <v/>
      </c>
      <c r="D1344">
        <f>IF(PNL!D1344="","",PNL!D1344)</f>
        <v/>
      </c>
      <c r="E1344">
        <f>IF($A1344="","",IF(AND($C1344="2027",OR($D1344="V01",$D1344="V02",$D1344="V03")),1,0))</f>
        <v/>
      </c>
      <c r="F1344">
        <f>IF($A1344="","",IF($E1344=1,SUMIFS(Comptabilité!$F$1:$F$675,Comptabilité!$A$1:$A$675,$A1344,Comptabilité!$B$1:$B$675,$B1344,Comptabilité!$C$1:$C$675,"2026"),0))</f>
        <v/>
      </c>
      <c r="G1344">
        <f>IF($A1344="","",IF($D1344="V01",Cadrage!$C$22,IF($D1344="V02",Cadrage!$D$22,Cadrage!$E$22)))</f>
        <v/>
      </c>
      <c r="H1344">
        <f>IF($A1344="","",IF($D1344="V01",Cadrage!$C$23,IF($D1344="V02",Cadrage!$D$23,Cadrage!$E$23)))</f>
        <v/>
      </c>
      <c r="I1344">
        <f>IF($A1344="","",IF($D1344="V01",Cadrage!$C$31,IF($D1344="V02",Cadrage!$D$31,Cadrage!$E$31)))</f>
        <v/>
      </c>
      <c r="J1344">
        <f>IF($A1344="","",IF($D1344="V01",Cadrage!$C$32,IF($D1344="V02",Cadrage!$D$32,Cadrage!$E$32)))</f>
        <v/>
      </c>
      <c r="K1344">
        <f>IF($A1344="","",IF($D1344="V01",Cadrage!$C$33,IF($D1344="V02",Cadrage!$D$33,Cadrage!$E$33)))</f>
        <v/>
      </c>
      <c r="L1344">
        <f>IF($A1344="","",IF($D1344="V01",Cadrage!$C$34,IF($D1344="V02",Cadrage!$D$34,Cadrage!$E$34)))</f>
        <v/>
      </c>
      <c r="M1344">
        <f>IF($A1344="","",IF($D1344="V01",Cadrage!$C$35,IF($D1344="V02",Cadrage!$D$35,Cadrage!$E$35)))</f>
        <v/>
      </c>
      <c r="N1344">
        <f>IF($A1344="","",IF($D1344="V01",$R$2,IF($D1344="V02",$R$3,$R$4)))</f>
        <v/>
      </c>
      <c r="O1344">
        <f>IF($A1344="","",IF(OR($B1344="7062",$B1344="706",$B1344="708"),$N1344,IF($B1344="6231",1+$G1344,IF($B1344="6236",1+$H1344,IF(OR($B1344="621",$B1344="604",$B1344="6063"),$N1344*(1-$L1344),IF(OR($B1344="6411",$B1344="6413",$B1344="6414",$B1344="645"),(1+$J1344)*(1+$K1344),IF(OR($B1344="613",$B1344="615",$B1344="616",$B1344="6226",$B1344="625",$B1344="626",$B1344="6281"),(1+$I1344)*(1-$L1344)*(1+$M1344),IF(OR($B1344="6331",$B1344="63511",$B1344="6333"),(1+$I1344)*(1-$L1344),IF($B1344="6811",1+$I1344,1)))))))))</f>
        <v/>
      </c>
      <c r="P1344">
        <f>IF($A1344="","",IF($E1344=1,$F1344*$O1344,PNL!G1344))</f>
        <v/>
      </c>
      <c r="T1344">
        <f>IF($A1344="","",IF($E1344=1,IF(OR($B1344="7062",$B1344="706",$B1344="708"),$P1344,IF(AND(LEFT($B1344,1)="6",$B1344&lt;&gt;"6811"),-$P1344,0)),0))</f>
        <v/>
      </c>
    </row>
    <row r="1345">
      <c r="A1345">
        <f>IF(PNL!A1345="","",PNL!A1345)</f>
        <v/>
      </c>
      <c r="B1345">
        <f>IF(PNL!B1345="","",PNL!B1345)</f>
        <v/>
      </c>
      <c r="C1345">
        <f>IF(PNL!C1345="","",PNL!C1345)</f>
        <v/>
      </c>
      <c r="D1345">
        <f>IF(PNL!D1345="","",PNL!D1345)</f>
        <v/>
      </c>
      <c r="E1345">
        <f>IF($A1345="","",IF(AND($C1345="2027",OR($D1345="V01",$D1345="V02",$D1345="V03")),1,0))</f>
        <v/>
      </c>
      <c r="F1345">
        <f>IF($A1345="","",IF($E1345=1,SUMIFS(Comptabilité!$F$1:$F$675,Comptabilité!$A$1:$A$675,$A1345,Comptabilité!$B$1:$B$675,$B1345,Comptabilité!$C$1:$C$675,"2026"),0))</f>
        <v/>
      </c>
      <c r="G1345">
        <f>IF($A1345="","",IF($D1345="V01",Cadrage!$C$22,IF($D1345="V02",Cadrage!$D$22,Cadrage!$E$22)))</f>
        <v/>
      </c>
      <c r="H1345">
        <f>IF($A1345="","",IF($D1345="V01",Cadrage!$C$23,IF($D1345="V02",Cadrage!$D$23,Cadrage!$E$23)))</f>
        <v/>
      </c>
      <c r="I1345">
        <f>IF($A1345="","",IF($D1345="V01",Cadrage!$C$31,IF($D1345="V02",Cadrage!$D$31,Cadrage!$E$31)))</f>
        <v/>
      </c>
      <c r="J1345">
        <f>IF($A1345="","",IF($D1345="V01",Cadrage!$C$32,IF($D1345="V02",Cadrage!$D$32,Cadrage!$E$32)))</f>
        <v/>
      </c>
      <c r="K1345">
        <f>IF($A1345="","",IF($D1345="V01",Cadrage!$C$33,IF($D1345="V02",Cadrage!$D$33,Cadrage!$E$33)))</f>
        <v/>
      </c>
      <c r="L1345">
        <f>IF($A1345="","",IF($D1345="V01",Cadrage!$C$34,IF($D1345="V02",Cadrage!$D$34,Cadrage!$E$34)))</f>
        <v/>
      </c>
      <c r="M1345">
        <f>IF($A1345="","",IF($D1345="V01",Cadrage!$C$35,IF($D1345="V02",Cadrage!$D$35,Cadrage!$E$35)))</f>
        <v/>
      </c>
      <c r="N1345">
        <f>IF($A1345="","",IF($D1345="V01",$R$2,IF($D1345="V02",$R$3,$R$4)))</f>
        <v/>
      </c>
      <c r="O1345">
        <f>IF($A1345="","",IF(OR($B1345="7062",$B1345="706",$B1345="708"),$N1345,IF($B1345="6231",1+$G1345,IF($B1345="6236",1+$H1345,IF(OR($B1345="621",$B1345="604",$B1345="6063"),$N1345*(1-$L1345),IF(OR($B1345="6411",$B1345="6413",$B1345="6414",$B1345="645"),(1+$J1345)*(1+$K1345),IF(OR($B1345="613",$B1345="615",$B1345="616",$B1345="6226",$B1345="625",$B1345="626",$B1345="6281"),(1+$I1345)*(1-$L1345)*(1+$M1345),IF(OR($B1345="6331",$B1345="63511",$B1345="6333"),(1+$I1345)*(1-$L1345),IF($B1345="6811",1+$I1345,1)))))))))</f>
        <v/>
      </c>
      <c r="P1345">
        <f>IF($A1345="","",IF($E1345=1,$F1345*$O1345,PNL!G1345))</f>
        <v/>
      </c>
      <c r="T1345">
        <f>IF($A1345="","",IF($E1345=1,IF(OR($B1345="7062",$B1345="706",$B1345="708"),$P1345,IF(AND(LEFT($B1345,1)="6",$B1345&lt;&gt;"6811"),-$P1345,0)),0))</f>
        <v/>
      </c>
    </row>
    <row r="1346">
      <c r="A1346">
        <f>IF(PNL!A1346="","",PNL!A1346)</f>
        <v/>
      </c>
      <c r="B1346">
        <f>IF(PNL!B1346="","",PNL!B1346)</f>
        <v/>
      </c>
      <c r="C1346">
        <f>IF(PNL!C1346="","",PNL!C1346)</f>
        <v/>
      </c>
      <c r="D1346">
        <f>IF(PNL!D1346="","",PNL!D1346)</f>
        <v/>
      </c>
      <c r="E1346">
        <f>IF($A1346="","",IF(AND($C1346="2027",OR($D1346="V01",$D1346="V02",$D1346="V03")),1,0))</f>
        <v/>
      </c>
      <c r="F1346">
        <f>IF($A1346="","",IF($E1346=1,SUMIFS(Comptabilité!$F$1:$F$675,Comptabilité!$A$1:$A$675,$A1346,Comptabilité!$B$1:$B$675,$B1346,Comptabilité!$C$1:$C$675,"2026"),0))</f>
        <v/>
      </c>
      <c r="G1346">
        <f>IF($A1346="","",IF($D1346="V01",Cadrage!$C$22,IF($D1346="V02",Cadrage!$D$22,Cadrage!$E$22)))</f>
        <v/>
      </c>
      <c r="H1346">
        <f>IF($A1346="","",IF($D1346="V01",Cadrage!$C$23,IF($D1346="V02",Cadrage!$D$23,Cadrage!$E$23)))</f>
        <v/>
      </c>
      <c r="I1346">
        <f>IF($A1346="","",IF($D1346="V01",Cadrage!$C$31,IF($D1346="V02",Cadrage!$D$31,Cadrage!$E$31)))</f>
        <v/>
      </c>
      <c r="J1346">
        <f>IF($A1346="","",IF($D1346="V01",Cadrage!$C$32,IF($D1346="V02",Cadrage!$D$32,Cadrage!$E$32)))</f>
        <v/>
      </c>
      <c r="K1346">
        <f>IF($A1346="","",IF($D1346="V01",Cadrage!$C$33,IF($D1346="V02",Cadrage!$D$33,Cadrage!$E$33)))</f>
        <v/>
      </c>
      <c r="L1346">
        <f>IF($A1346="","",IF($D1346="V01",Cadrage!$C$34,IF($D1346="V02",Cadrage!$D$34,Cadrage!$E$34)))</f>
        <v/>
      </c>
      <c r="M1346">
        <f>IF($A1346="","",IF($D1346="V01",Cadrage!$C$35,IF($D1346="V02",Cadrage!$D$35,Cadrage!$E$35)))</f>
        <v/>
      </c>
      <c r="N1346">
        <f>IF($A1346="","",IF($D1346="V01",$R$2,IF($D1346="V02",$R$3,$R$4)))</f>
        <v/>
      </c>
      <c r="O1346">
        <f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>
        <f>IF($A1346="","",IF($E1346=1,$F1346*$O1346,PNL!G1346))</f>
        <v/>
      </c>
      <c r="T1346">
        <f>IF($A1346="","",IF($E1346=1,IF(OR($B1346="7062",$B1346="706",$B1346="708"),$P1346,IF(AND(LEFT($B1346,1)="6",$B1346&lt;&gt;"6811"),-$P1346,0)),0))</f>
        <v/>
      </c>
    </row>
    <row r="1347">
      <c r="A1347">
        <f>IF(PNL!A1347="","",PNL!A1347)</f>
        <v/>
      </c>
      <c r="B1347">
        <f>IF(PNL!B1347="","",PNL!B1347)</f>
        <v/>
      </c>
      <c r="C1347">
        <f>IF(PNL!C1347="","",PNL!C1347)</f>
        <v/>
      </c>
      <c r="D1347">
        <f>IF(PNL!D1347="","",PNL!D1347)</f>
        <v/>
      </c>
      <c r="E1347">
        <f>IF($A1347="","",IF(AND($C1347="2027",OR($D1347="V01",$D1347="V02",$D1347="V03")),1,0))</f>
        <v/>
      </c>
      <c r="F1347">
        <f>IF($A1347="","",IF($E1347=1,SUMIFS(Comptabilité!$F$1:$F$675,Comptabilité!$A$1:$A$675,$A1347,Comptabilité!$B$1:$B$675,$B1347,Comptabilité!$C$1:$C$675,"2026"),0))</f>
        <v/>
      </c>
      <c r="G1347">
        <f>IF($A1347="","",IF($D1347="V01",Cadrage!$C$22,IF($D1347="V02",Cadrage!$D$22,Cadrage!$E$22)))</f>
        <v/>
      </c>
      <c r="H1347">
        <f>IF($A1347="","",IF($D1347="V01",Cadrage!$C$23,IF($D1347="V02",Cadrage!$D$23,Cadrage!$E$23)))</f>
        <v/>
      </c>
      <c r="I1347">
        <f>IF($A1347="","",IF($D1347="V01",Cadrage!$C$31,IF($D1347="V02",Cadrage!$D$31,Cadrage!$E$31)))</f>
        <v/>
      </c>
      <c r="J1347">
        <f>IF($A1347="","",IF($D1347="V01",Cadrage!$C$32,IF($D1347="V02",Cadrage!$D$32,Cadrage!$E$32)))</f>
        <v/>
      </c>
      <c r="K1347">
        <f>IF($A1347="","",IF($D1347="V01",Cadrage!$C$33,IF($D1347="V02",Cadrage!$D$33,Cadrage!$E$33)))</f>
        <v/>
      </c>
      <c r="L1347">
        <f>IF($A1347="","",IF($D1347="V01",Cadrage!$C$34,IF($D1347="V02",Cadrage!$D$34,Cadrage!$E$34)))</f>
        <v/>
      </c>
      <c r="M1347">
        <f>IF($A1347="","",IF($D1347="V01",Cadrage!$C$35,IF($D1347="V02",Cadrage!$D$35,Cadrage!$E$35)))</f>
        <v/>
      </c>
      <c r="N1347">
        <f>IF($A1347="","",IF($D1347="V01",$R$2,IF($D1347="V02",$R$3,$R$4)))</f>
        <v/>
      </c>
      <c r="O1347">
        <f>IF($A1347="","",IF(OR($B1347="7062",$B1347="706",$B1347="708"),$N1347,IF($B1347="6231",1+$G1347,IF($B1347="6236",1+$H1347,IF(OR($B1347="621",$B1347="604",$B1347="6063"),$N1347*(1-$L1347),IF(OR($B1347="6411",$B1347="6413",$B1347="6414",$B1347="645"),(1+$J1347)*(1+$K1347),IF(OR($B1347="613",$B1347="615",$B1347="616",$B1347="6226",$B1347="625",$B1347="626",$B1347="6281"),(1+$I1347)*(1-$L1347)*(1+$M1347),IF(OR($B1347="6331",$B1347="63511",$B1347="6333"),(1+$I1347)*(1-$L1347),IF($B1347="6811",1+$I1347,1)))))))))</f>
        <v/>
      </c>
      <c r="P1347">
        <f>IF($A1347="","",IF($E1347=1,$F1347*$O1347,PNL!G1347))</f>
        <v/>
      </c>
      <c r="T1347">
        <f>IF($A1347="","",IF($E1347=1,IF(OR($B1347="7062",$B1347="706",$B1347="708"),$P1347,IF(AND(LEFT($B1347,1)="6",$B1347&lt;&gt;"6811"),-$P1347,0)),0))</f>
        <v/>
      </c>
    </row>
    <row r="1348">
      <c r="A1348">
        <f>IF(PNL!A1348="","",PNL!A1348)</f>
        <v/>
      </c>
      <c r="B1348">
        <f>IF(PNL!B1348="","",PNL!B1348)</f>
        <v/>
      </c>
      <c r="C1348">
        <f>IF(PNL!C1348="","",PNL!C1348)</f>
        <v/>
      </c>
      <c r="D1348">
        <f>IF(PNL!D1348="","",PNL!D1348)</f>
        <v/>
      </c>
      <c r="E1348">
        <f>IF($A1348="","",IF(AND($C1348="2027",OR($D1348="V01",$D1348="V02",$D1348="V03")),1,0))</f>
        <v/>
      </c>
      <c r="F1348">
        <f>IF($A1348="","",IF($E1348=1,SUMIFS(Comptabilité!$F$1:$F$675,Comptabilité!$A$1:$A$675,$A1348,Comptabilité!$B$1:$B$675,$B1348,Comptabilité!$C$1:$C$675,"2026"),0))</f>
        <v/>
      </c>
      <c r="G1348">
        <f>IF($A1348="","",IF($D1348="V01",Cadrage!$C$22,IF($D1348="V02",Cadrage!$D$22,Cadrage!$E$22)))</f>
        <v/>
      </c>
      <c r="H1348">
        <f>IF($A1348="","",IF($D1348="V01",Cadrage!$C$23,IF($D1348="V02",Cadrage!$D$23,Cadrage!$E$23)))</f>
        <v/>
      </c>
      <c r="I1348">
        <f>IF($A1348="","",IF($D1348="V01",Cadrage!$C$31,IF($D1348="V02",Cadrage!$D$31,Cadrage!$E$31)))</f>
        <v/>
      </c>
      <c r="J1348">
        <f>IF($A1348="","",IF($D1348="V01",Cadrage!$C$32,IF($D1348="V02",Cadrage!$D$32,Cadrage!$E$32)))</f>
        <v/>
      </c>
      <c r="K1348">
        <f>IF($A1348="","",IF($D1348="V01",Cadrage!$C$33,IF($D1348="V02",Cadrage!$D$33,Cadrage!$E$33)))</f>
        <v/>
      </c>
      <c r="L1348">
        <f>IF($A1348="","",IF($D1348="V01",Cadrage!$C$34,IF($D1348="V02",Cadrage!$D$34,Cadrage!$E$34)))</f>
        <v/>
      </c>
      <c r="M1348">
        <f>IF($A1348="","",IF($D1348="V01",Cadrage!$C$35,IF($D1348="V02",Cadrage!$D$35,Cadrage!$E$35)))</f>
        <v/>
      </c>
      <c r="N1348">
        <f>IF($A1348="","",IF($D1348="V01",$R$2,IF($D1348="V02",$R$3,$R$4)))</f>
        <v/>
      </c>
      <c r="O1348">
        <f>IF($A1348="","",IF(OR($B1348="7062",$B1348="706",$B1348="708"),$N1348,IF($B1348="6231",1+$G1348,IF($B1348="6236",1+$H1348,IF(OR($B1348="621",$B1348="604",$B1348="6063"),$N1348*(1-$L1348),IF(OR($B1348="6411",$B1348="6413",$B1348="6414",$B1348="645"),(1+$J1348)*(1+$K1348),IF(OR($B1348="613",$B1348="615",$B1348="616",$B1348="6226",$B1348="625",$B1348="626",$B1348="6281"),(1+$I1348)*(1-$L1348)*(1+$M1348),IF(OR($B1348="6331",$B1348="63511",$B1348="6333"),(1+$I1348)*(1-$L1348),IF($B1348="6811",1+$I1348,1)))))))))</f>
        <v/>
      </c>
      <c r="P1348">
        <f>IF($A1348="","",IF($E1348=1,$F1348*$O1348,PNL!G1348))</f>
        <v/>
      </c>
    </row>
    <row r="1349">
      <c r="A1349">
        <f>IF(PNL!A1349="","",PNL!A1349)</f>
        <v/>
      </c>
      <c r="B1349">
        <f>IF(PNL!B1349="","",PNL!B1349)</f>
        <v/>
      </c>
      <c r="C1349">
        <f>IF(PNL!C1349="","",PNL!C1349)</f>
        <v/>
      </c>
      <c r="D1349">
        <f>IF(PNL!D1349="","",PNL!D1349)</f>
        <v/>
      </c>
      <c r="E1349">
        <f>IF($A1349="","",IF(AND($C1349="2027",OR($D1349="V01",$D1349="V02",$D1349="V03")),1,0))</f>
        <v/>
      </c>
      <c r="F1349">
        <f>IF($A1349="","",IF($E1349=1,SUMIFS(Comptabilité!$F$1:$F$675,Comptabilité!$A$1:$A$675,$A1349,Comptabilité!$B$1:$B$675,$B1349,Comptabilité!$C$1:$C$675,"2026"),0))</f>
        <v/>
      </c>
      <c r="G1349">
        <f>IF($A1349="","",IF($D1349="V01",Cadrage!$C$22,IF($D1349="V02",Cadrage!$D$22,Cadrage!$E$22)))</f>
        <v/>
      </c>
      <c r="H1349">
        <f>IF($A1349="","",IF($D1349="V01",Cadrage!$C$23,IF($D1349="V02",Cadrage!$D$23,Cadrage!$E$23)))</f>
        <v/>
      </c>
      <c r="I1349">
        <f>IF($A1349="","",IF($D1349="V01",Cadrage!$C$31,IF($D1349="V02",Cadrage!$D$31,Cadrage!$E$31)))</f>
        <v/>
      </c>
      <c r="J1349">
        <f>IF($A1349="","",IF($D1349="V01",Cadrage!$C$32,IF($D1349="V02",Cadrage!$D$32,Cadrage!$E$32)))</f>
        <v/>
      </c>
      <c r="K1349">
        <f>IF($A1349="","",IF($D1349="V01",Cadrage!$C$33,IF($D1349="V02",Cadrage!$D$33,Cadrage!$E$33)))</f>
        <v/>
      </c>
      <c r="L1349">
        <f>IF($A1349="","",IF($D1349="V01",Cadrage!$C$34,IF($D1349="V02",Cadrage!$D$34,Cadrage!$E$34)))</f>
        <v/>
      </c>
      <c r="M1349">
        <f>IF($A1349="","",IF($D1349="V01",Cadrage!$C$35,IF($D1349="V02",Cadrage!$D$35,Cadrage!$E$35)))</f>
        <v/>
      </c>
      <c r="N1349">
        <f>IF($A1349="","",IF($D1349="V01",$R$2,IF($D1349="V02",$R$3,$R$4)))</f>
        <v/>
      </c>
      <c r="O1349">
        <f>IF($A1349="","",IF(OR($B1349="7062",$B1349="706",$B1349="708"),$N1349,IF($B1349="6231",1+$G1349,IF($B1349="6236",1+$H1349,IF(OR($B1349="621",$B1349="604",$B1349="6063"),$N1349*(1-$L1349),IF(OR($B1349="6411",$B1349="6413",$B1349="6414",$B1349="645"),(1+$J1349)*(1+$K1349),IF(OR($B1349="613",$B1349="615",$B1349="616",$B1349="6226",$B1349="625",$B1349="626",$B1349="6281"),(1+$I1349)*(1-$L1349)*(1+$M1349),IF(OR($B1349="6331",$B1349="63511",$B1349="6333"),(1+$I1349)*(1-$L1349),IF($B1349="6811",1+$I1349,1)))))))))</f>
        <v/>
      </c>
      <c r="P1349">
        <f>IF($A1349="","",IF($E1349=1,$F1349*$O1349,PNL!G1349))</f>
        <v/>
      </c>
    </row>
    <row r="1350">
      <c r="A1350">
        <f>IF(PNL!A1350="","",PNL!A1350)</f>
        <v/>
      </c>
      <c r="B1350">
        <f>IF(PNL!B1350="","",PNL!B1350)</f>
        <v/>
      </c>
      <c r="C1350">
        <f>IF(PNL!C1350="","",PNL!C1350)</f>
        <v/>
      </c>
      <c r="D1350">
        <f>IF(PNL!D1350="","",PNL!D1350)</f>
        <v/>
      </c>
      <c r="E1350">
        <f>IF($A1350="","",IF(AND($C1350="2027",OR($D1350="V01",$D1350="V02",$D1350="V03")),1,0))</f>
        <v/>
      </c>
      <c r="F1350">
        <f>IF($A1350="","",IF($E1350=1,SUMIFS(Comptabilité!$F$1:$F$675,Comptabilité!$A$1:$A$675,$A1350,Comptabilité!$B$1:$B$675,$B1350,Comptabilité!$C$1:$C$675,"2026"),0))</f>
        <v/>
      </c>
      <c r="G1350">
        <f>IF($A1350="","",IF($D1350="V01",Cadrage!$C$22,IF($D1350="V02",Cadrage!$D$22,Cadrage!$E$22)))</f>
        <v/>
      </c>
      <c r="H1350">
        <f>IF($A1350="","",IF($D1350="V01",Cadrage!$C$23,IF($D1350="V02",Cadrage!$D$23,Cadrage!$E$23)))</f>
        <v/>
      </c>
      <c r="I1350">
        <f>IF($A1350="","",IF($D1350="V01",Cadrage!$C$31,IF($D1350="V02",Cadrage!$D$31,Cadrage!$E$31)))</f>
        <v/>
      </c>
      <c r="J1350">
        <f>IF($A1350="","",IF($D1350="V01",Cadrage!$C$32,IF($D1350="V02",Cadrage!$D$32,Cadrage!$E$32)))</f>
        <v/>
      </c>
      <c r="K1350">
        <f>IF($A1350="","",IF($D1350="V01",Cadrage!$C$33,IF($D1350="V02",Cadrage!$D$33,Cadrage!$E$33)))</f>
        <v/>
      </c>
      <c r="L1350">
        <f>IF($A1350="","",IF($D1350="V01",Cadrage!$C$34,IF($D1350="V02",Cadrage!$D$34,Cadrage!$E$34)))</f>
        <v/>
      </c>
      <c r="M1350">
        <f>IF($A1350="","",IF($D1350="V01",Cadrage!$C$35,IF($D1350="V02",Cadrage!$D$35,Cadrage!$E$35)))</f>
        <v/>
      </c>
      <c r="N1350">
        <f>IF($A1350="","",IF($D1350="V01",$R$2,IF($D1350="V02",$R$3,$R$4)))</f>
        <v/>
      </c>
      <c r="O1350">
        <f>IF($A1350="","",IF(OR($B1350="7062",$B1350="706",$B1350="708"),$N1350,IF($B1350="6231",1+$G1350,IF($B1350="6236",1+$H1350,IF(OR($B1350="621",$B1350="604",$B1350="6063"),$N1350*(1-$L1350),IF(OR($B1350="6411",$B1350="6413",$B1350="6414",$B1350="645"),(1+$J1350)*(1+$K1350),IF(OR($B1350="613",$B1350="615",$B1350="616",$B1350="6226",$B1350="625",$B1350="626",$B1350="6281"),(1+$I1350)*(1-$L1350)*(1+$M1350),IF(OR($B1350="6331",$B1350="63511",$B1350="6333"),(1+$I1350)*(1-$L1350),IF($B1350="6811",1+$I1350,1)))))))))</f>
        <v/>
      </c>
      <c r="P1350">
        <f>IF($A1350="","",IF($E1350=1,$F1350*$O1350,PNL!G1350))</f>
        <v/>
      </c>
    </row>
    <row r="1351">
      <c r="A1351">
        <f>IF(PNL!A1351="","",PNL!A1351)</f>
        <v/>
      </c>
      <c r="B1351">
        <f>IF(PNL!B1351="","",PNL!B1351)</f>
        <v/>
      </c>
      <c r="C1351">
        <f>IF(PNL!C1351="","",PNL!C1351)</f>
        <v/>
      </c>
      <c r="D1351">
        <f>IF(PNL!D1351="","",PNL!D1351)</f>
        <v/>
      </c>
      <c r="E1351">
        <f>IF($A1351="","",IF(AND($C1351="2027",OR($D1351="V01",$D1351="V02",$D1351="V03")),1,0))</f>
        <v/>
      </c>
      <c r="F1351">
        <f>IF($A1351="","",IF($E1351=1,SUMIFS(Comptabilité!$F$1:$F$675,Comptabilité!$A$1:$A$675,$A1351,Comptabilité!$B$1:$B$675,$B1351,Comptabilité!$C$1:$C$675,"2026"),0))</f>
        <v/>
      </c>
      <c r="G1351">
        <f>IF($A1351="","",IF($D1351="V01",Cadrage!$C$22,IF($D1351="V02",Cadrage!$D$22,Cadrage!$E$22)))</f>
        <v/>
      </c>
      <c r="H1351">
        <f>IF($A1351="","",IF($D1351="V01",Cadrage!$C$23,IF($D1351="V02",Cadrage!$D$23,Cadrage!$E$23)))</f>
        <v/>
      </c>
      <c r="I1351">
        <f>IF($A1351="","",IF($D1351="V01",Cadrage!$C$31,IF($D1351="V02",Cadrage!$D$31,Cadrage!$E$31)))</f>
        <v/>
      </c>
      <c r="J1351">
        <f>IF($A1351="","",IF($D1351="V01",Cadrage!$C$32,IF($D1351="V02",Cadrage!$D$32,Cadrage!$E$32)))</f>
        <v/>
      </c>
      <c r="K1351">
        <f>IF($A1351="","",IF($D1351="V01",Cadrage!$C$33,IF($D1351="V02",Cadrage!$D$33,Cadrage!$E$33)))</f>
        <v/>
      </c>
      <c r="L1351">
        <f>IF($A1351="","",IF($D1351="V01",Cadrage!$C$34,IF($D1351="V02",Cadrage!$D$34,Cadrage!$E$34)))</f>
        <v/>
      </c>
      <c r="M1351">
        <f>IF($A1351="","",IF($D1351="V01",Cadrage!$C$35,IF($D1351="V02",Cadrage!$D$35,Cadrage!$E$35)))</f>
        <v/>
      </c>
      <c r="N1351">
        <f>IF($A1351="","",IF($D1351="V01",$R$2,IF($D1351="V02",$R$3,$R$4)))</f>
        <v/>
      </c>
      <c r="O1351">
        <f>IF($A1351="","",IF(OR($B1351="7062",$B1351="706",$B1351="708"),$N1351,IF($B1351="6231",1+$G1351,IF($B1351="6236",1+$H1351,IF(OR($B1351="621",$B1351="604",$B1351="6063"),$N1351*(1-$L1351),IF(OR($B1351="6411",$B1351="6413",$B1351="6414",$B1351="645"),(1+$J1351)*(1+$K1351),IF(OR($B1351="613",$B1351="615",$B1351="616",$B1351="6226",$B1351="625",$B1351="626",$B1351="6281"),(1+$I1351)*(1-$L1351)*(1+$M1351),IF(OR($B1351="6331",$B1351="63511",$B1351="6333"),(1+$I1351)*(1-$L1351),IF($B1351="6811",1+$I1351,1)))))))))</f>
        <v/>
      </c>
      <c r="P1351">
        <f>IF($A1351="","",IF($E1351=1,$F1351*$O1351,PNL!G1351))</f>
        <v/>
      </c>
    </row>
    <row r="1352">
      <c r="A1352">
        <f>IF(PNL!A1352="","",PNL!A1352)</f>
        <v/>
      </c>
      <c r="B1352">
        <f>IF(PNL!B1352="","",PNL!B1352)</f>
        <v/>
      </c>
      <c r="C1352">
        <f>IF(PNL!C1352="","",PNL!C1352)</f>
        <v/>
      </c>
      <c r="D1352">
        <f>IF(PNL!D1352="","",PNL!D1352)</f>
        <v/>
      </c>
      <c r="E1352">
        <f>IF($A1352="","",IF(AND($C1352="2027",OR($D1352="V01",$D1352="V02",$D1352="V03")),1,0))</f>
        <v/>
      </c>
      <c r="F1352">
        <f>IF($A1352="","",IF($E1352=1,SUMIFS(Comptabilité!$F$1:$F$675,Comptabilité!$A$1:$A$675,$A1352,Comptabilité!$B$1:$B$675,$B1352,Comptabilité!$C$1:$C$675,"2026"),0))</f>
        <v/>
      </c>
      <c r="G1352">
        <f>IF($A1352="","",IF($D1352="V01",Cadrage!$C$22,IF($D1352="V02",Cadrage!$D$22,Cadrage!$E$22)))</f>
        <v/>
      </c>
      <c r="H1352">
        <f>IF($A1352="","",IF($D1352="V01",Cadrage!$C$23,IF($D1352="V02",Cadrage!$D$23,Cadrage!$E$23)))</f>
        <v/>
      </c>
      <c r="I1352">
        <f>IF($A1352="","",IF($D1352="V01",Cadrage!$C$31,IF($D1352="V02",Cadrage!$D$31,Cadrage!$E$31)))</f>
        <v/>
      </c>
      <c r="J1352">
        <f>IF($A1352="","",IF($D1352="V01",Cadrage!$C$32,IF($D1352="V02",Cadrage!$D$32,Cadrage!$E$32)))</f>
        <v/>
      </c>
      <c r="K1352">
        <f>IF($A1352="","",IF($D1352="V01",Cadrage!$C$33,IF($D1352="V02",Cadrage!$D$33,Cadrage!$E$33)))</f>
        <v/>
      </c>
      <c r="L1352">
        <f>IF($A1352="","",IF($D1352="V01",Cadrage!$C$34,IF($D1352="V02",Cadrage!$D$34,Cadrage!$E$34)))</f>
        <v/>
      </c>
      <c r="M1352">
        <f>IF($A1352="","",IF($D1352="V01",Cadrage!$C$35,IF($D1352="V02",Cadrage!$D$35,Cadrage!$E$35)))</f>
        <v/>
      </c>
      <c r="N1352">
        <f>IF($A1352="","",IF($D1352="V01",$R$2,IF($D1352="V02",$R$3,$R$4)))</f>
        <v/>
      </c>
      <c r="O1352">
        <f>IF($A1352="","",IF(OR($B1352="7062",$B1352="706",$B1352="708"),$N1352,IF($B1352="6231",1+$G1352,IF($B1352="6236",1+$H1352,IF(OR($B1352="621",$B1352="604",$B1352="6063"),$N1352*(1-$L1352),IF(OR($B1352="6411",$B1352="6413",$B1352="6414",$B1352="645"),(1+$J1352)*(1+$K1352),IF(OR($B1352="613",$B1352="615",$B1352="616",$B1352="6226",$B1352="625",$B1352="626",$B1352="6281"),(1+$I1352)*(1-$L1352)*(1+$M1352),IF(OR($B1352="6331",$B1352="63511",$B1352="6333"),(1+$I1352)*(1-$L1352),IF($B1352="6811",1+$I1352,1)))))))))</f>
        <v/>
      </c>
      <c r="P1352">
        <f>IF($A1352="","",IF($E1352=1,$F1352*$O1352,PNL!G1352))</f>
        <v/>
      </c>
    </row>
    <row r="1353">
      <c r="A1353">
        <f>IF(PNL!A1353="","",PNL!A1353)</f>
        <v/>
      </c>
      <c r="B1353">
        <f>IF(PNL!B1353="","",PNL!B1353)</f>
        <v/>
      </c>
      <c r="C1353">
        <f>IF(PNL!C1353="","",PNL!C1353)</f>
        <v/>
      </c>
      <c r="D1353">
        <f>IF(PNL!D1353="","",PNL!D1353)</f>
        <v/>
      </c>
      <c r="E1353">
        <f>IF($A1353="","",IF(AND($C1353="2027",OR($D1353="V01",$D1353="V02",$D1353="V03")),1,0))</f>
        <v/>
      </c>
      <c r="F1353">
        <f>IF($A1353="","",IF($E1353=1,SUMIFS(Comptabilité!$F$1:$F$675,Comptabilité!$A$1:$A$675,$A1353,Comptabilité!$B$1:$B$675,$B1353,Comptabilité!$C$1:$C$675,"2026"),0))</f>
        <v/>
      </c>
      <c r="G1353">
        <f>IF($A1353="","",IF($D1353="V01",Cadrage!$C$22,IF($D1353="V02",Cadrage!$D$22,Cadrage!$E$22)))</f>
        <v/>
      </c>
      <c r="H1353">
        <f>IF($A1353="","",IF($D1353="V01",Cadrage!$C$23,IF($D1353="V02",Cadrage!$D$23,Cadrage!$E$23)))</f>
        <v/>
      </c>
      <c r="I1353">
        <f>IF($A1353="","",IF($D1353="V01",Cadrage!$C$31,IF($D1353="V02",Cadrage!$D$31,Cadrage!$E$31)))</f>
        <v/>
      </c>
      <c r="J1353">
        <f>IF($A1353="","",IF($D1353="V01",Cadrage!$C$32,IF($D1353="V02",Cadrage!$D$32,Cadrage!$E$32)))</f>
        <v/>
      </c>
      <c r="K1353">
        <f>IF($A1353="","",IF($D1353="V01",Cadrage!$C$33,IF($D1353="V02",Cadrage!$D$33,Cadrage!$E$33)))</f>
        <v/>
      </c>
      <c r="L1353">
        <f>IF($A1353="","",IF($D1353="V01",Cadrage!$C$34,IF($D1353="V02",Cadrage!$D$34,Cadrage!$E$34)))</f>
        <v/>
      </c>
      <c r="M1353">
        <f>IF($A1353="","",IF($D1353="V01",Cadrage!$C$35,IF($D1353="V02",Cadrage!$D$35,Cadrage!$E$35)))</f>
        <v/>
      </c>
      <c r="N1353">
        <f>IF($A1353="","",IF($D1353="V01",$R$2,IF($D1353="V02",$R$3,$R$4)))</f>
        <v/>
      </c>
      <c r="O1353">
        <f>IF($A1353="","",IF(OR($B1353="7062",$B1353="706",$B1353="708"),$N1353,IF($B1353="6231",1+$G1353,IF($B1353="6236",1+$H1353,IF(OR($B1353="621",$B1353="604",$B1353="6063"),$N1353*(1-$L1353),IF(OR($B1353="6411",$B1353="6413",$B1353="6414",$B1353="645"),(1+$J1353)*(1+$K1353),IF(OR($B1353="613",$B1353="615",$B1353="616",$B1353="6226",$B1353="625",$B1353="626",$B1353="6281"),(1+$I1353)*(1-$L1353)*(1+$M1353),IF(OR($B1353="6331",$B1353="63511",$B1353="6333"),(1+$I1353)*(1-$L1353),IF($B1353="6811",1+$I1353,1)))))))))</f>
        <v/>
      </c>
      <c r="P1353">
        <f>IF($A1353="","",IF($E1353=1,$F1353*$O1353,PNL!G1353))</f>
        <v/>
      </c>
    </row>
    <row r="1354">
      <c r="A1354">
        <f>IF(PNL!A1354="","",PNL!A1354)</f>
        <v/>
      </c>
      <c r="B1354">
        <f>IF(PNL!B1354="","",PNL!B1354)</f>
        <v/>
      </c>
      <c r="C1354">
        <f>IF(PNL!C1354="","",PNL!C1354)</f>
        <v/>
      </c>
      <c r="D1354">
        <f>IF(PNL!D1354="","",PNL!D1354)</f>
        <v/>
      </c>
      <c r="E1354">
        <f>IF($A1354="","",IF(AND($C1354="2027",OR($D1354="V01",$D1354="V02",$D1354="V03")),1,0))</f>
        <v/>
      </c>
      <c r="F1354">
        <f>IF($A1354="","",IF($E1354=1,SUMIFS(Comptabilité!$F$1:$F$675,Comptabilité!$A$1:$A$675,$A1354,Comptabilité!$B$1:$B$675,$B1354,Comptabilité!$C$1:$C$675,"2026"),0))</f>
        <v/>
      </c>
      <c r="G1354">
        <f>IF($A1354="","",IF($D1354="V01",Cadrage!$C$22,IF($D1354="V02",Cadrage!$D$22,Cadrage!$E$22)))</f>
        <v/>
      </c>
      <c r="H1354">
        <f>IF($A1354="","",IF($D1354="V01",Cadrage!$C$23,IF($D1354="V02",Cadrage!$D$23,Cadrage!$E$23)))</f>
        <v/>
      </c>
      <c r="I1354">
        <f>IF($A1354="","",IF($D1354="V01",Cadrage!$C$31,IF($D1354="V02",Cadrage!$D$31,Cadrage!$E$31)))</f>
        <v/>
      </c>
      <c r="J1354">
        <f>IF($A1354="","",IF($D1354="V01",Cadrage!$C$32,IF($D1354="V02",Cadrage!$D$32,Cadrage!$E$32)))</f>
        <v/>
      </c>
      <c r="K1354">
        <f>IF($A1354="","",IF($D1354="V01",Cadrage!$C$33,IF($D1354="V02",Cadrage!$D$33,Cadrage!$E$33)))</f>
        <v/>
      </c>
      <c r="L1354">
        <f>IF($A1354="","",IF($D1354="V01",Cadrage!$C$34,IF($D1354="V02",Cadrage!$D$34,Cadrage!$E$34)))</f>
        <v/>
      </c>
      <c r="M1354">
        <f>IF($A1354="","",IF($D1354="V01",Cadrage!$C$35,IF($D1354="V02",Cadrage!$D$35,Cadrage!$E$35)))</f>
        <v/>
      </c>
      <c r="N1354">
        <f>IF($A1354="","",IF($D1354="V01",$R$2,IF($D1354="V02",$R$3,$R$4)))</f>
        <v/>
      </c>
      <c r="O1354">
        <f>IF($A1354="","",IF(OR($B1354="7062",$B1354="706",$B1354="708"),$N1354,IF($B1354="6231",1+$G1354,IF($B1354="6236",1+$H1354,IF(OR($B1354="621",$B1354="604",$B1354="6063"),$N1354*(1-$L1354),IF(OR($B1354="6411",$B1354="6413",$B1354="6414",$B1354="645"),(1+$J1354)*(1+$K1354),IF(OR($B1354="613",$B1354="615",$B1354="616",$B1354="6226",$B1354="625",$B1354="626",$B1354="6281"),(1+$I1354)*(1-$L1354)*(1+$M1354),IF(OR($B1354="6331",$B1354="63511",$B1354="6333"),(1+$I1354)*(1-$L1354),IF($B1354="6811",1+$I1354,1)))))))))</f>
        <v/>
      </c>
      <c r="P1354">
        <f>IF($A1354="","",IF($E1354=1,$F1354*$O1354,PNL!G1354))</f>
        <v/>
      </c>
    </row>
    <row r="1355">
      <c r="A1355">
        <f>IF(PNL!A1355="","",PNL!A1355)</f>
        <v/>
      </c>
      <c r="B1355">
        <f>IF(PNL!B1355="","",PNL!B1355)</f>
        <v/>
      </c>
      <c r="C1355">
        <f>IF(PNL!C1355="","",PNL!C1355)</f>
        <v/>
      </c>
      <c r="D1355">
        <f>IF(PNL!D1355="","",PNL!D1355)</f>
        <v/>
      </c>
      <c r="E1355">
        <f>IF($A1355="","",IF(AND($C1355="2027",OR($D1355="V01",$D1355="V02",$D1355="V03")),1,0))</f>
        <v/>
      </c>
      <c r="F1355">
        <f>IF($A1355="","",IF($E1355=1,SUMIFS(Comptabilité!$F$1:$F$675,Comptabilité!$A$1:$A$675,$A1355,Comptabilité!$B$1:$B$675,$B1355,Comptabilité!$C$1:$C$675,"2026"),0))</f>
        <v/>
      </c>
      <c r="G1355">
        <f>IF($A1355="","",IF($D1355="V01",Cadrage!$C$22,IF($D1355="V02",Cadrage!$D$22,Cadrage!$E$22)))</f>
        <v/>
      </c>
      <c r="H1355">
        <f>IF($A1355="","",IF($D1355="V01",Cadrage!$C$23,IF($D1355="V02",Cadrage!$D$23,Cadrage!$E$23)))</f>
        <v/>
      </c>
      <c r="I1355">
        <f>IF($A1355="","",IF($D1355="V01",Cadrage!$C$31,IF($D1355="V02",Cadrage!$D$31,Cadrage!$E$31)))</f>
        <v/>
      </c>
      <c r="J1355">
        <f>IF($A1355="","",IF($D1355="V01",Cadrage!$C$32,IF($D1355="V02",Cadrage!$D$32,Cadrage!$E$32)))</f>
        <v/>
      </c>
      <c r="K1355">
        <f>IF($A1355="","",IF($D1355="V01",Cadrage!$C$33,IF($D1355="V02",Cadrage!$D$33,Cadrage!$E$33)))</f>
        <v/>
      </c>
      <c r="L1355">
        <f>IF($A1355="","",IF($D1355="V01",Cadrage!$C$34,IF($D1355="V02",Cadrage!$D$34,Cadrage!$E$34)))</f>
        <v/>
      </c>
      <c r="M1355">
        <f>IF($A1355="","",IF($D1355="V01",Cadrage!$C$35,IF($D1355="V02",Cadrage!$D$35,Cadrage!$E$35)))</f>
        <v/>
      </c>
      <c r="N1355">
        <f>IF($A1355="","",IF($D1355="V01",$R$2,IF($D1355="V02",$R$3,$R$4)))</f>
        <v/>
      </c>
      <c r="O1355">
        <f>IF($A1355="","",IF(OR($B1355="7062",$B1355="706",$B1355="708"),$N1355,IF($B1355="6231",1+$G1355,IF($B1355="6236",1+$H1355,IF(OR($B1355="621",$B1355="604",$B1355="6063"),$N1355*(1-$L1355),IF(OR($B1355="6411",$B1355="6413",$B1355="6414",$B1355="645"),(1+$J1355)*(1+$K1355),IF(OR($B1355="613",$B1355="615",$B1355="616",$B1355="6226",$B1355="625",$B1355="626",$B1355="6281"),(1+$I1355)*(1-$L1355)*(1+$M1355),IF(OR($B1355="6331",$B1355="63511",$B1355="6333"),(1+$I1355)*(1-$L1355),IF($B1355="6811",1+$I1355,1)))))))))</f>
        <v/>
      </c>
      <c r="P1355">
        <f>IF($A1355="","",IF($E1355=1,$F1355*$O1355,PNL!G1355))</f>
        <v/>
      </c>
    </row>
    <row r="1356">
      <c r="A1356">
        <f>IF(PNL!A1356="","",PNL!A1356)</f>
        <v/>
      </c>
      <c r="B1356">
        <f>IF(PNL!B1356="","",PNL!B1356)</f>
        <v/>
      </c>
      <c r="C1356">
        <f>IF(PNL!C1356="","",PNL!C1356)</f>
        <v/>
      </c>
      <c r="D1356">
        <f>IF(PNL!D1356="","",PNL!D1356)</f>
        <v/>
      </c>
      <c r="E1356">
        <f>IF($A1356="","",IF(AND($C1356="2027",OR($D1356="V01",$D1356="V02",$D1356="V03")),1,0))</f>
        <v/>
      </c>
      <c r="F1356">
        <f>IF($A1356="","",IF($E1356=1,SUMIFS(Comptabilité!$F$1:$F$675,Comptabilité!$A$1:$A$675,$A1356,Comptabilité!$B$1:$B$675,$B1356,Comptabilité!$C$1:$C$675,"2026"),0))</f>
        <v/>
      </c>
      <c r="G1356">
        <f>IF($A1356="","",IF($D1356="V01",Cadrage!$C$22,IF($D1356="V02",Cadrage!$D$22,Cadrage!$E$22)))</f>
        <v/>
      </c>
      <c r="H1356">
        <f>IF($A1356="","",IF($D1356="V01",Cadrage!$C$23,IF($D1356="V02",Cadrage!$D$23,Cadrage!$E$23)))</f>
        <v/>
      </c>
      <c r="I1356">
        <f>IF($A1356="","",IF($D1356="V01",Cadrage!$C$31,IF($D1356="V02",Cadrage!$D$31,Cadrage!$E$31)))</f>
        <v/>
      </c>
      <c r="J1356">
        <f>IF($A1356="","",IF($D1356="V01",Cadrage!$C$32,IF($D1356="V02",Cadrage!$D$32,Cadrage!$E$32)))</f>
        <v/>
      </c>
      <c r="K1356">
        <f>IF($A1356="","",IF($D1356="V01",Cadrage!$C$33,IF($D1356="V02",Cadrage!$D$33,Cadrage!$E$33)))</f>
        <v/>
      </c>
      <c r="L1356">
        <f>IF($A1356="","",IF($D1356="V01",Cadrage!$C$34,IF($D1356="V02",Cadrage!$D$34,Cadrage!$E$34)))</f>
        <v/>
      </c>
      <c r="M1356">
        <f>IF($A1356="","",IF($D1356="V01",Cadrage!$C$35,IF($D1356="V02",Cadrage!$D$35,Cadrage!$E$35)))</f>
        <v/>
      </c>
      <c r="N1356">
        <f>IF($A1356="","",IF($D1356="V01",$R$2,IF($D1356="V02",$R$3,$R$4)))</f>
        <v/>
      </c>
      <c r="O1356">
        <f>IF($A1356="","",IF(OR($B1356="7062",$B1356="706",$B1356="708"),$N1356,IF($B1356="6231",1+$G1356,IF($B1356="6236",1+$H1356,IF(OR($B1356="621",$B1356="604",$B1356="6063"),$N1356*(1-$L1356),IF(OR($B1356="6411",$B1356="6413",$B1356="6414",$B1356="645"),(1+$J1356)*(1+$K1356),IF(OR($B1356="613",$B1356="615",$B1356="616",$B1356="6226",$B1356="625",$B1356="626",$B1356="6281"),(1+$I1356)*(1-$L1356)*(1+$M1356),IF(OR($B1356="6331",$B1356="63511",$B1356="6333"),(1+$I1356)*(1-$L1356),IF($B1356="6811",1+$I1356,1)))))))))</f>
        <v/>
      </c>
      <c r="P1356">
        <f>IF($A1356="","",IF($E1356=1,$F1356*$O1356,PNL!G1356))</f>
        <v/>
      </c>
    </row>
    <row r="1357">
      <c r="A1357">
        <f>IF(PNL!A1357="","",PNL!A1357)</f>
        <v/>
      </c>
      <c r="B1357">
        <f>IF(PNL!B1357="","",PNL!B1357)</f>
        <v/>
      </c>
      <c r="C1357">
        <f>IF(PNL!C1357="","",PNL!C1357)</f>
        <v/>
      </c>
      <c r="D1357">
        <f>IF(PNL!D1357="","",PNL!D1357)</f>
        <v/>
      </c>
      <c r="E1357">
        <f>IF($A1357="","",IF(AND($C1357="2027",OR($D1357="V01",$D1357="V02",$D1357="V03")),1,0))</f>
        <v/>
      </c>
      <c r="F1357">
        <f>IF($A1357="","",IF($E1357=1,SUMIFS(Comptabilité!$F$1:$F$675,Comptabilité!$A$1:$A$675,$A1357,Comptabilité!$B$1:$B$675,$B1357,Comptabilité!$C$1:$C$675,"2026"),0))</f>
        <v/>
      </c>
      <c r="G1357">
        <f>IF($A1357="","",IF($D1357="V01",Cadrage!$C$22,IF($D1357="V02",Cadrage!$D$22,Cadrage!$E$22)))</f>
        <v/>
      </c>
      <c r="H1357">
        <f>IF($A1357="","",IF($D1357="V01",Cadrage!$C$23,IF($D1357="V02",Cadrage!$D$23,Cadrage!$E$23)))</f>
        <v/>
      </c>
      <c r="I1357">
        <f>IF($A1357="","",IF($D1357="V01",Cadrage!$C$31,IF($D1357="V02",Cadrage!$D$31,Cadrage!$E$31)))</f>
        <v/>
      </c>
      <c r="J1357">
        <f>IF($A1357="","",IF($D1357="V01",Cadrage!$C$32,IF($D1357="V02",Cadrage!$D$32,Cadrage!$E$32)))</f>
        <v/>
      </c>
      <c r="K1357">
        <f>IF($A1357="","",IF($D1357="V01",Cadrage!$C$33,IF($D1357="V02",Cadrage!$D$33,Cadrage!$E$33)))</f>
        <v/>
      </c>
      <c r="L1357">
        <f>IF($A1357="","",IF($D1357="V01",Cadrage!$C$34,IF($D1357="V02",Cadrage!$D$34,Cadrage!$E$34)))</f>
        <v/>
      </c>
      <c r="M1357">
        <f>IF($A1357="","",IF($D1357="V01",Cadrage!$C$35,IF($D1357="V02",Cadrage!$D$35,Cadrage!$E$35)))</f>
        <v/>
      </c>
      <c r="N1357">
        <f>IF($A1357="","",IF($D1357="V01",$R$2,IF($D1357="V02",$R$3,$R$4)))</f>
        <v/>
      </c>
      <c r="O1357">
        <f>IF($A1357="","",IF(OR($B1357="7062",$B1357="706",$B1357="708"),$N1357,IF($B1357="6231",1+$G1357,IF($B1357="6236",1+$H1357,IF(OR($B1357="621",$B1357="604",$B1357="6063"),$N1357*(1-$L1357),IF(OR($B1357="6411",$B1357="6413",$B1357="6414",$B1357="645"),(1+$J1357)*(1+$K1357),IF(OR($B1357="613",$B1357="615",$B1357="616",$B1357="6226",$B1357="625",$B1357="626",$B1357="6281"),(1+$I1357)*(1-$L1357)*(1+$M1357),IF(OR($B1357="6331",$B1357="63511",$B1357="6333"),(1+$I1357)*(1-$L1357),IF($B1357="6811",1+$I1357,1)))))))))</f>
        <v/>
      </c>
      <c r="P1357">
        <f>IF($A1357="","",IF($E1357=1,$F1357*$O1357,PNL!G1357))</f>
        <v/>
      </c>
    </row>
    <row r="1358">
      <c r="A1358">
        <f>IF(PNL!A1358="","",PNL!A1358)</f>
        <v/>
      </c>
      <c r="B1358">
        <f>IF(PNL!B1358="","",PNL!B1358)</f>
        <v/>
      </c>
      <c r="C1358">
        <f>IF(PNL!C1358="","",PNL!C1358)</f>
        <v/>
      </c>
      <c r="D1358">
        <f>IF(PNL!D1358="","",PNL!D1358)</f>
        <v/>
      </c>
      <c r="E1358">
        <f>IF($A1358="","",IF(AND($C1358="2027",OR($D1358="V01",$D1358="V02",$D1358="V03")),1,0))</f>
        <v/>
      </c>
      <c r="F1358">
        <f>IF($A1358="","",IF($E1358=1,SUMIFS(Comptabilité!$F$1:$F$675,Comptabilité!$A$1:$A$675,$A1358,Comptabilité!$B$1:$B$675,$B1358,Comptabilité!$C$1:$C$675,"2026"),0))</f>
        <v/>
      </c>
      <c r="G1358">
        <f>IF($A1358="","",IF($D1358="V01",Cadrage!$C$22,IF($D1358="V02",Cadrage!$D$22,Cadrage!$E$22)))</f>
        <v/>
      </c>
      <c r="H1358">
        <f>IF($A1358="","",IF($D1358="V01",Cadrage!$C$23,IF($D1358="V02",Cadrage!$D$23,Cadrage!$E$23)))</f>
        <v/>
      </c>
      <c r="I1358">
        <f>IF($A1358="","",IF($D1358="V01",Cadrage!$C$31,IF($D1358="V02",Cadrage!$D$31,Cadrage!$E$31)))</f>
        <v/>
      </c>
      <c r="J1358">
        <f>IF($A1358="","",IF($D1358="V01",Cadrage!$C$32,IF($D1358="V02",Cadrage!$D$32,Cadrage!$E$32)))</f>
        <v/>
      </c>
      <c r="K1358">
        <f>IF($A1358="","",IF($D1358="V01",Cadrage!$C$33,IF($D1358="V02",Cadrage!$D$33,Cadrage!$E$33)))</f>
        <v/>
      </c>
      <c r="L1358">
        <f>IF($A1358="","",IF($D1358="V01",Cadrage!$C$34,IF($D1358="V02",Cadrage!$D$34,Cadrage!$E$34)))</f>
        <v/>
      </c>
      <c r="M1358">
        <f>IF($A1358="","",IF($D1358="V01",Cadrage!$C$35,IF($D1358="V02",Cadrage!$D$35,Cadrage!$E$35)))</f>
        <v/>
      </c>
      <c r="N1358">
        <f>IF($A1358="","",IF($D1358="V01",$R$2,IF($D1358="V02",$R$3,$R$4)))</f>
        <v/>
      </c>
      <c r="O1358">
        <f>IF($A1358="","",IF(OR($B1358="7062",$B1358="706",$B1358="708"),$N1358,IF($B1358="6231",1+$G1358,IF($B1358="6236",1+$H1358,IF(OR($B1358="621",$B1358="604",$B1358="6063"),$N1358*(1-$L1358),IF(OR($B1358="6411",$B1358="6413",$B1358="6414",$B1358="645"),(1+$J1358)*(1+$K1358),IF(OR($B1358="613",$B1358="615",$B1358="616",$B1358="6226",$B1358="625",$B1358="626",$B1358="6281"),(1+$I1358)*(1-$L1358)*(1+$M1358),IF(OR($B1358="6331",$B1358="63511",$B1358="6333"),(1+$I1358)*(1-$L1358),IF($B1358="6811",1+$I1358,1)))))))))</f>
        <v/>
      </c>
      <c r="P1358">
        <f>IF($A1358="","",IF($E1358=1,$F1358*$O1358,PNL!G1358))</f>
        <v/>
      </c>
    </row>
    <row r="1359">
      <c r="A1359">
        <f>IF(PNL!A1359="","",PNL!A1359)</f>
        <v/>
      </c>
      <c r="B1359">
        <f>IF(PNL!B1359="","",PNL!B1359)</f>
        <v/>
      </c>
      <c r="C1359">
        <f>IF(PNL!C1359="","",PNL!C1359)</f>
        <v/>
      </c>
      <c r="D1359">
        <f>IF(PNL!D1359="","",PNL!D1359)</f>
        <v/>
      </c>
      <c r="E1359">
        <f>IF($A1359="","",IF(AND($C1359="2027",OR($D1359="V01",$D1359="V02",$D1359="V03")),1,0))</f>
        <v/>
      </c>
      <c r="F1359">
        <f>IF($A1359="","",IF($E1359=1,SUMIFS(Comptabilité!$F$1:$F$675,Comptabilité!$A$1:$A$675,$A1359,Comptabilité!$B$1:$B$675,$B1359,Comptabilité!$C$1:$C$675,"2026"),0))</f>
        <v/>
      </c>
      <c r="G1359">
        <f>IF($A1359="","",IF($D1359="V01",Cadrage!$C$22,IF($D1359="V02",Cadrage!$D$22,Cadrage!$E$22)))</f>
        <v/>
      </c>
      <c r="H1359">
        <f>IF($A1359="","",IF($D1359="V01",Cadrage!$C$23,IF($D1359="V02",Cadrage!$D$23,Cadrage!$E$23)))</f>
        <v/>
      </c>
      <c r="I1359">
        <f>IF($A1359="","",IF($D1359="V01",Cadrage!$C$31,IF($D1359="V02",Cadrage!$D$31,Cadrage!$E$31)))</f>
        <v/>
      </c>
      <c r="J1359">
        <f>IF($A1359="","",IF($D1359="V01",Cadrage!$C$32,IF($D1359="V02",Cadrage!$D$32,Cadrage!$E$32)))</f>
        <v/>
      </c>
      <c r="K1359">
        <f>IF($A1359="","",IF($D1359="V01",Cadrage!$C$33,IF($D1359="V02",Cadrage!$D$33,Cadrage!$E$33)))</f>
        <v/>
      </c>
      <c r="L1359">
        <f>IF($A1359="","",IF($D1359="V01",Cadrage!$C$34,IF($D1359="V02",Cadrage!$D$34,Cadrage!$E$34)))</f>
        <v/>
      </c>
      <c r="M1359">
        <f>IF($A1359="","",IF($D1359="V01",Cadrage!$C$35,IF($D1359="V02",Cadrage!$D$35,Cadrage!$E$35)))</f>
        <v/>
      </c>
      <c r="N1359">
        <f>IF($A1359="","",IF($D1359="V01",$R$2,IF($D1359="V02",$R$3,$R$4)))</f>
        <v/>
      </c>
      <c r="O1359">
        <f>IF($A1359="","",IF(OR($B1359="7062",$B1359="706",$B1359="708"),$N1359,IF($B1359="6231",1+$G1359,IF($B1359="6236",1+$H1359,IF(OR($B1359="621",$B1359="604",$B1359="6063"),$N1359*(1-$L1359),IF(OR($B1359="6411",$B1359="6413",$B1359="6414",$B1359="645"),(1+$J1359)*(1+$K1359),IF(OR($B1359="613",$B1359="615",$B1359="616",$B1359="6226",$B1359="625",$B1359="626",$B1359="6281"),(1+$I1359)*(1-$L1359)*(1+$M1359),IF(OR($B1359="6331",$B1359="63511",$B1359="6333"),(1+$I1359)*(1-$L1359),IF($B1359="6811",1+$I1359,1)))))))))</f>
        <v/>
      </c>
      <c r="P1359">
        <f>IF($A1359="","",IF($E1359=1,$F1359*$O1359,PNL!G1359))</f>
        <v/>
      </c>
    </row>
    <row r="1360">
      <c r="A1360">
        <f>IF(PNL!A1360="","",PNL!A1360)</f>
        <v/>
      </c>
      <c r="B1360">
        <f>IF(PNL!B1360="","",PNL!B1360)</f>
        <v/>
      </c>
      <c r="C1360">
        <f>IF(PNL!C1360="","",PNL!C1360)</f>
        <v/>
      </c>
      <c r="D1360">
        <f>IF(PNL!D1360="","",PNL!D1360)</f>
        <v/>
      </c>
      <c r="E1360">
        <f>IF($A1360="","",IF(AND($C1360="2027",OR($D1360="V01",$D1360="V02",$D1360="V03")),1,0))</f>
        <v/>
      </c>
      <c r="F1360">
        <f>IF($A1360="","",IF($E1360=1,SUMIFS(Comptabilité!$F$1:$F$675,Comptabilité!$A$1:$A$675,$A1360,Comptabilité!$B$1:$B$675,$B1360,Comptabilité!$C$1:$C$675,"2026"),0))</f>
        <v/>
      </c>
      <c r="G1360">
        <f>IF($A1360="","",IF($D1360="V01",Cadrage!$C$22,IF($D1360="V02",Cadrage!$D$22,Cadrage!$E$22)))</f>
        <v/>
      </c>
      <c r="H1360">
        <f>IF($A1360="","",IF($D1360="V01",Cadrage!$C$23,IF($D1360="V02",Cadrage!$D$23,Cadrage!$E$23)))</f>
        <v/>
      </c>
      <c r="I1360">
        <f>IF($A1360="","",IF($D1360="V01",Cadrage!$C$31,IF($D1360="V02",Cadrage!$D$31,Cadrage!$E$31)))</f>
        <v/>
      </c>
      <c r="J1360">
        <f>IF($A1360="","",IF($D1360="V01",Cadrage!$C$32,IF($D1360="V02",Cadrage!$D$32,Cadrage!$E$32)))</f>
        <v/>
      </c>
      <c r="K1360">
        <f>IF($A1360="","",IF($D1360="V01",Cadrage!$C$33,IF($D1360="V02",Cadrage!$D$33,Cadrage!$E$33)))</f>
        <v/>
      </c>
      <c r="L1360">
        <f>IF($A1360="","",IF($D1360="V01",Cadrage!$C$34,IF($D1360="V02",Cadrage!$D$34,Cadrage!$E$34)))</f>
        <v/>
      </c>
      <c r="M1360">
        <f>IF($A1360="","",IF($D1360="V01",Cadrage!$C$35,IF($D1360="V02",Cadrage!$D$35,Cadrage!$E$35)))</f>
        <v/>
      </c>
      <c r="N1360">
        <f>IF($A1360="","",IF($D1360="V01",$R$2,IF($D1360="V02",$R$3,$R$4)))</f>
        <v/>
      </c>
      <c r="O1360">
        <f>IF($A1360="","",IF(OR($B1360="7062",$B1360="706",$B1360="708"),$N1360,IF($B1360="6231",1+$G1360,IF($B1360="6236",1+$H1360,IF(OR($B1360="621",$B1360="604",$B1360="6063"),$N1360*(1-$L1360),IF(OR($B1360="6411",$B1360="6413",$B1360="6414",$B1360="645"),(1+$J1360)*(1+$K1360),IF(OR($B1360="613",$B1360="615",$B1360="616",$B1360="6226",$B1360="625",$B1360="626",$B1360="6281"),(1+$I1360)*(1-$L1360)*(1+$M1360),IF(OR($B1360="6331",$B1360="63511",$B1360="6333"),(1+$I1360)*(1-$L1360),IF($B1360="6811",1+$I1360,1)))))))))</f>
        <v/>
      </c>
      <c r="P1360">
        <f>IF($A1360="","",IF($E1360=1,$F1360*$O1360,PNL!G1360))</f>
        <v/>
      </c>
    </row>
    <row r="1361">
      <c r="A1361">
        <f>IF(PNL!A1361="","",PNL!A1361)</f>
        <v/>
      </c>
      <c r="B1361">
        <f>IF(PNL!B1361="","",PNL!B1361)</f>
        <v/>
      </c>
      <c r="C1361">
        <f>IF(PNL!C1361="","",PNL!C1361)</f>
        <v/>
      </c>
      <c r="D1361">
        <f>IF(PNL!D1361="","",PNL!D1361)</f>
        <v/>
      </c>
      <c r="E1361">
        <f>IF($A1361="","",IF(AND($C1361="2027",OR($D1361="V01",$D1361="V02",$D1361="V03")),1,0))</f>
        <v/>
      </c>
      <c r="F1361">
        <f>IF($A1361="","",IF($E1361=1,SUMIFS(Comptabilité!$F$1:$F$675,Comptabilité!$A$1:$A$675,$A1361,Comptabilité!$B$1:$B$675,$B1361,Comptabilité!$C$1:$C$675,"2026"),0))</f>
        <v/>
      </c>
      <c r="G1361">
        <f>IF($A1361="","",IF($D1361="V01",Cadrage!$C$22,IF($D1361="V02",Cadrage!$D$22,Cadrage!$E$22)))</f>
        <v/>
      </c>
      <c r="H1361">
        <f>IF($A1361="","",IF($D1361="V01",Cadrage!$C$23,IF($D1361="V02",Cadrage!$D$23,Cadrage!$E$23)))</f>
        <v/>
      </c>
      <c r="I1361">
        <f>IF($A1361="","",IF($D1361="V01",Cadrage!$C$31,IF($D1361="V02",Cadrage!$D$31,Cadrage!$E$31)))</f>
        <v/>
      </c>
      <c r="J1361">
        <f>IF($A1361="","",IF($D1361="V01",Cadrage!$C$32,IF($D1361="V02",Cadrage!$D$32,Cadrage!$E$32)))</f>
        <v/>
      </c>
      <c r="K1361">
        <f>IF($A1361="","",IF($D1361="V01",Cadrage!$C$33,IF($D1361="V02",Cadrage!$D$33,Cadrage!$E$33)))</f>
        <v/>
      </c>
      <c r="L1361">
        <f>IF($A1361="","",IF($D1361="V01",Cadrage!$C$34,IF($D1361="V02",Cadrage!$D$34,Cadrage!$E$34)))</f>
        <v/>
      </c>
      <c r="M1361">
        <f>IF($A1361="","",IF($D1361="V01",Cadrage!$C$35,IF($D1361="V02",Cadrage!$D$35,Cadrage!$E$35)))</f>
        <v/>
      </c>
      <c r="N1361">
        <f>IF($A1361="","",IF($D1361="V01",$R$2,IF($D1361="V02",$R$3,$R$4)))</f>
        <v/>
      </c>
      <c r="O1361">
        <f>IF($A1361="","",IF(OR($B1361="7062",$B1361="706",$B1361="708"),$N1361,IF($B1361="6231",1+$G1361,IF($B1361="6236",1+$H1361,IF(OR($B1361="621",$B1361="604",$B1361="6063"),$N1361*(1-$L1361),IF(OR($B1361="6411",$B1361="6413",$B1361="6414",$B1361="645"),(1+$J1361)*(1+$K1361),IF(OR($B1361="613",$B1361="615",$B1361="616",$B1361="6226",$B1361="625",$B1361="626",$B1361="6281"),(1+$I1361)*(1-$L1361)*(1+$M1361),IF(OR($B1361="6331",$B1361="63511",$B1361="6333"),(1+$I1361)*(1-$L1361),IF($B1361="6811",1+$I1361,1)))))))))</f>
        <v/>
      </c>
      <c r="P1361">
        <f>IF($A1361="","",IF($E1361=1,$F1361*$O1361,PNL!G1361))</f>
        <v/>
      </c>
    </row>
    <row r="1362">
      <c r="A1362">
        <f>IF(PNL!A1362="","",PNL!A1362)</f>
        <v/>
      </c>
      <c r="B1362">
        <f>IF(PNL!B1362="","",PNL!B1362)</f>
        <v/>
      </c>
      <c r="C1362">
        <f>IF(PNL!C1362="","",PNL!C1362)</f>
        <v/>
      </c>
      <c r="D1362">
        <f>IF(PNL!D1362="","",PNL!D1362)</f>
        <v/>
      </c>
      <c r="E1362">
        <f>IF($A1362="","",IF(AND($C1362="2027",OR($D1362="V01",$D1362="V02",$D1362="V03")),1,0))</f>
        <v/>
      </c>
      <c r="F1362">
        <f>IF($A1362="","",IF($E1362=1,SUMIFS(Comptabilité!$F$1:$F$675,Comptabilité!$A$1:$A$675,$A1362,Comptabilité!$B$1:$B$675,$B1362,Comptabilité!$C$1:$C$675,"2026"),0))</f>
        <v/>
      </c>
      <c r="G1362">
        <f>IF($A1362="","",IF($D1362="V01",Cadrage!$C$22,IF($D1362="V02",Cadrage!$D$22,Cadrage!$E$22)))</f>
        <v/>
      </c>
      <c r="H1362">
        <f>IF($A1362="","",IF($D1362="V01",Cadrage!$C$23,IF($D1362="V02",Cadrage!$D$23,Cadrage!$E$23)))</f>
        <v/>
      </c>
      <c r="I1362">
        <f>IF($A1362="","",IF($D1362="V01",Cadrage!$C$31,IF($D1362="V02",Cadrage!$D$31,Cadrage!$E$31)))</f>
        <v/>
      </c>
      <c r="J1362">
        <f>IF($A1362="","",IF($D1362="V01",Cadrage!$C$32,IF($D1362="V02",Cadrage!$D$32,Cadrage!$E$32)))</f>
        <v/>
      </c>
      <c r="K1362">
        <f>IF($A1362="","",IF($D1362="V01",Cadrage!$C$33,IF($D1362="V02",Cadrage!$D$33,Cadrage!$E$33)))</f>
        <v/>
      </c>
      <c r="L1362">
        <f>IF($A1362="","",IF($D1362="V01",Cadrage!$C$34,IF($D1362="V02",Cadrage!$D$34,Cadrage!$E$34)))</f>
        <v/>
      </c>
      <c r="M1362">
        <f>IF($A1362="","",IF($D1362="V01",Cadrage!$C$35,IF($D1362="V02",Cadrage!$D$35,Cadrage!$E$35)))</f>
        <v/>
      </c>
      <c r="N1362">
        <f>IF($A1362="","",IF($D1362="V01",$R$2,IF($D1362="V02",$R$3,$R$4)))</f>
        <v/>
      </c>
      <c r="O1362">
        <f>IF($A1362="","",IF(OR($B1362="7062",$B1362="706",$B1362="708"),$N1362,IF($B1362="6231",1+$G1362,IF($B1362="6236",1+$H1362,IF(OR($B1362="621",$B1362="604",$B1362="6063"),$N1362*(1-$L1362),IF(OR($B1362="6411",$B1362="6413",$B1362="6414",$B1362="645"),(1+$J1362)*(1+$K1362),IF(OR($B1362="613",$B1362="615",$B1362="616",$B1362="6226",$B1362="625",$B1362="626",$B1362="6281"),(1+$I1362)*(1-$L1362)*(1+$M1362),IF(OR($B1362="6331",$B1362="63511",$B1362="6333"),(1+$I1362)*(1-$L1362),IF($B1362="6811",1+$I1362,1)))))))))</f>
        <v/>
      </c>
      <c r="P1362">
        <f>IF($A1362="","",IF($E1362=1,$F1362*$O1362,PNL!G1362))</f>
        <v/>
      </c>
    </row>
    <row r="1363">
      <c r="A1363">
        <f>IF(PNL!A1363="","",PNL!A1363)</f>
        <v/>
      </c>
      <c r="B1363">
        <f>IF(PNL!B1363="","",PNL!B1363)</f>
        <v/>
      </c>
      <c r="C1363">
        <f>IF(PNL!C1363="","",PNL!C1363)</f>
        <v/>
      </c>
      <c r="D1363">
        <f>IF(PNL!D1363="","",PNL!D1363)</f>
        <v/>
      </c>
      <c r="E1363">
        <f>IF($A1363="","",IF(AND($C1363="2027",OR($D1363="V01",$D1363="V02",$D1363="V03")),1,0))</f>
        <v/>
      </c>
      <c r="F1363">
        <f>IF($A1363="","",IF($E1363=1,SUMIFS(Comptabilité!$F$1:$F$675,Comptabilité!$A$1:$A$675,$A1363,Comptabilité!$B$1:$B$675,$B1363,Comptabilité!$C$1:$C$675,"2026"),0))</f>
        <v/>
      </c>
      <c r="G1363">
        <f>IF($A1363="","",IF($D1363="V01",Cadrage!$C$22,IF($D1363="V02",Cadrage!$D$22,Cadrage!$E$22)))</f>
        <v/>
      </c>
      <c r="H1363">
        <f>IF($A1363="","",IF($D1363="V01",Cadrage!$C$23,IF($D1363="V02",Cadrage!$D$23,Cadrage!$E$23)))</f>
        <v/>
      </c>
      <c r="I1363">
        <f>IF($A1363="","",IF($D1363="V01",Cadrage!$C$31,IF($D1363="V02",Cadrage!$D$31,Cadrage!$E$31)))</f>
        <v/>
      </c>
      <c r="J1363">
        <f>IF($A1363="","",IF($D1363="V01",Cadrage!$C$32,IF($D1363="V02",Cadrage!$D$32,Cadrage!$E$32)))</f>
        <v/>
      </c>
      <c r="K1363">
        <f>IF($A1363="","",IF($D1363="V01",Cadrage!$C$33,IF($D1363="V02",Cadrage!$D$33,Cadrage!$E$33)))</f>
        <v/>
      </c>
      <c r="L1363">
        <f>IF($A1363="","",IF($D1363="V01",Cadrage!$C$34,IF($D1363="V02",Cadrage!$D$34,Cadrage!$E$34)))</f>
        <v/>
      </c>
      <c r="M1363">
        <f>IF($A1363="","",IF($D1363="V01",Cadrage!$C$35,IF($D1363="V02",Cadrage!$D$35,Cadrage!$E$35)))</f>
        <v/>
      </c>
      <c r="N1363">
        <f>IF($A1363="","",IF($D1363="V01",$R$2,IF($D1363="V02",$R$3,$R$4)))</f>
        <v/>
      </c>
      <c r="O1363">
        <f>IF($A1363="","",IF(OR($B1363="7062",$B1363="706",$B1363="708"),$N1363,IF($B1363="6231",1+$G1363,IF($B1363="6236",1+$H1363,IF(OR($B1363="621",$B1363="604",$B1363="6063"),$N1363*(1-$L1363),IF(OR($B1363="6411",$B1363="6413",$B1363="6414",$B1363="645"),(1+$J1363)*(1+$K1363),IF(OR($B1363="613",$B1363="615",$B1363="616",$B1363="6226",$B1363="625",$B1363="626",$B1363="6281"),(1+$I1363)*(1-$L1363)*(1+$M1363),IF(OR($B1363="6331",$B1363="63511",$B1363="6333"),(1+$I1363)*(1-$L1363),IF($B1363="6811",1+$I1363,1)))))))))</f>
        <v/>
      </c>
      <c r="P1363">
        <f>IF($A1363="","",IF($E1363=1,$F1363*$O1363,PNL!G1363))</f>
        <v/>
      </c>
    </row>
    <row r="1364">
      <c r="A1364">
        <f>IF(PNL!A1364="","",PNL!A1364)</f>
        <v/>
      </c>
      <c r="B1364">
        <f>IF(PNL!B1364="","",PNL!B1364)</f>
        <v/>
      </c>
      <c r="C1364">
        <f>IF(PNL!C1364="","",PNL!C1364)</f>
        <v/>
      </c>
      <c r="D1364">
        <f>IF(PNL!D1364="","",PNL!D1364)</f>
        <v/>
      </c>
      <c r="E1364">
        <f>IF($A1364="","",IF(AND($C1364="2027",OR($D1364="V01",$D1364="V02",$D1364="V03")),1,0))</f>
        <v/>
      </c>
      <c r="F1364">
        <f>IF($A1364="","",IF($E1364=1,SUMIFS(Comptabilité!$F$1:$F$675,Comptabilité!$A$1:$A$675,$A1364,Comptabilité!$B$1:$B$675,$B1364,Comptabilité!$C$1:$C$675,"2026"),0))</f>
        <v/>
      </c>
      <c r="G1364">
        <f>IF($A1364="","",IF($D1364="V01",Cadrage!$C$22,IF($D1364="V02",Cadrage!$D$22,Cadrage!$E$22)))</f>
        <v/>
      </c>
      <c r="H1364">
        <f>IF($A1364="","",IF($D1364="V01",Cadrage!$C$23,IF($D1364="V02",Cadrage!$D$23,Cadrage!$E$23)))</f>
        <v/>
      </c>
      <c r="I1364">
        <f>IF($A1364="","",IF($D1364="V01",Cadrage!$C$31,IF($D1364="V02",Cadrage!$D$31,Cadrage!$E$31)))</f>
        <v/>
      </c>
      <c r="J1364">
        <f>IF($A1364="","",IF($D1364="V01",Cadrage!$C$32,IF($D1364="V02",Cadrage!$D$32,Cadrage!$E$32)))</f>
        <v/>
      </c>
      <c r="K1364">
        <f>IF($A1364="","",IF($D1364="V01",Cadrage!$C$33,IF($D1364="V02",Cadrage!$D$33,Cadrage!$E$33)))</f>
        <v/>
      </c>
      <c r="L1364">
        <f>IF($A1364="","",IF($D1364="V01",Cadrage!$C$34,IF($D1364="V02",Cadrage!$D$34,Cadrage!$E$34)))</f>
        <v/>
      </c>
      <c r="M1364">
        <f>IF($A1364="","",IF($D1364="V01",Cadrage!$C$35,IF($D1364="V02",Cadrage!$D$35,Cadrage!$E$35)))</f>
        <v/>
      </c>
      <c r="N1364">
        <f>IF($A1364="","",IF($D1364="V01",$R$2,IF($D1364="V02",$R$3,$R$4)))</f>
        <v/>
      </c>
      <c r="O1364">
        <f>IF($A1364="","",IF(OR($B1364="7062",$B1364="706",$B1364="708"),$N1364,IF($B1364="6231",1+$G1364,IF($B1364="6236",1+$H1364,IF(OR($B1364="621",$B1364="604",$B1364="6063"),$N1364*(1-$L1364),IF(OR($B1364="6411",$B1364="6413",$B1364="6414",$B1364="645"),(1+$J1364)*(1+$K1364),IF(OR($B1364="613",$B1364="615",$B1364="616",$B1364="6226",$B1364="625",$B1364="626",$B1364="6281"),(1+$I1364)*(1-$L1364)*(1+$M1364),IF(OR($B1364="6331",$B1364="63511",$B1364="6333"),(1+$I1364)*(1-$L1364),IF($B1364="6811",1+$I1364,1)))))))))</f>
        <v/>
      </c>
      <c r="P1364">
        <f>IF($A1364="","",IF($E1364=1,$F1364*$O1364,PNL!G1364))</f>
        <v/>
      </c>
    </row>
    <row r="1365">
      <c r="A1365">
        <f>IF(PNL!A1365="","",PNL!A1365)</f>
        <v/>
      </c>
      <c r="B1365">
        <f>IF(PNL!B1365="","",PNL!B1365)</f>
        <v/>
      </c>
      <c r="C1365">
        <f>IF(PNL!C1365="","",PNL!C1365)</f>
        <v/>
      </c>
      <c r="D1365">
        <f>IF(PNL!D1365="","",PNL!D1365)</f>
        <v/>
      </c>
      <c r="E1365">
        <f>IF($A1365="","",IF(AND($C1365="2027",OR($D1365="V01",$D1365="V02",$D1365="V03")),1,0))</f>
        <v/>
      </c>
      <c r="F1365">
        <f>IF($A1365="","",IF($E1365=1,SUMIFS(Comptabilité!$F$1:$F$675,Comptabilité!$A$1:$A$675,$A1365,Comptabilité!$B$1:$B$675,$B1365,Comptabilité!$C$1:$C$675,"2026"),0))</f>
        <v/>
      </c>
      <c r="G1365">
        <f>IF($A1365="","",IF($D1365="V01",Cadrage!$C$22,IF($D1365="V02",Cadrage!$D$22,Cadrage!$E$22)))</f>
        <v/>
      </c>
      <c r="H1365">
        <f>IF($A1365="","",IF($D1365="V01",Cadrage!$C$23,IF($D1365="V02",Cadrage!$D$23,Cadrage!$E$23)))</f>
        <v/>
      </c>
      <c r="I1365">
        <f>IF($A1365="","",IF($D1365="V01",Cadrage!$C$31,IF($D1365="V02",Cadrage!$D$31,Cadrage!$E$31)))</f>
        <v/>
      </c>
      <c r="J1365">
        <f>IF($A1365="","",IF($D1365="V01",Cadrage!$C$32,IF($D1365="V02",Cadrage!$D$32,Cadrage!$E$32)))</f>
        <v/>
      </c>
      <c r="K1365">
        <f>IF($A1365="","",IF($D1365="V01",Cadrage!$C$33,IF($D1365="V02",Cadrage!$D$33,Cadrage!$E$33)))</f>
        <v/>
      </c>
      <c r="L1365">
        <f>IF($A1365="","",IF($D1365="V01",Cadrage!$C$34,IF($D1365="V02",Cadrage!$D$34,Cadrage!$E$34)))</f>
        <v/>
      </c>
      <c r="M1365">
        <f>IF($A1365="","",IF($D1365="V01",Cadrage!$C$35,IF($D1365="V02",Cadrage!$D$35,Cadrage!$E$35)))</f>
        <v/>
      </c>
      <c r="N1365">
        <f>IF($A1365="","",IF($D1365="V01",$R$2,IF($D1365="V02",$R$3,$R$4)))</f>
        <v/>
      </c>
      <c r="O1365">
        <f>IF($A1365="","",IF(OR($B1365="7062",$B1365="706",$B1365="708"),$N1365,IF($B1365="6231",1+$G1365,IF($B1365="6236",1+$H1365,IF(OR($B1365="621",$B1365="604",$B1365="6063"),$N1365*(1-$L1365),IF(OR($B1365="6411",$B1365="6413",$B1365="6414",$B1365="645"),(1+$J1365)*(1+$K1365),IF(OR($B1365="613",$B1365="615",$B1365="616",$B1365="6226",$B1365="625",$B1365="626",$B1365="6281"),(1+$I1365)*(1-$L1365)*(1+$M1365),IF(OR($B1365="6331",$B1365="63511",$B1365="6333"),(1+$I1365)*(1-$L1365),IF($B1365="6811",1+$I1365,1)))))))))</f>
        <v/>
      </c>
      <c r="P1365">
        <f>IF($A1365="","",IF($E1365=1,$F1365*$O1365,PNL!G1365))</f>
        <v/>
      </c>
    </row>
    <row r="1366">
      <c r="A1366">
        <f>IF(PNL!A1366="","",PNL!A1366)</f>
        <v/>
      </c>
      <c r="B1366">
        <f>IF(PNL!B1366="","",PNL!B1366)</f>
        <v/>
      </c>
      <c r="C1366">
        <f>IF(PNL!C1366="","",PNL!C1366)</f>
        <v/>
      </c>
      <c r="D1366">
        <f>IF(PNL!D1366="","",PNL!D1366)</f>
        <v/>
      </c>
      <c r="E1366">
        <f>IF($A1366="","",IF(AND($C1366="2027",OR($D1366="V01",$D1366="V02",$D1366="V03")),1,0))</f>
        <v/>
      </c>
      <c r="F1366">
        <f>IF($A1366="","",IF($E1366=1,SUMIFS(Comptabilité!$F$1:$F$675,Comptabilité!$A$1:$A$675,$A1366,Comptabilité!$B$1:$B$675,$B1366,Comptabilité!$C$1:$C$675,"2026"),0))</f>
        <v/>
      </c>
      <c r="G1366">
        <f>IF($A1366="","",IF($D1366="V01",Cadrage!$C$22,IF($D1366="V02",Cadrage!$D$22,Cadrage!$E$22)))</f>
        <v/>
      </c>
      <c r="H1366">
        <f>IF($A1366="","",IF($D1366="V01",Cadrage!$C$23,IF($D1366="V02",Cadrage!$D$23,Cadrage!$E$23)))</f>
        <v/>
      </c>
      <c r="I1366">
        <f>IF($A1366="","",IF($D1366="V01",Cadrage!$C$31,IF($D1366="V02",Cadrage!$D$31,Cadrage!$E$31)))</f>
        <v/>
      </c>
      <c r="J1366">
        <f>IF($A1366="","",IF($D1366="V01",Cadrage!$C$32,IF($D1366="V02",Cadrage!$D$32,Cadrage!$E$32)))</f>
        <v/>
      </c>
      <c r="K1366">
        <f>IF($A1366="","",IF($D1366="V01",Cadrage!$C$33,IF($D1366="V02",Cadrage!$D$33,Cadrage!$E$33)))</f>
        <v/>
      </c>
      <c r="L1366">
        <f>IF($A1366="","",IF($D1366="V01",Cadrage!$C$34,IF($D1366="V02",Cadrage!$D$34,Cadrage!$E$34)))</f>
        <v/>
      </c>
      <c r="M1366">
        <f>IF($A1366="","",IF($D1366="V01",Cadrage!$C$35,IF($D1366="V02",Cadrage!$D$35,Cadrage!$E$35)))</f>
        <v/>
      </c>
      <c r="N1366">
        <f>IF($A1366="","",IF($D1366="V01",$R$2,IF($D1366="V02",$R$3,$R$4)))</f>
        <v/>
      </c>
      <c r="O1366">
        <f>IF($A1366="","",IF(OR($B1366="7062",$B1366="706",$B1366="708"),$N1366,IF($B1366="6231",1+$G1366,IF($B1366="6236",1+$H1366,IF(OR($B1366="621",$B1366="604",$B1366="6063"),$N1366*(1-$L1366),IF(OR($B1366="6411",$B1366="6413",$B1366="6414",$B1366="645"),(1+$J1366)*(1+$K1366),IF(OR($B1366="613",$B1366="615",$B1366="616",$B1366="6226",$B1366="625",$B1366="626",$B1366="6281"),(1+$I1366)*(1-$L1366)*(1+$M1366),IF(OR($B1366="6331",$B1366="63511",$B1366="6333"),(1+$I1366)*(1-$L1366),IF($B1366="6811",1+$I1366,1)))))))))</f>
        <v/>
      </c>
      <c r="P1366">
        <f>IF($A1366="","",IF($E1366=1,$F1366*$O1366,PNL!G1366))</f>
        <v/>
      </c>
    </row>
    <row r="1367">
      <c r="A1367">
        <f>IF(PNL!A1367="","",PNL!A1367)</f>
        <v/>
      </c>
      <c r="B1367">
        <f>IF(PNL!B1367="","",PNL!B1367)</f>
        <v/>
      </c>
      <c r="C1367">
        <f>IF(PNL!C1367="","",PNL!C1367)</f>
        <v/>
      </c>
      <c r="D1367">
        <f>IF(PNL!D1367="","",PNL!D1367)</f>
        <v/>
      </c>
      <c r="E1367">
        <f>IF($A1367="","",IF(AND($C1367="2027",OR($D1367="V01",$D1367="V02",$D1367="V03")),1,0))</f>
        <v/>
      </c>
      <c r="F1367">
        <f>IF($A1367="","",IF($E1367=1,SUMIFS(Comptabilité!$F$1:$F$675,Comptabilité!$A$1:$A$675,$A1367,Comptabilité!$B$1:$B$675,$B1367,Comptabilité!$C$1:$C$675,"2026"),0))</f>
        <v/>
      </c>
      <c r="G1367">
        <f>IF($A1367="","",IF($D1367="V01",Cadrage!$C$22,IF($D1367="V02",Cadrage!$D$22,Cadrage!$E$22)))</f>
        <v/>
      </c>
      <c r="H1367">
        <f>IF($A1367="","",IF($D1367="V01",Cadrage!$C$23,IF($D1367="V02",Cadrage!$D$23,Cadrage!$E$23)))</f>
        <v/>
      </c>
      <c r="I1367">
        <f>IF($A1367="","",IF($D1367="V01",Cadrage!$C$31,IF($D1367="V02",Cadrage!$D$31,Cadrage!$E$31)))</f>
        <v/>
      </c>
      <c r="J1367">
        <f>IF($A1367="","",IF($D1367="V01",Cadrage!$C$32,IF($D1367="V02",Cadrage!$D$32,Cadrage!$E$32)))</f>
        <v/>
      </c>
      <c r="K1367">
        <f>IF($A1367="","",IF($D1367="V01",Cadrage!$C$33,IF($D1367="V02",Cadrage!$D$33,Cadrage!$E$33)))</f>
        <v/>
      </c>
      <c r="L1367">
        <f>IF($A1367="","",IF($D1367="V01",Cadrage!$C$34,IF($D1367="V02",Cadrage!$D$34,Cadrage!$E$34)))</f>
        <v/>
      </c>
      <c r="M1367">
        <f>IF($A1367="","",IF($D1367="V01",Cadrage!$C$35,IF($D1367="V02",Cadrage!$D$35,Cadrage!$E$35)))</f>
        <v/>
      </c>
      <c r="N1367">
        <f>IF($A1367="","",IF($D1367="V01",$R$2,IF($D1367="V02",$R$3,$R$4)))</f>
        <v/>
      </c>
      <c r="O1367">
        <f>IF($A1367="","",IF(OR($B1367="7062",$B1367="706",$B1367="708"),$N1367,IF($B1367="6231",1+$G1367,IF($B1367="6236",1+$H1367,IF(OR($B1367="621",$B1367="604",$B1367="6063"),$N1367*(1-$L1367),IF(OR($B1367="6411",$B1367="6413",$B1367="6414",$B1367="645"),(1+$J1367)*(1+$K1367),IF(OR($B1367="613",$B1367="615",$B1367="616",$B1367="6226",$B1367="625",$B1367="626",$B1367="6281"),(1+$I1367)*(1-$L1367)*(1+$M1367),IF(OR($B1367="6331",$B1367="63511",$B1367="6333"),(1+$I1367)*(1-$L1367),IF($B1367="6811",1+$I1367,1)))))))))</f>
        <v/>
      </c>
      <c r="P1367">
        <f>IF($A1367="","",IF($E1367=1,$F1367*$O1367,PNL!G1367))</f>
        <v/>
      </c>
    </row>
    <row r="1368">
      <c r="A1368">
        <f>IF(PNL!A1368="","",PNL!A1368)</f>
        <v/>
      </c>
      <c r="B1368">
        <f>IF(PNL!B1368="","",PNL!B1368)</f>
        <v/>
      </c>
      <c r="C1368">
        <f>IF(PNL!C1368="","",PNL!C1368)</f>
        <v/>
      </c>
      <c r="D1368">
        <f>IF(PNL!D1368="","",PNL!D1368)</f>
        <v/>
      </c>
      <c r="E1368">
        <f>IF($A1368="","",IF(AND($C1368="2027",OR($D1368="V01",$D1368="V02",$D1368="V03")),1,0))</f>
        <v/>
      </c>
      <c r="F1368">
        <f>IF($A1368="","",IF($E1368=1,SUMIFS(Comptabilité!$F$1:$F$675,Comptabilité!$A$1:$A$675,$A1368,Comptabilité!$B$1:$B$675,$B1368,Comptabilité!$C$1:$C$675,"2026"),0))</f>
        <v/>
      </c>
      <c r="G1368">
        <f>IF($A1368="","",IF($D1368="V01",Cadrage!$C$22,IF($D1368="V02",Cadrage!$D$22,Cadrage!$E$22)))</f>
        <v/>
      </c>
      <c r="H1368">
        <f>IF($A1368="","",IF($D1368="V01",Cadrage!$C$23,IF($D1368="V02",Cadrage!$D$23,Cadrage!$E$23)))</f>
        <v/>
      </c>
      <c r="I1368">
        <f>IF($A1368="","",IF($D1368="V01",Cadrage!$C$31,IF($D1368="V02",Cadrage!$D$31,Cadrage!$E$31)))</f>
        <v/>
      </c>
      <c r="J1368">
        <f>IF($A1368="","",IF($D1368="V01",Cadrage!$C$32,IF($D1368="V02",Cadrage!$D$32,Cadrage!$E$32)))</f>
        <v/>
      </c>
      <c r="K1368">
        <f>IF($A1368="","",IF($D1368="V01",Cadrage!$C$33,IF($D1368="V02",Cadrage!$D$33,Cadrage!$E$33)))</f>
        <v/>
      </c>
      <c r="L1368">
        <f>IF($A1368="","",IF($D1368="V01",Cadrage!$C$34,IF($D1368="V02",Cadrage!$D$34,Cadrage!$E$34)))</f>
        <v/>
      </c>
      <c r="M1368">
        <f>IF($A1368="","",IF($D1368="V01",Cadrage!$C$35,IF($D1368="V02",Cadrage!$D$35,Cadrage!$E$35)))</f>
        <v/>
      </c>
      <c r="N1368">
        <f>IF($A1368="","",IF($D1368="V01",$R$2,IF($D1368="V02",$R$3,$R$4)))</f>
        <v/>
      </c>
      <c r="O1368">
        <f>IF($A1368="","",IF(OR($B1368="7062",$B1368="706",$B1368="708"),$N1368,IF($B1368="6231",1+$G1368,IF($B1368="6236",1+$H1368,IF(OR($B1368="621",$B1368="604",$B1368="6063"),$N1368*(1-$L1368),IF(OR($B1368="6411",$B1368="6413",$B1368="6414",$B1368="645"),(1+$J1368)*(1+$K1368),IF(OR($B1368="613",$B1368="615",$B1368="616",$B1368="6226",$B1368="625",$B1368="626",$B1368="6281"),(1+$I1368)*(1-$L1368)*(1+$M1368),IF(OR($B1368="6331",$B1368="63511",$B1368="6333"),(1+$I1368)*(1-$L1368),IF($B1368="6811",1+$I1368,1)))))))))</f>
        <v/>
      </c>
      <c r="P1368">
        <f>IF($A1368="","",IF($E1368=1,$F1368*$O1368,PNL!G1368))</f>
        <v/>
      </c>
    </row>
    <row r="1369">
      <c r="A1369">
        <f>IF(PNL!A1369="","",PNL!A1369)</f>
        <v/>
      </c>
      <c r="B1369">
        <f>IF(PNL!B1369="","",PNL!B1369)</f>
        <v/>
      </c>
      <c r="C1369">
        <f>IF(PNL!C1369="","",PNL!C1369)</f>
        <v/>
      </c>
      <c r="D1369">
        <f>IF(PNL!D1369="","",PNL!D1369)</f>
        <v/>
      </c>
      <c r="E1369">
        <f>IF($A1369="","",IF(AND($C1369="2027",OR($D1369="V01",$D1369="V02",$D1369="V03")),1,0))</f>
        <v/>
      </c>
      <c r="F1369">
        <f>IF($A1369="","",IF($E1369=1,SUMIFS(Comptabilité!$F$1:$F$675,Comptabilité!$A$1:$A$675,$A1369,Comptabilité!$B$1:$B$675,$B1369,Comptabilité!$C$1:$C$675,"2026"),0))</f>
        <v/>
      </c>
      <c r="G1369">
        <f>IF($A1369="","",IF($D1369="V01",Cadrage!$C$22,IF($D1369="V02",Cadrage!$D$22,Cadrage!$E$22)))</f>
        <v/>
      </c>
      <c r="H1369">
        <f>IF($A1369="","",IF($D1369="V01",Cadrage!$C$23,IF($D1369="V02",Cadrage!$D$23,Cadrage!$E$23)))</f>
        <v/>
      </c>
      <c r="I1369">
        <f>IF($A1369="","",IF($D1369="V01",Cadrage!$C$31,IF($D1369="V02",Cadrage!$D$31,Cadrage!$E$31)))</f>
        <v/>
      </c>
      <c r="J1369">
        <f>IF($A1369="","",IF($D1369="V01",Cadrage!$C$32,IF($D1369="V02",Cadrage!$D$32,Cadrage!$E$32)))</f>
        <v/>
      </c>
      <c r="K1369">
        <f>IF($A1369="","",IF($D1369="V01",Cadrage!$C$33,IF($D1369="V02",Cadrage!$D$33,Cadrage!$E$33)))</f>
        <v/>
      </c>
      <c r="L1369">
        <f>IF($A1369="","",IF($D1369="V01",Cadrage!$C$34,IF($D1369="V02",Cadrage!$D$34,Cadrage!$E$34)))</f>
        <v/>
      </c>
      <c r="M1369">
        <f>IF($A1369="","",IF($D1369="V01",Cadrage!$C$35,IF($D1369="V02",Cadrage!$D$35,Cadrage!$E$35)))</f>
        <v/>
      </c>
      <c r="N1369">
        <f>IF($A1369="","",IF($D1369="V01",$R$2,IF($D1369="V02",$R$3,$R$4)))</f>
        <v/>
      </c>
      <c r="O1369">
        <f>IF($A1369="","",IF(OR($B1369="7062",$B1369="706",$B1369="708"),$N1369,IF($B1369="6231",1+$G1369,IF($B1369="6236",1+$H1369,IF(OR($B1369="621",$B1369="604",$B1369="6063"),$N1369*(1-$L1369),IF(OR($B1369="6411",$B1369="6413",$B1369="6414",$B1369="645"),(1+$J1369)*(1+$K1369),IF(OR($B1369="613",$B1369="615",$B1369="616",$B1369="6226",$B1369="625",$B1369="626",$B1369="6281"),(1+$I1369)*(1-$L1369)*(1+$M1369),IF(OR($B1369="6331",$B1369="63511",$B1369="6333"),(1+$I1369)*(1-$L1369),IF($B1369="6811",1+$I1369,1)))))))))</f>
        <v/>
      </c>
      <c r="P1369">
        <f>IF($A1369="","",IF($E1369=1,$F1369*$O1369,PNL!G1369))</f>
        <v/>
      </c>
    </row>
    <row r="1370">
      <c r="A1370">
        <f>IF(PNL!A1370="","",PNL!A1370)</f>
        <v/>
      </c>
      <c r="B1370">
        <f>IF(PNL!B1370="","",PNL!B1370)</f>
        <v/>
      </c>
      <c r="C1370">
        <f>IF(PNL!C1370="","",PNL!C1370)</f>
        <v/>
      </c>
      <c r="D1370">
        <f>IF(PNL!D1370="","",PNL!D1370)</f>
        <v/>
      </c>
      <c r="E1370">
        <f>IF($A1370="","",IF(AND($C1370="2027",OR($D1370="V01",$D1370="V02",$D1370="V03")),1,0))</f>
        <v/>
      </c>
      <c r="F1370">
        <f>IF($A1370="","",IF($E1370=1,SUMIFS(Comptabilité!$F$1:$F$675,Comptabilité!$A$1:$A$675,$A1370,Comptabilité!$B$1:$B$675,$B1370,Comptabilité!$C$1:$C$675,"2026"),0))</f>
        <v/>
      </c>
      <c r="G1370">
        <f>IF($A1370="","",IF($D1370="V01",Cadrage!$C$22,IF($D1370="V02",Cadrage!$D$22,Cadrage!$E$22)))</f>
        <v/>
      </c>
      <c r="H1370">
        <f>IF($A1370="","",IF($D1370="V01",Cadrage!$C$23,IF($D1370="V02",Cadrage!$D$23,Cadrage!$E$23)))</f>
        <v/>
      </c>
      <c r="I1370">
        <f>IF($A1370="","",IF($D1370="V01",Cadrage!$C$31,IF($D1370="V02",Cadrage!$D$31,Cadrage!$E$31)))</f>
        <v/>
      </c>
      <c r="J1370">
        <f>IF($A1370="","",IF($D1370="V01",Cadrage!$C$32,IF($D1370="V02",Cadrage!$D$32,Cadrage!$E$32)))</f>
        <v/>
      </c>
      <c r="K1370">
        <f>IF($A1370="","",IF($D1370="V01",Cadrage!$C$33,IF($D1370="V02",Cadrage!$D$33,Cadrage!$E$33)))</f>
        <v/>
      </c>
      <c r="L1370">
        <f>IF($A1370="","",IF($D1370="V01",Cadrage!$C$34,IF($D1370="V02",Cadrage!$D$34,Cadrage!$E$34)))</f>
        <v/>
      </c>
      <c r="M1370">
        <f>IF($A1370="","",IF($D1370="V01",Cadrage!$C$35,IF($D1370="V02",Cadrage!$D$35,Cadrage!$E$35)))</f>
        <v/>
      </c>
      <c r="N1370">
        <f>IF($A1370="","",IF($D1370="V01",$R$2,IF($D1370="V02",$R$3,$R$4)))</f>
        <v/>
      </c>
      <c r="O1370">
        <f>IF($A1370="","",IF(OR($B1370="7062",$B1370="706",$B1370="708"),$N1370,IF($B1370="6231",1+$G1370,IF($B1370="6236",1+$H1370,IF(OR($B1370="621",$B1370="604",$B1370="6063"),$N1370*(1-$L1370),IF(OR($B1370="6411",$B1370="6413",$B1370="6414",$B1370="645"),(1+$J1370)*(1+$K1370),IF(OR($B1370="613",$B1370="615",$B1370="616",$B1370="6226",$B1370="625",$B1370="626",$B1370="6281"),(1+$I1370)*(1-$L1370)*(1+$M1370),IF(OR($B1370="6331",$B1370="63511",$B1370="6333"),(1+$I1370)*(1-$L1370),IF($B1370="6811",1+$I1370,1)))))))))</f>
        <v/>
      </c>
      <c r="P1370">
        <f>IF($A1370="","",IF($E1370=1,$F1370*$O1370,PNL!G1370))</f>
        <v/>
      </c>
    </row>
    <row r="1371">
      <c r="A1371">
        <f>IF(PNL!A1371="","",PNL!A1371)</f>
        <v/>
      </c>
      <c r="B1371">
        <f>IF(PNL!B1371="","",PNL!B1371)</f>
        <v/>
      </c>
      <c r="C1371">
        <f>IF(PNL!C1371="","",PNL!C1371)</f>
        <v/>
      </c>
      <c r="D1371">
        <f>IF(PNL!D1371="","",PNL!D1371)</f>
        <v/>
      </c>
      <c r="E1371">
        <f>IF($A1371="","",IF(AND($C1371="2027",OR($D1371="V01",$D1371="V02",$D1371="V03")),1,0))</f>
        <v/>
      </c>
      <c r="F1371">
        <f>IF($A1371="","",IF($E1371=1,SUMIFS(Comptabilité!$F$1:$F$675,Comptabilité!$A$1:$A$675,$A1371,Comptabilité!$B$1:$B$675,$B1371,Comptabilité!$C$1:$C$675,"2026"),0))</f>
        <v/>
      </c>
      <c r="G1371">
        <f>IF($A1371="","",IF($D1371="V01",Cadrage!$C$22,IF($D1371="V02",Cadrage!$D$22,Cadrage!$E$22)))</f>
        <v/>
      </c>
      <c r="H1371">
        <f>IF($A1371="","",IF($D1371="V01",Cadrage!$C$23,IF($D1371="V02",Cadrage!$D$23,Cadrage!$E$23)))</f>
        <v/>
      </c>
      <c r="I1371">
        <f>IF($A1371="","",IF($D1371="V01",Cadrage!$C$31,IF($D1371="V02",Cadrage!$D$31,Cadrage!$E$31)))</f>
        <v/>
      </c>
      <c r="J1371">
        <f>IF($A1371="","",IF($D1371="V01",Cadrage!$C$32,IF($D1371="V02",Cadrage!$D$32,Cadrage!$E$32)))</f>
        <v/>
      </c>
      <c r="K1371">
        <f>IF($A1371="","",IF($D1371="V01",Cadrage!$C$33,IF($D1371="V02",Cadrage!$D$33,Cadrage!$E$33)))</f>
        <v/>
      </c>
      <c r="L1371">
        <f>IF($A1371="","",IF($D1371="V01",Cadrage!$C$34,IF($D1371="V02",Cadrage!$D$34,Cadrage!$E$34)))</f>
        <v/>
      </c>
      <c r="M1371">
        <f>IF($A1371="","",IF($D1371="V01",Cadrage!$C$35,IF($D1371="V02",Cadrage!$D$35,Cadrage!$E$35)))</f>
        <v/>
      </c>
      <c r="N1371">
        <f>IF($A1371="","",IF($D1371="V01",$R$2,IF($D1371="V02",$R$3,$R$4)))</f>
        <v/>
      </c>
      <c r="O1371">
        <f>IF($A1371="","",IF(OR($B1371="7062",$B1371="706",$B1371="708"),$N1371,IF($B1371="6231",1+$G1371,IF($B1371="6236",1+$H1371,IF(OR($B1371="621",$B1371="604",$B1371="6063"),$N1371*(1-$L1371),IF(OR($B1371="6411",$B1371="6413",$B1371="6414",$B1371="645"),(1+$J1371)*(1+$K1371),IF(OR($B1371="613",$B1371="615",$B1371="616",$B1371="6226",$B1371="625",$B1371="626",$B1371="6281"),(1+$I1371)*(1-$L1371)*(1+$M1371),IF(OR($B1371="6331",$B1371="63511",$B1371="6333"),(1+$I1371)*(1-$L1371),IF($B1371="6811",1+$I1371,1)))))))))</f>
        <v/>
      </c>
      <c r="P1371">
        <f>IF($A1371="","",IF($E1371=1,$F1371*$O1371,PNL!G1371))</f>
        <v/>
      </c>
    </row>
    <row r="1372">
      <c r="A1372">
        <f>IF(PNL!A1372="","",PNL!A1372)</f>
        <v/>
      </c>
      <c r="B1372">
        <f>IF(PNL!B1372="","",PNL!B1372)</f>
        <v/>
      </c>
      <c r="C1372">
        <f>IF(PNL!C1372="","",PNL!C1372)</f>
        <v/>
      </c>
      <c r="D1372">
        <f>IF(PNL!D1372="","",PNL!D1372)</f>
        <v/>
      </c>
      <c r="E1372">
        <f>IF($A1372="","",IF(AND($C1372="2027",OR($D1372="V01",$D1372="V02",$D1372="V03")),1,0))</f>
        <v/>
      </c>
      <c r="F1372">
        <f>IF($A1372="","",IF($E1372=1,SUMIFS(Comptabilité!$F$1:$F$675,Comptabilité!$A$1:$A$675,$A1372,Comptabilité!$B$1:$B$675,$B1372,Comptabilité!$C$1:$C$675,"2026"),0))</f>
        <v/>
      </c>
      <c r="G1372">
        <f>IF($A1372="","",IF($D1372="V01",Cadrage!$C$22,IF($D1372="V02",Cadrage!$D$22,Cadrage!$E$22)))</f>
        <v/>
      </c>
      <c r="H1372">
        <f>IF($A1372="","",IF($D1372="V01",Cadrage!$C$23,IF($D1372="V02",Cadrage!$D$23,Cadrage!$E$23)))</f>
        <v/>
      </c>
      <c r="I1372">
        <f>IF($A1372="","",IF($D1372="V01",Cadrage!$C$31,IF($D1372="V02",Cadrage!$D$31,Cadrage!$E$31)))</f>
        <v/>
      </c>
      <c r="J1372">
        <f>IF($A1372="","",IF($D1372="V01",Cadrage!$C$32,IF($D1372="V02",Cadrage!$D$32,Cadrage!$E$32)))</f>
        <v/>
      </c>
      <c r="K1372">
        <f>IF($A1372="","",IF($D1372="V01",Cadrage!$C$33,IF($D1372="V02",Cadrage!$D$33,Cadrage!$E$33)))</f>
        <v/>
      </c>
      <c r="L1372">
        <f>IF($A1372="","",IF($D1372="V01",Cadrage!$C$34,IF($D1372="V02",Cadrage!$D$34,Cadrage!$E$34)))</f>
        <v/>
      </c>
      <c r="M1372">
        <f>IF($A1372="","",IF($D1372="V01",Cadrage!$C$35,IF($D1372="V02",Cadrage!$D$35,Cadrage!$E$35)))</f>
        <v/>
      </c>
      <c r="N1372">
        <f>IF($A1372="","",IF($D1372="V01",$R$2,IF($D1372="V02",$R$3,$R$4)))</f>
        <v/>
      </c>
      <c r="O1372">
        <f>IF($A1372="","",IF(OR($B1372="7062",$B1372="706",$B1372="708"),$N1372,IF($B1372="6231",1+$G1372,IF($B1372="6236",1+$H1372,IF(OR($B1372="621",$B1372="604",$B1372="6063"),$N1372*(1-$L1372),IF(OR($B1372="6411",$B1372="6413",$B1372="6414",$B1372="645"),(1+$J1372)*(1+$K1372),IF(OR($B1372="613",$B1372="615",$B1372="616",$B1372="6226",$B1372="625",$B1372="626",$B1372="6281"),(1+$I1372)*(1-$L1372)*(1+$M1372),IF(OR($B1372="6331",$B1372="63511",$B1372="6333"),(1+$I1372)*(1-$L1372),IF($B1372="6811",1+$I1372,1)))))))))</f>
        <v/>
      </c>
      <c r="P1372">
        <f>IF($A1372="","",IF($E1372=1,$F1372*$O1372,PNL!G1372))</f>
        <v/>
      </c>
    </row>
    <row r="1373">
      <c r="A1373">
        <f>IF(PNL!A1373="","",PNL!A1373)</f>
        <v/>
      </c>
      <c r="B1373">
        <f>IF(PNL!B1373="","",PNL!B1373)</f>
        <v/>
      </c>
      <c r="C1373">
        <f>IF(PNL!C1373="","",PNL!C1373)</f>
        <v/>
      </c>
      <c r="D1373">
        <f>IF(PNL!D1373="","",PNL!D1373)</f>
        <v/>
      </c>
      <c r="E1373">
        <f>IF($A1373="","",IF(AND($C1373="2027",OR($D1373="V01",$D1373="V02",$D1373="V03")),1,0))</f>
        <v/>
      </c>
      <c r="F1373">
        <f>IF($A1373="","",IF($E1373=1,SUMIFS(Comptabilité!$F$1:$F$675,Comptabilité!$A$1:$A$675,$A1373,Comptabilité!$B$1:$B$675,$B1373,Comptabilité!$C$1:$C$675,"2026"),0))</f>
        <v/>
      </c>
      <c r="G1373">
        <f>IF($A1373="","",IF($D1373="V01",Cadrage!$C$22,IF($D1373="V02",Cadrage!$D$22,Cadrage!$E$22)))</f>
        <v/>
      </c>
      <c r="H1373">
        <f>IF($A1373="","",IF($D1373="V01",Cadrage!$C$23,IF($D1373="V02",Cadrage!$D$23,Cadrage!$E$23)))</f>
        <v/>
      </c>
      <c r="I1373">
        <f>IF($A1373="","",IF($D1373="V01",Cadrage!$C$31,IF($D1373="V02",Cadrage!$D$31,Cadrage!$E$31)))</f>
        <v/>
      </c>
      <c r="J1373">
        <f>IF($A1373="","",IF($D1373="V01",Cadrage!$C$32,IF($D1373="V02",Cadrage!$D$32,Cadrage!$E$32)))</f>
        <v/>
      </c>
      <c r="K1373">
        <f>IF($A1373="","",IF($D1373="V01",Cadrage!$C$33,IF($D1373="V02",Cadrage!$D$33,Cadrage!$E$33)))</f>
        <v/>
      </c>
      <c r="L1373">
        <f>IF($A1373="","",IF($D1373="V01",Cadrage!$C$34,IF($D1373="V02",Cadrage!$D$34,Cadrage!$E$34)))</f>
        <v/>
      </c>
      <c r="M1373">
        <f>IF($A1373="","",IF($D1373="V01",Cadrage!$C$35,IF($D1373="V02",Cadrage!$D$35,Cadrage!$E$35)))</f>
        <v/>
      </c>
      <c r="N1373">
        <f>IF($A1373="","",IF($D1373="V01",$R$2,IF($D1373="V02",$R$3,$R$4)))</f>
        <v/>
      </c>
      <c r="O1373">
        <f>IF($A1373="","",IF(OR($B1373="7062",$B1373="706",$B1373="708"),$N1373,IF($B1373="6231",1+$G1373,IF($B1373="6236",1+$H1373,IF(OR($B1373="621",$B1373="604",$B1373="6063"),$N1373*(1-$L1373),IF(OR($B1373="6411",$B1373="6413",$B1373="6414",$B1373="645"),(1+$J1373)*(1+$K1373),IF(OR($B1373="613",$B1373="615",$B1373="616",$B1373="6226",$B1373="625",$B1373="626",$B1373="6281"),(1+$I1373)*(1-$L1373)*(1+$M1373),IF(OR($B1373="6331",$B1373="63511",$B1373="6333"),(1+$I1373)*(1-$L1373),IF($B1373="6811",1+$I1373,1)))))))))</f>
        <v/>
      </c>
      <c r="P1373">
        <f>IF($A1373="","",IF($E1373=1,$F1373*$O1373,PNL!G1373))</f>
        <v/>
      </c>
    </row>
    <row r="1374">
      <c r="A1374">
        <f>IF(PNL!A1374="","",PNL!A1374)</f>
        <v/>
      </c>
      <c r="B1374">
        <f>IF(PNL!B1374="","",PNL!B1374)</f>
        <v/>
      </c>
      <c r="C1374">
        <f>IF(PNL!C1374="","",PNL!C1374)</f>
        <v/>
      </c>
      <c r="D1374">
        <f>IF(PNL!D1374="","",PNL!D1374)</f>
        <v/>
      </c>
      <c r="E1374">
        <f>IF($A1374="","",IF(AND($C1374="2027",OR($D1374="V01",$D1374="V02",$D1374="V03")),1,0))</f>
        <v/>
      </c>
      <c r="F1374">
        <f>IF($A1374="","",IF($E1374=1,SUMIFS(Comptabilité!$F$1:$F$675,Comptabilité!$A$1:$A$675,$A1374,Comptabilité!$B$1:$B$675,$B1374,Comptabilité!$C$1:$C$675,"2026"),0))</f>
        <v/>
      </c>
      <c r="G1374">
        <f>IF($A1374="","",IF($D1374="V01",Cadrage!$C$22,IF($D1374="V02",Cadrage!$D$22,Cadrage!$E$22)))</f>
        <v/>
      </c>
      <c r="H1374">
        <f>IF($A1374="","",IF($D1374="V01",Cadrage!$C$23,IF($D1374="V02",Cadrage!$D$23,Cadrage!$E$23)))</f>
        <v/>
      </c>
      <c r="I1374">
        <f>IF($A1374="","",IF($D1374="V01",Cadrage!$C$31,IF($D1374="V02",Cadrage!$D$31,Cadrage!$E$31)))</f>
        <v/>
      </c>
      <c r="J1374">
        <f>IF($A1374="","",IF($D1374="V01",Cadrage!$C$32,IF($D1374="V02",Cadrage!$D$32,Cadrage!$E$32)))</f>
        <v/>
      </c>
      <c r="K1374">
        <f>IF($A1374="","",IF($D1374="V01",Cadrage!$C$33,IF($D1374="V02",Cadrage!$D$33,Cadrage!$E$33)))</f>
        <v/>
      </c>
      <c r="L1374">
        <f>IF($A1374="","",IF($D1374="V01",Cadrage!$C$34,IF($D1374="V02",Cadrage!$D$34,Cadrage!$E$34)))</f>
        <v/>
      </c>
      <c r="M1374">
        <f>IF($A1374="","",IF($D1374="V01",Cadrage!$C$35,IF($D1374="V02",Cadrage!$D$35,Cadrage!$E$35)))</f>
        <v/>
      </c>
      <c r="N1374">
        <f>IF($A1374="","",IF($D1374="V01",$R$2,IF($D1374="V02",$R$3,$R$4)))</f>
        <v/>
      </c>
      <c r="O1374">
        <f>IF($A1374="","",IF(OR($B1374="7062",$B1374="706",$B1374="708"),$N1374,IF($B1374="6231",1+$G1374,IF($B1374="6236",1+$H1374,IF(OR($B1374="621",$B1374="604",$B1374="6063"),$N1374*(1-$L1374),IF(OR($B1374="6411",$B1374="6413",$B1374="6414",$B1374="645"),(1+$J1374)*(1+$K1374),IF(OR($B1374="613",$B1374="615",$B1374="616",$B1374="6226",$B1374="625",$B1374="626",$B1374="6281"),(1+$I1374)*(1-$L1374)*(1+$M1374),IF(OR($B1374="6331",$B1374="63511",$B1374="6333"),(1+$I1374)*(1-$L1374),IF($B1374="6811",1+$I1374,1)))))))))</f>
        <v/>
      </c>
      <c r="P1374">
        <f>IF($A1374="","",IF($E1374=1,$F1374*$O1374,PNL!G1374))</f>
        <v/>
      </c>
    </row>
    <row r="1375">
      <c r="A1375">
        <f>IF(PNL!A1375="","",PNL!A1375)</f>
        <v/>
      </c>
      <c r="B1375">
        <f>IF(PNL!B1375="","",PNL!B1375)</f>
        <v/>
      </c>
      <c r="C1375">
        <f>IF(PNL!C1375="","",PNL!C1375)</f>
        <v/>
      </c>
      <c r="D1375">
        <f>IF(PNL!D1375="","",PNL!D1375)</f>
        <v/>
      </c>
      <c r="E1375">
        <f>IF($A1375="","",IF(AND($C1375="2027",OR($D1375="V01",$D1375="V02",$D1375="V03")),1,0))</f>
        <v/>
      </c>
      <c r="F1375">
        <f>IF($A1375="","",IF($E1375=1,SUMIFS(Comptabilité!$F$1:$F$675,Comptabilité!$A$1:$A$675,$A1375,Comptabilité!$B$1:$B$675,$B1375,Comptabilité!$C$1:$C$675,"2026"),0))</f>
        <v/>
      </c>
      <c r="G1375">
        <f>IF($A1375="","",IF($D1375="V01",Cadrage!$C$22,IF($D1375="V02",Cadrage!$D$22,Cadrage!$E$22)))</f>
        <v/>
      </c>
      <c r="H1375">
        <f>IF($A1375="","",IF($D1375="V01",Cadrage!$C$23,IF($D1375="V02",Cadrage!$D$23,Cadrage!$E$23)))</f>
        <v/>
      </c>
      <c r="I1375">
        <f>IF($A1375="","",IF($D1375="V01",Cadrage!$C$31,IF($D1375="V02",Cadrage!$D$31,Cadrage!$E$31)))</f>
        <v/>
      </c>
      <c r="J1375">
        <f>IF($A1375="","",IF($D1375="V01",Cadrage!$C$32,IF($D1375="V02",Cadrage!$D$32,Cadrage!$E$32)))</f>
        <v/>
      </c>
      <c r="K1375">
        <f>IF($A1375="","",IF($D1375="V01",Cadrage!$C$33,IF($D1375="V02",Cadrage!$D$33,Cadrage!$E$33)))</f>
        <v/>
      </c>
      <c r="L1375">
        <f>IF($A1375="","",IF($D1375="V01",Cadrage!$C$34,IF($D1375="V02",Cadrage!$D$34,Cadrage!$E$34)))</f>
        <v/>
      </c>
      <c r="M1375">
        <f>IF($A1375="","",IF($D1375="V01",Cadrage!$C$35,IF($D1375="V02",Cadrage!$D$35,Cadrage!$E$35)))</f>
        <v/>
      </c>
      <c r="N1375">
        <f>IF($A1375="","",IF($D1375="V01",$R$2,IF($D1375="V02",$R$3,$R$4)))</f>
        <v/>
      </c>
      <c r="O1375">
        <f>IF($A1375="","",IF(OR($B1375="7062",$B1375="706",$B1375="708"),$N1375,IF($B1375="6231",1+$G1375,IF($B1375="6236",1+$H1375,IF(OR($B1375="621",$B1375="604",$B1375="6063"),$N1375*(1-$L1375),IF(OR($B1375="6411",$B1375="6413",$B1375="6414",$B1375="645"),(1+$J1375)*(1+$K1375),IF(OR($B1375="613",$B1375="615",$B1375="616",$B1375="6226",$B1375="625",$B1375="626",$B1375="6281"),(1+$I1375)*(1-$L1375)*(1+$M1375),IF(OR($B1375="6331",$B1375="63511",$B1375="6333"),(1+$I1375)*(1-$L1375),IF($B1375="6811",1+$I1375,1)))))))))</f>
        <v/>
      </c>
      <c r="P1375">
        <f>IF($A1375="","",IF($E1375=1,$F1375*$O1375,PNL!G1375))</f>
        <v/>
      </c>
    </row>
    <row r="1376">
      <c r="A1376">
        <f>IF(PNL!A1376="","",PNL!A1376)</f>
        <v/>
      </c>
      <c r="B1376">
        <f>IF(PNL!B1376="","",PNL!B1376)</f>
        <v/>
      </c>
      <c r="C1376">
        <f>IF(PNL!C1376="","",PNL!C1376)</f>
        <v/>
      </c>
      <c r="D1376">
        <f>IF(PNL!D1376="","",PNL!D1376)</f>
        <v/>
      </c>
      <c r="E1376">
        <f>IF($A1376="","",IF(AND($C1376="2027",OR($D1376="V01",$D1376="V02",$D1376="V03")),1,0))</f>
        <v/>
      </c>
      <c r="F1376">
        <f>IF($A1376="","",IF($E1376=1,SUMIFS(Comptabilité!$F$1:$F$675,Comptabilité!$A$1:$A$675,$A1376,Comptabilité!$B$1:$B$675,$B1376,Comptabilité!$C$1:$C$675,"2026"),0))</f>
        <v/>
      </c>
      <c r="G1376">
        <f>IF($A1376="","",IF($D1376="V01",Cadrage!$C$22,IF($D1376="V02",Cadrage!$D$22,Cadrage!$E$22)))</f>
        <v/>
      </c>
      <c r="H1376">
        <f>IF($A1376="","",IF($D1376="V01",Cadrage!$C$23,IF($D1376="V02",Cadrage!$D$23,Cadrage!$E$23)))</f>
        <v/>
      </c>
      <c r="I1376">
        <f>IF($A1376="","",IF($D1376="V01",Cadrage!$C$31,IF($D1376="V02",Cadrage!$D$31,Cadrage!$E$31)))</f>
        <v/>
      </c>
      <c r="J1376">
        <f>IF($A1376="","",IF($D1376="V01",Cadrage!$C$32,IF($D1376="V02",Cadrage!$D$32,Cadrage!$E$32)))</f>
        <v/>
      </c>
      <c r="K1376">
        <f>IF($A1376="","",IF($D1376="V01",Cadrage!$C$33,IF($D1376="V02",Cadrage!$D$33,Cadrage!$E$33)))</f>
        <v/>
      </c>
      <c r="L1376">
        <f>IF($A1376="","",IF($D1376="V01",Cadrage!$C$34,IF($D1376="V02",Cadrage!$D$34,Cadrage!$E$34)))</f>
        <v/>
      </c>
      <c r="M1376">
        <f>IF($A1376="","",IF($D1376="V01",Cadrage!$C$35,IF($D1376="V02",Cadrage!$D$35,Cadrage!$E$35)))</f>
        <v/>
      </c>
      <c r="N1376">
        <f>IF($A1376="","",IF($D1376="V01",$R$2,IF($D1376="V02",$R$3,$R$4)))</f>
        <v/>
      </c>
      <c r="O1376">
        <f>IF($A1376="","",IF(OR($B1376="7062",$B1376="706",$B1376="708"),$N1376,IF($B1376="6231",1+$G1376,IF($B1376="6236",1+$H1376,IF(OR($B1376="621",$B1376="604",$B1376="6063"),$N1376*(1-$L1376),IF(OR($B1376="6411",$B1376="6413",$B1376="6414",$B1376="645"),(1+$J1376)*(1+$K1376),IF(OR($B1376="613",$B1376="615",$B1376="616",$B1376="6226",$B1376="625",$B1376="626",$B1376="6281"),(1+$I1376)*(1-$L1376)*(1+$M1376),IF(OR($B1376="6331",$B1376="63511",$B1376="6333"),(1+$I1376)*(1-$L1376),IF($B1376="6811",1+$I1376,1)))))))))</f>
        <v/>
      </c>
      <c r="P1376">
        <f>IF($A1376="","",IF($E1376=1,$F1376*$O1376,PNL!G1376))</f>
        <v/>
      </c>
    </row>
    <row r="1377">
      <c r="A1377">
        <f>IF(PNL!A1377="","",PNL!A1377)</f>
        <v/>
      </c>
      <c r="B1377">
        <f>IF(PNL!B1377="","",PNL!B1377)</f>
        <v/>
      </c>
      <c r="C1377">
        <f>IF(PNL!C1377="","",PNL!C1377)</f>
        <v/>
      </c>
      <c r="D1377">
        <f>IF(PNL!D1377="","",PNL!D1377)</f>
        <v/>
      </c>
      <c r="E1377">
        <f>IF($A1377="","",IF(AND($C1377="2027",OR($D1377="V01",$D1377="V02",$D1377="V03")),1,0))</f>
        <v/>
      </c>
      <c r="F1377">
        <f>IF($A1377="","",IF($E1377=1,SUMIFS(Comptabilité!$F$1:$F$675,Comptabilité!$A$1:$A$675,$A1377,Comptabilité!$B$1:$B$675,$B1377,Comptabilité!$C$1:$C$675,"2026"),0))</f>
        <v/>
      </c>
      <c r="G1377">
        <f>IF($A1377="","",IF($D1377="V01",Cadrage!$C$22,IF($D1377="V02",Cadrage!$D$22,Cadrage!$E$22)))</f>
        <v/>
      </c>
      <c r="H1377">
        <f>IF($A1377="","",IF($D1377="V01",Cadrage!$C$23,IF($D1377="V02",Cadrage!$D$23,Cadrage!$E$23)))</f>
        <v/>
      </c>
      <c r="I1377">
        <f>IF($A1377="","",IF($D1377="V01",Cadrage!$C$31,IF($D1377="V02",Cadrage!$D$31,Cadrage!$E$31)))</f>
        <v/>
      </c>
      <c r="J1377">
        <f>IF($A1377="","",IF($D1377="V01",Cadrage!$C$32,IF($D1377="V02",Cadrage!$D$32,Cadrage!$E$32)))</f>
        <v/>
      </c>
      <c r="K1377">
        <f>IF($A1377="","",IF($D1377="V01",Cadrage!$C$33,IF($D1377="V02",Cadrage!$D$33,Cadrage!$E$33)))</f>
        <v/>
      </c>
      <c r="L1377">
        <f>IF($A1377="","",IF($D1377="V01",Cadrage!$C$34,IF($D1377="V02",Cadrage!$D$34,Cadrage!$E$34)))</f>
        <v/>
      </c>
      <c r="M1377">
        <f>IF($A1377="","",IF($D1377="V01",Cadrage!$C$35,IF($D1377="V02",Cadrage!$D$35,Cadrage!$E$35)))</f>
        <v/>
      </c>
      <c r="N1377">
        <f>IF($A1377="","",IF($D1377="V01",$R$2,IF($D1377="V02",$R$3,$R$4)))</f>
        <v/>
      </c>
      <c r="O1377">
        <f>IF($A1377="","",IF(OR($B1377="7062",$B1377="706",$B1377="708"),$N1377,IF($B1377="6231",1+$G1377,IF($B1377="6236",1+$H1377,IF(OR($B1377="621",$B1377="604",$B1377="6063"),$N1377*(1-$L1377),IF(OR($B1377="6411",$B1377="6413",$B1377="6414",$B1377="645"),(1+$J1377)*(1+$K1377),IF(OR($B1377="613",$B1377="615",$B1377="616",$B1377="6226",$B1377="625",$B1377="626",$B1377="6281"),(1+$I1377)*(1-$L1377)*(1+$M1377),IF(OR($B1377="6331",$B1377="63511",$B1377="6333"),(1+$I1377)*(1-$L1377),IF($B1377="6811",1+$I1377,1)))))))))</f>
        <v/>
      </c>
      <c r="P1377">
        <f>IF($A1377="","",IF($E1377=1,$F1377*$O1377,PNL!G1377))</f>
        <v/>
      </c>
    </row>
    <row r="1378">
      <c r="A1378">
        <f>IF(PNL!A1378="","",PNL!A1378)</f>
        <v/>
      </c>
      <c r="B1378">
        <f>IF(PNL!B1378="","",PNL!B1378)</f>
        <v/>
      </c>
      <c r="C1378">
        <f>IF(PNL!C1378="","",PNL!C1378)</f>
        <v/>
      </c>
      <c r="D1378">
        <f>IF(PNL!D1378="","",PNL!D1378)</f>
        <v/>
      </c>
      <c r="E1378">
        <f>IF($A1378="","",IF(AND($C1378="2027",OR($D1378="V01",$D1378="V02",$D1378="V03")),1,0))</f>
        <v/>
      </c>
      <c r="F1378">
        <f>IF($A1378="","",IF($E1378=1,SUMIFS(Comptabilité!$F$1:$F$675,Comptabilité!$A$1:$A$675,$A1378,Comptabilité!$B$1:$B$675,$B1378,Comptabilité!$C$1:$C$675,"2026"),0))</f>
        <v/>
      </c>
      <c r="G1378">
        <f>IF($A1378="","",IF($D1378="V01",Cadrage!$C$22,IF($D1378="V02",Cadrage!$D$22,Cadrage!$E$22)))</f>
        <v/>
      </c>
      <c r="H1378">
        <f>IF($A1378="","",IF($D1378="V01",Cadrage!$C$23,IF($D1378="V02",Cadrage!$D$23,Cadrage!$E$23)))</f>
        <v/>
      </c>
      <c r="I1378">
        <f>IF($A1378="","",IF($D1378="V01",Cadrage!$C$31,IF($D1378="V02",Cadrage!$D$31,Cadrage!$E$31)))</f>
        <v/>
      </c>
      <c r="J1378">
        <f>IF($A1378="","",IF($D1378="V01",Cadrage!$C$32,IF($D1378="V02",Cadrage!$D$32,Cadrage!$E$32)))</f>
        <v/>
      </c>
      <c r="K1378">
        <f>IF($A1378="","",IF($D1378="V01",Cadrage!$C$33,IF($D1378="V02",Cadrage!$D$33,Cadrage!$E$33)))</f>
        <v/>
      </c>
      <c r="L1378">
        <f>IF($A1378="","",IF($D1378="V01",Cadrage!$C$34,IF($D1378="V02",Cadrage!$D$34,Cadrage!$E$34)))</f>
        <v/>
      </c>
      <c r="M1378">
        <f>IF($A1378="","",IF($D1378="V01",Cadrage!$C$35,IF($D1378="V02",Cadrage!$D$35,Cadrage!$E$35)))</f>
        <v/>
      </c>
      <c r="N1378">
        <f>IF($A1378="","",IF($D1378="V01",$R$2,IF($D1378="V02",$R$3,$R$4)))</f>
        <v/>
      </c>
      <c r="O1378">
        <f>IF($A1378="","",IF(OR($B1378="7062",$B1378="706",$B1378="708"),$N1378,IF($B1378="6231",1+$G1378,IF($B1378="6236",1+$H1378,IF(OR($B1378="621",$B1378="604",$B1378="6063"),$N1378*(1-$L1378),IF(OR($B1378="6411",$B1378="6413",$B1378="6414",$B1378="645"),(1+$J1378)*(1+$K1378),IF(OR($B1378="613",$B1378="615",$B1378="616",$B1378="6226",$B1378="625",$B1378="626",$B1378="6281"),(1+$I1378)*(1-$L1378)*(1+$M1378),IF(OR($B1378="6331",$B1378="63511",$B1378="6333"),(1+$I1378)*(1-$L1378),IF($B1378="6811",1+$I1378,1)))))))))</f>
        <v/>
      </c>
      <c r="P1378">
        <f>IF($A1378="","",IF($E1378=1,$F1378*$O1378,PNL!G1378))</f>
        <v/>
      </c>
    </row>
    <row r="1379">
      <c r="A1379">
        <f>IF(PNL!A1379="","",PNL!A1379)</f>
        <v/>
      </c>
      <c r="B1379">
        <f>IF(PNL!B1379="","",PNL!B1379)</f>
        <v/>
      </c>
      <c r="C1379">
        <f>IF(PNL!C1379="","",PNL!C1379)</f>
        <v/>
      </c>
      <c r="D1379">
        <f>IF(PNL!D1379="","",PNL!D1379)</f>
        <v/>
      </c>
      <c r="E1379">
        <f>IF($A1379="","",IF(AND($C1379="2027",OR($D1379="V01",$D1379="V02",$D1379="V03")),1,0))</f>
        <v/>
      </c>
      <c r="F1379">
        <f>IF($A1379="","",IF($E1379=1,SUMIFS(Comptabilité!$F$1:$F$675,Comptabilité!$A$1:$A$675,$A1379,Comptabilité!$B$1:$B$675,$B1379,Comptabilité!$C$1:$C$675,"2026"),0))</f>
        <v/>
      </c>
      <c r="G1379">
        <f>IF($A1379="","",IF($D1379="V01",Cadrage!$C$22,IF($D1379="V02",Cadrage!$D$22,Cadrage!$E$22)))</f>
        <v/>
      </c>
      <c r="H1379">
        <f>IF($A1379="","",IF($D1379="V01",Cadrage!$C$23,IF($D1379="V02",Cadrage!$D$23,Cadrage!$E$23)))</f>
        <v/>
      </c>
      <c r="I1379">
        <f>IF($A1379="","",IF($D1379="V01",Cadrage!$C$31,IF($D1379="V02",Cadrage!$D$31,Cadrage!$E$31)))</f>
        <v/>
      </c>
      <c r="J1379">
        <f>IF($A1379="","",IF($D1379="V01",Cadrage!$C$32,IF($D1379="V02",Cadrage!$D$32,Cadrage!$E$32)))</f>
        <v/>
      </c>
      <c r="K1379">
        <f>IF($A1379="","",IF($D1379="V01",Cadrage!$C$33,IF($D1379="V02",Cadrage!$D$33,Cadrage!$E$33)))</f>
        <v/>
      </c>
      <c r="L1379">
        <f>IF($A1379="","",IF($D1379="V01",Cadrage!$C$34,IF($D1379="V02",Cadrage!$D$34,Cadrage!$E$34)))</f>
        <v/>
      </c>
      <c r="M1379">
        <f>IF($A1379="","",IF($D1379="V01",Cadrage!$C$35,IF($D1379="V02",Cadrage!$D$35,Cadrage!$E$35)))</f>
        <v/>
      </c>
      <c r="N1379">
        <f>IF($A1379="","",IF($D1379="V01",$R$2,IF($D1379="V02",$R$3,$R$4)))</f>
        <v/>
      </c>
      <c r="O1379">
        <f>IF($A1379="","",IF(OR($B1379="7062",$B1379="706",$B1379="708"),$N1379,IF($B1379="6231",1+$G1379,IF($B1379="6236",1+$H1379,IF(OR($B1379="621",$B1379="604",$B1379="6063"),$N1379*(1-$L1379),IF(OR($B1379="6411",$B1379="6413",$B1379="6414",$B1379="645"),(1+$J1379)*(1+$K1379),IF(OR($B1379="613",$B1379="615",$B1379="616",$B1379="6226",$B1379="625",$B1379="626",$B1379="6281"),(1+$I1379)*(1-$L1379)*(1+$M1379),IF(OR($B1379="6331",$B1379="63511",$B1379="6333"),(1+$I1379)*(1-$L1379),IF($B1379="6811",1+$I1379,1)))))))))</f>
        <v/>
      </c>
      <c r="P1379">
        <f>IF($A1379="","",IF($E1379=1,$F1379*$O1379,PNL!G1379))</f>
        <v/>
      </c>
    </row>
    <row r="1380">
      <c r="A1380">
        <f>IF(PNL!A1380="","",PNL!A1380)</f>
        <v/>
      </c>
      <c r="B1380">
        <f>IF(PNL!B1380="","",PNL!B1380)</f>
        <v/>
      </c>
      <c r="C1380">
        <f>IF(PNL!C1380="","",PNL!C1380)</f>
        <v/>
      </c>
      <c r="D1380">
        <f>IF(PNL!D1380="","",PNL!D1380)</f>
        <v/>
      </c>
      <c r="E1380">
        <f>IF($A1380="","",IF(AND($C1380="2027",OR($D1380="V01",$D1380="V02",$D1380="V03")),1,0))</f>
        <v/>
      </c>
      <c r="F1380">
        <f>IF($A1380="","",IF($E1380=1,SUMIFS(Comptabilité!$F$1:$F$675,Comptabilité!$A$1:$A$675,$A1380,Comptabilité!$B$1:$B$675,$B1380,Comptabilité!$C$1:$C$675,"2026"),0))</f>
        <v/>
      </c>
      <c r="G1380">
        <f>IF($A1380="","",IF($D1380="V01",Cadrage!$C$22,IF($D1380="V02",Cadrage!$D$22,Cadrage!$E$22)))</f>
        <v/>
      </c>
      <c r="H1380">
        <f>IF($A1380="","",IF($D1380="V01",Cadrage!$C$23,IF($D1380="V02",Cadrage!$D$23,Cadrage!$E$23)))</f>
        <v/>
      </c>
      <c r="I1380">
        <f>IF($A1380="","",IF($D1380="V01",Cadrage!$C$31,IF($D1380="V02",Cadrage!$D$31,Cadrage!$E$31)))</f>
        <v/>
      </c>
      <c r="J1380">
        <f>IF($A1380="","",IF($D1380="V01",Cadrage!$C$32,IF($D1380="V02",Cadrage!$D$32,Cadrage!$E$32)))</f>
        <v/>
      </c>
      <c r="K1380">
        <f>IF($A1380="","",IF($D1380="V01",Cadrage!$C$33,IF($D1380="V02",Cadrage!$D$33,Cadrage!$E$33)))</f>
        <v/>
      </c>
      <c r="L1380">
        <f>IF($A1380="","",IF($D1380="V01",Cadrage!$C$34,IF($D1380="V02",Cadrage!$D$34,Cadrage!$E$34)))</f>
        <v/>
      </c>
      <c r="M1380">
        <f>IF($A1380="","",IF($D1380="V01",Cadrage!$C$35,IF($D1380="V02",Cadrage!$D$35,Cadrage!$E$35)))</f>
        <v/>
      </c>
      <c r="N1380">
        <f>IF($A1380="","",IF($D1380="V01",$R$2,IF($D1380="V02",$R$3,$R$4)))</f>
        <v/>
      </c>
      <c r="O1380">
        <f>IF($A1380="","",IF(OR($B1380="7062",$B1380="706",$B1380="708"),$N1380,IF($B1380="6231",1+$G1380,IF($B1380="6236",1+$H1380,IF(OR($B1380="621",$B1380="604",$B1380="6063"),$N1380*(1-$L1380),IF(OR($B1380="6411",$B1380="6413",$B1380="6414",$B1380="645"),(1+$J1380)*(1+$K1380),IF(OR($B1380="613",$B1380="615",$B1380="616",$B1380="6226",$B1380="625",$B1380="626",$B1380="6281"),(1+$I1380)*(1-$L1380)*(1+$M1380),IF(OR($B1380="6331",$B1380="63511",$B1380="6333"),(1+$I1380)*(1-$L1380),IF($B1380="6811",1+$I1380,1)))))))))</f>
        <v/>
      </c>
      <c r="P1380">
        <f>IF($A1380="","",IF($E1380=1,$F1380*$O1380,PNL!G1380))</f>
        <v/>
      </c>
    </row>
    <row r="1381">
      <c r="A1381">
        <f>IF(PNL!A1381="","",PNL!A1381)</f>
        <v/>
      </c>
      <c r="B1381">
        <f>IF(PNL!B1381="","",PNL!B1381)</f>
        <v/>
      </c>
      <c r="C1381">
        <f>IF(PNL!C1381="","",PNL!C1381)</f>
        <v/>
      </c>
      <c r="D1381">
        <f>IF(PNL!D1381="","",PNL!D1381)</f>
        <v/>
      </c>
      <c r="E1381">
        <f>IF($A1381="","",IF(AND($C1381="2027",OR($D1381="V01",$D1381="V02",$D1381="V03")),1,0))</f>
        <v/>
      </c>
      <c r="F1381">
        <f>IF($A1381="","",IF($E1381=1,SUMIFS(Comptabilité!$F$1:$F$675,Comptabilité!$A$1:$A$675,$A1381,Comptabilité!$B$1:$B$675,$B1381,Comptabilité!$C$1:$C$675,"2026"),0))</f>
        <v/>
      </c>
      <c r="G1381">
        <f>IF($A1381="","",IF($D1381="V01",Cadrage!$C$22,IF($D1381="V02",Cadrage!$D$22,Cadrage!$E$22)))</f>
        <v/>
      </c>
      <c r="H1381">
        <f>IF($A1381="","",IF($D1381="V01",Cadrage!$C$23,IF($D1381="V02",Cadrage!$D$23,Cadrage!$E$23)))</f>
        <v/>
      </c>
      <c r="I1381">
        <f>IF($A1381="","",IF($D1381="V01",Cadrage!$C$31,IF($D1381="V02",Cadrage!$D$31,Cadrage!$E$31)))</f>
        <v/>
      </c>
      <c r="J1381">
        <f>IF($A1381="","",IF($D1381="V01",Cadrage!$C$32,IF($D1381="V02",Cadrage!$D$32,Cadrage!$E$32)))</f>
        <v/>
      </c>
      <c r="K1381">
        <f>IF($A1381="","",IF($D1381="V01",Cadrage!$C$33,IF($D1381="V02",Cadrage!$D$33,Cadrage!$E$33)))</f>
        <v/>
      </c>
      <c r="L1381">
        <f>IF($A1381="","",IF($D1381="V01",Cadrage!$C$34,IF($D1381="V02",Cadrage!$D$34,Cadrage!$E$34)))</f>
        <v/>
      </c>
      <c r="M1381">
        <f>IF($A1381="","",IF($D1381="V01",Cadrage!$C$35,IF($D1381="V02",Cadrage!$D$35,Cadrage!$E$35)))</f>
        <v/>
      </c>
      <c r="N1381">
        <f>IF($A1381="","",IF($D1381="V01",$R$2,IF($D1381="V02",$R$3,$R$4)))</f>
        <v/>
      </c>
      <c r="O1381">
        <f>IF($A1381="","",IF(OR($B1381="7062",$B1381="706",$B1381="708"),$N1381,IF($B1381="6231",1+$G1381,IF($B1381="6236",1+$H1381,IF(OR($B1381="621",$B1381="604",$B1381="6063"),$N1381*(1-$L1381),IF(OR($B1381="6411",$B1381="6413",$B1381="6414",$B1381="645"),(1+$J1381)*(1+$K1381),IF(OR($B1381="613",$B1381="615",$B1381="616",$B1381="6226",$B1381="625",$B1381="626",$B1381="6281"),(1+$I1381)*(1-$L1381)*(1+$M1381),IF(OR($B1381="6331",$B1381="63511",$B1381="6333"),(1+$I1381)*(1-$L1381),IF($B1381="6811",1+$I1381,1)))))))))</f>
        <v/>
      </c>
      <c r="P1381">
        <f>IF($A1381="","",IF($E1381=1,$F1381*$O1381,PNL!G1381))</f>
        <v/>
      </c>
    </row>
    <row r="1382">
      <c r="A1382">
        <f>IF(PNL!A1382="","",PNL!A1382)</f>
        <v/>
      </c>
      <c r="B1382">
        <f>IF(PNL!B1382="","",PNL!B1382)</f>
        <v/>
      </c>
      <c r="C1382">
        <f>IF(PNL!C1382="","",PNL!C1382)</f>
        <v/>
      </c>
      <c r="D1382">
        <f>IF(PNL!D1382="","",PNL!D1382)</f>
        <v/>
      </c>
      <c r="E1382">
        <f>IF($A1382="","",IF(AND($C1382="2027",OR($D1382="V01",$D1382="V02",$D1382="V03")),1,0))</f>
        <v/>
      </c>
      <c r="F1382">
        <f>IF($A1382="","",IF($E1382=1,SUMIFS(Comptabilité!$F$1:$F$675,Comptabilité!$A$1:$A$675,$A1382,Comptabilité!$B$1:$B$675,$B1382,Comptabilité!$C$1:$C$675,"2026"),0))</f>
        <v/>
      </c>
      <c r="G1382">
        <f>IF($A1382="","",IF($D1382="V01",Cadrage!$C$22,IF($D1382="V02",Cadrage!$D$22,Cadrage!$E$22)))</f>
        <v/>
      </c>
      <c r="H1382">
        <f>IF($A1382="","",IF($D1382="V01",Cadrage!$C$23,IF($D1382="V02",Cadrage!$D$23,Cadrage!$E$23)))</f>
        <v/>
      </c>
      <c r="I1382">
        <f>IF($A1382="","",IF($D1382="V01",Cadrage!$C$31,IF($D1382="V02",Cadrage!$D$31,Cadrage!$E$31)))</f>
        <v/>
      </c>
      <c r="J1382">
        <f>IF($A1382="","",IF($D1382="V01",Cadrage!$C$32,IF($D1382="V02",Cadrage!$D$32,Cadrage!$E$32)))</f>
        <v/>
      </c>
      <c r="K1382">
        <f>IF($A1382="","",IF($D1382="V01",Cadrage!$C$33,IF($D1382="V02",Cadrage!$D$33,Cadrage!$E$33)))</f>
        <v/>
      </c>
      <c r="L1382">
        <f>IF($A1382="","",IF($D1382="V01",Cadrage!$C$34,IF($D1382="V02",Cadrage!$D$34,Cadrage!$E$34)))</f>
        <v/>
      </c>
      <c r="M1382">
        <f>IF($A1382="","",IF($D1382="V01",Cadrage!$C$35,IF($D1382="V02",Cadrage!$D$35,Cadrage!$E$35)))</f>
        <v/>
      </c>
      <c r="N1382">
        <f>IF($A1382="","",IF($D1382="V01",$R$2,IF($D1382="V02",$R$3,$R$4)))</f>
        <v/>
      </c>
      <c r="O1382">
        <f>IF($A1382="","",IF(OR($B1382="7062",$B1382="706",$B1382="708"),$N1382,IF($B1382="6231",1+$G1382,IF($B1382="6236",1+$H1382,IF(OR($B1382="621",$B1382="604",$B1382="6063"),$N1382*(1-$L1382),IF(OR($B1382="6411",$B1382="6413",$B1382="6414",$B1382="645"),(1+$J1382)*(1+$K1382),IF(OR($B1382="613",$B1382="615",$B1382="616",$B1382="6226",$B1382="625",$B1382="626",$B1382="6281"),(1+$I1382)*(1-$L1382)*(1+$M1382),IF(OR($B1382="6331",$B1382="63511",$B1382="6333"),(1+$I1382)*(1-$L1382),IF($B1382="6811",1+$I1382,1)))))))))</f>
        <v/>
      </c>
      <c r="P1382">
        <f>IF($A1382="","",IF($E1382=1,$F1382*$O1382,PNL!G1382))</f>
        <v/>
      </c>
    </row>
    <row r="1383">
      <c r="A1383">
        <f>IF(PNL!A1383="","",PNL!A1383)</f>
        <v/>
      </c>
      <c r="B1383">
        <f>IF(PNL!B1383="","",PNL!B1383)</f>
        <v/>
      </c>
      <c r="C1383">
        <f>IF(PNL!C1383="","",PNL!C1383)</f>
        <v/>
      </c>
      <c r="D1383">
        <f>IF(PNL!D1383="","",PNL!D1383)</f>
        <v/>
      </c>
      <c r="E1383">
        <f>IF($A1383="","",IF(AND($C1383="2027",OR($D1383="V01",$D1383="V02",$D1383="V03")),1,0))</f>
        <v/>
      </c>
      <c r="F1383">
        <f>IF($A1383="","",IF($E1383=1,SUMIFS(Comptabilité!$F$1:$F$675,Comptabilité!$A$1:$A$675,$A1383,Comptabilité!$B$1:$B$675,$B1383,Comptabilité!$C$1:$C$675,"2026"),0))</f>
        <v/>
      </c>
      <c r="G1383">
        <f>IF($A1383="","",IF($D1383="V01",Cadrage!$C$22,IF($D1383="V02",Cadrage!$D$22,Cadrage!$E$22)))</f>
        <v/>
      </c>
      <c r="H1383">
        <f>IF($A1383="","",IF($D1383="V01",Cadrage!$C$23,IF($D1383="V02",Cadrage!$D$23,Cadrage!$E$23)))</f>
        <v/>
      </c>
      <c r="I1383">
        <f>IF($A1383="","",IF($D1383="V01",Cadrage!$C$31,IF($D1383="V02",Cadrage!$D$31,Cadrage!$E$31)))</f>
        <v/>
      </c>
      <c r="J1383">
        <f>IF($A1383="","",IF($D1383="V01",Cadrage!$C$32,IF($D1383="V02",Cadrage!$D$32,Cadrage!$E$32)))</f>
        <v/>
      </c>
      <c r="K1383">
        <f>IF($A1383="","",IF($D1383="V01",Cadrage!$C$33,IF($D1383="V02",Cadrage!$D$33,Cadrage!$E$33)))</f>
        <v/>
      </c>
      <c r="L1383">
        <f>IF($A1383="","",IF($D1383="V01",Cadrage!$C$34,IF($D1383="V02",Cadrage!$D$34,Cadrage!$E$34)))</f>
        <v/>
      </c>
      <c r="M1383">
        <f>IF($A1383="","",IF($D1383="V01",Cadrage!$C$35,IF($D1383="V02",Cadrage!$D$35,Cadrage!$E$35)))</f>
        <v/>
      </c>
      <c r="N1383">
        <f>IF($A1383="","",IF($D1383="V01",$R$2,IF($D1383="V02",$R$3,$R$4)))</f>
        <v/>
      </c>
      <c r="O1383">
        <f>IF($A1383="","",IF(OR($B1383="7062",$B1383="706",$B1383="708"),$N1383,IF($B1383="6231",1+$G1383,IF($B1383="6236",1+$H1383,IF(OR($B1383="621",$B1383="604",$B1383="6063"),$N1383*(1-$L1383),IF(OR($B1383="6411",$B1383="6413",$B1383="6414",$B1383="645"),(1+$J1383)*(1+$K1383),IF(OR($B1383="613",$B1383="615",$B1383="616",$B1383="6226",$B1383="625",$B1383="626",$B1383="6281"),(1+$I1383)*(1-$L1383)*(1+$M1383),IF(OR($B1383="6331",$B1383="63511",$B1383="6333"),(1+$I1383)*(1-$L1383),IF($B1383="6811",1+$I1383,1)))))))))</f>
        <v/>
      </c>
      <c r="P1383">
        <f>IF($A1383="","",IF($E1383=1,$F1383*$O1383,PNL!G1383))</f>
        <v/>
      </c>
    </row>
    <row r="1384">
      <c r="A1384">
        <f>IF(PNL!A1384="","",PNL!A1384)</f>
        <v/>
      </c>
      <c r="B1384">
        <f>IF(PNL!B1384="","",PNL!B1384)</f>
        <v/>
      </c>
      <c r="C1384">
        <f>IF(PNL!C1384="","",PNL!C1384)</f>
        <v/>
      </c>
      <c r="D1384">
        <f>IF(PNL!D1384="","",PNL!D1384)</f>
        <v/>
      </c>
      <c r="E1384">
        <f>IF($A1384="","",IF(AND($C1384="2027",OR($D1384="V01",$D1384="V02",$D1384="V03")),1,0))</f>
        <v/>
      </c>
      <c r="F1384">
        <f>IF($A1384="","",IF($E1384=1,SUMIFS(Comptabilité!$F$1:$F$675,Comptabilité!$A$1:$A$675,$A1384,Comptabilité!$B$1:$B$675,$B1384,Comptabilité!$C$1:$C$675,"2026"),0))</f>
        <v/>
      </c>
      <c r="G1384">
        <f>IF($A1384="","",IF($D1384="V01",Cadrage!$C$22,IF($D1384="V02",Cadrage!$D$22,Cadrage!$E$22)))</f>
        <v/>
      </c>
      <c r="H1384">
        <f>IF($A1384="","",IF($D1384="V01",Cadrage!$C$23,IF($D1384="V02",Cadrage!$D$23,Cadrage!$E$23)))</f>
        <v/>
      </c>
      <c r="I1384">
        <f>IF($A1384="","",IF($D1384="V01",Cadrage!$C$31,IF($D1384="V02",Cadrage!$D$31,Cadrage!$E$31)))</f>
        <v/>
      </c>
      <c r="J1384">
        <f>IF($A1384="","",IF($D1384="V01",Cadrage!$C$32,IF($D1384="V02",Cadrage!$D$32,Cadrage!$E$32)))</f>
        <v/>
      </c>
      <c r="K1384">
        <f>IF($A1384="","",IF($D1384="V01",Cadrage!$C$33,IF($D1384="V02",Cadrage!$D$33,Cadrage!$E$33)))</f>
        <v/>
      </c>
      <c r="L1384">
        <f>IF($A1384="","",IF($D1384="V01",Cadrage!$C$34,IF($D1384="V02",Cadrage!$D$34,Cadrage!$E$34)))</f>
        <v/>
      </c>
      <c r="M1384">
        <f>IF($A1384="","",IF($D1384="V01",Cadrage!$C$35,IF($D1384="V02",Cadrage!$D$35,Cadrage!$E$35)))</f>
        <v/>
      </c>
      <c r="N1384">
        <f>IF($A1384="","",IF($D1384="V01",$R$2,IF($D1384="V02",$R$3,$R$4)))</f>
        <v/>
      </c>
      <c r="O1384">
        <f>IF($A1384="","",IF(OR($B1384="7062",$B1384="706",$B1384="708"),$N1384,IF($B1384="6231",1+$G1384,IF($B1384="6236",1+$H1384,IF(OR($B1384="621",$B1384="604",$B1384="6063"),$N1384*(1-$L1384),IF(OR($B1384="6411",$B1384="6413",$B1384="6414",$B1384="645"),(1+$J1384)*(1+$K1384),IF(OR($B1384="613",$B1384="615",$B1384="616",$B1384="6226",$B1384="625",$B1384="626",$B1384="6281"),(1+$I1384)*(1-$L1384)*(1+$M1384),IF(OR($B1384="6331",$B1384="63511",$B1384="6333"),(1+$I1384)*(1-$L1384),IF($B1384="6811",1+$I1384,1)))))))))</f>
        <v/>
      </c>
      <c r="P1384">
        <f>IF($A1384="","",IF($E1384=1,$F1384*$O1384,PNL!G1384))</f>
        <v/>
      </c>
    </row>
    <row r="1385">
      <c r="A1385">
        <f>IF(PNL!A1385="","",PNL!A1385)</f>
        <v/>
      </c>
      <c r="B1385">
        <f>IF(PNL!B1385="","",PNL!B1385)</f>
        <v/>
      </c>
      <c r="C1385">
        <f>IF(PNL!C1385="","",PNL!C1385)</f>
        <v/>
      </c>
      <c r="D1385">
        <f>IF(PNL!D1385="","",PNL!D1385)</f>
        <v/>
      </c>
      <c r="E1385">
        <f>IF($A1385="","",IF(AND($C1385="2027",OR($D1385="V01",$D1385="V02",$D1385="V03")),1,0))</f>
        <v/>
      </c>
      <c r="F1385">
        <f>IF($A1385="","",IF($E1385=1,SUMIFS(Comptabilité!$F$1:$F$675,Comptabilité!$A$1:$A$675,$A1385,Comptabilité!$B$1:$B$675,$B1385,Comptabilité!$C$1:$C$675,"2026"),0))</f>
        <v/>
      </c>
      <c r="G1385">
        <f>IF($A1385="","",IF($D1385="V01",Cadrage!$C$22,IF($D1385="V02",Cadrage!$D$22,Cadrage!$E$22)))</f>
        <v/>
      </c>
      <c r="H1385">
        <f>IF($A1385="","",IF($D1385="V01",Cadrage!$C$23,IF($D1385="V02",Cadrage!$D$23,Cadrage!$E$23)))</f>
        <v/>
      </c>
      <c r="I1385">
        <f>IF($A1385="","",IF($D1385="V01",Cadrage!$C$31,IF($D1385="V02",Cadrage!$D$31,Cadrage!$E$31)))</f>
        <v/>
      </c>
      <c r="J1385">
        <f>IF($A1385="","",IF($D1385="V01",Cadrage!$C$32,IF($D1385="V02",Cadrage!$D$32,Cadrage!$E$32)))</f>
        <v/>
      </c>
      <c r="K1385">
        <f>IF($A1385="","",IF($D1385="V01",Cadrage!$C$33,IF($D1385="V02",Cadrage!$D$33,Cadrage!$E$33)))</f>
        <v/>
      </c>
      <c r="L1385">
        <f>IF($A1385="","",IF($D1385="V01",Cadrage!$C$34,IF($D1385="V02",Cadrage!$D$34,Cadrage!$E$34)))</f>
        <v/>
      </c>
      <c r="M1385">
        <f>IF($A1385="","",IF($D1385="V01",Cadrage!$C$35,IF($D1385="V02",Cadrage!$D$35,Cadrage!$E$35)))</f>
        <v/>
      </c>
      <c r="N1385">
        <f>IF($A1385="","",IF($D1385="V01",$R$2,IF($D1385="V02",$R$3,$R$4)))</f>
        <v/>
      </c>
      <c r="O1385">
        <f>IF($A1385="","",IF(OR($B1385="7062",$B1385="706",$B1385="708"),$N1385,IF($B1385="6231",1+$G1385,IF($B1385="6236",1+$H1385,IF(OR($B1385="621",$B1385="604",$B1385="6063"),$N1385*(1-$L1385),IF(OR($B1385="6411",$B1385="6413",$B1385="6414",$B1385="645"),(1+$J1385)*(1+$K1385),IF(OR($B1385="613",$B1385="615",$B1385="616",$B1385="6226",$B1385="625",$B1385="626",$B1385="6281"),(1+$I1385)*(1-$L1385)*(1+$M1385),IF(OR($B1385="6331",$B1385="63511",$B1385="6333"),(1+$I1385)*(1-$L1385),IF($B1385="6811",1+$I1385,1)))))))))</f>
        <v/>
      </c>
      <c r="P1385">
        <f>IF($A1385="","",IF($E1385=1,$F1385*$O1385,PNL!G1385))</f>
        <v/>
      </c>
    </row>
    <row r="1386">
      <c r="A1386">
        <f>IF(PNL!A1386="","",PNL!A1386)</f>
        <v/>
      </c>
      <c r="B1386">
        <f>IF(PNL!B1386="","",PNL!B1386)</f>
        <v/>
      </c>
      <c r="C1386">
        <f>IF(PNL!C1386="","",PNL!C1386)</f>
        <v/>
      </c>
      <c r="D1386">
        <f>IF(PNL!D1386="","",PNL!D1386)</f>
        <v/>
      </c>
      <c r="E1386">
        <f>IF($A1386="","",IF(AND($C1386="2027",OR($D1386="V01",$D1386="V02",$D1386="V03")),1,0))</f>
        <v/>
      </c>
      <c r="F1386">
        <f>IF($A1386="","",IF($E1386=1,SUMIFS(Comptabilité!$F$1:$F$675,Comptabilité!$A$1:$A$675,$A1386,Comptabilité!$B$1:$B$675,$B1386,Comptabilité!$C$1:$C$675,"2026"),0))</f>
        <v/>
      </c>
      <c r="G1386">
        <f>IF($A1386="","",IF($D1386="V01",Cadrage!$C$22,IF($D1386="V02",Cadrage!$D$22,Cadrage!$E$22)))</f>
        <v/>
      </c>
      <c r="H1386">
        <f>IF($A1386="","",IF($D1386="V01",Cadrage!$C$23,IF($D1386="V02",Cadrage!$D$23,Cadrage!$E$23)))</f>
        <v/>
      </c>
      <c r="I1386">
        <f>IF($A1386="","",IF($D1386="V01",Cadrage!$C$31,IF($D1386="V02",Cadrage!$D$31,Cadrage!$E$31)))</f>
        <v/>
      </c>
      <c r="J1386">
        <f>IF($A1386="","",IF($D1386="V01",Cadrage!$C$32,IF($D1386="V02",Cadrage!$D$32,Cadrage!$E$32)))</f>
        <v/>
      </c>
      <c r="K1386">
        <f>IF($A1386="","",IF($D1386="V01",Cadrage!$C$33,IF($D1386="V02",Cadrage!$D$33,Cadrage!$E$33)))</f>
        <v/>
      </c>
      <c r="L1386">
        <f>IF($A1386="","",IF($D1386="V01",Cadrage!$C$34,IF($D1386="V02",Cadrage!$D$34,Cadrage!$E$34)))</f>
        <v/>
      </c>
      <c r="M1386">
        <f>IF($A1386="","",IF($D1386="V01",Cadrage!$C$35,IF($D1386="V02",Cadrage!$D$35,Cadrage!$E$35)))</f>
        <v/>
      </c>
      <c r="N1386">
        <f>IF($A1386="","",IF($D1386="V01",$R$2,IF($D1386="V02",$R$3,$R$4)))</f>
        <v/>
      </c>
      <c r="O1386">
        <f>IF($A1386="","",IF(OR($B1386="7062",$B1386="706",$B1386="708"),$N1386,IF($B1386="6231",1+$G1386,IF($B1386="6236",1+$H1386,IF(OR($B1386="621",$B1386="604",$B1386="6063"),$N1386*(1-$L1386),IF(OR($B1386="6411",$B1386="6413",$B1386="6414",$B1386="645"),(1+$J1386)*(1+$K1386),IF(OR($B1386="613",$B1386="615",$B1386="616",$B1386="6226",$B1386="625",$B1386="626",$B1386="6281"),(1+$I1386)*(1-$L1386)*(1+$M1386),IF(OR($B1386="6331",$B1386="63511",$B1386="6333"),(1+$I1386)*(1-$L1386),IF($B1386="6811",1+$I1386,1)))))))))</f>
        <v/>
      </c>
      <c r="P1386">
        <f>IF($A1386="","",IF($E1386=1,$F1386*$O1386,PNL!G1386))</f>
        <v/>
      </c>
    </row>
    <row r="1387">
      <c r="A1387">
        <f>IF(PNL!A1387="","",PNL!A1387)</f>
        <v/>
      </c>
      <c r="B1387">
        <f>IF(PNL!B1387="","",PNL!B1387)</f>
        <v/>
      </c>
      <c r="C1387">
        <f>IF(PNL!C1387="","",PNL!C1387)</f>
        <v/>
      </c>
      <c r="D1387">
        <f>IF(PNL!D1387="","",PNL!D1387)</f>
        <v/>
      </c>
      <c r="E1387">
        <f>IF($A1387="","",IF(AND($C1387="2027",OR($D1387="V01",$D1387="V02",$D1387="V03")),1,0))</f>
        <v/>
      </c>
      <c r="F1387">
        <f>IF($A1387="","",IF($E1387=1,SUMIFS(Comptabilité!$F$1:$F$675,Comptabilité!$A$1:$A$675,$A1387,Comptabilité!$B$1:$B$675,$B1387,Comptabilité!$C$1:$C$675,"2026"),0))</f>
        <v/>
      </c>
      <c r="G1387">
        <f>IF($A1387="","",IF($D1387="V01",Cadrage!$C$22,IF($D1387="V02",Cadrage!$D$22,Cadrage!$E$22)))</f>
        <v/>
      </c>
      <c r="H1387">
        <f>IF($A1387="","",IF($D1387="V01",Cadrage!$C$23,IF($D1387="V02",Cadrage!$D$23,Cadrage!$E$23)))</f>
        <v/>
      </c>
      <c r="I1387">
        <f>IF($A1387="","",IF($D1387="V01",Cadrage!$C$31,IF($D1387="V02",Cadrage!$D$31,Cadrage!$E$31)))</f>
        <v/>
      </c>
      <c r="J1387">
        <f>IF($A1387="","",IF($D1387="V01",Cadrage!$C$32,IF($D1387="V02",Cadrage!$D$32,Cadrage!$E$32)))</f>
        <v/>
      </c>
      <c r="K1387">
        <f>IF($A1387="","",IF($D1387="V01",Cadrage!$C$33,IF($D1387="V02",Cadrage!$D$33,Cadrage!$E$33)))</f>
        <v/>
      </c>
      <c r="L1387">
        <f>IF($A1387="","",IF($D1387="V01",Cadrage!$C$34,IF($D1387="V02",Cadrage!$D$34,Cadrage!$E$34)))</f>
        <v/>
      </c>
      <c r="M1387">
        <f>IF($A1387="","",IF($D1387="V01",Cadrage!$C$35,IF($D1387="V02",Cadrage!$D$35,Cadrage!$E$35)))</f>
        <v/>
      </c>
      <c r="N1387">
        <f>IF($A1387="","",IF($D1387="V01",$R$2,IF($D1387="V02",$R$3,$R$4)))</f>
        <v/>
      </c>
      <c r="O1387">
        <f>IF($A1387="","",IF(OR($B1387="7062",$B1387="706",$B1387="708"),$N1387,IF($B1387="6231",1+$G1387,IF($B1387="6236",1+$H1387,IF(OR($B1387="621",$B1387="604",$B1387="6063"),$N1387*(1-$L1387),IF(OR($B1387="6411",$B1387="6413",$B1387="6414",$B1387="645"),(1+$J1387)*(1+$K1387),IF(OR($B1387="613",$B1387="615",$B1387="616",$B1387="6226",$B1387="625",$B1387="626",$B1387="6281"),(1+$I1387)*(1-$L1387)*(1+$M1387),IF(OR($B1387="6331",$B1387="63511",$B1387="6333"),(1+$I1387)*(1-$L1387),IF($B1387="6811",1+$I1387,1)))))))))</f>
        <v/>
      </c>
      <c r="P1387">
        <f>IF($A1387="","",IF($E1387=1,$F1387*$O1387,PNL!G1387))</f>
        <v/>
      </c>
    </row>
    <row r="1388">
      <c r="A1388">
        <f>IF(PNL!A1388="","",PNL!A1388)</f>
        <v/>
      </c>
      <c r="B1388">
        <f>IF(PNL!B1388="","",PNL!B1388)</f>
        <v/>
      </c>
      <c r="C1388">
        <f>IF(PNL!C1388="","",PNL!C1388)</f>
        <v/>
      </c>
      <c r="D1388">
        <f>IF(PNL!D1388="","",PNL!D1388)</f>
        <v/>
      </c>
      <c r="E1388">
        <f>IF($A1388="","",IF(AND($C1388="2027",OR($D1388="V01",$D1388="V02",$D1388="V03")),1,0))</f>
        <v/>
      </c>
      <c r="F1388">
        <f>IF($A1388="","",IF($E1388=1,SUMIFS(Comptabilité!$F$1:$F$675,Comptabilité!$A$1:$A$675,$A1388,Comptabilité!$B$1:$B$675,$B1388,Comptabilité!$C$1:$C$675,"2026"),0))</f>
        <v/>
      </c>
      <c r="G1388">
        <f>IF($A1388="","",IF($D1388="V01",Cadrage!$C$22,IF($D1388="V02",Cadrage!$D$22,Cadrage!$E$22)))</f>
        <v/>
      </c>
      <c r="H1388">
        <f>IF($A1388="","",IF($D1388="V01",Cadrage!$C$23,IF($D1388="V02",Cadrage!$D$23,Cadrage!$E$23)))</f>
        <v/>
      </c>
      <c r="I1388">
        <f>IF($A1388="","",IF($D1388="V01",Cadrage!$C$31,IF($D1388="V02",Cadrage!$D$31,Cadrage!$E$31)))</f>
        <v/>
      </c>
      <c r="J1388">
        <f>IF($A1388="","",IF($D1388="V01",Cadrage!$C$32,IF($D1388="V02",Cadrage!$D$32,Cadrage!$E$32)))</f>
        <v/>
      </c>
      <c r="K1388">
        <f>IF($A1388="","",IF($D1388="V01",Cadrage!$C$33,IF($D1388="V02",Cadrage!$D$33,Cadrage!$E$33)))</f>
        <v/>
      </c>
      <c r="L1388">
        <f>IF($A1388="","",IF($D1388="V01",Cadrage!$C$34,IF($D1388="V02",Cadrage!$D$34,Cadrage!$E$34)))</f>
        <v/>
      </c>
      <c r="M1388">
        <f>IF($A1388="","",IF($D1388="V01",Cadrage!$C$35,IF($D1388="V02",Cadrage!$D$35,Cadrage!$E$35)))</f>
        <v/>
      </c>
      <c r="N1388">
        <f>IF($A1388="","",IF($D1388="V01",$R$2,IF($D1388="V02",$R$3,$R$4)))</f>
        <v/>
      </c>
      <c r="O1388">
        <f>IF($A1388="","",IF(OR($B1388="7062",$B1388="706",$B1388="708"),$N1388,IF($B1388="6231",1+$G1388,IF($B1388="6236",1+$H1388,IF(OR($B1388="621",$B1388="604",$B1388="6063"),$N1388*(1-$L1388),IF(OR($B1388="6411",$B1388="6413",$B1388="6414",$B1388="645"),(1+$J1388)*(1+$K1388),IF(OR($B1388="613",$B1388="615",$B1388="616",$B1388="6226",$B1388="625",$B1388="626",$B1388="6281"),(1+$I1388)*(1-$L1388)*(1+$M1388),IF(OR($B1388="6331",$B1388="63511",$B1388="6333"),(1+$I1388)*(1-$L1388),IF($B1388="6811",1+$I1388,1)))))))))</f>
        <v/>
      </c>
      <c r="P1388">
        <f>IF($A1388="","",IF($E1388=1,$F1388*$O1388,PNL!G1388))</f>
        <v/>
      </c>
    </row>
    <row r="1389">
      <c r="A1389">
        <f>IF(PNL!A1389="","",PNL!A1389)</f>
        <v/>
      </c>
      <c r="B1389">
        <f>IF(PNL!B1389="","",PNL!B1389)</f>
        <v/>
      </c>
      <c r="C1389">
        <f>IF(PNL!C1389="","",PNL!C1389)</f>
        <v/>
      </c>
      <c r="D1389">
        <f>IF(PNL!D1389="","",PNL!D1389)</f>
        <v/>
      </c>
      <c r="E1389">
        <f>IF($A1389="","",IF(AND($C1389="2027",OR($D1389="V01",$D1389="V02",$D1389="V03")),1,0))</f>
        <v/>
      </c>
      <c r="F1389">
        <f>IF($A1389="","",IF($E1389=1,SUMIFS(Comptabilité!$F$1:$F$675,Comptabilité!$A$1:$A$675,$A1389,Comptabilité!$B$1:$B$675,$B1389,Comptabilité!$C$1:$C$675,"2026"),0))</f>
        <v/>
      </c>
      <c r="G1389">
        <f>IF($A1389="","",IF($D1389="V01",Cadrage!$C$22,IF($D1389="V02",Cadrage!$D$22,Cadrage!$E$22)))</f>
        <v/>
      </c>
      <c r="H1389">
        <f>IF($A1389="","",IF($D1389="V01",Cadrage!$C$23,IF($D1389="V02",Cadrage!$D$23,Cadrage!$E$23)))</f>
        <v/>
      </c>
      <c r="I1389">
        <f>IF($A1389="","",IF($D1389="V01",Cadrage!$C$31,IF($D1389="V02",Cadrage!$D$31,Cadrage!$E$31)))</f>
        <v/>
      </c>
      <c r="J1389">
        <f>IF($A1389="","",IF($D1389="V01",Cadrage!$C$32,IF($D1389="V02",Cadrage!$D$32,Cadrage!$E$32)))</f>
        <v/>
      </c>
      <c r="K1389">
        <f>IF($A1389="","",IF($D1389="V01",Cadrage!$C$33,IF($D1389="V02",Cadrage!$D$33,Cadrage!$E$33)))</f>
        <v/>
      </c>
      <c r="L1389">
        <f>IF($A1389="","",IF($D1389="V01",Cadrage!$C$34,IF($D1389="V02",Cadrage!$D$34,Cadrage!$E$34)))</f>
        <v/>
      </c>
      <c r="M1389">
        <f>IF($A1389="","",IF($D1389="V01",Cadrage!$C$35,IF($D1389="V02",Cadrage!$D$35,Cadrage!$E$35)))</f>
        <v/>
      </c>
      <c r="N1389">
        <f>IF($A1389="","",IF($D1389="V01",$R$2,IF($D1389="V02",$R$3,$R$4)))</f>
        <v/>
      </c>
      <c r="O1389">
        <f>IF($A1389="","",IF(OR($B1389="7062",$B1389="706",$B1389="708"),$N1389,IF($B1389="6231",1+$G1389,IF($B1389="6236",1+$H1389,IF(OR($B1389="621",$B1389="604",$B1389="6063"),$N1389*(1-$L1389),IF(OR($B1389="6411",$B1389="6413",$B1389="6414",$B1389="645"),(1+$J1389)*(1+$K1389),IF(OR($B1389="613",$B1389="615",$B1389="616",$B1389="6226",$B1389="625",$B1389="626",$B1389="6281"),(1+$I1389)*(1-$L1389)*(1+$M1389),IF(OR($B1389="6331",$B1389="63511",$B1389="6333"),(1+$I1389)*(1-$L1389),IF($B1389="6811",1+$I1389,1)))))))))</f>
        <v/>
      </c>
      <c r="P1389">
        <f>IF($A1389="","",IF($E1389=1,$F1389*$O1389,PNL!G1389))</f>
        <v/>
      </c>
    </row>
    <row r="1390">
      <c r="A1390">
        <f>IF(PNL!A1390="","",PNL!A1390)</f>
        <v/>
      </c>
      <c r="B1390">
        <f>IF(PNL!B1390="","",PNL!B1390)</f>
        <v/>
      </c>
      <c r="C1390">
        <f>IF(PNL!C1390="","",PNL!C1390)</f>
        <v/>
      </c>
      <c r="D1390">
        <f>IF(PNL!D1390="","",PNL!D1390)</f>
        <v/>
      </c>
      <c r="E1390">
        <f>IF($A1390="","",IF(AND($C1390="2027",OR($D1390="V01",$D1390="V02",$D1390="V03")),1,0))</f>
        <v/>
      </c>
      <c r="F1390">
        <f>IF($A1390="","",IF($E1390=1,SUMIFS(Comptabilité!$F$1:$F$675,Comptabilité!$A$1:$A$675,$A1390,Comptabilité!$B$1:$B$675,$B1390,Comptabilité!$C$1:$C$675,"2026"),0))</f>
        <v/>
      </c>
      <c r="G1390">
        <f>IF($A1390="","",IF($D1390="V01",Cadrage!$C$22,IF($D1390="V02",Cadrage!$D$22,Cadrage!$E$22)))</f>
        <v/>
      </c>
      <c r="H1390">
        <f>IF($A1390="","",IF($D1390="V01",Cadrage!$C$23,IF($D1390="V02",Cadrage!$D$23,Cadrage!$E$23)))</f>
        <v/>
      </c>
      <c r="I1390">
        <f>IF($A1390="","",IF($D1390="V01",Cadrage!$C$31,IF($D1390="V02",Cadrage!$D$31,Cadrage!$E$31)))</f>
        <v/>
      </c>
      <c r="J1390">
        <f>IF($A1390="","",IF($D1390="V01",Cadrage!$C$32,IF($D1390="V02",Cadrage!$D$32,Cadrage!$E$32)))</f>
        <v/>
      </c>
      <c r="K1390">
        <f>IF($A1390="","",IF($D1390="V01",Cadrage!$C$33,IF($D1390="V02",Cadrage!$D$33,Cadrage!$E$33)))</f>
        <v/>
      </c>
      <c r="L1390">
        <f>IF($A1390="","",IF($D1390="V01",Cadrage!$C$34,IF($D1390="V02",Cadrage!$D$34,Cadrage!$E$34)))</f>
        <v/>
      </c>
      <c r="M1390">
        <f>IF($A1390="","",IF($D1390="V01",Cadrage!$C$35,IF($D1390="V02",Cadrage!$D$35,Cadrage!$E$35)))</f>
        <v/>
      </c>
      <c r="N1390">
        <f>IF($A1390="","",IF($D1390="V01",$R$2,IF($D1390="V02",$R$3,$R$4)))</f>
        <v/>
      </c>
      <c r="O1390">
        <f>IF($A1390="","",IF(OR($B1390="7062",$B1390="706",$B1390="708"),$N1390,IF($B1390="6231",1+$G1390,IF($B1390="6236",1+$H1390,IF(OR($B1390="621",$B1390="604",$B1390="6063"),$N1390*(1-$L1390),IF(OR($B1390="6411",$B1390="6413",$B1390="6414",$B1390="645"),(1+$J1390)*(1+$K1390),IF(OR($B1390="613",$B1390="615",$B1390="616",$B1390="6226",$B1390="625",$B1390="626",$B1390="6281"),(1+$I1390)*(1-$L1390)*(1+$M1390),IF(OR($B1390="6331",$B1390="63511",$B1390="6333"),(1+$I1390)*(1-$L1390),IF($B1390="6811",1+$I1390,1)))))))))</f>
        <v/>
      </c>
      <c r="P1390">
        <f>IF($A1390="","",IF($E1390=1,$F1390*$O1390,PNL!G1390))</f>
        <v/>
      </c>
    </row>
    <row r="1391">
      <c r="A1391">
        <f>IF(PNL!A1391="","",PNL!A1391)</f>
        <v/>
      </c>
      <c r="B1391">
        <f>IF(PNL!B1391="","",PNL!B1391)</f>
        <v/>
      </c>
      <c r="C1391">
        <f>IF(PNL!C1391="","",PNL!C1391)</f>
        <v/>
      </c>
      <c r="D1391">
        <f>IF(PNL!D1391="","",PNL!D1391)</f>
        <v/>
      </c>
      <c r="E1391">
        <f>IF($A1391="","",IF(AND($C1391="2027",OR($D1391="V01",$D1391="V02",$D1391="V03")),1,0))</f>
        <v/>
      </c>
      <c r="F1391">
        <f>IF($A1391="","",IF($E1391=1,SUMIFS(Comptabilité!$F$1:$F$675,Comptabilité!$A$1:$A$675,$A1391,Comptabilité!$B$1:$B$675,$B1391,Comptabilité!$C$1:$C$675,"2026"),0))</f>
        <v/>
      </c>
      <c r="G1391">
        <f>IF($A1391="","",IF($D1391="V01",Cadrage!$C$22,IF($D1391="V02",Cadrage!$D$22,Cadrage!$E$22)))</f>
        <v/>
      </c>
      <c r="H1391">
        <f>IF($A1391="","",IF($D1391="V01",Cadrage!$C$23,IF($D1391="V02",Cadrage!$D$23,Cadrage!$E$23)))</f>
        <v/>
      </c>
      <c r="I1391">
        <f>IF($A1391="","",IF($D1391="V01",Cadrage!$C$31,IF($D1391="V02",Cadrage!$D$31,Cadrage!$E$31)))</f>
        <v/>
      </c>
      <c r="J1391">
        <f>IF($A1391="","",IF($D1391="V01",Cadrage!$C$32,IF($D1391="V02",Cadrage!$D$32,Cadrage!$E$32)))</f>
        <v/>
      </c>
      <c r="K1391">
        <f>IF($A1391="","",IF($D1391="V01",Cadrage!$C$33,IF($D1391="V02",Cadrage!$D$33,Cadrage!$E$33)))</f>
        <v/>
      </c>
      <c r="L1391">
        <f>IF($A1391="","",IF($D1391="V01",Cadrage!$C$34,IF($D1391="V02",Cadrage!$D$34,Cadrage!$E$34)))</f>
        <v/>
      </c>
      <c r="M1391">
        <f>IF($A1391="","",IF($D1391="V01",Cadrage!$C$35,IF($D1391="V02",Cadrage!$D$35,Cadrage!$E$35)))</f>
        <v/>
      </c>
      <c r="N1391">
        <f>IF($A1391="","",IF($D1391="V01",$R$2,IF($D1391="V02",$R$3,$R$4)))</f>
        <v/>
      </c>
      <c r="O1391">
        <f>IF($A1391="","",IF(OR($B1391="7062",$B1391="706",$B1391="708"),$N1391,IF($B1391="6231",1+$G1391,IF($B1391="6236",1+$H1391,IF(OR($B1391="621",$B1391="604",$B1391="6063"),$N1391*(1-$L1391),IF(OR($B1391="6411",$B1391="6413",$B1391="6414",$B1391="645"),(1+$J1391)*(1+$K1391),IF(OR($B1391="613",$B1391="615",$B1391="616",$B1391="6226",$B1391="625",$B1391="626",$B1391="6281"),(1+$I1391)*(1-$L1391)*(1+$M1391),IF(OR($B1391="6331",$B1391="63511",$B1391="6333"),(1+$I1391)*(1-$L1391),IF($B1391="6811",1+$I1391,1)))))))))</f>
        <v/>
      </c>
      <c r="P1391">
        <f>IF($A1391="","",IF($E1391=1,$F1391*$O1391,PNL!G1391))</f>
        <v/>
      </c>
    </row>
    <row r="1392">
      <c r="A1392">
        <f>IF(PNL!A1392="","",PNL!A1392)</f>
        <v/>
      </c>
      <c r="B1392">
        <f>IF(PNL!B1392="","",PNL!B1392)</f>
        <v/>
      </c>
      <c r="C1392">
        <f>IF(PNL!C1392="","",PNL!C1392)</f>
        <v/>
      </c>
      <c r="D1392">
        <f>IF(PNL!D1392="","",PNL!D1392)</f>
        <v/>
      </c>
      <c r="E1392">
        <f>IF($A1392="","",IF(AND($C1392="2027",OR($D1392="V01",$D1392="V02",$D1392="V03")),1,0))</f>
        <v/>
      </c>
      <c r="F1392">
        <f>IF($A1392="","",IF($E1392=1,SUMIFS(Comptabilité!$F$1:$F$675,Comptabilité!$A$1:$A$675,$A1392,Comptabilité!$B$1:$B$675,$B1392,Comptabilité!$C$1:$C$675,"2026"),0))</f>
        <v/>
      </c>
      <c r="G1392">
        <f>IF($A1392="","",IF($D1392="V01",Cadrage!$C$22,IF($D1392="V02",Cadrage!$D$22,Cadrage!$E$22)))</f>
        <v/>
      </c>
      <c r="H1392">
        <f>IF($A1392="","",IF($D1392="V01",Cadrage!$C$23,IF($D1392="V02",Cadrage!$D$23,Cadrage!$E$23)))</f>
        <v/>
      </c>
      <c r="I1392">
        <f>IF($A1392="","",IF($D1392="V01",Cadrage!$C$31,IF($D1392="V02",Cadrage!$D$31,Cadrage!$E$31)))</f>
        <v/>
      </c>
      <c r="J1392">
        <f>IF($A1392="","",IF($D1392="V01",Cadrage!$C$32,IF($D1392="V02",Cadrage!$D$32,Cadrage!$E$32)))</f>
        <v/>
      </c>
      <c r="K1392">
        <f>IF($A1392="","",IF($D1392="V01",Cadrage!$C$33,IF($D1392="V02",Cadrage!$D$33,Cadrage!$E$33)))</f>
        <v/>
      </c>
      <c r="L1392">
        <f>IF($A1392="","",IF($D1392="V01",Cadrage!$C$34,IF($D1392="V02",Cadrage!$D$34,Cadrage!$E$34)))</f>
        <v/>
      </c>
      <c r="M1392">
        <f>IF($A1392="","",IF($D1392="V01",Cadrage!$C$35,IF($D1392="V02",Cadrage!$D$35,Cadrage!$E$35)))</f>
        <v/>
      </c>
      <c r="N1392">
        <f>IF($A1392="","",IF($D1392="V01",$R$2,IF($D1392="V02",$R$3,$R$4)))</f>
        <v/>
      </c>
      <c r="O1392">
        <f>IF($A1392="","",IF(OR($B1392="7062",$B1392="706",$B1392="708"),$N1392,IF($B1392="6231",1+$G1392,IF($B1392="6236",1+$H1392,IF(OR($B1392="621",$B1392="604",$B1392="6063"),$N1392*(1-$L1392),IF(OR($B1392="6411",$B1392="6413",$B1392="6414",$B1392="645"),(1+$J1392)*(1+$K1392),IF(OR($B1392="613",$B1392="615",$B1392="616",$B1392="6226",$B1392="625",$B1392="626",$B1392="6281"),(1+$I1392)*(1-$L1392)*(1+$M1392),IF(OR($B1392="6331",$B1392="63511",$B1392="6333"),(1+$I1392)*(1-$L1392),IF($B1392="6811",1+$I1392,1)))))))))</f>
        <v/>
      </c>
      <c r="P1392">
        <f>IF($A1392="","",IF($E1392=1,$F1392*$O1392,PNL!G1392))</f>
        <v/>
      </c>
    </row>
    <row r="1393">
      <c r="A1393">
        <f>IF(PNL!A1393="","",PNL!A1393)</f>
        <v/>
      </c>
      <c r="B1393">
        <f>IF(PNL!B1393="","",PNL!B1393)</f>
        <v/>
      </c>
      <c r="C1393">
        <f>IF(PNL!C1393="","",PNL!C1393)</f>
        <v/>
      </c>
      <c r="D1393">
        <f>IF(PNL!D1393="","",PNL!D1393)</f>
        <v/>
      </c>
      <c r="E1393">
        <f>IF($A1393="","",IF(AND($C1393="2027",OR($D1393="V01",$D1393="V02",$D1393="V03")),1,0))</f>
        <v/>
      </c>
      <c r="F1393">
        <f>IF($A1393="","",IF($E1393=1,SUMIFS(Comptabilité!$F$1:$F$675,Comptabilité!$A$1:$A$675,$A1393,Comptabilité!$B$1:$B$675,$B1393,Comptabilité!$C$1:$C$675,"2026"),0))</f>
        <v/>
      </c>
      <c r="G1393">
        <f>IF($A1393="","",IF($D1393="V01",Cadrage!$C$22,IF($D1393="V02",Cadrage!$D$22,Cadrage!$E$22)))</f>
        <v/>
      </c>
      <c r="H1393">
        <f>IF($A1393="","",IF($D1393="V01",Cadrage!$C$23,IF($D1393="V02",Cadrage!$D$23,Cadrage!$E$23)))</f>
        <v/>
      </c>
      <c r="I1393">
        <f>IF($A1393="","",IF($D1393="V01",Cadrage!$C$31,IF($D1393="V02",Cadrage!$D$31,Cadrage!$E$31)))</f>
        <v/>
      </c>
      <c r="J1393">
        <f>IF($A1393="","",IF($D1393="V01",Cadrage!$C$32,IF($D1393="V02",Cadrage!$D$32,Cadrage!$E$32)))</f>
        <v/>
      </c>
      <c r="K1393">
        <f>IF($A1393="","",IF($D1393="V01",Cadrage!$C$33,IF($D1393="V02",Cadrage!$D$33,Cadrage!$E$33)))</f>
        <v/>
      </c>
      <c r="L1393">
        <f>IF($A1393="","",IF($D1393="V01",Cadrage!$C$34,IF($D1393="V02",Cadrage!$D$34,Cadrage!$E$34)))</f>
        <v/>
      </c>
      <c r="M1393">
        <f>IF($A1393="","",IF($D1393="V01",Cadrage!$C$35,IF($D1393="V02",Cadrage!$D$35,Cadrage!$E$35)))</f>
        <v/>
      </c>
      <c r="N1393">
        <f>IF($A1393="","",IF($D1393="V01",$R$2,IF($D1393="V02",$R$3,$R$4)))</f>
        <v/>
      </c>
      <c r="O1393">
        <f>IF($A1393="","",IF(OR($B1393="7062",$B1393="706",$B1393="708"),$N1393,IF($B1393="6231",1+$G1393,IF($B1393="6236",1+$H1393,IF(OR($B1393="621",$B1393="604",$B1393="6063"),$N1393*(1-$L1393),IF(OR($B1393="6411",$B1393="6413",$B1393="6414",$B1393="645"),(1+$J1393)*(1+$K1393),IF(OR($B1393="613",$B1393="615",$B1393="616",$B1393="6226",$B1393="625",$B1393="626",$B1393="6281"),(1+$I1393)*(1-$L1393)*(1+$M1393),IF(OR($B1393="6331",$B1393="63511",$B1393="6333"),(1+$I1393)*(1-$L1393),IF($B1393="6811",1+$I1393,1)))))))))</f>
        <v/>
      </c>
      <c r="P1393">
        <f>IF($A1393="","",IF($E1393=1,$F1393*$O1393,PNL!G1393))</f>
        <v/>
      </c>
    </row>
    <row r="1394">
      <c r="A1394">
        <f>IF(PNL!A1394="","",PNL!A1394)</f>
        <v/>
      </c>
      <c r="B1394">
        <f>IF(PNL!B1394="","",PNL!B1394)</f>
        <v/>
      </c>
      <c r="C1394">
        <f>IF(PNL!C1394="","",PNL!C1394)</f>
        <v/>
      </c>
      <c r="D1394">
        <f>IF(PNL!D1394="","",PNL!D1394)</f>
        <v/>
      </c>
      <c r="E1394">
        <f>IF($A1394="","",IF(AND($C1394="2027",OR($D1394="V01",$D1394="V02",$D1394="V03")),1,0))</f>
        <v/>
      </c>
      <c r="F1394">
        <f>IF($A1394="","",IF($E1394=1,SUMIFS(Comptabilité!$F$1:$F$675,Comptabilité!$A$1:$A$675,$A1394,Comptabilité!$B$1:$B$675,$B1394,Comptabilité!$C$1:$C$675,"2026"),0))</f>
        <v/>
      </c>
      <c r="G1394">
        <f>IF($A1394="","",IF($D1394="V01",Cadrage!$C$22,IF($D1394="V02",Cadrage!$D$22,Cadrage!$E$22)))</f>
        <v/>
      </c>
      <c r="H1394">
        <f>IF($A1394="","",IF($D1394="V01",Cadrage!$C$23,IF($D1394="V02",Cadrage!$D$23,Cadrage!$E$23)))</f>
        <v/>
      </c>
      <c r="I1394">
        <f>IF($A1394="","",IF($D1394="V01",Cadrage!$C$31,IF($D1394="V02",Cadrage!$D$31,Cadrage!$E$31)))</f>
        <v/>
      </c>
      <c r="J1394">
        <f>IF($A1394="","",IF($D1394="V01",Cadrage!$C$32,IF($D1394="V02",Cadrage!$D$32,Cadrage!$E$32)))</f>
        <v/>
      </c>
      <c r="K1394">
        <f>IF($A1394="","",IF($D1394="V01",Cadrage!$C$33,IF($D1394="V02",Cadrage!$D$33,Cadrage!$E$33)))</f>
        <v/>
      </c>
      <c r="L1394">
        <f>IF($A1394="","",IF($D1394="V01",Cadrage!$C$34,IF($D1394="V02",Cadrage!$D$34,Cadrage!$E$34)))</f>
        <v/>
      </c>
      <c r="M1394">
        <f>IF($A1394="","",IF($D1394="V01",Cadrage!$C$35,IF($D1394="V02",Cadrage!$D$35,Cadrage!$E$35)))</f>
        <v/>
      </c>
      <c r="N1394">
        <f>IF($A1394="","",IF($D1394="V01",$R$2,IF($D1394="V02",$R$3,$R$4)))</f>
        <v/>
      </c>
      <c r="O1394">
        <f>IF($A1394="","",IF(OR($B1394="7062",$B1394="706",$B1394="708"),$N1394,IF($B1394="6231",1+$G1394,IF($B1394="6236",1+$H1394,IF(OR($B1394="621",$B1394="604",$B1394="6063"),$N1394*(1-$L1394),IF(OR($B1394="6411",$B1394="6413",$B1394="6414",$B1394="645"),(1+$J1394)*(1+$K1394),IF(OR($B1394="613",$B1394="615",$B1394="616",$B1394="6226",$B1394="625",$B1394="626",$B1394="6281"),(1+$I1394)*(1-$L1394)*(1+$M1394),IF(OR($B1394="6331",$B1394="63511",$B1394="6333"),(1+$I1394)*(1-$L1394),IF($B1394="6811",1+$I1394,1)))))))))</f>
        <v/>
      </c>
      <c r="P1394">
        <f>IF($A1394="","",IF($E1394=1,$F1394*$O1394,PNL!G1394))</f>
        <v/>
      </c>
    </row>
    <row r="1395">
      <c r="A1395">
        <f>IF(PNL!A1395="","",PNL!A1395)</f>
        <v/>
      </c>
      <c r="B1395">
        <f>IF(PNL!B1395="","",PNL!B1395)</f>
        <v/>
      </c>
      <c r="C1395">
        <f>IF(PNL!C1395="","",PNL!C1395)</f>
        <v/>
      </c>
      <c r="D1395">
        <f>IF(PNL!D1395="","",PNL!D1395)</f>
        <v/>
      </c>
      <c r="E1395">
        <f>IF($A1395="","",IF(AND($C1395="2027",OR($D1395="V01",$D1395="V02",$D1395="V03")),1,0))</f>
        <v/>
      </c>
      <c r="F1395">
        <f>IF($A1395="","",IF($E1395=1,SUMIFS(Comptabilité!$F$1:$F$675,Comptabilité!$A$1:$A$675,$A1395,Comptabilité!$B$1:$B$675,$B1395,Comptabilité!$C$1:$C$675,"2026"),0))</f>
        <v/>
      </c>
      <c r="G1395">
        <f>IF($A1395="","",IF($D1395="V01",Cadrage!$C$22,IF($D1395="V02",Cadrage!$D$22,Cadrage!$E$22)))</f>
        <v/>
      </c>
      <c r="H1395">
        <f>IF($A1395="","",IF($D1395="V01",Cadrage!$C$23,IF($D1395="V02",Cadrage!$D$23,Cadrage!$E$23)))</f>
        <v/>
      </c>
      <c r="I1395">
        <f>IF($A1395="","",IF($D1395="V01",Cadrage!$C$31,IF($D1395="V02",Cadrage!$D$31,Cadrage!$E$31)))</f>
        <v/>
      </c>
      <c r="J1395">
        <f>IF($A1395="","",IF($D1395="V01",Cadrage!$C$32,IF($D1395="V02",Cadrage!$D$32,Cadrage!$E$32)))</f>
        <v/>
      </c>
      <c r="K1395">
        <f>IF($A1395="","",IF($D1395="V01",Cadrage!$C$33,IF($D1395="V02",Cadrage!$D$33,Cadrage!$E$33)))</f>
        <v/>
      </c>
      <c r="L1395">
        <f>IF($A1395="","",IF($D1395="V01",Cadrage!$C$34,IF($D1395="V02",Cadrage!$D$34,Cadrage!$E$34)))</f>
        <v/>
      </c>
      <c r="M1395">
        <f>IF($A1395="","",IF($D1395="V01",Cadrage!$C$35,IF($D1395="V02",Cadrage!$D$35,Cadrage!$E$35)))</f>
        <v/>
      </c>
      <c r="N1395">
        <f>IF($A1395="","",IF($D1395="V01",$R$2,IF($D1395="V02",$R$3,$R$4)))</f>
        <v/>
      </c>
      <c r="O1395">
        <f>IF($A1395="","",IF(OR($B1395="7062",$B1395="706",$B1395="708"),$N1395,IF($B1395="6231",1+$G1395,IF($B1395="6236",1+$H1395,IF(OR($B1395="621",$B1395="604",$B1395="6063"),$N1395*(1-$L1395),IF(OR($B1395="6411",$B1395="6413",$B1395="6414",$B1395="645"),(1+$J1395)*(1+$K1395),IF(OR($B1395="613",$B1395="615",$B1395="616",$B1395="6226",$B1395="625",$B1395="626",$B1395="6281"),(1+$I1395)*(1-$L1395)*(1+$M1395),IF(OR($B1395="6331",$B1395="63511",$B1395="6333"),(1+$I1395)*(1-$L1395),IF($B1395="6811",1+$I1395,1)))))))))</f>
        <v/>
      </c>
      <c r="P1395">
        <f>IF($A1395="","",IF($E1395=1,$F1395*$O1395,PNL!G1395))</f>
        <v/>
      </c>
    </row>
    <row r="1396">
      <c r="A1396">
        <f>IF(PNL!A1396="","",PNL!A1396)</f>
        <v/>
      </c>
      <c r="B1396">
        <f>IF(PNL!B1396="","",PNL!B1396)</f>
        <v/>
      </c>
      <c r="C1396">
        <f>IF(PNL!C1396="","",PNL!C1396)</f>
        <v/>
      </c>
      <c r="D1396">
        <f>IF(PNL!D1396="","",PNL!D1396)</f>
        <v/>
      </c>
      <c r="E1396">
        <f>IF($A1396="","",IF(AND($C1396="2027",OR($D1396="V01",$D1396="V02",$D1396="V03")),1,0))</f>
        <v/>
      </c>
      <c r="F1396">
        <f>IF($A1396="","",IF($E1396=1,SUMIFS(Comptabilité!$F$1:$F$675,Comptabilité!$A$1:$A$675,$A1396,Comptabilité!$B$1:$B$675,$B1396,Comptabilité!$C$1:$C$675,"2026"),0))</f>
        <v/>
      </c>
      <c r="G1396">
        <f>IF($A1396="","",IF($D1396="V01",Cadrage!$C$22,IF($D1396="V02",Cadrage!$D$22,Cadrage!$E$22)))</f>
        <v/>
      </c>
      <c r="H1396">
        <f>IF($A1396="","",IF($D1396="V01",Cadrage!$C$23,IF($D1396="V02",Cadrage!$D$23,Cadrage!$E$23)))</f>
        <v/>
      </c>
      <c r="I1396">
        <f>IF($A1396="","",IF($D1396="V01",Cadrage!$C$31,IF($D1396="V02",Cadrage!$D$31,Cadrage!$E$31)))</f>
        <v/>
      </c>
      <c r="J1396">
        <f>IF($A1396="","",IF($D1396="V01",Cadrage!$C$32,IF($D1396="V02",Cadrage!$D$32,Cadrage!$E$32)))</f>
        <v/>
      </c>
      <c r="K1396">
        <f>IF($A1396="","",IF($D1396="V01",Cadrage!$C$33,IF($D1396="V02",Cadrage!$D$33,Cadrage!$E$33)))</f>
        <v/>
      </c>
      <c r="L1396">
        <f>IF($A1396="","",IF($D1396="V01",Cadrage!$C$34,IF($D1396="V02",Cadrage!$D$34,Cadrage!$E$34)))</f>
        <v/>
      </c>
      <c r="M1396">
        <f>IF($A1396="","",IF($D1396="V01",Cadrage!$C$35,IF($D1396="V02",Cadrage!$D$35,Cadrage!$E$35)))</f>
        <v/>
      </c>
      <c r="N1396">
        <f>IF($A1396="","",IF($D1396="V01",$R$2,IF($D1396="V02",$R$3,$R$4)))</f>
        <v/>
      </c>
      <c r="O1396">
        <f>IF($A1396="","",IF(OR($B1396="7062",$B1396="706",$B1396="708"),$N1396,IF($B1396="6231",1+$G1396,IF($B1396="6236",1+$H1396,IF(OR($B1396="621",$B1396="604",$B1396="6063"),$N1396*(1-$L1396),IF(OR($B1396="6411",$B1396="6413",$B1396="6414",$B1396="645"),(1+$J1396)*(1+$K1396),IF(OR($B1396="613",$B1396="615",$B1396="616",$B1396="6226",$B1396="625",$B1396="626",$B1396="6281"),(1+$I1396)*(1-$L1396)*(1+$M1396),IF(OR($B1396="6331",$B1396="63511",$B1396="6333"),(1+$I1396)*(1-$L1396),IF($B1396="6811",1+$I1396,1)))))))))</f>
        <v/>
      </c>
      <c r="P1396">
        <f>IF($A1396="","",IF($E1396=1,$F1396*$O1396,PNL!G1396))</f>
        <v/>
      </c>
    </row>
    <row r="1397">
      <c r="A1397">
        <f>IF(PNL!A1397="","",PNL!A1397)</f>
        <v/>
      </c>
      <c r="B1397">
        <f>IF(PNL!B1397="","",PNL!B1397)</f>
        <v/>
      </c>
      <c r="C1397">
        <f>IF(PNL!C1397="","",PNL!C1397)</f>
        <v/>
      </c>
      <c r="D1397">
        <f>IF(PNL!D1397="","",PNL!D1397)</f>
        <v/>
      </c>
      <c r="E1397">
        <f>IF($A1397="","",IF(AND($C1397="2027",OR($D1397="V01",$D1397="V02",$D1397="V03")),1,0))</f>
        <v/>
      </c>
      <c r="F1397">
        <f>IF($A1397="","",IF($E1397=1,SUMIFS(Comptabilité!$F$1:$F$675,Comptabilité!$A$1:$A$675,$A1397,Comptabilité!$B$1:$B$675,$B1397,Comptabilité!$C$1:$C$675,"2026"),0))</f>
        <v/>
      </c>
      <c r="G1397">
        <f>IF($A1397="","",IF($D1397="V01",Cadrage!$C$22,IF($D1397="V02",Cadrage!$D$22,Cadrage!$E$22)))</f>
        <v/>
      </c>
      <c r="H1397">
        <f>IF($A1397="","",IF($D1397="V01",Cadrage!$C$23,IF($D1397="V02",Cadrage!$D$23,Cadrage!$E$23)))</f>
        <v/>
      </c>
      <c r="I1397">
        <f>IF($A1397="","",IF($D1397="V01",Cadrage!$C$31,IF($D1397="V02",Cadrage!$D$31,Cadrage!$E$31)))</f>
        <v/>
      </c>
      <c r="J1397">
        <f>IF($A1397="","",IF($D1397="V01",Cadrage!$C$32,IF($D1397="V02",Cadrage!$D$32,Cadrage!$E$32)))</f>
        <v/>
      </c>
      <c r="K1397">
        <f>IF($A1397="","",IF($D1397="V01",Cadrage!$C$33,IF($D1397="V02",Cadrage!$D$33,Cadrage!$E$33)))</f>
        <v/>
      </c>
      <c r="L1397">
        <f>IF($A1397="","",IF($D1397="V01",Cadrage!$C$34,IF($D1397="V02",Cadrage!$D$34,Cadrage!$E$34)))</f>
        <v/>
      </c>
      <c r="M1397">
        <f>IF($A1397="","",IF($D1397="V01",Cadrage!$C$35,IF($D1397="V02",Cadrage!$D$35,Cadrage!$E$35)))</f>
        <v/>
      </c>
      <c r="N1397">
        <f>IF($A1397="","",IF($D1397="V01",$R$2,IF($D1397="V02",$R$3,$R$4)))</f>
        <v/>
      </c>
      <c r="O1397">
        <f>IF($A1397="","",IF(OR($B1397="7062",$B1397="706",$B1397="708"),$N1397,IF($B1397="6231",1+$G1397,IF($B1397="6236",1+$H1397,IF(OR($B1397="621",$B1397="604",$B1397="6063"),$N1397*(1-$L1397),IF(OR($B1397="6411",$B1397="6413",$B1397="6414",$B1397="645"),(1+$J1397)*(1+$K1397),IF(OR($B1397="613",$B1397="615",$B1397="616",$B1397="6226",$B1397="625",$B1397="626",$B1397="6281"),(1+$I1397)*(1-$L1397)*(1+$M1397),IF(OR($B1397="6331",$B1397="63511",$B1397="6333"),(1+$I1397)*(1-$L1397),IF($B1397="6811",1+$I1397,1)))))))))</f>
        <v/>
      </c>
      <c r="P1397">
        <f>IF($A1397="","",IF($E1397=1,$F1397*$O1397,PNL!G1397))</f>
        <v/>
      </c>
    </row>
    <row r="1398">
      <c r="A1398">
        <f>IF(PNL!A1398="","",PNL!A1398)</f>
        <v/>
      </c>
      <c r="B1398">
        <f>IF(PNL!B1398="","",PNL!B1398)</f>
        <v/>
      </c>
      <c r="C1398">
        <f>IF(PNL!C1398="","",PNL!C1398)</f>
        <v/>
      </c>
      <c r="D1398">
        <f>IF(PNL!D1398="","",PNL!D1398)</f>
        <v/>
      </c>
      <c r="E1398">
        <f>IF($A1398="","",IF(AND($C1398="2027",OR($D1398="V01",$D1398="V02",$D1398="V03")),1,0))</f>
        <v/>
      </c>
      <c r="F1398">
        <f>IF($A1398="","",IF($E1398=1,SUMIFS(Comptabilité!$F$1:$F$675,Comptabilité!$A$1:$A$675,$A1398,Comptabilité!$B$1:$B$675,$B1398,Comptabilité!$C$1:$C$675,"2026"),0))</f>
        <v/>
      </c>
      <c r="G1398">
        <f>IF($A1398="","",IF($D1398="V01",Cadrage!$C$22,IF($D1398="V02",Cadrage!$D$22,Cadrage!$E$22)))</f>
        <v/>
      </c>
      <c r="H1398">
        <f>IF($A1398="","",IF($D1398="V01",Cadrage!$C$23,IF($D1398="V02",Cadrage!$D$23,Cadrage!$E$23)))</f>
        <v/>
      </c>
      <c r="I1398">
        <f>IF($A1398="","",IF($D1398="V01",Cadrage!$C$31,IF($D1398="V02",Cadrage!$D$31,Cadrage!$E$31)))</f>
        <v/>
      </c>
      <c r="J1398">
        <f>IF($A1398="","",IF($D1398="V01",Cadrage!$C$32,IF($D1398="V02",Cadrage!$D$32,Cadrage!$E$32)))</f>
        <v/>
      </c>
      <c r="K1398">
        <f>IF($A1398="","",IF($D1398="V01",Cadrage!$C$33,IF($D1398="V02",Cadrage!$D$33,Cadrage!$E$33)))</f>
        <v/>
      </c>
      <c r="L1398">
        <f>IF($A1398="","",IF($D1398="V01",Cadrage!$C$34,IF($D1398="V02",Cadrage!$D$34,Cadrage!$E$34)))</f>
        <v/>
      </c>
      <c r="M1398">
        <f>IF($A1398="","",IF($D1398="V01",Cadrage!$C$35,IF($D1398="V02",Cadrage!$D$35,Cadrage!$E$35)))</f>
        <v/>
      </c>
      <c r="N1398">
        <f>IF($A1398="","",IF($D1398="V01",$R$2,IF($D1398="V02",$R$3,$R$4)))</f>
        <v/>
      </c>
      <c r="O1398">
        <f>IF($A1398="","",IF(OR($B1398="7062",$B1398="706",$B1398="708"),$N1398,IF($B1398="6231",1+$G1398,IF($B1398="6236",1+$H1398,IF(OR($B1398="621",$B1398="604",$B1398="6063"),$N1398*(1-$L1398),IF(OR($B1398="6411",$B1398="6413",$B1398="6414",$B1398="645"),(1+$J1398)*(1+$K1398),IF(OR($B1398="613",$B1398="615",$B1398="616",$B1398="6226",$B1398="625",$B1398="626",$B1398="6281"),(1+$I1398)*(1-$L1398)*(1+$M1398),IF(OR($B1398="6331",$B1398="63511",$B1398="6333"),(1+$I1398)*(1-$L1398),IF($B1398="6811",1+$I1398,1)))))))))</f>
        <v/>
      </c>
      <c r="P1398">
        <f>IF($A1398="","",IF($E1398=1,$F1398*$O1398,PNL!G1398))</f>
        <v/>
      </c>
    </row>
    <row r="1399">
      <c r="A1399">
        <f>IF(PNL!A1399="","",PNL!A1399)</f>
        <v/>
      </c>
      <c r="B1399">
        <f>IF(PNL!B1399="","",PNL!B1399)</f>
        <v/>
      </c>
      <c r="C1399">
        <f>IF(PNL!C1399="","",PNL!C1399)</f>
        <v/>
      </c>
      <c r="D1399">
        <f>IF(PNL!D1399="","",PNL!D1399)</f>
        <v/>
      </c>
      <c r="E1399">
        <f>IF($A1399="","",IF(AND($C1399="2027",OR($D1399="V01",$D1399="V02",$D1399="V03")),1,0))</f>
        <v/>
      </c>
      <c r="F1399">
        <f>IF($A1399="","",IF($E1399=1,SUMIFS(Comptabilité!$F$1:$F$675,Comptabilité!$A$1:$A$675,$A1399,Comptabilité!$B$1:$B$675,$B1399,Comptabilité!$C$1:$C$675,"2026"),0))</f>
        <v/>
      </c>
      <c r="G1399">
        <f>IF($A1399="","",IF($D1399="V01",Cadrage!$C$22,IF($D1399="V02",Cadrage!$D$22,Cadrage!$E$22)))</f>
        <v/>
      </c>
      <c r="H1399">
        <f>IF($A1399="","",IF($D1399="V01",Cadrage!$C$23,IF($D1399="V02",Cadrage!$D$23,Cadrage!$E$23)))</f>
        <v/>
      </c>
      <c r="I1399">
        <f>IF($A1399="","",IF($D1399="V01",Cadrage!$C$31,IF($D1399="V02",Cadrage!$D$31,Cadrage!$E$31)))</f>
        <v/>
      </c>
      <c r="J1399">
        <f>IF($A1399="","",IF($D1399="V01",Cadrage!$C$32,IF($D1399="V02",Cadrage!$D$32,Cadrage!$E$32)))</f>
        <v/>
      </c>
      <c r="K1399">
        <f>IF($A1399="","",IF($D1399="V01",Cadrage!$C$33,IF($D1399="V02",Cadrage!$D$33,Cadrage!$E$33)))</f>
        <v/>
      </c>
      <c r="L1399">
        <f>IF($A1399="","",IF($D1399="V01",Cadrage!$C$34,IF($D1399="V02",Cadrage!$D$34,Cadrage!$E$34)))</f>
        <v/>
      </c>
      <c r="M1399">
        <f>IF($A1399="","",IF($D1399="V01",Cadrage!$C$35,IF($D1399="V02",Cadrage!$D$35,Cadrage!$E$35)))</f>
        <v/>
      </c>
      <c r="N1399">
        <f>IF($A1399="","",IF($D1399="V01",$R$2,IF($D1399="V02",$R$3,$R$4)))</f>
        <v/>
      </c>
      <c r="O1399">
        <f>IF($A1399="","",IF(OR($B1399="7062",$B1399="706",$B1399="708"),$N1399,IF($B1399="6231",1+$G1399,IF($B1399="6236",1+$H1399,IF(OR($B1399="621",$B1399="604",$B1399="6063"),$N1399*(1-$L1399),IF(OR($B1399="6411",$B1399="6413",$B1399="6414",$B1399="645"),(1+$J1399)*(1+$K1399),IF(OR($B1399="613",$B1399="615",$B1399="616",$B1399="6226",$B1399="625",$B1399="626",$B1399="6281"),(1+$I1399)*(1-$L1399)*(1+$M1399),IF(OR($B1399="6331",$B1399="63511",$B1399="6333"),(1+$I1399)*(1-$L1399),IF($B1399="6811",1+$I1399,1)))))))))</f>
        <v/>
      </c>
      <c r="P1399">
        <f>IF($A1399="","",IF($E1399=1,$F1399*$O1399,PNL!G1399))</f>
        <v/>
      </c>
    </row>
    <row r="1400">
      <c r="A1400">
        <f>IF(PNL!A1400="","",PNL!A1400)</f>
        <v/>
      </c>
      <c r="B1400">
        <f>IF(PNL!B1400="","",PNL!B1400)</f>
        <v/>
      </c>
      <c r="C1400">
        <f>IF(PNL!C1400="","",PNL!C1400)</f>
        <v/>
      </c>
      <c r="D1400">
        <f>IF(PNL!D1400="","",PNL!D1400)</f>
        <v/>
      </c>
      <c r="E1400">
        <f>IF($A1400="","",IF(AND($C1400="2027",OR($D1400="V01",$D1400="V02",$D1400="V03")),1,0))</f>
        <v/>
      </c>
      <c r="F1400">
        <f>IF($A1400="","",IF($E1400=1,SUMIFS(Comptabilité!$F$1:$F$675,Comptabilité!$A$1:$A$675,$A1400,Comptabilité!$B$1:$B$675,$B1400,Comptabilité!$C$1:$C$675,"2026"),0))</f>
        <v/>
      </c>
      <c r="G1400">
        <f>IF($A1400="","",IF($D1400="V01",Cadrage!$C$22,IF($D1400="V02",Cadrage!$D$22,Cadrage!$E$22)))</f>
        <v/>
      </c>
      <c r="H1400">
        <f>IF($A1400="","",IF($D1400="V01",Cadrage!$C$23,IF($D1400="V02",Cadrage!$D$23,Cadrage!$E$23)))</f>
        <v/>
      </c>
      <c r="I1400">
        <f>IF($A1400="","",IF($D1400="V01",Cadrage!$C$31,IF($D1400="V02",Cadrage!$D$31,Cadrage!$E$31)))</f>
        <v/>
      </c>
      <c r="J1400">
        <f>IF($A1400="","",IF($D1400="V01",Cadrage!$C$32,IF($D1400="V02",Cadrage!$D$32,Cadrage!$E$32)))</f>
        <v/>
      </c>
      <c r="K1400">
        <f>IF($A1400="","",IF($D1400="V01",Cadrage!$C$33,IF($D1400="V02",Cadrage!$D$33,Cadrage!$E$33)))</f>
        <v/>
      </c>
      <c r="L1400">
        <f>IF($A1400="","",IF($D1400="V01",Cadrage!$C$34,IF($D1400="V02",Cadrage!$D$34,Cadrage!$E$34)))</f>
        <v/>
      </c>
      <c r="M1400">
        <f>IF($A1400="","",IF($D1400="V01",Cadrage!$C$35,IF($D1400="V02",Cadrage!$D$35,Cadrage!$E$35)))</f>
        <v/>
      </c>
      <c r="N1400">
        <f>IF($A1400="","",IF($D1400="V01",$R$2,IF($D1400="V02",$R$3,$R$4)))</f>
        <v/>
      </c>
      <c r="O1400">
        <f>IF($A1400="","",IF(OR($B1400="7062",$B1400="706",$B1400="708"),$N1400,IF($B1400="6231",1+$G1400,IF($B1400="6236",1+$H1400,IF(OR($B1400="621",$B1400="604",$B1400="6063"),$N1400*(1-$L1400),IF(OR($B1400="6411",$B1400="6413",$B1400="6414",$B1400="645"),(1+$J1400)*(1+$K1400),IF(OR($B1400="613",$B1400="615",$B1400="616",$B1400="6226",$B1400="625",$B1400="626",$B1400="6281"),(1+$I1400)*(1-$L1400)*(1+$M1400),IF(OR($B1400="6331",$B1400="63511",$B1400="6333"),(1+$I1400)*(1-$L1400),IF($B1400="6811",1+$I1400,1)))))))))</f>
        <v/>
      </c>
      <c r="P1400">
        <f>IF($A1400="","",IF($E1400=1,$F1400*$O1400,PNL!G1400))</f>
        <v/>
      </c>
    </row>
    <row r="1401">
      <c r="A1401">
        <f>IF(PNL!A1401="","",PNL!A1401)</f>
        <v/>
      </c>
      <c r="B1401">
        <f>IF(PNL!B1401="","",PNL!B1401)</f>
        <v/>
      </c>
      <c r="C1401">
        <f>IF(PNL!C1401="","",PNL!C1401)</f>
        <v/>
      </c>
      <c r="D1401">
        <f>IF(PNL!D1401="","",PNL!D1401)</f>
        <v/>
      </c>
      <c r="E1401">
        <f>IF($A1401="","",IF(AND($C1401="2027",OR($D1401="V01",$D1401="V02",$D1401="V03")),1,0))</f>
        <v/>
      </c>
      <c r="F1401">
        <f>IF($A1401="","",IF($E1401=1,SUMIFS(Comptabilité!$F$1:$F$675,Comptabilité!$A$1:$A$675,$A1401,Comptabilité!$B$1:$B$675,$B1401,Comptabilité!$C$1:$C$675,"2026"),0))</f>
        <v/>
      </c>
      <c r="G1401">
        <f>IF($A1401="","",IF($D1401="V01",Cadrage!$C$22,IF($D1401="V02",Cadrage!$D$22,Cadrage!$E$22)))</f>
        <v/>
      </c>
      <c r="H1401">
        <f>IF($A1401="","",IF($D1401="V01",Cadrage!$C$23,IF($D1401="V02",Cadrage!$D$23,Cadrage!$E$23)))</f>
        <v/>
      </c>
      <c r="I1401">
        <f>IF($A1401="","",IF($D1401="V01",Cadrage!$C$31,IF($D1401="V02",Cadrage!$D$31,Cadrage!$E$31)))</f>
        <v/>
      </c>
      <c r="J1401">
        <f>IF($A1401="","",IF($D1401="V01",Cadrage!$C$32,IF($D1401="V02",Cadrage!$D$32,Cadrage!$E$32)))</f>
        <v/>
      </c>
      <c r="K1401">
        <f>IF($A1401="","",IF($D1401="V01",Cadrage!$C$33,IF($D1401="V02",Cadrage!$D$33,Cadrage!$E$33)))</f>
        <v/>
      </c>
      <c r="L1401">
        <f>IF($A1401="","",IF($D1401="V01",Cadrage!$C$34,IF($D1401="V02",Cadrage!$D$34,Cadrage!$E$34)))</f>
        <v/>
      </c>
      <c r="M1401">
        <f>IF($A1401="","",IF($D1401="V01",Cadrage!$C$35,IF($D1401="V02",Cadrage!$D$35,Cadrage!$E$35)))</f>
        <v/>
      </c>
      <c r="N1401">
        <f>IF($A1401="","",IF($D1401="V01",$R$2,IF($D1401="V02",$R$3,$R$4)))</f>
        <v/>
      </c>
      <c r="O1401">
        <f>IF($A1401="","",IF(OR($B1401="7062",$B1401="706",$B1401="708"),$N1401,IF($B1401="6231",1+$G1401,IF($B1401="6236",1+$H1401,IF(OR($B1401="621",$B1401="604",$B1401="6063"),$N1401*(1-$L1401),IF(OR($B1401="6411",$B1401="6413",$B1401="6414",$B1401="645"),(1+$J1401)*(1+$K1401),IF(OR($B1401="613",$B1401="615",$B1401="616",$B1401="6226",$B1401="625",$B1401="626",$B1401="6281"),(1+$I1401)*(1-$L1401)*(1+$M1401),IF(OR($B1401="6331",$B1401="63511",$B1401="6333"),(1+$I1401)*(1-$L1401),IF($B1401="6811",1+$I1401,1)))))))))</f>
        <v/>
      </c>
      <c r="P1401">
        <f>IF($A1401="","",IF($E1401=1,$F1401*$O1401,PNL!G1401))</f>
        <v/>
      </c>
    </row>
    <row r="1402">
      <c r="A1402">
        <f>IF(PNL!A1402="","",PNL!A1402)</f>
        <v/>
      </c>
      <c r="B1402">
        <f>IF(PNL!B1402="","",PNL!B1402)</f>
        <v/>
      </c>
      <c r="C1402">
        <f>IF(PNL!C1402="","",PNL!C1402)</f>
        <v/>
      </c>
      <c r="D1402">
        <f>IF(PNL!D1402="","",PNL!D1402)</f>
        <v/>
      </c>
      <c r="E1402">
        <f>IF($A1402="","",IF(AND($C1402="2027",OR($D1402="V01",$D1402="V02",$D1402="V03")),1,0))</f>
        <v/>
      </c>
      <c r="F1402">
        <f>IF($A1402="","",IF($E1402=1,SUMIFS(Comptabilité!$F$1:$F$675,Comptabilité!$A$1:$A$675,$A1402,Comptabilité!$B$1:$B$675,$B1402,Comptabilité!$C$1:$C$675,"2026"),0))</f>
        <v/>
      </c>
      <c r="G1402">
        <f>IF($A1402="","",IF($D1402="V01",Cadrage!$C$22,IF($D1402="V02",Cadrage!$D$22,Cadrage!$E$22)))</f>
        <v/>
      </c>
      <c r="H1402">
        <f>IF($A1402="","",IF($D1402="V01",Cadrage!$C$23,IF($D1402="V02",Cadrage!$D$23,Cadrage!$E$23)))</f>
        <v/>
      </c>
      <c r="I1402">
        <f>IF($A1402="","",IF($D1402="V01",Cadrage!$C$31,IF($D1402="V02",Cadrage!$D$31,Cadrage!$E$31)))</f>
        <v/>
      </c>
      <c r="J1402">
        <f>IF($A1402="","",IF($D1402="V01",Cadrage!$C$32,IF($D1402="V02",Cadrage!$D$32,Cadrage!$E$32)))</f>
        <v/>
      </c>
      <c r="K1402">
        <f>IF($A1402="","",IF($D1402="V01",Cadrage!$C$33,IF($D1402="V02",Cadrage!$D$33,Cadrage!$E$33)))</f>
        <v/>
      </c>
      <c r="L1402">
        <f>IF($A1402="","",IF($D1402="V01",Cadrage!$C$34,IF($D1402="V02",Cadrage!$D$34,Cadrage!$E$34)))</f>
        <v/>
      </c>
      <c r="M1402">
        <f>IF($A1402="","",IF($D1402="V01",Cadrage!$C$35,IF($D1402="V02",Cadrage!$D$35,Cadrage!$E$35)))</f>
        <v/>
      </c>
      <c r="N1402">
        <f>IF($A1402="","",IF($D1402="V01",$R$2,IF($D1402="V02",$R$3,$R$4)))</f>
        <v/>
      </c>
      <c r="O1402">
        <f>IF($A1402="","",IF(OR($B1402="7062",$B1402="706",$B1402="708"),$N1402,IF($B1402="6231",1+$G1402,IF($B1402="6236",1+$H1402,IF(OR($B1402="621",$B1402="604",$B1402="6063"),$N1402*(1-$L1402),IF(OR($B1402="6411",$B1402="6413",$B1402="6414",$B1402="645"),(1+$J1402)*(1+$K1402),IF(OR($B1402="613",$B1402="615",$B1402="616",$B1402="6226",$B1402="625",$B1402="626",$B1402="6281"),(1+$I1402)*(1-$L1402)*(1+$M1402),IF(OR($B1402="6331",$B1402="63511",$B1402="6333"),(1+$I1402)*(1-$L1402),IF($B1402="6811",1+$I1402,1)))))))))</f>
        <v/>
      </c>
      <c r="P1402">
        <f>IF($A1402="","",IF($E1402=1,$F1402*$O1402,PNL!G1402))</f>
        <v/>
      </c>
    </row>
    <row r="1403">
      <c r="A1403">
        <f>IF(PNL!A1403="","",PNL!A1403)</f>
        <v/>
      </c>
      <c r="B1403">
        <f>IF(PNL!B1403="","",PNL!B1403)</f>
        <v/>
      </c>
      <c r="C1403">
        <f>IF(PNL!C1403="","",PNL!C1403)</f>
        <v/>
      </c>
      <c r="D1403">
        <f>IF(PNL!D1403="","",PNL!D1403)</f>
        <v/>
      </c>
      <c r="E1403">
        <f>IF($A1403="","",IF(AND($C1403="2027",OR($D1403="V01",$D1403="V02",$D1403="V03")),1,0))</f>
        <v/>
      </c>
      <c r="F1403">
        <f>IF($A1403="","",IF($E1403=1,SUMIFS(Comptabilité!$F$1:$F$675,Comptabilité!$A$1:$A$675,$A1403,Comptabilité!$B$1:$B$675,$B1403,Comptabilité!$C$1:$C$675,"2026"),0))</f>
        <v/>
      </c>
      <c r="G1403">
        <f>IF($A1403="","",IF($D1403="V01",Cadrage!$C$22,IF($D1403="V02",Cadrage!$D$22,Cadrage!$E$22)))</f>
        <v/>
      </c>
      <c r="H1403">
        <f>IF($A1403="","",IF($D1403="V01",Cadrage!$C$23,IF($D1403="V02",Cadrage!$D$23,Cadrage!$E$23)))</f>
        <v/>
      </c>
      <c r="I1403">
        <f>IF($A1403="","",IF($D1403="V01",Cadrage!$C$31,IF($D1403="V02",Cadrage!$D$31,Cadrage!$E$31)))</f>
        <v/>
      </c>
      <c r="J1403">
        <f>IF($A1403="","",IF($D1403="V01",Cadrage!$C$32,IF($D1403="V02",Cadrage!$D$32,Cadrage!$E$32)))</f>
        <v/>
      </c>
      <c r="K1403">
        <f>IF($A1403="","",IF($D1403="V01",Cadrage!$C$33,IF($D1403="V02",Cadrage!$D$33,Cadrage!$E$33)))</f>
        <v/>
      </c>
      <c r="L1403">
        <f>IF($A1403="","",IF($D1403="V01",Cadrage!$C$34,IF($D1403="V02",Cadrage!$D$34,Cadrage!$E$34)))</f>
        <v/>
      </c>
      <c r="M1403">
        <f>IF($A1403="","",IF($D1403="V01",Cadrage!$C$35,IF($D1403="V02",Cadrage!$D$35,Cadrage!$E$35)))</f>
        <v/>
      </c>
      <c r="N1403">
        <f>IF($A1403="","",IF($D1403="V01",$R$2,IF($D1403="V02",$R$3,$R$4)))</f>
        <v/>
      </c>
      <c r="O1403">
        <f>IF($A1403="","",IF(OR($B1403="7062",$B1403="706",$B1403="708"),$N1403,IF($B1403="6231",1+$G1403,IF($B1403="6236",1+$H1403,IF(OR($B1403="621",$B1403="604",$B1403="6063"),$N1403*(1-$L1403),IF(OR($B1403="6411",$B1403="6413",$B1403="6414",$B1403="645"),(1+$J1403)*(1+$K1403),IF(OR($B1403="613",$B1403="615",$B1403="616",$B1403="6226",$B1403="625",$B1403="626",$B1403="6281"),(1+$I1403)*(1-$L1403)*(1+$M1403),IF(OR($B1403="6331",$B1403="63511",$B1403="6333"),(1+$I1403)*(1-$L1403),IF($B1403="6811",1+$I1403,1)))))))))</f>
        <v/>
      </c>
      <c r="P1403">
        <f>IF($A1403="","",IF($E1403=1,$F1403*$O1403,PNL!G1403))</f>
        <v/>
      </c>
    </row>
    <row r="1404">
      <c r="A1404">
        <f>IF(PNL!A1404="","",PNL!A1404)</f>
        <v/>
      </c>
      <c r="B1404">
        <f>IF(PNL!B1404="","",PNL!B1404)</f>
        <v/>
      </c>
      <c r="C1404">
        <f>IF(PNL!C1404="","",PNL!C1404)</f>
        <v/>
      </c>
      <c r="D1404">
        <f>IF(PNL!D1404="","",PNL!D1404)</f>
        <v/>
      </c>
      <c r="E1404">
        <f>IF($A1404="","",IF(AND($C1404="2027",OR($D1404="V01",$D1404="V02",$D1404="V03")),1,0))</f>
        <v/>
      </c>
      <c r="F1404">
        <f>IF($A1404="","",IF($E1404=1,SUMIFS(Comptabilité!$F$1:$F$675,Comptabilité!$A$1:$A$675,$A1404,Comptabilité!$B$1:$B$675,$B1404,Comptabilité!$C$1:$C$675,"2026"),0))</f>
        <v/>
      </c>
      <c r="G1404">
        <f>IF($A1404="","",IF($D1404="V01",Cadrage!$C$22,IF($D1404="V02",Cadrage!$D$22,Cadrage!$E$22)))</f>
        <v/>
      </c>
      <c r="H1404">
        <f>IF($A1404="","",IF($D1404="V01",Cadrage!$C$23,IF($D1404="V02",Cadrage!$D$23,Cadrage!$E$23)))</f>
        <v/>
      </c>
      <c r="I1404">
        <f>IF($A1404="","",IF($D1404="V01",Cadrage!$C$31,IF($D1404="V02",Cadrage!$D$31,Cadrage!$E$31)))</f>
        <v/>
      </c>
      <c r="J1404">
        <f>IF($A1404="","",IF($D1404="V01",Cadrage!$C$32,IF($D1404="V02",Cadrage!$D$32,Cadrage!$E$32)))</f>
        <v/>
      </c>
      <c r="K1404">
        <f>IF($A1404="","",IF($D1404="V01",Cadrage!$C$33,IF($D1404="V02",Cadrage!$D$33,Cadrage!$E$33)))</f>
        <v/>
      </c>
      <c r="L1404">
        <f>IF($A1404="","",IF($D1404="V01",Cadrage!$C$34,IF($D1404="V02",Cadrage!$D$34,Cadrage!$E$34)))</f>
        <v/>
      </c>
      <c r="M1404">
        <f>IF($A1404="","",IF($D1404="V01",Cadrage!$C$35,IF($D1404="V02",Cadrage!$D$35,Cadrage!$E$35)))</f>
        <v/>
      </c>
      <c r="N1404">
        <f>IF($A1404="","",IF($D1404="V01",$R$2,IF($D1404="V02",$R$3,$R$4)))</f>
        <v/>
      </c>
      <c r="O1404">
        <f>IF($A1404="","",IF(OR($B1404="7062",$B1404="706",$B1404="708"),$N1404,IF($B1404="6231",1+$G1404,IF($B1404="6236",1+$H1404,IF(OR($B1404="621",$B1404="604",$B1404="6063"),$N1404*(1-$L1404),IF(OR($B1404="6411",$B1404="6413",$B1404="6414",$B1404="645"),(1+$J1404)*(1+$K1404),IF(OR($B1404="613",$B1404="615",$B1404="616",$B1404="6226",$B1404="625",$B1404="626",$B1404="6281"),(1+$I1404)*(1-$L1404)*(1+$M1404),IF(OR($B1404="6331",$B1404="63511",$B1404="6333"),(1+$I1404)*(1-$L1404),IF($B1404="6811",1+$I1404,1)))))))))</f>
        <v/>
      </c>
      <c r="P1404">
        <f>IF($A1404="","",IF($E1404=1,$F1404*$O1404,PNL!G1404))</f>
        <v/>
      </c>
    </row>
    <row r="1405">
      <c r="A1405">
        <f>IF(PNL!A1405="","",PNL!A1405)</f>
        <v/>
      </c>
      <c r="B1405">
        <f>IF(PNL!B1405="","",PNL!B1405)</f>
        <v/>
      </c>
      <c r="C1405">
        <f>IF(PNL!C1405="","",PNL!C1405)</f>
        <v/>
      </c>
      <c r="D1405">
        <f>IF(PNL!D1405="","",PNL!D1405)</f>
        <v/>
      </c>
      <c r="E1405">
        <f>IF($A1405="","",IF(AND($C1405="2027",OR($D1405="V01",$D1405="V02",$D1405="V03")),1,0))</f>
        <v/>
      </c>
      <c r="F1405">
        <f>IF($A1405="","",IF($E1405=1,SUMIFS(Comptabilité!$F$1:$F$675,Comptabilité!$A$1:$A$675,$A1405,Comptabilité!$B$1:$B$675,$B1405,Comptabilité!$C$1:$C$675,"2026"),0))</f>
        <v/>
      </c>
      <c r="G1405">
        <f>IF($A1405="","",IF($D1405="V01",Cadrage!$C$22,IF($D1405="V02",Cadrage!$D$22,Cadrage!$E$22)))</f>
        <v/>
      </c>
      <c r="H1405">
        <f>IF($A1405="","",IF($D1405="V01",Cadrage!$C$23,IF($D1405="V02",Cadrage!$D$23,Cadrage!$E$23)))</f>
        <v/>
      </c>
      <c r="I1405">
        <f>IF($A1405="","",IF($D1405="V01",Cadrage!$C$31,IF($D1405="V02",Cadrage!$D$31,Cadrage!$E$31)))</f>
        <v/>
      </c>
      <c r="J1405">
        <f>IF($A1405="","",IF($D1405="V01",Cadrage!$C$32,IF($D1405="V02",Cadrage!$D$32,Cadrage!$E$32)))</f>
        <v/>
      </c>
      <c r="K1405">
        <f>IF($A1405="","",IF($D1405="V01",Cadrage!$C$33,IF($D1405="V02",Cadrage!$D$33,Cadrage!$E$33)))</f>
        <v/>
      </c>
      <c r="L1405">
        <f>IF($A1405="","",IF($D1405="V01",Cadrage!$C$34,IF($D1405="V02",Cadrage!$D$34,Cadrage!$E$34)))</f>
        <v/>
      </c>
      <c r="M1405">
        <f>IF($A1405="","",IF($D1405="V01",Cadrage!$C$35,IF($D1405="V02",Cadrage!$D$35,Cadrage!$E$35)))</f>
        <v/>
      </c>
      <c r="N1405">
        <f>IF($A1405="","",IF($D1405="V01",$R$2,IF($D1405="V02",$R$3,$R$4)))</f>
        <v/>
      </c>
      <c r="O1405">
        <f>IF($A1405="","",IF(OR($B1405="7062",$B1405="706",$B1405="708"),$N1405,IF($B1405="6231",1+$G1405,IF($B1405="6236",1+$H1405,IF(OR($B1405="621",$B1405="604",$B1405="6063"),$N1405*(1-$L1405),IF(OR($B1405="6411",$B1405="6413",$B1405="6414",$B1405="645"),(1+$J1405)*(1+$K1405),IF(OR($B1405="613",$B1405="615",$B1405="616",$B1405="6226",$B1405="625",$B1405="626",$B1405="6281"),(1+$I1405)*(1-$L1405)*(1+$M1405),IF(OR($B1405="6331",$B1405="63511",$B1405="6333"),(1+$I1405)*(1-$L1405),IF($B1405="6811",1+$I1405,1)))))))))</f>
        <v/>
      </c>
      <c r="P1405">
        <f>IF($A1405="","",IF($E1405=1,$F1405*$O1405,PNL!G1405))</f>
        <v/>
      </c>
    </row>
    <row r="1406">
      <c r="A1406">
        <f>IF(PNL!A1406="","",PNL!A1406)</f>
        <v/>
      </c>
      <c r="B1406">
        <f>IF(PNL!B1406="","",PNL!B1406)</f>
        <v/>
      </c>
      <c r="C1406">
        <f>IF(PNL!C1406="","",PNL!C1406)</f>
        <v/>
      </c>
      <c r="D1406">
        <f>IF(PNL!D1406="","",PNL!D1406)</f>
        <v/>
      </c>
      <c r="E1406">
        <f>IF($A1406="","",IF(AND($C1406="2027",OR($D1406="V01",$D1406="V02",$D1406="V03")),1,0))</f>
        <v/>
      </c>
      <c r="F1406">
        <f>IF($A1406="","",IF($E1406=1,SUMIFS(Comptabilité!$F$1:$F$675,Comptabilité!$A$1:$A$675,$A1406,Comptabilité!$B$1:$B$675,$B1406,Comptabilité!$C$1:$C$675,"2026"),0))</f>
        <v/>
      </c>
      <c r="G1406">
        <f>IF($A1406="","",IF($D1406="V01",Cadrage!$C$22,IF($D1406="V02",Cadrage!$D$22,Cadrage!$E$22)))</f>
        <v/>
      </c>
      <c r="H1406">
        <f>IF($A1406="","",IF($D1406="V01",Cadrage!$C$23,IF($D1406="V02",Cadrage!$D$23,Cadrage!$E$23)))</f>
        <v/>
      </c>
      <c r="I1406">
        <f>IF($A1406="","",IF($D1406="V01",Cadrage!$C$31,IF($D1406="V02",Cadrage!$D$31,Cadrage!$E$31)))</f>
        <v/>
      </c>
      <c r="J1406">
        <f>IF($A1406="","",IF($D1406="V01",Cadrage!$C$32,IF($D1406="V02",Cadrage!$D$32,Cadrage!$E$32)))</f>
        <v/>
      </c>
      <c r="K1406">
        <f>IF($A1406="","",IF($D1406="V01",Cadrage!$C$33,IF($D1406="V02",Cadrage!$D$33,Cadrage!$E$33)))</f>
        <v/>
      </c>
      <c r="L1406">
        <f>IF($A1406="","",IF($D1406="V01",Cadrage!$C$34,IF($D1406="V02",Cadrage!$D$34,Cadrage!$E$34)))</f>
        <v/>
      </c>
      <c r="M1406">
        <f>IF($A1406="","",IF($D1406="V01",Cadrage!$C$35,IF($D1406="V02",Cadrage!$D$35,Cadrage!$E$35)))</f>
        <v/>
      </c>
      <c r="N1406">
        <f>IF($A1406="","",IF($D1406="V01",$R$2,IF($D1406="V02",$R$3,$R$4)))</f>
        <v/>
      </c>
      <c r="O1406">
        <f>IF($A1406="","",IF(OR($B1406="7062",$B1406="706",$B1406="708"),$N1406,IF($B1406="6231",1+$G1406,IF($B1406="6236",1+$H1406,IF(OR($B1406="621",$B1406="604",$B1406="6063"),$N1406*(1-$L1406),IF(OR($B1406="6411",$B1406="6413",$B1406="6414",$B1406="645"),(1+$J1406)*(1+$K1406),IF(OR($B1406="613",$B1406="615",$B1406="616",$B1406="6226",$B1406="625",$B1406="626",$B1406="6281"),(1+$I1406)*(1-$L1406)*(1+$M1406),IF(OR($B1406="6331",$B1406="63511",$B1406="6333"),(1+$I1406)*(1-$L1406),IF($B1406="6811",1+$I1406,1)))))))))</f>
        <v/>
      </c>
      <c r="P1406">
        <f>IF($A1406="","",IF($E1406=1,$F1406*$O1406,PNL!G1406))</f>
        <v/>
      </c>
    </row>
    <row r="1407">
      <c r="A1407">
        <f>IF(PNL!A1407="","",PNL!A1407)</f>
        <v/>
      </c>
      <c r="B1407">
        <f>IF(PNL!B1407="","",PNL!B1407)</f>
        <v/>
      </c>
      <c r="C1407">
        <f>IF(PNL!C1407="","",PNL!C1407)</f>
        <v/>
      </c>
      <c r="D1407">
        <f>IF(PNL!D1407="","",PNL!D1407)</f>
        <v/>
      </c>
      <c r="E1407">
        <f>IF($A1407="","",IF(AND($C1407="2027",OR($D1407="V01",$D1407="V02",$D1407="V03")),1,0))</f>
        <v/>
      </c>
      <c r="F1407">
        <f>IF($A1407="","",IF($E1407=1,SUMIFS(Comptabilité!$F$1:$F$675,Comptabilité!$A$1:$A$675,$A1407,Comptabilité!$B$1:$B$675,$B1407,Comptabilité!$C$1:$C$675,"2026"),0))</f>
        <v/>
      </c>
      <c r="G1407">
        <f>IF($A1407="","",IF($D1407="V01",Cadrage!$C$22,IF($D1407="V02",Cadrage!$D$22,Cadrage!$E$22)))</f>
        <v/>
      </c>
      <c r="H1407">
        <f>IF($A1407="","",IF($D1407="V01",Cadrage!$C$23,IF($D1407="V02",Cadrage!$D$23,Cadrage!$E$23)))</f>
        <v/>
      </c>
      <c r="I1407">
        <f>IF($A1407="","",IF($D1407="V01",Cadrage!$C$31,IF($D1407="V02",Cadrage!$D$31,Cadrage!$E$31)))</f>
        <v/>
      </c>
      <c r="J1407">
        <f>IF($A1407="","",IF($D1407="V01",Cadrage!$C$32,IF($D1407="V02",Cadrage!$D$32,Cadrage!$E$32)))</f>
        <v/>
      </c>
      <c r="K1407">
        <f>IF($A1407="","",IF($D1407="V01",Cadrage!$C$33,IF($D1407="V02",Cadrage!$D$33,Cadrage!$E$33)))</f>
        <v/>
      </c>
      <c r="L1407">
        <f>IF($A1407="","",IF($D1407="V01",Cadrage!$C$34,IF($D1407="V02",Cadrage!$D$34,Cadrage!$E$34)))</f>
        <v/>
      </c>
      <c r="M1407">
        <f>IF($A1407="","",IF($D1407="V01",Cadrage!$C$35,IF($D1407="V02",Cadrage!$D$35,Cadrage!$E$35)))</f>
        <v/>
      </c>
      <c r="N1407">
        <f>IF($A1407="","",IF($D1407="V01",$R$2,IF($D1407="V02",$R$3,$R$4)))</f>
        <v/>
      </c>
      <c r="O1407">
        <f>IF($A1407="","",IF(OR($B1407="7062",$B1407="706",$B1407="708"),$N1407,IF($B1407="6231",1+$G1407,IF($B1407="6236",1+$H1407,IF(OR($B1407="621",$B1407="604",$B1407="6063"),$N1407*(1-$L1407),IF(OR($B1407="6411",$B1407="6413",$B1407="6414",$B1407="645"),(1+$J1407)*(1+$K1407),IF(OR($B1407="613",$B1407="615",$B1407="616",$B1407="6226",$B1407="625",$B1407="626",$B1407="6281"),(1+$I1407)*(1-$L1407)*(1+$M1407),IF(OR($B1407="6331",$B1407="63511",$B1407="6333"),(1+$I1407)*(1-$L1407),IF($B1407="6811",1+$I1407,1)))))))))</f>
        <v/>
      </c>
      <c r="P1407">
        <f>IF($A1407="","",IF($E1407=1,$F1407*$O1407,PNL!G1407))</f>
        <v/>
      </c>
    </row>
    <row r="1408">
      <c r="A1408">
        <f>IF(PNL!A1408="","",PNL!A1408)</f>
        <v/>
      </c>
      <c r="B1408">
        <f>IF(PNL!B1408="","",PNL!B1408)</f>
        <v/>
      </c>
      <c r="C1408">
        <f>IF(PNL!C1408="","",PNL!C1408)</f>
        <v/>
      </c>
      <c r="D1408">
        <f>IF(PNL!D1408="","",PNL!D1408)</f>
        <v/>
      </c>
      <c r="E1408">
        <f>IF($A1408="","",IF(AND($C1408="2027",OR($D1408="V01",$D1408="V02",$D1408="V03")),1,0))</f>
        <v/>
      </c>
      <c r="F1408">
        <f>IF($A1408="","",IF($E1408=1,SUMIFS(Comptabilité!$F$1:$F$675,Comptabilité!$A$1:$A$675,$A1408,Comptabilité!$B$1:$B$675,$B1408,Comptabilité!$C$1:$C$675,"2026"),0))</f>
        <v/>
      </c>
      <c r="G1408">
        <f>IF($A1408="","",IF($D1408="V01",Cadrage!$C$22,IF($D1408="V02",Cadrage!$D$22,Cadrage!$E$22)))</f>
        <v/>
      </c>
      <c r="H1408">
        <f>IF($A1408="","",IF($D1408="V01",Cadrage!$C$23,IF($D1408="V02",Cadrage!$D$23,Cadrage!$E$23)))</f>
        <v/>
      </c>
      <c r="I1408">
        <f>IF($A1408="","",IF($D1408="V01",Cadrage!$C$31,IF($D1408="V02",Cadrage!$D$31,Cadrage!$E$31)))</f>
        <v/>
      </c>
      <c r="J1408">
        <f>IF($A1408="","",IF($D1408="V01",Cadrage!$C$32,IF($D1408="V02",Cadrage!$D$32,Cadrage!$E$32)))</f>
        <v/>
      </c>
      <c r="K1408">
        <f>IF($A1408="","",IF($D1408="V01",Cadrage!$C$33,IF($D1408="V02",Cadrage!$D$33,Cadrage!$E$33)))</f>
        <v/>
      </c>
      <c r="L1408">
        <f>IF($A1408="","",IF($D1408="V01",Cadrage!$C$34,IF($D1408="V02",Cadrage!$D$34,Cadrage!$E$34)))</f>
        <v/>
      </c>
      <c r="M1408">
        <f>IF($A1408="","",IF($D1408="V01",Cadrage!$C$35,IF($D1408="V02",Cadrage!$D$35,Cadrage!$E$35)))</f>
        <v/>
      </c>
      <c r="N1408">
        <f>IF($A1408="","",IF($D1408="V01",$R$2,IF($D1408="V02",$R$3,$R$4)))</f>
        <v/>
      </c>
      <c r="O1408">
        <f>IF($A1408="","",IF(OR($B1408="7062",$B1408="706",$B1408="708"),$N1408,IF($B1408="6231",1+$G1408,IF($B1408="6236",1+$H1408,IF(OR($B1408="621",$B1408="604",$B1408="6063"),$N1408*(1-$L1408),IF(OR($B1408="6411",$B1408="6413",$B1408="6414",$B1408="645"),(1+$J1408)*(1+$K1408),IF(OR($B1408="613",$B1408="615",$B1408="616",$B1408="6226",$B1408="625",$B1408="626",$B1408="6281"),(1+$I1408)*(1-$L1408)*(1+$M1408),IF(OR($B1408="6331",$B1408="63511",$B1408="6333"),(1+$I1408)*(1-$L1408),IF($B1408="6811",1+$I1408,1)))))))))</f>
        <v/>
      </c>
      <c r="P1408">
        <f>IF($A1408="","",IF($E1408=1,$F1408*$O1408,PNL!G1408))</f>
        <v/>
      </c>
    </row>
    <row r="1409">
      <c r="A1409">
        <f>IF(PNL!A1409="","",PNL!A1409)</f>
        <v/>
      </c>
      <c r="B1409">
        <f>IF(PNL!B1409="","",PNL!B1409)</f>
        <v/>
      </c>
      <c r="C1409">
        <f>IF(PNL!C1409="","",PNL!C1409)</f>
        <v/>
      </c>
      <c r="D1409">
        <f>IF(PNL!D1409="","",PNL!D1409)</f>
        <v/>
      </c>
      <c r="E1409">
        <f>IF($A1409="","",IF(AND($C1409="2027",OR($D1409="V01",$D1409="V02",$D1409="V03")),1,0))</f>
        <v/>
      </c>
      <c r="F1409">
        <f>IF($A1409="","",IF($E1409=1,SUMIFS(Comptabilité!$F$1:$F$675,Comptabilité!$A$1:$A$675,$A1409,Comptabilité!$B$1:$B$675,$B1409,Comptabilité!$C$1:$C$675,"2026"),0))</f>
        <v/>
      </c>
      <c r="G1409">
        <f>IF($A1409="","",IF($D1409="V01",Cadrage!$C$22,IF($D1409="V02",Cadrage!$D$22,Cadrage!$E$22)))</f>
        <v/>
      </c>
      <c r="H1409">
        <f>IF($A1409="","",IF($D1409="V01",Cadrage!$C$23,IF($D1409="V02",Cadrage!$D$23,Cadrage!$E$23)))</f>
        <v/>
      </c>
      <c r="I1409">
        <f>IF($A1409="","",IF($D1409="V01",Cadrage!$C$31,IF($D1409="V02",Cadrage!$D$31,Cadrage!$E$31)))</f>
        <v/>
      </c>
      <c r="J1409">
        <f>IF($A1409="","",IF($D1409="V01",Cadrage!$C$32,IF($D1409="V02",Cadrage!$D$32,Cadrage!$E$32)))</f>
        <v/>
      </c>
      <c r="K1409">
        <f>IF($A1409="","",IF($D1409="V01",Cadrage!$C$33,IF($D1409="V02",Cadrage!$D$33,Cadrage!$E$33)))</f>
        <v/>
      </c>
      <c r="L1409">
        <f>IF($A1409="","",IF($D1409="V01",Cadrage!$C$34,IF($D1409="V02",Cadrage!$D$34,Cadrage!$E$34)))</f>
        <v/>
      </c>
      <c r="M1409">
        <f>IF($A1409="","",IF($D1409="V01",Cadrage!$C$35,IF($D1409="V02",Cadrage!$D$35,Cadrage!$E$35)))</f>
        <v/>
      </c>
      <c r="N1409">
        <f>IF($A1409="","",IF($D1409="V01",$R$2,IF($D1409="V02",$R$3,$R$4)))</f>
        <v/>
      </c>
      <c r="O1409">
        <f>IF($A1409="","",IF(OR($B1409="7062",$B1409="706",$B1409="708"),$N1409,IF($B1409="6231",1+$G1409,IF($B1409="6236",1+$H1409,IF(OR($B1409="621",$B1409="604",$B1409="6063"),$N1409*(1-$L1409),IF(OR($B1409="6411",$B1409="6413",$B1409="6414",$B1409="645"),(1+$J1409)*(1+$K1409),IF(OR($B1409="613",$B1409="615",$B1409="616",$B1409="6226",$B1409="625",$B1409="626",$B1409="6281"),(1+$I1409)*(1-$L1409)*(1+$M1409),IF(OR($B1409="6331",$B1409="63511",$B1409="6333"),(1+$I1409)*(1-$L1409),IF($B1409="6811",1+$I1409,1)))))))))</f>
        <v/>
      </c>
      <c r="P1409">
        <f>IF($A1409="","",IF($E1409=1,$F1409*$O1409,PNL!G1409))</f>
        <v/>
      </c>
    </row>
    <row r="1410">
      <c r="A1410">
        <f>IF(PNL!A1410="","",PNL!A1410)</f>
        <v/>
      </c>
      <c r="B1410">
        <f>IF(PNL!B1410="","",PNL!B1410)</f>
        <v/>
      </c>
      <c r="C1410">
        <f>IF(PNL!C1410="","",PNL!C1410)</f>
        <v/>
      </c>
      <c r="D1410">
        <f>IF(PNL!D1410="","",PNL!D1410)</f>
        <v/>
      </c>
      <c r="E1410">
        <f>IF($A1410="","",IF(AND($C1410="2027",OR($D1410="V01",$D1410="V02",$D1410="V03")),1,0))</f>
        <v/>
      </c>
      <c r="F1410">
        <f>IF($A1410="","",IF($E1410=1,SUMIFS(Comptabilité!$F$1:$F$675,Comptabilité!$A$1:$A$675,$A1410,Comptabilité!$B$1:$B$675,$B1410,Comptabilité!$C$1:$C$675,"2026"),0))</f>
        <v/>
      </c>
      <c r="G1410">
        <f>IF($A1410="","",IF($D1410="V01",Cadrage!$C$22,IF($D1410="V02",Cadrage!$D$22,Cadrage!$E$22)))</f>
        <v/>
      </c>
      <c r="H1410">
        <f>IF($A1410="","",IF($D1410="V01",Cadrage!$C$23,IF($D1410="V02",Cadrage!$D$23,Cadrage!$E$23)))</f>
        <v/>
      </c>
      <c r="I1410">
        <f>IF($A1410="","",IF($D1410="V01",Cadrage!$C$31,IF($D1410="V02",Cadrage!$D$31,Cadrage!$E$31)))</f>
        <v/>
      </c>
      <c r="J1410">
        <f>IF($A1410="","",IF($D1410="V01",Cadrage!$C$32,IF($D1410="V02",Cadrage!$D$32,Cadrage!$E$32)))</f>
        <v/>
      </c>
      <c r="K1410">
        <f>IF($A1410="","",IF($D1410="V01",Cadrage!$C$33,IF($D1410="V02",Cadrage!$D$33,Cadrage!$E$33)))</f>
        <v/>
      </c>
      <c r="L1410">
        <f>IF($A1410="","",IF($D1410="V01",Cadrage!$C$34,IF($D1410="V02",Cadrage!$D$34,Cadrage!$E$34)))</f>
        <v/>
      </c>
      <c r="M1410">
        <f>IF($A1410="","",IF($D1410="V01",Cadrage!$C$35,IF($D1410="V02",Cadrage!$D$35,Cadrage!$E$35)))</f>
        <v/>
      </c>
      <c r="N1410">
        <f>IF($A1410="","",IF($D1410="V01",$R$2,IF($D1410="V02",$R$3,$R$4)))</f>
        <v/>
      </c>
      <c r="O1410">
        <f>IF($A1410="","",IF(OR($B1410="7062",$B1410="706",$B1410="708"),$N1410,IF($B1410="6231",1+$G1410,IF($B1410="6236",1+$H1410,IF(OR($B1410="621",$B1410="604",$B1410="6063"),$N1410*(1-$L1410),IF(OR($B1410="6411",$B1410="6413",$B1410="6414",$B1410="645"),(1+$J1410)*(1+$K1410),IF(OR($B1410="613",$B1410="615",$B1410="616",$B1410="6226",$B1410="625",$B1410="626",$B1410="6281"),(1+$I1410)*(1-$L1410)*(1+$M1410),IF(OR($B1410="6331",$B1410="63511",$B1410="6333"),(1+$I1410)*(1-$L1410),IF($B1410="6811",1+$I1410,1)))))))))</f>
        <v/>
      </c>
      <c r="P1410">
        <f>IF($A1410="","",IF($E1410=1,$F1410*$O1410,PNL!G1410))</f>
        <v/>
      </c>
    </row>
    <row r="1411">
      <c r="A1411">
        <f>IF(PNL!A1411="","",PNL!A1411)</f>
        <v/>
      </c>
      <c r="B1411">
        <f>IF(PNL!B1411="","",PNL!B1411)</f>
        <v/>
      </c>
      <c r="C1411">
        <f>IF(PNL!C1411="","",PNL!C1411)</f>
        <v/>
      </c>
      <c r="D1411">
        <f>IF(PNL!D1411="","",PNL!D1411)</f>
        <v/>
      </c>
      <c r="E1411">
        <f>IF($A1411="","",IF(AND($C1411="2027",OR($D1411="V01",$D1411="V02",$D1411="V03")),1,0))</f>
        <v/>
      </c>
      <c r="F1411">
        <f>IF($A1411="","",IF($E1411=1,SUMIFS(Comptabilité!$F$1:$F$675,Comptabilité!$A$1:$A$675,$A1411,Comptabilité!$B$1:$B$675,$B1411,Comptabilité!$C$1:$C$675,"2026"),0))</f>
        <v/>
      </c>
      <c r="G1411">
        <f>IF($A1411="","",IF($D1411="V01",Cadrage!$C$22,IF($D1411="V02",Cadrage!$D$22,Cadrage!$E$22)))</f>
        <v/>
      </c>
      <c r="H1411">
        <f>IF($A1411="","",IF($D1411="V01",Cadrage!$C$23,IF($D1411="V02",Cadrage!$D$23,Cadrage!$E$23)))</f>
        <v/>
      </c>
      <c r="I1411">
        <f>IF($A1411="","",IF($D1411="V01",Cadrage!$C$31,IF($D1411="V02",Cadrage!$D$31,Cadrage!$E$31)))</f>
        <v/>
      </c>
      <c r="J1411">
        <f>IF($A1411="","",IF($D1411="V01",Cadrage!$C$32,IF($D1411="V02",Cadrage!$D$32,Cadrage!$E$32)))</f>
        <v/>
      </c>
      <c r="K1411">
        <f>IF($A1411="","",IF($D1411="V01",Cadrage!$C$33,IF($D1411="V02",Cadrage!$D$33,Cadrage!$E$33)))</f>
        <v/>
      </c>
      <c r="L1411">
        <f>IF($A1411="","",IF($D1411="V01",Cadrage!$C$34,IF($D1411="V02",Cadrage!$D$34,Cadrage!$E$34)))</f>
        <v/>
      </c>
      <c r="M1411">
        <f>IF($A1411="","",IF($D1411="V01",Cadrage!$C$35,IF($D1411="V02",Cadrage!$D$35,Cadrage!$E$35)))</f>
        <v/>
      </c>
      <c r="N1411">
        <f>IF($A1411="","",IF($D1411="V01",$R$2,IF($D1411="V02",$R$3,$R$4)))</f>
        <v/>
      </c>
      <c r="O1411">
        <f>IF($A1411="","",IF(OR($B1411="7062",$B1411="706",$B1411="708"),$N1411,IF($B1411="6231",1+$G1411,IF($B1411="6236",1+$H1411,IF(OR($B1411="621",$B1411="604",$B1411="6063"),$N1411*(1-$L1411),IF(OR($B1411="6411",$B1411="6413",$B1411="6414",$B1411="645"),(1+$J1411)*(1+$K1411),IF(OR($B1411="613",$B1411="615",$B1411="616",$B1411="6226",$B1411="625",$B1411="626",$B1411="6281"),(1+$I1411)*(1-$L1411)*(1+$M1411),IF(OR($B1411="6331",$B1411="63511",$B1411="6333"),(1+$I1411)*(1-$L1411),IF($B1411="6811",1+$I1411,1)))))))))</f>
        <v/>
      </c>
      <c r="P1411">
        <f>IF($A1411="","",IF($E1411=1,$F1411*$O1411,PNL!G1411))</f>
        <v/>
      </c>
    </row>
    <row r="1412">
      <c r="A1412">
        <f>IF(PNL!A1412="","",PNL!A1412)</f>
        <v/>
      </c>
      <c r="B1412">
        <f>IF(PNL!B1412="","",PNL!B1412)</f>
        <v/>
      </c>
      <c r="C1412">
        <f>IF(PNL!C1412="","",PNL!C1412)</f>
        <v/>
      </c>
      <c r="D1412">
        <f>IF(PNL!D1412="","",PNL!D1412)</f>
        <v/>
      </c>
      <c r="E1412">
        <f>IF($A1412="","",IF(AND($C1412="2027",OR($D1412="V01",$D1412="V02",$D1412="V03")),1,0))</f>
        <v/>
      </c>
      <c r="F1412">
        <f>IF($A1412="","",IF($E1412=1,SUMIFS(Comptabilité!$F$1:$F$675,Comptabilité!$A$1:$A$675,$A1412,Comptabilité!$B$1:$B$675,$B1412,Comptabilité!$C$1:$C$675,"2026"),0))</f>
        <v/>
      </c>
      <c r="G1412">
        <f>IF($A1412="","",IF($D1412="V01",Cadrage!$C$22,IF($D1412="V02",Cadrage!$D$22,Cadrage!$E$22)))</f>
        <v/>
      </c>
      <c r="H1412">
        <f>IF($A1412="","",IF($D1412="V01",Cadrage!$C$23,IF($D1412="V02",Cadrage!$D$23,Cadrage!$E$23)))</f>
        <v/>
      </c>
      <c r="I1412">
        <f>IF($A1412="","",IF($D1412="V01",Cadrage!$C$31,IF($D1412="V02",Cadrage!$D$31,Cadrage!$E$31)))</f>
        <v/>
      </c>
      <c r="J1412">
        <f>IF($A1412="","",IF($D1412="V01",Cadrage!$C$32,IF($D1412="V02",Cadrage!$D$32,Cadrage!$E$32)))</f>
        <v/>
      </c>
      <c r="K1412">
        <f>IF($A1412="","",IF($D1412="V01",Cadrage!$C$33,IF($D1412="V02",Cadrage!$D$33,Cadrage!$E$33)))</f>
        <v/>
      </c>
      <c r="L1412">
        <f>IF($A1412="","",IF($D1412="V01",Cadrage!$C$34,IF($D1412="V02",Cadrage!$D$34,Cadrage!$E$34)))</f>
        <v/>
      </c>
      <c r="M1412">
        <f>IF($A1412="","",IF($D1412="V01",Cadrage!$C$35,IF($D1412="V02",Cadrage!$D$35,Cadrage!$E$35)))</f>
        <v/>
      </c>
      <c r="N1412">
        <f>IF($A1412="","",IF($D1412="V01",$R$2,IF($D1412="V02",$R$3,$R$4)))</f>
        <v/>
      </c>
      <c r="O1412">
        <f>IF($A1412="","",IF(OR($B1412="7062",$B1412="706",$B1412="708"),$N1412,IF($B1412="6231",1+$G1412,IF($B1412="6236",1+$H1412,IF(OR($B1412="621",$B1412="604",$B1412="6063"),$N1412*(1-$L1412),IF(OR($B1412="6411",$B1412="6413",$B1412="6414",$B1412="645"),(1+$J1412)*(1+$K1412),IF(OR($B1412="613",$B1412="615",$B1412="616",$B1412="6226",$B1412="625",$B1412="626",$B1412="6281"),(1+$I1412)*(1-$L1412)*(1+$M1412),IF(OR($B1412="6331",$B1412="63511",$B1412="6333"),(1+$I1412)*(1-$L1412),IF($B1412="6811",1+$I1412,1)))))))))</f>
        <v/>
      </c>
      <c r="P1412">
        <f>IF($A1412="","",IF($E1412=1,$F1412*$O1412,PNL!G1412))</f>
        <v/>
      </c>
    </row>
    <row r="1413">
      <c r="A1413">
        <f>IF(PNL!A1413="","",PNL!A1413)</f>
        <v/>
      </c>
      <c r="B1413">
        <f>IF(PNL!B1413="","",PNL!B1413)</f>
        <v/>
      </c>
      <c r="C1413">
        <f>IF(PNL!C1413="","",PNL!C1413)</f>
        <v/>
      </c>
      <c r="D1413">
        <f>IF(PNL!D1413="","",PNL!D1413)</f>
        <v/>
      </c>
      <c r="E1413">
        <f>IF($A1413="","",IF(AND($C1413="2027",OR($D1413="V01",$D1413="V02",$D1413="V03")),1,0))</f>
        <v/>
      </c>
      <c r="F1413">
        <f>IF($A1413="","",IF($E1413=1,SUMIFS(Comptabilité!$F$1:$F$675,Comptabilité!$A$1:$A$675,$A1413,Comptabilité!$B$1:$B$675,$B1413,Comptabilité!$C$1:$C$675,"2026"),0))</f>
        <v/>
      </c>
      <c r="G1413">
        <f>IF($A1413="","",IF($D1413="V01",Cadrage!$C$22,IF($D1413="V02",Cadrage!$D$22,Cadrage!$E$22)))</f>
        <v/>
      </c>
      <c r="H1413">
        <f>IF($A1413="","",IF($D1413="V01",Cadrage!$C$23,IF($D1413="V02",Cadrage!$D$23,Cadrage!$E$23)))</f>
        <v/>
      </c>
      <c r="I1413">
        <f>IF($A1413="","",IF($D1413="V01",Cadrage!$C$31,IF($D1413="V02",Cadrage!$D$31,Cadrage!$E$31)))</f>
        <v/>
      </c>
      <c r="J1413">
        <f>IF($A1413="","",IF($D1413="V01",Cadrage!$C$32,IF($D1413="V02",Cadrage!$D$32,Cadrage!$E$32)))</f>
        <v/>
      </c>
      <c r="K1413">
        <f>IF($A1413="","",IF($D1413="V01",Cadrage!$C$33,IF($D1413="V02",Cadrage!$D$33,Cadrage!$E$33)))</f>
        <v/>
      </c>
      <c r="L1413">
        <f>IF($A1413="","",IF($D1413="V01",Cadrage!$C$34,IF($D1413="V02",Cadrage!$D$34,Cadrage!$E$34)))</f>
        <v/>
      </c>
      <c r="M1413">
        <f>IF($A1413="","",IF($D1413="V01",Cadrage!$C$35,IF($D1413="V02",Cadrage!$D$35,Cadrage!$E$35)))</f>
        <v/>
      </c>
      <c r="N1413">
        <f>IF($A1413="","",IF($D1413="V01",$R$2,IF($D1413="V02",$R$3,$R$4)))</f>
        <v/>
      </c>
      <c r="O1413">
        <f>IF($A1413="","",IF(OR($B1413="7062",$B1413="706",$B1413="708"),$N1413,IF($B1413="6231",1+$G1413,IF($B1413="6236",1+$H1413,IF(OR($B1413="621",$B1413="604",$B1413="6063"),$N1413*(1-$L1413),IF(OR($B1413="6411",$B1413="6413",$B1413="6414",$B1413="645"),(1+$J1413)*(1+$K1413),IF(OR($B1413="613",$B1413="615",$B1413="616",$B1413="6226",$B1413="625",$B1413="626",$B1413="6281"),(1+$I1413)*(1-$L1413)*(1+$M1413),IF(OR($B1413="6331",$B1413="63511",$B1413="6333"),(1+$I1413)*(1-$L1413),IF($B1413="6811",1+$I1413,1)))))))))</f>
        <v/>
      </c>
      <c r="P1413">
        <f>IF($A1413="","",IF($E1413=1,$F1413*$O1413,PNL!G1413))</f>
        <v/>
      </c>
    </row>
    <row r="1414">
      <c r="A1414">
        <f>IF(PNL!A1414="","",PNL!A1414)</f>
        <v/>
      </c>
      <c r="B1414">
        <f>IF(PNL!B1414="","",PNL!B1414)</f>
        <v/>
      </c>
      <c r="C1414">
        <f>IF(PNL!C1414="","",PNL!C1414)</f>
        <v/>
      </c>
      <c r="D1414">
        <f>IF(PNL!D1414="","",PNL!D1414)</f>
        <v/>
      </c>
      <c r="E1414">
        <f>IF($A1414="","",IF(AND($C1414="2027",OR($D1414="V01",$D1414="V02",$D1414="V03")),1,0))</f>
        <v/>
      </c>
      <c r="F1414">
        <f>IF($A1414="","",IF($E1414=1,SUMIFS(Comptabilité!$F$1:$F$675,Comptabilité!$A$1:$A$675,$A1414,Comptabilité!$B$1:$B$675,$B1414,Comptabilité!$C$1:$C$675,"2026"),0))</f>
        <v/>
      </c>
      <c r="G1414">
        <f>IF($A1414="","",IF($D1414="V01",Cadrage!$C$22,IF($D1414="V02",Cadrage!$D$22,Cadrage!$E$22)))</f>
        <v/>
      </c>
      <c r="H1414">
        <f>IF($A1414="","",IF($D1414="V01",Cadrage!$C$23,IF($D1414="V02",Cadrage!$D$23,Cadrage!$E$23)))</f>
        <v/>
      </c>
      <c r="I1414">
        <f>IF($A1414="","",IF($D1414="V01",Cadrage!$C$31,IF($D1414="V02",Cadrage!$D$31,Cadrage!$E$31)))</f>
        <v/>
      </c>
      <c r="J1414">
        <f>IF($A1414="","",IF($D1414="V01",Cadrage!$C$32,IF($D1414="V02",Cadrage!$D$32,Cadrage!$E$32)))</f>
        <v/>
      </c>
      <c r="K1414">
        <f>IF($A1414="","",IF($D1414="V01",Cadrage!$C$33,IF($D1414="V02",Cadrage!$D$33,Cadrage!$E$33)))</f>
        <v/>
      </c>
      <c r="L1414">
        <f>IF($A1414="","",IF($D1414="V01",Cadrage!$C$34,IF($D1414="V02",Cadrage!$D$34,Cadrage!$E$34)))</f>
        <v/>
      </c>
      <c r="M1414">
        <f>IF($A1414="","",IF($D1414="V01",Cadrage!$C$35,IF($D1414="V02",Cadrage!$D$35,Cadrage!$E$35)))</f>
        <v/>
      </c>
      <c r="N1414">
        <f>IF($A1414="","",IF($D1414="V01",$R$2,IF($D1414="V02",$R$3,$R$4)))</f>
        <v/>
      </c>
      <c r="O1414">
        <f>IF($A1414="","",IF(OR($B1414="7062",$B1414="706",$B1414="708"),$N1414,IF($B1414="6231",1+$G1414,IF($B1414="6236",1+$H1414,IF(OR($B1414="621",$B1414="604",$B1414="6063"),$N1414*(1-$L1414),IF(OR($B1414="6411",$B1414="6413",$B1414="6414",$B1414="645"),(1+$J1414)*(1+$K1414),IF(OR($B1414="613",$B1414="615",$B1414="616",$B1414="6226",$B1414="625",$B1414="626",$B1414="6281"),(1+$I1414)*(1-$L1414)*(1+$M1414),IF(OR($B1414="6331",$B1414="63511",$B1414="6333"),(1+$I1414)*(1-$L1414),IF($B1414="6811",1+$I1414,1)))))))))</f>
        <v/>
      </c>
      <c r="P1414">
        <f>IF($A1414="","",IF($E1414=1,$F1414*$O1414,PNL!G1414))</f>
        <v/>
      </c>
    </row>
    <row r="1415">
      <c r="A1415">
        <f>IF(PNL!A1415="","",PNL!A1415)</f>
        <v/>
      </c>
      <c r="B1415">
        <f>IF(PNL!B1415="","",PNL!B1415)</f>
        <v/>
      </c>
      <c r="C1415">
        <f>IF(PNL!C1415="","",PNL!C1415)</f>
        <v/>
      </c>
      <c r="D1415">
        <f>IF(PNL!D1415="","",PNL!D1415)</f>
        <v/>
      </c>
      <c r="E1415">
        <f>IF($A1415="","",IF(AND($C1415="2027",OR($D1415="V01",$D1415="V02",$D1415="V03")),1,0))</f>
        <v/>
      </c>
      <c r="F1415">
        <f>IF($A1415="","",IF($E1415=1,SUMIFS(Comptabilité!$F$1:$F$675,Comptabilité!$A$1:$A$675,$A1415,Comptabilité!$B$1:$B$675,$B1415,Comptabilité!$C$1:$C$675,"2026"),0))</f>
        <v/>
      </c>
      <c r="G1415">
        <f>IF($A1415="","",IF($D1415="V01",Cadrage!$C$22,IF($D1415="V02",Cadrage!$D$22,Cadrage!$E$22)))</f>
        <v/>
      </c>
      <c r="H1415">
        <f>IF($A1415="","",IF($D1415="V01",Cadrage!$C$23,IF($D1415="V02",Cadrage!$D$23,Cadrage!$E$23)))</f>
        <v/>
      </c>
      <c r="I1415">
        <f>IF($A1415="","",IF($D1415="V01",Cadrage!$C$31,IF($D1415="V02",Cadrage!$D$31,Cadrage!$E$31)))</f>
        <v/>
      </c>
      <c r="J1415">
        <f>IF($A1415="","",IF($D1415="V01",Cadrage!$C$32,IF($D1415="V02",Cadrage!$D$32,Cadrage!$E$32)))</f>
        <v/>
      </c>
      <c r="K1415">
        <f>IF($A1415="","",IF($D1415="V01",Cadrage!$C$33,IF($D1415="V02",Cadrage!$D$33,Cadrage!$E$33)))</f>
        <v/>
      </c>
      <c r="L1415">
        <f>IF($A1415="","",IF($D1415="V01",Cadrage!$C$34,IF($D1415="V02",Cadrage!$D$34,Cadrage!$E$34)))</f>
        <v/>
      </c>
      <c r="M1415">
        <f>IF($A1415="","",IF($D1415="V01",Cadrage!$C$35,IF($D1415="V02",Cadrage!$D$35,Cadrage!$E$35)))</f>
        <v/>
      </c>
      <c r="N1415">
        <f>IF($A1415="","",IF($D1415="V01",$R$2,IF($D1415="V02",$R$3,$R$4)))</f>
        <v/>
      </c>
      <c r="O1415">
        <f>IF($A1415="","",IF(OR($B1415="7062",$B1415="706",$B1415="708"),$N1415,IF($B1415="6231",1+$G1415,IF($B1415="6236",1+$H1415,IF(OR($B1415="621",$B1415="604",$B1415="6063"),$N1415*(1-$L1415),IF(OR($B1415="6411",$B1415="6413",$B1415="6414",$B1415="645"),(1+$J1415)*(1+$K1415),IF(OR($B1415="613",$B1415="615",$B1415="616",$B1415="6226",$B1415="625",$B1415="626",$B1415="6281"),(1+$I1415)*(1-$L1415)*(1+$M1415),IF(OR($B1415="6331",$B1415="63511",$B1415="6333"),(1+$I1415)*(1-$L1415),IF($B1415="6811",1+$I1415,1)))))))))</f>
        <v/>
      </c>
      <c r="P1415">
        <f>IF($A1415="","",IF($E1415=1,$F1415*$O1415,PNL!G1415))</f>
        <v/>
      </c>
    </row>
    <row r="1416">
      <c r="A1416">
        <f>IF(PNL!A1416="","",PNL!A1416)</f>
        <v/>
      </c>
      <c r="B1416">
        <f>IF(PNL!B1416="","",PNL!B1416)</f>
        <v/>
      </c>
      <c r="C1416">
        <f>IF(PNL!C1416="","",PNL!C1416)</f>
        <v/>
      </c>
      <c r="D1416">
        <f>IF(PNL!D1416="","",PNL!D1416)</f>
        <v/>
      </c>
      <c r="E1416">
        <f>IF($A1416="","",IF(AND($C1416="2027",OR($D1416="V01",$D1416="V02",$D1416="V03")),1,0))</f>
        <v/>
      </c>
      <c r="F1416">
        <f>IF($A1416="","",IF($E1416=1,SUMIFS(Comptabilité!$F$1:$F$675,Comptabilité!$A$1:$A$675,$A1416,Comptabilité!$B$1:$B$675,$B1416,Comptabilité!$C$1:$C$675,"2026"),0))</f>
        <v/>
      </c>
      <c r="G1416">
        <f>IF($A1416="","",IF($D1416="V01",Cadrage!$C$22,IF($D1416="V02",Cadrage!$D$22,Cadrage!$E$22)))</f>
        <v/>
      </c>
      <c r="H1416">
        <f>IF($A1416="","",IF($D1416="V01",Cadrage!$C$23,IF($D1416="V02",Cadrage!$D$23,Cadrage!$E$23)))</f>
        <v/>
      </c>
      <c r="I1416">
        <f>IF($A1416="","",IF($D1416="V01",Cadrage!$C$31,IF($D1416="V02",Cadrage!$D$31,Cadrage!$E$31)))</f>
        <v/>
      </c>
      <c r="J1416">
        <f>IF($A1416="","",IF($D1416="V01",Cadrage!$C$32,IF($D1416="V02",Cadrage!$D$32,Cadrage!$E$32)))</f>
        <v/>
      </c>
      <c r="K1416">
        <f>IF($A1416="","",IF($D1416="V01",Cadrage!$C$33,IF($D1416="V02",Cadrage!$D$33,Cadrage!$E$33)))</f>
        <v/>
      </c>
      <c r="L1416">
        <f>IF($A1416="","",IF($D1416="V01",Cadrage!$C$34,IF($D1416="V02",Cadrage!$D$34,Cadrage!$E$34)))</f>
        <v/>
      </c>
      <c r="M1416">
        <f>IF($A1416="","",IF($D1416="V01",Cadrage!$C$35,IF($D1416="V02",Cadrage!$D$35,Cadrage!$E$35)))</f>
        <v/>
      </c>
      <c r="N1416">
        <f>IF($A1416="","",IF($D1416="V01",$R$2,IF($D1416="V02",$R$3,$R$4)))</f>
        <v/>
      </c>
      <c r="O1416">
        <f>IF($A1416="","",IF(OR($B1416="7062",$B1416="706",$B1416="708"),$N1416,IF($B1416="6231",1+$G1416,IF($B1416="6236",1+$H1416,IF(OR($B1416="621",$B1416="604",$B1416="6063"),$N1416*(1-$L1416),IF(OR($B1416="6411",$B1416="6413",$B1416="6414",$B1416="645"),(1+$J1416)*(1+$K1416),IF(OR($B1416="613",$B1416="615",$B1416="616",$B1416="6226",$B1416="625",$B1416="626",$B1416="6281"),(1+$I1416)*(1-$L1416)*(1+$M1416),IF(OR($B1416="6331",$B1416="63511",$B1416="6333"),(1+$I1416)*(1-$L1416),IF($B1416="6811",1+$I1416,1)))))))))</f>
        <v/>
      </c>
      <c r="P1416">
        <f>IF($A1416="","",IF($E1416=1,$F1416*$O1416,PNL!G1416))</f>
        <v/>
      </c>
    </row>
    <row r="1417">
      <c r="A1417">
        <f>IF(PNL!A1417="","",PNL!A1417)</f>
        <v/>
      </c>
      <c r="B1417">
        <f>IF(PNL!B1417="","",PNL!B1417)</f>
        <v/>
      </c>
      <c r="C1417">
        <f>IF(PNL!C1417="","",PNL!C1417)</f>
        <v/>
      </c>
      <c r="D1417">
        <f>IF(PNL!D1417="","",PNL!D1417)</f>
        <v/>
      </c>
      <c r="E1417">
        <f>IF($A1417="","",IF(AND($C1417="2027",OR($D1417="V01",$D1417="V02",$D1417="V03")),1,0))</f>
        <v/>
      </c>
      <c r="F1417">
        <f>IF($A1417="","",IF($E1417=1,SUMIFS(Comptabilité!$F$1:$F$675,Comptabilité!$A$1:$A$675,$A1417,Comptabilité!$B$1:$B$675,$B1417,Comptabilité!$C$1:$C$675,"2026"),0))</f>
        <v/>
      </c>
      <c r="G1417">
        <f>IF($A1417="","",IF($D1417="V01",Cadrage!$C$22,IF($D1417="V02",Cadrage!$D$22,Cadrage!$E$22)))</f>
        <v/>
      </c>
      <c r="H1417">
        <f>IF($A1417="","",IF($D1417="V01",Cadrage!$C$23,IF($D1417="V02",Cadrage!$D$23,Cadrage!$E$23)))</f>
        <v/>
      </c>
      <c r="I1417">
        <f>IF($A1417="","",IF($D1417="V01",Cadrage!$C$31,IF($D1417="V02",Cadrage!$D$31,Cadrage!$E$31)))</f>
        <v/>
      </c>
      <c r="J1417">
        <f>IF($A1417="","",IF($D1417="V01",Cadrage!$C$32,IF($D1417="V02",Cadrage!$D$32,Cadrage!$E$32)))</f>
        <v/>
      </c>
      <c r="K1417">
        <f>IF($A1417="","",IF($D1417="V01",Cadrage!$C$33,IF($D1417="V02",Cadrage!$D$33,Cadrage!$E$33)))</f>
        <v/>
      </c>
      <c r="L1417">
        <f>IF($A1417="","",IF($D1417="V01",Cadrage!$C$34,IF($D1417="V02",Cadrage!$D$34,Cadrage!$E$34)))</f>
        <v/>
      </c>
      <c r="M1417">
        <f>IF($A1417="","",IF($D1417="V01",Cadrage!$C$35,IF($D1417="V02",Cadrage!$D$35,Cadrage!$E$35)))</f>
        <v/>
      </c>
      <c r="N1417">
        <f>IF($A1417="","",IF($D1417="V01",$R$2,IF($D1417="V02",$R$3,$R$4)))</f>
        <v/>
      </c>
      <c r="O1417">
        <f>IF($A1417="","",IF(OR($B1417="7062",$B1417="706",$B1417="708"),$N1417,IF($B1417="6231",1+$G1417,IF($B1417="6236",1+$H1417,IF(OR($B1417="621",$B1417="604",$B1417="6063"),$N1417*(1-$L1417),IF(OR($B1417="6411",$B1417="6413",$B1417="6414",$B1417="645"),(1+$J1417)*(1+$K1417),IF(OR($B1417="613",$B1417="615",$B1417="616",$B1417="6226",$B1417="625",$B1417="626",$B1417="6281"),(1+$I1417)*(1-$L1417)*(1+$M1417),IF(OR($B1417="6331",$B1417="63511",$B1417="6333"),(1+$I1417)*(1-$L1417),IF($B1417="6811",1+$I1417,1)))))))))</f>
        <v/>
      </c>
      <c r="P1417">
        <f>IF($A1417="","",IF($E1417=1,$F1417*$O1417,PNL!G1417))</f>
        <v/>
      </c>
    </row>
    <row r="1418">
      <c r="A1418">
        <f>IF(PNL!A1418="","",PNL!A1418)</f>
        <v/>
      </c>
      <c r="B1418">
        <f>IF(PNL!B1418="","",PNL!B1418)</f>
        <v/>
      </c>
      <c r="C1418">
        <f>IF(PNL!C1418="","",PNL!C1418)</f>
        <v/>
      </c>
      <c r="D1418">
        <f>IF(PNL!D1418="","",PNL!D1418)</f>
        <v/>
      </c>
      <c r="E1418">
        <f>IF($A1418="","",IF(AND($C1418="2027",OR($D1418="V01",$D1418="V02",$D1418="V03")),1,0))</f>
        <v/>
      </c>
      <c r="F1418">
        <f>IF($A1418="","",IF($E1418=1,SUMIFS(Comptabilité!$F$1:$F$675,Comptabilité!$A$1:$A$675,$A1418,Comptabilité!$B$1:$B$675,$B1418,Comptabilité!$C$1:$C$675,"2026"),0))</f>
        <v/>
      </c>
      <c r="G1418">
        <f>IF($A1418="","",IF($D1418="V01",Cadrage!$C$22,IF($D1418="V02",Cadrage!$D$22,Cadrage!$E$22)))</f>
        <v/>
      </c>
      <c r="H1418">
        <f>IF($A1418="","",IF($D1418="V01",Cadrage!$C$23,IF($D1418="V02",Cadrage!$D$23,Cadrage!$E$23)))</f>
        <v/>
      </c>
      <c r="I1418">
        <f>IF($A1418="","",IF($D1418="V01",Cadrage!$C$31,IF($D1418="V02",Cadrage!$D$31,Cadrage!$E$31)))</f>
        <v/>
      </c>
      <c r="J1418">
        <f>IF($A1418="","",IF($D1418="V01",Cadrage!$C$32,IF($D1418="V02",Cadrage!$D$32,Cadrage!$E$32)))</f>
        <v/>
      </c>
      <c r="K1418">
        <f>IF($A1418="","",IF($D1418="V01",Cadrage!$C$33,IF($D1418="V02",Cadrage!$D$33,Cadrage!$E$33)))</f>
        <v/>
      </c>
      <c r="L1418">
        <f>IF($A1418="","",IF($D1418="V01",Cadrage!$C$34,IF($D1418="V02",Cadrage!$D$34,Cadrage!$E$34)))</f>
        <v/>
      </c>
      <c r="M1418">
        <f>IF($A1418="","",IF($D1418="V01",Cadrage!$C$35,IF($D1418="V02",Cadrage!$D$35,Cadrage!$E$35)))</f>
        <v/>
      </c>
      <c r="N1418">
        <f>IF($A1418="","",IF($D1418="V01",$R$2,IF($D1418="V02",$R$3,$R$4)))</f>
        <v/>
      </c>
      <c r="O1418">
        <f>IF($A1418="","",IF(OR($B1418="7062",$B1418="706",$B1418="708"),$N1418,IF($B1418="6231",1+$G1418,IF($B1418="6236",1+$H1418,IF(OR($B1418="621",$B1418="604",$B1418="6063"),$N1418*(1-$L1418),IF(OR($B1418="6411",$B1418="6413",$B1418="6414",$B1418="645"),(1+$J1418)*(1+$K1418),IF(OR($B1418="613",$B1418="615",$B1418="616",$B1418="6226",$B1418="625",$B1418="626",$B1418="6281"),(1+$I1418)*(1-$L1418)*(1+$M1418),IF(OR($B1418="6331",$B1418="63511",$B1418="6333"),(1+$I1418)*(1-$L1418),IF($B1418="6811",1+$I1418,1)))))))))</f>
        <v/>
      </c>
      <c r="P1418">
        <f>IF($A1418="","",IF($E1418=1,$F1418*$O1418,PNL!G1418))</f>
        <v/>
      </c>
    </row>
    <row r="1419">
      <c r="A1419">
        <f>IF(PNL!A1419="","",PNL!A1419)</f>
        <v/>
      </c>
      <c r="B1419">
        <f>IF(PNL!B1419="","",PNL!B1419)</f>
        <v/>
      </c>
      <c r="C1419">
        <f>IF(PNL!C1419="","",PNL!C1419)</f>
        <v/>
      </c>
      <c r="D1419">
        <f>IF(PNL!D1419="","",PNL!D1419)</f>
        <v/>
      </c>
      <c r="E1419">
        <f>IF($A1419="","",IF(AND($C1419="2027",OR($D1419="V01",$D1419="V02",$D1419="V03")),1,0))</f>
        <v/>
      </c>
      <c r="F1419">
        <f>IF($A1419="","",IF($E1419=1,SUMIFS(Comptabilité!$F$1:$F$675,Comptabilité!$A$1:$A$675,$A1419,Comptabilité!$B$1:$B$675,$B1419,Comptabilité!$C$1:$C$675,"2026"),0))</f>
        <v/>
      </c>
      <c r="G1419">
        <f>IF($A1419="","",IF($D1419="V01",Cadrage!$C$22,IF($D1419="V02",Cadrage!$D$22,Cadrage!$E$22)))</f>
        <v/>
      </c>
      <c r="H1419">
        <f>IF($A1419="","",IF($D1419="V01",Cadrage!$C$23,IF($D1419="V02",Cadrage!$D$23,Cadrage!$E$23)))</f>
        <v/>
      </c>
      <c r="I1419">
        <f>IF($A1419="","",IF($D1419="V01",Cadrage!$C$31,IF($D1419="V02",Cadrage!$D$31,Cadrage!$E$31)))</f>
        <v/>
      </c>
      <c r="J1419">
        <f>IF($A1419="","",IF($D1419="V01",Cadrage!$C$32,IF($D1419="V02",Cadrage!$D$32,Cadrage!$E$32)))</f>
        <v/>
      </c>
      <c r="K1419">
        <f>IF($A1419="","",IF($D1419="V01",Cadrage!$C$33,IF($D1419="V02",Cadrage!$D$33,Cadrage!$E$33)))</f>
        <v/>
      </c>
      <c r="L1419">
        <f>IF($A1419="","",IF($D1419="V01",Cadrage!$C$34,IF($D1419="V02",Cadrage!$D$34,Cadrage!$E$34)))</f>
        <v/>
      </c>
      <c r="M1419">
        <f>IF($A1419="","",IF($D1419="V01",Cadrage!$C$35,IF($D1419="V02",Cadrage!$D$35,Cadrage!$E$35)))</f>
        <v/>
      </c>
      <c r="N1419">
        <f>IF($A1419="","",IF($D1419="V01",$R$2,IF($D1419="V02",$R$3,$R$4)))</f>
        <v/>
      </c>
      <c r="O1419">
        <f>IF($A1419="","",IF(OR($B1419="7062",$B1419="706",$B1419="708"),$N1419,IF($B1419="6231",1+$G1419,IF($B1419="6236",1+$H1419,IF(OR($B1419="621",$B1419="604",$B1419="6063"),$N1419*(1-$L1419),IF(OR($B1419="6411",$B1419="6413",$B1419="6414",$B1419="645"),(1+$J1419)*(1+$K1419),IF(OR($B1419="613",$B1419="615",$B1419="616",$B1419="6226",$B1419="625",$B1419="626",$B1419="6281"),(1+$I1419)*(1-$L1419)*(1+$M1419),IF(OR($B1419="6331",$B1419="63511",$B1419="6333"),(1+$I1419)*(1-$L1419),IF($B1419="6811",1+$I1419,1)))))))))</f>
        <v/>
      </c>
      <c r="P1419">
        <f>IF($A1419="","",IF($E1419=1,$F1419*$O1419,PNL!G1419))</f>
        <v/>
      </c>
    </row>
    <row r="1420">
      <c r="A1420">
        <f>IF(PNL!A1420="","",PNL!A1420)</f>
        <v/>
      </c>
      <c r="B1420">
        <f>IF(PNL!B1420="","",PNL!B1420)</f>
        <v/>
      </c>
      <c r="C1420">
        <f>IF(PNL!C1420="","",PNL!C1420)</f>
        <v/>
      </c>
      <c r="D1420">
        <f>IF(PNL!D1420="","",PNL!D1420)</f>
        <v/>
      </c>
      <c r="E1420">
        <f>IF($A1420="","",IF(AND($C1420="2027",OR($D1420="V01",$D1420="V02",$D1420="V03")),1,0))</f>
        <v/>
      </c>
      <c r="F1420">
        <f>IF($A1420="","",IF($E1420=1,SUMIFS(Comptabilité!$F$1:$F$675,Comptabilité!$A$1:$A$675,$A1420,Comptabilité!$B$1:$B$675,$B1420,Comptabilité!$C$1:$C$675,"2026"),0))</f>
        <v/>
      </c>
      <c r="G1420">
        <f>IF($A1420="","",IF($D1420="V01",Cadrage!$C$22,IF($D1420="V02",Cadrage!$D$22,Cadrage!$E$22)))</f>
        <v/>
      </c>
      <c r="H1420">
        <f>IF($A1420="","",IF($D1420="V01",Cadrage!$C$23,IF($D1420="V02",Cadrage!$D$23,Cadrage!$E$23)))</f>
        <v/>
      </c>
      <c r="I1420">
        <f>IF($A1420="","",IF($D1420="V01",Cadrage!$C$31,IF($D1420="V02",Cadrage!$D$31,Cadrage!$E$31)))</f>
        <v/>
      </c>
      <c r="J1420">
        <f>IF($A1420="","",IF($D1420="V01",Cadrage!$C$32,IF($D1420="V02",Cadrage!$D$32,Cadrage!$E$32)))</f>
        <v/>
      </c>
      <c r="K1420">
        <f>IF($A1420="","",IF($D1420="V01",Cadrage!$C$33,IF($D1420="V02",Cadrage!$D$33,Cadrage!$E$33)))</f>
        <v/>
      </c>
      <c r="L1420">
        <f>IF($A1420="","",IF($D1420="V01",Cadrage!$C$34,IF($D1420="V02",Cadrage!$D$34,Cadrage!$E$34)))</f>
        <v/>
      </c>
      <c r="M1420">
        <f>IF($A1420="","",IF($D1420="V01",Cadrage!$C$35,IF($D1420="V02",Cadrage!$D$35,Cadrage!$E$35)))</f>
        <v/>
      </c>
      <c r="N1420">
        <f>IF($A1420="","",IF($D1420="V01",$R$2,IF($D1420="V02",$R$3,$R$4)))</f>
        <v/>
      </c>
      <c r="O1420">
        <f>IF($A1420="","",IF(OR($B1420="7062",$B1420="706",$B1420="708"),$N1420,IF($B1420="6231",1+$G1420,IF($B1420="6236",1+$H1420,IF(OR($B1420="621",$B1420="604",$B1420="6063"),$N1420*(1-$L1420),IF(OR($B1420="6411",$B1420="6413",$B1420="6414",$B1420="645"),(1+$J1420)*(1+$K1420),IF(OR($B1420="613",$B1420="615",$B1420="616",$B1420="6226",$B1420="625",$B1420="626",$B1420="6281"),(1+$I1420)*(1-$L1420)*(1+$M1420),IF(OR($B1420="6331",$B1420="63511",$B1420="6333"),(1+$I1420)*(1-$L1420),IF($B1420="6811",1+$I1420,1)))))))))</f>
        <v/>
      </c>
      <c r="P1420">
        <f>IF($A1420="","",IF($E1420=1,$F1420*$O1420,PNL!G1420))</f>
        <v/>
      </c>
    </row>
    <row r="1421">
      <c r="A1421">
        <f>IF(PNL!A1421="","",PNL!A1421)</f>
        <v/>
      </c>
      <c r="B1421">
        <f>IF(PNL!B1421="","",PNL!B1421)</f>
        <v/>
      </c>
      <c r="C1421">
        <f>IF(PNL!C1421="","",PNL!C1421)</f>
        <v/>
      </c>
      <c r="D1421">
        <f>IF(PNL!D1421="","",PNL!D1421)</f>
        <v/>
      </c>
      <c r="E1421">
        <f>IF($A1421="","",IF(AND($C1421="2027",OR($D1421="V01",$D1421="V02",$D1421="V03")),1,0))</f>
        <v/>
      </c>
      <c r="F1421">
        <f>IF($A1421="","",IF($E1421=1,SUMIFS(Comptabilité!$F$1:$F$675,Comptabilité!$A$1:$A$675,$A1421,Comptabilité!$B$1:$B$675,$B1421,Comptabilité!$C$1:$C$675,"2026"),0))</f>
        <v/>
      </c>
      <c r="G1421">
        <f>IF($A1421="","",IF($D1421="V01",Cadrage!$C$22,IF($D1421="V02",Cadrage!$D$22,Cadrage!$E$22)))</f>
        <v/>
      </c>
      <c r="H1421">
        <f>IF($A1421="","",IF($D1421="V01",Cadrage!$C$23,IF($D1421="V02",Cadrage!$D$23,Cadrage!$E$23)))</f>
        <v/>
      </c>
      <c r="I1421">
        <f>IF($A1421="","",IF($D1421="V01",Cadrage!$C$31,IF($D1421="V02",Cadrage!$D$31,Cadrage!$E$31)))</f>
        <v/>
      </c>
      <c r="J1421">
        <f>IF($A1421="","",IF($D1421="V01",Cadrage!$C$32,IF($D1421="V02",Cadrage!$D$32,Cadrage!$E$32)))</f>
        <v/>
      </c>
      <c r="K1421">
        <f>IF($A1421="","",IF($D1421="V01",Cadrage!$C$33,IF($D1421="V02",Cadrage!$D$33,Cadrage!$E$33)))</f>
        <v/>
      </c>
      <c r="L1421">
        <f>IF($A1421="","",IF($D1421="V01",Cadrage!$C$34,IF($D1421="V02",Cadrage!$D$34,Cadrage!$E$34)))</f>
        <v/>
      </c>
      <c r="M1421">
        <f>IF($A1421="","",IF($D1421="V01",Cadrage!$C$35,IF($D1421="V02",Cadrage!$D$35,Cadrage!$E$35)))</f>
        <v/>
      </c>
      <c r="N1421">
        <f>IF($A1421="","",IF($D1421="V01",$R$2,IF($D1421="V02",$R$3,$R$4)))</f>
        <v/>
      </c>
      <c r="O1421">
        <f>IF($A1421="","",IF(OR($B1421="7062",$B1421="706",$B1421="708"),$N1421,IF($B1421="6231",1+$G1421,IF($B1421="6236",1+$H1421,IF(OR($B1421="621",$B1421="604",$B1421="6063"),$N1421*(1-$L1421),IF(OR($B1421="6411",$B1421="6413",$B1421="6414",$B1421="645"),(1+$J1421)*(1+$K1421),IF(OR($B1421="613",$B1421="615",$B1421="616",$B1421="6226",$B1421="625",$B1421="626",$B1421="6281"),(1+$I1421)*(1-$L1421)*(1+$M1421),IF(OR($B1421="6331",$B1421="63511",$B1421="6333"),(1+$I1421)*(1-$L1421),IF($B1421="6811",1+$I1421,1)))))))))</f>
        <v/>
      </c>
      <c r="P1421">
        <f>IF($A1421="","",IF($E1421=1,$F1421*$O1421,PNL!G1421))</f>
        <v/>
      </c>
    </row>
    <row r="1422">
      <c r="A1422">
        <f>IF(PNL!A1422="","",PNL!A1422)</f>
        <v/>
      </c>
      <c r="B1422">
        <f>IF(PNL!B1422="","",PNL!B1422)</f>
        <v/>
      </c>
      <c r="C1422">
        <f>IF(PNL!C1422="","",PNL!C1422)</f>
        <v/>
      </c>
      <c r="D1422">
        <f>IF(PNL!D1422="","",PNL!D1422)</f>
        <v/>
      </c>
      <c r="E1422">
        <f>IF($A1422="","",IF(AND($C1422="2027",OR($D1422="V01",$D1422="V02",$D1422="V03")),1,0))</f>
        <v/>
      </c>
      <c r="F1422">
        <f>IF($A1422="","",IF($E1422=1,SUMIFS(Comptabilité!$F$1:$F$675,Comptabilité!$A$1:$A$675,$A1422,Comptabilité!$B$1:$B$675,$B1422,Comptabilité!$C$1:$C$675,"2026"),0))</f>
        <v/>
      </c>
      <c r="G1422">
        <f>IF($A1422="","",IF($D1422="V01",Cadrage!$C$22,IF($D1422="V02",Cadrage!$D$22,Cadrage!$E$22)))</f>
        <v/>
      </c>
      <c r="H1422">
        <f>IF($A1422="","",IF($D1422="V01",Cadrage!$C$23,IF($D1422="V02",Cadrage!$D$23,Cadrage!$E$23)))</f>
        <v/>
      </c>
      <c r="I1422">
        <f>IF($A1422="","",IF($D1422="V01",Cadrage!$C$31,IF($D1422="V02",Cadrage!$D$31,Cadrage!$E$31)))</f>
        <v/>
      </c>
      <c r="J1422">
        <f>IF($A1422="","",IF($D1422="V01",Cadrage!$C$32,IF($D1422="V02",Cadrage!$D$32,Cadrage!$E$32)))</f>
        <v/>
      </c>
      <c r="K1422">
        <f>IF($A1422="","",IF($D1422="V01",Cadrage!$C$33,IF($D1422="V02",Cadrage!$D$33,Cadrage!$E$33)))</f>
        <v/>
      </c>
      <c r="L1422">
        <f>IF($A1422="","",IF($D1422="V01",Cadrage!$C$34,IF($D1422="V02",Cadrage!$D$34,Cadrage!$E$34)))</f>
        <v/>
      </c>
      <c r="M1422">
        <f>IF($A1422="","",IF($D1422="V01",Cadrage!$C$35,IF($D1422="V02",Cadrage!$D$35,Cadrage!$E$35)))</f>
        <v/>
      </c>
      <c r="N1422">
        <f>IF($A1422="","",IF($D1422="V01",$R$2,IF($D1422="V02",$R$3,$R$4)))</f>
        <v/>
      </c>
      <c r="O1422">
        <f>IF($A1422="","",IF(OR($B1422="7062",$B1422="706",$B1422="708"),$N1422,IF($B1422="6231",1+$G1422,IF($B1422="6236",1+$H1422,IF(OR($B1422="621",$B1422="604",$B1422="6063"),$N1422*(1-$L1422),IF(OR($B1422="6411",$B1422="6413",$B1422="6414",$B1422="645"),(1+$J1422)*(1+$K1422),IF(OR($B1422="613",$B1422="615",$B1422="616",$B1422="6226",$B1422="625",$B1422="626",$B1422="6281"),(1+$I1422)*(1-$L1422)*(1+$M1422),IF(OR($B1422="6331",$B1422="63511",$B1422="6333"),(1+$I1422)*(1-$L1422),IF($B1422="6811",1+$I1422,1)))))))))</f>
        <v/>
      </c>
      <c r="P1422">
        <f>IF($A1422="","",IF($E1422=1,$F1422*$O1422,PNL!G1422))</f>
        <v/>
      </c>
    </row>
    <row r="1423">
      <c r="A1423">
        <f>IF(PNL!A1423="","",PNL!A1423)</f>
        <v/>
      </c>
      <c r="B1423">
        <f>IF(PNL!B1423="","",PNL!B1423)</f>
        <v/>
      </c>
      <c r="C1423">
        <f>IF(PNL!C1423="","",PNL!C1423)</f>
        <v/>
      </c>
      <c r="D1423">
        <f>IF(PNL!D1423="","",PNL!D1423)</f>
        <v/>
      </c>
      <c r="E1423">
        <f>IF($A1423="","",IF(AND($C1423="2027",OR($D1423="V01",$D1423="V02",$D1423="V03")),1,0))</f>
        <v/>
      </c>
      <c r="F1423">
        <f>IF($A1423="","",IF($E1423=1,SUMIFS(Comptabilité!$F$1:$F$675,Comptabilité!$A$1:$A$675,$A1423,Comptabilité!$B$1:$B$675,$B1423,Comptabilité!$C$1:$C$675,"2026"),0))</f>
        <v/>
      </c>
      <c r="G1423">
        <f>IF($A1423="","",IF($D1423="V01",Cadrage!$C$22,IF($D1423="V02",Cadrage!$D$22,Cadrage!$E$22)))</f>
        <v/>
      </c>
      <c r="H1423">
        <f>IF($A1423="","",IF($D1423="V01",Cadrage!$C$23,IF($D1423="V02",Cadrage!$D$23,Cadrage!$E$23)))</f>
        <v/>
      </c>
      <c r="I1423">
        <f>IF($A1423="","",IF($D1423="V01",Cadrage!$C$31,IF($D1423="V02",Cadrage!$D$31,Cadrage!$E$31)))</f>
        <v/>
      </c>
      <c r="J1423">
        <f>IF($A1423="","",IF($D1423="V01",Cadrage!$C$32,IF($D1423="V02",Cadrage!$D$32,Cadrage!$E$32)))</f>
        <v/>
      </c>
      <c r="K1423">
        <f>IF($A1423="","",IF($D1423="V01",Cadrage!$C$33,IF($D1423="V02",Cadrage!$D$33,Cadrage!$E$33)))</f>
        <v/>
      </c>
      <c r="L1423">
        <f>IF($A1423="","",IF($D1423="V01",Cadrage!$C$34,IF($D1423="V02",Cadrage!$D$34,Cadrage!$E$34)))</f>
        <v/>
      </c>
      <c r="M1423">
        <f>IF($A1423="","",IF($D1423="V01",Cadrage!$C$35,IF($D1423="V02",Cadrage!$D$35,Cadrage!$E$35)))</f>
        <v/>
      </c>
      <c r="N1423">
        <f>IF($A1423="","",IF($D1423="V01",$R$2,IF($D1423="V02",$R$3,$R$4)))</f>
        <v/>
      </c>
      <c r="O1423">
        <f>IF($A1423="","",IF(OR($B1423="7062",$B1423="706",$B1423="708"),$N1423,IF($B1423="6231",1+$G1423,IF($B1423="6236",1+$H1423,IF(OR($B1423="621",$B1423="604",$B1423="6063"),$N1423*(1-$L1423),IF(OR($B1423="6411",$B1423="6413",$B1423="6414",$B1423="645"),(1+$J1423)*(1+$K1423),IF(OR($B1423="613",$B1423="615",$B1423="616",$B1423="6226",$B1423="625",$B1423="626",$B1423="6281"),(1+$I1423)*(1-$L1423)*(1+$M1423),IF(OR($B1423="6331",$B1423="63511",$B1423="6333"),(1+$I1423)*(1-$L1423),IF($B1423="6811",1+$I1423,1)))))))))</f>
        <v/>
      </c>
      <c r="P1423">
        <f>IF($A1423="","",IF($E1423=1,$F1423*$O1423,PNL!G1423))</f>
        <v/>
      </c>
    </row>
    <row r="1424">
      <c r="A1424">
        <f>IF(PNL!A1424="","",PNL!A1424)</f>
        <v/>
      </c>
      <c r="B1424">
        <f>IF(PNL!B1424="","",PNL!B1424)</f>
        <v/>
      </c>
      <c r="C1424">
        <f>IF(PNL!C1424="","",PNL!C1424)</f>
        <v/>
      </c>
      <c r="D1424">
        <f>IF(PNL!D1424="","",PNL!D1424)</f>
        <v/>
      </c>
      <c r="E1424">
        <f>IF($A1424="","",IF(AND($C1424="2027",OR($D1424="V01",$D1424="V02",$D1424="V03")),1,0))</f>
        <v/>
      </c>
      <c r="F1424">
        <f>IF($A1424="","",IF($E1424=1,SUMIFS(Comptabilité!$F$1:$F$675,Comptabilité!$A$1:$A$675,$A1424,Comptabilité!$B$1:$B$675,$B1424,Comptabilité!$C$1:$C$675,"2026"),0))</f>
        <v/>
      </c>
      <c r="G1424">
        <f>IF($A1424="","",IF($D1424="V01",Cadrage!$C$22,IF($D1424="V02",Cadrage!$D$22,Cadrage!$E$22)))</f>
        <v/>
      </c>
      <c r="H1424">
        <f>IF($A1424="","",IF($D1424="V01",Cadrage!$C$23,IF($D1424="V02",Cadrage!$D$23,Cadrage!$E$23)))</f>
        <v/>
      </c>
      <c r="I1424">
        <f>IF($A1424="","",IF($D1424="V01",Cadrage!$C$31,IF($D1424="V02",Cadrage!$D$31,Cadrage!$E$31)))</f>
        <v/>
      </c>
      <c r="J1424">
        <f>IF($A1424="","",IF($D1424="V01",Cadrage!$C$32,IF($D1424="V02",Cadrage!$D$32,Cadrage!$E$32)))</f>
        <v/>
      </c>
      <c r="K1424">
        <f>IF($A1424="","",IF($D1424="V01",Cadrage!$C$33,IF($D1424="V02",Cadrage!$D$33,Cadrage!$E$33)))</f>
        <v/>
      </c>
      <c r="L1424">
        <f>IF($A1424="","",IF($D1424="V01",Cadrage!$C$34,IF($D1424="V02",Cadrage!$D$34,Cadrage!$E$34)))</f>
        <v/>
      </c>
      <c r="M1424">
        <f>IF($A1424="","",IF($D1424="V01",Cadrage!$C$35,IF($D1424="V02",Cadrage!$D$35,Cadrage!$E$35)))</f>
        <v/>
      </c>
      <c r="N1424">
        <f>IF($A1424="","",IF($D1424="V01",$R$2,IF($D1424="V02",$R$3,$R$4)))</f>
        <v/>
      </c>
      <c r="O1424">
        <f>IF($A1424="","",IF(OR($B1424="7062",$B1424="706",$B1424="708"),$N1424,IF($B1424="6231",1+$G1424,IF($B1424="6236",1+$H1424,IF(OR($B1424="621",$B1424="604",$B1424="6063"),$N1424*(1-$L1424),IF(OR($B1424="6411",$B1424="6413",$B1424="6414",$B1424="645"),(1+$J1424)*(1+$K1424),IF(OR($B1424="613",$B1424="615",$B1424="616",$B1424="6226",$B1424="625",$B1424="626",$B1424="6281"),(1+$I1424)*(1-$L1424)*(1+$M1424),IF(OR($B1424="6331",$B1424="63511",$B1424="6333"),(1+$I1424)*(1-$L1424),IF($B1424="6811",1+$I1424,1)))))))))</f>
        <v/>
      </c>
      <c r="P1424">
        <f>IF($A1424="","",IF($E1424=1,$F1424*$O1424,PNL!G1424))</f>
        <v/>
      </c>
    </row>
    <row r="1425">
      <c r="A1425">
        <f>IF(PNL!A1425="","",PNL!A1425)</f>
        <v/>
      </c>
      <c r="B1425">
        <f>IF(PNL!B1425="","",PNL!B1425)</f>
        <v/>
      </c>
      <c r="C1425">
        <f>IF(PNL!C1425="","",PNL!C1425)</f>
        <v/>
      </c>
      <c r="D1425">
        <f>IF(PNL!D1425="","",PNL!D1425)</f>
        <v/>
      </c>
      <c r="E1425">
        <f>IF($A1425="","",IF(AND($C1425="2027",OR($D1425="V01",$D1425="V02",$D1425="V03")),1,0))</f>
        <v/>
      </c>
      <c r="F1425">
        <f>IF($A1425="","",IF($E1425=1,SUMIFS(Comptabilité!$F$1:$F$675,Comptabilité!$A$1:$A$675,$A1425,Comptabilité!$B$1:$B$675,$B1425,Comptabilité!$C$1:$C$675,"2026"),0))</f>
        <v/>
      </c>
      <c r="G1425">
        <f>IF($A1425="","",IF($D1425="V01",Cadrage!$C$22,IF($D1425="V02",Cadrage!$D$22,Cadrage!$E$22)))</f>
        <v/>
      </c>
      <c r="H1425">
        <f>IF($A1425="","",IF($D1425="V01",Cadrage!$C$23,IF($D1425="V02",Cadrage!$D$23,Cadrage!$E$23)))</f>
        <v/>
      </c>
      <c r="I1425">
        <f>IF($A1425="","",IF($D1425="V01",Cadrage!$C$31,IF($D1425="V02",Cadrage!$D$31,Cadrage!$E$31)))</f>
        <v/>
      </c>
      <c r="J1425">
        <f>IF($A1425="","",IF($D1425="V01",Cadrage!$C$32,IF($D1425="V02",Cadrage!$D$32,Cadrage!$E$32)))</f>
        <v/>
      </c>
      <c r="K1425">
        <f>IF($A1425="","",IF($D1425="V01",Cadrage!$C$33,IF($D1425="V02",Cadrage!$D$33,Cadrage!$E$33)))</f>
        <v/>
      </c>
      <c r="L1425">
        <f>IF($A1425="","",IF($D1425="V01",Cadrage!$C$34,IF($D1425="V02",Cadrage!$D$34,Cadrage!$E$34)))</f>
        <v/>
      </c>
      <c r="M1425">
        <f>IF($A1425="","",IF($D1425="V01",Cadrage!$C$35,IF($D1425="V02",Cadrage!$D$35,Cadrage!$E$35)))</f>
        <v/>
      </c>
      <c r="N1425">
        <f>IF($A1425="","",IF($D1425="V01",$R$2,IF($D1425="V02",$R$3,$R$4)))</f>
        <v/>
      </c>
      <c r="O1425">
        <f>IF($A1425="","",IF(OR($B1425="7062",$B1425="706",$B1425="708"),$N1425,IF($B1425="6231",1+$G1425,IF($B1425="6236",1+$H1425,IF(OR($B1425="621",$B1425="604",$B1425="6063"),$N1425*(1-$L1425),IF(OR($B1425="6411",$B1425="6413",$B1425="6414",$B1425="645"),(1+$J1425)*(1+$K1425),IF(OR($B1425="613",$B1425="615",$B1425="616",$B1425="6226",$B1425="625",$B1425="626",$B1425="6281"),(1+$I1425)*(1-$L1425)*(1+$M1425),IF(OR($B1425="6331",$B1425="63511",$B1425="6333"),(1+$I1425)*(1-$L1425),IF($B1425="6811",1+$I1425,1)))))))))</f>
        <v/>
      </c>
      <c r="P1425">
        <f>IF($A1425="","",IF($E1425=1,$F1425*$O1425,PNL!G1425))</f>
        <v/>
      </c>
    </row>
    <row r="1426">
      <c r="A1426">
        <f>IF(PNL!A1426="","",PNL!A1426)</f>
        <v/>
      </c>
      <c r="B1426">
        <f>IF(PNL!B1426="","",PNL!B1426)</f>
        <v/>
      </c>
      <c r="C1426">
        <f>IF(PNL!C1426="","",PNL!C1426)</f>
        <v/>
      </c>
      <c r="D1426">
        <f>IF(PNL!D1426="","",PNL!D1426)</f>
        <v/>
      </c>
      <c r="E1426">
        <f>IF($A1426="","",IF(AND($C1426="2027",OR($D1426="V01",$D1426="V02",$D1426="V03")),1,0))</f>
        <v/>
      </c>
      <c r="F1426">
        <f>IF($A1426="","",IF($E1426=1,SUMIFS(Comptabilité!$F$1:$F$675,Comptabilité!$A$1:$A$675,$A1426,Comptabilité!$B$1:$B$675,$B1426,Comptabilité!$C$1:$C$675,"2026"),0))</f>
        <v/>
      </c>
      <c r="G1426">
        <f>IF($A1426="","",IF($D1426="V01",Cadrage!$C$22,IF($D1426="V02",Cadrage!$D$22,Cadrage!$E$22)))</f>
        <v/>
      </c>
      <c r="H1426">
        <f>IF($A1426="","",IF($D1426="V01",Cadrage!$C$23,IF($D1426="V02",Cadrage!$D$23,Cadrage!$E$23)))</f>
        <v/>
      </c>
      <c r="I1426">
        <f>IF($A1426="","",IF($D1426="V01",Cadrage!$C$31,IF($D1426="V02",Cadrage!$D$31,Cadrage!$E$31)))</f>
        <v/>
      </c>
      <c r="J1426">
        <f>IF($A1426="","",IF($D1426="V01",Cadrage!$C$32,IF($D1426="V02",Cadrage!$D$32,Cadrage!$E$32)))</f>
        <v/>
      </c>
      <c r="K1426">
        <f>IF($A1426="","",IF($D1426="V01",Cadrage!$C$33,IF($D1426="V02",Cadrage!$D$33,Cadrage!$E$33)))</f>
        <v/>
      </c>
      <c r="L1426">
        <f>IF($A1426="","",IF($D1426="V01",Cadrage!$C$34,IF($D1426="V02",Cadrage!$D$34,Cadrage!$E$34)))</f>
        <v/>
      </c>
      <c r="M1426">
        <f>IF($A1426="","",IF($D1426="V01",Cadrage!$C$35,IF($D1426="V02",Cadrage!$D$35,Cadrage!$E$35)))</f>
        <v/>
      </c>
      <c r="N1426">
        <f>IF($A1426="","",IF($D1426="V01",$R$2,IF($D1426="V02",$R$3,$R$4)))</f>
        <v/>
      </c>
      <c r="O1426">
        <f>IF($A1426="","",IF(OR($B1426="7062",$B1426="706",$B1426="708"),$N1426,IF($B1426="6231",1+$G1426,IF($B1426="6236",1+$H1426,IF(OR($B1426="621",$B1426="604",$B1426="6063"),$N1426*(1-$L1426),IF(OR($B1426="6411",$B1426="6413",$B1426="6414",$B1426="645"),(1+$J1426)*(1+$K1426),IF(OR($B1426="613",$B1426="615",$B1426="616",$B1426="6226",$B1426="625",$B1426="626",$B1426="6281"),(1+$I1426)*(1-$L1426)*(1+$M1426),IF(OR($B1426="6331",$B1426="63511",$B1426="6333"),(1+$I1426)*(1-$L1426),IF($B1426="6811",1+$I1426,1)))))))))</f>
        <v/>
      </c>
      <c r="P1426">
        <f>IF($A1426="","",IF($E1426=1,$F1426*$O1426,PNL!G1426))</f>
        <v/>
      </c>
    </row>
    <row r="1427">
      <c r="A1427">
        <f>IF(PNL!A1427="","",PNL!A1427)</f>
        <v/>
      </c>
      <c r="B1427">
        <f>IF(PNL!B1427="","",PNL!B1427)</f>
        <v/>
      </c>
      <c r="C1427">
        <f>IF(PNL!C1427="","",PNL!C1427)</f>
        <v/>
      </c>
      <c r="D1427">
        <f>IF(PNL!D1427="","",PNL!D1427)</f>
        <v/>
      </c>
      <c r="E1427">
        <f>IF($A1427="","",IF(AND($C1427="2027",OR($D1427="V01",$D1427="V02",$D1427="V03")),1,0))</f>
        <v/>
      </c>
      <c r="F1427">
        <f>IF($A1427="","",IF($E1427=1,SUMIFS(Comptabilité!$F$1:$F$675,Comptabilité!$A$1:$A$675,$A1427,Comptabilité!$B$1:$B$675,$B1427,Comptabilité!$C$1:$C$675,"2026"),0))</f>
        <v/>
      </c>
      <c r="G1427">
        <f>IF($A1427="","",IF($D1427="V01",Cadrage!$C$22,IF($D1427="V02",Cadrage!$D$22,Cadrage!$E$22)))</f>
        <v/>
      </c>
      <c r="H1427">
        <f>IF($A1427="","",IF($D1427="V01",Cadrage!$C$23,IF($D1427="V02",Cadrage!$D$23,Cadrage!$E$23)))</f>
        <v/>
      </c>
      <c r="I1427">
        <f>IF($A1427="","",IF($D1427="V01",Cadrage!$C$31,IF($D1427="V02",Cadrage!$D$31,Cadrage!$E$31)))</f>
        <v/>
      </c>
      <c r="J1427">
        <f>IF($A1427="","",IF($D1427="V01",Cadrage!$C$32,IF($D1427="V02",Cadrage!$D$32,Cadrage!$E$32)))</f>
        <v/>
      </c>
      <c r="K1427">
        <f>IF($A1427="","",IF($D1427="V01",Cadrage!$C$33,IF($D1427="V02",Cadrage!$D$33,Cadrage!$E$33)))</f>
        <v/>
      </c>
      <c r="L1427">
        <f>IF($A1427="","",IF($D1427="V01",Cadrage!$C$34,IF($D1427="V02",Cadrage!$D$34,Cadrage!$E$34)))</f>
        <v/>
      </c>
      <c r="M1427">
        <f>IF($A1427="","",IF($D1427="V01",Cadrage!$C$35,IF($D1427="V02",Cadrage!$D$35,Cadrage!$E$35)))</f>
        <v/>
      </c>
      <c r="N1427">
        <f>IF($A1427="","",IF($D1427="V01",$R$2,IF($D1427="V02",$R$3,$R$4)))</f>
        <v/>
      </c>
      <c r="O1427">
        <f>IF($A1427="","",IF(OR($B1427="7062",$B1427="706",$B1427="708"),$N1427,IF($B1427="6231",1+$G1427,IF($B1427="6236",1+$H1427,IF(OR($B1427="621",$B1427="604",$B1427="6063"),$N1427*(1-$L1427),IF(OR($B1427="6411",$B1427="6413",$B1427="6414",$B1427="645"),(1+$J1427)*(1+$K1427),IF(OR($B1427="613",$B1427="615",$B1427="616",$B1427="6226",$B1427="625",$B1427="626",$B1427="6281"),(1+$I1427)*(1-$L1427)*(1+$M1427),IF(OR($B1427="6331",$B1427="63511",$B1427="6333"),(1+$I1427)*(1-$L1427),IF($B1427="6811",1+$I1427,1)))))))))</f>
        <v/>
      </c>
      <c r="P1427">
        <f>IF($A1427="","",IF($E1427=1,$F1427*$O1427,PNL!G1427))</f>
        <v/>
      </c>
    </row>
    <row r="1428">
      <c r="A1428">
        <f>IF(PNL!A1428="","",PNL!A1428)</f>
        <v/>
      </c>
      <c r="B1428">
        <f>IF(PNL!B1428="","",PNL!B1428)</f>
        <v/>
      </c>
      <c r="C1428">
        <f>IF(PNL!C1428="","",PNL!C1428)</f>
        <v/>
      </c>
      <c r="D1428">
        <f>IF(PNL!D1428="","",PNL!D1428)</f>
        <v/>
      </c>
      <c r="E1428">
        <f>IF($A1428="","",IF(AND($C1428="2027",OR($D1428="V01",$D1428="V02",$D1428="V03")),1,0))</f>
        <v/>
      </c>
      <c r="F1428">
        <f>IF($A1428="","",IF($E1428=1,SUMIFS(Comptabilité!$F$1:$F$675,Comptabilité!$A$1:$A$675,$A1428,Comptabilité!$B$1:$B$675,$B1428,Comptabilité!$C$1:$C$675,"2026"),0))</f>
        <v/>
      </c>
      <c r="G1428">
        <f>IF($A1428="","",IF($D1428="V01",Cadrage!$C$22,IF($D1428="V02",Cadrage!$D$22,Cadrage!$E$22)))</f>
        <v/>
      </c>
      <c r="H1428">
        <f>IF($A1428="","",IF($D1428="V01",Cadrage!$C$23,IF($D1428="V02",Cadrage!$D$23,Cadrage!$E$23)))</f>
        <v/>
      </c>
      <c r="I1428">
        <f>IF($A1428="","",IF($D1428="V01",Cadrage!$C$31,IF($D1428="V02",Cadrage!$D$31,Cadrage!$E$31)))</f>
        <v/>
      </c>
      <c r="J1428">
        <f>IF($A1428="","",IF($D1428="V01",Cadrage!$C$32,IF($D1428="V02",Cadrage!$D$32,Cadrage!$E$32)))</f>
        <v/>
      </c>
      <c r="K1428">
        <f>IF($A1428="","",IF($D1428="V01",Cadrage!$C$33,IF($D1428="V02",Cadrage!$D$33,Cadrage!$E$33)))</f>
        <v/>
      </c>
      <c r="L1428">
        <f>IF($A1428="","",IF($D1428="V01",Cadrage!$C$34,IF($D1428="V02",Cadrage!$D$34,Cadrage!$E$34)))</f>
        <v/>
      </c>
      <c r="M1428">
        <f>IF($A1428="","",IF($D1428="V01",Cadrage!$C$35,IF($D1428="V02",Cadrage!$D$35,Cadrage!$E$35)))</f>
        <v/>
      </c>
      <c r="N1428">
        <f>IF($A1428="","",IF($D1428="V01",$R$2,IF($D1428="V02",$R$3,$R$4)))</f>
        <v/>
      </c>
      <c r="O1428">
        <f>IF($A1428="","",IF(OR($B1428="7062",$B1428="706",$B1428="708"),$N1428,IF($B1428="6231",1+$G1428,IF($B1428="6236",1+$H1428,IF(OR($B1428="621",$B1428="604",$B1428="6063"),$N1428*(1-$L1428),IF(OR($B1428="6411",$B1428="6413",$B1428="6414",$B1428="645"),(1+$J1428)*(1+$K1428),IF(OR($B1428="613",$B1428="615",$B1428="616",$B1428="6226",$B1428="625",$B1428="626",$B1428="6281"),(1+$I1428)*(1-$L1428)*(1+$M1428),IF(OR($B1428="6331",$B1428="63511",$B1428="6333"),(1+$I1428)*(1-$L1428),IF($B1428="6811",1+$I1428,1)))))))))</f>
        <v/>
      </c>
      <c r="P1428">
        <f>IF($A1428="","",IF($E1428=1,$F1428*$O1428,PNL!G1428))</f>
        <v/>
      </c>
    </row>
    <row r="1429">
      <c r="A1429">
        <f>IF(PNL!A1429="","",PNL!A1429)</f>
        <v/>
      </c>
      <c r="B1429">
        <f>IF(PNL!B1429="","",PNL!B1429)</f>
        <v/>
      </c>
      <c r="C1429">
        <f>IF(PNL!C1429="","",PNL!C1429)</f>
        <v/>
      </c>
      <c r="D1429">
        <f>IF(PNL!D1429="","",PNL!D1429)</f>
        <v/>
      </c>
      <c r="E1429">
        <f>IF($A1429="","",IF(AND($C1429="2027",OR($D1429="V01",$D1429="V02",$D1429="V03")),1,0))</f>
        <v/>
      </c>
      <c r="F1429">
        <f>IF($A1429="","",IF($E1429=1,SUMIFS(Comptabilité!$F$1:$F$675,Comptabilité!$A$1:$A$675,$A1429,Comptabilité!$B$1:$B$675,$B1429,Comptabilité!$C$1:$C$675,"2026"),0))</f>
        <v/>
      </c>
      <c r="G1429">
        <f>IF($A1429="","",IF($D1429="V01",Cadrage!$C$22,IF($D1429="V02",Cadrage!$D$22,Cadrage!$E$22)))</f>
        <v/>
      </c>
      <c r="H1429">
        <f>IF($A1429="","",IF($D1429="V01",Cadrage!$C$23,IF($D1429="V02",Cadrage!$D$23,Cadrage!$E$23)))</f>
        <v/>
      </c>
      <c r="I1429">
        <f>IF($A1429="","",IF($D1429="V01",Cadrage!$C$31,IF($D1429="V02",Cadrage!$D$31,Cadrage!$E$31)))</f>
        <v/>
      </c>
      <c r="J1429">
        <f>IF($A1429="","",IF($D1429="V01",Cadrage!$C$32,IF($D1429="V02",Cadrage!$D$32,Cadrage!$E$32)))</f>
        <v/>
      </c>
      <c r="K1429">
        <f>IF($A1429="","",IF($D1429="V01",Cadrage!$C$33,IF($D1429="V02",Cadrage!$D$33,Cadrage!$E$33)))</f>
        <v/>
      </c>
      <c r="L1429">
        <f>IF($A1429="","",IF($D1429="V01",Cadrage!$C$34,IF($D1429="V02",Cadrage!$D$34,Cadrage!$E$34)))</f>
        <v/>
      </c>
      <c r="M1429">
        <f>IF($A1429="","",IF($D1429="V01",Cadrage!$C$35,IF($D1429="V02",Cadrage!$D$35,Cadrage!$E$35)))</f>
        <v/>
      </c>
      <c r="N1429">
        <f>IF($A1429="","",IF($D1429="V01",$R$2,IF($D1429="V02",$R$3,$R$4)))</f>
        <v/>
      </c>
      <c r="O1429">
        <f>IF($A1429="","",IF(OR($B1429="7062",$B1429="706",$B1429="708"),$N1429,IF($B1429="6231",1+$G1429,IF($B1429="6236",1+$H1429,IF(OR($B1429="621",$B1429="604",$B1429="6063"),$N1429*(1-$L1429),IF(OR($B1429="6411",$B1429="6413",$B1429="6414",$B1429="645"),(1+$J1429)*(1+$K1429),IF(OR($B1429="613",$B1429="615",$B1429="616",$B1429="6226",$B1429="625",$B1429="626",$B1429="6281"),(1+$I1429)*(1-$L1429)*(1+$M1429),IF(OR($B1429="6331",$B1429="63511",$B1429="6333"),(1+$I1429)*(1-$L1429),IF($B1429="6811",1+$I1429,1)))))))))</f>
        <v/>
      </c>
      <c r="P1429">
        <f>IF($A1429="","",IF($E1429=1,$F1429*$O1429,PNL!G1429))</f>
        <v/>
      </c>
    </row>
    <row r="1430">
      <c r="A1430">
        <f>IF(PNL!A1430="","",PNL!A1430)</f>
        <v/>
      </c>
      <c r="B1430">
        <f>IF(PNL!B1430="","",PNL!B1430)</f>
        <v/>
      </c>
      <c r="C1430">
        <f>IF(PNL!C1430="","",PNL!C1430)</f>
        <v/>
      </c>
      <c r="D1430">
        <f>IF(PNL!D1430="","",PNL!D1430)</f>
        <v/>
      </c>
      <c r="E1430">
        <f>IF($A1430="","",IF(AND($C1430="2027",OR($D1430="V01",$D1430="V02",$D1430="V03")),1,0))</f>
        <v/>
      </c>
      <c r="F1430">
        <f>IF($A1430="","",IF($E1430=1,SUMIFS(Comptabilité!$F$1:$F$675,Comptabilité!$A$1:$A$675,$A1430,Comptabilité!$B$1:$B$675,$B1430,Comptabilité!$C$1:$C$675,"2026"),0))</f>
        <v/>
      </c>
      <c r="G1430">
        <f>IF($A1430="","",IF($D1430="V01",Cadrage!$C$22,IF($D1430="V02",Cadrage!$D$22,Cadrage!$E$22)))</f>
        <v/>
      </c>
      <c r="H1430">
        <f>IF($A1430="","",IF($D1430="V01",Cadrage!$C$23,IF($D1430="V02",Cadrage!$D$23,Cadrage!$E$23)))</f>
        <v/>
      </c>
      <c r="I1430">
        <f>IF($A1430="","",IF($D1430="V01",Cadrage!$C$31,IF($D1430="V02",Cadrage!$D$31,Cadrage!$E$31)))</f>
        <v/>
      </c>
      <c r="J1430">
        <f>IF($A1430="","",IF($D1430="V01",Cadrage!$C$32,IF($D1430="V02",Cadrage!$D$32,Cadrage!$E$32)))</f>
        <v/>
      </c>
      <c r="K1430">
        <f>IF($A1430="","",IF($D1430="V01",Cadrage!$C$33,IF($D1430="V02",Cadrage!$D$33,Cadrage!$E$33)))</f>
        <v/>
      </c>
      <c r="L1430">
        <f>IF($A1430="","",IF($D1430="V01",Cadrage!$C$34,IF($D1430="V02",Cadrage!$D$34,Cadrage!$E$34)))</f>
        <v/>
      </c>
      <c r="M1430">
        <f>IF($A1430="","",IF($D1430="V01",Cadrage!$C$35,IF($D1430="V02",Cadrage!$D$35,Cadrage!$E$35)))</f>
        <v/>
      </c>
      <c r="N1430">
        <f>IF($A1430="","",IF($D1430="V01",$R$2,IF($D1430="V02",$R$3,$R$4)))</f>
        <v/>
      </c>
      <c r="O1430">
        <f>IF($A1430="","",IF(OR($B1430="7062",$B1430="706",$B1430="708"),$N1430,IF($B1430="6231",1+$G1430,IF($B1430="6236",1+$H1430,IF(OR($B1430="621",$B1430="604",$B1430="6063"),$N1430*(1-$L1430),IF(OR($B1430="6411",$B1430="6413",$B1430="6414",$B1430="645"),(1+$J1430)*(1+$K1430),IF(OR($B1430="613",$B1430="615",$B1430="616",$B1430="6226",$B1430="625",$B1430="626",$B1430="6281"),(1+$I1430)*(1-$L1430)*(1+$M1430),IF(OR($B1430="6331",$B1430="63511",$B1430="6333"),(1+$I1430)*(1-$L1430),IF($B1430="6811",1+$I1430,1)))))))))</f>
        <v/>
      </c>
      <c r="P1430">
        <f>IF($A1430="","",IF($E1430=1,$F1430*$O1430,PNL!G1430))</f>
        <v/>
      </c>
    </row>
    <row r="1431">
      <c r="A1431">
        <f>IF(PNL!A1431="","",PNL!A1431)</f>
        <v/>
      </c>
      <c r="B1431">
        <f>IF(PNL!B1431="","",PNL!B1431)</f>
        <v/>
      </c>
      <c r="C1431">
        <f>IF(PNL!C1431="","",PNL!C1431)</f>
        <v/>
      </c>
      <c r="D1431">
        <f>IF(PNL!D1431="","",PNL!D1431)</f>
        <v/>
      </c>
      <c r="E1431">
        <f>IF($A1431="","",IF(AND($C1431="2027",OR($D1431="V01",$D1431="V02",$D1431="V03")),1,0))</f>
        <v/>
      </c>
      <c r="F1431">
        <f>IF($A1431="","",IF($E1431=1,SUMIFS(Comptabilité!$F$1:$F$675,Comptabilité!$A$1:$A$675,$A1431,Comptabilité!$B$1:$B$675,$B1431,Comptabilité!$C$1:$C$675,"2026"),0))</f>
        <v/>
      </c>
      <c r="G1431">
        <f>IF($A1431="","",IF($D1431="V01",Cadrage!$C$22,IF($D1431="V02",Cadrage!$D$22,Cadrage!$E$22)))</f>
        <v/>
      </c>
      <c r="H1431">
        <f>IF($A1431="","",IF($D1431="V01",Cadrage!$C$23,IF($D1431="V02",Cadrage!$D$23,Cadrage!$E$23)))</f>
        <v/>
      </c>
      <c r="I1431">
        <f>IF($A1431="","",IF($D1431="V01",Cadrage!$C$31,IF($D1431="V02",Cadrage!$D$31,Cadrage!$E$31)))</f>
        <v/>
      </c>
      <c r="J1431">
        <f>IF($A1431="","",IF($D1431="V01",Cadrage!$C$32,IF($D1431="V02",Cadrage!$D$32,Cadrage!$E$32)))</f>
        <v/>
      </c>
      <c r="K1431">
        <f>IF($A1431="","",IF($D1431="V01",Cadrage!$C$33,IF($D1431="V02",Cadrage!$D$33,Cadrage!$E$33)))</f>
        <v/>
      </c>
      <c r="L1431">
        <f>IF($A1431="","",IF($D1431="V01",Cadrage!$C$34,IF($D1431="V02",Cadrage!$D$34,Cadrage!$E$34)))</f>
        <v/>
      </c>
      <c r="M1431">
        <f>IF($A1431="","",IF($D1431="V01",Cadrage!$C$35,IF($D1431="V02",Cadrage!$D$35,Cadrage!$E$35)))</f>
        <v/>
      </c>
      <c r="N1431">
        <f>IF($A1431="","",IF($D1431="V01",$R$2,IF($D1431="V02",$R$3,$R$4)))</f>
        <v/>
      </c>
      <c r="O1431">
        <f>IF($A1431="","",IF(OR($B1431="7062",$B1431="706",$B1431="708"),$N1431,IF($B1431="6231",1+$G1431,IF($B1431="6236",1+$H1431,IF(OR($B1431="621",$B1431="604",$B1431="6063"),$N1431*(1-$L1431),IF(OR($B1431="6411",$B1431="6413",$B1431="6414",$B1431="645"),(1+$J1431)*(1+$K1431),IF(OR($B1431="613",$B1431="615",$B1431="616",$B1431="6226",$B1431="625",$B1431="626",$B1431="6281"),(1+$I1431)*(1-$L1431)*(1+$M1431),IF(OR($B1431="6331",$B1431="63511",$B1431="6333"),(1+$I1431)*(1-$L1431),IF($B1431="6811",1+$I1431,1)))))))))</f>
        <v/>
      </c>
      <c r="P1431">
        <f>IF($A1431="","",IF($E1431=1,$F1431*$O1431,PNL!G1431))</f>
        <v/>
      </c>
    </row>
    <row r="1432">
      <c r="A1432">
        <f>IF(PNL!A1432="","",PNL!A1432)</f>
        <v/>
      </c>
      <c r="B1432">
        <f>IF(PNL!B1432="","",PNL!B1432)</f>
        <v/>
      </c>
      <c r="C1432">
        <f>IF(PNL!C1432="","",PNL!C1432)</f>
        <v/>
      </c>
      <c r="D1432">
        <f>IF(PNL!D1432="","",PNL!D1432)</f>
        <v/>
      </c>
      <c r="E1432">
        <f>IF($A1432="","",IF(AND($C1432="2027",OR($D1432="V01",$D1432="V02",$D1432="V03")),1,0))</f>
        <v/>
      </c>
      <c r="F1432">
        <f>IF($A1432="","",IF($E1432=1,SUMIFS(Comptabilité!$F$1:$F$675,Comptabilité!$A$1:$A$675,$A1432,Comptabilité!$B$1:$B$675,$B1432,Comptabilité!$C$1:$C$675,"2026"),0))</f>
        <v/>
      </c>
      <c r="G1432">
        <f>IF($A1432="","",IF($D1432="V01",Cadrage!$C$22,IF($D1432="V02",Cadrage!$D$22,Cadrage!$E$22)))</f>
        <v/>
      </c>
      <c r="H1432">
        <f>IF($A1432="","",IF($D1432="V01",Cadrage!$C$23,IF($D1432="V02",Cadrage!$D$23,Cadrage!$E$23)))</f>
        <v/>
      </c>
      <c r="I1432">
        <f>IF($A1432="","",IF($D1432="V01",Cadrage!$C$31,IF($D1432="V02",Cadrage!$D$31,Cadrage!$E$31)))</f>
        <v/>
      </c>
      <c r="J1432">
        <f>IF($A1432="","",IF($D1432="V01",Cadrage!$C$32,IF($D1432="V02",Cadrage!$D$32,Cadrage!$E$32)))</f>
        <v/>
      </c>
      <c r="K1432">
        <f>IF($A1432="","",IF($D1432="V01",Cadrage!$C$33,IF($D1432="V02",Cadrage!$D$33,Cadrage!$E$33)))</f>
        <v/>
      </c>
      <c r="L1432">
        <f>IF($A1432="","",IF($D1432="V01",Cadrage!$C$34,IF($D1432="V02",Cadrage!$D$34,Cadrage!$E$34)))</f>
        <v/>
      </c>
      <c r="M1432">
        <f>IF($A1432="","",IF($D1432="V01",Cadrage!$C$35,IF($D1432="V02",Cadrage!$D$35,Cadrage!$E$35)))</f>
        <v/>
      </c>
      <c r="N1432">
        <f>IF($A1432="","",IF($D1432="V01",$R$2,IF($D1432="V02",$R$3,$R$4)))</f>
        <v/>
      </c>
      <c r="O1432">
        <f>IF($A1432="","",IF(OR($B1432="7062",$B1432="706",$B1432="708"),$N1432,IF($B1432="6231",1+$G1432,IF($B1432="6236",1+$H1432,IF(OR($B1432="621",$B1432="604",$B1432="6063"),$N1432*(1-$L1432),IF(OR($B1432="6411",$B1432="6413",$B1432="6414",$B1432="645"),(1+$J1432)*(1+$K1432),IF(OR($B1432="613",$B1432="615",$B1432="616",$B1432="6226",$B1432="625",$B1432="626",$B1432="6281"),(1+$I1432)*(1-$L1432)*(1+$M1432),IF(OR($B1432="6331",$B1432="63511",$B1432="6333"),(1+$I1432)*(1-$L1432),IF($B1432="6811",1+$I1432,1)))))))))</f>
        <v/>
      </c>
      <c r="P1432">
        <f>IF($A1432="","",IF($E1432=1,$F1432*$O1432,PNL!G1432))</f>
        <v/>
      </c>
    </row>
    <row r="1433">
      <c r="A1433">
        <f>IF(PNL!A1433="","",PNL!A1433)</f>
        <v/>
      </c>
      <c r="B1433">
        <f>IF(PNL!B1433="","",PNL!B1433)</f>
        <v/>
      </c>
      <c r="C1433">
        <f>IF(PNL!C1433="","",PNL!C1433)</f>
        <v/>
      </c>
      <c r="D1433">
        <f>IF(PNL!D1433="","",PNL!D1433)</f>
        <v/>
      </c>
      <c r="E1433">
        <f>IF($A1433="","",IF(AND($C1433="2027",OR($D1433="V01",$D1433="V02",$D1433="V03")),1,0))</f>
        <v/>
      </c>
      <c r="F1433">
        <f>IF($A1433="","",IF($E1433=1,SUMIFS(Comptabilité!$F$1:$F$675,Comptabilité!$A$1:$A$675,$A1433,Comptabilité!$B$1:$B$675,$B1433,Comptabilité!$C$1:$C$675,"2026"),0))</f>
        <v/>
      </c>
      <c r="G1433">
        <f>IF($A1433="","",IF($D1433="V01",Cadrage!$C$22,IF($D1433="V02",Cadrage!$D$22,Cadrage!$E$22)))</f>
        <v/>
      </c>
      <c r="H1433">
        <f>IF($A1433="","",IF($D1433="V01",Cadrage!$C$23,IF($D1433="V02",Cadrage!$D$23,Cadrage!$E$23)))</f>
        <v/>
      </c>
      <c r="I1433">
        <f>IF($A1433="","",IF($D1433="V01",Cadrage!$C$31,IF($D1433="V02",Cadrage!$D$31,Cadrage!$E$31)))</f>
        <v/>
      </c>
      <c r="J1433">
        <f>IF($A1433="","",IF($D1433="V01",Cadrage!$C$32,IF($D1433="V02",Cadrage!$D$32,Cadrage!$E$32)))</f>
        <v/>
      </c>
      <c r="K1433">
        <f>IF($A1433="","",IF($D1433="V01",Cadrage!$C$33,IF($D1433="V02",Cadrage!$D$33,Cadrage!$E$33)))</f>
        <v/>
      </c>
      <c r="L1433">
        <f>IF($A1433="","",IF($D1433="V01",Cadrage!$C$34,IF($D1433="V02",Cadrage!$D$34,Cadrage!$E$34)))</f>
        <v/>
      </c>
      <c r="M1433">
        <f>IF($A1433="","",IF($D1433="V01",Cadrage!$C$35,IF($D1433="V02",Cadrage!$D$35,Cadrage!$E$35)))</f>
        <v/>
      </c>
      <c r="N1433">
        <f>IF($A1433="","",IF($D1433="V01",$R$2,IF($D1433="V02",$R$3,$R$4)))</f>
        <v/>
      </c>
      <c r="O1433">
        <f>IF($A1433="","",IF(OR($B1433="7062",$B1433="706",$B1433="708"),$N1433,IF($B1433="6231",1+$G1433,IF($B1433="6236",1+$H1433,IF(OR($B1433="621",$B1433="604",$B1433="6063"),$N1433*(1-$L1433),IF(OR($B1433="6411",$B1433="6413",$B1433="6414",$B1433="645"),(1+$J1433)*(1+$K1433),IF(OR($B1433="613",$B1433="615",$B1433="616",$B1433="6226",$B1433="625",$B1433="626",$B1433="6281"),(1+$I1433)*(1-$L1433)*(1+$M1433),IF(OR($B1433="6331",$B1433="63511",$B1433="6333"),(1+$I1433)*(1-$L1433),IF($B1433="6811",1+$I1433,1)))))))))</f>
        <v/>
      </c>
      <c r="P1433">
        <f>IF($A1433="","",IF($E1433=1,$F1433*$O1433,PNL!G1433))</f>
        <v/>
      </c>
    </row>
    <row r="1434">
      <c r="A1434">
        <f>IF(PNL!A1434="","",PNL!A1434)</f>
        <v/>
      </c>
      <c r="B1434">
        <f>IF(PNL!B1434="","",PNL!B1434)</f>
        <v/>
      </c>
      <c r="C1434">
        <f>IF(PNL!C1434="","",PNL!C1434)</f>
        <v/>
      </c>
      <c r="D1434">
        <f>IF(PNL!D1434="","",PNL!D1434)</f>
        <v/>
      </c>
      <c r="E1434">
        <f>IF($A1434="","",IF(AND($C1434="2027",OR($D1434="V01",$D1434="V02",$D1434="V03")),1,0))</f>
        <v/>
      </c>
      <c r="F1434">
        <f>IF($A1434="","",IF($E1434=1,SUMIFS(Comptabilité!$F$1:$F$675,Comptabilité!$A$1:$A$675,$A1434,Comptabilité!$B$1:$B$675,$B1434,Comptabilité!$C$1:$C$675,"2026"),0))</f>
        <v/>
      </c>
      <c r="G1434">
        <f>IF($A1434="","",IF($D1434="V01",Cadrage!$C$22,IF($D1434="V02",Cadrage!$D$22,Cadrage!$E$22)))</f>
        <v/>
      </c>
      <c r="H1434">
        <f>IF($A1434="","",IF($D1434="V01",Cadrage!$C$23,IF($D1434="V02",Cadrage!$D$23,Cadrage!$E$23)))</f>
        <v/>
      </c>
      <c r="I1434">
        <f>IF($A1434="","",IF($D1434="V01",Cadrage!$C$31,IF($D1434="V02",Cadrage!$D$31,Cadrage!$E$31)))</f>
        <v/>
      </c>
      <c r="J1434">
        <f>IF($A1434="","",IF($D1434="V01",Cadrage!$C$32,IF($D1434="V02",Cadrage!$D$32,Cadrage!$E$32)))</f>
        <v/>
      </c>
      <c r="K1434">
        <f>IF($A1434="","",IF($D1434="V01",Cadrage!$C$33,IF($D1434="V02",Cadrage!$D$33,Cadrage!$E$33)))</f>
        <v/>
      </c>
      <c r="L1434">
        <f>IF($A1434="","",IF($D1434="V01",Cadrage!$C$34,IF($D1434="V02",Cadrage!$D$34,Cadrage!$E$34)))</f>
        <v/>
      </c>
      <c r="M1434">
        <f>IF($A1434="","",IF($D1434="V01",Cadrage!$C$35,IF($D1434="V02",Cadrage!$D$35,Cadrage!$E$35)))</f>
        <v/>
      </c>
      <c r="N1434">
        <f>IF($A1434="","",IF($D1434="V01",$R$2,IF($D1434="V02",$R$3,$R$4)))</f>
        <v/>
      </c>
      <c r="O1434">
        <f>IF($A1434="","",IF(OR($B1434="7062",$B1434="706",$B1434="708"),$N1434,IF($B1434="6231",1+$G1434,IF($B1434="6236",1+$H1434,IF(OR($B1434="621",$B1434="604",$B1434="6063"),$N1434*(1-$L1434),IF(OR($B1434="6411",$B1434="6413",$B1434="6414",$B1434="645"),(1+$J1434)*(1+$K1434),IF(OR($B1434="613",$B1434="615",$B1434="616",$B1434="6226",$B1434="625",$B1434="626",$B1434="6281"),(1+$I1434)*(1-$L1434)*(1+$M1434),IF(OR($B1434="6331",$B1434="63511",$B1434="6333"),(1+$I1434)*(1-$L1434),IF($B1434="6811",1+$I1434,1)))))))))</f>
        <v/>
      </c>
      <c r="P1434">
        <f>IF($A1434="","",IF($E1434=1,$F1434*$O1434,PNL!G1434))</f>
        <v/>
      </c>
    </row>
    <row r="1435">
      <c r="A1435">
        <f>IF(PNL!A1435="","",PNL!A1435)</f>
        <v/>
      </c>
      <c r="B1435">
        <f>IF(PNL!B1435="","",PNL!B1435)</f>
        <v/>
      </c>
      <c r="C1435">
        <f>IF(PNL!C1435="","",PNL!C1435)</f>
        <v/>
      </c>
      <c r="D1435">
        <f>IF(PNL!D1435="","",PNL!D1435)</f>
        <v/>
      </c>
      <c r="E1435">
        <f>IF($A1435="","",IF(AND($C1435="2027",OR($D1435="V01",$D1435="V02",$D1435="V03")),1,0))</f>
        <v/>
      </c>
      <c r="F1435">
        <f>IF($A1435="","",IF($E1435=1,SUMIFS(Comptabilité!$F$1:$F$675,Comptabilité!$A$1:$A$675,$A1435,Comptabilité!$B$1:$B$675,$B1435,Comptabilité!$C$1:$C$675,"2026"),0))</f>
        <v/>
      </c>
      <c r="G1435">
        <f>IF($A1435="","",IF($D1435="V01",Cadrage!$C$22,IF($D1435="V02",Cadrage!$D$22,Cadrage!$E$22)))</f>
        <v/>
      </c>
      <c r="H1435">
        <f>IF($A1435="","",IF($D1435="V01",Cadrage!$C$23,IF($D1435="V02",Cadrage!$D$23,Cadrage!$E$23)))</f>
        <v/>
      </c>
      <c r="I1435">
        <f>IF($A1435="","",IF($D1435="V01",Cadrage!$C$31,IF($D1435="V02",Cadrage!$D$31,Cadrage!$E$31)))</f>
        <v/>
      </c>
      <c r="J1435">
        <f>IF($A1435="","",IF($D1435="V01",Cadrage!$C$32,IF($D1435="V02",Cadrage!$D$32,Cadrage!$E$32)))</f>
        <v/>
      </c>
      <c r="K1435">
        <f>IF($A1435="","",IF($D1435="V01",Cadrage!$C$33,IF($D1435="V02",Cadrage!$D$33,Cadrage!$E$33)))</f>
        <v/>
      </c>
      <c r="L1435">
        <f>IF($A1435="","",IF($D1435="V01",Cadrage!$C$34,IF($D1435="V02",Cadrage!$D$34,Cadrage!$E$34)))</f>
        <v/>
      </c>
      <c r="M1435">
        <f>IF($A1435="","",IF($D1435="V01",Cadrage!$C$35,IF($D1435="V02",Cadrage!$D$35,Cadrage!$E$35)))</f>
        <v/>
      </c>
      <c r="N1435">
        <f>IF($A1435="","",IF($D1435="V01",$R$2,IF($D1435="V02",$R$3,$R$4)))</f>
        <v/>
      </c>
      <c r="O1435">
        <f>IF($A1435="","",IF(OR($B1435="7062",$B1435="706",$B1435="708"),$N1435,IF($B1435="6231",1+$G1435,IF($B1435="6236",1+$H1435,IF(OR($B1435="621",$B1435="604",$B1435="6063"),$N1435*(1-$L1435),IF(OR($B1435="6411",$B1435="6413",$B1435="6414",$B1435="645"),(1+$J1435)*(1+$K1435),IF(OR($B1435="613",$B1435="615",$B1435="616",$B1435="6226",$B1435="625",$B1435="626",$B1435="6281"),(1+$I1435)*(1-$L1435)*(1+$M1435),IF(OR($B1435="6331",$B1435="63511",$B1435="6333"),(1+$I1435)*(1-$L1435),IF($B1435="6811",1+$I1435,1)))))))))</f>
        <v/>
      </c>
      <c r="P1435">
        <f>IF($A1435="","",IF($E1435=1,$F1435*$O1435,PNL!G1435))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Saad El meziati</dc:creator>
  <dcterms:created xsi:type="dcterms:W3CDTF">2026-08-19T10:07:49Z</dcterms:created>
  <dcterms:modified xsi:type="dcterms:W3CDTF">2026-09-01T22:41:26Z</dcterms:modified>
  <cp:lastModifiedBy>Saad El meziati</cp:lastModifiedBy>
</cp:coreProperties>
</file>