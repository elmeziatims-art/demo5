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" sheetId="1" state="visible" r:id="rId1"/>
    <sheet name="Le piège du coût complet" sheetId="2" state="visible" r:id="rId2"/>
    <sheet name="Donnees" sheetId="3" state="visible" r:id="rId3"/>
    <sheet name="Libel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[Red]-#,##0;&quot;–&quot;"/>
    <numFmt numFmtId="165" formatCode="#,##0.0;[Red]-#,##0.0;&quot;–&quot;"/>
    <numFmt numFmtId="166" formatCode="#,##0&quot; €&quot;;[Red]-#,##0&quot; €&quot;;&quot;–&quot;"/>
    <numFmt numFmtId="167" formatCode="0.0%;[Red]-0.0%;&quot;–&quot;"/>
    <numFmt numFmtId="168" formatCode="+0;[Red]-0;0"/>
    <numFmt numFmtId="169" formatCode="+#,##0&quot; €&quot;;[Red]-#,##0&quot; €&quot;;&quot;–&quot;"/>
    <numFmt numFmtId="170" formatCode="#,##0.0&quot; ×&quot;"/>
  </numFmts>
  <fonts count="24">
    <font>
      <name val="Calibri"/>
      <family val="2"/>
      <color theme="1"/>
      <sz val="11"/>
      <scheme val="minor"/>
    </font>
    <font>
      <name val="Arial"/>
      <b val="1"/>
      <color rgb="00007AC3"/>
      <sz val="11"/>
    </font>
    <font>
      <name val="Arial"/>
      <i val="1"/>
      <color rgb="006B7075"/>
      <sz val="8"/>
    </font>
    <font>
      <name val="Arial"/>
      <b val="1"/>
      <color rgb="00FFFFFF"/>
      <sz val="8"/>
    </font>
    <font>
      <name val="Arial"/>
      <color rgb="00262626"/>
      <sz val="8.5"/>
    </font>
    <font>
      <name val="Arial"/>
      <color rgb="006B7075"/>
      <sz val="8"/>
    </font>
    <font>
      <name val="Arial"/>
      <b val="1"/>
      <color rgb="00007AC3"/>
      <sz val="10"/>
    </font>
    <font>
      <name val="Arial"/>
      <b val="1"/>
      <color rgb="00FFFFFF"/>
      <sz val="7.5"/>
    </font>
    <font>
      <name val="Arial"/>
      <color rgb="00262626"/>
      <sz val="7.5"/>
    </font>
    <font>
      <name val="Arial"/>
      <b val="1"/>
      <color rgb="00FFFFFF"/>
      <sz val="13"/>
    </font>
    <font>
      <name val="Arial"/>
      <color rgb="006B7075"/>
      <sz val="8.5"/>
    </font>
    <font>
      <name val="Arial"/>
      <b val="1"/>
      <color rgb="00262626"/>
      <sz val="9"/>
    </font>
    <font>
      <name val="Arial"/>
      <b val="1"/>
      <color rgb="00262626"/>
      <sz val="10"/>
    </font>
    <font>
      <name val="Arial"/>
      <b val="1"/>
      <color rgb="00007AC3"/>
      <sz val="8.5"/>
    </font>
    <font>
      <name val="Arial"/>
      <b val="1"/>
      <color rgb="00262626"/>
      <sz val="9.5"/>
    </font>
    <font>
      <name val="Arial"/>
      <b val="1"/>
      <color rgb="00007AC3"/>
      <sz val="8"/>
    </font>
    <font>
      <name val="Arial"/>
      <b val="1"/>
      <color rgb="00007AC3"/>
      <sz val="9"/>
    </font>
    <font>
      <name val="Arial"/>
      <i val="1"/>
      <color rgb="00007AC3"/>
      <sz val="8"/>
    </font>
    <font>
      <name val="Arial"/>
      <b val="1"/>
      <color rgb="006B7075"/>
      <sz val="8.5"/>
    </font>
    <font>
      <name val="Arial"/>
      <b val="1"/>
      <color rgb="00262626"/>
      <sz val="11"/>
    </font>
    <font>
      <name val="Arial"/>
      <color rgb="00262626"/>
      <sz val="9"/>
    </font>
    <font>
      <name val="Arial"/>
      <b val="1"/>
      <color rgb="00262626"/>
      <sz val="8.5"/>
    </font>
    <font>
      <name val="Arial"/>
      <b val="1"/>
      <color rgb="00007AC3"/>
      <sz val="9.5"/>
    </font>
    <font>
      <name val="Arial"/>
      <i val="1"/>
      <color rgb="006B7075"/>
      <sz val="8.5"/>
    </font>
  </fonts>
  <fills count="5">
    <fill>
      <patternFill/>
    </fill>
    <fill>
      <patternFill patternType="gray125"/>
    </fill>
    <fill>
      <patternFill patternType="solid">
        <fgColor rgb="00007AC3"/>
      </patternFill>
    </fill>
    <fill>
      <patternFill patternType="solid">
        <fgColor rgb="006B7075"/>
      </patternFill>
    </fill>
    <fill>
      <patternFill patternType="solid">
        <fgColor rgb="00FFF2CC"/>
      </patternFill>
    </fill>
  </fills>
  <borders count="13">
    <border>
      <left/>
      <right/>
      <top/>
      <bottom/>
      <diagonal/>
    </border>
    <border>
      <bottom style="thin">
        <color rgb="00E7E6E6"/>
      </bottom>
    </border>
    <border>
      <bottom style="thin">
        <color rgb="00262626"/>
      </bottom>
    </border>
    <border>
      <left style="thin">
        <color rgb="00007AC3"/>
      </left>
      <right style="thin">
        <color rgb="00007AC3"/>
      </right>
      <top style="thin">
        <color rgb="00007AC3"/>
      </top>
      <bottom style="thin">
        <color rgb="00007AC3"/>
      </bottom>
    </border>
    <border>
      <right style="thin">
        <color rgb="00007AC3"/>
      </right>
      <top style="thin">
        <color rgb="00007AC3"/>
      </top>
      <bottom style="thin">
        <color rgb="00007AC3"/>
      </bottom>
    </border>
    <border>
      <bottom style="thin">
        <color rgb="00007AC3"/>
      </bottom>
    </border>
    <border>
      <left style="thin">
        <color rgb="00007AC3"/>
      </left>
      <right style="thin">
        <color rgb="00E7E6E6"/>
      </right>
      <top style="thin">
        <color rgb="00E7E6E6"/>
      </top>
      <bottom style="thin">
        <color rgb="00E7E6E6"/>
      </bottom>
    </border>
    <border>
      <left style="thin">
        <color rgb="00E7E6E6"/>
      </left>
      <right style="thin">
        <color rgb="00007AC3"/>
      </right>
      <top style="thin">
        <color rgb="00E7E6E6"/>
      </top>
      <bottom style="thin">
        <color rgb="00E7E6E6"/>
      </bottom>
    </border>
    <border>
      <right style="thin">
        <color rgb="00E7E6E6"/>
      </right>
      <bottom style="thin">
        <color rgb="00E7E6E6"/>
      </bottom>
    </border>
    <border>
      <top style="thin">
        <color rgb="00262626"/>
      </top>
      <bottom style="double">
        <color rgb="00262626"/>
      </bottom>
    </border>
    <border>
      <top style="thin">
        <color rgb="00262626"/>
      </top>
      <bottom style="thin">
        <color rgb="00262626"/>
      </bottom>
    </border>
    <border>
      <top style="thin">
        <color rgb="00E7E6E6"/>
      </top>
      <bottom style="thin">
        <color rgb="00E7E6E6"/>
      </bottom>
    </border>
    <border>
      <bottom style="double">
        <color rgb="00262626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4" fillId="2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4" borderId="3" applyAlignment="1" pivotButton="0" quotePrefix="0" xfId="0">
      <alignment horizontal="center" vertical="center"/>
    </xf>
    <xf numFmtId="0" fontId="4" fillId="4" borderId="4" pivotButton="0" quotePrefix="0" xfId="0"/>
    <xf numFmtId="0" fontId="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9" fontId="11" fillId="4" borderId="3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5" applyAlignment="1" pivotButton="0" quotePrefix="0" xfId="0">
      <alignment horizontal="left" vertical="center"/>
    </xf>
    <xf numFmtId="0" fontId="15" fillId="4" borderId="5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4" fillId="0" borderId="8" applyAlignment="1" pivotButton="0" quotePrefix="0" xfId="0">
      <alignment horizontal="right" vertical="center"/>
    </xf>
    <xf numFmtId="168" fontId="11" fillId="4" borderId="6" applyAlignment="1" pivotButton="0" quotePrefix="0" xfId="0">
      <alignment horizontal="center" vertical="center"/>
    </xf>
    <xf numFmtId="165" fontId="11" fillId="4" borderId="7" applyAlignment="1" pivotButton="0" quotePrefix="0" xfId="0">
      <alignment horizontal="center" vertical="center"/>
    </xf>
    <xf numFmtId="169" fontId="4" fillId="0" borderId="1" applyAlignment="1" pivotButton="0" quotePrefix="0" xfId="0">
      <alignment horizontal="right" vertical="center"/>
    </xf>
    <xf numFmtId="169" fontId="11" fillId="0" borderId="1" applyAlignment="1" pivotButton="0" quotePrefix="0" xfId="0">
      <alignment horizontal="right" vertical="center"/>
    </xf>
    <xf numFmtId="0" fontId="11" fillId="0" borderId="9" applyAlignment="1" pivotButton="0" quotePrefix="0" xfId="0">
      <alignment horizontal="left" vertical="center" indent="1"/>
    </xf>
    <xf numFmtId="0" fontId="0" fillId="0" borderId="9" pivotButton="0" quotePrefix="0" xfId="0"/>
    <xf numFmtId="164" fontId="11" fillId="0" borderId="9" applyAlignment="1" pivotButton="0" quotePrefix="0" xfId="0">
      <alignment horizontal="right" vertical="center"/>
    </xf>
    <xf numFmtId="165" fontId="11" fillId="0" borderId="9" applyAlignment="1" pivotButton="0" quotePrefix="0" xfId="0">
      <alignment horizontal="right" vertical="center"/>
    </xf>
    <xf numFmtId="167" fontId="11" fillId="0" borderId="9" applyAlignment="1" pivotButton="0" quotePrefix="0" xfId="0">
      <alignment horizontal="right" vertical="center"/>
    </xf>
    <xf numFmtId="166" fontId="11" fillId="0" borderId="9" applyAlignment="1" pivotButton="0" quotePrefix="0" xfId="0">
      <alignment horizontal="right" vertical="center"/>
    </xf>
    <xf numFmtId="169" fontId="11" fillId="0" borderId="9" applyAlignment="1" pivotButton="0" quotePrefix="0" xfId="0">
      <alignment horizontal="right" vertical="center"/>
    </xf>
    <xf numFmtId="169" fontId="12" fillId="0" borderId="9" applyAlignment="1" pivotButton="0" quotePrefix="0" xfId="0">
      <alignment horizontal="right" vertical="center"/>
    </xf>
    <xf numFmtId="0" fontId="16" fillId="0" borderId="5" applyAlignment="1" pivotButton="0" quotePrefix="0" xfId="0">
      <alignment horizontal="left" vertical="center"/>
    </xf>
    <xf numFmtId="0" fontId="0" fillId="0" borderId="5" pivotButton="0" quotePrefix="0" xfId="0"/>
    <xf numFmtId="0" fontId="3" fillId="3" borderId="0" applyAlignment="1" pivotButton="0" quotePrefix="0" xfId="0">
      <alignment horizontal="left" vertical="center" indent="1"/>
    </xf>
    <xf numFmtId="0" fontId="4" fillId="3" borderId="0" pivotButton="0" quotePrefix="0" xfId="0"/>
    <xf numFmtId="0" fontId="3" fillId="3" borderId="0" applyAlignment="1" pivotButton="0" quotePrefix="0" xfId="0">
      <alignment horizontal="right" vertical="center"/>
    </xf>
    <xf numFmtId="0" fontId="0" fillId="0" borderId="1" pivotButton="0" quotePrefix="0" xfId="0"/>
    <xf numFmtId="0" fontId="17" fillId="0" borderId="1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left" vertical="center" indent="1"/>
    </xf>
    <xf numFmtId="0" fontId="12" fillId="0" borderId="9" applyAlignment="1" pivotButton="0" quotePrefix="0" xfId="0">
      <alignment horizontal="left" vertical="center" indent="1"/>
    </xf>
    <xf numFmtId="169" fontId="19" fillId="0" borderId="9" applyAlignment="1" pivotButton="0" quotePrefix="0" xfId="0">
      <alignment horizontal="right" vertical="center"/>
    </xf>
    <xf numFmtId="0" fontId="11" fillId="0" borderId="10" applyAlignment="1" pivotButton="0" quotePrefix="0" xfId="0">
      <alignment horizontal="left" vertical="center" indent="1"/>
    </xf>
    <xf numFmtId="0" fontId="0" fillId="0" borderId="10" pivotButton="0" quotePrefix="0" xfId="0"/>
    <xf numFmtId="166" fontId="11" fillId="0" borderId="10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 indent="1"/>
    </xf>
    <xf numFmtId="166" fontId="18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indent="1"/>
    </xf>
    <xf numFmtId="0" fontId="20" fillId="0" borderId="11" applyAlignment="1" pivotButton="0" quotePrefix="0" xfId="0">
      <alignment horizontal="left" vertical="center" indent="1"/>
    </xf>
    <xf numFmtId="0" fontId="0" fillId="0" borderId="11" pivotButton="0" quotePrefix="0" xfId="0"/>
    <xf numFmtId="166" fontId="20" fillId="0" borderId="11" applyAlignment="1" pivotButton="0" quotePrefix="0" xfId="0">
      <alignment horizontal="right" vertical="center"/>
    </xf>
    <xf numFmtId="0" fontId="20" fillId="0" borderId="1" applyAlignment="1" pivotButton="0" quotePrefix="0" xfId="0">
      <alignment horizontal="left" vertical="center" indent="1"/>
    </xf>
    <xf numFmtId="169" fontId="20" fillId="0" borderId="1" applyAlignment="1" pivotButton="0" quotePrefix="0" xfId="0">
      <alignment horizontal="right" vertical="center"/>
    </xf>
    <xf numFmtId="0" fontId="14" fillId="0" borderId="2" applyAlignment="1" pivotButton="0" quotePrefix="0" xfId="0">
      <alignment horizontal="left" vertical="center" indent="1"/>
    </xf>
    <xf numFmtId="0" fontId="0" fillId="0" borderId="2" pivotButton="0" quotePrefix="0" xfId="0"/>
    <xf numFmtId="166" fontId="12" fillId="0" borderId="2" applyAlignment="1" pivotButton="0" quotePrefix="0" xfId="0">
      <alignment horizontal="right" vertical="center"/>
    </xf>
    <xf numFmtId="0" fontId="14" fillId="0" borderId="12" applyAlignment="1" pivotButton="0" quotePrefix="0" xfId="0">
      <alignment horizontal="left" vertical="center" indent="1"/>
    </xf>
    <xf numFmtId="0" fontId="0" fillId="0" borderId="12" pivotButton="0" quotePrefix="0" xfId="0"/>
    <xf numFmtId="166" fontId="12" fillId="0" borderId="1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 indent="1"/>
    </xf>
    <xf numFmtId="166" fontId="21" fillId="0" borderId="1" applyAlignment="1" pivotButton="0" quotePrefix="0" xfId="0">
      <alignment horizontal="right" vertical="center"/>
    </xf>
    <xf numFmtId="170" fontId="4" fillId="0" borderId="1" applyAlignment="1" pivotButton="0" quotePrefix="0" xfId="0">
      <alignment horizontal="right" vertical="center"/>
    </xf>
    <xf numFmtId="170" fontId="11" fillId="0" borderId="9" applyAlignment="1" pivotButton="0" quotePrefix="0" xfId="0">
      <alignment horizontal="right" vertical="center"/>
    </xf>
    <xf numFmtId="0" fontId="22" fillId="0" borderId="5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indent="1"/>
    </xf>
    <xf numFmtId="169" fontId="10" fillId="0" borderId="1" applyAlignment="1" pivotButton="0" quotePrefix="0" xfId="0">
      <alignment horizontal="right" vertical="center"/>
    </xf>
    <xf numFmtId="0" fontId="21" fillId="0" borderId="11" applyAlignment="1" pivotButton="0" quotePrefix="0" xfId="0">
      <alignment horizontal="left" vertical="center" indent="1"/>
    </xf>
    <xf numFmtId="166" fontId="21" fillId="0" borderId="11" applyAlignment="1" pivotButton="0" quotePrefix="0" xfId="0">
      <alignment horizontal="right" vertical="center"/>
    </xf>
    <xf numFmtId="0" fontId="23" fillId="0" borderId="0" applyAlignment="1" pivotButton="0" quotePrefix="0" xfId="0">
      <alignment horizontal="left" vertical="center" indent="1"/>
    </xf>
    <xf numFmtId="169" fontId="10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indent="1"/>
    </xf>
    <xf numFmtId="16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dxfs count="2">
    <dxf>
      <font>
        <name val="Arial"/>
        <b val="1"/>
        <color rgb="00C41822"/>
        <sz val="8.5"/>
      </font>
    </dxf>
    <dxf>
      <font>
        <name val="Arial"/>
        <b val="1"/>
        <color rgb="00B26B00"/>
        <sz val="8.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AC3"/>
    <outlinePr summaryBelow="1" summaryRight="1"/>
    <pageSetUpPr/>
  </sheetPr>
  <dimension ref="A1:AD40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8" customWidth="1" min="1" max="1"/>
    <col width="26" customWidth="1" min="2" max="2"/>
    <col width="11" customWidth="1" min="3" max="3"/>
    <col width="11" customWidth="1" min="4" max="4"/>
    <col width="8.5" customWidth="1" min="5" max="5"/>
    <col width="8.5" customWidth="1" min="6" max="6"/>
    <col width="11" customWidth="1" min="7" max="7"/>
    <col width="11" customWidth="1" min="8" max="8"/>
    <col width="11.5" customWidth="1" min="9" max="9"/>
    <col width="13" customWidth="1" min="10" max="10"/>
    <col width="13" customWidth="1" min="11" max="11"/>
    <col width="13" customWidth="1" min="12" max="12"/>
    <col width="9.5" customWidth="1" min="13" max="13"/>
    <col width="11.5" customWidth="1" min="14" max="14"/>
    <col width="10" customWidth="1" min="15" max="15"/>
    <col width="11" customWidth="1" min="16" max="16"/>
    <col width="12.5" customWidth="1" min="17" max="17"/>
    <col width="12.5" customWidth="1" min="18" max="18"/>
    <col width="13.5" customWidth="1" min="19" max="19"/>
    <col width="1.8" customWidth="1" min="20" max="20"/>
    <col hidden="1" width="11" customWidth="1" min="21" max="21"/>
    <col hidden="1" width="11" customWidth="1" min="22" max="22"/>
    <col hidden="1" width="11" customWidth="1" min="23" max="23"/>
    <col hidden="1" width="11" customWidth="1" min="24" max="24"/>
    <col hidden="1" width="11" customWidth="1" min="25" max="25"/>
    <col hidden="1" width="11" customWidth="1" min="26" max="26"/>
    <col hidden="1" width="11" customWidth="1" min="27" max="27"/>
    <col hidden="1" width="11" customWidth="1" min="28" max="28"/>
    <col hidden="1" width="11" customWidth="1" min="29" max="29"/>
    <col hidden="1" width="11" customWidth="1" min="30" max="30"/>
    <col hidden="1" width="11" customWidth="1" min="31" max="31"/>
  </cols>
  <sheetData>
    <row r="1" ht="26" customHeight="1">
      <c r="A1" s="1" t="n"/>
      <c r="B1" s="2" t="inlineStr">
        <is>
          <t>SIMULATION D'OUVERTURE ET DE FERMETURE DE CLASSE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B2" s="3" t="inlineStr">
        <is>
          <t>Budget 2027 construit par le cadrage · version V01 — ce que valent vraiment un groupe de plus et un groupe de moins</t>
        </is>
      </c>
    </row>
    <row r="4">
      <c r="B4" s="4" t="inlineStr">
        <is>
          <t>Campus</t>
        </is>
      </c>
      <c r="C4" s="5" t="inlineStr">
        <is>
          <t>MBway Paris</t>
        </is>
      </c>
      <c r="D4" s="6" t="n"/>
      <c r="F4" s="7" t="inlineStr">
        <is>
          <t>capacité par groupe : Bachelor 32 · Mastère 26 · BTS 30</t>
        </is>
      </c>
      <c r="L4" s="8" t="inlineStr">
        <is>
          <t>SI UN GROUPE FERME, QU'EST-CE QU'ON SUPPRIME VRAIMENT ?</t>
        </is>
      </c>
      <c r="AC4" s="9">
        <f>INDEX(Libelles!$B$1:$B$40,MATCH($C$4,Libelles!$C$1:$C$40,0))</f>
        <v/>
      </c>
    </row>
    <row r="5">
      <c r="L5" s="10" t="inlineStr">
        <is>
          <t>Part des enseignants permanents effectivement supprimée</t>
        </is>
      </c>
      <c r="S5" s="11" t="n">
        <v>0</v>
      </c>
    </row>
    <row r="6">
      <c r="L6" s="10" t="inlineStr">
        <is>
          <t>Part de la structure du campus effectivement supprimée</t>
        </is>
      </c>
      <c r="S6" s="11" t="n">
        <v>0</v>
      </c>
    </row>
    <row r="8" ht="16" customHeight="1">
      <c r="B8" s="12">
        <f>"Le cadrage a construit "&amp;TEXT(SUMIFS(Donnees!$J$4:$J$400,Donnees!$A$4:$A$400,$AC$4),"#,##0")&amp;" étudiants pour "&amp;TEXT(SUMIFS(Donnees!$I$4:$I$400,Donnees!$A$4:$A$400,$AC$4),"#,##0")&amp;" places ouvertes : "&amp;IF($AC$8&lt;0.5,"aucun sans place",TEXT($AC$8,"#,##0")&amp;" sans place")&amp;", et "&amp;TEXT($AD$8,"#,##0")&amp;" places vides."</f>
        <v/>
      </c>
      <c r="AC8" s="9">
        <f>SUMPRODUCT((Donnees!$A$4:$A$400=$AC$4)*(Donnees!$J$4:$J$400&gt;Donnees!$I$4:$I$400)*(Donnees!$J$4:$J$400-Donnees!$I$4:$I$400))</f>
        <v/>
      </c>
      <c r="AD8" s="9">
        <f>SUMPRODUCT((Donnees!$A$4:$A$400=$AC$4)*(Donnees!$I$4:$I$400&gt;Donnees!$J$4:$J$400)*(Donnees!$I$4:$I$400-Donnees!$J$4:$J$400))</f>
        <v/>
      </c>
    </row>
    <row r="10">
      <c r="E10" s="13" t="inlineStr">
        <is>
          <t>CE QUE LE CADRAGE A CONSTRUIT</t>
        </is>
      </c>
      <c r="F10" s="13" t="n"/>
      <c r="G10" s="13" t="n"/>
      <c r="H10" s="13" t="n"/>
      <c r="I10" s="13" t="n"/>
      <c r="J10" s="13" t="n"/>
      <c r="K10" s="13" t="n"/>
      <c r="L10" s="13" t="n"/>
      <c r="M10" s="14" t="inlineStr">
        <is>
          <t>VOTRE DÉCISION</t>
        </is>
      </c>
      <c r="N10" s="14" t="n"/>
      <c r="O10" s="13" t="inlineStr">
        <is>
          <t>CE QUE ÇA DONNE</t>
        </is>
      </c>
      <c r="P10" s="13" t="n"/>
      <c r="Q10" s="13" t="inlineStr">
        <is>
          <t>L'EFFET</t>
        </is>
      </c>
      <c r="R10" s="13" t="n"/>
      <c r="S10" s="13" t="n"/>
    </row>
    <row r="11" ht="30" customHeight="1">
      <c r="B11" s="15" t="inlineStr">
        <is>
          <t>Programme</t>
        </is>
      </c>
      <c r="C11" s="16" t="inlineStr">
        <is>
          <t>Année</t>
        </is>
      </c>
      <c r="D11" s="16" t="inlineStr">
        <is>
          <t>Modalité</t>
        </is>
      </c>
      <c r="E11" s="17" t="inlineStr">
        <is>
          <t>Groupes</t>
        </is>
      </c>
      <c r="F11" s="17" t="inlineStr">
        <is>
          <t>Places</t>
        </is>
      </c>
      <c r="G11" s="17" t="inlineStr">
        <is>
          <t>Effectif construit</t>
        </is>
      </c>
      <c r="H11" s="17" t="inlineStr">
        <is>
          <t>Effectif plaçable</t>
        </is>
      </c>
      <c r="I11" s="17" t="inlineStr">
        <is>
          <t>Remplissage</t>
        </is>
      </c>
      <c r="J11" s="17" t="inlineStr">
        <is>
          <t>Chiffre d'affaires</t>
        </is>
      </c>
      <c r="K11" s="17" t="inlineStr">
        <is>
          <t>Contribution</t>
        </is>
      </c>
      <c r="L11" s="17" t="inlineStr">
        <is>
          <t>Marge complète</t>
        </is>
      </c>
      <c r="M11" s="17" t="inlineStr">
        <is>
          <t>Groupes
+ / −</t>
        </is>
      </c>
      <c r="N11" s="17" t="inlineStr">
        <is>
          <t>Étudiants recrutés</t>
        </is>
      </c>
      <c r="O11" s="17" t="inlineStr">
        <is>
          <t>Places après</t>
        </is>
      </c>
      <c r="P11" s="17" t="inlineStr">
        <is>
          <t>Effectif retenu</t>
        </is>
      </c>
      <c r="Q11" s="17" t="inlineStr">
        <is>
          <t>Δ chiffre d'affaires</t>
        </is>
      </c>
      <c r="R11" s="17" t="inlineStr">
        <is>
          <t>Δ coûts</t>
        </is>
      </c>
      <c r="S11" s="17" t="inlineStr">
        <is>
          <t>Δ EBITDA</t>
        </is>
      </c>
    </row>
    <row r="12" ht="15" customHeight="1">
      <c r="B12" s="18">
        <f>IF($U12=0,"",INDEX(Libelles!$F$1:$F$40,MATCH(INDEX(Donnees!$C$1:$C$400,$U12),Libelles!$E$1:$E$40,0)))</f>
        <v/>
      </c>
      <c r="C12" s="19">
        <f>IF($U12=0,"",INDEX(Libelles!$I$1:$I$40,MATCH(INDEX(Donnees!$D$1:$D$400,$U12),Libelles!$H$1:$H$40,0)))</f>
        <v/>
      </c>
      <c r="D12" s="19">
        <f>IF($U12=0,"",INDEX(Libelles!$L$1:$L$40,MATCH(INDEX(Donnees!$E$1:$E$400,$U12),Libelles!$K$1:$K$40,0)))</f>
        <v/>
      </c>
      <c r="E12" s="20">
        <f>IF($U12=0,"",INDEX(Donnees!$G$1:$G$400,$U12))</f>
        <v/>
      </c>
      <c r="F12" s="20">
        <f>IF($U12=0,"",INDEX(Donnees!$I$1:$I$400,$U12))</f>
        <v/>
      </c>
      <c r="G12" s="21">
        <f>IF($U12=0,"",INDEX(Donnees!$J$1:$J$400,$U12))</f>
        <v/>
      </c>
      <c r="H12" s="21">
        <f>IF($U12=0,"",MIN($G12,$F12))</f>
        <v/>
      </c>
      <c r="I12" s="22">
        <f>IF($U12=0,"",$G12/$F12)</f>
        <v/>
      </c>
      <c r="J12" s="23">
        <f>IF($U12=0,"",INDEX(Donnees!$K$1:$K$400,$U12))</f>
        <v/>
      </c>
      <c r="K12" s="23">
        <f>IF($U12=0,"",INDEX(Donnees!$V$1:$V$400,$U12))</f>
        <v/>
      </c>
      <c r="L12" s="24">
        <f>IF($U12=0,"",INDEX(Donnees!$U$1:$U$400,$U12))</f>
        <v/>
      </c>
      <c r="M12" s="25" t="n">
        <v>0</v>
      </c>
      <c r="N12" s="26" t="n">
        <v>0</v>
      </c>
      <c r="O12" s="20">
        <f>IF($U12=0,"",($E12+$M12)*INDEX(Donnees!$H$1:$H$400,$U12))</f>
        <v/>
      </c>
      <c r="P12" s="21">
        <f>IF($U12=0,"",MIN($G12+$N12,$O12))</f>
        <v/>
      </c>
      <c r="Q12" s="27">
        <f>IF($U12=0,"",($P12-$H12)*$J12/$G12)</f>
        <v/>
      </c>
      <c r="R12" s="27">
        <f>IF($U12=0,"",$V12+$W12+$X12-$Y12-$Z12)</f>
        <v/>
      </c>
      <c r="S12" s="28">
        <f>IF($U12=0,"",$Q12-$R12)</f>
        <v/>
      </c>
      <c r="U12" s="9">
        <f>IF(ISERROR(MATCH($AC$4&amp;"#"&amp;1,Donnees!$AB$1:$AB$400,0)),0,MATCH($AC$4&amp;"#"&amp;1,Donnees!$AB$1:$AB$400,0))</f>
        <v/>
      </c>
      <c r="V12" s="9">
        <f>IF($U12=0,0,$M12*INDEX(Donnees!$W$1:$W$400,$U12))</f>
        <v/>
      </c>
      <c r="W12" s="9">
        <f>IF($U12=0,0,($P12-$H12)*INDEX(Donnees!$Y$1:$Y$400,$U12))</f>
        <v/>
      </c>
      <c r="X12" s="9">
        <f>IF($U12=0,0,MAX(0,$P12-MIN($G12,$O12))*INDEX(Donnees!$S$1:$S$400,$U12))</f>
        <v/>
      </c>
      <c r="Y12" s="9">
        <f>IF($U12=0,0,MAX(0,-$M12)*INDEX(Donnees!$X$1:$X$400,$U12)*$S$5)</f>
        <v/>
      </c>
      <c r="Z12" s="9">
        <f>IF($U12=0,0,MAX(0,-$M12)*INDEX(Donnees!$P$1:$P$400,$U12)/MAX($E12,1)*$S$6)</f>
        <v/>
      </c>
      <c r="AA12" s="9">
        <f>IF($U12=0,0,($H12-$G12)*$J12/$G12)</f>
        <v/>
      </c>
      <c r="AB12" s="9">
        <f>IF($U12=0,0,($H12-$G12)*INDEX(Donnees!$Y$1:$Y$400,$U12))</f>
        <v/>
      </c>
    </row>
    <row r="13" ht="15" customHeight="1">
      <c r="B13" s="18">
        <f>IF($U13=0,"",INDEX(Libelles!$F$1:$F$40,MATCH(INDEX(Donnees!$C$1:$C$400,$U13),Libelles!$E$1:$E$40,0)))</f>
        <v/>
      </c>
      <c r="C13" s="19">
        <f>IF($U13=0,"",INDEX(Libelles!$I$1:$I$40,MATCH(INDEX(Donnees!$D$1:$D$400,$U13),Libelles!$H$1:$H$40,0)))</f>
        <v/>
      </c>
      <c r="D13" s="19">
        <f>IF($U13=0,"",INDEX(Libelles!$L$1:$L$40,MATCH(INDEX(Donnees!$E$1:$E$400,$U13),Libelles!$K$1:$K$40,0)))</f>
        <v/>
      </c>
      <c r="E13" s="20">
        <f>IF($U13=0,"",INDEX(Donnees!$G$1:$G$400,$U13))</f>
        <v/>
      </c>
      <c r="F13" s="20">
        <f>IF($U13=0,"",INDEX(Donnees!$I$1:$I$400,$U13))</f>
        <v/>
      </c>
      <c r="G13" s="21">
        <f>IF($U13=0,"",INDEX(Donnees!$J$1:$J$400,$U13))</f>
        <v/>
      </c>
      <c r="H13" s="21">
        <f>IF($U13=0,"",MIN($G13,$F13))</f>
        <v/>
      </c>
      <c r="I13" s="22">
        <f>IF($U13=0,"",$G13/$F13)</f>
        <v/>
      </c>
      <c r="J13" s="23">
        <f>IF($U13=0,"",INDEX(Donnees!$K$1:$K$400,$U13))</f>
        <v/>
      </c>
      <c r="K13" s="23">
        <f>IF($U13=0,"",INDEX(Donnees!$V$1:$V$400,$U13))</f>
        <v/>
      </c>
      <c r="L13" s="24">
        <f>IF($U13=0,"",INDEX(Donnees!$U$1:$U$400,$U13))</f>
        <v/>
      </c>
      <c r="M13" s="25" t="n">
        <v>0</v>
      </c>
      <c r="N13" s="26" t="n">
        <v>0</v>
      </c>
      <c r="O13" s="20">
        <f>IF($U13=0,"",($E13+$M13)*INDEX(Donnees!$H$1:$H$400,$U13))</f>
        <v/>
      </c>
      <c r="P13" s="21">
        <f>IF($U13=0,"",MIN($G13+$N13,$O13))</f>
        <v/>
      </c>
      <c r="Q13" s="27">
        <f>IF($U13=0,"",($P13-$H13)*$J13/$G13)</f>
        <v/>
      </c>
      <c r="R13" s="27">
        <f>IF($U13=0,"",$V13+$W13+$X13-$Y13-$Z13)</f>
        <v/>
      </c>
      <c r="S13" s="28">
        <f>IF($U13=0,"",$Q13-$R13)</f>
        <v/>
      </c>
      <c r="U13" s="9">
        <f>IF(ISERROR(MATCH($AC$4&amp;"#"&amp;2,Donnees!$AB$1:$AB$400,0)),0,MATCH($AC$4&amp;"#"&amp;2,Donnees!$AB$1:$AB$400,0))</f>
        <v/>
      </c>
      <c r="V13" s="9">
        <f>IF($U13=0,0,$M13*INDEX(Donnees!$W$1:$W$400,$U13))</f>
        <v/>
      </c>
      <c r="W13" s="9">
        <f>IF($U13=0,0,($P13-$H13)*INDEX(Donnees!$Y$1:$Y$400,$U13))</f>
        <v/>
      </c>
      <c r="X13" s="9">
        <f>IF($U13=0,0,MAX(0,$P13-MIN($G13,$O13))*INDEX(Donnees!$S$1:$S$400,$U13))</f>
        <v/>
      </c>
      <c r="Y13" s="9">
        <f>IF($U13=0,0,MAX(0,-$M13)*INDEX(Donnees!$X$1:$X$400,$U13)*$S$5)</f>
        <v/>
      </c>
      <c r="Z13" s="9">
        <f>IF($U13=0,0,MAX(0,-$M13)*INDEX(Donnees!$P$1:$P$400,$U13)/MAX($E13,1)*$S$6)</f>
        <v/>
      </c>
      <c r="AA13" s="9">
        <f>IF($U13=0,0,($H13-$G13)*$J13/$G13)</f>
        <v/>
      </c>
      <c r="AB13" s="9">
        <f>IF($U13=0,0,($H13-$G13)*INDEX(Donnees!$Y$1:$Y$400,$U13))</f>
        <v/>
      </c>
    </row>
    <row r="14" ht="15" customHeight="1">
      <c r="B14" s="18">
        <f>IF($U14=0,"",INDEX(Libelles!$F$1:$F$40,MATCH(INDEX(Donnees!$C$1:$C$400,$U14),Libelles!$E$1:$E$40,0)))</f>
        <v/>
      </c>
      <c r="C14" s="19">
        <f>IF($U14=0,"",INDEX(Libelles!$I$1:$I$40,MATCH(INDEX(Donnees!$D$1:$D$400,$U14),Libelles!$H$1:$H$40,0)))</f>
        <v/>
      </c>
      <c r="D14" s="19">
        <f>IF($U14=0,"",INDEX(Libelles!$L$1:$L$40,MATCH(INDEX(Donnees!$E$1:$E$400,$U14),Libelles!$K$1:$K$40,0)))</f>
        <v/>
      </c>
      <c r="E14" s="20">
        <f>IF($U14=0,"",INDEX(Donnees!$G$1:$G$400,$U14))</f>
        <v/>
      </c>
      <c r="F14" s="20">
        <f>IF($U14=0,"",INDEX(Donnees!$I$1:$I$400,$U14))</f>
        <v/>
      </c>
      <c r="G14" s="21">
        <f>IF($U14=0,"",INDEX(Donnees!$J$1:$J$400,$U14))</f>
        <v/>
      </c>
      <c r="H14" s="21">
        <f>IF($U14=0,"",MIN($G14,$F14))</f>
        <v/>
      </c>
      <c r="I14" s="22">
        <f>IF($U14=0,"",$G14/$F14)</f>
        <v/>
      </c>
      <c r="J14" s="23">
        <f>IF($U14=0,"",INDEX(Donnees!$K$1:$K$400,$U14))</f>
        <v/>
      </c>
      <c r="K14" s="23">
        <f>IF($U14=0,"",INDEX(Donnees!$V$1:$V$400,$U14))</f>
        <v/>
      </c>
      <c r="L14" s="24">
        <f>IF($U14=0,"",INDEX(Donnees!$U$1:$U$400,$U14))</f>
        <v/>
      </c>
      <c r="M14" s="25" t="n">
        <v>0</v>
      </c>
      <c r="N14" s="26" t="n">
        <v>0</v>
      </c>
      <c r="O14" s="20">
        <f>IF($U14=0,"",($E14+$M14)*INDEX(Donnees!$H$1:$H$400,$U14))</f>
        <v/>
      </c>
      <c r="P14" s="21">
        <f>IF($U14=0,"",MIN($G14+$N14,$O14))</f>
        <v/>
      </c>
      <c r="Q14" s="27">
        <f>IF($U14=0,"",($P14-$H14)*$J14/$G14)</f>
        <v/>
      </c>
      <c r="R14" s="27">
        <f>IF($U14=0,"",$V14+$W14+$X14-$Y14-$Z14)</f>
        <v/>
      </c>
      <c r="S14" s="28">
        <f>IF($U14=0,"",$Q14-$R14)</f>
        <v/>
      </c>
      <c r="U14" s="9">
        <f>IF(ISERROR(MATCH($AC$4&amp;"#"&amp;3,Donnees!$AB$1:$AB$400,0)),0,MATCH($AC$4&amp;"#"&amp;3,Donnees!$AB$1:$AB$400,0))</f>
        <v/>
      </c>
      <c r="V14" s="9">
        <f>IF($U14=0,0,$M14*INDEX(Donnees!$W$1:$W$400,$U14))</f>
        <v/>
      </c>
      <c r="W14" s="9">
        <f>IF($U14=0,0,($P14-$H14)*INDEX(Donnees!$Y$1:$Y$400,$U14))</f>
        <v/>
      </c>
      <c r="X14" s="9">
        <f>IF($U14=0,0,MAX(0,$P14-MIN($G14,$O14))*INDEX(Donnees!$S$1:$S$400,$U14))</f>
        <v/>
      </c>
      <c r="Y14" s="9">
        <f>IF($U14=0,0,MAX(0,-$M14)*INDEX(Donnees!$X$1:$X$400,$U14)*$S$5)</f>
        <v/>
      </c>
      <c r="Z14" s="9">
        <f>IF($U14=0,0,MAX(0,-$M14)*INDEX(Donnees!$P$1:$P$400,$U14)/MAX($E14,1)*$S$6)</f>
        <v/>
      </c>
      <c r="AA14" s="9">
        <f>IF($U14=0,0,($H14-$G14)*$J14/$G14)</f>
        <v/>
      </c>
      <c r="AB14" s="9">
        <f>IF($U14=0,0,($H14-$G14)*INDEX(Donnees!$Y$1:$Y$400,$U14))</f>
        <v/>
      </c>
    </row>
    <row r="15" ht="15" customHeight="1">
      <c r="B15" s="18">
        <f>IF($U15=0,"",INDEX(Libelles!$F$1:$F$40,MATCH(INDEX(Donnees!$C$1:$C$400,$U15),Libelles!$E$1:$E$40,0)))</f>
        <v/>
      </c>
      <c r="C15" s="19">
        <f>IF($U15=0,"",INDEX(Libelles!$I$1:$I$40,MATCH(INDEX(Donnees!$D$1:$D$400,$U15),Libelles!$H$1:$H$40,0)))</f>
        <v/>
      </c>
      <c r="D15" s="19">
        <f>IF($U15=0,"",INDEX(Libelles!$L$1:$L$40,MATCH(INDEX(Donnees!$E$1:$E$400,$U15),Libelles!$K$1:$K$40,0)))</f>
        <v/>
      </c>
      <c r="E15" s="20">
        <f>IF($U15=0,"",INDEX(Donnees!$G$1:$G$400,$U15))</f>
        <v/>
      </c>
      <c r="F15" s="20">
        <f>IF($U15=0,"",INDEX(Donnees!$I$1:$I$400,$U15))</f>
        <v/>
      </c>
      <c r="G15" s="21">
        <f>IF($U15=0,"",INDEX(Donnees!$J$1:$J$400,$U15))</f>
        <v/>
      </c>
      <c r="H15" s="21">
        <f>IF($U15=0,"",MIN($G15,$F15))</f>
        <v/>
      </c>
      <c r="I15" s="22">
        <f>IF($U15=0,"",$G15/$F15)</f>
        <v/>
      </c>
      <c r="J15" s="23">
        <f>IF($U15=0,"",INDEX(Donnees!$K$1:$K$400,$U15))</f>
        <v/>
      </c>
      <c r="K15" s="23">
        <f>IF($U15=0,"",INDEX(Donnees!$V$1:$V$400,$U15))</f>
        <v/>
      </c>
      <c r="L15" s="24">
        <f>IF($U15=0,"",INDEX(Donnees!$U$1:$U$400,$U15))</f>
        <v/>
      </c>
      <c r="M15" s="25" t="n">
        <v>0</v>
      </c>
      <c r="N15" s="26" t="n">
        <v>0</v>
      </c>
      <c r="O15" s="20">
        <f>IF($U15=0,"",($E15+$M15)*INDEX(Donnees!$H$1:$H$400,$U15))</f>
        <v/>
      </c>
      <c r="P15" s="21">
        <f>IF($U15=0,"",MIN($G15+$N15,$O15))</f>
        <v/>
      </c>
      <c r="Q15" s="27">
        <f>IF($U15=0,"",($P15-$H15)*$J15/$G15)</f>
        <v/>
      </c>
      <c r="R15" s="27">
        <f>IF($U15=0,"",$V15+$W15+$X15-$Y15-$Z15)</f>
        <v/>
      </c>
      <c r="S15" s="28">
        <f>IF($U15=0,"",$Q15-$R15)</f>
        <v/>
      </c>
      <c r="U15" s="9">
        <f>IF(ISERROR(MATCH($AC$4&amp;"#"&amp;4,Donnees!$AB$1:$AB$400,0)),0,MATCH($AC$4&amp;"#"&amp;4,Donnees!$AB$1:$AB$400,0))</f>
        <v/>
      </c>
      <c r="V15" s="9">
        <f>IF($U15=0,0,$M15*INDEX(Donnees!$W$1:$W$400,$U15))</f>
        <v/>
      </c>
      <c r="W15" s="9">
        <f>IF($U15=0,0,($P15-$H15)*INDEX(Donnees!$Y$1:$Y$400,$U15))</f>
        <v/>
      </c>
      <c r="X15" s="9">
        <f>IF($U15=0,0,MAX(0,$P15-MIN($G15,$O15))*INDEX(Donnees!$S$1:$S$400,$U15))</f>
        <v/>
      </c>
      <c r="Y15" s="9">
        <f>IF($U15=0,0,MAX(0,-$M15)*INDEX(Donnees!$X$1:$X$400,$U15)*$S$5)</f>
        <v/>
      </c>
      <c r="Z15" s="9">
        <f>IF($U15=0,0,MAX(0,-$M15)*INDEX(Donnees!$P$1:$P$400,$U15)/MAX($E15,1)*$S$6)</f>
        <v/>
      </c>
      <c r="AA15" s="9">
        <f>IF($U15=0,0,($H15-$G15)*$J15/$G15)</f>
        <v/>
      </c>
      <c r="AB15" s="9">
        <f>IF($U15=0,0,($H15-$G15)*INDEX(Donnees!$Y$1:$Y$400,$U15))</f>
        <v/>
      </c>
    </row>
    <row r="16" ht="15" customHeight="1">
      <c r="B16" s="18">
        <f>IF($U16=0,"",INDEX(Libelles!$F$1:$F$40,MATCH(INDEX(Donnees!$C$1:$C$400,$U16),Libelles!$E$1:$E$40,0)))</f>
        <v/>
      </c>
      <c r="C16" s="19">
        <f>IF($U16=0,"",INDEX(Libelles!$I$1:$I$40,MATCH(INDEX(Donnees!$D$1:$D$400,$U16),Libelles!$H$1:$H$40,0)))</f>
        <v/>
      </c>
      <c r="D16" s="19">
        <f>IF($U16=0,"",INDEX(Libelles!$L$1:$L$40,MATCH(INDEX(Donnees!$E$1:$E$400,$U16),Libelles!$K$1:$K$40,0)))</f>
        <v/>
      </c>
      <c r="E16" s="20">
        <f>IF($U16=0,"",INDEX(Donnees!$G$1:$G$400,$U16))</f>
        <v/>
      </c>
      <c r="F16" s="20">
        <f>IF($U16=0,"",INDEX(Donnees!$I$1:$I$400,$U16))</f>
        <v/>
      </c>
      <c r="G16" s="21">
        <f>IF($U16=0,"",INDEX(Donnees!$J$1:$J$400,$U16))</f>
        <v/>
      </c>
      <c r="H16" s="21">
        <f>IF($U16=0,"",MIN($G16,$F16))</f>
        <v/>
      </c>
      <c r="I16" s="22">
        <f>IF($U16=0,"",$G16/$F16)</f>
        <v/>
      </c>
      <c r="J16" s="23">
        <f>IF($U16=0,"",INDEX(Donnees!$K$1:$K$400,$U16))</f>
        <v/>
      </c>
      <c r="K16" s="23">
        <f>IF($U16=0,"",INDEX(Donnees!$V$1:$V$400,$U16))</f>
        <v/>
      </c>
      <c r="L16" s="24">
        <f>IF($U16=0,"",INDEX(Donnees!$U$1:$U$400,$U16))</f>
        <v/>
      </c>
      <c r="M16" s="25" t="n">
        <v>0</v>
      </c>
      <c r="N16" s="26" t="n">
        <v>0</v>
      </c>
      <c r="O16" s="20">
        <f>IF($U16=0,"",($E16+$M16)*INDEX(Donnees!$H$1:$H$400,$U16))</f>
        <v/>
      </c>
      <c r="P16" s="21">
        <f>IF($U16=0,"",MIN($G16+$N16,$O16))</f>
        <v/>
      </c>
      <c r="Q16" s="27">
        <f>IF($U16=0,"",($P16-$H16)*$J16/$G16)</f>
        <v/>
      </c>
      <c r="R16" s="27">
        <f>IF($U16=0,"",$V16+$W16+$X16-$Y16-$Z16)</f>
        <v/>
      </c>
      <c r="S16" s="28">
        <f>IF($U16=0,"",$Q16-$R16)</f>
        <v/>
      </c>
      <c r="U16" s="9">
        <f>IF(ISERROR(MATCH($AC$4&amp;"#"&amp;5,Donnees!$AB$1:$AB$400,0)),0,MATCH($AC$4&amp;"#"&amp;5,Donnees!$AB$1:$AB$400,0))</f>
        <v/>
      </c>
      <c r="V16" s="9">
        <f>IF($U16=0,0,$M16*INDEX(Donnees!$W$1:$W$400,$U16))</f>
        <v/>
      </c>
      <c r="W16" s="9">
        <f>IF($U16=0,0,($P16-$H16)*INDEX(Donnees!$Y$1:$Y$400,$U16))</f>
        <v/>
      </c>
      <c r="X16" s="9">
        <f>IF($U16=0,0,MAX(0,$P16-MIN($G16,$O16))*INDEX(Donnees!$S$1:$S$400,$U16))</f>
        <v/>
      </c>
      <c r="Y16" s="9">
        <f>IF($U16=0,0,MAX(0,-$M16)*INDEX(Donnees!$X$1:$X$400,$U16)*$S$5)</f>
        <v/>
      </c>
      <c r="Z16" s="9">
        <f>IF($U16=0,0,MAX(0,-$M16)*INDEX(Donnees!$P$1:$P$400,$U16)/MAX($E16,1)*$S$6)</f>
        <v/>
      </c>
      <c r="AA16" s="9">
        <f>IF($U16=0,0,($H16-$G16)*$J16/$G16)</f>
        <v/>
      </c>
      <c r="AB16" s="9">
        <f>IF($U16=0,0,($H16-$G16)*INDEX(Donnees!$Y$1:$Y$400,$U16))</f>
        <v/>
      </c>
    </row>
    <row r="17" ht="17" customHeight="1">
      <c r="B17" s="29" t="inlineStr">
        <is>
          <t>Total du campus</t>
        </is>
      </c>
      <c r="C17" s="30" t="n"/>
      <c r="D17" s="30" t="n"/>
      <c r="E17" s="31">
        <f>SUM(E12:E16)</f>
        <v/>
      </c>
      <c r="F17" s="31">
        <f>SUM(F12:F16)</f>
        <v/>
      </c>
      <c r="G17" s="32">
        <f>SUM(G12:G16)</f>
        <v/>
      </c>
      <c r="H17" s="32">
        <f>SUM(H12:H16)</f>
        <v/>
      </c>
      <c r="I17" s="33">
        <f>$G17/$F17</f>
        <v/>
      </c>
      <c r="J17" s="34">
        <f>SUM(J12:J16)</f>
        <v/>
      </c>
      <c r="K17" s="34">
        <f>SUM(K12:K16)</f>
        <v/>
      </c>
      <c r="L17" s="34">
        <f>SUM(L12:L16)</f>
        <v/>
      </c>
      <c r="M17" s="30" t="n"/>
      <c r="N17" s="30" t="n"/>
      <c r="O17" s="31">
        <f>SUM(O12:O16)</f>
        <v/>
      </c>
      <c r="P17" s="32">
        <f>SUM(P12:P16)</f>
        <v/>
      </c>
      <c r="Q17" s="35">
        <f>SUM(Q12:Q16)</f>
        <v/>
      </c>
      <c r="R17" s="35">
        <f>SUM(R12:R16)</f>
        <v/>
      </c>
      <c r="S17" s="36">
        <f>$Q17-$R17</f>
        <v/>
      </c>
    </row>
    <row r="19">
      <c r="B19" s="37" t="inlineStr">
        <is>
          <t>CE QUI PART AVEC LE GROUPE, CE QUI RESTE SUR LE CAMPUS</t>
        </is>
      </c>
      <c r="C19" s="38" t="n"/>
      <c r="D19" s="38" t="n"/>
      <c r="E19" s="38" t="n"/>
      <c r="F19" s="38" t="n"/>
      <c r="G19" s="38" t="n"/>
      <c r="H19" s="38" t="n"/>
      <c r="I19" s="38" t="n"/>
      <c r="J19" s="38" t="n"/>
      <c r="L19" s="37" t="inlineStr">
        <is>
          <t>L'EFFET DE VOTRE DÉCISION</t>
        </is>
      </c>
      <c r="M19" s="38" t="n"/>
      <c r="N19" s="38" t="n"/>
      <c r="O19" s="38" t="n"/>
      <c r="P19" s="38" t="n"/>
      <c r="Q19" s="38" t="n"/>
      <c r="R19" s="38" t="n"/>
      <c r="S19" s="38" t="n"/>
    </row>
    <row r="20">
      <c r="B20" s="39" t="inlineStr">
        <is>
          <t>Poste</t>
        </is>
      </c>
      <c r="C20" s="40" t="n"/>
      <c r="D20" s="40" t="n"/>
      <c r="E20" s="40" t="n"/>
      <c r="F20" s="40" t="n"/>
      <c r="G20" s="40" t="n"/>
      <c r="H20" s="40" t="n"/>
      <c r="I20" s="41" t="inlineStr">
        <is>
          <t>Montant 2027</t>
        </is>
      </c>
      <c r="J20" s="39" t="inlineStr">
        <is>
          <t>Comportement</t>
        </is>
      </c>
      <c r="L20" s="39" t="inlineStr"/>
      <c r="M20" s="40" t="n"/>
      <c r="N20" s="40" t="n"/>
      <c r="O20" s="40" t="n"/>
      <c r="P20" s="40" t="n"/>
      <c r="Q20" s="40" t="n"/>
      <c r="R20" s="40" t="n"/>
      <c r="S20" s="41" t="inlineStr">
        <is>
          <t>Montant</t>
        </is>
      </c>
    </row>
    <row r="21">
      <c r="B21" s="18" t="inlineStr">
        <is>
          <t>Vacataires (621)</t>
        </is>
      </c>
      <c r="C21" s="42" t="n"/>
      <c r="D21" s="42" t="n"/>
      <c r="E21" s="42" t="n"/>
      <c r="F21" s="42" t="n"/>
      <c r="G21" s="42" t="n"/>
      <c r="H21" s="42" t="n"/>
      <c r="I21" s="23">
        <f>SUMIFS(Donnees!$L$4:$L$400,Donnees!$A$4:$A$400,$AC$4)</f>
        <v/>
      </c>
      <c r="J21" s="43" t="inlineStr">
        <is>
          <t>part avec le groupe</t>
        </is>
      </c>
      <c r="L21" s="18" t="inlineStr">
        <is>
          <t>Chiffre d'affaires</t>
        </is>
      </c>
      <c r="M21" s="42" t="n"/>
      <c r="N21" s="42" t="n"/>
      <c r="O21" s="42" t="n"/>
      <c r="P21" s="42" t="n"/>
      <c r="Q21" s="42" t="n"/>
      <c r="R21" s="42" t="n"/>
      <c r="S21" s="27">
        <f>$Q17</f>
        <v/>
      </c>
    </row>
    <row r="22">
      <c r="B22" s="18" t="inlineStr">
        <is>
          <t>Achats d'études et fournitures (604 · 6063)</t>
        </is>
      </c>
      <c r="C22" s="42" t="n"/>
      <c r="D22" s="42" t="n"/>
      <c r="E22" s="42" t="n"/>
      <c r="F22" s="42" t="n"/>
      <c r="G22" s="42" t="n"/>
      <c r="H22" s="42" t="n"/>
      <c r="I22" s="23">
        <f>SUMIFS(Donnees!$M$4:$M$400,Donnees!$A$4:$A$400,$AC$4)</f>
        <v/>
      </c>
      <c r="J22" s="43" t="inlineStr">
        <is>
          <t>suivent l'élève</t>
        </is>
      </c>
      <c r="L22" s="18" t="inlineStr">
        <is>
          <t>Vacataires (621)</t>
        </is>
      </c>
      <c r="M22" s="42" t="n"/>
      <c r="N22" s="42" t="n"/>
      <c r="O22" s="42" t="n"/>
      <c r="P22" s="42" t="n"/>
      <c r="Q22" s="42" t="n"/>
      <c r="R22" s="42" t="n"/>
      <c r="S22" s="27">
        <f>-SUM(V12:V16)</f>
        <v/>
      </c>
    </row>
    <row r="23">
      <c r="B23" s="18" t="inlineStr">
        <is>
          <t>Recrutement (6231)</t>
        </is>
      </c>
      <c r="C23" s="42" t="n"/>
      <c r="D23" s="42" t="n"/>
      <c r="E23" s="42" t="n"/>
      <c r="F23" s="42" t="n"/>
      <c r="G23" s="42" t="n"/>
      <c r="H23" s="42" t="n"/>
      <c r="I23" s="23">
        <f>SUMIFS(Donnees!$N$4:$N$400,Donnees!$A$4:$A$400,$AC$4)</f>
        <v/>
      </c>
      <c r="J23" s="43" t="inlineStr">
        <is>
          <t>suit l'entrant</t>
        </is>
      </c>
      <c r="L23" s="18" t="inlineStr">
        <is>
          <t>Achats d'études et fournitures (604 · 6063)</t>
        </is>
      </c>
      <c r="M23" s="42" t="n"/>
      <c r="N23" s="42" t="n"/>
      <c r="O23" s="42" t="n"/>
      <c r="P23" s="42" t="n"/>
      <c r="Q23" s="42" t="n"/>
      <c r="R23" s="42" t="n"/>
      <c r="S23" s="27">
        <f>-SUM(W12:W16)</f>
        <v/>
      </c>
    </row>
    <row r="24">
      <c r="B24" s="18" t="inlineStr">
        <is>
          <t>Enseignants permanents (6411)</t>
        </is>
      </c>
      <c r="C24" s="42" t="n"/>
      <c r="D24" s="42" t="n"/>
      <c r="E24" s="42" t="n"/>
      <c r="F24" s="42" t="n"/>
      <c r="G24" s="42" t="n"/>
      <c r="H24" s="42" t="n"/>
      <c r="I24" s="23">
        <f>SUMIFS(Donnees!$O$4:$O$400,Donnees!$A$4:$A$400,$AC$4)</f>
        <v/>
      </c>
      <c r="J24" s="44" t="inlineStr">
        <is>
          <t>restent, sauf décision RH</t>
        </is>
      </c>
      <c r="L24" s="18" t="inlineStr">
        <is>
          <t>Acquisition des étudiants recrutés en plus</t>
        </is>
      </c>
      <c r="M24" s="42" t="n"/>
      <c r="N24" s="42" t="n"/>
      <c r="O24" s="42" t="n"/>
      <c r="P24" s="42" t="n"/>
      <c r="Q24" s="42" t="n"/>
      <c r="R24" s="42" t="n"/>
      <c r="S24" s="27">
        <f>-SUM(X12:X16)</f>
        <v/>
      </c>
    </row>
    <row r="25">
      <c r="B25" s="18" t="inlineStr">
        <is>
          <t>Structure du campus (613 · 615 · 616 · 625 · 645 · 6413 · 63511)</t>
        </is>
      </c>
      <c r="C25" s="42" t="n"/>
      <c r="D25" s="42" t="n"/>
      <c r="E25" s="42" t="n"/>
      <c r="F25" s="42" t="n"/>
      <c r="G25" s="42" t="n"/>
      <c r="H25" s="42" t="n"/>
      <c r="I25" s="23">
        <f>SUMIFS(Donnees!$P$4:$P$400,Donnees!$A$4:$A$400,$AC$4)</f>
        <v/>
      </c>
      <c r="J25" s="44" t="inlineStr">
        <is>
          <t>reste</t>
        </is>
      </c>
      <c r="L25" s="18" t="inlineStr">
        <is>
          <t>Permanents et structure effectivement supprimés</t>
        </is>
      </c>
      <c r="M25" s="42" t="n"/>
      <c r="N25" s="42" t="n"/>
      <c r="O25" s="42" t="n"/>
      <c r="P25" s="42" t="n"/>
      <c r="Q25" s="42" t="n"/>
      <c r="R25" s="42" t="n"/>
      <c r="S25" s="27">
        <f>SUM(Y12:Y16)+SUM(Z12:Z16)</f>
        <v/>
      </c>
    </row>
    <row r="26">
      <c r="B26" s="18" t="inlineStr">
        <is>
          <t>Frais de marque (6236)</t>
        </is>
      </c>
      <c r="C26" s="42" t="n"/>
      <c r="D26" s="42" t="n"/>
      <c r="E26" s="42" t="n"/>
      <c r="F26" s="42" t="n"/>
      <c r="G26" s="42" t="n"/>
      <c r="H26" s="42" t="n"/>
      <c r="I26" s="23">
        <f>SUMIFS(Donnees!$Q$4:$Q$400,Donnees!$A$4:$A$400,$AC$4)</f>
        <v/>
      </c>
      <c r="J26" s="44" t="inlineStr">
        <is>
          <t>reste, se réalloue</t>
        </is>
      </c>
    </row>
    <row r="27">
      <c r="B27" s="18" t="inlineStr">
        <is>
          <t>Siège (6414 · 6226 · 626 · 6281 · 6331 · 6333)</t>
        </is>
      </c>
      <c r="C27" s="42" t="n"/>
      <c r="D27" s="42" t="n"/>
      <c r="E27" s="42" t="n"/>
      <c r="F27" s="42" t="n"/>
      <c r="G27" s="42" t="n"/>
      <c r="H27" s="42" t="n"/>
      <c r="I27" s="23">
        <f>SUMIFS(Donnees!$R$4:$R$400,Donnees!$A$4:$A$400,$AC$4)</f>
        <v/>
      </c>
      <c r="J27" s="44" t="inlineStr">
        <is>
          <t>reste, se réalloue</t>
        </is>
      </c>
      <c r="L27" s="45" t="inlineStr">
        <is>
          <t>EFFET SUR L'EBITDA DU CAMPUS</t>
        </is>
      </c>
      <c r="M27" s="30" t="n"/>
      <c r="N27" s="30" t="n"/>
      <c r="O27" s="30" t="n"/>
      <c r="P27" s="30" t="n"/>
      <c r="Q27" s="30" t="n"/>
      <c r="R27" s="30" t="n"/>
      <c r="S27" s="46">
        <f>SUM(S21:S25)</f>
        <v/>
      </c>
    </row>
    <row r="28">
      <c r="B28" s="47" t="inlineStr">
        <is>
          <t>Coût complet du campus</t>
        </is>
      </c>
      <c r="C28" s="48" t="n"/>
      <c r="D28" s="48" t="n"/>
      <c r="E28" s="48" t="n"/>
      <c r="F28" s="48" t="n"/>
      <c r="G28" s="48" t="n"/>
      <c r="H28" s="48" t="n"/>
      <c r="I28" s="49">
        <f>SUM(I21:I27)</f>
        <v/>
      </c>
      <c r="J28" s="48" t="n"/>
    </row>
    <row r="29">
      <c r="B29" s="50" t="inlineStr">
        <is>
          <t>dont ne bouge pas si un groupe ferme</t>
        </is>
      </c>
      <c r="I29" s="51">
        <f>SUM(I24:I27)</f>
        <v/>
      </c>
      <c r="J29" s="52">
        <f>TEXT(I29/I28,"0 %")&amp;" du coût complet"</f>
        <v/>
      </c>
      <c r="L29" s="53" t="inlineStr">
        <is>
          <t>EBITDA du campus construit par le cadrage</t>
        </is>
      </c>
      <c r="M29" s="54" t="n"/>
      <c r="N29" s="54" t="n"/>
      <c r="O29" s="54" t="n"/>
      <c r="P29" s="54" t="n"/>
      <c r="Q29" s="54" t="n"/>
      <c r="R29" s="54" t="n"/>
      <c r="S29" s="55">
        <f>SUM(L12:L16)</f>
        <v/>
      </c>
    </row>
    <row r="30">
      <c r="L30" s="56" t="inlineStr">
        <is>
          <t>ce que les places d'aujourd'hui ne permettent pas de livrer</t>
        </is>
      </c>
      <c r="M30" s="42" t="n"/>
      <c r="N30" s="42" t="n"/>
      <c r="O30" s="42" t="n"/>
      <c r="P30" s="42" t="n"/>
      <c r="Q30" s="42" t="n"/>
      <c r="R30" s="42" t="n"/>
      <c r="S30" s="57">
        <f>SUM(AA12:AA16)-SUM(AB12:AB16)</f>
        <v/>
      </c>
    </row>
    <row r="31">
      <c r="L31" s="58" t="inlineStr">
        <is>
          <t>EBITDA livrable sans rien changer</t>
        </is>
      </c>
      <c r="M31" s="59" t="n"/>
      <c r="N31" s="59" t="n"/>
      <c r="O31" s="59" t="n"/>
      <c r="P31" s="59" t="n"/>
      <c r="Q31" s="59" t="n"/>
      <c r="R31" s="59" t="n"/>
      <c r="S31" s="60">
        <f>$S29+$S30</f>
        <v/>
      </c>
    </row>
    <row r="32">
      <c r="L32" s="56" t="inlineStr">
        <is>
          <t>effet de votre décision</t>
        </is>
      </c>
      <c r="M32" s="42" t="n"/>
      <c r="N32" s="42" t="n"/>
      <c r="O32" s="42" t="n"/>
      <c r="P32" s="42" t="n"/>
      <c r="Q32" s="42" t="n"/>
      <c r="R32" s="42" t="n"/>
      <c r="S32" s="57">
        <f>$S27</f>
        <v/>
      </c>
    </row>
    <row r="33">
      <c r="L33" s="61" t="inlineStr">
        <is>
          <t>EBITDA du campus après décision</t>
        </is>
      </c>
      <c r="M33" s="62" t="n"/>
      <c r="N33" s="62" t="n"/>
      <c r="O33" s="62" t="n"/>
      <c r="P33" s="62" t="n"/>
      <c r="Q33" s="62" t="n"/>
      <c r="R33" s="62" t="n"/>
      <c r="S33" s="63">
        <f>$S31+$S32</f>
        <v/>
      </c>
    </row>
    <row r="36">
      <c r="B36" s="64" t="inlineStr">
        <is>
          <t>Effectif plaçable = MIN(effectif construit ; places ouvertes). Le cadrage, lui, ne plafonne pas : c'est de cet écart que vient la ligne « ce que les places d'aujourd'hui ne permettent pas de livrer ».</t>
        </is>
      </c>
    </row>
    <row r="37">
      <c r="B37" s="64" t="inlineStr">
        <is>
          <t>Effectif retenu = MIN(effectif construit + étudiants recrutés ; places après décision). Les colonnes Δ mesurent l'écart à l'effectif plaçable, c'est-à-dire ce que votre décision change vraiment.</t>
        </is>
      </c>
    </row>
    <row r="38">
      <c r="B38" s="64" t="inlineStr">
        <is>
          <t>Un groupe qui s'ouvre ou qui se ferme emporte UN paquet d'heures de vacataires — c'est le seul coût qui suit la structure. Les achats et fournitures suivent l'élève.</t>
        </is>
      </c>
    </row>
    <row r="39">
      <c r="B39" s="64" t="inlineStr">
        <is>
          <t>Les étudiants recrutés en plus sont valorisés au CAC marginal du campus, CPL ÷ (rendement × conversion), de 890 € à 2 193 € selon le campus. Le compte 6231 en est exclu pour ne pas compter l'acquisition deux fois.</t>
        </is>
      </c>
    </row>
    <row r="40">
      <c r="B40" s="64" t="inlineStr">
        <is>
          <t>Les permanents et la structure ne sortent de l'EBITDA que dans la proportion saisie en haut à droite. À 0 %, ils restent et se réallouent sur les classes qui survivent.</t>
        </is>
      </c>
    </row>
  </sheetData>
  <conditionalFormatting sqref="I12:I16">
    <cfRule type="cellIs" priority="1" operator="greaterThan" dxfId="0">
      <formula>1</formula>
    </cfRule>
    <cfRule type="cellIs" priority="2" operator="lessThan" dxfId="1">
      <formula>0.7</formula>
    </cfRule>
  </conditionalFormatting>
  <dataValidations count="4">
    <dataValidation sqref="C4" showDropDown="0" showInputMessage="0" showErrorMessage="0" allowBlank="0" type="list">
      <formula1>=Libelles!$C$5:$C$18</formula1>
    </dataValidation>
    <dataValidation sqref="S5:S6" showDropDown="0" showInputMessage="0" showErrorMessage="0" allowBlank="0" errorTitle="Hors bornes" error="Une part entre 0 % et 100 %." type="decimal" operator="between">
      <formula1>0</formula1>
      <formula2>1</formula2>
    </dataValidation>
    <dataValidation sqref="M12:M16" showDropDown="0" showInputMessage="0" showErrorMessage="0" allowBlank="0" errorTitle="Hors bornes" error="Entre −3 et +3 groupes." type="whole" operator="between">
      <formula1>-3</formula1>
      <formula2>3</formula2>
    </dataValidation>
    <dataValidation sqref="N12:N16" showDropDown="0" showInputMessage="0" showErrorMessage="0" allowBlank="0" errorTitle="Hors bornes" error="Un nombre d'étudiants." type="decimal" operator="between">
      <formula1>-200</formula1>
      <formula2>200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7AC3"/>
    <outlinePr summaryBelow="1" summaryRight="1"/>
    <pageSetUpPr/>
  </sheetPr>
  <dimension ref="A1:L3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30" customWidth="1" min="2" max="2"/>
    <col width="12" customWidth="1" min="3" max="3"/>
    <col width="13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5" customWidth="1" min="10" max="10"/>
    <col width="13" customWidth="1" min="11" max="11"/>
    <col hidden="1" width="10" customWidth="1" min="12" max="12"/>
  </cols>
  <sheetData>
    <row r="1" ht="26" customHeight="1">
      <c r="A1" s="1" t="n"/>
      <c r="B1" s="2" t="inlineStr">
        <is>
          <t>LE PIÈGE DU COÛT COMPLET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B2" s="3" t="inlineStr">
        <is>
          <t>Pourquoi une classe qui ne rapporte rien au coût complet coûte cher à fermer</t>
        </is>
      </c>
    </row>
    <row r="4">
      <c r="B4" s="4" t="inlineStr">
        <is>
          <t>Campus</t>
        </is>
      </c>
      <c r="C4" s="65">
        <f>Simulation!$C$4</f>
        <v/>
      </c>
      <c r="L4" s="9">
        <f>IF($L11=0,"",INDEX(Donnees!$C$1:$C$400,$L11))</f>
        <v/>
      </c>
    </row>
    <row r="5">
      <c r="L5" s="9">
        <f>IF($L$7=0,"",IF(INDEX(Donnees!$C$1:$C$400,$L$7)=$L$4,"",INDEX(Donnees!$C$1:$C$400,$L$7)))</f>
        <v/>
      </c>
    </row>
    <row r="6">
      <c r="B6" s="3" t="inlineStr">
        <is>
          <t>L'allocation répartit sur chaque classe la totalité des charges du campus, de la marque et du siège. C'est juste pour mesurer une rentabilité, et faux pour décider d'une fermeture : la classe qui part n'emmène avec elle que ses vacataires et ses consommables.</t>
        </is>
      </c>
      <c r="L6" s="9">
        <f>COUNTIFS(Donnees!$A$4:$A$400,Simulation!$AC$4)</f>
        <v/>
      </c>
    </row>
    <row r="7">
      <c r="B7" s="3" t="inlineStr">
        <is>
          <t>Tout le reste — les enseignants permanents, les murs, la marque, le siège — reste à payer, et se réalloue simplement sur les classes qui survivent. La marge complète de la classe fermée disparaît donc du rapport, mais ses coûts, eux, réapparaissent ailleurs.</t>
        </is>
      </c>
      <c r="L7" s="9">
        <f>IF($L$6=0,0,MATCH(Simulation!$AC$4&amp;"#"&amp;$L$6,Donnees!$AB$1:$AB$400,0))</f>
        <v/>
      </c>
    </row>
    <row r="9">
      <c r="B9" s="37" t="inlineStr">
        <is>
          <t>CE QUE DIT LE COÛT COMPLET, ET CE QUE DIT LA CONTRIBUTION</t>
        </is>
      </c>
      <c r="C9" s="38" t="n"/>
      <c r="D9" s="38" t="n"/>
      <c r="E9" s="38" t="n"/>
      <c r="F9" s="38" t="n"/>
      <c r="G9" s="38" t="n"/>
      <c r="H9" s="38" t="n"/>
      <c r="I9" s="38" t="n"/>
      <c r="J9" s="38" t="n"/>
      <c r="K9" s="38" t="n"/>
    </row>
    <row r="10" ht="30" customHeight="1">
      <c r="B10" s="66" t="inlineStr">
        <is>
          <t>Programme</t>
        </is>
      </c>
      <c r="C10" s="16" t="inlineStr">
        <is>
          <t>Année</t>
        </is>
      </c>
      <c r="D10" s="17" t="inlineStr">
        <is>
          <t>Chiffre d'affaires</t>
        </is>
      </c>
      <c r="E10" s="17" t="inlineStr">
        <is>
          <t>Coûts qui partent
avec la classe</t>
        </is>
      </c>
      <c r="F10" s="17" t="inlineStr">
        <is>
          <t>Contribution</t>
        </is>
      </c>
      <c r="G10" s="17" t="inlineStr">
        <is>
          <t>Coûts qui restent
sur le campus</t>
        </is>
      </c>
      <c r="H10" s="17" t="inlineStr">
        <is>
          <t>Marge complète</t>
        </is>
      </c>
      <c r="I10" s="17" t="inlineStr">
        <is>
          <t>Contribution
÷ marge complète</t>
        </is>
      </c>
      <c r="J10" s="17" t="inlineStr">
        <is>
          <t>Effectif
par groupe</t>
        </is>
      </c>
      <c r="K10" s="17" t="inlineStr">
        <is>
          <t>Point mort
en élèves</t>
        </is>
      </c>
    </row>
    <row r="11">
      <c r="B11" s="18">
        <f>IF($L11=0,"",INDEX(Libelles!$F$1:$F$40,MATCH(INDEX(Donnees!$C$1:$C$400,$L11),Libelles!$E$1:$E$40,0)))</f>
        <v/>
      </c>
      <c r="C11" s="19">
        <f>IF($L11=0,"",INDEX(Libelles!$I$1:$I$40,MATCH(INDEX(Donnees!$D$1:$D$400,$L11),Libelles!$H$1:$H$40,0)))</f>
        <v/>
      </c>
      <c r="D11" s="23">
        <f>IF($L11=0,"",INDEX(Donnees!$K$1:$K$400,$L11))</f>
        <v/>
      </c>
      <c r="E11" s="23">
        <f>IF($L11=0,"",INDEX(Donnees!$L$1:$L$400,$L11)+INDEX(Donnees!$M$1:$M$400,$L11)+INDEX(Donnees!$N$1:$N$400,$L11))</f>
        <v/>
      </c>
      <c r="F11" s="67">
        <f>IF($L11=0,"",$D11-$E11)</f>
        <v/>
      </c>
      <c r="G11" s="23">
        <f>IF($L11=0,"",INDEX(Donnees!$O$1:$O$400,$L11)+INDEX(Donnees!$P$1:$P$400,$L11)+INDEX(Donnees!$Q$1:$Q$400,$L11)+INDEX(Donnees!$R$1:$R$400,$L11))</f>
        <v/>
      </c>
      <c r="H11" s="23">
        <f>IF($L11=0,"",$F11-$G11)</f>
        <v/>
      </c>
      <c r="I11" s="68">
        <f>IF($L11=0,"",IF($H11&lt;=0,"—",$F11/$H11))</f>
        <v/>
      </c>
      <c r="J11" s="21">
        <f>IF($L11=0,"",INDEX(Donnees!$AC$1:$AC$400,$L11))</f>
        <v/>
      </c>
      <c r="K11" s="21">
        <f>IF($L11=0,"",INDEX(Donnees!$AD$1:$AD$400,$L11))</f>
        <v/>
      </c>
      <c r="L11" s="9">
        <f>IF(ISERROR(MATCH(Simulation!$AC$4&amp;"#"&amp;1,Donnees!$AB$1:$AB$400,0)),0,MATCH(Simulation!$AC$4&amp;"#"&amp;1,Donnees!$AB$1:$AB$400,0))</f>
        <v/>
      </c>
    </row>
    <row r="12">
      <c r="B12" s="18">
        <f>IF($L12=0,"",INDEX(Libelles!$F$1:$F$40,MATCH(INDEX(Donnees!$C$1:$C$400,$L12),Libelles!$E$1:$E$40,0)))</f>
        <v/>
      </c>
      <c r="C12" s="19">
        <f>IF($L12=0,"",INDEX(Libelles!$I$1:$I$40,MATCH(INDEX(Donnees!$D$1:$D$400,$L12),Libelles!$H$1:$H$40,0)))</f>
        <v/>
      </c>
      <c r="D12" s="23">
        <f>IF($L12=0,"",INDEX(Donnees!$K$1:$K$400,$L12))</f>
        <v/>
      </c>
      <c r="E12" s="23">
        <f>IF($L12=0,"",INDEX(Donnees!$L$1:$L$400,$L12)+INDEX(Donnees!$M$1:$M$400,$L12)+INDEX(Donnees!$N$1:$N$400,$L12))</f>
        <v/>
      </c>
      <c r="F12" s="67">
        <f>IF($L12=0,"",$D12-$E12)</f>
        <v/>
      </c>
      <c r="G12" s="23">
        <f>IF($L12=0,"",INDEX(Donnees!$O$1:$O$400,$L12)+INDEX(Donnees!$P$1:$P$400,$L12)+INDEX(Donnees!$Q$1:$Q$400,$L12)+INDEX(Donnees!$R$1:$R$400,$L12))</f>
        <v/>
      </c>
      <c r="H12" s="23">
        <f>IF($L12=0,"",$F12-$G12)</f>
        <v/>
      </c>
      <c r="I12" s="68">
        <f>IF($L12=0,"",IF($H12&lt;=0,"—",$F12/$H12))</f>
        <v/>
      </c>
      <c r="J12" s="21">
        <f>IF($L12=0,"",INDEX(Donnees!$AC$1:$AC$400,$L12))</f>
        <v/>
      </c>
      <c r="K12" s="21">
        <f>IF($L12=0,"",INDEX(Donnees!$AD$1:$AD$400,$L12))</f>
        <v/>
      </c>
      <c r="L12" s="9">
        <f>IF(ISERROR(MATCH(Simulation!$AC$4&amp;"#"&amp;2,Donnees!$AB$1:$AB$400,0)),0,MATCH(Simulation!$AC$4&amp;"#"&amp;2,Donnees!$AB$1:$AB$400,0))</f>
        <v/>
      </c>
    </row>
    <row r="13">
      <c r="B13" s="18">
        <f>IF($L13=0,"",INDEX(Libelles!$F$1:$F$40,MATCH(INDEX(Donnees!$C$1:$C$400,$L13),Libelles!$E$1:$E$40,0)))</f>
        <v/>
      </c>
      <c r="C13" s="19">
        <f>IF($L13=0,"",INDEX(Libelles!$I$1:$I$40,MATCH(INDEX(Donnees!$D$1:$D$400,$L13),Libelles!$H$1:$H$40,0)))</f>
        <v/>
      </c>
      <c r="D13" s="23">
        <f>IF($L13=0,"",INDEX(Donnees!$K$1:$K$400,$L13))</f>
        <v/>
      </c>
      <c r="E13" s="23">
        <f>IF($L13=0,"",INDEX(Donnees!$L$1:$L$400,$L13)+INDEX(Donnees!$M$1:$M$400,$L13)+INDEX(Donnees!$N$1:$N$400,$L13))</f>
        <v/>
      </c>
      <c r="F13" s="67">
        <f>IF($L13=0,"",$D13-$E13)</f>
        <v/>
      </c>
      <c r="G13" s="23">
        <f>IF($L13=0,"",INDEX(Donnees!$O$1:$O$400,$L13)+INDEX(Donnees!$P$1:$P$400,$L13)+INDEX(Donnees!$Q$1:$Q$400,$L13)+INDEX(Donnees!$R$1:$R$400,$L13))</f>
        <v/>
      </c>
      <c r="H13" s="23">
        <f>IF($L13=0,"",$F13-$G13)</f>
        <v/>
      </c>
      <c r="I13" s="68">
        <f>IF($L13=0,"",IF($H13&lt;=0,"—",$F13/$H13))</f>
        <v/>
      </c>
      <c r="J13" s="21">
        <f>IF($L13=0,"",INDEX(Donnees!$AC$1:$AC$400,$L13))</f>
        <v/>
      </c>
      <c r="K13" s="21">
        <f>IF($L13=0,"",INDEX(Donnees!$AD$1:$AD$400,$L13))</f>
        <v/>
      </c>
      <c r="L13" s="9">
        <f>IF(ISERROR(MATCH(Simulation!$AC$4&amp;"#"&amp;3,Donnees!$AB$1:$AB$400,0)),0,MATCH(Simulation!$AC$4&amp;"#"&amp;3,Donnees!$AB$1:$AB$400,0))</f>
        <v/>
      </c>
    </row>
    <row r="14">
      <c r="B14" s="18">
        <f>IF($L14=0,"",INDEX(Libelles!$F$1:$F$40,MATCH(INDEX(Donnees!$C$1:$C$400,$L14),Libelles!$E$1:$E$40,0)))</f>
        <v/>
      </c>
      <c r="C14" s="19">
        <f>IF($L14=0,"",INDEX(Libelles!$I$1:$I$40,MATCH(INDEX(Donnees!$D$1:$D$400,$L14),Libelles!$H$1:$H$40,0)))</f>
        <v/>
      </c>
      <c r="D14" s="23">
        <f>IF($L14=0,"",INDEX(Donnees!$K$1:$K$400,$L14))</f>
        <v/>
      </c>
      <c r="E14" s="23">
        <f>IF($L14=0,"",INDEX(Donnees!$L$1:$L$400,$L14)+INDEX(Donnees!$M$1:$M$400,$L14)+INDEX(Donnees!$N$1:$N$400,$L14))</f>
        <v/>
      </c>
      <c r="F14" s="67">
        <f>IF($L14=0,"",$D14-$E14)</f>
        <v/>
      </c>
      <c r="G14" s="23">
        <f>IF($L14=0,"",INDEX(Donnees!$O$1:$O$400,$L14)+INDEX(Donnees!$P$1:$P$400,$L14)+INDEX(Donnees!$Q$1:$Q$400,$L14)+INDEX(Donnees!$R$1:$R$400,$L14))</f>
        <v/>
      </c>
      <c r="H14" s="23">
        <f>IF($L14=0,"",$F14-$G14)</f>
        <v/>
      </c>
      <c r="I14" s="68">
        <f>IF($L14=0,"",IF($H14&lt;=0,"—",$F14/$H14))</f>
        <v/>
      </c>
      <c r="J14" s="21">
        <f>IF($L14=0,"",INDEX(Donnees!$AC$1:$AC$400,$L14))</f>
        <v/>
      </c>
      <c r="K14" s="21">
        <f>IF($L14=0,"",INDEX(Donnees!$AD$1:$AD$400,$L14))</f>
        <v/>
      </c>
      <c r="L14" s="9">
        <f>IF(ISERROR(MATCH(Simulation!$AC$4&amp;"#"&amp;4,Donnees!$AB$1:$AB$400,0)),0,MATCH(Simulation!$AC$4&amp;"#"&amp;4,Donnees!$AB$1:$AB$400,0))</f>
        <v/>
      </c>
    </row>
    <row r="15">
      <c r="B15" s="18">
        <f>IF($L15=0,"",INDEX(Libelles!$F$1:$F$40,MATCH(INDEX(Donnees!$C$1:$C$400,$L15),Libelles!$E$1:$E$40,0)))</f>
        <v/>
      </c>
      <c r="C15" s="19">
        <f>IF($L15=0,"",INDEX(Libelles!$I$1:$I$40,MATCH(INDEX(Donnees!$D$1:$D$400,$L15),Libelles!$H$1:$H$40,0)))</f>
        <v/>
      </c>
      <c r="D15" s="23">
        <f>IF($L15=0,"",INDEX(Donnees!$K$1:$K$400,$L15))</f>
        <v/>
      </c>
      <c r="E15" s="23">
        <f>IF($L15=0,"",INDEX(Donnees!$L$1:$L$400,$L15)+INDEX(Donnees!$M$1:$M$400,$L15)+INDEX(Donnees!$N$1:$N$400,$L15))</f>
        <v/>
      </c>
      <c r="F15" s="67">
        <f>IF($L15=0,"",$D15-$E15)</f>
        <v/>
      </c>
      <c r="G15" s="23">
        <f>IF($L15=0,"",INDEX(Donnees!$O$1:$O$400,$L15)+INDEX(Donnees!$P$1:$P$400,$L15)+INDEX(Donnees!$Q$1:$Q$400,$L15)+INDEX(Donnees!$R$1:$R$400,$L15))</f>
        <v/>
      </c>
      <c r="H15" s="23">
        <f>IF($L15=0,"",$F15-$G15)</f>
        <v/>
      </c>
      <c r="I15" s="68">
        <f>IF($L15=0,"",IF($H15&lt;=0,"—",$F15/$H15))</f>
        <v/>
      </c>
      <c r="J15" s="21">
        <f>IF($L15=0,"",INDEX(Donnees!$AC$1:$AC$400,$L15))</f>
        <v/>
      </c>
      <c r="K15" s="21">
        <f>IF($L15=0,"",INDEX(Donnees!$AD$1:$AD$400,$L15))</f>
        <v/>
      </c>
      <c r="L15" s="9">
        <f>IF(ISERROR(MATCH(Simulation!$AC$4&amp;"#"&amp;5,Donnees!$AB$1:$AB$400,0)),0,MATCH(Simulation!$AC$4&amp;"#"&amp;5,Donnees!$AB$1:$AB$400,0))</f>
        <v/>
      </c>
    </row>
    <row r="16">
      <c r="B16" s="29" t="inlineStr">
        <is>
          <t>Total du campus</t>
        </is>
      </c>
      <c r="C16" s="30" t="n"/>
      <c r="D16" s="34">
        <f>SUM(D11:D15)</f>
        <v/>
      </c>
      <c r="E16" s="34">
        <f>SUM(E11:E15)</f>
        <v/>
      </c>
      <c r="F16" s="34">
        <f>SUM(F11:F15)</f>
        <v/>
      </c>
      <c r="G16" s="34">
        <f>SUM(G11:G15)</f>
        <v/>
      </c>
      <c r="H16" s="34">
        <f>SUM(H11:H15)</f>
        <v/>
      </c>
      <c r="I16" s="69">
        <f>IF($H16&lt;=0,"—",$F16/$H16)</f>
        <v/>
      </c>
      <c r="J16" s="30" t="n"/>
      <c r="K16" s="30" t="n"/>
    </row>
    <row r="18">
      <c r="B18" s="37" t="inlineStr">
        <is>
          <t>ET SI ON FERMAIT UNE FILIÈRE ENTIÈRE ?</t>
        </is>
      </c>
      <c r="C18" s="38" t="n"/>
      <c r="D18" s="38" t="n"/>
      <c r="E18" s="38" t="n"/>
      <c r="F18" s="38" t="n"/>
      <c r="G18" s="38" t="n"/>
      <c r="H18" s="38" t="n"/>
      <c r="I18" s="38" t="n"/>
      <c r="J18" s="38" t="n"/>
    </row>
    <row r="19">
      <c r="F19" s="70">
        <f>IF($L$4="","—",INDEX(Libelles!$F$1:$F$40,MATCH($L$4,Libelles!$E$1:$E$40,0)))</f>
        <v/>
      </c>
      <c r="G19" s="38" t="n"/>
      <c r="I19" s="70">
        <f>IF($L$5="","—",INDEX(Libelles!$F$1:$F$40,MATCH($L$5,Libelles!$E$1:$E$40,0)))</f>
        <v/>
      </c>
      <c r="J19" s="38" t="n"/>
    </row>
    <row r="20">
      <c r="B20" s="39" t="inlineStr">
        <is>
          <t>Poste</t>
        </is>
      </c>
      <c r="C20" s="40" t="n"/>
      <c r="D20" s="40" t="n"/>
      <c r="E20" s="40" t="n"/>
      <c r="F20" s="41" t="inlineStr">
        <is>
          <t>Montant 2027</t>
        </is>
      </c>
      <c r="G20" s="41" t="inlineStr">
        <is>
          <t>Effet si on ferme</t>
        </is>
      </c>
      <c r="H20" s="40" t="n"/>
      <c r="I20" s="41" t="inlineStr">
        <is>
          <t>Montant 2027</t>
        </is>
      </c>
      <c r="J20" s="41" t="inlineStr">
        <is>
          <t>Effet si on ferme</t>
        </is>
      </c>
    </row>
    <row r="21">
      <c r="B21" s="18" t="inlineStr">
        <is>
          <t>Chiffre d'affaires</t>
        </is>
      </c>
      <c r="C21" s="42" t="n"/>
      <c r="D21" s="42" t="n"/>
      <c r="E21" s="42" t="n"/>
      <c r="F21" s="23">
        <f>IF($L$4="","",SUMIFS(Donnees!$K$4:$K$400,Donnees!$A$4:$A$400,Simulation!$AC$4,Donnees!$C$4:$C$400,$L$4))</f>
        <v/>
      </c>
      <c r="G21" s="27">
        <f>IF($L$4="","",-SUMIFS(Donnees!$K$4:$K$400,Donnees!$A$4:$A$400,Simulation!$AC$4,Donnees!$C$4:$C$400,$L$4))</f>
        <v/>
      </c>
      <c r="H21" s="42" t="n"/>
      <c r="I21" s="23">
        <f>IF($L$5="","",SUMIFS(Donnees!$K$4:$K$400,Donnees!$A$4:$A$400,Simulation!$AC$4,Donnees!$C$4:$C$400,$L$5))</f>
        <v/>
      </c>
      <c r="J21" s="27">
        <f>IF($L$5="","",-SUMIFS(Donnees!$K$4:$K$400,Donnees!$A$4:$A$400,Simulation!$AC$4,Donnees!$C$4:$C$400,$L$5))</f>
        <v/>
      </c>
    </row>
    <row r="22">
      <c r="B22" s="18" t="inlineStr">
        <is>
          <t>Vacataires (621)</t>
        </is>
      </c>
      <c r="C22" s="42" t="n"/>
      <c r="D22" s="42" t="n"/>
      <c r="E22" s="42" t="n"/>
      <c r="F22" s="23">
        <f>IF($L$4="","",SUMIFS(Donnees!$L$4:$L$400,Donnees!$A$4:$A$400,Simulation!$AC$4,Donnees!$C$4:$C$400,$L$4))</f>
        <v/>
      </c>
      <c r="G22" s="27">
        <f>IF($L$4="","",SUMIFS(Donnees!$L$4:$L$400,Donnees!$A$4:$A$400,Simulation!$AC$4,Donnees!$C$4:$C$400,$L$4))</f>
        <v/>
      </c>
      <c r="H22" s="42" t="n"/>
      <c r="I22" s="23">
        <f>IF($L$5="","",SUMIFS(Donnees!$L$4:$L$400,Donnees!$A$4:$A$400,Simulation!$AC$4,Donnees!$C$4:$C$400,$L$5))</f>
        <v/>
      </c>
      <c r="J22" s="27">
        <f>IF($L$5="","",SUMIFS(Donnees!$L$4:$L$400,Donnees!$A$4:$A$400,Simulation!$AC$4,Donnees!$C$4:$C$400,$L$5))</f>
        <v/>
      </c>
    </row>
    <row r="23">
      <c r="B23" s="18" t="inlineStr">
        <is>
          <t>Achats d'études et fournitures (604 · 6063)</t>
        </is>
      </c>
      <c r="C23" s="42" t="n"/>
      <c r="D23" s="42" t="n"/>
      <c r="E23" s="42" t="n"/>
      <c r="F23" s="23">
        <f>IF($L$4="","",SUMIFS(Donnees!$M$4:$M$400,Donnees!$A$4:$A$400,Simulation!$AC$4,Donnees!$C$4:$C$400,$L$4))</f>
        <v/>
      </c>
      <c r="G23" s="27">
        <f>IF($L$4="","",SUMIFS(Donnees!$M$4:$M$400,Donnees!$A$4:$A$400,Simulation!$AC$4,Donnees!$C$4:$C$400,$L$4))</f>
        <v/>
      </c>
      <c r="H23" s="42" t="n"/>
      <c r="I23" s="23">
        <f>IF($L$5="","",SUMIFS(Donnees!$M$4:$M$400,Donnees!$A$4:$A$400,Simulation!$AC$4,Donnees!$C$4:$C$400,$L$5))</f>
        <v/>
      </c>
      <c r="J23" s="27">
        <f>IF($L$5="","",SUMIFS(Donnees!$M$4:$M$400,Donnees!$A$4:$A$400,Simulation!$AC$4,Donnees!$C$4:$C$400,$L$5))</f>
        <v/>
      </c>
    </row>
    <row r="24">
      <c r="B24" s="18" t="inlineStr">
        <is>
          <t>Recrutement (6231)</t>
        </is>
      </c>
      <c r="C24" s="42" t="n"/>
      <c r="D24" s="42" t="n"/>
      <c r="E24" s="42" t="n"/>
      <c r="F24" s="23">
        <f>IF($L$4="","",SUMIFS(Donnees!$N$4:$N$400,Donnees!$A$4:$A$400,Simulation!$AC$4,Donnees!$C$4:$C$400,$L$4))</f>
        <v/>
      </c>
      <c r="G24" s="27">
        <f>IF($L$4="","",SUMIFS(Donnees!$N$4:$N$400,Donnees!$A$4:$A$400,Simulation!$AC$4,Donnees!$C$4:$C$400,$L$4))</f>
        <v/>
      </c>
      <c r="H24" s="42" t="n"/>
      <c r="I24" s="23">
        <f>IF($L$5="","",SUMIFS(Donnees!$N$4:$N$400,Donnees!$A$4:$A$400,Simulation!$AC$4,Donnees!$C$4:$C$400,$L$5))</f>
        <v/>
      </c>
      <c r="J24" s="27">
        <f>IF($L$5="","",SUMIFS(Donnees!$N$4:$N$400,Donnees!$A$4:$A$400,Simulation!$AC$4,Donnees!$C$4:$C$400,$L$5))</f>
        <v/>
      </c>
    </row>
    <row r="25">
      <c r="B25" s="71" t="inlineStr">
        <is>
          <t>Enseignants permanents (6411) — restent</t>
        </is>
      </c>
      <c r="C25" s="42" t="n"/>
      <c r="D25" s="42" t="n"/>
      <c r="E25" s="42" t="n"/>
      <c r="F25" s="23">
        <f>IF($L$4="","",SUMIFS(Donnees!$O$4:$O$400,Donnees!$A$4:$A$400,Simulation!$AC$4,Donnees!$C$4:$C$400,$L$4))</f>
        <v/>
      </c>
      <c r="G25" s="72">
        <f>IF($L$4="","",0)</f>
        <v/>
      </c>
      <c r="H25" s="42" t="n"/>
      <c r="I25" s="23">
        <f>IF($L$5="","",SUMIFS(Donnees!$O$4:$O$400,Donnees!$A$4:$A$400,Simulation!$AC$4,Donnees!$C$4:$C$400,$L$5))</f>
        <v/>
      </c>
      <c r="J25" s="72">
        <f>IF($L$5="","",0)</f>
        <v/>
      </c>
    </row>
    <row r="26">
      <c r="B26" s="71" t="inlineStr">
        <is>
          <t>Structure du campus (613 · 615 · 616 · 625 · 645 · 6413 · 63511) — reste</t>
        </is>
      </c>
      <c r="C26" s="42" t="n"/>
      <c r="D26" s="42" t="n"/>
      <c r="E26" s="42" t="n"/>
      <c r="F26" s="23">
        <f>IF($L$4="","",SUMIFS(Donnees!$P$4:$P$400,Donnees!$A$4:$A$400,Simulation!$AC$4,Donnees!$C$4:$C$400,$L$4))</f>
        <v/>
      </c>
      <c r="G26" s="72">
        <f>IF($L$4="","",0)</f>
        <v/>
      </c>
      <c r="H26" s="42" t="n"/>
      <c r="I26" s="23">
        <f>IF($L$5="","",SUMIFS(Donnees!$P$4:$P$400,Donnees!$A$4:$A$400,Simulation!$AC$4,Donnees!$C$4:$C$400,$L$5))</f>
        <v/>
      </c>
      <c r="J26" s="72">
        <f>IF($L$5="","",0)</f>
        <v/>
      </c>
    </row>
    <row r="27">
      <c r="B27" s="71" t="inlineStr">
        <is>
          <t>Frais de marque et siège (6236 · holding) — restent</t>
        </is>
      </c>
      <c r="C27" s="42" t="n"/>
      <c r="D27" s="42" t="n"/>
      <c r="E27" s="42" t="n"/>
      <c r="F27" s="23">
        <f>IF($L$4="","",SUMIFS(Donnees!$Q$4:$Q$400,Donnees!$A$4:$A$400,Simulation!$AC$4,Donnees!$C$4:$C$400,$L$4)+SUMIFS(Donnees!$R$4:$R$400,Donnees!$A$4:$A$400,Simulation!$AC$4,Donnees!$C$4:$C$400,$L$4))</f>
        <v/>
      </c>
      <c r="G27" s="72">
        <f>IF($L$4="","",0)</f>
        <v/>
      </c>
      <c r="H27" s="42" t="n"/>
      <c r="I27" s="23">
        <f>IF($L$5="","",SUMIFS(Donnees!$Q$4:$Q$400,Donnees!$A$4:$A$400,Simulation!$AC$4,Donnees!$C$4:$C$400,$L$5)+SUMIFS(Donnees!$R$4:$R$400,Donnees!$A$4:$A$400,Simulation!$AC$4,Donnees!$C$4:$C$400,$L$5))</f>
        <v/>
      </c>
      <c r="J27" s="72">
        <f>IF($L$5="","",0)</f>
        <v/>
      </c>
    </row>
    <row r="28">
      <c r="B28" s="73" t="inlineStr">
        <is>
          <t>Marge complète affichée par le rapport</t>
        </is>
      </c>
      <c r="C28" s="54" t="n"/>
      <c r="D28" s="54" t="n"/>
      <c r="E28" s="54" t="n"/>
      <c r="F28" s="74">
        <f>F21-SUM(F22:F27)</f>
        <v/>
      </c>
      <c r="G28" s="54" t="n"/>
      <c r="H28" s="54" t="n"/>
      <c r="I28" s="74">
        <f>I21-SUM(I22:I27)</f>
        <v/>
      </c>
      <c r="J28" s="54" t="n"/>
    </row>
    <row r="29">
      <c r="B29" s="18" t="inlineStr">
        <is>
          <t>la fermeture semble donc rapporter cela en moins</t>
        </is>
      </c>
      <c r="C29" s="42" t="n"/>
      <c r="D29" s="42" t="n"/>
      <c r="E29" s="42" t="n"/>
      <c r="F29" s="42" t="n"/>
      <c r="G29" s="27">
        <f>-F28</f>
        <v/>
      </c>
      <c r="H29" s="42" t="n"/>
      <c r="I29" s="42" t="n"/>
      <c r="J29" s="27">
        <f>-I28</f>
        <v/>
      </c>
    </row>
    <row r="30">
      <c r="B30" s="45" t="inlineStr">
        <is>
          <t>EFFET RÉEL SUR L'EBITDA DU CAMPUS</t>
        </is>
      </c>
      <c r="C30" s="30" t="n"/>
      <c r="D30" s="30" t="n"/>
      <c r="E30" s="30" t="n"/>
      <c r="F30" s="30" t="n"/>
      <c r="G30" s="46">
        <f>SUM(G21:G27)</f>
        <v/>
      </c>
      <c r="H30" s="30" t="n"/>
      <c r="I30" s="30" t="n"/>
      <c r="J30" s="46">
        <f>SUM(J21:J27)</f>
        <v/>
      </c>
    </row>
    <row r="31">
      <c r="B31" s="75" t="inlineStr">
        <is>
          <t>écart : les coûts qui restent et se réallouent sur les classes survivantes</t>
        </is>
      </c>
      <c r="G31" s="76">
        <f>G30-G29</f>
        <v/>
      </c>
      <c r="J31" s="76">
        <f>J30-J29</f>
        <v/>
      </c>
    </row>
    <row r="33">
      <c r="B33" s="3" t="inlineStr">
        <is>
          <t>Le rapport au coût complet annonce une marge quasi nulle sur ces filières. La fermer ne fait pourtant pas gagner cette marge : elle fait perdre sa contribution, parce que les permanents, les murs, la marque et le siège restent — et se réallouent sur les classes qui restent.</t>
        </is>
      </c>
    </row>
  </sheetData>
  <conditionalFormatting sqref="K11:K15">
    <cfRule type="expression" priority="1" dxfId="0">
      <formula>AND($K11&lt;&gt;"",$K11&gt;$J11)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AC3"/>
    <outlinePr summaryBelow="1" summaryRight="1"/>
    <pageSetUpPr/>
  </sheetPr>
  <dimension ref="A1:AD6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</cols>
  <sheetData>
    <row r="1">
      <c r="A1" s="77" t="inlineStr">
        <is>
          <t>Q_SIMULATION_CLASSES · scénario 2027BUD_V1 · version V01</t>
        </is>
      </c>
    </row>
    <row r="3" ht="30" customHeight="1">
      <c r="A3" s="78" t="inlineStr">
        <is>
          <t>CAMPUS</t>
        </is>
      </c>
      <c r="B3" s="78" t="inlineStr">
        <is>
          <t>MARQUE</t>
        </is>
      </c>
      <c r="C3" s="78" t="inlineStr">
        <is>
          <t>PROGRAMME</t>
        </is>
      </c>
      <c r="D3" s="78" t="inlineStr">
        <is>
          <t>ANNEE</t>
        </is>
      </c>
      <c r="E3" s="78" t="inlineStr">
        <is>
          <t>MODALITE</t>
        </is>
      </c>
      <c r="F3" s="78" t="inlineStr">
        <is>
          <t>ENTREE</t>
        </is>
      </c>
      <c r="G3" s="78" t="inlineStr">
        <is>
          <t>GROUPES</t>
        </is>
      </c>
      <c r="H3" s="78" t="inlineStr">
        <is>
          <t>CAPACITE</t>
        </is>
      </c>
      <c r="I3" s="78" t="inlineStr">
        <is>
          <t>PLACES</t>
        </is>
      </c>
      <c r="J3" s="78" t="inlineStr">
        <is>
          <t>EFFECTIF</t>
        </is>
      </c>
      <c r="K3" s="78" t="inlineStr">
        <is>
          <t>CA</t>
        </is>
      </c>
      <c r="L3" s="78" t="inlineStr">
        <is>
          <t>VACATAIRES</t>
        </is>
      </c>
      <c r="M3" s="78" t="inlineStr">
        <is>
          <t>CONSOMMABLES</t>
        </is>
      </c>
      <c r="N3" s="78" t="inlineStr">
        <is>
          <t>RECRUTEMENT</t>
        </is>
      </c>
      <c r="O3" s="78" t="inlineStr">
        <is>
          <t>PERMANENTS</t>
        </is>
      </c>
      <c r="P3" s="78" t="inlineStr">
        <is>
          <t>STRUCTURE</t>
        </is>
      </c>
      <c r="Q3" s="78" t="inlineStr">
        <is>
          <t>FRAIS DE MARQUE</t>
        </is>
      </c>
      <c r="R3" s="78" t="inlineStr">
        <is>
          <t>SIEGE</t>
        </is>
      </c>
      <c r="S3" s="78" t="inlineStr">
        <is>
          <t>COUT DU PROCHAIN INSCRIT</t>
        </is>
      </c>
      <c r="T3" s="78" t="inlineStr">
        <is>
          <t>COUT COMPLET</t>
        </is>
      </c>
      <c r="U3" s="78" t="inlineStr">
        <is>
          <t>MARGE COMPLETE</t>
        </is>
      </c>
      <c r="V3" s="79" t="inlineStr">
        <is>
          <t>CONTRIBUTION</t>
        </is>
      </c>
      <c r="W3" s="79" t="inlineStr">
        <is>
          <t>VACATAIRES PAR GROUPE</t>
        </is>
      </c>
      <c r="X3" s="79" t="inlineStr">
        <is>
          <t>PERMANENTS PAR GROUPE</t>
        </is>
      </c>
      <c r="Y3" s="79" t="inlineStr">
        <is>
          <t>CONSOMMABLES PAR ELEVE</t>
        </is>
      </c>
      <c r="Z3" s="79" t="inlineStr">
        <is>
          <t>REMPLISSAGE</t>
        </is>
      </c>
      <c r="AA3" s="79" t="inlineStr">
        <is>
          <t>RANG</t>
        </is>
      </c>
      <c r="AB3" s="79" t="inlineStr">
        <is>
          <t>CLE</t>
        </is>
      </c>
      <c r="AC3" s="79" t="inlineStr">
        <is>
          <t>EFFECTIF PAR GROUPE</t>
        </is>
      </c>
      <c r="AD3" s="79" t="inlineStr">
        <is>
          <t>POINT MORT</t>
        </is>
      </c>
    </row>
    <row r="4">
      <c r="A4" s="80" t="inlineStr">
        <is>
          <t>IPAC_MTP</t>
        </is>
      </c>
      <c r="B4" s="80" t="inlineStr">
        <is>
          <t>IPAC</t>
        </is>
      </c>
      <c r="C4" s="80" t="inlineStr">
        <is>
          <t>BAC_CCE</t>
        </is>
      </c>
      <c r="D4" s="80" t="inlineStr">
        <is>
          <t>B1</t>
        </is>
      </c>
      <c r="E4" s="80" t="inlineStr">
        <is>
          <t>ALT</t>
        </is>
      </c>
      <c r="F4" s="80" t="n">
        <v>1</v>
      </c>
      <c r="G4" s="81" t="n">
        <v>2</v>
      </c>
      <c r="H4" s="81" t="n">
        <v>32</v>
      </c>
      <c r="I4" s="81" t="n">
        <v>64</v>
      </c>
      <c r="J4" s="82" t="n">
        <v>44.7376</v>
      </c>
      <c r="K4" s="83" t="n">
        <v>302351.04</v>
      </c>
      <c r="L4" s="83" t="n">
        <v>24861.44</v>
      </c>
      <c r="M4" s="83" t="n">
        <v>16419.5287</v>
      </c>
      <c r="N4" s="83" t="n">
        <v>16392.2413</v>
      </c>
      <c r="O4" s="83" t="n">
        <v>48356.4</v>
      </c>
      <c r="P4" s="83" t="n">
        <v>94933.72</v>
      </c>
      <c r="Q4" s="83" t="n">
        <v>8544.09</v>
      </c>
      <c r="R4" s="83" t="n">
        <v>40834.86</v>
      </c>
      <c r="S4" s="83" t="n">
        <v>1033.98</v>
      </c>
      <c r="T4" s="83">
        <f>SUM(L4:R4)</f>
        <v/>
      </c>
      <c r="U4" s="83">
        <f>K4-T4</f>
        <v/>
      </c>
      <c r="V4" s="83">
        <f>K4-(L4+M4+N4)</f>
        <v/>
      </c>
      <c r="W4" s="83">
        <f>L4/G4</f>
        <v/>
      </c>
      <c r="X4" s="83">
        <f>O4/G4</f>
        <v/>
      </c>
      <c r="Y4" s="83">
        <f>M4/J4</f>
        <v/>
      </c>
      <c r="Z4" s="84">
        <f>J4/I4</f>
        <v/>
      </c>
      <c r="AA4" s="81">
        <f>COUNTIFS($A$4:$A4,$A4)</f>
        <v/>
      </c>
      <c r="AB4" s="80">
        <f>$A4&amp;"#"&amp;$AA4</f>
        <v/>
      </c>
      <c r="AC4" s="82">
        <f>J4/G4</f>
        <v/>
      </c>
      <c r="AD4" s="82">
        <f>(T4/G4)/(V4/J4)</f>
        <v/>
      </c>
    </row>
    <row r="5">
      <c r="A5" s="80" t="inlineStr">
        <is>
          <t>IPAC_MTP</t>
        </is>
      </c>
      <c r="B5" s="80" t="inlineStr">
        <is>
          <t>IPAC</t>
        </is>
      </c>
      <c r="C5" s="80" t="inlineStr">
        <is>
          <t>BAC_CCE</t>
        </is>
      </c>
      <c r="D5" s="80" t="inlineStr">
        <is>
          <t>B2</t>
        </is>
      </c>
      <c r="E5" s="80" t="inlineStr">
        <is>
          <t>ALT</t>
        </is>
      </c>
      <c r="F5" s="80" t="n">
        <v>0</v>
      </c>
      <c r="G5" s="81" t="n">
        <v>2</v>
      </c>
      <c r="H5" s="81" t="n">
        <v>32</v>
      </c>
      <c r="I5" s="81" t="n">
        <v>64</v>
      </c>
      <c r="J5" s="82" t="n">
        <v>39.2</v>
      </c>
      <c r="K5" s="83" t="n">
        <v>261398.17</v>
      </c>
      <c r="L5" s="83" t="n">
        <v>24861.44</v>
      </c>
      <c r="M5" s="83" t="n">
        <v>14387.1268</v>
      </c>
      <c r="N5" s="83" t="n">
        <v>0</v>
      </c>
      <c r="O5" s="83" t="n">
        <v>48356.4</v>
      </c>
      <c r="P5" s="83" t="n">
        <v>94933.72</v>
      </c>
      <c r="Q5" s="83" t="n">
        <v>8544.09</v>
      </c>
      <c r="R5" s="83" t="n">
        <v>40834.86</v>
      </c>
      <c r="S5" s="83" t="n">
        <v>1033.98</v>
      </c>
      <c r="T5" s="83">
        <f>SUM(L5:R5)</f>
        <v/>
      </c>
      <c r="U5" s="83">
        <f>K5-T5</f>
        <v/>
      </c>
      <c r="V5" s="83">
        <f>K5-(L5+M5+N5)</f>
        <v/>
      </c>
      <c r="W5" s="83">
        <f>L5/G5</f>
        <v/>
      </c>
      <c r="X5" s="83">
        <f>O5/G5</f>
        <v/>
      </c>
      <c r="Y5" s="83">
        <f>M5/J5</f>
        <v/>
      </c>
      <c r="Z5" s="84">
        <f>J5/I5</f>
        <v/>
      </c>
      <c r="AA5" s="81">
        <f>COUNTIFS($A$4:$A5,$A5)</f>
        <v/>
      </c>
      <c r="AB5" s="80">
        <f>$A5&amp;"#"&amp;$AA5</f>
        <v/>
      </c>
      <c r="AC5" s="82">
        <f>J5/G5</f>
        <v/>
      </c>
      <c r="AD5" s="82">
        <f>(T5/G5)/(V5/J5)</f>
        <v/>
      </c>
    </row>
    <row r="6">
      <c r="A6" s="80" t="inlineStr">
        <is>
          <t>IPAC_MTP</t>
        </is>
      </c>
      <c r="B6" s="80" t="inlineStr">
        <is>
          <t>IPAC</t>
        </is>
      </c>
      <c r="C6" s="80" t="inlineStr">
        <is>
          <t>BAC_CCE</t>
        </is>
      </c>
      <c r="D6" s="80" t="inlineStr">
        <is>
          <t>B3</t>
        </is>
      </c>
      <c r="E6" s="80" t="inlineStr">
        <is>
          <t>ALT</t>
        </is>
      </c>
      <c r="F6" s="80" t="n">
        <v>0</v>
      </c>
      <c r="G6" s="81" t="n">
        <v>2</v>
      </c>
      <c r="H6" s="81" t="n">
        <v>32</v>
      </c>
      <c r="I6" s="81" t="n">
        <v>64</v>
      </c>
      <c r="J6" s="82" t="n">
        <v>38.195</v>
      </c>
      <c r="K6" s="83" t="n">
        <v>254696.51</v>
      </c>
      <c r="L6" s="83" t="n">
        <v>24861.44</v>
      </c>
      <c r="M6" s="83" t="n">
        <v>14018.2732</v>
      </c>
      <c r="N6" s="83" t="n">
        <v>0</v>
      </c>
      <c r="O6" s="83" t="n">
        <v>48356.4</v>
      </c>
      <c r="P6" s="83" t="n">
        <v>94933.72</v>
      </c>
      <c r="Q6" s="83" t="n">
        <v>8544.09</v>
      </c>
      <c r="R6" s="83" t="n">
        <v>40834.86</v>
      </c>
      <c r="S6" s="83" t="n">
        <v>1033.98</v>
      </c>
      <c r="T6" s="83">
        <f>SUM(L6:R6)</f>
        <v/>
      </c>
      <c r="U6" s="83">
        <f>K6-T6</f>
        <v/>
      </c>
      <c r="V6" s="83">
        <f>K6-(L6+M6+N6)</f>
        <v/>
      </c>
      <c r="W6" s="83">
        <f>L6/G6</f>
        <v/>
      </c>
      <c r="X6" s="83">
        <f>O6/G6</f>
        <v/>
      </c>
      <c r="Y6" s="83">
        <f>M6/J6</f>
        <v/>
      </c>
      <c r="Z6" s="84">
        <f>J6/I6</f>
        <v/>
      </c>
      <c r="AA6" s="81">
        <f>COUNTIFS($A$4:$A6,$A6)</f>
        <v/>
      </c>
      <c r="AB6" s="80">
        <f>$A6&amp;"#"&amp;$AA6</f>
        <v/>
      </c>
      <c r="AC6" s="82">
        <f>J6/G6</f>
        <v/>
      </c>
      <c r="AD6" s="82">
        <f>(T6/G6)/(V6/J6)</f>
        <v/>
      </c>
    </row>
    <row r="7">
      <c r="A7" s="80" t="inlineStr">
        <is>
          <t>IPAC_NAN</t>
        </is>
      </c>
      <c r="B7" s="80" t="inlineStr">
        <is>
          <t>IPAC</t>
        </is>
      </c>
      <c r="C7" s="80" t="inlineStr">
        <is>
          <t>BAC_CCE</t>
        </is>
      </c>
      <c r="D7" s="80" t="inlineStr">
        <is>
          <t>B1</t>
        </is>
      </c>
      <c r="E7" s="80" t="inlineStr">
        <is>
          <t>ALT</t>
        </is>
      </c>
      <c r="F7" s="80" t="n">
        <v>1</v>
      </c>
      <c r="G7" s="81" t="n">
        <v>2</v>
      </c>
      <c r="H7" s="81" t="n">
        <v>32</v>
      </c>
      <c r="I7" s="81" t="n">
        <v>64</v>
      </c>
      <c r="J7" s="82" t="n">
        <v>55.8325</v>
      </c>
      <c r="K7" s="83" t="n">
        <v>396929.38</v>
      </c>
      <c r="L7" s="83" t="n">
        <v>24861.44</v>
      </c>
      <c r="M7" s="83" t="n">
        <v>20496.9007</v>
      </c>
      <c r="N7" s="83" t="n">
        <v>23500.8093</v>
      </c>
      <c r="O7" s="83" t="n">
        <v>59760.93</v>
      </c>
      <c r="P7" s="83" t="n">
        <v>135129.56</v>
      </c>
      <c r="Q7" s="83" t="n">
        <v>10586.14</v>
      </c>
      <c r="R7" s="83" t="n">
        <v>50594.47</v>
      </c>
      <c r="S7" s="83" t="n">
        <v>1216.28</v>
      </c>
      <c r="T7" s="83">
        <f>SUM(L7:R7)</f>
        <v/>
      </c>
      <c r="U7" s="83">
        <f>K7-T7</f>
        <v/>
      </c>
      <c r="V7" s="83">
        <f>K7-(L7+M7+N7)</f>
        <v/>
      </c>
      <c r="W7" s="83">
        <f>L7/G7</f>
        <v/>
      </c>
      <c r="X7" s="83">
        <f>O7/G7</f>
        <v/>
      </c>
      <c r="Y7" s="83">
        <f>M7/J7</f>
        <v/>
      </c>
      <c r="Z7" s="84">
        <f>J7/I7</f>
        <v/>
      </c>
      <c r="AA7" s="81">
        <f>COUNTIFS($A$4:$A7,$A7)</f>
        <v/>
      </c>
      <c r="AB7" s="80">
        <f>$A7&amp;"#"&amp;$AA7</f>
        <v/>
      </c>
      <c r="AC7" s="82">
        <f>J7/G7</f>
        <v/>
      </c>
      <c r="AD7" s="82">
        <f>(T7/G7)/(V7/J7)</f>
        <v/>
      </c>
    </row>
    <row r="8">
      <c r="A8" s="80" t="inlineStr">
        <is>
          <t>IPAC_NAN</t>
        </is>
      </c>
      <c r="B8" s="80" t="inlineStr">
        <is>
          <t>IPAC</t>
        </is>
      </c>
      <c r="C8" s="80" t="inlineStr">
        <is>
          <t>BAC_CCE</t>
        </is>
      </c>
      <c r="D8" s="80" t="inlineStr">
        <is>
          <t>B2</t>
        </is>
      </c>
      <c r="E8" s="80" t="inlineStr">
        <is>
          <t>ALT</t>
        </is>
      </c>
      <c r="F8" s="80" t="n">
        <v>0</v>
      </c>
      <c r="G8" s="81" t="n">
        <v>2</v>
      </c>
      <c r="H8" s="81" t="n">
        <v>32</v>
      </c>
      <c r="I8" s="81" t="n">
        <v>64</v>
      </c>
      <c r="J8" s="82" t="n">
        <v>48.25</v>
      </c>
      <c r="K8" s="83" t="n">
        <v>338680.5</v>
      </c>
      <c r="L8" s="83" t="n">
        <v>24861.44</v>
      </c>
      <c r="M8" s="83" t="n">
        <v>17713.2576</v>
      </c>
      <c r="N8" s="83" t="n">
        <v>0</v>
      </c>
      <c r="O8" s="83" t="n">
        <v>59760.93</v>
      </c>
      <c r="P8" s="83" t="n">
        <v>135129.56</v>
      </c>
      <c r="Q8" s="83" t="n">
        <v>10586.14</v>
      </c>
      <c r="R8" s="83" t="n">
        <v>50594.47</v>
      </c>
      <c r="S8" s="83" t="n">
        <v>1216.28</v>
      </c>
      <c r="T8" s="83">
        <f>SUM(L8:R8)</f>
        <v/>
      </c>
      <c r="U8" s="83">
        <f>K8-T8</f>
        <v/>
      </c>
      <c r="V8" s="83">
        <f>K8-(L8+M8+N8)</f>
        <v/>
      </c>
      <c r="W8" s="83">
        <f>L8/G8</f>
        <v/>
      </c>
      <c r="X8" s="83">
        <f>O8/G8</f>
        <v/>
      </c>
      <c r="Y8" s="83">
        <f>M8/J8</f>
        <v/>
      </c>
      <c r="Z8" s="84">
        <f>J8/I8</f>
        <v/>
      </c>
      <c r="AA8" s="81">
        <f>COUNTIFS($A$4:$A8,$A8)</f>
        <v/>
      </c>
      <c r="AB8" s="80">
        <f>$A8&amp;"#"&amp;$AA8</f>
        <v/>
      </c>
      <c r="AC8" s="82">
        <f>J8/G8</f>
        <v/>
      </c>
      <c r="AD8" s="82">
        <f>(T8/G8)/(V8/J8)</f>
        <v/>
      </c>
    </row>
    <row r="9">
      <c r="A9" s="80" t="inlineStr">
        <is>
          <t>IPAC_NAN</t>
        </is>
      </c>
      <c r="B9" s="80" t="inlineStr">
        <is>
          <t>IPAC</t>
        </is>
      </c>
      <c r="C9" s="80" t="inlineStr">
        <is>
          <t>BAC_CCE</t>
        </is>
      </c>
      <c r="D9" s="80" t="inlineStr">
        <is>
          <t>B3</t>
        </is>
      </c>
      <c r="E9" s="80" t="inlineStr">
        <is>
          <t>ALT</t>
        </is>
      </c>
      <c r="F9" s="80" t="n">
        <v>0</v>
      </c>
      <c r="G9" s="81" t="n">
        <v>2</v>
      </c>
      <c r="H9" s="81" t="n">
        <v>32</v>
      </c>
      <c r="I9" s="81" t="n">
        <v>64</v>
      </c>
      <c r="J9" s="82" t="n">
        <v>47.24</v>
      </c>
      <c r="K9" s="83" t="n">
        <v>331591.02</v>
      </c>
      <c r="L9" s="83" t="n">
        <v>24861.44</v>
      </c>
      <c r="M9" s="83" t="n">
        <v>17342.4724</v>
      </c>
      <c r="N9" s="83" t="n">
        <v>0</v>
      </c>
      <c r="O9" s="83" t="n">
        <v>59760.93</v>
      </c>
      <c r="P9" s="83" t="n">
        <v>135129.56</v>
      </c>
      <c r="Q9" s="83" t="n">
        <v>10586.14</v>
      </c>
      <c r="R9" s="83" t="n">
        <v>50594.47</v>
      </c>
      <c r="S9" s="83" t="n">
        <v>1216.28</v>
      </c>
      <c r="T9" s="83">
        <f>SUM(L9:R9)</f>
        <v/>
      </c>
      <c r="U9" s="83">
        <f>K9-T9</f>
        <v/>
      </c>
      <c r="V9" s="83">
        <f>K9-(L9+M9+N9)</f>
        <v/>
      </c>
      <c r="W9" s="83">
        <f>L9/G9</f>
        <v/>
      </c>
      <c r="X9" s="83">
        <f>O9/G9</f>
        <v/>
      </c>
      <c r="Y9" s="83">
        <f>M9/J9</f>
        <v/>
      </c>
      <c r="Z9" s="84">
        <f>J9/I9</f>
        <v/>
      </c>
      <c r="AA9" s="81">
        <f>COUNTIFS($A$4:$A9,$A9)</f>
        <v/>
      </c>
      <c r="AB9" s="80">
        <f>$A9&amp;"#"&amp;$AA9</f>
        <v/>
      </c>
      <c r="AC9" s="82">
        <f>J9/G9</f>
        <v/>
      </c>
      <c r="AD9" s="82">
        <f>(T9/G9)/(V9/J9)</f>
        <v/>
      </c>
    </row>
    <row r="10">
      <c r="A10" s="80" t="inlineStr">
        <is>
          <t>IPAC_REN</t>
        </is>
      </c>
      <c r="B10" s="80" t="inlineStr">
        <is>
          <t>IPAC</t>
        </is>
      </c>
      <c r="C10" s="80" t="inlineStr">
        <is>
          <t>BAC_CCE</t>
        </is>
      </c>
      <c r="D10" s="80" t="inlineStr">
        <is>
          <t>B1</t>
        </is>
      </c>
      <c r="E10" s="80" t="inlineStr">
        <is>
          <t>ALT</t>
        </is>
      </c>
      <c r="F10" s="80" t="n">
        <v>1</v>
      </c>
      <c r="G10" s="81" t="n">
        <v>2</v>
      </c>
      <c r="H10" s="81" t="n">
        <v>32</v>
      </c>
      <c r="I10" s="81" t="n">
        <v>64</v>
      </c>
      <c r="J10" s="82" t="n">
        <v>44.7266</v>
      </c>
      <c r="K10" s="83" t="n">
        <v>302276.65</v>
      </c>
      <c r="L10" s="83" t="n">
        <v>24861.44</v>
      </c>
      <c r="M10" s="83" t="n">
        <v>16416.9767</v>
      </c>
      <c r="N10" s="83" t="n">
        <v>16127.6333</v>
      </c>
      <c r="O10" s="83" t="n">
        <v>48385.25</v>
      </c>
      <c r="P10" s="83" t="n">
        <v>94990.37</v>
      </c>
      <c r="Q10" s="83" t="n">
        <v>8543.32</v>
      </c>
      <c r="R10" s="83" t="n">
        <v>40831.18</v>
      </c>
      <c r="S10" s="83" t="n">
        <v>1040.55</v>
      </c>
      <c r="T10" s="83">
        <f>SUM(L10:R10)</f>
        <v/>
      </c>
      <c r="U10" s="83">
        <f>K10-T10</f>
        <v/>
      </c>
      <c r="V10" s="83">
        <f>K10-(L10+M10+N10)</f>
        <v/>
      </c>
      <c r="W10" s="83">
        <f>L10/G10</f>
        <v/>
      </c>
      <c r="X10" s="83">
        <f>O10/G10</f>
        <v/>
      </c>
      <c r="Y10" s="83">
        <f>M10/J10</f>
        <v/>
      </c>
      <c r="Z10" s="84">
        <f>J10/I10</f>
        <v/>
      </c>
      <c r="AA10" s="81">
        <f>COUNTIFS($A$4:$A10,$A10)</f>
        <v/>
      </c>
      <c r="AB10" s="80">
        <f>$A10&amp;"#"&amp;$AA10</f>
        <v/>
      </c>
      <c r="AC10" s="82">
        <f>J10/G10</f>
        <v/>
      </c>
      <c r="AD10" s="82">
        <f>(T10/G10)/(V10/J10)</f>
        <v/>
      </c>
    </row>
    <row r="11">
      <c r="A11" s="80" t="inlineStr">
        <is>
          <t>IPAC_REN</t>
        </is>
      </c>
      <c r="B11" s="80" t="inlineStr">
        <is>
          <t>IPAC</t>
        </is>
      </c>
      <c r="C11" s="80" t="inlineStr">
        <is>
          <t>BAC_CCE</t>
        </is>
      </c>
      <c r="D11" s="80" t="inlineStr">
        <is>
          <t>B2</t>
        </is>
      </c>
      <c r="E11" s="80" t="inlineStr">
        <is>
          <t>ALT</t>
        </is>
      </c>
      <c r="F11" s="80" t="n">
        <v>0</v>
      </c>
      <c r="G11" s="81" t="n">
        <v>2</v>
      </c>
      <c r="H11" s="81" t="n">
        <v>32</v>
      </c>
      <c r="I11" s="81" t="n">
        <v>64</v>
      </c>
      <c r="J11" s="82" t="n">
        <v>39.2</v>
      </c>
      <c r="K11" s="83" t="n">
        <v>261398.17</v>
      </c>
      <c r="L11" s="83" t="n">
        <v>24861.44</v>
      </c>
      <c r="M11" s="83" t="n">
        <v>14388.4285</v>
      </c>
      <c r="N11" s="83" t="n">
        <v>0</v>
      </c>
      <c r="O11" s="83" t="n">
        <v>48385.25</v>
      </c>
      <c r="P11" s="83" t="n">
        <v>94990.37</v>
      </c>
      <c r="Q11" s="83" t="n">
        <v>8543.32</v>
      </c>
      <c r="R11" s="83" t="n">
        <v>40831.18</v>
      </c>
      <c r="S11" s="83" t="n">
        <v>1040.55</v>
      </c>
      <c r="T11" s="83">
        <f>SUM(L11:R11)</f>
        <v/>
      </c>
      <c r="U11" s="83">
        <f>K11-T11</f>
        <v/>
      </c>
      <c r="V11" s="83">
        <f>K11-(L11+M11+N11)</f>
        <v/>
      </c>
      <c r="W11" s="83">
        <f>L11/G11</f>
        <v/>
      </c>
      <c r="X11" s="83">
        <f>O11/G11</f>
        <v/>
      </c>
      <c r="Y11" s="83">
        <f>M11/J11</f>
        <v/>
      </c>
      <c r="Z11" s="84">
        <f>J11/I11</f>
        <v/>
      </c>
      <c r="AA11" s="81">
        <f>COUNTIFS($A$4:$A11,$A11)</f>
        <v/>
      </c>
      <c r="AB11" s="80">
        <f>$A11&amp;"#"&amp;$AA11</f>
        <v/>
      </c>
      <c r="AC11" s="82">
        <f>J11/G11</f>
        <v/>
      </c>
      <c r="AD11" s="82">
        <f>(T11/G11)/(V11/J11)</f>
        <v/>
      </c>
    </row>
    <row r="12">
      <c r="A12" s="80" t="inlineStr">
        <is>
          <t>IPAC_REN</t>
        </is>
      </c>
      <c r="B12" s="80" t="inlineStr">
        <is>
          <t>IPAC</t>
        </is>
      </c>
      <c r="C12" s="80" t="inlineStr">
        <is>
          <t>BAC_CCE</t>
        </is>
      </c>
      <c r="D12" s="80" t="inlineStr">
        <is>
          <t>B3</t>
        </is>
      </c>
      <c r="E12" s="80" t="inlineStr">
        <is>
          <t>ALT</t>
        </is>
      </c>
      <c r="F12" s="80" t="n">
        <v>0</v>
      </c>
      <c r="G12" s="81" t="n">
        <v>2</v>
      </c>
      <c r="H12" s="81" t="n">
        <v>32</v>
      </c>
      <c r="I12" s="81" t="n">
        <v>64</v>
      </c>
      <c r="J12" s="82" t="n">
        <v>38.195</v>
      </c>
      <c r="K12" s="83" t="n">
        <v>254696.51</v>
      </c>
      <c r="L12" s="83" t="n">
        <v>24861.44</v>
      </c>
      <c r="M12" s="83" t="n">
        <v>14019.5415</v>
      </c>
      <c r="N12" s="83" t="n">
        <v>0</v>
      </c>
      <c r="O12" s="83" t="n">
        <v>48385.25</v>
      </c>
      <c r="P12" s="83" t="n">
        <v>94990.37</v>
      </c>
      <c r="Q12" s="83" t="n">
        <v>8543.32</v>
      </c>
      <c r="R12" s="83" t="n">
        <v>40831.18</v>
      </c>
      <c r="S12" s="83" t="n">
        <v>1040.55</v>
      </c>
      <c r="T12" s="83">
        <f>SUM(L12:R12)</f>
        <v/>
      </c>
      <c r="U12" s="83">
        <f>K12-T12</f>
        <v/>
      </c>
      <c r="V12" s="83">
        <f>K12-(L12+M12+N12)</f>
        <v/>
      </c>
      <c r="W12" s="83">
        <f>L12/G12</f>
        <v/>
      </c>
      <c r="X12" s="83">
        <f>O12/G12</f>
        <v/>
      </c>
      <c r="Y12" s="83">
        <f>M12/J12</f>
        <v/>
      </c>
      <c r="Z12" s="84">
        <f>J12/I12</f>
        <v/>
      </c>
      <c r="AA12" s="81">
        <f>COUNTIFS($A$4:$A12,$A12)</f>
        <v/>
      </c>
      <c r="AB12" s="80">
        <f>$A12&amp;"#"&amp;$AA12</f>
        <v/>
      </c>
      <c r="AC12" s="82">
        <f>J12/G12</f>
        <v/>
      </c>
      <c r="AD12" s="82">
        <f>(T12/G12)/(V12/J12)</f>
        <v/>
      </c>
    </row>
    <row r="13">
      <c r="A13" s="80" t="inlineStr">
        <is>
          <t>ISCOM_LIL</t>
        </is>
      </c>
      <c r="B13" s="80" t="inlineStr">
        <is>
          <t>ISCOM</t>
        </is>
      </c>
      <c r="C13" s="80" t="inlineStr">
        <is>
          <t>BAC_COM</t>
        </is>
      </c>
      <c r="D13" s="80" t="inlineStr">
        <is>
          <t>B1</t>
        </is>
      </c>
      <c r="E13" s="80" t="inlineStr">
        <is>
          <t>INIT</t>
        </is>
      </c>
      <c r="F13" s="80" t="n">
        <v>1</v>
      </c>
      <c r="G13" s="81" t="n">
        <v>2</v>
      </c>
      <c r="H13" s="81" t="n">
        <v>32</v>
      </c>
      <c r="I13" s="81" t="n">
        <v>64</v>
      </c>
      <c r="J13" s="82" t="n">
        <v>54.6014</v>
      </c>
      <c r="K13" s="83" t="n">
        <v>407572.86</v>
      </c>
      <c r="L13" s="83" t="n">
        <v>31076.54</v>
      </c>
      <c r="M13" s="83" t="n">
        <v>20009.6703</v>
      </c>
      <c r="N13" s="83" t="n">
        <v>13477.6297</v>
      </c>
      <c r="O13" s="83" t="n">
        <v>75864.33</v>
      </c>
      <c r="P13" s="83" t="n">
        <v>138138.31</v>
      </c>
      <c r="Q13" s="83" t="n">
        <v>11943.37</v>
      </c>
      <c r="R13" s="83" t="n">
        <v>45455.53</v>
      </c>
      <c r="S13" s="83" t="n">
        <v>978.58</v>
      </c>
      <c r="T13" s="83">
        <f>SUM(L13:R13)</f>
        <v/>
      </c>
      <c r="U13" s="83">
        <f>K13-T13</f>
        <v/>
      </c>
      <c r="V13" s="83">
        <f>K13-(L13+M13+N13)</f>
        <v/>
      </c>
      <c r="W13" s="83">
        <f>L13/G13</f>
        <v/>
      </c>
      <c r="X13" s="83">
        <f>O13/G13</f>
        <v/>
      </c>
      <c r="Y13" s="83">
        <f>M13/J13</f>
        <v/>
      </c>
      <c r="Z13" s="84">
        <f>J13/I13</f>
        <v/>
      </c>
      <c r="AA13" s="81">
        <f>COUNTIFS($A$4:$A13,$A13)</f>
        <v/>
      </c>
      <c r="AB13" s="80">
        <f>$A13&amp;"#"&amp;$AA13</f>
        <v/>
      </c>
      <c r="AC13" s="82">
        <f>J13/G13</f>
        <v/>
      </c>
      <c r="AD13" s="82">
        <f>(T13/G13)/(V13/J13)</f>
        <v/>
      </c>
    </row>
    <row r="14">
      <c r="A14" s="80" t="inlineStr">
        <is>
          <t>ISCOM_LIL</t>
        </is>
      </c>
      <c r="B14" s="80" t="inlineStr">
        <is>
          <t>ISCOM</t>
        </is>
      </c>
      <c r="C14" s="80" t="inlineStr">
        <is>
          <t>BAC_COM</t>
        </is>
      </c>
      <c r="D14" s="80" t="inlineStr">
        <is>
          <t>B2</t>
        </is>
      </c>
      <c r="E14" s="80" t="inlineStr">
        <is>
          <t>ALT</t>
        </is>
      </c>
      <c r="F14" s="80" t="n">
        <v>0</v>
      </c>
      <c r="G14" s="81" t="n">
        <v>2</v>
      </c>
      <c r="H14" s="81" t="n">
        <v>32</v>
      </c>
      <c r="I14" s="81" t="n">
        <v>64</v>
      </c>
      <c r="J14" s="82" t="n">
        <v>48.25</v>
      </c>
      <c r="K14" s="83" t="n">
        <v>332098.87</v>
      </c>
      <c r="L14" s="83" t="n">
        <v>24861.24</v>
      </c>
      <c r="M14" s="83" t="n">
        <v>17682.0849</v>
      </c>
      <c r="N14" s="83" t="n">
        <v>0</v>
      </c>
      <c r="O14" s="83" t="n">
        <v>60691.47</v>
      </c>
      <c r="P14" s="83" t="n">
        <v>138138.31</v>
      </c>
      <c r="Q14" s="83" t="n">
        <v>11943.37</v>
      </c>
      <c r="R14" s="83" t="n">
        <v>45455.53</v>
      </c>
      <c r="S14" s="83" t="n">
        <v>978.58</v>
      </c>
      <c r="T14" s="83">
        <f>SUM(L14:R14)</f>
        <v/>
      </c>
      <c r="U14" s="83">
        <f>K14-T14</f>
        <v/>
      </c>
      <c r="V14" s="83">
        <f>K14-(L14+M14+N14)</f>
        <v/>
      </c>
      <c r="W14" s="83">
        <f>L14/G14</f>
        <v/>
      </c>
      <c r="X14" s="83">
        <f>O14/G14</f>
        <v/>
      </c>
      <c r="Y14" s="83">
        <f>M14/J14</f>
        <v/>
      </c>
      <c r="Z14" s="84">
        <f>J14/I14</f>
        <v/>
      </c>
      <c r="AA14" s="81">
        <f>COUNTIFS($A$4:$A14,$A14)</f>
        <v/>
      </c>
      <c r="AB14" s="80">
        <f>$A14&amp;"#"&amp;$AA14</f>
        <v/>
      </c>
      <c r="AC14" s="82">
        <f>J14/G14</f>
        <v/>
      </c>
      <c r="AD14" s="82">
        <f>(T14/G14)/(V14/J14)</f>
        <v/>
      </c>
    </row>
    <row r="15">
      <c r="A15" s="80" t="inlineStr">
        <is>
          <t>ISCOM_LIL</t>
        </is>
      </c>
      <c r="B15" s="80" t="inlineStr">
        <is>
          <t>ISCOM</t>
        </is>
      </c>
      <c r="C15" s="80" t="inlineStr">
        <is>
          <t>BAC_COM</t>
        </is>
      </c>
      <c r="D15" s="80" t="inlineStr">
        <is>
          <t>B3</t>
        </is>
      </c>
      <c r="E15" s="80" t="inlineStr">
        <is>
          <t>ALT</t>
        </is>
      </c>
      <c r="F15" s="80" t="n">
        <v>0</v>
      </c>
      <c r="G15" s="81" t="n">
        <v>2</v>
      </c>
      <c r="H15" s="81" t="n">
        <v>32</v>
      </c>
      <c r="I15" s="81" t="n">
        <v>64</v>
      </c>
      <c r="J15" s="82" t="n">
        <v>47.24</v>
      </c>
      <c r="K15" s="83" t="n">
        <v>325147.16</v>
      </c>
      <c r="L15" s="83" t="n">
        <v>24861.24</v>
      </c>
      <c r="M15" s="83" t="n">
        <v>17311.9521</v>
      </c>
      <c r="N15" s="83" t="n">
        <v>0</v>
      </c>
      <c r="O15" s="83" t="n">
        <v>60691.47</v>
      </c>
      <c r="P15" s="83" t="n">
        <v>138138.31</v>
      </c>
      <c r="Q15" s="83" t="n">
        <v>11943.37</v>
      </c>
      <c r="R15" s="83" t="n">
        <v>45455.53</v>
      </c>
      <c r="S15" s="83" t="n">
        <v>978.58</v>
      </c>
      <c r="T15" s="83">
        <f>SUM(L15:R15)</f>
        <v/>
      </c>
      <c r="U15" s="83">
        <f>K15-T15</f>
        <v/>
      </c>
      <c r="V15" s="83">
        <f>K15-(L15+M15+N15)</f>
        <v/>
      </c>
      <c r="W15" s="83">
        <f>L15/G15</f>
        <v/>
      </c>
      <c r="X15" s="83">
        <f>O15/G15</f>
        <v/>
      </c>
      <c r="Y15" s="83">
        <f>M15/J15</f>
        <v/>
      </c>
      <c r="Z15" s="84">
        <f>J15/I15</f>
        <v/>
      </c>
      <c r="AA15" s="81">
        <f>COUNTIFS($A$4:$A15,$A15)</f>
        <v/>
      </c>
      <c r="AB15" s="80">
        <f>$A15&amp;"#"&amp;$AA15</f>
        <v/>
      </c>
      <c r="AC15" s="82">
        <f>J15/G15</f>
        <v/>
      </c>
      <c r="AD15" s="82">
        <f>(T15/G15)/(V15/J15)</f>
        <v/>
      </c>
    </row>
    <row r="16">
      <c r="A16" s="80" t="inlineStr">
        <is>
          <t>ISCOM_LIL</t>
        </is>
      </c>
      <c r="B16" s="80" t="inlineStr">
        <is>
          <t>ISCOM</t>
        </is>
      </c>
      <c r="C16" s="80" t="inlineStr">
        <is>
          <t>MAS_COM</t>
        </is>
      </c>
      <c r="D16" s="80" t="inlineStr">
        <is>
          <t>M1</t>
        </is>
      </c>
      <c r="E16" s="80" t="inlineStr">
        <is>
          <t>ALT</t>
        </is>
      </c>
      <c r="F16" s="80" t="n">
        <v>1</v>
      </c>
      <c r="G16" s="81" t="n">
        <v>2</v>
      </c>
      <c r="H16" s="81" t="n">
        <v>26</v>
      </c>
      <c r="I16" s="81" t="n">
        <v>52</v>
      </c>
      <c r="J16" s="82" t="n">
        <v>55.7452</v>
      </c>
      <c r="K16" s="83" t="n">
        <v>416111</v>
      </c>
      <c r="L16" s="83" t="n">
        <v>21753.58</v>
      </c>
      <c r="M16" s="83" t="n">
        <v>20428.8365</v>
      </c>
      <c r="N16" s="83" t="n">
        <v>13759.9835</v>
      </c>
      <c r="O16" s="83" t="n">
        <v>53105.03</v>
      </c>
      <c r="P16" s="83" t="n">
        <v>138138.31</v>
      </c>
      <c r="Q16" s="83" t="n">
        <v>11943.37</v>
      </c>
      <c r="R16" s="83" t="n">
        <v>45455.53</v>
      </c>
      <c r="S16" s="83" t="n">
        <v>978.58</v>
      </c>
      <c r="T16" s="83">
        <f>SUM(L16:R16)</f>
        <v/>
      </c>
      <c r="U16" s="83">
        <f>K16-T16</f>
        <v/>
      </c>
      <c r="V16" s="83">
        <f>K16-(L16+M16+N16)</f>
        <v/>
      </c>
      <c r="W16" s="83">
        <f>L16/G16</f>
        <v/>
      </c>
      <c r="X16" s="83">
        <f>O16/G16</f>
        <v/>
      </c>
      <c r="Y16" s="83">
        <f>M16/J16</f>
        <v/>
      </c>
      <c r="Z16" s="84">
        <f>J16/I16</f>
        <v/>
      </c>
      <c r="AA16" s="81">
        <f>COUNTIFS($A$4:$A16,$A16)</f>
        <v/>
      </c>
      <c r="AB16" s="80">
        <f>$A16&amp;"#"&amp;$AA16</f>
        <v/>
      </c>
      <c r="AC16" s="82">
        <f>J16/G16</f>
        <v/>
      </c>
      <c r="AD16" s="82">
        <f>(T16/G16)/(V16/J16)</f>
        <v/>
      </c>
    </row>
    <row r="17">
      <c r="A17" s="80" t="inlineStr">
        <is>
          <t>ISCOM_LIL</t>
        </is>
      </c>
      <c r="B17" s="80" t="inlineStr">
        <is>
          <t>ISCOM</t>
        </is>
      </c>
      <c r="C17" s="80" t="inlineStr">
        <is>
          <t>MAS_COM</t>
        </is>
      </c>
      <c r="D17" s="80" t="inlineStr">
        <is>
          <t>M2</t>
        </is>
      </c>
      <c r="E17" s="80" t="inlineStr">
        <is>
          <t>ALT</t>
        </is>
      </c>
      <c r="F17" s="80" t="n">
        <v>0</v>
      </c>
      <c r="G17" s="81" t="n">
        <v>2</v>
      </c>
      <c r="H17" s="81" t="n">
        <v>26</v>
      </c>
      <c r="I17" s="81" t="n">
        <v>52</v>
      </c>
      <c r="J17" s="82" t="n">
        <v>49.25</v>
      </c>
      <c r="K17" s="83" t="n">
        <v>363194.73</v>
      </c>
      <c r="L17" s="83" t="n">
        <v>21753.58</v>
      </c>
      <c r="M17" s="83" t="n">
        <v>18048.553</v>
      </c>
      <c r="N17" s="83" t="n">
        <v>0</v>
      </c>
      <c r="O17" s="83" t="n">
        <v>53105.03</v>
      </c>
      <c r="P17" s="83" t="n">
        <v>138138.31</v>
      </c>
      <c r="Q17" s="83" t="n">
        <v>11943.37</v>
      </c>
      <c r="R17" s="83" t="n">
        <v>45455.53</v>
      </c>
      <c r="S17" s="83" t="n">
        <v>978.58</v>
      </c>
      <c r="T17" s="83">
        <f>SUM(L17:R17)</f>
        <v/>
      </c>
      <c r="U17" s="83">
        <f>K17-T17</f>
        <v/>
      </c>
      <c r="V17" s="83">
        <f>K17-(L17+M17+N17)</f>
        <v/>
      </c>
      <c r="W17" s="83">
        <f>L17/G17</f>
        <v/>
      </c>
      <c r="X17" s="83">
        <f>O17/G17</f>
        <v/>
      </c>
      <c r="Y17" s="83">
        <f>M17/J17</f>
        <v/>
      </c>
      <c r="Z17" s="84">
        <f>J17/I17</f>
        <v/>
      </c>
      <c r="AA17" s="81">
        <f>COUNTIFS($A$4:$A17,$A17)</f>
        <v/>
      </c>
      <c r="AB17" s="80">
        <f>$A17&amp;"#"&amp;$AA17</f>
        <v/>
      </c>
      <c r="AC17" s="82">
        <f>J17/G17</f>
        <v/>
      </c>
      <c r="AD17" s="82">
        <f>(T17/G17)/(V17/J17)</f>
        <v/>
      </c>
    </row>
    <row r="18">
      <c r="A18" s="80" t="inlineStr">
        <is>
          <t>ISCOM_PAR</t>
        </is>
      </c>
      <c r="B18" s="80" t="inlineStr">
        <is>
          <t>ISCOM</t>
        </is>
      </c>
      <c r="C18" s="80" t="inlineStr">
        <is>
          <t>BAC_COM</t>
        </is>
      </c>
      <c r="D18" s="80" t="inlineStr">
        <is>
          <t>B1</t>
        </is>
      </c>
      <c r="E18" s="80" t="inlineStr">
        <is>
          <t>INIT</t>
        </is>
      </c>
      <c r="F18" s="80" t="n">
        <v>1</v>
      </c>
      <c r="G18" s="81" t="n">
        <v>3</v>
      </c>
      <c r="H18" s="81" t="n">
        <v>32</v>
      </c>
      <c r="I18" s="81" t="n">
        <v>96</v>
      </c>
      <c r="J18" s="82" t="n">
        <v>78.32340000000001</v>
      </c>
      <c r="K18" s="83" t="n">
        <v>667159.89</v>
      </c>
      <c r="L18" s="83" t="n">
        <v>46614.95</v>
      </c>
      <c r="M18" s="83" t="n">
        <v>28760.0801</v>
      </c>
      <c r="N18" s="83" t="n">
        <v>32492.7499</v>
      </c>
      <c r="O18" s="83" t="n">
        <v>130065.45</v>
      </c>
      <c r="P18" s="83" t="n">
        <v>231516.01</v>
      </c>
      <c r="Q18" s="83" t="n">
        <v>17293.38</v>
      </c>
      <c r="R18" s="83" t="n">
        <v>65817.28</v>
      </c>
      <c r="S18" s="83" t="n">
        <v>1540.32</v>
      </c>
      <c r="T18" s="83">
        <f>SUM(L18:R18)</f>
        <v/>
      </c>
      <c r="U18" s="83">
        <f>K18-T18</f>
        <v/>
      </c>
      <c r="V18" s="83">
        <f>K18-(L18+M18+N18)</f>
        <v/>
      </c>
      <c r="W18" s="83">
        <f>L18/G18</f>
        <v/>
      </c>
      <c r="X18" s="83">
        <f>O18/G18</f>
        <v/>
      </c>
      <c r="Y18" s="83">
        <f>M18/J18</f>
        <v/>
      </c>
      <c r="Z18" s="84">
        <f>J18/I18</f>
        <v/>
      </c>
      <c r="AA18" s="81">
        <f>COUNTIFS($A$4:$A18,$A18)</f>
        <v/>
      </c>
      <c r="AB18" s="80">
        <f>$A18&amp;"#"&amp;$AA18</f>
        <v/>
      </c>
      <c r="AC18" s="82">
        <f>J18/G18</f>
        <v/>
      </c>
      <c r="AD18" s="82">
        <f>(T18/G18)/(V18/J18)</f>
        <v/>
      </c>
    </row>
    <row r="19">
      <c r="A19" s="80" t="inlineStr">
        <is>
          <t>ISCOM_PAR</t>
        </is>
      </c>
      <c r="B19" s="80" t="inlineStr">
        <is>
          <t>ISCOM</t>
        </is>
      </c>
      <c r="C19" s="80" t="inlineStr">
        <is>
          <t>BAC_COM</t>
        </is>
      </c>
      <c r="D19" s="80" t="inlineStr">
        <is>
          <t>B2</t>
        </is>
      </c>
      <c r="E19" s="80" t="inlineStr">
        <is>
          <t>ALT</t>
        </is>
      </c>
      <c r="F19" s="80" t="n">
        <v>0</v>
      </c>
      <c r="G19" s="81" t="n">
        <v>3</v>
      </c>
      <c r="H19" s="81" t="n">
        <v>32</v>
      </c>
      <c r="I19" s="81" t="n">
        <v>96</v>
      </c>
      <c r="J19" s="82" t="n">
        <v>70.36</v>
      </c>
      <c r="K19" s="83" t="n">
        <v>553462.0600000001</v>
      </c>
      <c r="L19" s="83" t="n">
        <v>37291.96</v>
      </c>
      <c r="M19" s="83" t="n">
        <v>25835.9473</v>
      </c>
      <c r="N19" s="83" t="n">
        <v>0</v>
      </c>
      <c r="O19" s="83" t="n">
        <v>104052.36</v>
      </c>
      <c r="P19" s="83" t="n">
        <v>231516.01</v>
      </c>
      <c r="Q19" s="83" t="n">
        <v>17293.38</v>
      </c>
      <c r="R19" s="83" t="n">
        <v>65817.28</v>
      </c>
      <c r="S19" s="83" t="n">
        <v>1540.32</v>
      </c>
      <c r="T19" s="83">
        <f>SUM(L19:R19)</f>
        <v/>
      </c>
      <c r="U19" s="83">
        <f>K19-T19</f>
        <v/>
      </c>
      <c r="V19" s="83">
        <f>K19-(L19+M19+N19)</f>
        <v/>
      </c>
      <c r="W19" s="83">
        <f>L19/G19</f>
        <v/>
      </c>
      <c r="X19" s="83">
        <f>O19/G19</f>
        <v/>
      </c>
      <c r="Y19" s="83">
        <f>M19/J19</f>
        <v/>
      </c>
      <c r="Z19" s="84">
        <f>J19/I19</f>
        <v/>
      </c>
      <c r="AA19" s="81">
        <f>COUNTIFS($A$4:$A19,$A19)</f>
        <v/>
      </c>
      <c r="AB19" s="80">
        <f>$A19&amp;"#"&amp;$AA19</f>
        <v/>
      </c>
      <c r="AC19" s="82">
        <f>J19/G19</f>
        <v/>
      </c>
      <c r="AD19" s="82">
        <f>(T19/G19)/(V19/J19)</f>
        <v/>
      </c>
    </row>
    <row r="20">
      <c r="A20" s="80" t="inlineStr">
        <is>
          <t>ISCOM_PAR</t>
        </is>
      </c>
      <c r="B20" s="80" t="inlineStr">
        <is>
          <t>ISCOM</t>
        </is>
      </c>
      <c r="C20" s="80" t="inlineStr">
        <is>
          <t>BAC_COM</t>
        </is>
      </c>
      <c r="D20" s="80" t="inlineStr">
        <is>
          <t>B3</t>
        </is>
      </c>
      <c r="E20" s="80" t="inlineStr">
        <is>
          <t>ALT</t>
        </is>
      </c>
      <c r="F20" s="80" t="n">
        <v>0</v>
      </c>
      <c r="G20" s="81" t="n">
        <v>3</v>
      </c>
      <c r="H20" s="81" t="n">
        <v>32</v>
      </c>
      <c r="I20" s="81" t="n">
        <v>96</v>
      </c>
      <c r="J20" s="82" t="n">
        <v>69.34999999999999</v>
      </c>
      <c r="K20" s="83" t="n">
        <v>545517.25</v>
      </c>
      <c r="L20" s="83" t="n">
        <v>37291.96</v>
      </c>
      <c r="M20" s="83" t="n">
        <v>25465.0788</v>
      </c>
      <c r="N20" s="83" t="n">
        <v>0</v>
      </c>
      <c r="O20" s="83" t="n">
        <v>104052.36</v>
      </c>
      <c r="P20" s="83" t="n">
        <v>231516.01</v>
      </c>
      <c r="Q20" s="83" t="n">
        <v>17293.38</v>
      </c>
      <c r="R20" s="83" t="n">
        <v>65817.28</v>
      </c>
      <c r="S20" s="83" t="n">
        <v>1540.32</v>
      </c>
      <c r="T20" s="83">
        <f>SUM(L20:R20)</f>
        <v/>
      </c>
      <c r="U20" s="83">
        <f>K20-T20</f>
        <v/>
      </c>
      <c r="V20" s="83">
        <f>K20-(L20+M20+N20)</f>
        <v/>
      </c>
      <c r="W20" s="83">
        <f>L20/G20</f>
        <v/>
      </c>
      <c r="X20" s="83">
        <f>O20/G20</f>
        <v/>
      </c>
      <c r="Y20" s="83">
        <f>M20/J20</f>
        <v/>
      </c>
      <c r="Z20" s="84">
        <f>J20/I20</f>
        <v/>
      </c>
      <c r="AA20" s="81">
        <f>COUNTIFS($A$4:$A20,$A20)</f>
        <v/>
      </c>
      <c r="AB20" s="80">
        <f>$A20&amp;"#"&amp;$AA20</f>
        <v/>
      </c>
      <c r="AC20" s="82">
        <f>J20/G20</f>
        <v/>
      </c>
      <c r="AD20" s="82">
        <f>(T20/G20)/(V20/J20)</f>
        <v/>
      </c>
    </row>
    <row r="21">
      <c r="A21" s="80" t="inlineStr">
        <is>
          <t>ISCOM_PAR</t>
        </is>
      </c>
      <c r="B21" s="80" t="inlineStr">
        <is>
          <t>ISCOM</t>
        </is>
      </c>
      <c r="C21" s="80" t="inlineStr">
        <is>
          <t>MAS_COM</t>
        </is>
      </c>
      <c r="D21" s="80" t="inlineStr">
        <is>
          <t>M1</t>
        </is>
      </c>
      <c r="E21" s="80" t="inlineStr">
        <is>
          <t>ALT</t>
        </is>
      </c>
      <c r="F21" s="80" t="n">
        <v>1</v>
      </c>
      <c r="G21" s="81" t="n">
        <v>3</v>
      </c>
      <c r="H21" s="81" t="n">
        <v>26</v>
      </c>
      <c r="I21" s="81" t="n">
        <v>78</v>
      </c>
      <c r="J21" s="82" t="n">
        <v>79.9589</v>
      </c>
      <c r="K21" s="83" t="n">
        <v>681091.33</v>
      </c>
      <c r="L21" s="83" t="n">
        <v>32630.46</v>
      </c>
      <c r="M21" s="83" t="n">
        <v>29360.63</v>
      </c>
      <c r="N21" s="83" t="n">
        <v>33171.27</v>
      </c>
      <c r="O21" s="83" t="n">
        <v>91045.82000000001</v>
      </c>
      <c r="P21" s="83" t="n">
        <v>231516.01</v>
      </c>
      <c r="Q21" s="83" t="n">
        <v>17293.38</v>
      </c>
      <c r="R21" s="83" t="n">
        <v>65817.28</v>
      </c>
      <c r="S21" s="83" t="n">
        <v>1540.32</v>
      </c>
      <c r="T21" s="83">
        <f>SUM(L21:R21)</f>
        <v/>
      </c>
      <c r="U21" s="83">
        <f>K21-T21</f>
        <v/>
      </c>
      <c r="V21" s="83">
        <f>K21-(L21+M21+N21)</f>
        <v/>
      </c>
      <c r="W21" s="83">
        <f>L21/G21</f>
        <v/>
      </c>
      <c r="X21" s="83">
        <f>O21/G21</f>
        <v/>
      </c>
      <c r="Y21" s="83">
        <f>M21/J21</f>
        <v/>
      </c>
      <c r="Z21" s="84">
        <f>J21/I21</f>
        <v/>
      </c>
      <c r="AA21" s="81">
        <f>COUNTIFS($A$4:$A21,$A21)</f>
        <v/>
      </c>
      <c r="AB21" s="80">
        <f>$A21&amp;"#"&amp;$AA21</f>
        <v/>
      </c>
      <c r="AC21" s="82">
        <f>J21/G21</f>
        <v/>
      </c>
      <c r="AD21" s="82">
        <f>(T21/G21)/(V21/J21)</f>
        <v/>
      </c>
    </row>
    <row r="22">
      <c r="A22" s="80" t="inlineStr">
        <is>
          <t>ISCOM_PAR</t>
        </is>
      </c>
      <c r="B22" s="80" t="inlineStr">
        <is>
          <t>ISCOM</t>
        </is>
      </c>
      <c r="C22" s="80" t="inlineStr">
        <is>
          <t>MAS_COM</t>
        </is>
      </c>
      <c r="D22" s="80" t="inlineStr">
        <is>
          <t>M2</t>
        </is>
      </c>
      <c r="E22" s="80" t="inlineStr">
        <is>
          <t>ALT</t>
        </is>
      </c>
      <c r="F22" s="80" t="n">
        <v>0</v>
      </c>
      <c r="G22" s="81" t="n">
        <v>3</v>
      </c>
      <c r="H22" s="81" t="n">
        <v>26</v>
      </c>
      <c r="I22" s="81" t="n">
        <v>78</v>
      </c>
      <c r="J22" s="82" t="n">
        <v>71.36</v>
      </c>
      <c r="K22" s="83" t="n">
        <v>601423.08</v>
      </c>
      <c r="L22" s="83" t="n">
        <v>32630.46</v>
      </c>
      <c r="M22" s="83" t="n">
        <v>26203.1438</v>
      </c>
      <c r="N22" s="83" t="n">
        <v>0</v>
      </c>
      <c r="O22" s="83" t="n">
        <v>91045.82000000001</v>
      </c>
      <c r="P22" s="83" t="n">
        <v>231516.01</v>
      </c>
      <c r="Q22" s="83" t="n">
        <v>17293.38</v>
      </c>
      <c r="R22" s="83" t="n">
        <v>65817.28</v>
      </c>
      <c r="S22" s="83" t="n">
        <v>1540.32</v>
      </c>
      <c r="T22" s="83">
        <f>SUM(L22:R22)</f>
        <v/>
      </c>
      <c r="U22" s="83">
        <f>K22-T22</f>
        <v/>
      </c>
      <c r="V22" s="83">
        <f>K22-(L22+M22+N22)</f>
        <v/>
      </c>
      <c r="W22" s="83">
        <f>L22/G22</f>
        <v/>
      </c>
      <c r="X22" s="83">
        <f>O22/G22</f>
        <v/>
      </c>
      <c r="Y22" s="83">
        <f>M22/J22</f>
        <v/>
      </c>
      <c r="Z22" s="84">
        <f>J22/I22</f>
        <v/>
      </c>
      <c r="AA22" s="81">
        <f>COUNTIFS($A$4:$A22,$A22)</f>
        <v/>
      </c>
      <c r="AB22" s="80">
        <f>$A22&amp;"#"&amp;$AA22</f>
        <v/>
      </c>
      <c r="AC22" s="82">
        <f>J22/G22</f>
        <v/>
      </c>
      <c r="AD22" s="82">
        <f>(T22/G22)/(V22/J22)</f>
        <v/>
      </c>
    </row>
    <row r="23">
      <c r="A23" s="80" t="inlineStr">
        <is>
          <t>ISCOM_TLS</t>
        </is>
      </c>
      <c r="B23" s="80" t="inlineStr">
        <is>
          <t>ISCOM</t>
        </is>
      </c>
      <c r="C23" s="80" t="inlineStr">
        <is>
          <t>BAC_COM</t>
        </is>
      </c>
      <c r="D23" s="80" t="inlineStr">
        <is>
          <t>B1</t>
        </is>
      </c>
      <c r="E23" s="80" t="inlineStr">
        <is>
          <t>INIT</t>
        </is>
      </c>
      <c r="F23" s="80" t="n">
        <v>1</v>
      </c>
      <c r="G23" s="81" t="n">
        <v>2</v>
      </c>
      <c r="H23" s="81" t="n">
        <v>32</v>
      </c>
      <c r="I23" s="81" t="n">
        <v>64</v>
      </c>
      <c r="J23" s="82" t="n">
        <v>51.352</v>
      </c>
      <c r="K23" s="83" t="n">
        <v>375588.9</v>
      </c>
      <c r="L23" s="83" t="n">
        <v>31076.54</v>
      </c>
      <c r="M23" s="83" t="n">
        <v>18820.0568</v>
      </c>
      <c r="N23" s="83" t="n">
        <v>11801.0132</v>
      </c>
      <c r="O23" s="83" t="n">
        <v>71337.75</v>
      </c>
      <c r="P23" s="83" t="n">
        <v>125159.09</v>
      </c>
      <c r="Q23" s="83" t="n">
        <v>11306.36</v>
      </c>
      <c r="R23" s="83" t="n">
        <v>43031.12</v>
      </c>
      <c r="S23" s="83" t="n">
        <v>919.03</v>
      </c>
      <c r="T23" s="83">
        <f>SUM(L23:R23)</f>
        <v/>
      </c>
      <c r="U23" s="83">
        <f>K23-T23</f>
        <v/>
      </c>
      <c r="V23" s="83">
        <f>K23-(L23+M23+N23)</f>
        <v/>
      </c>
      <c r="W23" s="83">
        <f>L23/G23</f>
        <v/>
      </c>
      <c r="X23" s="83">
        <f>O23/G23</f>
        <v/>
      </c>
      <c r="Y23" s="83">
        <f>M23/J23</f>
        <v/>
      </c>
      <c r="Z23" s="84">
        <f>J23/I23</f>
        <v/>
      </c>
      <c r="AA23" s="81">
        <f>COUNTIFS($A$4:$A23,$A23)</f>
        <v/>
      </c>
      <c r="AB23" s="80">
        <f>$A23&amp;"#"&amp;$AA23</f>
        <v/>
      </c>
      <c r="AC23" s="82">
        <f>J23/G23</f>
        <v/>
      </c>
      <c r="AD23" s="82">
        <f>(T23/G23)/(V23/J23)</f>
        <v/>
      </c>
    </row>
    <row r="24">
      <c r="A24" s="80" t="inlineStr">
        <is>
          <t>ISCOM_TLS</t>
        </is>
      </c>
      <c r="B24" s="80" t="inlineStr">
        <is>
          <t>ISCOM</t>
        </is>
      </c>
      <c r="C24" s="80" t="inlineStr">
        <is>
          <t>BAC_COM</t>
        </is>
      </c>
      <c r="D24" s="80" t="inlineStr">
        <is>
          <t>B2</t>
        </is>
      </c>
      <c r="E24" s="80" t="inlineStr">
        <is>
          <t>ALT</t>
        </is>
      </c>
      <c r="F24" s="80" t="n">
        <v>0</v>
      </c>
      <c r="G24" s="81" t="n">
        <v>2</v>
      </c>
      <c r="H24" s="81" t="n">
        <v>32</v>
      </c>
      <c r="I24" s="81" t="n">
        <v>64</v>
      </c>
      <c r="J24" s="82" t="n">
        <v>46.235</v>
      </c>
      <c r="K24" s="83" t="n">
        <v>311735.38</v>
      </c>
      <c r="L24" s="83" t="n">
        <v>24861.24</v>
      </c>
      <c r="M24" s="83" t="n">
        <v>16944.7212</v>
      </c>
      <c r="N24" s="83" t="n">
        <v>0</v>
      </c>
      <c r="O24" s="83" t="n">
        <v>57070.2</v>
      </c>
      <c r="P24" s="83" t="n">
        <v>125159.09</v>
      </c>
      <c r="Q24" s="83" t="n">
        <v>11306.36</v>
      </c>
      <c r="R24" s="83" t="n">
        <v>43031.12</v>
      </c>
      <c r="S24" s="83" t="n">
        <v>919.03</v>
      </c>
      <c r="T24" s="83">
        <f>SUM(L24:R24)</f>
        <v/>
      </c>
      <c r="U24" s="83">
        <f>K24-T24</f>
        <v/>
      </c>
      <c r="V24" s="83">
        <f>K24-(L24+M24+N24)</f>
        <v/>
      </c>
      <c r="W24" s="83">
        <f>L24/G24</f>
        <v/>
      </c>
      <c r="X24" s="83">
        <f>O24/G24</f>
        <v/>
      </c>
      <c r="Y24" s="83">
        <f>M24/J24</f>
        <v/>
      </c>
      <c r="Z24" s="84">
        <f>J24/I24</f>
        <v/>
      </c>
      <c r="AA24" s="81">
        <f>COUNTIFS($A$4:$A24,$A24)</f>
        <v/>
      </c>
      <c r="AB24" s="80">
        <f>$A24&amp;"#"&amp;$AA24</f>
        <v/>
      </c>
      <c r="AC24" s="82">
        <f>J24/G24</f>
        <v/>
      </c>
      <c r="AD24" s="82">
        <f>(T24/G24)/(V24/J24)</f>
        <v/>
      </c>
    </row>
    <row r="25">
      <c r="A25" s="80" t="inlineStr">
        <is>
          <t>ISCOM_TLS</t>
        </is>
      </c>
      <c r="B25" s="80" t="inlineStr">
        <is>
          <t>ISCOM</t>
        </is>
      </c>
      <c r="C25" s="80" t="inlineStr">
        <is>
          <t>BAC_COM</t>
        </is>
      </c>
      <c r="D25" s="80" t="inlineStr">
        <is>
          <t>B3</t>
        </is>
      </c>
      <c r="E25" s="80" t="inlineStr">
        <is>
          <t>ALT</t>
        </is>
      </c>
      <c r="F25" s="80" t="n">
        <v>0</v>
      </c>
      <c r="G25" s="81" t="n">
        <v>2</v>
      </c>
      <c r="H25" s="81" t="n">
        <v>32</v>
      </c>
      <c r="I25" s="81" t="n">
        <v>64</v>
      </c>
      <c r="J25" s="82" t="n">
        <v>45.23</v>
      </c>
      <c r="K25" s="83" t="n">
        <v>304959.26</v>
      </c>
      <c r="L25" s="83" t="n">
        <v>24861.24</v>
      </c>
      <c r="M25" s="83" t="n">
        <v>16576.3976</v>
      </c>
      <c r="N25" s="83" t="n">
        <v>0</v>
      </c>
      <c r="O25" s="83" t="n">
        <v>57070.2</v>
      </c>
      <c r="P25" s="83" t="n">
        <v>125159.09</v>
      </c>
      <c r="Q25" s="83" t="n">
        <v>11306.36</v>
      </c>
      <c r="R25" s="83" t="n">
        <v>43031.12</v>
      </c>
      <c r="S25" s="83" t="n">
        <v>919.03</v>
      </c>
      <c r="T25" s="83">
        <f>SUM(L25:R25)</f>
        <v/>
      </c>
      <c r="U25" s="83">
        <f>K25-T25</f>
        <v/>
      </c>
      <c r="V25" s="83">
        <f>K25-(L25+M25+N25)</f>
        <v/>
      </c>
      <c r="W25" s="83">
        <f>L25/G25</f>
        <v/>
      </c>
      <c r="X25" s="83">
        <f>O25/G25</f>
        <v/>
      </c>
      <c r="Y25" s="83">
        <f>M25/J25</f>
        <v/>
      </c>
      <c r="Z25" s="84">
        <f>J25/I25</f>
        <v/>
      </c>
      <c r="AA25" s="81">
        <f>COUNTIFS($A$4:$A25,$A25)</f>
        <v/>
      </c>
      <c r="AB25" s="80">
        <f>$A25&amp;"#"&amp;$AA25</f>
        <v/>
      </c>
      <c r="AC25" s="82">
        <f>J25/G25</f>
        <v/>
      </c>
      <c r="AD25" s="82">
        <f>(T25/G25)/(V25/J25)</f>
        <v/>
      </c>
    </row>
    <row r="26">
      <c r="A26" s="80" t="inlineStr">
        <is>
          <t>ISCOM_TLS</t>
        </is>
      </c>
      <c r="B26" s="80" t="inlineStr">
        <is>
          <t>ISCOM</t>
        </is>
      </c>
      <c r="C26" s="80" t="inlineStr">
        <is>
          <t>MAS_COM</t>
        </is>
      </c>
      <c r="D26" s="80" t="inlineStr">
        <is>
          <t>M1</t>
        </is>
      </c>
      <c r="E26" s="80" t="inlineStr">
        <is>
          <t>ALT</t>
        </is>
      </c>
      <c r="F26" s="80" t="n">
        <v>1</v>
      </c>
      <c r="G26" s="81" t="n">
        <v>2</v>
      </c>
      <c r="H26" s="81" t="n">
        <v>26</v>
      </c>
      <c r="I26" s="81" t="n">
        <v>52</v>
      </c>
      <c r="J26" s="82" t="n">
        <v>52.4294</v>
      </c>
      <c r="K26" s="83" t="n">
        <v>383469.19</v>
      </c>
      <c r="L26" s="83" t="n">
        <v>21753.58</v>
      </c>
      <c r="M26" s="83" t="n">
        <v>19214.9144</v>
      </c>
      <c r="N26" s="83" t="n">
        <v>12048.6156</v>
      </c>
      <c r="O26" s="83" t="n">
        <v>49936.43</v>
      </c>
      <c r="P26" s="83" t="n">
        <v>125159.09</v>
      </c>
      <c r="Q26" s="83" t="n">
        <v>11306.36</v>
      </c>
      <c r="R26" s="83" t="n">
        <v>43031.12</v>
      </c>
      <c r="S26" s="83" t="n">
        <v>919.03</v>
      </c>
      <c r="T26" s="83">
        <f>SUM(L26:R26)</f>
        <v/>
      </c>
      <c r="U26" s="83">
        <f>K26-T26</f>
        <v/>
      </c>
      <c r="V26" s="83">
        <f>K26-(L26+M26+N26)</f>
        <v/>
      </c>
      <c r="W26" s="83">
        <f>L26/G26</f>
        <v/>
      </c>
      <c r="X26" s="83">
        <f>O26/G26</f>
        <v/>
      </c>
      <c r="Y26" s="83">
        <f>M26/J26</f>
        <v/>
      </c>
      <c r="Z26" s="84">
        <f>J26/I26</f>
        <v/>
      </c>
      <c r="AA26" s="81">
        <f>COUNTIFS($A$4:$A26,$A26)</f>
        <v/>
      </c>
      <c r="AB26" s="80">
        <f>$A26&amp;"#"&amp;$AA26</f>
        <v/>
      </c>
      <c r="AC26" s="82">
        <f>J26/G26</f>
        <v/>
      </c>
      <c r="AD26" s="82">
        <f>(T26/G26)/(V26/J26)</f>
        <v/>
      </c>
    </row>
    <row r="27">
      <c r="A27" s="80" t="inlineStr">
        <is>
          <t>ISCOM_TLS</t>
        </is>
      </c>
      <c r="B27" s="80" t="inlineStr">
        <is>
          <t>ISCOM</t>
        </is>
      </c>
      <c r="C27" s="80" t="inlineStr">
        <is>
          <t>MAS_COM</t>
        </is>
      </c>
      <c r="D27" s="80" t="inlineStr">
        <is>
          <t>M2</t>
        </is>
      </c>
      <c r="E27" s="80" t="inlineStr">
        <is>
          <t>ALT</t>
        </is>
      </c>
      <c r="F27" s="80" t="n">
        <v>0</v>
      </c>
      <c r="G27" s="81" t="n">
        <v>2</v>
      </c>
      <c r="H27" s="81" t="n">
        <v>26</v>
      </c>
      <c r="I27" s="81" t="n">
        <v>52</v>
      </c>
      <c r="J27" s="82" t="n">
        <v>46.235</v>
      </c>
      <c r="K27" s="83" t="n">
        <v>334002.19</v>
      </c>
      <c r="L27" s="83" t="n">
        <v>21753.58</v>
      </c>
      <c r="M27" s="83" t="n">
        <v>16944.7212</v>
      </c>
      <c r="N27" s="83" t="n">
        <v>0</v>
      </c>
      <c r="O27" s="83" t="n">
        <v>49936.43</v>
      </c>
      <c r="P27" s="83" t="n">
        <v>125159.09</v>
      </c>
      <c r="Q27" s="83" t="n">
        <v>11306.36</v>
      </c>
      <c r="R27" s="83" t="n">
        <v>43031.12</v>
      </c>
      <c r="S27" s="83" t="n">
        <v>919.03</v>
      </c>
      <c r="T27" s="83">
        <f>SUM(L27:R27)</f>
        <v/>
      </c>
      <c r="U27" s="83">
        <f>K27-T27</f>
        <v/>
      </c>
      <c r="V27" s="83">
        <f>K27-(L27+M27+N27)</f>
        <v/>
      </c>
      <c r="W27" s="83">
        <f>L27/G27</f>
        <v/>
      </c>
      <c r="X27" s="83">
        <f>O27/G27</f>
        <v/>
      </c>
      <c r="Y27" s="83">
        <f>M27/J27</f>
        <v/>
      </c>
      <c r="Z27" s="84">
        <f>J27/I27</f>
        <v/>
      </c>
      <c r="AA27" s="81">
        <f>COUNTIFS($A$4:$A27,$A27)</f>
        <v/>
      </c>
      <c r="AB27" s="80">
        <f>$A27&amp;"#"&amp;$AA27</f>
        <v/>
      </c>
      <c r="AC27" s="82">
        <f>J27/G27</f>
        <v/>
      </c>
      <c r="AD27" s="82">
        <f>(T27/G27)/(V27/J27)</f>
        <v/>
      </c>
    </row>
    <row r="28">
      <c r="A28" s="80" t="inlineStr">
        <is>
          <t>MBWAY_BOR</t>
        </is>
      </c>
      <c r="B28" s="80" t="inlineStr">
        <is>
          <t>MBWAY</t>
        </is>
      </c>
      <c r="C28" s="80" t="inlineStr">
        <is>
          <t>BAC_MGT</t>
        </is>
      </c>
      <c r="D28" s="80" t="inlineStr">
        <is>
          <t>B1</t>
        </is>
      </c>
      <c r="E28" s="80" t="inlineStr">
        <is>
          <t>INIT</t>
        </is>
      </c>
      <c r="F28" s="80" t="n">
        <v>1</v>
      </c>
      <c r="G28" s="81" t="n">
        <v>2</v>
      </c>
      <c r="H28" s="81" t="n">
        <v>32</v>
      </c>
      <c r="I28" s="81" t="n">
        <v>64</v>
      </c>
      <c r="J28" s="82" t="n">
        <v>55.7467</v>
      </c>
      <c r="K28" s="83" t="n">
        <v>411986.15</v>
      </c>
      <c r="L28" s="83" t="n">
        <v>31076.54</v>
      </c>
      <c r="M28" s="83" t="n">
        <v>20421.8172</v>
      </c>
      <c r="N28" s="83" t="n">
        <v>13319.4628</v>
      </c>
      <c r="O28" s="83" t="n">
        <v>74709.83</v>
      </c>
      <c r="P28" s="83" t="n">
        <v>137944.3</v>
      </c>
      <c r="Q28" s="83" t="n">
        <v>12306.66</v>
      </c>
      <c r="R28" s="83" t="n">
        <v>43986.29</v>
      </c>
      <c r="S28" s="83" t="n">
        <v>889.59</v>
      </c>
      <c r="T28" s="83">
        <f>SUM(L28:R28)</f>
        <v/>
      </c>
      <c r="U28" s="83">
        <f>K28-T28</f>
        <v/>
      </c>
      <c r="V28" s="83">
        <f>K28-(L28+M28+N28)</f>
        <v/>
      </c>
      <c r="W28" s="83">
        <f>L28/G28</f>
        <v/>
      </c>
      <c r="X28" s="83">
        <f>O28/G28</f>
        <v/>
      </c>
      <c r="Y28" s="83">
        <f>M28/J28</f>
        <v/>
      </c>
      <c r="Z28" s="84">
        <f>J28/I28</f>
        <v/>
      </c>
      <c r="AA28" s="81">
        <f>COUNTIFS($A$4:$A28,$A28)</f>
        <v/>
      </c>
      <c r="AB28" s="80">
        <f>$A28&amp;"#"&amp;$AA28</f>
        <v/>
      </c>
      <c r="AC28" s="82">
        <f>J28/G28</f>
        <v/>
      </c>
      <c r="AD28" s="82">
        <f>(T28/G28)/(V28/J28)</f>
        <v/>
      </c>
    </row>
    <row r="29">
      <c r="A29" s="80" t="inlineStr">
        <is>
          <t>MBWAY_BOR</t>
        </is>
      </c>
      <c r="B29" s="80" t="inlineStr">
        <is>
          <t>MBWAY</t>
        </is>
      </c>
      <c r="C29" s="80" t="inlineStr">
        <is>
          <t>BAC_MGT</t>
        </is>
      </c>
      <c r="D29" s="80" t="inlineStr">
        <is>
          <t>B2</t>
        </is>
      </c>
      <c r="E29" s="80" t="inlineStr">
        <is>
          <t>ALT</t>
        </is>
      </c>
      <c r="F29" s="80" t="n">
        <v>0</v>
      </c>
      <c r="G29" s="81" t="n">
        <v>2</v>
      </c>
      <c r="H29" s="81" t="n">
        <v>32</v>
      </c>
      <c r="I29" s="81" t="n">
        <v>64</v>
      </c>
      <c r="J29" s="82" t="n">
        <v>49.255</v>
      </c>
      <c r="K29" s="83" t="n">
        <v>335605.31</v>
      </c>
      <c r="L29" s="83" t="n">
        <v>24861.24</v>
      </c>
      <c r="M29" s="83" t="n">
        <v>18043.6978</v>
      </c>
      <c r="N29" s="83" t="n">
        <v>0</v>
      </c>
      <c r="O29" s="83" t="n">
        <v>59767.87</v>
      </c>
      <c r="P29" s="83" t="n">
        <v>137944.3</v>
      </c>
      <c r="Q29" s="83" t="n">
        <v>12306.66</v>
      </c>
      <c r="R29" s="83" t="n">
        <v>43986.29</v>
      </c>
      <c r="S29" s="83" t="n">
        <v>889.59</v>
      </c>
      <c r="T29" s="83">
        <f>SUM(L29:R29)</f>
        <v/>
      </c>
      <c r="U29" s="83">
        <f>K29-T29</f>
        <v/>
      </c>
      <c r="V29" s="83">
        <f>K29-(L29+M29+N29)</f>
        <v/>
      </c>
      <c r="W29" s="83">
        <f>L29/G29</f>
        <v/>
      </c>
      <c r="X29" s="83">
        <f>O29/G29</f>
        <v/>
      </c>
      <c r="Y29" s="83">
        <f>M29/J29</f>
        <v/>
      </c>
      <c r="Z29" s="84">
        <f>J29/I29</f>
        <v/>
      </c>
      <c r="AA29" s="81">
        <f>COUNTIFS($A$4:$A29,$A29)</f>
        <v/>
      </c>
      <c r="AB29" s="80">
        <f>$A29&amp;"#"&amp;$AA29</f>
        <v/>
      </c>
      <c r="AC29" s="82">
        <f>J29/G29</f>
        <v/>
      </c>
      <c r="AD29" s="82">
        <f>(T29/G29)/(V29/J29)</f>
        <v/>
      </c>
    </row>
    <row r="30">
      <c r="A30" s="80" t="inlineStr">
        <is>
          <t>MBWAY_BOR</t>
        </is>
      </c>
      <c r="B30" s="80" t="inlineStr">
        <is>
          <t>MBWAY</t>
        </is>
      </c>
      <c r="C30" s="80" t="inlineStr">
        <is>
          <t>BAC_MGT</t>
        </is>
      </c>
      <c r="D30" s="80" t="inlineStr">
        <is>
          <t>B3</t>
        </is>
      </c>
      <c r="E30" s="80" t="inlineStr">
        <is>
          <t>ALT</t>
        </is>
      </c>
      <c r="F30" s="80" t="n">
        <v>0</v>
      </c>
      <c r="G30" s="81" t="n">
        <v>2</v>
      </c>
      <c r="H30" s="81" t="n">
        <v>32</v>
      </c>
      <c r="I30" s="81" t="n">
        <v>64</v>
      </c>
      <c r="J30" s="82" t="n">
        <v>48.245</v>
      </c>
      <c r="K30" s="83" t="n">
        <v>328723.54</v>
      </c>
      <c r="L30" s="83" t="n">
        <v>24861.24</v>
      </c>
      <c r="M30" s="83" t="n">
        <v>17673.7021</v>
      </c>
      <c r="N30" s="83" t="n">
        <v>0</v>
      </c>
      <c r="O30" s="83" t="n">
        <v>59767.87</v>
      </c>
      <c r="P30" s="83" t="n">
        <v>137944.3</v>
      </c>
      <c r="Q30" s="83" t="n">
        <v>12306.66</v>
      </c>
      <c r="R30" s="83" t="n">
        <v>43986.29</v>
      </c>
      <c r="S30" s="83" t="n">
        <v>889.59</v>
      </c>
      <c r="T30" s="83">
        <f>SUM(L30:R30)</f>
        <v/>
      </c>
      <c r="U30" s="83">
        <f>K30-T30</f>
        <v/>
      </c>
      <c r="V30" s="83">
        <f>K30-(L30+M30+N30)</f>
        <v/>
      </c>
      <c r="W30" s="83">
        <f>L30/G30</f>
        <v/>
      </c>
      <c r="X30" s="83">
        <f>O30/G30</f>
        <v/>
      </c>
      <c r="Y30" s="83">
        <f>M30/J30</f>
        <v/>
      </c>
      <c r="Z30" s="84">
        <f>J30/I30</f>
        <v/>
      </c>
      <c r="AA30" s="81">
        <f>COUNTIFS($A$4:$A30,$A30)</f>
        <v/>
      </c>
      <c r="AB30" s="80">
        <f>$A30&amp;"#"&amp;$AA30</f>
        <v/>
      </c>
      <c r="AC30" s="82">
        <f>J30/G30</f>
        <v/>
      </c>
      <c r="AD30" s="82">
        <f>(T30/G30)/(V30/J30)</f>
        <v/>
      </c>
    </row>
    <row r="31">
      <c r="A31" s="80" t="inlineStr">
        <is>
          <t>MBWAY_BOR</t>
        </is>
      </c>
      <c r="B31" s="80" t="inlineStr">
        <is>
          <t>MBWAY</t>
        </is>
      </c>
      <c r="C31" s="80" t="inlineStr">
        <is>
          <t>MAS_MGT</t>
        </is>
      </c>
      <c r="D31" s="80" t="inlineStr">
        <is>
          <t>M1</t>
        </is>
      </c>
      <c r="E31" s="80" t="inlineStr">
        <is>
          <t>ALT</t>
        </is>
      </c>
      <c r="F31" s="80" t="n">
        <v>1</v>
      </c>
      <c r="G31" s="81" t="n">
        <v>2</v>
      </c>
      <c r="H31" s="81" t="n">
        <v>26</v>
      </c>
      <c r="I31" s="81" t="n">
        <v>52</v>
      </c>
      <c r="J31" s="82" t="n">
        <v>56.9101</v>
      </c>
      <c r="K31" s="83" t="n">
        <v>420583.38</v>
      </c>
      <c r="L31" s="83" t="n">
        <v>21753.58</v>
      </c>
      <c r="M31" s="83" t="n">
        <v>20848.0082</v>
      </c>
      <c r="N31" s="83" t="n">
        <v>13597.3818</v>
      </c>
      <c r="O31" s="83" t="n">
        <v>52296.88</v>
      </c>
      <c r="P31" s="83" t="n">
        <v>137944.3</v>
      </c>
      <c r="Q31" s="83" t="n">
        <v>12306.66</v>
      </c>
      <c r="R31" s="83" t="n">
        <v>43986.29</v>
      </c>
      <c r="S31" s="83" t="n">
        <v>889.59</v>
      </c>
      <c r="T31" s="83">
        <f>SUM(L31:R31)</f>
        <v/>
      </c>
      <c r="U31" s="83">
        <f>K31-T31</f>
        <v/>
      </c>
      <c r="V31" s="83">
        <f>K31-(L31+M31+N31)</f>
        <v/>
      </c>
      <c r="W31" s="83">
        <f>L31/G31</f>
        <v/>
      </c>
      <c r="X31" s="83">
        <f>O31/G31</f>
        <v/>
      </c>
      <c r="Y31" s="83">
        <f>M31/J31</f>
        <v/>
      </c>
      <c r="Z31" s="84">
        <f>J31/I31</f>
        <v/>
      </c>
      <c r="AA31" s="81">
        <f>COUNTIFS($A$4:$A31,$A31)</f>
        <v/>
      </c>
      <c r="AB31" s="80">
        <f>$A31&amp;"#"&amp;$AA31</f>
        <v/>
      </c>
      <c r="AC31" s="82">
        <f>J31/G31</f>
        <v/>
      </c>
      <c r="AD31" s="82">
        <f>(T31/G31)/(V31/J31)</f>
        <v/>
      </c>
    </row>
    <row r="32">
      <c r="A32" s="80" t="inlineStr">
        <is>
          <t>MBWAY_BOR</t>
        </is>
      </c>
      <c r="B32" s="80" t="inlineStr">
        <is>
          <t>MBWAY</t>
        </is>
      </c>
      <c r="C32" s="80" t="inlineStr">
        <is>
          <t>MAS_MGT</t>
        </is>
      </c>
      <c r="D32" s="80" t="inlineStr">
        <is>
          <t>M2</t>
        </is>
      </c>
      <c r="E32" s="80" t="inlineStr">
        <is>
          <t>ALT</t>
        </is>
      </c>
      <c r="F32" s="80" t="n">
        <v>0</v>
      </c>
      <c r="G32" s="81" t="n">
        <v>2</v>
      </c>
      <c r="H32" s="81" t="n">
        <v>26</v>
      </c>
      <c r="I32" s="81" t="n">
        <v>52</v>
      </c>
      <c r="J32" s="82" t="n">
        <v>50.255</v>
      </c>
      <c r="K32" s="83" t="n">
        <v>366877.43</v>
      </c>
      <c r="L32" s="83" t="n">
        <v>21753.58</v>
      </c>
      <c r="M32" s="83" t="n">
        <v>18410.0301</v>
      </c>
      <c r="N32" s="83" t="n">
        <v>0</v>
      </c>
      <c r="O32" s="83" t="n">
        <v>52296.88</v>
      </c>
      <c r="P32" s="83" t="n">
        <v>137944.3</v>
      </c>
      <c r="Q32" s="83" t="n">
        <v>12306.66</v>
      </c>
      <c r="R32" s="83" t="n">
        <v>43986.29</v>
      </c>
      <c r="S32" s="83" t="n">
        <v>889.59</v>
      </c>
      <c r="T32" s="83">
        <f>SUM(L32:R32)</f>
        <v/>
      </c>
      <c r="U32" s="83">
        <f>K32-T32</f>
        <v/>
      </c>
      <c r="V32" s="83">
        <f>K32-(L32+M32+N32)</f>
        <v/>
      </c>
      <c r="W32" s="83">
        <f>L32/G32</f>
        <v/>
      </c>
      <c r="X32" s="83">
        <f>O32/G32</f>
        <v/>
      </c>
      <c r="Y32" s="83">
        <f>M32/J32</f>
        <v/>
      </c>
      <c r="Z32" s="84">
        <f>J32/I32</f>
        <v/>
      </c>
      <c r="AA32" s="81">
        <f>COUNTIFS($A$4:$A32,$A32)</f>
        <v/>
      </c>
      <c r="AB32" s="80">
        <f>$A32&amp;"#"&amp;$AA32</f>
        <v/>
      </c>
      <c r="AC32" s="82">
        <f>J32/G32</f>
        <v/>
      </c>
      <c r="AD32" s="82">
        <f>(T32/G32)/(V32/J32)</f>
        <v/>
      </c>
    </row>
    <row r="33">
      <c r="A33" s="80" t="inlineStr">
        <is>
          <t>MBWAY_LYO</t>
        </is>
      </c>
      <c r="B33" s="80" t="inlineStr">
        <is>
          <t>MBWAY</t>
        </is>
      </c>
      <c r="C33" s="80" t="inlineStr">
        <is>
          <t>BAC_MGT</t>
        </is>
      </c>
      <c r="D33" s="80" t="inlineStr">
        <is>
          <t>B1</t>
        </is>
      </c>
      <c r="E33" s="80" t="inlineStr">
        <is>
          <t>INIT</t>
        </is>
      </c>
      <c r="F33" s="80" t="n">
        <v>1</v>
      </c>
      <c r="G33" s="81" t="n">
        <v>3</v>
      </c>
      <c r="H33" s="81" t="n">
        <v>32</v>
      </c>
      <c r="I33" s="81" t="n">
        <v>96</v>
      </c>
      <c r="J33" s="82" t="n">
        <v>72.0059</v>
      </c>
      <c r="K33" s="83" t="n">
        <v>575499.96</v>
      </c>
      <c r="L33" s="83" t="n">
        <v>46614.91</v>
      </c>
      <c r="M33" s="83" t="n">
        <v>26405.3784</v>
      </c>
      <c r="N33" s="83" t="n">
        <v>22329.2216</v>
      </c>
      <c r="O33" s="83" t="n">
        <v>123059.29</v>
      </c>
      <c r="P33" s="83" t="n">
        <v>227361.66</v>
      </c>
      <c r="Q33" s="83" t="n">
        <v>18457.97</v>
      </c>
      <c r="R33" s="83" t="n">
        <v>65972.19</v>
      </c>
      <c r="S33" s="83" t="n">
        <v>1101.6</v>
      </c>
      <c r="T33" s="83">
        <f>SUM(L33:R33)</f>
        <v/>
      </c>
      <c r="U33" s="83">
        <f>K33-T33</f>
        <v/>
      </c>
      <c r="V33" s="83">
        <f>K33-(L33+M33+N33)</f>
        <v/>
      </c>
      <c r="W33" s="83">
        <f>L33/G33</f>
        <v/>
      </c>
      <c r="X33" s="83">
        <f>O33/G33</f>
        <v/>
      </c>
      <c r="Y33" s="83">
        <f>M33/J33</f>
        <v/>
      </c>
      <c r="Z33" s="84">
        <f>J33/I33</f>
        <v/>
      </c>
      <c r="AA33" s="81">
        <f>COUNTIFS($A$4:$A33,$A33)</f>
        <v/>
      </c>
      <c r="AB33" s="80">
        <f>$A33&amp;"#"&amp;$AA33</f>
        <v/>
      </c>
      <c r="AC33" s="82">
        <f>J33/G33</f>
        <v/>
      </c>
      <c r="AD33" s="82">
        <f>(T33/G33)/(V33/J33)</f>
        <v/>
      </c>
    </row>
    <row r="34">
      <c r="A34" s="80" t="inlineStr">
        <is>
          <t>MBWAY_LYO</t>
        </is>
      </c>
      <c r="B34" s="80" t="inlineStr">
        <is>
          <t>MBWAY</t>
        </is>
      </c>
      <c r="C34" s="80" t="inlineStr">
        <is>
          <t>BAC_MGT</t>
        </is>
      </c>
      <c r="D34" s="80" t="inlineStr">
        <is>
          <t>B2</t>
        </is>
      </c>
      <c r="E34" s="80" t="inlineStr">
        <is>
          <t>ALT</t>
        </is>
      </c>
      <c r="F34" s="80" t="n">
        <v>0</v>
      </c>
      <c r="G34" s="81" t="n">
        <v>2</v>
      </c>
      <c r="H34" s="81" t="n">
        <v>32</v>
      </c>
      <c r="I34" s="81" t="n">
        <v>64</v>
      </c>
      <c r="J34" s="82" t="n">
        <v>64.33</v>
      </c>
      <c r="K34" s="83" t="n">
        <v>474470.93</v>
      </c>
      <c r="L34" s="83" t="n">
        <v>24861.28</v>
      </c>
      <c r="M34" s="83" t="n">
        <v>23590.539</v>
      </c>
      <c r="N34" s="83" t="n">
        <v>0</v>
      </c>
      <c r="O34" s="83" t="n">
        <v>65631.62</v>
      </c>
      <c r="P34" s="83" t="n">
        <v>151574.44</v>
      </c>
      <c r="Q34" s="83" t="n">
        <v>12305.31</v>
      </c>
      <c r="R34" s="83" t="n">
        <v>43981.46</v>
      </c>
      <c r="S34" s="83" t="n">
        <v>1101.6</v>
      </c>
      <c r="T34" s="83">
        <f>SUM(L34:R34)</f>
        <v/>
      </c>
      <c r="U34" s="83">
        <f>K34-T34</f>
        <v/>
      </c>
      <c r="V34" s="83">
        <f>K34-(L34+M34+N34)</f>
        <v/>
      </c>
      <c r="W34" s="83">
        <f>L34/G34</f>
        <v/>
      </c>
      <c r="X34" s="83">
        <f>O34/G34</f>
        <v/>
      </c>
      <c r="Y34" s="83">
        <f>M34/J34</f>
        <v/>
      </c>
      <c r="Z34" s="84">
        <f>J34/I34</f>
        <v/>
      </c>
      <c r="AA34" s="81">
        <f>COUNTIFS($A$4:$A34,$A34)</f>
        <v/>
      </c>
      <c r="AB34" s="80">
        <f>$A34&amp;"#"&amp;$AA34</f>
        <v/>
      </c>
      <c r="AC34" s="82">
        <f>J34/G34</f>
        <v/>
      </c>
      <c r="AD34" s="82">
        <f>(T34/G34)/(V34/J34)</f>
        <v/>
      </c>
    </row>
    <row r="35">
      <c r="A35" s="80" t="inlineStr">
        <is>
          <t>MBWAY_LYO</t>
        </is>
      </c>
      <c r="B35" s="80" t="inlineStr">
        <is>
          <t>MBWAY</t>
        </is>
      </c>
      <c r="C35" s="80" t="inlineStr">
        <is>
          <t>BAC_MGT</t>
        </is>
      </c>
      <c r="D35" s="80" t="inlineStr">
        <is>
          <t>B3</t>
        </is>
      </c>
      <c r="E35" s="80" t="inlineStr">
        <is>
          <t>ALT</t>
        </is>
      </c>
      <c r="F35" s="80" t="n">
        <v>0</v>
      </c>
      <c r="G35" s="81" t="n">
        <v>2</v>
      </c>
      <c r="H35" s="81" t="n">
        <v>32</v>
      </c>
      <c r="I35" s="81" t="n">
        <v>64</v>
      </c>
      <c r="J35" s="82" t="n">
        <v>63.32</v>
      </c>
      <c r="K35" s="83" t="n">
        <v>467021.6</v>
      </c>
      <c r="L35" s="83" t="n">
        <v>24861.28</v>
      </c>
      <c r="M35" s="83" t="n">
        <v>23220.1606</v>
      </c>
      <c r="N35" s="83" t="n">
        <v>0</v>
      </c>
      <c r="O35" s="83" t="n">
        <v>65631.62</v>
      </c>
      <c r="P35" s="83" t="n">
        <v>151574.44</v>
      </c>
      <c r="Q35" s="83" t="n">
        <v>12305.31</v>
      </c>
      <c r="R35" s="83" t="n">
        <v>43981.46</v>
      </c>
      <c r="S35" s="83" t="n">
        <v>1101.6</v>
      </c>
      <c r="T35" s="83">
        <f>SUM(L35:R35)</f>
        <v/>
      </c>
      <c r="U35" s="83">
        <f>K35-T35</f>
        <v/>
      </c>
      <c r="V35" s="83">
        <f>K35-(L35+M35+N35)</f>
        <v/>
      </c>
      <c r="W35" s="83">
        <f>L35/G35</f>
        <v/>
      </c>
      <c r="X35" s="83">
        <f>O35/G35</f>
        <v/>
      </c>
      <c r="Y35" s="83">
        <f>M35/J35</f>
        <v/>
      </c>
      <c r="Z35" s="84">
        <f>J35/I35</f>
        <v/>
      </c>
      <c r="AA35" s="81">
        <f>COUNTIFS($A$4:$A35,$A35)</f>
        <v/>
      </c>
      <c r="AB35" s="80">
        <f>$A35&amp;"#"&amp;$AA35</f>
        <v/>
      </c>
      <c r="AC35" s="82">
        <f>J35/G35</f>
        <v/>
      </c>
      <c r="AD35" s="82">
        <f>(T35/G35)/(V35/J35)</f>
        <v/>
      </c>
    </row>
    <row r="36">
      <c r="A36" s="80" t="inlineStr">
        <is>
          <t>MBWAY_LYO</t>
        </is>
      </c>
      <c r="B36" s="80" t="inlineStr">
        <is>
          <t>MBWAY</t>
        </is>
      </c>
      <c r="C36" s="80" t="inlineStr">
        <is>
          <t>MAS_MGT</t>
        </is>
      </c>
      <c r="D36" s="80" t="inlineStr">
        <is>
          <t>M1</t>
        </is>
      </c>
      <c r="E36" s="80" t="inlineStr">
        <is>
          <t>ALT</t>
        </is>
      </c>
      <c r="F36" s="80" t="n">
        <v>1</v>
      </c>
      <c r="G36" s="81" t="n">
        <v>3</v>
      </c>
      <c r="H36" s="81" t="n">
        <v>26</v>
      </c>
      <c r="I36" s="81" t="n">
        <v>78</v>
      </c>
      <c r="J36" s="82" t="n">
        <v>73.5123</v>
      </c>
      <c r="K36" s="83" t="n">
        <v>587540.45</v>
      </c>
      <c r="L36" s="83" t="n">
        <v>32630.43</v>
      </c>
      <c r="M36" s="83" t="n">
        <v>26957.7924</v>
      </c>
      <c r="N36" s="83" t="n">
        <v>22796.4276</v>
      </c>
      <c r="O36" s="83" t="n">
        <v>86141.5</v>
      </c>
      <c r="P36" s="83" t="n">
        <v>227361.66</v>
      </c>
      <c r="Q36" s="83" t="n">
        <v>18457.97</v>
      </c>
      <c r="R36" s="83" t="n">
        <v>65972.19</v>
      </c>
      <c r="S36" s="83" t="n">
        <v>1101.6</v>
      </c>
      <c r="T36" s="83">
        <f>SUM(L36:R36)</f>
        <v/>
      </c>
      <c r="U36" s="83">
        <f>K36-T36</f>
        <v/>
      </c>
      <c r="V36" s="83">
        <f>K36-(L36+M36+N36)</f>
        <v/>
      </c>
      <c r="W36" s="83">
        <f>L36/G36</f>
        <v/>
      </c>
      <c r="X36" s="83">
        <f>O36/G36</f>
        <v/>
      </c>
      <c r="Y36" s="83">
        <f>M36/J36</f>
        <v/>
      </c>
      <c r="Z36" s="84">
        <f>J36/I36</f>
        <v/>
      </c>
      <c r="AA36" s="81">
        <f>COUNTIFS($A$4:$A36,$A36)</f>
        <v/>
      </c>
      <c r="AB36" s="80">
        <f>$A36&amp;"#"&amp;$AA36</f>
        <v/>
      </c>
      <c r="AC36" s="82">
        <f>J36/G36</f>
        <v/>
      </c>
      <c r="AD36" s="82">
        <f>(T36/G36)/(V36/J36)</f>
        <v/>
      </c>
    </row>
    <row r="37">
      <c r="A37" s="80" t="inlineStr">
        <is>
          <t>MBWAY_LYO</t>
        </is>
      </c>
      <c r="B37" s="80" t="inlineStr">
        <is>
          <t>MBWAY</t>
        </is>
      </c>
      <c r="C37" s="80" t="inlineStr">
        <is>
          <t>MAS_MGT</t>
        </is>
      </c>
      <c r="D37" s="80" t="inlineStr">
        <is>
          <t>M2</t>
        </is>
      </c>
      <c r="E37" s="80" t="inlineStr">
        <is>
          <t>ALT</t>
        </is>
      </c>
      <c r="F37" s="80" t="n">
        <v>0</v>
      </c>
      <c r="G37" s="81" t="n">
        <v>3</v>
      </c>
      <c r="H37" s="81" t="n">
        <v>26</v>
      </c>
      <c r="I37" s="81" t="n">
        <v>78</v>
      </c>
      <c r="J37" s="82" t="n">
        <v>65.33</v>
      </c>
      <c r="K37" s="83" t="n">
        <v>516264.12</v>
      </c>
      <c r="L37" s="83" t="n">
        <v>32630.43</v>
      </c>
      <c r="M37" s="83" t="n">
        <v>23957.2504</v>
      </c>
      <c r="N37" s="83" t="n">
        <v>0</v>
      </c>
      <c r="O37" s="83" t="n">
        <v>86141.5</v>
      </c>
      <c r="P37" s="83" t="n">
        <v>227361.66</v>
      </c>
      <c r="Q37" s="83" t="n">
        <v>18457.97</v>
      </c>
      <c r="R37" s="83" t="n">
        <v>65972.19</v>
      </c>
      <c r="S37" s="83" t="n">
        <v>1101.6</v>
      </c>
      <c r="T37" s="83">
        <f>SUM(L37:R37)</f>
        <v/>
      </c>
      <c r="U37" s="83">
        <f>K37-T37</f>
        <v/>
      </c>
      <c r="V37" s="83">
        <f>K37-(L37+M37+N37)</f>
        <v/>
      </c>
      <c r="W37" s="83">
        <f>L37/G37</f>
        <v/>
      </c>
      <c r="X37" s="83">
        <f>O37/G37</f>
        <v/>
      </c>
      <c r="Y37" s="83">
        <f>M37/J37</f>
        <v/>
      </c>
      <c r="Z37" s="84">
        <f>J37/I37</f>
        <v/>
      </c>
      <c r="AA37" s="81">
        <f>COUNTIFS($A$4:$A37,$A37)</f>
        <v/>
      </c>
      <c r="AB37" s="80">
        <f>$A37&amp;"#"&amp;$AA37</f>
        <v/>
      </c>
      <c r="AC37" s="82">
        <f>J37/G37</f>
        <v/>
      </c>
      <c r="AD37" s="82">
        <f>(T37/G37)/(V37/J37)</f>
        <v/>
      </c>
    </row>
    <row r="38">
      <c r="A38" s="80" t="inlineStr">
        <is>
          <t>MBWAY_NAN</t>
        </is>
      </c>
      <c r="B38" s="80" t="inlineStr">
        <is>
          <t>MBWAY</t>
        </is>
      </c>
      <c r="C38" s="80" t="inlineStr">
        <is>
          <t>BAC_MGT</t>
        </is>
      </c>
      <c r="D38" s="80" t="inlineStr">
        <is>
          <t>B1</t>
        </is>
      </c>
      <c r="E38" s="80" t="inlineStr">
        <is>
          <t>INIT</t>
        </is>
      </c>
      <c r="F38" s="80" t="n">
        <v>1</v>
      </c>
      <c r="G38" s="81" t="n">
        <v>2</v>
      </c>
      <c r="H38" s="81" t="n">
        <v>32</v>
      </c>
      <c r="I38" s="81" t="n">
        <v>64</v>
      </c>
      <c r="J38" s="82" t="n">
        <v>65.5393</v>
      </c>
      <c r="K38" s="83" t="n">
        <v>499153.88</v>
      </c>
      <c r="L38" s="83" t="n">
        <v>31737.79</v>
      </c>
      <c r="M38" s="83" t="n">
        <v>24019.3384</v>
      </c>
      <c r="N38" s="83" t="n">
        <v>16851.1416</v>
      </c>
      <c r="O38" s="83" t="n">
        <v>78079.37</v>
      </c>
      <c r="P38" s="83" t="n">
        <v>139600.21</v>
      </c>
      <c r="Q38" s="83" t="n">
        <v>12103.8</v>
      </c>
      <c r="R38" s="83" t="n">
        <v>43261.21</v>
      </c>
      <c r="S38" s="83" t="n">
        <v>963.5700000000001</v>
      </c>
      <c r="T38" s="83">
        <f>SUM(L38:R38)</f>
        <v/>
      </c>
      <c r="U38" s="83">
        <f>K38-T38</f>
        <v/>
      </c>
      <c r="V38" s="83">
        <f>K38-(L38+M38+N38)</f>
        <v/>
      </c>
      <c r="W38" s="83">
        <f>L38/G38</f>
        <v/>
      </c>
      <c r="X38" s="83">
        <f>O38/G38</f>
        <v/>
      </c>
      <c r="Y38" s="83">
        <f>M38/J38</f>
        <v/>
      </c>
      <c r="Z38" s="84">
        <f>J38/I38</f>
        <v/>
      </c>
      <c r="AA38" s="81">
        <f>COUNTIFS($A$4:$A38,$A38)</f>
        <v/>
      </c>
      <c r="AB38" s="80">
        <f>$A38&amp;"#"&amp;$AA38</f>
        <v/>
      </c>
      <c r="AC38" s="82">
        <f>J38/G38</f>
        <v/>
      </c>
      <c r="AD38" s="82">
        <f>(T38/G38)/(V38/J38)</f>
        <v/>
      </c>
    </row>
    <row r="39">
      <c r="A39" s="80" t="inlineStr">
        <is>
          <t>MBWAY_NAN</t>
        </is>
      </c>
      <c r="B39" s="80" t="inlineStr">
        <is>
          <t>MBWAY</t>
        </is>
      </c>
      <c r="C39" s="80" t="inlineStr">
        <is>
          <t>BAC_MGT</t>
        </is>
      </c>
      <c r="D39" s="80" t="inlineStr">
        <is>
          <t>B2</t>
        </is>
      </c>
      <c r="E39" s="80" t="inlineStr">
        <is>
          <t>ALT</t>
        </is>
      </c>
      <c r="F39" s="80" t="n">
        <v>0</v>
      </c>
      <c r="G39" s="81" t="n">
        <v>2</v>
      </c>
      <c r="H39" s="81" t="n">
        <v>32</v>
      </c>
      <c r="I39" s="81" t="n">
        <v>64</v>
      </c>
      <c r="J39" s="82" t="n">
        <v>58.3</v>
      </c>
      <c r="K39" s="83" t="n">
        <v>409520.19</v>
      </c>
      <c r="L39" s="83" t="n">
        <v>25390.23</v>
      </c>
      <c r="M39" s="83" t="n">
        <v>21366.225</v>
      </c>
      <c r="N39" s="83" t="n">
        <v>0</v>
      </c>
      <c r="O39" s="83" t="n">
        <v>62463.5</v>
      </c>
      <c r="P39" s="83" t="n">
        <v>139600.21</v>
      </c>
      <c r="Q39" s="83" t="n">
        <v>12103.8</v>
      </c>
      <c r="R39" s="83" t="n">
        <v>43261.21</v>
      </c>
      <c r="S39" s="83" t="n">
        <v>963.5700000000001</v>
      </c>
      <c r="T39" s="83">
        <f>SUM(L39:R39)</f>
        <v/>
      </c>
      <c r="U39" s="83">
        <f>K39-T39</f>
        <v/>
      </c>
      <c r="V39" s="83">
        <f>K39-(L39+M39+N39)</f>
        <v/>
      </c>
      <c r="W39" s="83">
        <f>L39/G39</f>
        <v/>
      </c>
      <c r="X39" s="83">
        <f>O39/G39</f>
        <v/>
      </c>
      <c r="Y39" s="83">
        <f>M39/J39</f>
        <v/>
      </c>
      <c r="Z39" s="84">
        <f>J39/I39</f>
        <v/>
      </c>
      <c r="AA39" s="81">
        <f>COUNTIFS($A$4:$A39,$A39)</f>
        <v/>
      </c>
      <c r="AB39" s="80">
        <f>$A39&amp;"#"&amp;$AA39</f>
        <v/>
      </c>
      <c r="AC39" s="82">
        <f>J39/G39</f>
        <v/>
      </c>
      <c r="AD39" s="82">
        <f>(T39/G39)/(V39/J39)</f>
        <v/>
      </c>
    </row>
    <row r="40">
      <c r="A40" s="80" t="inlineStr">
        <is>
          <t>MBWAY_NAN</t>
        </is>
      </c>
      <c r="B40" s="80" t="inlineStr">
        <is>
          <t>MBWAY</t>
        </is>
      </c>
      <c r="C40" s="80" t="inlineStr">
        <is>
          <t>BAC_MGT</t>
        </is>
      </c>
      <c r="D40" s="80" t="inlineStr">
        <is>
          <t>B3</t>
        </is>
      </c>
      <c r="E40" s="80" t="inlineStr">
        <is>
          <t>ALT</t>
        </is>
      </c>
      <c r="F40" s="80" t="n">
        <v>0</v>
      </c>
      <c r="G40" s="81" t="n">
        <v>2</v>
      </c>
      <c r="H40" s="81" t="n">
        <v>32</v>
      </c>
      <c r="I40" s="81" t="n">
        <v>64</v>
      </c>
      <c r="J40" s="82" t="n">
        <v>57.29</v>
      </c>
      <c r="K40" s="83" t="n">
        <v>402425.58</v>
      </c>
      <c r="L40" s="83" t="n">
        <v>25390.23</v>
      </c>
      <c r="M40" s="83" t="n">
        <v>20996.0725</v>
      </c>
      <c r="N40" s="83" t="n">
        <v>0</v>
      </c>
      <c r="O40" s="83" t="n">
        <v>62463.5</v>
      </c>
      <c r="P40" s="83" t="n">
        <v>139600.21</v>
      </c>
      <c r="Q40" s="83" t="n">
        <v>12103.8</v>
      </c>
      <c r="R40" s="83" t="n">
        <v>43261.21</v>
      </c>
      <c r="S40" s="83" t="n">
        <v>963.5700000000001</v>
      </c>
      <c r="T40" s="83">
        <f>SUM(L40:R40)</f>
        <v/>
      </c>
      <c r="U40" s="83">
        <f>K40-T40</f>
        <v/>
      </c>
      <c r="V40" s="83">
        <f>K40-(L40+M40+N40)</f>
        <v/>
      </c>
      <c r="W40" s="83">
        <f>L40/G40</f>
        <v/>
      </c>
      <c r="X40" s="83">
        <f>O40/G40</f>
        <v/>
      </c>
      <c r="Y40" s="83">
        <f>M40/J40</f>
        <v/>
      </c>
      <c r="Z40" s="84">
        <f>J40/I40</f>
        <v/>
      </c>
      <c r="AA40" s="81">
        <f>COUNTIFS($A$4:$A40,$A40)</f>
        <v/>
      </c>
      <c r="AB40" s="80">
        <f>$A40&amp;"#"&amp;$AA40</f>
        <v/>
      </c>
      <c r="AC40" s="82">
        <f>J40/G40</f>
        <v/>
      </c>
      <c r="AD40" s="82">
        <f>(T40/G40)/(V40/J40)</f>
        <v/>
      </c>
    </row>
    <row r="41">
      <c r="A41" s="80" t="inlineStr">
        <is>
          <t>MBWAY_NAN</t>
        </is>
      </c>
      <c r="B41" s="80" t="inlineStr">
        <is>
          <t>MBWAY</t>
        </is>
      </c>
      <c r="C41" s="80" t="inlineStr">
        <is>
          <t>MAS_MGT</t>
        </is>
      </c>
      <c r="D41" s="80" t="inlineStr">
        <is>
          <t>M1</t>
        </is>
      </c>
      <c r="E41" s="80" t="inlineStr">
        <is>
          <t>ALT</t>
        </is>
      </c>
      <c r="F41" s="80" t="n">
        <v>1</v>
      </c>
      <c r="G41" s="81" t="n">
        <v>3</v>
      </c>
      <c r="H41" s="81" t="n">
        <v>26</v>
      </c>
      <c r="I41" s="81" t="n">
        <v>78</v>
      </c>
      <c r="J41" s="82" t="n">
        <v>66.91370000000001</v>
      </c>
      <c r="K41" s="83" t="n">
        <v>509621.09</v>
      </c>
      <c r="L41" s="83" t="n">
        <v>33324.68</v>
      </c>
      <c r="M41" s="83" t="n">
        <v>24523.0389</v>
      </c>
      <c r="N41" s="83" t="n">
        <v>17204.4911</v>
      </c>
      <c r="O41" s="83" t="n">
        <v>81983.34</v>
      </c>
      <c r="P41" s="83" t="n">
        <v>209400.31</v>
      </c>
      <c r="Q41" s="83" t="n">
        <v>18155.7</v>
      </c>
      <c r="R41" s="83" t="n">
        <v>64891.82</v>
      </c>
      <c r="S41" s="83" t="n">
        <v>963.5700000000001</v>
      </c>
      <c r="T41" s="83">
        <f>SUM(L41:R41)</f>
        <v/>
      </c>
      <c r="U41" s="83">
        <f>K41-T41</f>
        <v/>
      </c>
      <c r="V41" s="83">
        <f>K41-(L41+M41+N41)</f>
        <v/>
      </c>
      <c r="W41" s="83">
        <f>L41/G41</f>
        <v/>
      </c>
      <c r="X41" s="83">
        <f>O41/G41</f>
        <v/>
      </c>
      <c r="Y41" s="83">
        <f>M41/J41</f>
        <v/>
      </c>
      <c r="Z41" s="84">
        <f>J41/I41</f>
        <v/>
      </c>
      <c r="AA41" s="81">
        <f>COUNTIFS($A$4:$A41,$A41)</f>
        <v/>
      </c>
      <c r="AB41" s="80">
        <f>$A41&amp;"#"&amp;$AA41</f>
        <v/>
      </c>
      <c r="AC41" s="82">
        <f>J41/G41</f>
        <v/>
      </c>
      <c r="AD41" s="82">
        <f>(T41/G41)/(V41/J41)</f>
        <v/>
      </c>
    </row>
    <row r="42">
      <c r="A42" s="80" t="inlineStr">
        <is>
          <t>MBWAY_NAN</t>
        </is>
      </c>
      <c r="B42" s="80" t="inlineStr">
        <is>
          <t>MBWAY</t>
        </is>
      </c>
      <c r="C42" s="80" t="inlineStr">
        <is>
          <t>MAS_MGT</t>
        </is>
      </c>
      <c r="D42" s="80" t="inlineStr">
        <is>
          <t>M2</t>
        </is>
      </c>
      <c r="E42" s="80" t="inlineStr">
        <is>
          <t>ALT</t>
        </is>
      </c>
      <c r="F42" s="80" t="n">
        <v>0</v>
      </c>
      <c r="G42" s="81" t="n">
        <v>3</v>
      </c>
      <c r="H42" s="81" t="n">
        <v>26</v>
      </c>
      <c r="I42" s="81" t="n">
        <v>78</v>
      </c>
      <c r="J42" s="82" t="n">
        <v>59.3</v>
      </c>
      <c r="K42" s="83" t="n">
        <v>446297.73</v>
      </c>
      <c r="L42" s="83" t="n">
        <v>33324.68</v>
      </c>
      <c r="M42" s="83" t="n">
        <v>21732.7125</v>
      </c>
      <c r="N42" s="83" t="n">
        <v>0</v>
      </c>
      <c r="O42" s="83" t="n">
        <v>81983.34</v>
      </c>
      <c r="P42" s="83" t="n">
        <v>209400.31</v>
      </c>
      <c r="Q42" s="83" t="n">
        <v>18155.7</v>
      </c>
      <c r="R42" s="83" t="n">
        <v>64891.82</v>
      </c>
      <c r="S42" s="83" t="n">
        <v>963.5700000000001</v>
      </c>
      <c r="T42" s="83">
        <f>SUM(L42:R42)</f>
        <v/>
      </c>
      <c r="U42" s="83">
        <f>K42-T42</f>
        <v/>
      </c>
      <c r="V42" s="83">
        <f>K42-(L42+M42+N42)</f>
        <v/>
      </c>
      <c r="W42" s="83">
        <f>L42/G42</f>
        <v/>
      </c>
      <c r="X42" s="83">
        <f>O42/G42</f>
        <v/>
      </c>
      <c r="Y42" s="83">
        <f>M42/J42</f>
        <v/>
      </c>
      <c r="Z42" s="84">
        <f>J42/I42</f>
        <v/>
      </c>
      <c r="AA42" s="81">
        <f>COUNTIFS($A$4:$A42,$A42)</f>
        <v/>
      </c>
      <c r="AB42" s="80">
        <f>$A42&amp;"#"&amp;$AA42</f>
        <v/>
      </c>
      <c r="AC42" s="82">
        <f>J42/G42</f>
        <v/>
      </c>
      <c r="AD42" s="82">
        <f>(T42/G42)/(V42/J42)</f>
        <v/>
      </c>
    </row>
    <row r="43">
      <c r="A43" s="80" t="inlineStr">
        <is>
          <t>MBWAY_PAR</t>
        </is>
      </c>
      <c r="B43" s="80" t="inlineStr">
        <is>
          <t>MBWAY</t>
        </is>
      </c>
      <c r="C43" s="80" t="inlineStr">
        <is>
          <t>BAC_MGT</t>
        </is>
      </c>
      <c r="D43" s="80" t="inlineStr">
        <is>
          <t>B1</t>
        </is>
      </c>
      <c r="E43" s="80" t="inlineStr">
        <is>
          <t>INIT</t>
        </is>
      </c>
      <c r="F43" s="80" t="n">
        <v>1</v>
      </c>
      <c r="G43" s="81" t="n">
        <v>3</v>
      </c>
      <c r="H43" s="81" t="n">
        <v>32</v>
      </c>
      <c r="I43" s="81" t="n">
        <v>96</v>
      </c>
      <c r="J43" s="82" t="n">
        <v>84.92059999999999</v>
      </c>
      <c r="K43" s="83" t="n">
        <v>723458.27</v>
      </c>
      <c r="L43" s="83" t="n">
        <v>46614.95</v>
      </c>
      <c r="M43" s="83" t="n">
        <v>31165.5275</v>
      </c>
      <c r="N43" s="83" t="n">
        <v>36494.3925</v>
      </c>
      <c r="O43" s="83" t="n">
        <v>133799.78</v>
      </c>
      <c r="P43" s="83" t="n">
        <v>250920.48</v>
      </c>
      <c r="Q43" s="83" t="n">
        <v>18845.85</v>
      </c>
      <c r="R43" s="83" t="n">
        <v>67358.55</v>
      </c>
      <c r="S43" s="83" t="n">
        <v>1475.01</v>
      </c>
      <c r="T43" s="83">
        <f>SUM(L43:R43)</f>
        <v/>
      </c>
      <c r="U43" s="83">
        <f>K43-T43</f>
        <v/>
      </c>
      <c r="V43" s="83">
        <f>K43-(L43+M43+N43)</f>
        <v/>
      </c>
      <c r="W43" s="83">
        <f>L43/G43</f>
        <v/>
      </c>
      <c r="X43" s="83">
        <f>O43/G43</f>
        <v/>
      </c>
      <c r="Y43" s="83">
        <f>M43/J43</f>
        <v/>
      </c>
      <c r="Z43" s="84">
        <f>J43/I43</f>
        <v/>
      </c>
      <c r="AA43" s="81">
        <f>COUNTIFS($A$4:$A43,$A43)</f>
        <v/>
      </c>
      <c r="AB43" s="80">
        <f>$A43&amp;"#"&amp;$AA43</f>
        <v/>
      </c>
      <c r="AC43" s="82">
        <f>J43/G43</f>
        <v/>
      </c>
      <c r="AD43" s="82">
        <f>(T43/G43)/(V43/J43)</f>
        <v/>
      </c>
    </row>
    <row r="44">
      <c r="A44" s="80" t="inlineStr">
        <is>
          <t>MBWAY_PAR</t>
        </is>
      </c>
      <c r="B44" s="80" t="inlineStr">
        <is>
          <t>MBWAY</t>
        </is>
      </c>
      <c r="C44" s="80" t="inlineStr">
        <is>
          <t>BAC_MGT</t>
        </is>
      </c>
      <c r="D44" s="80" t="inlineStr">
        <is>
          <t>B2</t>
        </is>
      </c>
      <c r="E44" s="80" t="inlineStr">
        <is>
          <t>ALT</t>
        </is>
      </c>
      <c r="F44" s="80" t="n">
        <v>0</v>
      </c>
      <c r="G44" s="81" t="n">
        <v>3</v>
      </c>
      <c r="H44" s="81" t="n">
        <v>32</v>
      </c>
      <c r="I44" s="81" t="n">
        <v>96</v>
      </c>
      <c r="J44" s="82" t="n">
        <v>76.39</v>
      </c>
      <c r="K44" s="83" t="n">
        <v>600981.76</v>
      </c>
      <c r="L44" s="83" t="n">
        <v>37291.96</v>
      </c>
      <c r="M44" s="83" t="n">
        <v>28034.8307</v>
      </c>
      <c r="N44" s="83" t="n">
        <v>0</v>
      </c>
      <c r="O44" s="83" t="n">
        <v>107039.82</v>
      </c>
      <c r="P44" s="83" t="n">
        <v>250920.48</v>
      </c>
      <c r="Q44" s="83" t="n">
        <v>18845.85</v>
      </c>
      <c r="R44" s="83" t="n">
        <v>67358.55</v>
      </c>
      <c r="S44" s="83" t="n">
        <v>1475.01</v>
      </c>
      <c r="T44" s="83">
        <f>SUM(L44:R44)</f>
        <v/>
      </c>
      <c r="U44" s="83">
        <f>K44-T44</f>
        <v/>
      </c>
      <c r="V44" s="83">
        <f>K44-(L44+M44+N44)</f>
        <v/>
      </c>
      <c r="W44" s="83">
        <f>L44/G44</f>
        <v/>
      </c>
      <c r="X44" s="83">
        <f>O44/G44</f>
        <v/>
      </c>
      <c r="Y44" s="83">
        <f>M44/J44</f>
        <v/>
      </c>
      <c r="Z44" s="84">
        <f>J44/I44</f>
        <v/>
      </c>
      <c r="AA44" s="81">
        <f>COUNTIFS($A$4:$A44,$A44)</f>
        <v/>
      </c>
      <c r="AB44" s="80">
        <f>$A44&amp;"#"&amp;$AA44</f>
        <v/>
      </c>
      <c r="AC44" s="82">
        <f>J44/G44</f>
        <v/>
      </c>
      <c r="AD44" s="82">
        <f>(T44/G44)/(V44/J44)</f>
        <v/>
      </c>
    </row>
    <row r="45">
      <c r="A45" s="80" t="inlineStr">
        <is>
          <t>MBWAY_PAR</t>
        </is>
      </c>
      <c r="B45" s="80" t="inlineStr">
        <is>
          <t>MBWAY</t>
        </is>
      </c>
      <c r="C45" s="80" t="inlineStr">
        <is>
          <t>BAC_MGT</t>
        </is>
      </c>
      <c r="D45" s="80" t="inlineStr">
        <is>
          <t>B3</t>
        </is>
      </c>
      <c r="E45" s="80" t="inlineStr">
        <is>
          <t>ALT</t>
        </is>
      </c>
      <c r="F45" s="80" t="n">
        <v>0</v>
      </c>
      <c r="G45" s="81" t="n">
        <v>3</v>
      </c>
      <c r="H45" s="81" t="n">
        <v>32</v>
      </c>
      <c r="I45" s="81" t="n">
        <v>96</v>
      </c>
      <c r="J45" s="82" t="n">
        <v>74.38</v>
      </c>
      <c r="K45" s="83" t="n">
        <v>585168.52</v>
      </c>
      <c r="L45" s="83" t="n">
        <v>37291.96</v>
      </c>
      <c r="M45" s="83" t="n">
        <v>27297.1686</v>
      </c>
      <c r="N45" s="83" t="n">
        <v>0</v>
      </c>
      <c r="O45" s="83" t="n">
        <v>107039.82</v>
      </c>
      <c r="P45" s="83" t="n">
        <v>250920.48</v>
      </c>
      <c r="Q45" s="83" t="n">
        <v>18845.85</v>
      </c>
      <c r="R45" s="83" t="n">
        <v>67358.55</v>
      </c>
      <c r="S45" s="83" t="n">
        <v>1475.01</v>
      </c>
      <c r="T45" s="83">
        <f>SUM(L45:R45)</f>
        <v/>
      </c>
      <c r="U45" s="83">
        <f>K45-T45</f>
        <v/>
      </c>
      <c r="V45" s="83">
        <f>K45-(L45+M45+N45)</f>
        <v/>
      </c>
      <c r="W45" s="83">
        <f>L45/G45</f>
        <v/>
      </c>
      <c r="X45" s="83">
        <f>O45/G45</f>
        <v/>
      </c>
      <c r="Y45" s="83">
        <f>M45/J45</f>
        <v/>
      </c>
      <c r="Z45" s="84">
        <f>J45/I45</f>
        <v/>
      </c>
      <c r="AA45" s="81">
        <f>COUNTIFS($A$4:$A45,$A45)</f>
        <v/>
      </c>
      <c r="AB45" s="80">
        <f>$A45&amp;"#"&amp;$AA45</f>
        <v/>
      </c>
      <c r="AC45" s="82">
        <f>J45/G45</f>
        <v/>
      </c>
      <c r="AD45" s="82">
        <f>(T45/G45)/(V45/J45)</f>
        <v/>
      </c>
    </row>
    <row r="46">
      <c r="A46" s="80" t="inlineStr">
        <is>
          <t>MBWAY_PAR</t>
        </is>
      </c>
      <c r="B46" s="80" t="inlineStr">
        <is>
          <t>MBWAY</t>
        </is>
      </c>
      <c r="C46" s="80" t="inlineStr">
        <is>
          <t>MAS_MGT</t>
        </is>
      </c>
      <c r="D46" s="80" t="inlineStr">
        <is>
          <t>M1</t>
        </is>
      </c>
      <c r="E46" s="80" t="inlineStr">
        <is>
          <t>ALT</t>
        </is>
      </c>
      <c r="F46" s="80" t="n">
        <v>1</v>
      </c>
      <c r="G46" s="81" t="n">
        <v>3</v>
      </c>
      <c r="H46" s="81" t="n">
        <v>26</v>
      </c>
      <c r="I46" s="81" t="n">
        <v>78</v>
      </c>
      <c r="J46" s="82" t="n">
        <v>86.70189999999999</v>
      </c>
      <c r="K46" s="83" t="n">
        <v>738633.26</v>
      </c>
      <c r="L46" s="83" t="n">
        <v>32630.46</v>
      </c>
      <c r="M46" s="83" t="n">
        <v>31819.2576</v>
      </c>
      <c r="N46" s="83" t="n">
        <v>37259.8724</v>
      </c>
      <c r="O46" s="83" t="n">
        <v>93659.85000000001</v>
      </c>
      <c r="P46" s="83" t="n">
        <v>250920.48</v>
      </c>
      <c r="Q46" s="83" t="n">
        <v>18845.85</v>
      </c>
      <c r="R46" s="83" t="n">
        <v>67358.55</v>
      </c>
      <c r="S46" s="83" t="n">
        <v>1475.01</v>
      </c>
      <c r="T46" s="83">
        <f>SUM(L46:R46)</f>
        <v/>
      </c>
      <c r="U46" s="83">
        <f>K46-T46</f>
        <v/>
      </c>
      <c r="V46" s="83">
        <f>K46-(L46+M46+N46)</f>
        <v/>
      </c>
      <c r="W46" s="83">
        <f>L46/G46</f>
        <v/>
      </c>
      <c r="X46" s="83">
        <f>O46/G46</f>
        <v/>
      </c>
      <c r="Y46" s="83">
        <f>M46/J46</f>
        <v/>
      </c>
      <c r="Z46" s="84">
        <f>J46/I46</f>
        <v/>
      </c>
      <c r="AA46" s="81">
        <f>COUNTIFS($A$4:$A46,$A46)</f>
        <v/>
      </c>
      <c r="AB46" s="80">
        <f>$A46&amp;"#"&amp;$AA46</f>
        <v/>
      </c>
      <c r="AC46" s="82">
        <f>J46/G46</f>
        <v/>
      </c>
      <c r="AD46" s="82">
        <f>(T46/G46)/(V46/J46)</f>
        <v/>
      </c>
    </row>
    <row r="47">
      <c r="A47" s="80" t="inlineStr">
        <is>
          <t>MBWAY_PAR</t>
        </is>
      </c>
      <c r="B47" s="80" t="inlineStr">
        <is>
          <t>MBWAY</t>
        </is>
      </c>
      <c r="C47" s="80" t="inlineStr">
        <is>
          <t>MAS_MGT</t>
        </is>
      </c>
      <c r="D47" s="80" t="inlineStr">
        <is>
          <t>M2</t>
        </is>
      </c>
      <c r="E47" s="80" t="inlineStr">
        <is>
          <t>ALT</t>
        </is>
      </c>
      <c r="F47" s="80" t="n">
        <v>0</v>
      </c>
      <c r="G47" s="81" t="n">
        <v>3</v>
      </c>
      <c r="H47" s="81" t="n">
        <v>26</v>
      </c>
      <c r="I47" s="81" t="n">
        <v>78</v>
      </c>
      <c r="J47" s="82" t="n">
        <v>76.39</v>
      </c>
      <c r="K47" s="83" t="n">
        <v>643909.03</v>
      </c>
      <c r="L47" s="83" t="n">
        <v>32630.46</v>
      </c>
      <c r="M47" s="83" t="n">
        <v>28034.8307</v>
      </c>
      <c r="N47" s="83" t="n">
        <v>0</v>
      </c>
      <c r="O47" s="83" t="n">
        <v>93659.85000000001</v>
      </c>
      <c r="P47" s="83" t="n">
        <v>250920.48</v>
      </c>
      <c r="Q47" s="83" t="n">
        <v>18845.85</v>
      </c>
      <c r="R47" s="83" t="n">
        <v>67358.55</v>
      </c>
      <c r="S47" s="83" t="n">
        <v>1475.01</v>
      </c>
      <c r="T47" s="83">
        <f>SUM(L47:R47)</f>
        <v/>
      </c>
      <c r="U47" s="83">
        <f>K47-T47</f>
        <v/>
      </c>
      <c r="V47" s="83">
        <f>K47-(L47+M47+N47)</f>
        <v/>
      </c>
      <c r="W47" s="83">
        <f>L47/G47</f>
        <v/>
      </c>
      <c r="X47" s="83">
        <f>O47/G47</f>
        <v/>
      </c>
      <c r="Y47" s="83">
        <f>M47/J47</f>
        <v/>
      </c>
      <c r="Z47" s="84">
        <f>J47/I47</f>
        <v/>
      </c>
      <c r="AA47" s="81">
        <f>COUNTIFS($A$4:$A47,$A47)</f>
        <v/>
      </c>
      <c r="AB47" s="80">
        <f>$A47&amp;"#"&amp;$AA47</f>
        <v/>
      </c>
      <c r="AC47" s="82">
        <f>J47/G47</f>
        <v/>
      </c>
      <c r="AD47" s="82">
        <f>(T47/G47)/(V47/J47)</f>
        <v/>
      </c>
    </row>
    <row r="48">
      <c r="A48" s="80" t="inlineStr">
        <is>
          <t>PIGIER_BOR</t>
        </is>
      </c>
      <c r="B48" s="80" t="inlineStr">
        <is>
          <t>PIGIER</t>
        </is>
      </c>
      <c r="C48" s="80" t="inlineStr">
        <is>
          <t>BAC_RH</t>
        </is>
      </c>
      <c r="D48" s="80" t="inlineStr">
        <is>
          <t>B1</t>
        </is>
      </c>
      <c r="E48" s="80" t="inlineStr">
        <is>
          <t>ALT</t>
        </is>
      </c>
      <c r="F48" s="80" t="n">
        <v>1</v>
      </c>
      <c r="G48" s="81" t="n">
        <v>2</v>
      </c>
      <c r="H48" s="81" t="n">
        <v>32</v>
      </c>
      <c r="I48" s="81" t="n">
        <v>64</v>
      </c>
      <c r="J48" s="82" t="n">
        <v>40.0908</v>
      </c>
      <c r="K48" s="83" t="n">
        <v>276535.33</v>
      </c>
      <c r="L48" s="83" t="n">
        <v>16807.56</v>
      </c>
      <c r="M48" s="83" t="n">
        <v>11807.7234</v>
      </c>
      <c r="N48" s="83" t="n">
        <v>11862.7266</v>
      </c>
      <c r="O48" s="83" t="n">
        <v>32927.03</v>
      </c>
      <c r="P48" s="83" t="n">
        <v>72140.22</v>
      </c>
      <c r="Q48" s="83" t="n">
        <v>7653.96</v>
      </c>
      <c r="R48" s="83" t="n">
        <v>38625.87</v>
      </c>
      <c r="S48" s="83" t="n">
        <v>1368.08</v>
      </c>
      <c r="T48" s="83">
        <f>SUM(L48:R48)</f>
        <v/>
      </c>
      <c r="U48" s="83">
        <f>K48-T48</f>
        <v/>
      </c>
      <c r="V48" s="83">
        <f>K48-(L48+M48+N48)</f>
        <v/>
      </c>
      <c r="W48" s="83">
        <f>L48/G48</f>
        <v/>
      </c>
      <c r="X48" s="83">
        <f>O48/G48</f>
        <v/>
      </c>
      <c r="Y48" s="83">
        <f>M48/J48</f>
        <v/>
      </c>
      <c r="Z48" s="84">
        <f>J48/I48</f>
        <v/>
      </c>
      <c r="AA48" s="81">
        <f>COUNTIFS($A$4:$A48,$A48)</f>
        <v/>
      </c>
      <c r="AB48" s="80">
        <f>$A48&amp;"#"&amp;$AA48</f>
        <v/>
      </c>
      <c r="AC48" s="82">
        <f>J48/G48</f>
        <v/>
      </c>
      <c r="AD48" s="82">
        <f>(T48/G48)/(V48/J48)</f>
        <v/>
      </c>
    </row>
    <row r="49">
      <c r="A49" s="80" t="inlineStr">
        <is>
          <t>PIGIER_BOR</t>
        </is>
      </c>
      <c r="B49" s="80" t="inlineStr">
        <is>
          <t>PIGIER</t>
        </is>
      </c>
      <c r="C49" s="80" t="inlineStr">
        <is>
          <t>BAC_RH</t>
        </is>
      </c>
      <c r="D49" s="80" t="inlineStr">
        <is>
          <t>B2</t>
        </is>
      </c>
      <c r="E49" s="80" t="inlineStr">
        <is>
          <t>ALT</t>
        </is>
      </c>
      <c r="F49" s="80" t="n">
        <v>0</v>
      </c>
      <c r="G49" s="81" t="n">
        <v>2</v>
      </c>
      <c r="H49" s="81" t="n">
        <v>32</v>
      </c>
      <c r="I49" s="81" t="n">
        <v>64</v>
      </c>
      <c r="J49" s="82" t="n">
        <v>35.18</v>
      </c>
      <c r="K49" s="83" t="n">
        <v>239495.66</v>
      </c>
      <c r="L49" s="83" t="n">
        <v>16807.56</v>
      </c>
      <c r="M49" s="83" t="n">
        <v>10361.3724</v>
      </c>
      <c r="N49" s="83" t="n">
        <v>0</v>
      </c>
      <c r="O49" s="83" t="n">
        <v>32927.03</v>
      </c>
      <c r="P49" s="83" t="n">
        <v>72140.22</v>
      </c>
      <c r="Q49" s="83" t="n">
        <v>7653.96</v>
      </c>
      <c r="R49" s="83" t="n">
        <v>38625.87</v>
      </c>
      <c r="S49" s="83" t="n">
        <v>1368.08</v>
      </c>
      <c r="T49" s="83">
        <f>SUM(L49:R49)</f>
        <v/>
      </c>
      <c r="U49" s="83">
        <f>K49-T49</f>
        <v/>
      </c>
      <c r="V49" s="83">
        <f>K49-(L49+M49+N49)</f>
        <v/>
      </c>
      <c r="W49" s="83">
        <f>L49/G49</f>
        <v/>
      </c>
      <c r="X49" s="83">
        <f>O49/G49</f>
        <v/>
      </c>
      <c r="Y49" s="83">
        <f>M49/J49</f>
        <v/>
      </c>
      <c r="Z49" s="84">
        <f>J49/I49</f>
        <v/>
      </c>
      <c r="AA49" s="81">
        <f>COUNTIFS($A$4:$A49,$A49)</f>
        <v/>
      </c>
      <c r="AB49" s="80">
        <f>$A49&amp;"#"&amp;$AA49</f>
        <v/>
      </c>
      <c r="AC49" s="82">
        <f>J49/G49</f>
        <v/>
      </c>
      <c r="AD49" s="82">
        <f>(T49/G49)/(V49/J49)</f>
        <v/>
      </c>
    </row>
    <row r="50">
      <c r="A50" s="80" t="inlineStr">
        <is>
          <t>PIGIER_BOR</t>
        </is>
      </c>
      <c r="B50" s="80" t="inlineStr">
        <is>
          <t>PIGIER</t>
        </is>
      </c>
      <c r="C50" s="80" t="inlineStr">
        <is>
          <t>BAC_RH</t>
        </is>
      </c>
      <c r="D50" s="80" t="inlineStr">
        <is>
          <t>B3</t>
        </is>
      </c>
      <c r="E50" s="80" t="inlineStr">
        <is>
          <t>ALT</t>
        </is>
      </c>
      <c r="F50" s="80" t="n">
        <v>0</v>
      </c>
      <c r="G50" s="81" t="n">
        <v>2</v>
      </c>
      <c r="H50" s="81" t="n">
        <v>32</v>
      </c>
      <c r="I50" s="81" t="n">
        <v>64</v>
      </c>
      <c r="J50" s="82" t="n">
        <v>34.175</v>
      </c>
      <c r="K50" s="83" t="n">
        <v>232653.9</v>
      </c>
      <c r="L50" s="83" t="n">
        <v>16807.56</v>
      </c>
      <c r="M50" s="83" t="n">
        <v>10065.3752</v>
      </c>
      <c r="N50" s="83" t="n">
        <v>0</v>
      </c>
      <c r="O50" s="83" t="n">
        <v>32927.03</v>
      </c>
      <c r="P50" s="83" t="n">
        <v>72140.22</v>
      </c>
      <c r="Q50" s="83" t="n">
        <v>7653.96</v>
      </c>
      <c r="R50" s="83" t="n">
        <v>38625.87</v>
      </c>
      <c r="S50" s="83" t="n">
        <v>1368.08</v>
      </c>
      <c r="T50" s="83">
        <f>SUM(L50:R50)</f>
        <v/>
      </c>
      <c r="U50" s="83">
        <f>K50-T50</f>
        <v/>
      </c>
      <c r="V50" s="83">
        <f>K50-(L50+M50+N50)</f>
        <v/>
      </c>
      <c r="W50" s="83">
        <f>L50/G50</f>
        <v/>
      </c>
      <c r="X50" s="83">
        <f>O50/G50</f>
        <v/>
      </c>
      <c r="Y50" s="83">
        <f>M50/J50</f>
        <v/>
      </c>
      <c r="Z50" s="84">
        <f>J50/I50</f>
        <v/>
      </c>
      <c r="AA50" s="81">
        <f>COUNTIFS($A$4:$A50,$A50)</f>
        <v/>
      </c>
      <c r="AB50" s="80">
        <f>$A50&amp;"#"&amp;$AA50</f>
        <v/>
      </c>
      <c r="AC50" s="82">
        <f>J50/G50</f>
        <v/>
      </c>
      <c r="AD50" s="82">
        <f>(T50/G50)/(V50/J50)</f>
        <v/>
      </c>
    </row>
    <row r="51">
      <c r="A51" s="80" t="inlineStr">
        <is>
          <t>PIGIER_BOR</t>
        </is>
      </c>
      <c r="B51" s="80" t="inlineStr">
        <is>
          <t>PIGIER</t>
        </is>
      </c>
      <c r="C51" s="80" t="inlineStr">
        <is>
          <t>BTS_GES</t>
        </is>
      </c>
      <c r="D51" s="80" t="inlineStr">
        <is>
          <t>BTS1</t>
        </is>
      </c>
      <c r="E51" s="80" t="inlineStr">
        <is>
          <t>ALT</t>
        </is>
      </c>
      <c r="F51" s="80" t="n">
        <v>1</v>
      </c>
      <c r="G51" s="81" t="n">
        <v>2</v>
      </c>
      <c r="H51" s="81" t="n">
        <v>30</v>
      </c>
      <c r="I51" s="81" t="n">
        <v>60</v>
      </c>
      <c r="J51" s="82" t="n">
        <v>40.0908</v>
      </c>
      <c r="K51" s="83" t="n">
        <v>237545.73</v>
      </c>
      <c r="L51" s="83" t="n">
        <v>24511.03</v>
      </c>
      <c r="M51" s="83" t="n">
        <v>11807.7234</v>
      </c>
      <c r="N51" s="83" t="n">
        <v>11862.7266</v>
      </c>
      <c r="O51" s="83" t="n">
        <v>48018.59</v>
      </c>
      <c r="P51" s="83" t="n">
        <v>72140.22</v>
      </c>
      <c r="Q51" s="83" t="n">
        <v>7653.96</v>
      </c>
      <c r="R51" s="83" t="n">
        <v>38625.87</v>
      </c>
      <c r="S51" s="83" t="n">
        <v>1368.08</v>
      </c>
      <c r="T51" s="83">
        <f>SUM(L51:R51)</f>
        <v/>
      </c>
      <c r="U51" s="83">
        <f>K51-T51</f>
        <v/>
      </c>
      <c r="V51" s="83">
        <f>K51-(L51+M51+N51)</f>
        <v/>
      </c>
      <c r="W51" s="83">
        <f>L51/G51</f>
        <v/>
      </c>
      <c r="X51" s="83">
        <f>O51/G51</f>
        <v/>
      </c>
      <c r="Y51" s="83">
        <f>M51/J51</f>
        <v/>
      </c>
      <c r="Z51" s="84">
        <f>J51/I51</f>
        <v/>
      </c>
      <c r="AA51" s="81">
        <f>COUNTIFS($A$4:$A51,$A51)</f>
        <v/>
      </c>
      <c r="AB51" s="80">
        <f>$A51&amp;"#"&amp;$AA51</f>
        <v/>
      </c>
      <c r="AC51" s="82">
        <f>J51/G51</f>
        <v/>
      </c>
      <c r="AD51" s="82">
        <f>(T51/G51)/(V51/J51)</f>
        <v/>
      </c>
    </row>
    <row r="52">
      <c r="A52" s="80" t="inlineStr">
        <is>
          <t>PIGIER_BOR</t>
        </is>
      </c>
      <c r="B52" s="80" t="inlineStr">
        <is>
          <t>PIGIER</t>
        </is>
      </c>
      <c r="C52" s="80" t="inlineStr">
        <is>
          <t>BTS_GES</t>
        </is>
      </c>
      <c r="D52" s="80" t="inlineStr">
        <is>
          <t>BTS2</t>
        </is>
      </c>
      <c r="E52" s="80" t="inlineStr">
        <is>
          <t>ALT</t>
        </is>
      </c>
      <c r="F52" s="80" t="n">
        <v>0</v>
      </c>
      <c r="G52" s="81" t="n">
        <v>2</v>
      </c>
      <c r="H52" s="81" t="n">
        <v>30</v>
      </c>
      <c r="I52" s="81" t="n">
        <v>60</v>
      </c>
      <c r="J52" s="82" t="n">
        <v>35.18</v>
      </c>
      <c r="K52" s="83" t="n">
        <v>205281.99</v>
      </c>
      <c r="L52" s="83" t="n">
        <v>24511.03</v>
      </c>
      <c r="M52" s="83" t="n">
        <v>10361.3724</v>
      </c>
      <c r="N52" s="83" t="n">
        <v>0</v>
      </c>
      <c r="O52" s="83" t="n">
        <v>48018.59</v>
      </c>
      <c r="P52" s="83" t="n">
        <v>72140.22</v>
      </c>
      <c r="Q52" s="83" t="n">
        <v>7653.96</v>
      </c>
      <c r="R52" s="83" t="n">
        <v>38625.87</v>
      </c>
      <c r="S52" s="83" t="n">
        <v>1368.08</v>
      </c>
      <c r="T52" s="83">
        <f>SUM(L52:R52)</f>
        <v/>
      </c>
      <c r="U52" s="83">
        <f>K52-T52</f>
        <v/>
      </c>
      <c r="V52" s="83">
        <f>K52-(L52+M52+N52)</f>
        <v/>
      </c>
      <c r="W52" s="83">
        <f>L52/G52</f>
        <v/>
      </c>
      <c r="X52" s="83">
        <f>O52/G52</f>
        <v/>
      </c>
      <c r="Y52" s="83">
        <f>M52/J52</f>
        <v/>
      </c>
      <c r="Z52" s="84">
        <f>J52/I52</f>
        <v/>
      </c>
      <c r="AA52" s="81">
        <f>COUNTIFS($A$4:$A52,$A52)</f>
        <v/>
      </c>
      <c r="AB52" s="80">
        <f>$A52&amp;"#"&amp;$AA52</f>
        <v/>
      </c>
      <c r="AC52" s="82">
        <f>J52/G52</f>
        <v/>
      </c>
      <c r="AD52" s="82">
        <f>(T52/G52)/(V52/J52)</f>
        <v/>
      </c>
    </row>
    <row r="53">
      <c r="A53" s="80" t="inlineStr">
        <is>
          <t>PIGIER_LYO</t>
        </is>
      </c>
      <c r="B53" s="80" t="inlineStr">
        <is>
          <t>PIGIER</t>
        </is>
      </c>
      <c r="C53" s="80" t="inlineStr">
        <is>
          <t>BAC_RH</t>
        </is>
      </c>
      <c r="D53" s="80" t="inlineStr">
        <is>
          <t>B1</t>
        </is>
      </c>
      <c r="E53" s="80" t="inlineStr">
        <is>
          <t>ALT</t>
        </is>
      </c>
      <c r="F53" s="80" t="n">
        <v>1</v>
      </c>
      <c r="G53" s="81" t="n">
        <v>2</v>
      </c>
      <c r="H53" s="81" t="n">
        <v>32</v>
      </c>
      <c r="I53" s="81" t="n">
        <v>64</v>
      </c>
      <c r="J53" s="82" t="n">
        <v>51.1313</v>
      </c>
      <c r="K53" s="83" t="n">
        <v>381397.5</v>
      </c>
      <c r="L53" s="83" t="n">
        <v>16807.56</v>
      </c>
      <c r="M53" s="83" t="n">
        <v>15046.8461</v>
      </c>
      <c r="N53" s="83" t="n">
        <v>19770.4739</v>
      </c>
      <c r="O53" s="83" t="n">
        <v>43476.35</v>
      </c>
      <c r="P53" s="83" t="n">
        <v>111677.37</v>
      </c>
      <c r="Q53" s="83" t="n">
        <v>9818.219999999999</v>
      </c>
      <c r="R53" s="83" t="n">
        <v>49547.81</v>
      </c>
      <c r="S53" s="83" t="n">
        <v>1704.96</v>
      </c>
      <c r="T53" s="83">
        <f>SUM(L53:R53)</f>
        <v/>
      </c>
      <c r="U53" s="83">
        <f>K53-T53</f>
        <v/>
      </c>
      <c r="V53" s="83">
        <f>K53-(L53+M53+N53)</f>
        <v/>
      </c>
      <c r="W53" s="83">
        <f>L53/G53</f>
        <v/>
      </c>
      <c r="X53" s="83">
        <f>O53/G53</f>
        <v/>
      </c>
      <c r="Y53" s="83">
        <f>M53/J53</f>
        <v/>
      </c>
      <c r="Z53" s="84">
        <f>J53/I53</f>
        <v/>
      </c>
      <c r="AA53" s="81">
        <f>COUNTIFS($A$4:$A53,$A53)</f>
        <v/>
      </c>
      <c r="AB53" s="80">
        <f>$A53&amp;"#"&amp;$AA53</f>
        <v/>
      </c>
      <c r="AC53" s="82">
        <f>J53/G53</f>
        <v/>
      </c>
      <c r="AD53" s="82">
        <f>(T53/G53)/(V53/J53)</f>
        <v/>
      </c>
    </row>
    <row r="54">
      <c r="A54" s="80" t="inlineStr">
        <is>
          <t>PIGIER_LYO</t>
        </is>
      </c>
      <c r="B54" s="80" t="inlineStr">
        <is>
          <t>PIGIER</t>
        </is>
      </c>
      <c r="C54" s="80" t="inlineStr">
        <is>
          <t>BAC_RH</t>
        </is>
      </c>
      <c r="D54" s="80" t="inlineStr">
        <is>
          <t>B2</t>
        </is>
      </c>
      <c r="E54" s="80" t="inlineStr">
        <is>
          <t>ALT</t>
        </is>
      </c>
      <c r="F54" s="80" t="n">
        <v>0</v>
      </c>
      <c r="G54" s="81" t="n">
        <v>2</v>
      </c>
      <c r="H54" s="81" t="n">
        <v>32</v>
      </c>
      <c r="I54" s="81" t="n">
        <v>64</v>
      </c>
      <c r="J54" s="82" t="n">
        <v>45.23</v>
      </c>
      <c r="K54" s="83" t="n">
        <v>333308.17</v>
      </c>
      <c r="L54" s="83" t="n">
        <v>16807.56</v>
      </c>
      <c r="M54" s="83" t="n">
        <v>13310.22</v>
      </c>
      <c r="N54" s="83" t="n">
        <v>0</v>
      </c>
      <c r="O54" s="83" t="n">
        <v>43476.35</v>
      </c>
      <c r="P54" s="83" t="n">
        <v>111677.37</v>
      </c>
      <c r="Q54" s="83" t="n">
        <v>9818.219999999999</v>
      </c>
      <c r="R54" s="83" t="n">
        <v>49547.81</v>
      </c>
      <c r="S54" s="83" t="n">
        <v>1704.96</v>
      </c>
      <c r="T54" s="83">
        <f>SUM(L54:R54)</f>
        <v/>
      </c>
      <c r="U54" s="83">
        <f>K54-T54</f>
        <v/>
      </c>
      <c r="V54" s="83">
        <f>K54-(L54+M54+N54)</f>
        <v/>
      </c>
      <c r="W54" s="83">
        <f>L54/G54</f>
        <v/>
      </c>
      <c r="X54" s="83">
        <f>O54/G54</f>
        <v/>
      </c>
      <c r="Y54" s="83">
        <f>M54/J54</f>
        <v/>
      </c>
      <c r="Z54" s="84">
        <f>J54/I54</f>
        <v/>
      </c>
      <c r="AA54" s="81">
        <f>COUNTIFS($A$4:$A54,$A54)</f>
        <v/>
      </c>
      <c r="AB54" s="80">
        <f>$A54&amp;"#"&amp;$AA54</f>
        <v/>
      </c>
      <c r="AC54" s="82">
        <f>J54/G54</f>
        <v/>
      </c>
      <c r="AD54" s="82">
        <f>(T54/G54)/(V54/J54)</f>
        <v/>
      </c>
    </row>
    <row r="55">
      <c r="A55" s="80" t="inlineStr">
        <is>
          <t>PIGIER_LYO</t>
        </is>
      </c>
      <c r="B55" s="80" t="inlineStr">
        <is>
          <t>PIGIER</t>
        </is>
      </c>
      <c r="C55" s="80" t="inlineStr">
        <is>
          <t>BAC_RH</t>
        </is>
      </c>
      <c r="D55" s="80" t="inlineStr">
        <is>
          <t>B3</t>
        </is>
      </c>
      <c r="E55" s="80" t="inlineStr">
        <is>
          <t>ALT</t>
        </is>
      </c>
      <c r="F55" s="80" t="n">
        <v>0</v>
      </c>
      <c r="G55" s="81" t="n">
        <v>2</v>
      </c>
      <c r="H55" s="81" t="n">
        <v>32</v>
      </c>
      <c r="I55" s="81" t="n">
        <v>64</v>
      </c>
      <c r="J55" s="82" t="n">
        <v>44.225</v>
      </c>
      <c r="K55" s="83" t="n">
        <v>325902.14</v>
      </c>
      <c r="L55" s="83" t="n">
        <v>16807.56</v>
      </c>
      <c r="M55" s="83" t="n">
        <v>13014.47</v>
      </c>
      <c r="N55" s="83" t="n">
        <v>0</v>
      </c>
      <c r="O55" s="83" t="n">
        <v>43476.35</v>
      </c>
      <c r="P55" s="83" t="n">
        <v>111677.37</v>
      </c>
      <c r="Q55" s="83" t="n">
        <v>9818.219999999999</v>
      </c>
      <c r="R55" s="83" t="n">
        <v>49547.81</v>
      </c>
      <c r="S55" s="83" t="n">
        <v>1704.96</v>
      </c>
      <c r="T55" s="83">
        <f>SUM(L55:R55)</f>
        <v/>
      </c>
      <c r="U55" s="83">
        <f>K55-T55</f>
        <v/>
      </c>
      <c r="V55" s="83">
        <f>K55-(L55+M55+N55)</f>
        <v/>
      </c>
      <c r="W55" s="83">
        <f>L55/G55</f>
        <v/>
      </c>
      <c r="X55" s="83">
        <f>O55/G55</f>
        <v/>
      </c>
      <c r="Y55" s="83">
        <f>M55/J55</f>
        <v/>
      </c>
      <c r="Z55" s="84">
        <f>J55/I55</f>
        <v/>
      </c>
      <c r="AA55" s="81">
        <f>COUNTIFS($A$4:$A55,$A55)</f>
        <v/>
      </c>
      <c r="AB55" s="80">
        <f>$A55&amp;"#"&amp;$AA55</f>
        <v/>
      </c>
      <c r="AC55" s="82">
        <f>J55/G55</f>
        <v/>
      </c>
      <c r="AD55" s="82">
        <f>(T55/G55)/(V55/J55)</f>
        <v/>
      </c>
    </row>
    <row r="56">
      <c r="A56" s="80" t="inlineStr">
        <is>
          <t>PIGIER_LYO</t>
        </is>
      </c>
      <c r="B56" s="80" t="inlineStr">
        <is>
          <t>PIGIER</t>
        </is>
      </c>
      <c r="C56" s="80" t="inlineStr">
        <is>
          <t>BTS_GES</t>
        </is>
      </c>
      <c r="D56" s="80" t="inlineStr">
        <is>
          <t>BTS1</t>
        </is>
      </c>
      <c r="E56" s="80" t="inlineStr">
        <is>
          <t>ALT</t>
        </is>
      </c>
      <c r="F56" s="80" t="n">
        <v>1</v>
      </c>
      <c r="G56" s="81" t="n">
        <v>2</v>
      </c>
      <c r="H56" s="81" t="n">
        <v>30</v>
      </c>
      <c r="I56" s="81" t="n">
        <v>60</v>
      </c>
      <c r="J56" s="82" t="n">
        <v>51.1313</v>
      </c>
      <c r="K56" s="83" t="n">
        <v>327569.54</v>
      </c>
      <c r="L56" s="83" t="n">
        <v>24511.03</v>
      </c>
      <c r="M56" s="83" t="n">
        <v>15046.8461</v>
      </c>
      <c r="N56" s="83" t="n">
        <v>19770.4739</v>
      </c>
      <c r="O56" s="83" t="n">
        <v>63403.01</v>
      </c>
      <c r="P56" s="83" t="n">
        <v>111677.37</v>
      </c>
      <c r="Q56" s="83" t="n">
        <v>9818.219999999999</v>
      </c>
      <c r="R56" s="83" t="n">
        <v>49547.81</v>
      </c>
      <c r="S56" s="83" t="n">
        <v>1704.96</v>
      </c>
      <c r="T56" s="83">
        <f>SUM(L56:R56)</f>
        <v/>
      </c>
      <c r="U56" s="83">
        <f>K56-T56</f>
        <v/>
      </c>
      <c r="V56" s="83">
        <f>K56-(L56+M56+N56)</f>
        <v/>
      </c>
      <c r="W56" s="83">
        <f>L56/G56</f>
        <v/>
      </c>
      <c r="X56" s="83">
        <f>O56/G56</f>
        <v/>
      </c>
      <c r="Y56" s="83">
        <f>M56/J56</f>
        <v/>
      </c>
      <c r="Z56" s="84">
        <f>J56/I56</f>
        <v/>
      </c>
      <c r="AA56" s="81">
        <f>COUNTIFS($A$4:$A56,$A56)</f>
        <v/>
      </c>
      <c r="AB56" s="80">
        <f>$A56&amp;"#"&amp;$AA56</f>
        <v/>
      </c>
      <c r="AC56" s="82">
        <f>J56/G56</f>
        <v/>
      </c>
      <c r="AD56" s="82">
        <f>(T56/G56)/(V56/J56)</f>
        <v/>
      </c>
    </row>
    <row r="57">
      <c r="A57" s="80" t="inlineStr">
        <is>
          <t>PIGIER_LYO</t>
        </is>
      </c>
      <c r="B57" s="80" t="inlineStr">
        <is>
          <t>PIGIER</t>
        </is>
      </c>
      <c r="C57" s="80" t="inlineStr">
        <is>
          <t>BTS_GES</t>
        </is>
      </c>
      <c r="D57" s="80" t="inlineStr">
        <is>
          <t>BTS2</t>
        </is>
      </c>
      <c r="E57" s="80" t="inlineStr">
        <is>
          <t>ALT</t>
        </is>
      </c>
      <c r="F57" s="80" t="n">
        <v>0</v>
      </c>
      <c r="G57" s="81" t="n">
        <v>2</v>
      </c>
      <c r="H57" s="81" t="n">
        <v>30</v>
      </c>
      <c r="I57" s="81" t="n">
        <v>60</v>
      </c>
      <c r="J57" s="82" t="n">
        <v>45.23</v>
      </c>
      <c r="K57" s="83" t="n">
        <v>285692.72</v>
      </c>
      <c r="L57" s="83" t="n">
        <v>24511.03</v>
      </c>
      <c r="M57" s="83" t="n">
        <v>13310.22</v>
      </c>
      <c r="N57" s="83" t="n">
        <v>0</v>
      </c>
      <c r="O57" s="83" t="n">
        <v>63403.01</v>
      </c>
      <c r="P57" s="83" t="n">
        <v>111677.37</v>
      </c>
      <c r="Q57" s="83" t="n">
        <v>9818.219999999999</v>
      </c>
      <c r="R57" s="83" t="n">
        <v>49547.81</v>
      </c>
      <c r="S57" s="83" t="n">
        <v>1704.96</v>
      </c>
      <c r="T57" s="83">
        <f>SUM(L57:R57)</f>
        <v/>
      </c>
      <c r="U57" s="83">
        <f>K57-T57</f>
        <v/>
      </c>
      <c r="V57" s="83">
        <f>K57-(L57+M57+N57)</f>
        <v/>
      </c>
      <c r="W57" s="83">
        <f>L57/G57</f>
        <v/>
      </c>
      <c r="X57" s="83">
        <f>O57/G57</f>
        <v/>
      </c>
      <c r="Y57" s="83">
        <f>M57/J57</f>
        <v/>
      </c>
      <c r="Z57" s="84">
        <f>J57/I57</f>
        <v/>
      </c>
      <c r="AA57" s="81">
        <f>COUNTIFS($A$4:$A57,$A57)</f>
        <v/>
      </c>
      <c r="AB57" s="80">
        <f>$A57&amp;"#"&amp;$AA57</f>
        <v/>
      </c>
      <c r="AC57" s="82">
        <f>J57/G57</f>
        <v/>
      </c>
      <c r="AD57" s="82">
        <f>(T57/G57)/(V57/J57)</f>
        <v/>
      </c>
    </row>
    <row r="58">
      <c r="A58" s="80" t="inlineStr">
        <is>
          <t>TUNON_LYO</t>
        </is>
      </c>
      <c r="B58" s="80" t="inlineStr">
        <is>
          <t>TUNON</t>
        </is>
      </c>
      <c r="C58" s="80" t="inlineStr">
        <is>
          <t>BAC_TOU</t>
        </is>
      </c>
      <c r="D58" s="80" t="inlineStr">
        <is>
          <t>B1</t>
        </is>
      </c>
      <c r="E58" s="80" t="inlineStr">
        <is>
          <t>ALT</t>
        </is>
      </c>
      <c r="F58" s="80" t="n">
        <v>1</v>
      </c>
      <c r="G58" s="81" t="n">
        <v>2</v>
      </c>
      <c r="H58" s="81" t="n">
        <v>32</v>
      </c>
      <c r="I58" s="81" t="n">
        <v>64</v>
      </c>
      <c r="J58" s="82" t="n">
        <v>44.4649</v>
      </c>
      <c r="K58" s="83" t="n">
        <v>331813.87</v>
      </c>
      <c r="L58" s="83" t="n">
        <v>24861.44</v>
      </c>
      <c r="M58" s="83" t="n">
        <v>16355.9707</v>
      </c>
      <c r="N58" s="83" t="n">
        <v>20357.9893</v>
      </c>
      <c r="O58" s="83" t="n">
        <v>66073.42</v>
      </c>
      <c r="P58" s="83" t="n">
        <v>129716.54</v>
      </c>
      <c r="Q58" s="83" t="n">
        <v>9566.780000000001</v>
      </c>
      <c r="R58" s="83" t="n">
        <v>40482.35</v>
      </c>
      <c r="S58" s="83" t="n">
        <v>1624.66</v>
      </c>
      <c r="T58" s="83">
        <f>SUM(L58:R58)</f>
        <v/>
      </c>
      <c r="U58" s="83">
        <f>K58-T58</f>
        <v/>
      </c>
      <c r="V58" s="83">
        <f>K58-(L58+M58+N58)</f>
        <v/>
      </c>
      <c r="W58" s="83">
        <f>L58/G58</f>
        <v/>
      </c>
      <c r="X58" s="83">
        <f>O58/G58</f>
        <v/>
      </c>
      <c r="Y58" s="83">
        <f>M58/J58</f>
        <v/>
      </c>
      <c r="Z58" s="84">
        <f>J58/I58</f>
        <v/>
      </c>
      <c r="AA58" s="81">
        <f>COUNTIFS($A$4:$A58,$A58)</f>
        <v/>
      </c>
      <c r="AB58" s="80">
        <f>$A58&amp;"#"&amp;$AA58</f>
        <v/>
      </c>
      <c r="AC58" s="82">
        <f>J58/G58</f>
        <v/>
      </c>
      <c r="AD58" s="82">
        <f>(T58/G58)/(V58/J58)</f>
        <v/>
      </c>
    </row>
    <row r="59">
      <c r="A59" s="80" t="inlineStr">
        <is>
          <t>TUNON_LYO</t>
        </is>
      </c>
      <c r="B59" s="80" t="inlineStr">
        <is>
          <t>TUNON</t>
        </is>
      </c>
      <c r="C59" s="80" t="inlineStr">
        <is>
          <t>BAC_TOU</t>
        </is>
      </c>
      <c r="D59" s="80" t="inlineStr">
        <is>
          <t>B2</t>
        </is>
      </c>
      <c r="E59" s="80" t="inlineStr">
        <is>
          <t>ALT</t>
        </is>
      </c>
      <c r="F59" s="80" t="n">
        <v>0</v>
      </c>
      <c r="G59" s="81" t="n">
        <v>2</v>
      </c>
      <c r="H59" s="81" t="n">
        <v>32</v>
      </c>
      <c r="I59" s="81" t="n">
        <v>64</v>
      </c>
      <c r="J59" s="82" t="n">
        <v>39.2</v>
      </c>
      <c r="K59" s="83" t="n">
        <v>288997.33</v>
      </c>
      <c r="L59" s="83" t="n">
        <v>24861.44</v>
      </c>
      <c r="M59" s="83" t="n">
        <v>14419.3296</v>
      </c>
      <c r="N59" s="83" t="n">
        <v>0</v>
      </c>
      <c r="O59" s="83" t="n">
        <v>66073.42</v>
      </c>
      <c r="P59" s="83" t="n">
        <v>129716.54</v>
      </c>
      <c r="Q59" s="83" t="n">
        <v>9566.780000000001</v>
      </c>
      <c r="R59" s="83" t="n">
        <v>40482.35</v>
      </c>
      <c r="S59" s="83" t="n">
        <v>1624.66</v>
      </c>
      <c r="T59" s="83">
        <f>SUM(L59:R59)</f>
        <v/>
      </c>
      <c r="U59" s="83">
        <f>K59-T59</f>
        <v/>
      </c>
      <c r="V59" s="83">
        <f>K59-(L59+M59+N59)</f>
        <v/>
      </c>
      <c r="W59" s="83">
        <f>L59/G59</f>
        <v/>
      </c>
      <c r="X59" s="83">
        <f>O59/G59</f>
        <v/>
      </c>
      <c r="Y59" s="83">
        <f>M59/J59</f>
        <v/>
      </c>
      <c r="Z59" s="84">
        <f>J59/I59</f>
        <v/>
      </c>
      <c r="AA59" s="81">
        <f>COUNTIFS($A$4:$A59,$A59)</f>
        <v/>
      </c>
      <c r="AB59" s="80">
        <f>$A59&amp;"#"&amp;$AA59</f>
        <v/>
      </c>
      <c r="AC59" s="82">
        <f>J59/G59</f>
        <v/>
      </c>
      <c r="AD59" s="82">
        <f>(T59/G59)/(V59/J59)</f>
        <v/>
      </c>
    </row>
    <row r="60">
      <c r="A60" s="80" t="inlineStr">
        <is>
          <t>TUNON_LYO</t>
        </is>
      </c>
      <c r="B60" s="80" t="inlineStr">
        <is>
          <t>TUNON</t>
        </is>
      </c>
      <c r="C60" s="80" t="inlineStr">
        <is>
          <t>BAC_TOU</t>
        </is>
      </c>
      <c r="D60" s="80" t="inlineStr">
        <is>
          <t>B3</t>
        </is>
      </c>
      <c r="E60" s="80" t="inlineStr">
        <is>
          <t>ALT</t>
        </is>
      </c>
      <c r="F60" s="80" t="n">
        <v>0</v>
      </c>
      <c r="G60" s="81" t="n">
        <v>2</v>
      </c>
      <c r="H60" s="81" t="n">
        <v>32</v>
      </c>
      <c r="I60" s="81" t="n">
        <v>64</v>
      </c>
      <c r="J60" s="82" t="n">
        <v>38.195</v>
      </c>
      <c r="K60" s="83" t="n">
        <v>281588.08</v>
      </c>
      <c r="L60" s="83" t="n">
        <v>24861.44</v>
      </c>
      <c r="M60" s="83" t="n">
        <v>14049.6504</v>
      </c>
      <c r="N60" s="83" t="n">
        <v>0</v>
      </c>
      <c r="O60" s="83" t="n">
        <v>66073.42</v>
      </c>
      <c r="P60" s="83" t="n">
        <v>129716.54</v>
      </c>
      <c r="Q60" s="83" t="n">
        <v>9566.780000000001</v>
      </c>
      <c r="R60" s="83" t="n">
        <v>40482.35</v>
      </c>
      <c r="S60" s="83" t="n">
        <v>1624.66</v>
      </c>
      <c r="T60" s="83">
        <f>SUM(L60:R60)</f>
        <v/>
      </c>
      <c r="U60" s="83">
        <f>K60-T60</f>
        <v/>
      </c>
      <c r="V60" s="83">
        <f>K60-(L60+M60+N60)</f>
        <v/>
      </c>
      <c r="W60" s="83">
        <f>L60/G60</f>
        <v/>
      </c>
      <c r="X60" s="83">
        <f>O60/G60</f>
        <v/>
      </c>
      <c r="Y60" s="83">
        <f>M60/J60</f>
        <v/>
      </c>
      <c r="Z60" s="84">
        <f>J60/I60</f>
        <v/>
      </c>
      <c r="AA60" s="81">
        <f>COUNTIFS($A$4:$A60,$A60)</f>
        <v/>
      </c>
      <c r="AB60" s="80">
        <f>$A60&amp;"#"&amp;$AA60</f>
        <v/>
      </c>
      <c r="AC60" s="82">
        <f>J60/G60</f>
        <v/>
      </c>
      <c r="AD60" s="82">
        <f>(T60/G60)/(V60/J60)</f>
        <v/>
      </c>
    </row>
    <row r="61">
      <c r="A61" s="80" t="inlineStr">
        <is>
          <t>TUNON_PAR</t>
        </is>
      </c>
      <c r="B61" s="80" t="inlineStr">
        <is>
          <t>TUNON</t>
        </is>
      </c>
      <c r="C61" s="80" t="inlineStr">
        <is>
          <t>BAC_TOU</t>
        </is>
      </c>
      <c r="D61" s="80" t="inlineStr">
        <is>
          <t>B1</t>
        </is>
      </c>
      <c r="E61" s="80" t="inlineStr">
        <is>
          <t>ALT</t>
        </is>
      </c>
      <c r="F61" s="80" t="n">
        <v>1</v>
      </c>
      <c r="G61" s="81" t="n">
        <v>2</v>
      </c>
      <c r="H61" s="81" t="n">
        <v>32</v>
      </c>
      <c r="I61" s="81" t="n">
        <v>64</v>
      </c>
      <c r="J61" s="82" t="n">
        <v>52.0953</v>
      </c>
      <c r="K61" s="83" t="n">
        <v>414359.43</v>
      </c>
      <c r="L61" s="83" t="n">
        <v>24861.44</v>
      </c>
      <c r="M61" s="83" t="n">
        <v>19185.6854</v>
      </c>
      <c r="N61" s="83" t="n">
        <v>32659.2046</v>
      </c>
      <c r="O61" s="83" t="n">
        <v>79370.63</v>
      </c>
      <c r="P61" s="83" t="n">
        <v>173558.65</v>
      </c>
      <c r="Q61" s="83" t="n">
        <v>11270.4</v>
      </c>
      <c r="R61" s="83" t="n">
        <v>47691.32</v>
      </c>
      <c r="S61" s="83" t="n">
        <v>2192.89</v>
      </c>
      <c r="T61" s="83">
        <f>SUM(L61:R61)</f>
        <v/>
      </c>
      <c r="U61" s="83">
        <f>K61-T61</f>
        <v/>
      </c>
      <c r="V61" s="83">
        <f>K61-(L61+M61+N61)</f>
        <v/>
      </c>
      <c r="W61" s="83">
        <f>L61/G61</f>
        <v/>
      </c>
      <c r="X61" s="83">
        <f>O61/G61</f>
        <v/>
      </c>
      <c r="Y61" s="83">
        <f>M61/J61</f>
        <v/>
      </c>
      <c r="Z61" s="84">
        <f>J61/I61</f>
        <v/>
      </c>
      <c r="AA61" s="81">
        <f>COUNTIFS($A$4:$A61,$A61)</f>
        <v/>
      </c>
      <c r="AB61" s="80">
        <f>$A61&amp;"#"&amp;$AA61</f>
        <v/>
      </c>
      <c r="AC61" s="82">
        <f>J61/G61</f>
        <v/>
      </c>
      <c r="AD61" s="82">
        <f>(T61/G61)/(V61/J61)</f>
        <v/>
      </c>
    </row>
    <row r="62">
      <c r="A62" s="80" t="inlineStr">
        <is>
          <t>TUNON_PAR</t>
        </is>
      </c>
      <c r="B62" s="80" t="inlineStr">
        <is>
          <t>TUNON</t>
        </is>
      </c>
      <c r="C62" s="80" t="inlineStr">
        <is>
          <t>BAC_TOU</t>
        </is>
      </c>
      <c r="D62" s="80" t="inlineStr">
        <is>
          <t>B2</t>
        </is>
      </c>
      <c r="E62" s="80" t="inlineStr">
        <is>
          <t>ALT</t>
        </is>
      </c>
      <c r="F62" s="80" t="n">
        <v>0</v>
      </c>
      <c r="G62" s="81" t="n">
        <v>2</v>
      </c>
      <c r="H62" s="81" t="n">
        <v>32</v>
      </c>
      <c r="I62" s="81" t="n">
        <v>64</v>
      </c>
      <c r="J62" s="82" t="n">
        <v>46.235</v>
      </c>
      <c r="K62" s="83" t="n">
        <v>363586.16</v>
      </c>
      <c r="L62" s="83" t="n">
        <v>24861.44</v>
      </c>
      <c r="M62" s="83" t="n">
        <v>17027.451</v>
      </c>
      <c r="N62" s="83" t="n">
        <v>0</v>
      </c>
      <c r="O62" s="83" t="n">
        <v>79370.63</v>
      </c>
      <c r="P62" s="83" t="n">
        <v>173558.65</v>
      </c>
      <c r="Q62" s="83" t="n">
        <v>11270.4</v>
      </c>
      <c r="R62" s="83" t="n">
        <v>47691.32</v>
      </c>
      <c r="S62" s="83" t="n">
        <v>2192.89</v>
      </c>
      <c r="T62" s="83">
        <f>SUM(L62:R62)</f>
        <v/>
      </c>
      <c r="U62" s="83">
        <f>K62-T62</f>
        <v/>
      </c>
      <c r="V62" s="83">
        <f>K62-(L62+M62+N62)</f>
        <v/>
      </c>
      <c r="W62" s="83">
        <f>L62/G62</f>
        <v/>
      </c>
      <c r="X62" s="83">
        <f>O62/G62</f>
        <v/>
      </c>
      <c r="Y62" s="83">
        <f>M62/J62</f>
        <v/>
      </c>
      <c r="Z62" s="84">
        <f>J62/I62</f>
        <v/>
      </c>
      <c r="AA62" s="81">
        <f>COUNTIFS($A$4:$A62,$A62)</f>
        <v/>
      </c>
      <c r="AB62" s="80">
        <f>$A62&amp;"#"&amp;$AA62</f>
        <v/>
      </c>
      <c r="AC62" s="82">
        <f>J62/G62</f>
        <v/>
      </c>
      <c r="AD62" s="82">
        <f>(T62/G62)/(V62/J62)</f>
        <v/>
      </c>
    </row>
    <row r="63">
      <c r="A63" s="80" t="inlineStr">
        <is>
          <t>TUNON_PAR</t>
        </is>
      </c>
      <c r="B63" s="80" t="inlineStr">
        <is>
          <t>TUNON</t>
        </is>
      </c>
      <c r="C63" s="80" t="inlineStr">
        <is>
          <t>BAC_TOU</t>
        </is>
      </c>
      <c r="D63" s="80" t="inlineStr">
        <is>
          <t>B3</t>
        </is>
      </c>
      <c r="E63" s="80" t="inlineStr">
        <is>
          <t>ALT</t>
        </is>
      </c>
      <c r="F63" s="80" t="n">
        <v>0</v>
      </c>
      <c r="G63" s="81" t="n">
        <v>2</v>
      </c>
      <c r="H63" s="81" t="n">
        <v>32</v>
      </c>
      <c r="I63" s="81" t="n">
        <v>64</v>
      </c>
      <c r="J63" s="82" t="n">
        <v>45.23</v>
      </c>
      <c r="K63" s="83" t="n">
        <v>355682.97</v>
      </c>
      <c r="L63" s="83" t="n">
        <v>24861.44</v>
      </c>
      <c r="M63" s="83" t="n">
        <v>16657.329</v>
      </c>
      <c r="N63" s="83" t="n">
        <v>0</v>
      </c>
      <c r="O63" s="83" t="n">
        <v>79370.63</v>
      </c>
      <c r="P63" s="83" t="n">
        <v>173558.65</v>
      </c>
      <c r="Q63" s="83" t="n">
        <v>11270.4</v>
      </c>
      <c r="R63" s="83" t="n">
        <v>47691.32</v>
      </c>
      <c r="S63" s="83" t="n">
        <v>2192.89</v>
      </c>
      <c r="T63" s="83">
        <f>SUM(L63:R63)</f>
        <v/>
      </c>
      <c r="U63" s="83">
        <f>K63-T63</f>
        <v/>
      </c>
      <c r="V63" s="83">
        <f>K63-(L63+M63+N63)</f>
        <v/>
      </c>
      <c r="W63" s="83">
        <f>L63/G63</f>
        <v/>
      </c>
      <c r="X63" s="83">
        <f>O63/G63</f>
        <v/>
      </c>
      <c r="Y63" s="83">
        <f>M63/J63</f>
        <v/>
      </c>
      <c r="Z63" s="84">
        <f>J63/I63</f>
        <v/>
      </c>
      <c r="AA63" s="81">
        <f>COUNTIFS($A$4:$A63,$A63)</f>
        <v/>
      </c>
      <c r="AB63" s="80">
        <f>$A63&amp;"#"&amp;$AA63</f>
        <v/>
      </c>
      <c r="AC63" s="82">
        <f>J63/G63</f>
        <v/>
      </c>
      <c r="AD63" s="82">
        <f>(T63/G63)/(V63/J63)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7AC3"/>
    <outlinePr summaryBelow="1" summaryRight="1"/>
    <pageSetUpPr/>
  </sheetPr>
  <dimension ref="B1:L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3" customWidth="1" min="4" max="4"/>
    <col width="12" customWidth="1" min="5" max="5"/>
    <col width="28" customWidth="1" min="6" max="6"/>
    <col width="3" customWidth="1" min="7" max="7"/>
    <col width="10" customWidth="1" min="8" max="8"/>
    <col width="14" customWidth="1" min="9" max="9"/>
    <col width="3" customWidth="1" min="10" max="10"/>
    <col width="10" customWidth="1" min="11" max="11"/>
    <col width="14" customWidth="1" min="12" max="12"/>
  </cols>
  <sheetData>
    <row r="1">
      <c r="B1" s="85" t="inlineStr">
        <is>
          <t>TABLE DE CORRESPONDANCE</t>
        </is>
      </c>
    </row>
    <row r="2">
      <c r="B2" s="86" t="inlineStr">
        <is>
          <t>Le code est la clé technique lue par le masque ; le libellé est ce que voit le lecteur.</t>
        </is>
      </c>
    </row>
    <row r="4">
      <c r="B4" s="87" t="inlineStr">
        <is>
          <t>code</t>
        </is>
      </c>
      <c r="C4" s="87" t="inlineStr">
        <is>
          <t>Campus</t>
        </is>
      </c>
      <c r="E4" s="87" t="inlineStr">
        <is>
          <t>code</t>
        </is>
      </c>
      <c r="F4" s="87" t="inlineStr">
        <is>
          <t>Programme</t>
        </is>
      </c>
      <c r="H4" s="87" t="inlineStr">
        <is>
          <t>code</t>
        </is>
      </c>
      <c r="I4" s="87" t="inlineStr">
        <is>
          <t>Année</t>
        </is>
      </c>
      <c r="K4" s="87" t="inlineStr">
        <is>
          <t>code</t>
        </is>
      </c>
      <c r="L4" s="87" t="inlineStr">
        <is>
          <t>Modalité</t>
        </is>
      </c>
    </row>
    <row r="5">
      <c r="B5" s="88" t="inlineStr">
        <is>
          <t>IPAC_MTP</t>
        </is>
      </c>
      <c r="C5" s="18" t="inlineStr">
        <is>
          <t>Ipac Montpellier</t>
        </is>
      </c>
      <c r="E5" s="88" t="inlineStr">
        <is>
          <t>BAC_CCE</t>
        </is>
      </c>
      <c r="F5" s="18" t="inlineStr">
        <is>
          <t>Bachelor Commerce</t>
        </is>
      </c>
      <c r="H5" s="88" t="inlineStr">
        <is>
          <t>B1</t>
        </is>
      </c>
      <c r="I5" s="18" t="inlineStr">
        <is>
          <t>1re année</t>
        </is>
      </c>
      <c r="K5" s="88" t="inlineStr">
        <is>
          <t>ALT</t>
        </is>
      </c>
      <c r="L5" s="18" t="inlineStr">
        <is>
          <t>alternance</t>
        </is>
      </c>
    </row>
    <row r="6">
      <c r="B6" s="88" t="inlineStr">
        <is>
          <t>IPAC_NAN</t>
        </is>
      </c>
      <c r="C6" s="18" t="inlineStr">
        <is>
          <t>Ipac Nantes</t>
        </is>
      </c>
      <c r="E6" s="88" t="inlineStr">
        <is>
          <t>BAC_COM</t>
        </is>
      </c>
      <c r="F6" s="18" t="inlineStr">
        <is>
          <t>Bachelor Communication</t>
        </is>
      </c>
      <c r="H6" s="88" t="inlineStr">
        <is>
          <t>B2</t>
        </is>
      </c>
      <c r="I6" s="18" t="inlineStr">
        <is>
          <t>2e année</t>
        </is>
      </c>
      <c r="K6" s="88" t="inlineStr">
        <is>
          <t>INIT</t>
        </is>
      </c>
      <c r="L6" s="18" t="inlineStr">
        <is>
          <t>initial</t>
        </is>
      </c>
    </row>
    <row r="7">
      <c r="B7" s="88" t="inlineStr">
        <is>
          <t>IPAC_REN</t>
        </is>
      </c>
      <c r="C7" s="18" t="inlineStr">
        <is>
          <t>Ipac Rennes</t>
        </is>
      </c>
      <c r="E7" s="88" t="inlineStr">
        <is>
          <t>BAC_MGT</t>
        </is>
      </c>
      <c r="F7" s="18" t="inlineStr">
        <is>
          <t>Bachelor Management</t>
        </is>
      </c>
      <c r="H7" s="88" t="inlineStr">
        <is>
          <t>B3</t>
        </is>
      </c>
      <c r="I7" s="18" t="inlineStr">
        <is>
          <t>3e année</t>
        </is>
      </c>
    </row>
    <row r="8">
      <c r="B8" s="88" t="inlineStr">
        <is>
          <t>ISCOM_LIL</t>
        </is>
      </c>
      <c r="C8" s="18" t="inlineStr">
        <is>
          <t>ISCOM Lille</t>
        </is>
      </c>
      <c r="E8" s="88" t="inlineStr">
        <is>
          <t>BAC_RH</t>
        </is>
      </c>
      <c r="F8" s="18" t="inlineStr">
        <is>
          <t>Bachelor Ressources humaines</t>
        </is>
      </c>
      <c r="H8" s="88" t="inlineStr">
        <is>
          <t>BTS1</t>
        </is>
      </c>
      <c r="I8" s="18" t="inlineStr">
        <is>
          <t>1re année</t>
        </is>
      </c>
    </row>
    <row r="9">
      <c r="B9" s="88" t="inlineStr">
        <is>
          <t>ISCOM_PAR</t>
        </is>
      </c>
      <c r="C9" s="18" t="inlineStr">
        <is>
          <t>ISCOM Paris</t>
        </is>
      </c>
      <c r="E9" s="88" t="inlineStr">
        <is>
          <t>BAC_TOU</t>
        </is>
      </c>
      <c r="F9" s="18" t="inlineStr">
        <is>
          <t>Bachelor Tourisme</t>
        </is>
      </c>
      <c r="H9" s="88" t="inlineStr">
        <is>
          <t>BTS2</t>
        </is>
      </c>
      <c r="I9" s="18" t="inlineStr">
        <is>
          <t>2e année</t>
        </is>
      </c>
    </row>
    <row r="10">
      <c r="B10" s="88" t="inlineStr">
        <is>
          <t>ISCOM_TLS</t>
        </is>
      </c>
      <c r="C10" s="18" t="inlineStr">
        <is>
          <t>ISCOM Toulouse</t>
        </is>
      </c>
      <c r="E10" s="88" t="inlineStr">
        <is>
          <t>BTS_GES</t>
        </is>
      </c>
      <c r="F10" s="18" t="inlineStr">
        <is>
          <t>BTS Gestion</t>
        </is>
      </c>
      <c r="H10" s="88" t="inlineStr">
        <is>
          <t>M1</t>
        </is>
      </c>
      <c r="I10" s="18" t="inlineStr">
        <is>
          <t>M1</t>
        </is>
      </c>
    </row>
    <row r="11">
      <c r="B11" s="88" t="inlineStr">
        <is>
          <t>MBWAY_BOR</t>
        </is>
      </c>
      <c r="C11" s="18" t="inlineStr">
        <is>
          <t>MBway Bordeaux</t>
        </is>
      </c>
      <c r="E11" s="88" t="inlineStr">
        <is>
          <t>MAS_COM</t>
        </is>
      </c>
      <c r="F11" s="18" t="inlineStr">
        <is>
          <t>Mastère Communication</t>
        </is>
      </c>
      <c r="H11" s="88" t="inlineStr">
        <is>
          <t>M2</t>
        </is>
      </c>
      <c r="I11" s="18" t="inlineStr">
        <is>
          <t>M2</t>
        </is>
      </c>
    </row>
    <row r="12">
      <c r="B12" s="88" t="inlineStr">
        <is>
          <t>MBWAY_LYO</t>
        </is>
      </c>
      <c r="C12" s="18" t="inlineStr">
        <is>
          <t>MBway Lyon</t>
        </is>
      </c>
      <c r="E12" s="88" t="inlineStr">
        <is>
          <t>MAS_MGT</t>
        </is>
      </c>
      <c r="F12" s="18" t="inlineStr">
        <is>
          <t>Mastère Management</t>
        </is>
      </c>
    </row>
    <row r="13">
      <c r="B13" s="88" t="inlineStr">
        <is>
          <t>MBWAY_NAN</t>
        </is>
      </c>
      <c r="C13" s="18" t="inlineStr">
        <is>
          <t>MBway Nantes</t>
        </is>
      </c>
    </row>
    <row r="14">
      <c r="B14" s="88" t="inlineStr">
        <is>
          <t>MBWAY_PAR</t>
        </is>
      </c>
      <c r="C14" s="18" t="inlineStr">
        <is>
          <t>MBway Paris</t>
        </is>
      </c>
    </row>
    <row r="15">
      <c r="B15" s="88" t="inlineStr">
        <is>
          <t>PIGIER_BOR</t>
        </is>
      </c>
      <c r="C15" s="18" t="inlineStr">
        <is>
          <t>Pigier Bordeaux</t>
        </is>
      </c>
    </row>
    <row r="16">
      <c r="B16" s="88" t="inlineStr">
        <is>
          <t>PIGIER_LYO</t>
        </is>
      </c>
      <c r="C16" s="18" t="inlineStr">
        <is>
          <t>Pigier Lyon</t>
        </is>
      </c>
    </row>
    <row r="17">
      <c r="B17" s="88" t="inlineStr">
        <is>
          <t>TUNON_LYO</t>
        </is>
      </c>
      <c r="C17" s="18" t="inlineStr">
        <is>
          <t>Tunon Lyon</t>
        </is>
      </c>
    </row>
    <row r="18">
      <c r="B18" s="88" t="inlineStr">
        <is>
          <t>TUNON_PAR</t>
        </is>
      </c>
      <c r="C18" s="18" t="inlineStr">
        <is>
          <t>Tunon 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2026-09-09T08:46:20Z</dcterms:created>
  <dcterms:modified xsi:type="dcterms:W3CDTF">2026-09-09T08:46:20Z</dcterms:modified>
</cp:coreProperties>
</file>