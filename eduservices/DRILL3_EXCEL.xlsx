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ill chiffre d'affaires" sheetId="1" state="visible" r:id="rId1"/>
  </sheets>
  <definedNames/>
  <calcPr calcId="124519" fullCalcOnLoad="1"/>
</workbook>
</file>

<file path=xl/styles.xml><?xml version="1.0" encoding="utf-8"?>
<styleSheet xmlns="http://schemas.openxmlformats.org/spreadsheetml/2006/main">
  <numFmts count="9">
    <numFmt numFmtId="164" formatCode="#,##0&quot; €&quot;"/>
    <numFmt numFmtId="165" formatCode="+#,##0&quot; €&quot;;-#,##0&quot; €&quot;;&quot;—&quot;"/>
    <numFmt numFmtId="166" formatCode="+#,##0&quot; €&quot;;-#,##0&quot; €&quot;;&quot;0 €&quot;"/>
    <numFmt numFmtId="167" formatCode="&quot;▲ &quot;#,##0;&quot;▼ &quot;#,##0;&quot;—&quot;"/>
    <numFmt numFmtId="168" formatCode="#,##0.0&quot; €&quot;"/>
    <numFmt numFmtId="169" formatCode="+#,##0.0&quot; €&quot;;-#,##0.0&quot; €&quot;;&quot;—&quot;"/>
    <numFmt numFmtId="170" formatCode="&quot;variation &quot;+#,##0;&quot;variation &quot;-#,##0"/>
    <numFmt numFmtId="171" formatCode="&quot;effets &quot;+#,##0;&quot;effets &quot;-#,##0"/>
    <numFmt numFmtId="172" formatCode="&quot;écart &quot;+#,##0&quot; €&quot;;&quot;écart &quot;-#,##0&quot; €&quot;;&quot;écart 0 €&quot;"/>
  </numFmts>
  <fonts count="17">
    <font>
      <name val="Calibri"/>
      <family val="2"/>
      <color theme="1"/>
      <sz val="11"/>
      <scheme val="minor"/>
    </font>
    <font>
      <name val="Fira Sans Medium"/>
      <b val="1"/>
      <color rgb="00FFFFFF"/>
      <sz val="15"/>
    </font>
    <font>
      <name val="Arial"/>
      <color rgb="00B8C6DA"/>
      <sz val="8"/>
    </font>
    <font>
      <name val="Arial"/>
      <b val="1"/>
      <color rgb="0069778B"/>
      <sz val="8"/>
    </font>
    <font>
      <name val="Fira Sans Medium"/>
      <b val="1"/>
      <color rgb="00202733"/>
      <sz val="13"/>
    </font>
    <font>
      <name val="Arial"/>
      <i val="1"/>
      <color rgb="0069778B"/>
      <sz val="8.5"/>
    </font>
    <font>
      <name val="Fira Sans Medium"/>
      <b val="1"/>
      <color rgb="00202733"/>
      <sz val="10"/>
    </font>
    <font>
      <name val="Arial"/>
      <i val="1"/>
      <color rgb="0069778B"/>
      <sz val="7.5"/>
    </font>
    <font>
      <name val="Fira Sans Medium"/>
      <b val="1"/>
      <color rgb="00FFFFFF"/>
      <sz val="8"/>
    </font>
    <font>
      <name val="Arial"/>
      <color rgb="0069778B"/>
      <sz val="8.5"/>
    </font>
    <font>
      <name val="Arial"/>
      <color rgb="00202733"/>
      <sz val="8.5"/>
    </font>
    <font>
      <name val="Arial"/>
      <b val="1"/>
      <color rgb="00202733"/>
      <sz val="9"/>
    </font>
    <font>
      <name val="Arial"/>
      <b val="1"/>
      <color rgb="0069778B"/>
      <sz val="8.5"/>
    </font>
    <font>
      <name val="Arial"/>
      <b val="1"/>
      <color rgb="002A78D6"/>
      <sz val="9.5"/>
    </font>
    <font>
      <name val="Arial"/>
      <b val="1"/>
      <color rgb="001E9E89"/>
      <sz val="9.5"/>
    </font>
    <font>
      <name val="Arial"/>
      <i val="1"/>
      <color rgb="0069778B"/>
      <sz val="8"/>
    </font>
    <font>
      <name val="Arial"/>
      <b val="1"/>
      <color rgb="002A78D6"/>
      <sz val="10.5"/>
    </font>
  </fonts>
  <fills count="6">
    <fill>
      <patternFill/>
    </fill>
    <fill>
      <patternFill patternType="gray125"/>
    </fill>
    <fill>
      <patternFill patternType="solid">
        <fgColor rgb="00F3F6FA"/>
      </patternFill>
    </fill>
    <fill>
      <patternFill patternType="solid">
        <fgColor rgb="00172033"/>
      </patternFill>
    </fill>
    <fill>
      <patternFill patternType="solid">
        <fgColor rgb="00526071"/>
      </patternFill>
    </fill>
    <fill>
      <patternFill patternType="solid">
        <fgColor rgb="00EAF2FC"/>
      </patternFill>
    </fill>
  </fills>
  <borders count="4">
    <border>
      <left/>
      <right/>
      <top/>
      <bottom/>
      <diagonal/>
    </border>
    <border>
      <left style="thin">
        <color rgb="00526071"/>
      </left>
      <right style="thin">
        <color rgb="00526071"/>
      </right>
      <top style="thin">
        <color rgb="00526071"/>
      </top>
      <bottom style="thin">
        <color rgb="00526071"/>
      </bottom>
    </border>
    <border>
      <bottom style="medium">
        <color rgb="00526071"/>
      </bottom>
    </border>
    <border>
      <top style="medium">
        <color rgb="00526071"/>
      </top>
      <bottom style="medium">
        <color rgb="00526071"/>
      </bottom>
    </border>
  </borders>
  <cellStyleXfs count="1">
    <xf numFmtId="0" fontId="0" fillId="0" borderId="0"/>
  </cellStyleXfs>
  <cellXfs count="34">
    <xf numFmtId="0" fontId="0" fillId="0" borderId="0" pivotButton="0" quotePrefix="0" xfId="0"/>
    <xf numFmtId="0" fontId="0" fillId="3" borderId="0" pivotButton="0" quotePrefix="0" xfId="0"/>
    <xf numFmtId="0" fontId="1" fillId="3" borderId="0" applyAlignment="1" pivotButton="0" quotePrefix="0" xfId="0">
      <alignment horizontal="left" vertical="center"/>
    </xf>
    <xf numFmtId="0" fontId="2" fillId="3"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2" borderId="0" applyAlignment="1" pivotButton="0" quotePrefix="0" xfId="0">
      <alignment horizontal="left" vertical="center"/>
    </xf>
    <xf numFmtId="0" fontId="3" fillId="0" borderId="0" pivotButton="0" quotePrefix="0" xfId="0"/>
    <xf numFmtId="0" fontId="6" fillId="2" borderId="0" applyAlignment="1" pivotButton="0" quotePrefix="0" xfId="0">
      <alignment horizontal="left" vertical="center"/>
    </xf>
    <xf numFmtId="0" fontId="7" fillId="2" borderId="0" applyAlignment="1" pivotButton="0" quotePrefix="0" xfId="0">
      <alignment horizontal="right" vertical="center"/>
    </xf>
    <xf numFmtId="0" fontId="8" fillId="4" borderId="1" applyAlignment="1" pivotButton="0" quotePrefix="0" xfId="0">
      <alignment horizontal="left" vertical="center" indent="1"/>
    </xf>
    <xf numFmtId="0" fontId="8" fillId="4" borderId="1" applyAlignment="1" pivotButton="0" quotePrefix="0" xfId="0">
      <alignment horizontal="center" vertical="center" wrapText="1"/>
    </xf>
    <xf numFmtId="0" fontId="9" fillId="2" borderId="0" applyAlignment="1" pivotButton="0" quotePrefix="0" xfId="0">
      <alignment horizontal="center" vertical="center"/>
    </xf>
    <xf numFmtId="0" fontId="10" fillId="2" borderId="0" applyAlignment="1" pivotButton="0" quotePrefix="0" xfId="0">
      <alignment horizontal="left" vertical="center" indent="1"/>
    </xf>
    <xf numFmtId="164" fontId="10" fillId="2" borderId="0" applyAlignment="1" pivotButton="0" quotePrefix="0" xfId="0">
      <alignment horizontal="right" vertical="center"/>
    </xf>
    <xf numFmtId="165" fontId="10" fillId="2" borderId="0" applyAlignment="1" pivotButton="0" quotePrefix="0" xfId="0">
      <alignment horizontal="right" vertical="center"/>
    </xf>
    <xf numFmtId="0" fontId="11" fillId="5" borderId="2" applyAlignment="1" pivotButton="0" quotePrefix="0" xfId="0">
      <alignment horizontal="left" vertical="center" indent="1"/>
    </xf>
    <xf numFmtId="0" fontId="12" fillId="5" borderId="2" applyAlignment="1" pivotButton="0" quotePrefix="0" xfId="0">
      <alignment horizontal="left" vertical="center" indent="1"/>
    </xf>
    <xf numFmtId="164" fontId="13" fillId="5" borderId="2" applyAlignment="1" pivotButton="0" quotePrefix="0" xfId="0">
      <alignment horizontal="right" vertical="center"/>
    </xf>
    <xf numFmtId="166" fontId="14" fillId="5" borderId="2" applyAlignment="1" pivotButton="0" quotePrefix="0" xfId="0">
      <alignment horizontal="right" vertical="center"/>
    </xf>
    <xf numFmtId="0" fontId="15" fillId="2" borderId="0" applyAlignment="1" pivotButton="0" quotePrefix="0" xfId="0">
      <alignment horizontal="left" vertical="center"/>
    </xf>
    <xf numFmtId="3" fontId="10" fillId="2" borderId="0" applyAlignment="1" pivotButton="0" quotePrefix="0" xfId="0">
      <alignment horizontal="right" vertical="center"/>
    </xf>
    <xf numFmtId="167" fontId="10" fillId="2" borderId="0" applyAlignment="1" pivotButton="0" quotePrefix="0" xfId="0">
      <alignment horizontal="right" vertical="center"/>
    </xf>
    <xf numFmtId="168" fontId="10" fillId="2" borderId="0" applyAlignment="1" pivotButton="0" quotePrefix="0" xfId="0">
      <alignment horizontal="right" vertical="center"/>
    </xf>
    <xf numFmtId="169" fontId="10" fillId="2" borderId="0" applyAlignment="1" pivotButton="0" quotePrefix="0" xfId="0">
      <alignment horizontal="right" vertical="center"/>
    </xf>
    <xf numFmtId="0" fontId="15" fillId="5" borderId="2" applyAlignment="1" pivotButton="0" quotePrefix="0" xfId="0">
      <alignment horizontal="left" vertical="center" indent="1"/>
    </xf>
    <xf numFmtId="0" fontId="0" fillId="5" borderId="2" pivotButton="0" quotePrefix="0" xfId="0"/>
    <xf numFmtId="166" fontId="13" fillId="5" borderId="2" applyAlignment="1" pivotButton="0" quotePrefix="0" xfId="0">
      <alignment horizontal="right" vertical="center"/>
    </xf>
    <xf numFmtId="0" fontId="12" fillId="5" borderId="3" applyAlignment="1" pivotButton="0" quotePrefix="0" xfId="0">
      <alignment horizontal="left" vertical="center" indent="1"/>
    </xf>
    <xf numFmtId="0" fontId="0" fillId="5" borderId="3" pivotButton="0" quotePrefix="0" xfId="0"/>
    <xf numFmtId="170" fontId="9" fillId="5" borderId="3" applyAlignment="1" pivotButton="0" quotePrefix="0" xfId="0">
      <alignment horizontal="right" vertical="center"/>
    </xf>
    <xf numFmtId="171" fontId="9" fillId="5" borderId="3" applyAlignment="1" pivotButton="0" quotePrefix="0" xfId="0">
      <alignment horizontal="right" vertical="center"/>
    </xf>
    <xf numFmtId="172" fontId="16" fillId="5" borderId="3" applyAlignment="1" pivotButton="0" quotePrefix="0" xfId="0">
      <alignment horizontal="right" vertical="center"/>
    </xf>
    <xf numFmtId="0" fontId="15" fillId="2" borderId="0" applyAlignment="1" pivotButton="0" quotePrefix="0" xfId="0">
      <alignment horizontal="left" vertical="center" indent="1"/>
    </xf>
  </cellXfs>
  <cellStyles count="1">
    <cellStyle name="Normal" xfId="0" builtinId="0" hidden="0"/>
  </cellStyles>
  <dxfs count="4">
    <dxf>
      <font>
        <color rgb="00D64545"/>
      </font>
    </dxf>
    <dxf>
      <fill>
        <patternFill>
          <bgColor rgb="00FFFFFF"/>
        </patternFill>
      </fill>
      <border>
        <bottom style="thin">
          <color rgb="00E9EDF3"/>
        </bottom>
      </border>
    </dxf>
    <dxf>
      <font>
        <name val="Arial"/>
        <color rgb="001E9E89"/>
        <sz val="8.5"/>
      </font>
    </dxf>
    <dxf>
      <font>
        <name val="Arial"/>
        <color rgb="00D64545"/>
        <sz val="8.5"/>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harts/chart1.xml><?xml version="1.0" encoding="utf-8"?>
<chartSpace xmlns:a="http://schemas.openxmlformats.org/drawingml/2006/main" xmlns="http://schemas.openxmlformats.org/drawingml/2006/chart">
  <chart>
    <plotArea>
      <barChart>
        <barDir val="col"/>
        <grouping val="stacked"/>
        <ser>
          <idx val="0"/>
          <order val="0"/>
          <tx>
            <v>Effet volume</v>
          </tx>
          <spPr>
            <a:solidFill>
              <a:srgbClr val="2A78D6"/>
            </a:solidFill>
            <a:ln>
              <a:noFill/>
              <a:prstDash val="solid"/>
            </a:ln>
          </spPr>
          <cat>
            <strRef>
              <f>'Drill chiffre d''affaires'!$AA$38:$AA$40</f>
            </strRef>
          </cat>
          <val>
            <numRef>
              <f>'Drill chiffre d''affaires'!$AB$38:$AB$40</f>
            </numRef>
          </val>
        </ser>
        <ser>
          <idx val="1"/>
          <order val="1"/>
          <tx>
            <v>Effet prix</v>
          </tx>
          <spPr>
            <a:solidFill>
              <a:srgbClr val="B8CFEC"/>
            </a:solidFill>
            <a:ln>
              <a:noFill/>
              <a:prstDash val="solid"/>
            </a:ln>
          </spPr>
          <cat>
            <strRef>
              <f>'Drill chiffre d''affaires'!$AA$38:$AA$40</f>
            </strRef>
          </cat>
          <val>
            <numRef>
              <f>'Drill chiffre d''affaires'!$AC$38:$AC$40</f>
            </numRef>
          </val>
        </ser>
        <gapWidth val="90"/>
        <overlap val="10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0,&quot; k€&quot;" sourceLinked="0"/>
        <majorTickMark val="none"/>
        <minorTickMark val="none"/>
        <crossAx val="10"/>
      </valAx>
    </plotArea>
    <legend>
      <legendPos val="b"/>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15</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C54"/>
  <sheetViews>
    <sheetView showGridLines="0" workbookViewId="0">
      <selection activeCell="A1" sqref="A1"/>
    </sheetView>
  </sheetViews>
  <sheetFormatPr baseColWidth="8" defaultRowHeight="15"/>
  <cols>
    <col width="2.5" customWidth="1" min="1" max="1"/>
    <col width="9" customWidth="1" min="2" max="2"/>
    <col width="32"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7" max="27"/>
    <col hidden="1" width="13" customWidth="1" min="28" max="28"/>
    <col hidden="1" width="13" customWidth="1" min="29" max="29"/>
  </cols>
  <sheetData>
    <row r="1" ht="8" customHeight="1">
      <c r="A1" s="1" t="n"/>
      <c r="B1" s="1" t="n"/>
      <c r="C1" s="1" t="n"/>
      <c r="D1" s="1" t="n"/>
      <c r="E1" s="1" t="n"/>
      <c r="F1" s="1" t="n"/>
      <c r="G1" s="1" t="n"/>
      <c r="H1" s="1" t="n"/>
      <c r="I1" s="1" t="n"/>
      <c r="J1" s="1" t="n"/>
      <c r="K1" s="1" t="n"/>
      <c r="L1" s="1" t="n"/>
    </row>
    <row r="2" ht="26" customHeight="1">
      <c r="A2" s="1" t="n"/>
      <c r="B2" s="2" t="inlineStr">
        <is>
          <t>D'OÙ VIENT CE CHIFFRE D'AFFAIRES</t>
        </is>
      </c>
      <c r="C2" s="1" t="n"/>
      <c r="D2" s="1" t="n"/>
      <c r="E2" s="1" t="n"/>
      <c r="F2" s="1" t="n"/>
      <c r="G2" s="1" t="n"/>
      <c r="H2" s="1" t="n"/>
      <c r="I2" s="1" t="n"/>
      <c r="J2" s="1" t="n"/>
      <c r="K2" s="1" t="n"/>
      <c r="L2" s="1" t="n"/>
    </row>
    <row r="3" ht="15" customHeight="1">
      <c r="A3" s="1" t="n"/>
      <c r="B3" s="3" t="inlineStr">
        <is>
          <t>drill sur la cellule cliquée · 2026 contre 2025 · deux chaînes confrontées, les comptes de produit et le socle CRM</t>
        </is>
      </c>
      <c r="C3" s="1" t="n"/>
      <c r="D3" s="1" t="n"/>
      <c r="E3" s="1" t="n"/>
      <c r="F3" s="1" t="n"/>
      <c r="G3" s="1" t="n"/>
      <c r="H3" s="1" t="n"/>
      <c r="I3" s="1" t="n"/>
      <c r="J3" s="1" t="n"/>
      <c r="K3" s="1" t="n"/>
      <c r="L3" s="1" t="n"/>
    </row>
    <row r="4" ht="10" customHeight="1">
      <c r="A4" s="4" t="n"/>
      <c r="B4" s="4" t="n"/>
      <c r="C4" s="4" t="n"/>
      <c r="D4" s="4" t="n"/>
      <c r="E4" s="4" t="n"/>
      <c r="F4" s="4" t="n"/>
      <c r="G4" s="4" t="n"/>
      <c r="H4" s="4" t="n"/>
      <c r="I4" s="4" t="n"/>
      <c r="J4" s="4" t="n"/>
      <c r="K4" s="4" t="n"/>
      <c r="L4" s="4" t="n"/>
    </row>
    <row r="5" ht="24" customHeight="1">
      <c r="A5" s="4" t="n"/>
      <c r="B5" s="5">
        <f>"Les deux chaînes disent "&amp;TEXT(H13,"#,##0 €")&amp;" en 2026, à "&amp;TEXT(ABS(I13),"#,##0 €")&amp;" près. Le chiffre d'affaires progresse de "&amp;TEXT(L41,"+#,##0 €")&amp;", dont "&amp;TEXT(J41,"#,##0 €")&amp;" de volume et "&amp;TEXT(K41,"#,##0 €")&amp;" de prix."</f>
        <v/>
      </c>
      <c r="C5" s="4" t="n"/>
      <c r="D5" s="4" t="n"/>
      <c r="E5" s="4" t="n"/>
      <c r="F5" s="4" t="n"/>
      <c r="G5" s="4" t="n"/>
      <c r="H5" s="4" t="n"/>
      <c r="I5" s="4" t="n"/>
      <c r="J5" s="4" t="n"/>
      <c r="K5" s="4" t="n"/>
      <c r="L5" s="4" t="n"/>
    </row>
    <row r="6" ht="14" customHeight="1">
      <c r="A6" s="4" t="n"/>
      <c r="B6" s="6" t="inlineStr">
        <is>
          <t>le constat comptable et le modèle piloté par les inducteurs, confrontés compte par compte</t>
        </is>
      </c>
      <c r="C6" s="4" t="n"/>
      <c r="D6" s="4" t="n"/>
      <c r="E6" s="4" t="n"/>
      <c r="F6" s="4" t="n"/>
      <c r="G6" s="4" t="n"/>
      <c r="H6" s="4" t="n"/>
      <c r="I6" s="4" t="n"/>
      <c r="J6" s="4" t="n"/>
      <c r="K6" s="4" t="n"/>
      <c r="L6" s="4" t="n"/>
      <c r="N6" s="7" t="inlineStr">
        <is>
          <t>Compte</t>
        </is>
      </c>
      <c r="O6" s="7" t="inlineStr">
        <is>
          <t>Poste</t>
        </is>
      </c>
      <c r="P6" s="7" t="inlineStr">
        <is>
          <t>Poste court</t>
        </is>
      </c>
      <c r="Q6" s="7" t="inlineStr">
        <is>
          <t>Unite comptee</t>
        </is>
      </c>
      <c r="R6" s="7" t="inlineStr">
        <is>
          <t>Volume 2025</t>
        </is>
      </c>
      <c r="S6" s="7" t="inlineStr">
        <is>
          <t>Volume 2026</t>
        </is>
      </c>
      <c r="T6" s="7" t="inlineStr">
        <is>
          <t>Montant 2025</t>
        </is>
      </c>
      <c r="U6" s="7" t="inlineStr">
        <is>
          <t>Montant 2026</t>
        </is>
      </c>
    </row>
    <row r="7" ht="8" customHeight="1">
      <c r="A7" s="4" t="n"/>
      <c r="B7" s="4" t="n"/>
      <c r="C7" s="4" t="n"/>
      <c r="D7" s="4" t="n"/>
      <c r="E7" s="4" t="n"/>
      <c r="F7" s="4" t="n"/>
      <c r="G7" s="4" t="n"/>
      <c r="H7" s="4" t="n"/>
      <c r="I7" s="4" t="n"/>
      <c r="J7" s="4" t="n"/>
      <c r="K7" s="4" t="n"/>
      <c r="L7" s="4" t="n"/>
      <c r="N7" t="inlineStr">
        <is>
          <t>706</t>
        </is>
      </c>
      <c r="O7" t="inlineStr">
        <is>
          <t>Scolarité des étudiants en initial</t>
        </is>
      </c>
      <c r="P7" t="inlineStr">
        <is>
          <t>Scolarité initial</t>
        </is>
      </c>
      <c r="Q7" t="inlineStr">
        <is>
          <t>Effectifs</t>
        </is>
      </c>
      <c r="R7" t="n">
        <v>400</v>
      </c>
      <c r="S7" t="n">
        <v>424</v>
      </c>
      <c r="T7" t="n">
        <v>3120000</v>
      </c>
      <c r="U7" t="n">
        <v>3306675</v>
      </c>
    </row>
    <row r="8" ht="20" customHeight="1">
      <c r="A8" s="4" t="n"/>
      <c r="B8" s="8" t="inlineStr">
        <is>
          <t>LES DEUX CHAÎNES, FACE À FACE</t>
        </is>
      </c>
      <c r="C8" s="4" t="n"/>
      <c r="D8" s="4" t="n"/>
      <c r="E8" s="4" t="n"/>
      <c r="F8" s="4" t="n"/>
      <c r="G8" s="4" t="n"/>
      <c r="H8" s="4" t="n"/>
      <c r="I8" s="9" t="inlineStr">
        <is>
          <t xml:space="preserve">colonnes D et G · Q_D3_CA_COMPTA   colonnes E et H · Q_D3_CA_CRM  </t>
        </is>
      </c>
      <c r="J8" s="4" t="n"/>
      <c r="K8" s="4" t="n"/>
      <c r="L8" s="4" t="n"/>
      <c r="N8" t="inlineStr">
        <is>
          <t>7062</t>
        </is>
      </c>
      <c r="O8" t="inlineStr">
        <is>
          <t>Scolarité des alternants</t>
        </is>
      </c>
      <c r="P8" t="inlineStr">
        <is>
          <t>Scolarité alternance</t>
        </is>
      </c>
      <c r="Q8" t="inlineStr">
        <is>
          <t>Effectifs</t>
        </is>
      </c>
      <c r="R8" t="n">
        <v>2533</v>
      </c>
      <c r="S8" t="n">
        <v>2690</v>
      </c>
      <c r="T8" t="n">
        <v>18534460</v>
      </c>
      <c r="U8" t="n">
        <v>19681700</v>
      </c>
    </row>
    <row r="9" ht="28" customHeight="1">
      <c r="A9" s="4" t="n"/>
      <c r="B9" s="10" t="inlineStr">
        <is>
          <t>Compte</t>
        </is>
      </c>
      <c r="C9" s="10" t="inlineStr">
        <is>
          <t>Poste</t>
        </is>
      </c>
      <c r="D9" s="11" t="inlineStr">
        <is>
          <t>Comptes 2025</t>
        </is>
      </c>
      <c r="E9" s="11" t="inlineStr">
        <is>
          <t>Socle CRM 2025</t>
        </is>
      </c>
      <c r="F9" s="11" t="inlineStr">
        <is>
          <t>Écart 2025</t>
        </is>
      </c>
      <c r="G9" s="11" t="inlineStr">
        <is>
          <t>Comptes 2026</t>
        </is>
      </c>
      <c r="H9" s="11" t="inlineStr">
        <is>
          <t>Socle CRM 2026</t>
        </is>
      </c>
      <c r="I9" s="11" t="inlineStr">
        <is>
          <t>Écart 2026</t>
        </is>
      </c>
      <c r="J9" s="4" t="n"/>
      <c r="K9" s="4" t="n"/>
      <c r="L9" s="4" t="n"/>
      <c r="N9" t="inlineStr">
        <is>
          <t>708</t>
        </is>
      </c>
      <c r="O9" t="inlineStr">
        <is>
          <t>Frais d'inscription</t>
        </is>
      </c>
      <c r="P9" t="inlineStr">
        <is>
          <t>Frais d'inscription</t>
        </is>
      </c>
      <c r="Q9" t="inlineStr">
        <is>
          <t>Nouveaux inscrits</t>
        </is>
      </c>
      <c r="R9" t="n">
        <v>1159</v>
      </c>
      <c r="S9" t="n">
        <v>1229</v>
      </c>
      <c r="T9" t="n">
        <v>104310</v>
      </c>
      <c r="U9" t="n">
        <v>110610</v>
      </c>
    </row>
    <row r="10" ht="15.5" customHeight="1">
      <c r="A10" s="4" t="n"/>
      <c r="B10" s="12" t="inlineStr">
        <is>
          <t>706</t>
        </is>
      </c>
      <c r="C10" s="13">
        <f>IFERROR(VLOOKUP($B10,$N$7:$U$12,2,FALSE),"")</f>
        <v/>
      </c>
      <c r="D10" s="14">
        <f>IFERROR(VLOOKUP($B10,$N$15:$Q$20,3,FALSE),0)</f>
        <v/>
      </c>
      <c r="E10" s="14">
        <f>IFERROR(VLOOKUP($B10,$N$7:$U$12,7,FALSE),0)</f>
        <v/>
      </c>
      <c r="F10" s="15">
        <f>D10-E10</f>
        <v/>
      </c>
      <c r="G10" s="14">
        <f>IFERROR(VLOOKUP($B10,$N$15:$Q$20,4,FALSE),0)</f>
        <v/>
      </c>
      <c r="H10" s="14">
        <f>IFERROR(VLOOKUP($B10,$N$7:$U$12,8,FALSE),0)</f>
        <v/>
      </c>
      <c r="I10" s="15">
        <f>G10-H10</f>
        <v/>
      </c>
      <c r="J10" s="4" t="n"/>
      <c r="K10" s="4" t="n"/>
      <c r="L10" s="4" t="n"/>
    </row>
    <row r="11" ht="15.5" customHeight="1">
      <c r="A11" s="4" t="n"/>
      <c r="B11" s="12" t="inlineStr">
        <is>
          <t>7062</t>
        </is>
      </c>
      <c r="C11" s="13">
        <f>IFERROR(VLOOKUP($B11,$N$7:$U$12,2,FALSE),"")</f>
        <v/>
      </c>
      <c r="D11" s="14">
        <f>IFERROR(VLOOKUP($B11,$N$15:$Q$20,3,FALSE),0)</f>
        <v/>
      </c>
      <c r="E11" s="14">
        <f>IFERROR(VLOOKUP($B11,$N$7:$U$12,7,FALSE),0)</f>
        <v/>
      </c>
      <c r="F11" s="15">
        <f>D11-E11</f>
        <v/>
      </c>
      <c r="G11" s="14">
        <f>IFERROR(VLOOKUP($B11,$N$15:$Q$20,4,FALSE),0)</f>
        <v/>
      </c>
      <c r="H11" s="14">
        <f>IFERROR(VLOOKUP($B11,$N$7:$U$12,8,FALSE),0)</f>
        <v/>
      </c>
      <c r="I11" s="15">
        <f>G11-H11</f>
        <v/>
      </c>
      <c r="J11" s="4" t="n"/>
      <c r="K11" s="4" t="n"/>
      <c r="L11" s="4" t="n"/>
    </row>
    <row r="12" ht="15.5" customHeight="1">
      <c r="A12" s="4" t="n"/>
      <c r="B12" s="12" t="inlineStr">
        <is>
          <t>708</t>
        </is>
      </c>
      <c r="C12" s="13">
        <f>IFERROR(VLOOKUP($B12,$N$7:$U$12,2,FALSE),"")</f>
        <v/>
      </c>
      <c r="D12" s="14">
        <f>IFERROR(VLOOKUP($B12,$N$15:$Q$20,3,FALSE),0)</f>
        <v/>
      </c>
      <c r="E12" s="14">
        <f>IFERROR(VLOOKUP($B12,$N$7:$U$12,7,FALSE),0)</f>
        <v/>
      </c>
      <c r="F12" s="15">
        <f>D12-E12</f>
        <v/>
      </c>
      <c r="G12" s="14">
        <f>IFERROR(VLOOKUP($B12,$N$15:$Q$20,4,FALSE),0)</f>
        <v/>
      </c>
      <c r="H12" s="14">
        <f>IFERROR(VLOOKUP($B12,$N$7:$U$12,8,FALSE),0)</f>
        <v/>
      </c>
      <c r="I12" s="15">
        <f>G12-H12</f>
        <v/>
      </c>
      <c r="J12" s="4" t="n"/>
      <c r="K12" s="4" t="n"/>
      <c r="L12" s="4" t="n"/>
    </row>
    <row r="13">
      <c r="A13" s="4" t="n"/>
      <c r="B13" s="16" t="inlineStr">
        <is>
          <t>Total</t>
        </is>
      </c>
      <c r="C13" s="17" t="inlineStr">
        <is>
          <t>chiffre d'affaires du périmètre</t>
        </is>
      </c>
      <c r="D13" s="18">
        <f>SUM(D10:D12)</f>
        <v/>
      </c>
      <c r="E13" s="18">
        <f>SUM(E10:E12)</f>
        <v/>
      </c>
      <c r="F13" s="19">
        <f>SUM(F10:F12)</f>
        <v/>
      </c>
      <c r="G13" s="18">
        <f>SUM(G10:G12)</f>
        <v/>
      </c>
      <c r="H13" s="18">
        <f>SUM(H10:H12)</f>
        <v/>
      </c>
      <c r="I13" s="19">
        <f>SUM(I10:I12)</f>
        <v/>
      </c>
      <c r="J13" s="4" t="n"/>
      <c r="K13" s="4" t="n"/>
      <c r="L13" s="4" t="n"/>
    </row>
    <row r="14">
      <c r="A14" s="4" t="n"/>
      <c r="B14" s="4" t="n"/>
      <c r="C14" s="20" t="inlineStr">
        <is>
          <t>un chiffre qui arrive deux fois par deux chemins différents est un chiffre vérifié. L'écart doit rester à zéro.</t>
        </is>
      </c>
      <c r="D14" s="4" t="n"/>
      <c r="E14" s="4" t="n"/>
      <c r="F14" s="4" t="n"/>
      <c r="G14" s="4" t="n"/>
      <c r="H14" s="4" t="n"/>
      <c r="I14" s="4" t="n"/>
      <c r="J14" s="4" t="n"/>
      <c r="K14" s="4" t="n"/>
      <c r="L14" s="4" t="n"/>
      <c r="N14" s="7" t="inlineStr">
        <is>
          <t>Compte</t>
        </is>
      </c>
      <c r="O14" s="7" t="inlineStr">
        <is>
          <t>Poste</t>
        </is>
      </c>
      <c r="P14" s="7" t="inlineStr">
        <is>
          <t>Montant 2025</t>
        </is>
      </c>
      <c r="Q14" s="7" t="inlineStr">
        <is>
          <t>Montant 2026</t>
        </is>
      </c>
    </row>
    <row r="15" ht="20" customHeight="1">
      <c r="A15" s="4" t="n"/>
      <c r="B15" s="8" t="inlineStr">
        <is>
          <t>LA VARIATION, DÉCOMPOSÉE  ·  ce que le volume apporte, ce que le prix apporte</t>
        </is>
      </c>
      <c r="C15" s="4" t="n"/>
      <c r="D15" s="4" t="n"/>
      <c r="E15" s="4" t="n"/>
      <c r="F15" s="4" t="n"/>
      <c r="G15" s="4" t="n"/>
      <c r="H15" s="4" t="n"/>
      <c r="I15" s="4" t="n"/>
      <c r="J15" s="4" t="n"/>
      <c r="K15" s="4" t="n"/>
      <c r="L15" s="4" t="n"/>
      <c r="N15" t="inlineStr">
        <is>
          <t>706</t>
        </is>
      </c>
      <c r="O15" t="inlineStr">
        <is>
          <t>Scolarité des étudiants en initial</t>
        </is>
      </c>
      <c r="P15" t="n">
        <v>3120000</v>
      </c>
      <c r="Q15" t="n">
        <v>3306675</v>
      </c>
    </row>
    <row r="16" ht="15" customHeight="1">
      <c r="A16" s="4" t="n"/>
      <c r="B16" s="4" t="n"/>
      <c r="C16" s="4" t="n"/>
      <c r="D16" s="4" t="n"/>
      <c r="E16" s="4" t="n"/>
      <c r="F16" s="4" t="n"/>
      <c r="G16" s="4" t="n"/>
      <c r="H16" s="4" t="n"/>
      <c r="I16" s="4" t="n"/>
      <c r="J16" s="4" t="n"/>
      <c r="K16" s="4" t="n"/>
      <c r="L16" s="4" t="n"/>
      <c r="N16" t="inlineStr">
        <is>
          <t>7062</t>
        </is>
      </c>
      <c r="O16" t="inlineStr">
        <is>
          <t>Scolarité des alternants</t>
        </is>
      </c>
      <c r="P16" t="n">
        <v>18534460</v>
      </c>
      <c r="Q16" t="n">
        <v>19681700</v>
      </c>
    </row>
    <row r="17" ht="15" customHeight="1">
      <c r="A17" s="4" t="n"/>
      <c r="B17" s="4" t="n"/>
      <c r="C17" s="4" t="n"/>
      <c r="D17" s="4" t="n"/>
      <c r="E17" s="4" t="n"/>
      <c r="F17" s="4" t="n"/>
      <c r="G17" s="4" t="n"/>
      <c r="H17" s="4" t="n"/>
      <c r="I17" s="4" t="n"/>
      <c r="J17" s="4" t="n"/>
      <c r="K17" s="4" t="n"/>
      <c r="L17" s="4" t="n"/>
      <c r="N17" t="inlineStr">
        <is>
          <t>708</t>
        </is>
      </c>
      <c r="O17" t="inlineStr">
        <is>
          <t>Frais d'inscription</t>
        </is>
      </c>
      <c r="P17" t="n">
        <v>104310</v>
      </c>
      <c r="Q17" t="n">
        <v>110610</v>
      </c>
    </row>
    <row r="18" ht="15" customHeight="1">
      <c r="A18" s="4" t="n"/>
      <c r="B18" s="4" t="n"/>
      <c r="C18" s="4" t="n"/>
      <c r="D18" s="4" t="n"/>
      <c r="E18" s="4" t="n"/>
      <c r="F18" s="4" t="n"/>
      <c r="G18" s="4" t="n"/>
      <c r="H18" s="4" t="n"/>
      <c r="I18" s="4" t="n"/>
      <c r="J18" s="4" t="n"/>
      <c r="K18" s="4" t="n"/>
      <c r="L18" s="4" t="n"/>
    </row>
    <row r="19" ht="15" customHeight="1">
      <c r="A19" s="4" t="n"/>
      <c r="B19" s="4" t="n"/>
      <c r="C19" s="4" t="n"/>
      <c r="D19" s="4" t="n"/>
      <c r="E19" s="4" t="n"/>
      <c r="F19" s="4" t="n"/>
      <c r="G19" s="4" t="n"/>
      <c r="H19" s="4" t="n"/>
      <c r="I19" s="4" t="n"/>
      <c r="J19" s="4" t="n"/>
      <c r="K19" s="4" t="n"/>
      <c r="L19" s="4" t="n"/>
    </row>
    <row r="20" ht="15" customHeight="1">
      <c r="A20" s="4" t="n"/>
      <c r="B20" s="4" t="n"/>
      <c r="C20" s="4" t="n"/>
      <c r="D20" s="4" t="n"/>
      <c r="E20" s="4" t="n"/>
      <c r="F20" s="4" t="n"/>
      <c r="G20" s="4" t="n"/>
      <c r="H20" s="4" t="n"/>
      <c r="I20" s="4" t="n"/>
      <c r="J20" s="4" t="n"/>
      <c r="K20" s="4" t="n"/>
      <c r="L20" s="4" t="n"/>
    </row>
    <row r="21" ht="15" customHeight="1">
      <c r="A21" s="4" t="n"/>
      <c r="B21" s="4" t="n"/>
      <c r="C21" s="4" t="n"/>
      <c r="D21" s="4" t="n"/>
      <c r="E21" s="4" t="n"/>
      <c r="F21" s="4" t="n"/>
      <c r="G21" s="4" t="n"/>
      <c r="H21" s="4" t="n"/>
      <c r="I21" s="4" t="n"/>
      <c r="J21" s="4" t="n"/>
      <c r="K21" s="4" t="n"/>
      <c r="L21" s="4" t="n"/>
    </row>
    <row r="22" ht="15" customHeight="1">
      <c r="A22" s="4" t="n"/>
      <c r="B22" s="4" t="n"/>
      <c r="C22" s="4" t="n"/>
      <c r="D22" s="4" t="n"/>
      <c r="E22" s="4" t="n"/>
      <c r="F22" s="4" t="n"/>
      <c r="G22" s="4" t="n"/>
      <c r="H22" s="4" t="n"/>
      <c r="I22" s="4" t="n"/>
      <c r="J22" s="4" t="n"/>
      <c r="K22" s="4" t="n"/>
      <c r="L22" s="4" t="n"/>
    </row>
    <row r="23" ht="15" customHeight="1">
      <c r="A23" s="4" t="n"/>
      <c r="B23" s="4" t="n"/>
      <c r="C23" s="4" t="n"/>
      <c r="D23" s="4" t="n"/>
      <c r="E23" s="4" t="n"/>
      <c r="F23" s="4" t="n"/>
      <c r="G23" s="4" t="n"/>
      <c r="H23" s="4" t="n"/>
      <c r="I23" s="4" t="n"/>
      <c r="J23" s="4" t="n"/>
      <c r="K23" s="4" t="n"/>
      <c r="L23" s="4" t="n"/>
    </row>
    <row r="24" ht="15" customHeight="1">
      <c r="A24" s="4" t="n"/>
      <c r="B24" s="4" t="n"/>
      <c r="C24" s="4" t="n"/>
      <c r="D24" s="4" t="n"/>
      <c r="E24" s="4" t="n"/>
      <c r="F24" s="4" t="n"/>
      <c r="G24" s="4" t="n"/>
      <c r="H24" s="4" t="n"/>
      <c r="I24" s="4" t="n"/>
      <c r="J24" s="4" t="n"/>
      <c r="K24" s="4" t="n"/>
      <c r="L24" s="4" t="n"/>
    </row>
    <row r="25" ht="15" customHeight="1">
      <c r="A25" s="4" t="n"/>
      <c r="B25" s="4" t="n"/>
      <c r="C25" s="4" t="n"/>
      <c r="D25" s="4" t="n"/>
      <c r="E25" s="4" t="n"/>
      <c r="F25" s="4" t="n"/>
      <c r="G25" s="4" t="n"/>
      <c r="H25" s="4" t="n"/>
      <c r="I25" s="4" t="n"/>
      <c r="J25" s="4" t="n"/>
      <c r="K25" s="4" t="n"/>
      <c r="L25" s="4" t="n"/>
    </row>
    <row r="26" ht="15" customHeight="1">
      <c r="A26" s="4" t="n"/>
      <c r="B26" s="4" t="n"/>
      <c r="C26" s="4" t="n"/>
      <c r="D26" s="4" t="n"/>
      <c r="E26" s="4" t="n"/>
      <c r="F26" s="4" t="n"/>
      <c r="G26" s="4" t="n"/>
      <c r="H26" s="4" t="n"/>
      <c r="I26" s="4" t="n"/>
      <c r="J26" s="4" t="n"/>
      <c r="K26" s="4" t="n"/>
      <c r="L26" s="4" t="n"/>
    </row>
    <row r="27" ht="15" customHeight="1">
      <c r="A27" s="4" t="n"/>
      <c r="B27" s="4" t="n"/>
      <c r="C27" s="4" t="n"/>
      <c r="D27" s="4" t="n"/>
      <c r="E27" s="4" t="n"/>
      <c r="F27" s="4" t="n"/>
      <c r="G27" s="4" t="n"/>
      <c r="H27" s="4" t="n"/>
      <c r="I27" s="4" t="n"/>
      <c r="J27" s="4" t="n"/>
      <c r="K27" s="4" t="n"/>
      <c r="L27" s="4" t="n"/>
    </row>
    <row r="28" ht="15" customHeight="1">
      <c r="A28" s="4" t="n"/>
      <c r="B28" s="4" t="n"/>
      <c r="C28" s="4" t="n"/>
      <c r="D28" s="4" t="n"/>
      <c r="E28" s="4" t="n"/>
      <c r="F28" s="4" t="n"/>
      <c r="G28" s="4" t="n"/>
      <c r="H28" s="4" t="n"/>
      <c r="I28" s="4" t="n"/>
      <c r="J28" s="4" t="n"/>
      <c r="K28" s="4" t="n"/>
      <c r="L28" s="4" t="n"/>
    </row>
    <row r="29" ht="15" customHeight="1">
      <c r="A29" s="4" t="n"/>
      <c r="B29" s="4" t="n"/>
      <c r="C29" s="4" t="n"/>
      <c r="D29" s="4" t="n"/>
      <c r="E29" s="4" t="n"/>
      <c r="F29" s="4" t="n"/>
      <c r="G29" s="4" t="n"/>
      <c r="H29" s="4" t="n"/>
      <c r="I29" s="4" t="n"/>
      <c r="J29" s="4" t="n"/>
      <c r="K29" s="4" t="n"/>
      <c r="L29" s="4" t="n"/>
    </row>
    <row r="30" ht="15" customHeight="1">
      <c r="A30" s="4" t="n"/>
      <c r="B30" s="4" t="n"/>
      <c r="C30" s="4" t="n"/>
      <c r="D30" s="4" t="n"/>
      <c r="E30" s="4" t="n"/>
      <c r="F30" s="4" t="n"/>
      <c r="G30" s="4" t="n"/>
      <c r="H30" s="4" t="n"/>
      <c r="I30" s="4" t="n"/>
      <c r="J30" s="4" t="n"/>
      <c r="K30" s="4" t="n"/>
      <c r="L30" s="4" t="n"/>
    </row>
    <row r="31" ht="15" customHeight="1">
      <c r="A31" s="4" t="n"/>
      <c r="B31" s="4" t="n"/>
      <c r="C31" s="4" t="n"/>
      <c r="D31" s="4" t="n"/>
      <c r="E31" s="4" t="n"/>
      <c r="F31" s="4" t="n"/>
      <c r="G31" s="4" t="n"/>
      <c r="H31" s="4" t="n"/>
      <c r="I31" s="4" t="n"/>
      <c r="J31" s="4" t="n"/>
      <c r="K31" s="4" t="n"/>
      <c r="L31" s="4" t="n"/>
    </row>
    <row r="32" ht="15" customHeight="1">
      <c r="A32" s="4" t="n"/>
      <c r="B32" s="4" t="n"/>
      <c r="C32" s="4" t="n"/>
      <c r="D32" s="4" t="n"/>
      <c r="E32" s="4" t="n"/>
      <c r="F32" s="4" t="n"/>
      <c r="G32" s="4" t="n"/>
      <c r="H32" s="4" t="n"/>
      <c r="I32" s="4" t="n"/>
      <c r="J32" s="4" t="n"/>
      <c r="K32" s="4" t="n"/>
      <c r="L32" s="4" t="n"/>
    </row>
    <row r="33" ht="15" customHeight="1">
      <c r="A33" s="4" t="n"/>
      <c r="B33" s="4" t="n"/>
      <c r="C33" s="4" t="n"/>
      <c r="D33" s="4" t="n"/>
      <c r="E33" s="4" t="n"/>
      <c r="F33" s="4" t="n"/>
      <c r="G33" s="4" t="n"/>
      <c r="H33" s="4" t="n"/>
      <c r="I33" s="4" t="n"/>
      <c r="J33" s="4" t="n"/>
      <c r="K33" s="4" t="n"/>
      <c r="L33" s="4" t="n"/>
    </row>
    <row r="34" ht="15" customHeight="1">
      <c r="A34" s="4" t="n"/>
      <c r="B34" s="4" t="n"/>
      <c r="C34" s="4" t="n"/>
      <c r="D34" s="4" t="n"/>
      <c r="E34" s="4" t="n"/>
      <c r="F34" s="4" t="n"/>
      <c r="G34" s="4" t="n"/>
      <c r="H34" s="4" t="n"/>
      <c r="I34" s="4" t="n"/>
      <c r="J34" s="4" t="n"/>
      <c r="K34" s="4" t="n"/>
      <c r="L34" s="4" t="n"/>
    </row>
    <row r="35">
      <c r="A35" s="4" t="n"/>
      <c r="B35" s="4" t="n"/>
      <c r="C35" s="4" t="n"/>
      <c r="D35" s="4" t="n"/>
      <c r="E35" s="4" t="n"/>
      <c r="F35" s="4" t="n"/>
      <c r="G35" s="4" t="n"/>
      <c r="H35" s="4" t="n"/>
      <c r="I35" s="4" t="n"/>
      <c r="J35" s="4" t="n"/>
      <c r="K35" s="4" t="n"/>
      <c r="L35" s="4" t="n"/>
    </row>
    <row r="36" ht="20" customHeight="1">
      <c r="A36" s="4" t="n"/>
      <c r="B36" s="8" t="inlineStr">
        <is>
          <t>CE QUI FAIT BOUGER LE CHIFFRE D'AFFAIRES  ·  chaîne CRM</t>
        </is>
      </c>
      <c r="C36" s="4" t="n"/>
      <c r="D36" s="4" t="n"/>
      <c r="E36" s="4" t="n"/>
      <c r="F36" s="4" t="n"/>
      <c r="G36" s="4" t="n"/>
      <c r="H36" s="4" t="n"/>
      <c r="I36" s="4" t="n"/>
      <c r="J36" s="4" t="n"/>
      <c r="K36" s="4" t="n"/>
      <c r="L36" s="9" t="inlineStr">
        <is>
          <t xml:space="preserve">colonnes C à E · Q_D3_CA_CRM   les six dernières sont calculées ici  </t>
        </is>
      </c>
    </row>
    <row r="37" ht="28" customHeight="1">
      <c r="A37" s="4" t="n"/>
      <c r="B37" s="10" t="inlineStr">
        <is>
          <t>Compte</t>
        </is>
      </c>
      <c r="C37" s="10" t="inlineStr">
        <is>
          <t>Unité comptée</t>
        </is>
      </c>
      <c r="D37" s="11" t="inlineStr">
        <is>
          <t>Volume 2025</t>
        </is>
      </c>
      <c r="E37" s="11" t="inlineStr">
        <is>
          <t>Volume 2026</t>
        </is>
      </c>
      <c r="F37" s="11" t="inlineStr">
        <is>
          <t>Δ volume</t>
        </is>
      </c>
      <c r="G37" s="11" t="inlineStr">
        <is>
          <t>Prix moyen 2025</t>
        </is>
      </c>
      <c r="H37" s="11" t="inlineStr">
        <is>
          <t>Prix moyen 2026</t>
        </is>
      </c>
      <c r="I37" s="11" t="inlineStr">
        <is>
          <t>Δ prix</t>
        </is>
      </c>
      <c r="J37" s="11" t="inlineStr">
        <is>
          <t>Effet volume</t>
        </is>
      </c>
      <c r="K37" s="11" t="inlineStr">
        <is>
          <t>Effet prix</t>
        </is>
      </c>
      <c r="L37" s="11" t="inlineStr">
        <is>
          <t>Δ CA</t>
        </is>
      </c>
    </row>
    <row r="38" ht="15.5" customHeight="1">
      <c r="A38" s="4" t="n"/>
      <c r="B38" s="12" t="inlineStr">
        <is>
          <t>706</t>
        </is>
      </c>
      <c r="C38" s="13">
        <f>IFERROR(VLOOKUP($B38,$N$7:$U$12,4,FALSE),"")</f>
        <v/>
      </c>
      <c r="D38" s="21">
        <f>IFERROR(VLOOKUP($B38,$N$7:$U$12,5,FALSE),0)</f>
        <v/>
      </c>
      <c r="E38" s="21">
        <f>IFERROR(VLOOKUP($B38,$N$7:$U$12,6,FALSE),0)</f>
        <v/>
      </c>
      <c r="F38" s="22">
        <f>E38-D38</f>
        <v/>
      </c>
      <c r="G38" s="23">
        <f>IFERROR(VLOOKUP($B38,$N$7:$U$12,7,FALSE)/D38,0)</f>
        <v/>
      </c>
      <c r="H38" s="23">
        <f>IFERROR(VLOOKUP($B38,$N$7:$U$12,8,FALSE)/E38,0)</f>
        <v/>
      </c>
      <c r="I38" s="24">
        <f>H38-G38</f>
        <v/>
      </c>
      <c r="J38" s="15">
        <f>F38*G38</f>
        <v/>
      </c>
      <c r="K38" s="15">
        <f>I38*E38</f>
        <v/>
      </c>
      <c r="L38" s="15">
        <f>J38+K38</f>
        <v/>
      </c>
      <c r="AA38">
        <f>IFERROR(VLOOKUP($B38,$N$7:$U$12,3,FALSE),"")</f>
        <v/>
      </c>
      <c r="AB38">
        <f>J38</f>
        <v/>
      </c>
      <c r="AC38">
        <f>K38</f>
        <v/>
      </c>
    </row>
    <row r="39" ht="15.5" customHeight="1">
      <c r="A39" s="4" t="n"/>
      <c r="B39" s="12" t="inlineStr">
        <is>
          <t>7062</t>
        </is>
      </c>
      <c r="C39" s="13">
        <f>IFERROR(VLOOKUP($B39,$N$7:$U$12,4,FALSE),"")</f>
        <v/>
      </c>
      <c r="D39" s="21">
        <f>IFERROR(VLOOKUP($B39,$N$7:$U$12,5,FALSE),0)</f>
        <v/>
      </c>
      <c r="E39" s="21">
        <f>IFERROR(VLOOKUP($B39,$N$7:$U$12,6,FALSE),0)</f>
        <v/>
      </c>
      <c r="F39" s="22">
        <f>E39-D39</f>
        <v/>
      </c>
      <c r="G39" s="23">
        <f>IFERROR(VLOOKUP($B39,$N$7:$U$12,7,FALSE)/D39,0)</f>
        <v/>
      </c>
      <c r="H39" s="23">
        <f>IFERROR(VLOOKUP($B39,$N$7:$U$12,8,FALSE)/E39,0)</f>
        <v/>
      </c>
      <c r="I39" s="24">
        <f>H39-G39</f>
        <v/>
      </c>
      <c r="J39" s="15">
        <f>F39*G39</f>
        <v/>
      </c>
      <c r="K39" s="15">
        <f>I39*E39</f>
        <v/>
      </c>
      <c r="L39" s="15">
        <f>J39+K39</f>
        <v/>
      </c>
      <c r="AA39">
        <f>IFERROR(VLOOKUP($B39,$N$7:$U$12,3,FALSE),"")</f>
        <v/>
      </c>
      <c r="AB39">
        <f>J39</f>
        <v/>
      </c>
      <c r="AC39">
        <f>K39</f>
        <v/>
      </c>
    </row>
    <row r="40" ht="15.5" customHeight="1">
      <c r="A40" s="4" t="n"/>
      <c r="B40" s="12" t="inlineStr">
        <is>
          <t>708</t>
        </is>
      </c>
      <c r="C40" s="13">
        <f>IFERROR(VLOOKUP($B40,$N$7:$U$12,4,FALSE),"")</f>
        <v/>
      </c>
      <c r="D40" s="21">
        <f>IFERROR(VLOOKUP($B40,$N$7:$U$12,5,FALSE),0)</f>
        <v/>
      </c>
      <c r="E40" s="21">
        <f>IFERROR(VLOOKUP($B40,$N$7:$U$12,6,FALSE),0)</f>
        <v/>
      </c>
      <c r="F40" s="22">
        <f>E40-D40</f>
        <v/>
      </c>
      <c r="G40" s="23">
        <f>IFERROR(VLOOKUP($B40,$N$7:$U$12,7,FALSE)/D40,0)</f>
        <v/>
      </c>
      <c r="H40" s="23">
        <f>IFERROR(VLOOKUP($B40,$N$7:$U$12,8,FALSE)/E40,0)</f>
        <v/>
      </c>
      <c r="I40" s="24">
        <f>H40-G40</f>
        <v/>
      </c>
      <c r="J40" s="15">
        <f>F40*G40</f>
        <v/>
      </c>
      <c r="K40" s="15">
        <f>I40*E40</f>
        <v/>
      </c>
      <c r="L40" s="15">
        <f>J40+K40</f>
        <v/>
      </c>
      <c r="AA40">
        <f>IFERROR(VLOOKUP($B40,$N$7:$U$12,3,FALSE),"")</f>
        <v/>
      </c>
      <c r="AB40">
        <f>J40</f>
        <v/>
      </c>
      <c r="AC40">
        <f>K40</f>
        <v/>
      </c>
    </row>
    <row r="41">
      <c r="A41" s="4" t="n"/>
      <c r="B41" s="16" t="inlineStr">
        <is>
          <t>Total</t>
        </is>
      </c>
      <c r="C41" s="25" t="inlineStr">
        <is>
          <t>les volumes ne s'additionnent pas d'une ligne à l'autre</t>
        </is>
      </c>
      <c r="D41" s="26" t="n"/>
      <c r="E41" s="26" t="n"/>
      <c r="F41" s="26" t="n"/>
      <c r="G41" s="26" t="n"/>
      <c r="H41" s="26" t="n"/>
      <c r="I41" s="26" t="n"/>
      <c r="J41" s="27">
        <f>SUM(J38:J40)</f>
        <v/>
      </c>
      <c r="K41" s="27">
        <f>SUM(K38:K40)</f>
        <v/>
      </c>
      <c r="L41" s="27">
        <f>SUM(L38:L40)</f>
        <v/>
      </c>
    </row>
    <row r="42">
      <c r="A42" s="4" t="n"/>
      <c r="B42" s="4" t="n"/>
      <c r="C42" s="4" t="n"/>
      <c r="D42" s="4" t="n"/>
      <c r="E42" s="4" t="n"/>
      <c r="F42" s="4" t="n"/>
      <c r="G42" s="4" t="n"/>
      <c r="H42" s="4" t="n"/>
      <c r="I42" s="4" t="n"/>
      <c r="J42" s="4" t="n"/>
      <c r="K42" s="4" t="n"/>
      <c r="L42" s="4" t="n"/>
    </row>
    <row r="43">
      <c r="A43" s="4" t="n"/>
      <c r="B43" s="28" t="inlineStr">
        <is>
          <t>Contrôle</t>
        </is>
      </c>
      <c r="C43" s="28" t="inlineStr">
        <is>
          <t>effet volume + effet prix doit valoir la variation du chiffre d'affaires, sans résidu</t>
        </is>
      </c>
      <c r="D43" s="29" t="n"/>
      <c r="E43" s="29" t="n"/>
      <c r="F43" s="29" t="n"/>
      <c r="G43" s="29" t="n"/>
      <c r="H43" s="29" t="n"/>
      <c r="I43" s="29" t="n"/>
      <c r="J43" s="30">
        <f>H13-E13</f>
        <v/>
      </c>
      <c r="K43" s="31">
        <f>L41</f>
        <v/>
      </c>
      <c r="L43" s="32">
        <f>K43-J43</f>
        <v/>
      </c>
    </row>
    <row r="44">
      <c r="A44" s="4" t="n"/>
      <c r="B44" s="4" t="n"/>
      <c r="C44" s="4" t="n"/>
      <c r="D44" s="4" t="n"/>
      <c r="E44" s="4" t="n"/>
      <c r="F44" s="4" t="n"/>
      <c r="G44" s="4" t="n"/>
      <c r="H44" s="4" t="n"/>
      <c r="I44" s="4" t="n"/>
      <c r="J44" s="4" t="n"/>
      <c r="K44" s="4" t="n"/>
      <c r="L44" s="4" t="n"/>
    </row>
    <row r="45">
      <c r="A45" s="4" t="n"/>
      <c r="B45" s="33" t="inlineStr">
        <is>
          <t>Pas de terme croisé, pas de résidu : le volume est valorisé au prix de l'an dernier, le prix appliqué au volume de cette année. Les deux effets se somment exactement à la variation.</t>
        </is>
      </c>
      <c r="C45" s="4" t="n"/>
      <c r="D45" s="4" t="n"/>
      <c r="E45" s="4" t="n"/>
      <c r="F45" s="4" t="n"/>
      <c r="G45" s="4" t="n"/>
      <c r="H45" s="4" t="n"/>
      <c r="I45" s="4" t="n"/>
      <c r="J45" s="4" t="n"/>
      <c r="K45" s="4" t="n"/>
      <c r="L45" s="4" t="n"/>
    </row>
    <row r="46">
      <c r="A46" s="4" t="n"/>
      <c r="B46" s="33" t="inlineStr">
        <is>
          <t>L'effet prix porte aussi le MIX. Un campus qui bascule des initiaux vers des alternants voit son prix moyen bouger sans qu'aucun tarif ait changé. Pour séparer les deux il faudrait descendre au grain programme × année d'étude ; à ce stade du drill, ce n'est pas la question posée.</t>
        </is>
      </c>
      <c r="C46" s="4" t="n"/>
      <c r="D46" s="4" t="n"/>
      <c r="E46" s="4" t="n"/>
      <c r="F46" s="4" t="n"/>
      <c r="G46" s="4" t="n"/>
      <c r="H46" s="4" t="n"/>
      <c r="I46" s="4" t="n"/>
      <c r="J46" s="4" t="n"/>
      <c r="K46" s="4" t="n"/>
      <c r="L46" s="4" t="n"/>
    </row>
    <row r="47">
      <c r="A47" s="4" t="n"/>
      <c r="B47" s="33" t="inlineStr">
        <is>
          <t>Aucune division dans les requêtes. Le prix moyen ne survivrait pas à une somme — additionner les prix moyens de quatorze campus ne donne pas le prix moyen du groupe. Les requêtes rendent le montant et le volume, le classeur divise après avoir sommé.</t>
        </is>
      </c>
      <c r="C47" s="4" t="n"/>
      <c r="D47" s="4" t="n"/>
      <c r="E47" s="4" t="n"/>
      <c r="F47" s="4" t="n"/>
      <c r="G47" s="4" t="n"/>
      <c r="H47" s="4" t="n"/>
      <c r="I47" s="4" t="n"/>
      <c r="J47" s="4" t="n"/>
      <c r="K47" s="4" t="n"/>
      <c r="L47" s="4" t="n"/>
    </row>
    <row r="48">
      <c r="A48" s="4" t="n"/>
      <c r="B48" s="33" t="inlineStr">
        <is>
          <t>C'est ce qui rend la page juste à tous les niveaux de la hiérarchie, du campus au groupe, sans que les requêtes aient à savoir à quel niveau elles tournent.</t>
        </is>
      </c>
      <c r="C48" s="4" t="n"/>
      <c r="D48" s="4" t="n"/>
      <c r="E48" s="4" t="n"/>
      <c r="F48" s="4" t="n"/>
      <c r="G48" s="4" t="n"/>
      <c r="H48" s="4" t="n"/>
      <c r="I48" s="4" t="n"/>
      <c r="J48" s="4" t="n"/>
      <c r="K48" s="4" t="n"/>
      <c r="L48" s="4" t="n"/>
    </row>
    <row r="49">
      <c r="A49" s="4" t="n"/>
      <c r="B49" s="4" t="n"/>
      <c r="C49" s="4" t="n"/>
      <c r="D49" s="4" t="n"/>
      <c r="E49" s="4" t="n"/>
      <c r="F49" s="4" t="n"/>
      <c r="G49" s="4" t="n"/>
      <c r="H49" s="4" t="n"/>
      <c r="I49" s="4" t="n"/>
      <c r="J49" s="4" t="n"/>
      <c r="K49" s="4" t="n"/>
      <c r="L49" s="4" t="n"/>
    </row>
    <row r="50">
      <c r="A50" s="4" t="n"/>
      <c r="B50" s="4" t="n"/>
      <c r="C50" s="4" t="n"/>
      <c r="D50" s="4" t="n"/>
      <c r="E50" s="4" t="n"/>
      <c r="F50" s="4" t="n"/>
      <c r="G50" s="4" t="n"/>
      <c r="H50" s="4" t="n"/>
      <c r="I50" s="4" t="n"/>
      <c r="J50" s="4" t="n"/>
      <c r="K50" s="4" t="n"/>
      <c r="L50" s="4" t="n"/>
    </row>
    <row r="51">
      <c r="A51" s="4" t="n"/>
      <c r="B51" s="4" t="n"/>
      <c r="C51" s="4" t="n"/>
      <c r="D51" s="4" t="n"/>
      <c r="E51" s="4" t="n"/>
      <c r="F51" s="4" t="n"/>
      <c r="G51" s="4" t="n"/>
      <c r="H51" s="4" t="n"/>
      <c r="I51" s="4" t="n"/>
      <c r="J51" s="4" t="n"/>
      <c r="K51" s="4" t="n"/>
      <c r="L51" s="4" t="n"/>
    </row>
    <row r="52">
      <c r="A52" s="4" t="n"/>
      <c r="B52" s="4" t="n"/>
      <c r="C52" s="4" t="n"/>
      <c r="D52" s="4" t="n"/>
      <c r="E52" s="4" t="n"/>
      <c r="F52" s="4" t="n"/>
      <c r="G52" s="4" t="n"/>
      <c r="H52" s="4" t="n"/>
      <c r="I52" s="4" t="n"/>
      <c r="J52" s="4" t="n"/>
      <c r="K52" s="4" t="n"/>
      <c r="L52" s="4" t="n"/>
    </row>
    <row r="53">
      <c r="A53" s="4" t="n"/>
      <c r="B53" s="4" t="n"/>
      <c r="C53" s="4" t="n"/>
      <c r="D53" s="4" t="n"/>
      <c r="E53" s="4" t="n"/>
      <c r="F53" s="4" t="n"/>
      <c r="G53" s="4" t="n"/>
      <c r="H53" s="4" t="n"/>
      <c r="I53" s="4" t="n"/>
      <c r="J53" s="4" t="n"/>
      <c r="K53" s="4" t="n"/>
      <c r="L53" s="4" t="n"/>
    </row>
    <row r="54">
      <c r="A54" s="4" t="n"/>
      <c r="B54" s="4" t="n"/>
      <c r="C54" s="4" t="n"/>
      <c r="D54" s="4" t="n"/>
      <c r="E54" s="4" t="n"/>
      <c r="F54" s="4" t="n"/>
      <c r="G54" s="4" t="n"/>
      <c r="H54" s="4" t="n"/>
      <c r="I54" s="4" t="n"/>
      <c r="J54" s="4" t="n"/>
      <c r="K54" s="4" t="n"/>
      <c r="L54" s="4" t="n"/>
    </row>
  </sheetData>
  <conditionalFormatting sqref="B10:I12">
    <cfRule type="expression" priority="1" dxfId="0">
      <formula>OR($F10&lt;&gt;0,$I10&lt;&gt;0)</formula>
    </cfRule>
    <cfRule type="expression" priority="2" dxfId="1">
      <formula>$B10&lt;&gt;""</formula>
    </cfRule>
  </conditionalFormatting>
  <conditionalFormatting sqref="B38:L40">
    <cfRule type="expression" priority="3" dxfId="1">
      <formula>$B38&lt;&gt;""</formula>
    </cfRule>
  </conditionalFormatting>
  <conditionalFormatting sqref="F38:F40">
    <cfRule type="cellIs" priority="4" operator="greaterThan" dxfId="2">
      <formula>0</formula>
    </cfRule>
    <cfRule type="cellIs" priority="5" operator="lessThan" dxfId="3">
      <formula>0</formula>
    </cfRule>
  </conditionalFormatting>
  <conditionalFormatting sqref="I38:I40">
    <cfRule type="cellIs" priority="6" operator="greaterThan" dxfId="2">
      <formula>0</formula>
    </cfRule>
    <cfRule type="cellIs" priority="7" operator="lessThan" dxfId="3">
      <formula>0</formula>
    </cfRule>
  </conditionalFormatting>
  <conditionalFormatting sqref="J38:J40">
    <cfRule type="cellIs" priority="8" operator="greaterThan" dxfId="2">
      <formula>0</formula>
    </cfRule>
    <cfRule type="cellIs" priority="9" operator="lessThan" dxfId="3">
      <formula>0</formula>
    </cfRule>
  </conditionalFormatting>
  <conditionalFormatting sqref="K38:K40">
    <cfRule type="cellIs" priority="10" operator="greaterThan" dxfId="2">
      <formula>0</formula>
    </cfRule>
    <cfRule type="cellIs" priority="11" operator="lessThan" dxfId="3">
      <formula>0</formula>
    </cfRule>
  </conditionalFormatting>
  <conditionalFormatting sqref="L38:L40">
    <cfRule type="cellIs" priority="12" operator="greaterThan" dxfId="2">
      <formula>0</formula>
    </cfRule>
    <cfRule type="cellIs" priority="13" operator="lessThan" dxfId="3">
      <formula>0</formula>
    </cfRule>
  </conditionalFormatting>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2026-09-07T00:06:44Z</dcterms:created>
  <dcterms:modified xsi:type="dcterms:W3CDTF">2026-09-07T00:06:44Z</dcterms:modified>
</cp:coreProperties>
</file>