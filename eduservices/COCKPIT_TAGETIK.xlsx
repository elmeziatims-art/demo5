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1" activeTab="1" autoFilterDateGrouping="1"/>
  </bookViews>
  <sheets>
    <sheet name="_TGK_HIDDEN" sheetId="1" state="veryHidden" r:id="rId1"/>
    <sheet name="Cockpit" sheetId="2" state="visible" r:id="rId2"/>
    <sheet name="Drill EBITDA 1" sheetId="3" state="visible" r:id="rId3"/>
    <sheet name="Drill EBITDA 2" sheetId="4" state="visible" r:id="rId4"/>
  </sheets>
  <definedNames>
    <definedName name="Query02" comment="Query02" localSheetId="1">Cockpit!$BB$6:$BD$9</definedName>
    <definedName name="Query01" comment="Query01" localSheetId="1">Cockpit!$AK$6:$AN$11</definedName>
    <definedName name="Query00" comment="Query00" localSheetId="1">Cockpit!$AD$6:$AH$11</definedName>
  </definedNames>
  <calcPr calcId="0" fullCalcOnLoad="1" iterateCount="100" iterateDelta="0.001"/>
</workbook>
</file>

<file path=xl/styles.xml><?xml version="1.0" encoding="utf-8"?>
<styleSheet xmlns="http://schemas.openxmlformats.org/spreadsheetml/2006/main">
  <numFmts count="32">
    <numFmt numFmtId="164" formatCode="0.0,,&quot; M€&quot;"/>
    <numFmt numFmtId="165" formatCode="0.0%"/>
    <numFmt numFmtId="166" formatCode="#,##0&quot; €&quot;"/>
    <numFmt numFmtId="167" formatCode="&quot;▲ &quot;0.0%;&quot;▼ &quot;0.0%;&quot;—&quot;"/>
    <numFmt numFmtId="168" formatCode="&quot;+&quot;0.0%;&quot;-&quot;0.0%;&quot;—&quot;"/>
    <numFmt numFmtId="169" formatCode="&quot;▲ &quot;0.00&quot; pt&quot;;&quot;▼ &quot;0.00&quot; pt&quot;;&quot;—&quot;"/>
    <numFmt numFmtId="170" formatCode="&quot;+&quot;0.00&quot; pt&quot;;&quot;-&quot;0.00&quot; pt&quot;;&quot;—&quot;"/>
    <numFmt numFmtId="171" formatCode="#,##0&quot; places libres&quot;;\-#,##0&quot; places libres&quot;;&quot;—&quot;"/>
    <numFmt numFmtId="172" formatCode="#,##0&quot; places libres&quot;"/>
    <numFmt numFmtId="173" formatCode="&quot;+&quot;0.0%;&quot;-&quot;0.0%;&quot;&quot;"/>
    <numFmt numFmtId="174" formatCode="&quot;▲ &quot;0.0%;&quot;▼ &quot;0.0%;&quot;&quot;"/>
    <numFmt numFmtId="175" formatCode="&quot;▲ &quot;0.00;&quot;▼ &quot;0.00;&quot;&quot;"/>
    <numFmt numFmtId="176" formatCode="\+#,##0&quot; €&quot;"/>
    <numFmt numFmtId="177" formatCode="\-#,##0&quot; €&quot;"/>
    <numFmt numFmtId="178" formatCode="0.00&quot; €&quot;"/>
    <numFmt numFmtId="179" formatCode="&quot;▲ &quot;#,##0;&quot;▼ &quot;#,##0;&quot;—&quot;"/>
    <numFmt numFmtId="180" formatCode="\+#,##0&quot; €&quot;;\-#,##0&quot; €&quot;;&quot;0 €&quot;"/>
    <numFmt numFmtId="181" formatCode="\+0.00%;\-0.00%;&quot;0,00 %&quot;"/>
    <numFmt numFmtId="182" formatCode="#,##0.00,"/>
    <numFmt numFmtId="183" formatCode="#,##0,"/>
    <numFmt numFmtId="184" formatCode="mm/dd/yy;@"/>
    <numFmt numFmtId="185" formatCode="&quot;$&quot;#,##0.00"/>
    <numFmt numFmtId="186" formatCode="_(&quot;€&quot;* #,##0.00_);_(&quot;€&quot;* \(#,##0.00\);_(&quot;€&quot;* &quot;-&quot;??_);_(@_)"/>
    <numFmt numFmtId="187" formatCode="_(&quot;€&quot;* #,##0_);_(&quot;€&quot;* \(#,##0\);_(&quot;€&quot;* &quot;-&quot;_);_(@_)"/>
    <numFmt numFmtId="188" formatCode="#.###."/>
    <numFmt numFmtId="189" formatCode="#,##0&quot; places libres&quot;;-#,##0&quot; places libres&quot;;&quot;—&quot;"/>
    <numFmt numFmtId="190" formatCode="+#,##0&quot; €&quot;"/>
    <numFmt numFmtId="191" formatCode="-#,##0&quot; €&quot;"/>
    <numFmt numFmtId="192" formatCode="#,##0.00&quot; €&quot;"/>
    <numFmt numFmtId="193" formatCode="+#,##0&quot; €&quot;;-#,##0&quot; €&quot;;&quot;—&quot;"/>
    <numFmt numFmtId="194" formatCode="+#,##0&quot; €&quot;;-#,##0&quot; €&quot;;&quot;0 €&quot;"/>
    <numFmt numFmtId="195" formatCode="+0.00%;-0.00%;&quot;0,00 %&quot;"/>
  </numFmts>
  <fonts count="88">
    <font>
      <name val="Calibri"/>
      <color theme="1"/>
      <sz val="11"/>
      <scheme val="minor"/>
    </font>
    <font>
      <name val="Aptos Narrow"/>
      <color theme="0"/>
      <sz val="11"/>
      <scheme val="minor"/>
    </font>
    <font>
      <name val="Tahoma"/>
      <color theme="3"/>
      <sz val="8"/>
    </font>
    <font>
      <name val="Calibri"/>
      <color theme="3"/>
      <sz val="11"/>
      <scheme val="minor"/>
    </font>
    <font>
      <name val="Tahoma"/>
      <color theme="0"/>
      <sz val="8"/>
    </font>
    <font>
      <name val="Tahoma"/>
      <b val="1"/>
      <color theme="3"/>
      <sz val="8"/>
    </font>
    <font>
      <name val="Tahoma"/>
      <b val="1"/>
      <i val="1"/>
      <color theme="3"/>
      <sz val="8"/>
    </font>
    <font>
      <name val="Tahoma"/>
      <color theme="3"/>
      <sz val="8"/>
      <u val="single"/>
    </font>
    <font>
      <name val="Tahoma"/>
      <color auto="1"/>
      <sz val="8"/>
    </font>
    <font>
      <name val="Aptos Narrow"/>
      <color rgb="FF9C6500"/>
      <sz val="11"/>
      <scheme val="minor"/>
    </font>
    <font>
      <name val="Aptos Narrow"/>
      <color theme="1"/>
      <sz val="11"/>
      <scheme val="minor"/>
    </font>
    <font>
      <name val="Calibri"/>
      <color theme="0"/>
      <sz val="11"/>
      <scheme val="minor"/>
    </font>
    <font>
      <name val="Tahoma"/>
      <color theme="3"/>
      <sz val="11"/>
    </font>
    <font>
      <name val="Webdings"/>
      <color theme="3"/>
      <sz val="10"/>
    </font>
    <font>
      <name val="Aptos Display"/>
      <b val="1"/>
      <color theme="3"/>
      <sz val="18"/>
      <scheme val="major"/>
    </font>
    <font>
      <name val="Webdings"/>
      <color rgb="FFFF0000"/>
      <sz val="8"/>
    </font>
    <font>
      <name val="Webdings"/>
      <color rgb="FFFF0000"/>
      <sz val="14"/>
    </font>
    <font>
      <name val="Webdings"/>
      <color theme="1"/>
      <sz val="8"/>
    </font>
    <font>
      <name val="Webdings"/>
      <color rgb="FF00B050"/>
      <sz val="14"/>
    </font>
    <font>
      <name val="Arial"/>
      <color rgb="FF202733"/>
      <sz val="8.5"/>
    </font>
    <font>
      <name val="Fira Sans Medium"/>
      <b val="1"/>
      <color rgb="FF202733"/>
      <sz val="9"/>
    </font>
    <font>
      <name val="Fira Sans Medium"/>
      <b val="1"/>
      <color rgb="FF202733"/>
      <sz val="16"/>
    </font>
    <font>
      <name val="Arial"/>
      <b val="1"/>
      <color rgb="FF526071"/>
      <sz val="7.5"/>
    </font>
    <font>
      <name val="Arial"/>
      <b val="1"/>
      <color rgb="FF202733"/>
      <sz val="9"/>
    </font>
    <font>
      <name val="Segoe UI"/>
      <color rgb="FF7C8798"/>
      <sz val="9"/>
    </font>
    <font>
      <name val="Aptos Narrow"/>
      <b val="1"/>
      <i val="1"/>
      <color theme="1"/>
      <sz val="11"/>
      <scheme val="minor"/>
    </font>
    <font>
      <name val="Aptos Narrow"/>
      <b val="1"/>
      <color theme="1"/>
      <sz val="11"/>
      <scheme val="minor"/>
    </font>
    <font>
      <name val="Fira Sans Medium"/>
      <b val="1"/>
      <color rgb="FF202733"/>
      <sz val="18"/>
    </font>
    <font>
      <name val="Arial"/>
      <b val="1"/>
      <color rgb="FF69778B"/>
      <sz val="9"/>
    </font>
    <font>
      <name val="Arial"/>
      <b val="1"/>
      <color rgb="FF69778B"/>
      <sz val="8.5"/>
    </font>
    <font>
      <name val="Arial"/>
      <i val="1"/>
      <color rgb="FF69778B"/>
      <sz val="7.5"/>
    </font>
    <font>
      <name val="Aptos Narrow"/>
      <color rgb="FFF3F6FA"/>
      <sz val="11"/>
      <scheme val="minor"/>
    </font>
    <font>
      <name val="Fira Sans Medium"/>
      <b val="1"/>
      <color rgb="FFFFFFFF"/>
      <sz val="8"/>
    </font>
    <font>
      <name val="Fira Sans Medium"/>
      <b val="1"/>
      <color rgb="FF202733"/>
      <sz val="10"/>
    </font>
    <font>
      <name val="Arial"/>
      <color rgb="FF69778B"/>
      <sz val="8.5"/>
    </font>
    <font>
      <name val="Fira Sans Medium"/>
      <b val="1"/>
      <color rgb="FFFFFFFF"/>
      <sz val="15"/>
    </font>
    <font>
      <name val="Arial"/>
      <color rgb="FFB8C6DA"/>
      <sz val="8"/>
    </font>
    <font>
      <name val="Fira Sans Medium"/>
      <b val="1"/>
      <color rgb="FF202733"/>
      <sz val="14"/>
    </font>
    <font>
      <name val="Arial"/>
      <i val="1"/>
      <color rgb="FF69778B"/>
      <sz val="8.5"/>
    </font>
    <font>
      <name val="Arial"/>
      <color rgb="FF202733"/>
      <sz val="9"/>
    </font>
    <font>
      <name val="Arial"/>
      <b val="1"/>
      <color rgb="FF1E9E89"/>
      <sz val="11"/>
    </font>
    <font>
      <name val="Arial"/>
      <b val="1"/>
      <color rgb="FF202733"/>
      <sz val="8.5"/>
    </font>
    <font>
      <name val="Fira Sans Medium"/>
      <b val="1"/>
      <color rgb="FF202733"/>
      <sz val="13"/>
    </font>
    <font>
      <name val="Arial"/>
      <b val="1"/>
      <color rgb="FF69778B"/>
      <sz val="8"/>
    </font>
    <font>
      <name val="Arial"/>
      <b val="1"/>
      <color rgb="FF2A78D6"/>
      <sz val="11"/>
    </font>
    <font>
      <name val="Arial"/>
      <b val="1"/>
      <color rgb="FF2A78D6"/>
      <sz val="9"/>
    </font>
    <font>
      <name val="Arial"/>
      <b val="1"/>
      <color rgb="FF1E9E89"/>
      <sz val="9"/>
    </font>
    <font>
      <name val="Arial"/>
      <b val="1"/>
      <color rgb="FFD64545"/>
      <sz val="9"/>
    </font>
    <font>
      <name val="Tahoma"/>
      <color theme="3"/>
      <sz val="8"/>
    </font>
    <font>
      <name val="Arial"/>
      <color rgb="FF69778B"/>
      <sz val="7.5"/>
    </font>
    <font>
      <name val="Arial"/>
      <color rgb="FF69778B"/>
      <sz val="8"/>
    </font>
    <font>
      <name val="Calibri"/>
      <color rgb="FF9C0006"/>
      <sz val="11"/>
      <scheme val="minor"/>
    </font>
    <font>
      <name val="Calibri"/>
      <b val="1"/>
      <color rgb="FFFA7D00"/>
      <sz val="11"/>
      <scheme val="minor"/>
    </font>
    <font>
      <name val="Calibri"/>
      <b val="1"/>
      <color theme="0"/>
      <sz val="11"/>
      <scheme val="minor"/>
    </font>
    <font>
      <name val="Calibri"/>
      <i val="1"/>
      <color rgb="FF7F7F7F"/>
      <sz val="11"/>
      <scheme val="minor"/>
    </font>
    <font>
      <name val="Calibri"/>
      <color rgb="FF006100"/>
      <sz val="11"/>
      <scheme val="minor"/>
    </font>
    <font>
      <name val="Calibri"/>
      <b val="1"/>
      <color theme="3"/>
      <sz val="15"/>
      <scheme val="minor"/>
    </font>
    <font>
      <name val="Calibri"/>
      <b val="1"/>
      <color theme="3"/>
      <sz val="13"/>
      <scheme val="minor"/>
    </font>
    <font>
      <name val="Calibri"/>
      <b val="1"/>
      <color theme="3"/>
      <sz val="11"/>
      <scheme val="minor"/>
    </font>
    <font>
      <name val="Calibri"/>
      <color rgb="FF3F3F76"/>
      <sz val="11"/>
      <scheme val="minor"/>
    </font>
    <font>
      <name val="Calibri"/>
      <color rgb="FFFA7D00"/>
      <sz val="11"/>
      <scheme val="minor"/>
    </font>
    <font>
      <name val="Calibri"/>
      <color rgb="FF9C6500"/>
      <sz val="11"/>
      <scheme val="minor"/>
    </font>
    <font>
      <name val="Calibri"/>
      <b val="1"/>
      <color rgb="FF3F3F3F"/>
      <sz val="11"/>
      <scheme val="minor"/>
    </font>
    <font>
      <name val="Calibri"/>
      <b val="1"/>
      <i val="1"/>
      <color theme="1"/>
      <sz val="11"/>
      <scheme val="minor"/>
    </font>
    <font>
      <name val="Cambria"/>
      <b val="1"/>
      <color theme="3"/>
      <sz val="18"/>
      <scheme val="major"/>
    </font>
    <font>
      <name val="Calibri"/>
      <b val="1"/>
      <color theme="1"/>
      <sz val="11"/>
      <scheme val="minor"/>
    </font>
    <font>
      <name val="Calibri"/>
      <color rgb="FFFF0000"/>
      <sz val="11"/>
      <scheme val="minor"/>
    </font>
    <font>
      <name val="Arial"/>
      <b val="1"/>
      <color rgb="00FFFFFF"/>
      <sz val="14"/>
    </font>
    <font>
      <name val="Arial"/>
      <color rgb="00A6D0EA"/>
      <sz val="8"/>
    </font>
    <font>
      <name val="Arial"/>
      <b val="1"/>
      <color rgb="00007AC3"/>
      <sz val="7"/>
    </font>
    <font>
      <name val="Arial"/>
      <b val="1"/>
      <color rgb="00262626"/>
      <sz val="9"/>
    </font>
    <font>
      <name val="Arial"/>
      <b val="1"/>
      <color rgb="006B7075"/>
      <sz val="7"/>
    </font>
    <font>
      <name val="Arial"/>
      <color rgb="00262626"/>
      <sz val="20"/>
    </font>
    <font>
      <name val="Arial"/>
      <b val="1"/>
      <color rgb="006B7075"/>
      <sz val="8"/>
    </font>
    <font>
      <name val="Arial"/>
      <b val="1"/>
      <color rgb="00262626"/>
      <sz val="9.5"/>
    </font>
    <font>
      <name val="Arial"/>
      <i val="1"/>
      <color rgb="006B7075"/>
      <sz val="7"/>
    </font>
    <font>
      <name val="Arial"/>
      <b val="1"/>
      <color rgb="00262626"/>
      <sz val="8"/>
    </font>
    <font>
      <name val="Arial"/>
      <color rgb="00262626"/>
      <sz val="8"/>
    </font>
    <font>
      <name val="Arial"/>
      <color rgb="006B7075"/>
      <sz val="7.5"/>
    </font>
    <font>
      <name val="Arial"/>
      <b val="1"/>
      <color rgb="00262626"/>
      <sz val="12.5"/>
    </font>
    <font>
      <name val="Arial"/>
      <i val="1"/>
      <color rgb="006B7075"/>
      <sz val="8"/>
    </font>
    <font>
      <name val="Arial"/>
      <color rgb="006B7075"/>
      <sz val="8"/>
    </font>
    <font>
      <name val="Arial"/>
      <color rgb="00262626"/>
      <sz val="9"/>
    </font>
    <font>
      <name val="Arial"/>
      <b val="1"/>
      <color rgb="005F8A17"/>
      <sz val="9"/>
    </font>
    <font>
      <name val="Arial"/>
      <b val="1"/>
      <color rgb="00C41822"/>
      <sz val="9"/>
    </font>
    <font>
      <name val="Arial"/>
      <b val="1"/>
      <color rgb="00007AC3"/>
      <sz val="10"/>
    </font>
    <font>
      <name val="Arial"/>
      <b val="1"/>
      <color rgb="00007AC3"/>
      <sz val="10.5"/>
    </font>
    <font>
      <name val="Arial"/>
      <b val="1"/>
      <color rgb="00007AC3"/>
      <sz val="8.5"/>
    </font>
  </fonts>
  <fills count="50">
    <fill>
      <patternFill/>
    </fill>
    <fill>
      <patternFill patternType="gray125"/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0"/>
      </patternFill>
    </fill>
    <fill>
      <patternFill patternType="solid">
        <fgColor rgb="FFF8F8F2"/>
      </patternFill>
    </fill>
    <fill>
      <patternFill patternType="solid">
        <fgColor theme="3" tint="0.8"/>
      </patternFill>
    </fill>
    <fill>
      <patternFill patternType="solid">
        <fgColor rgb="FFFFEB9C"/>
      </patternFill>
    </fill>
    <fill>
      <patternFill patternType="solid">
        <fgColor theme="0" tint="-0.05"/>
      </patternFill>
    </fill>
    <fill>
      <patternFill patternType="solid">
        <fgColor rgb="FFEAF0F6"/>
      </patternFill>
    </fill>
    <fill>
      <patternFill patternType="solid">
        <fgColor rgb="FFF3F6FA"/>
      </patternFill>
    </fill>
    <fill>
      <patternFill patternType="solid">
        <fgColor rgb="FF526071"/>
      </patternFill>
    </fill>
    <fill>
      <patternFill patternType="solid">
        <fgColor rgb="FFFFFFFF"/>
      </patternFill>
    </fill>
    <fill>
      <patternFill patternType="solid">
        <fgColor rgb="FF172033"/>
      </patternFill>
    </fill>
    <fill>
      <patternFill patternType="solid">
        <fgColor rgb="FFD9E2EF"/>
      </patternFill>
    </fill>
    <fill>
      <patternFill patternType="solid">
        <fgColor rgb="FFEAF2FC"/>
      </patternFill>
    </fill>
    <fill>
      <patternFill patternType="solid">
        <fgColor rgb="FFFFF1E8"/>
      </patternFill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00F5F6F7"/>
      </patternFill>
    </fill>
    <fill>
      <patternFill patternType="solid">
        <fgColor rgb="00262626"/>
      </patternFill>
    </fill>
    <fill>
      <patternFill patternType="solid">
        <fgColor rgb="00007AC3"/>
      </patternFill>
    </fill>
    <fill>
      <patternFill patternType="solid">
        <fgColor rgb="00FFFFFF"/>
      </patternFill>
    </fill>
    <fill>
      <patternFill patternType="solid">
        <fgColor rgb="00E7E6E6"/>
      </patternFill>
    </fill>
  </fills>
  <borders count="43">
    <border>
      <left/>
      <right/>
      <top/>
      <bottom/>
    </border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1" tint="0.5"/>
      </bottom>
      <diagonal/>
    </border>
    <border>
      <left/>
      <right/>
      <top/>
      <bottom style="thin">
        <color theme="3" tint="0.8"/>
      </bottom>
      <diagonal/>
    </border>
    <border>
      <left/>
      <right/>
      <top/>
      <bottom style="thick">
        <color theme="3" tint="0.4"/>
      </bottom>
      <diagonal/>
    </border>
    <border>
      <left style="thin">
        <color theme="0"/>
      </left>
      <right style="thin">
        <color theme="0"/>
      </right>
      <top/>
      <bottom style="thin">
        <color theme="3" tint="0.8"/>
      </bottom>
      <diagonal/>
    </border>
    <border>
      <left style="thin">
        <color theme="0"/>
      </left>
      <right style="thin">
        <color theme="0"/>
      </right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3" tint="0.8"/>
      </top>
      <bottom style="thin">
        <color theme="3" tint="0.8"/>
      </bottom>
      <diagonal/>
    </border>
    <border>
      <left/>
      <right/>
      <top/>
      <bottom style="medium">
        <color theme="3"/>
      </bottom>
      <diagonal/>
    </border>
    <border>
      <left style="thin">
        <color rgb="FFE9EDF3"/>
      </left>
      <right/>
      <top style="thin">
        <color rgb="FFE9EDF3"/>
      </top>
      <bottom/>
      <diagonal/>
    </border>
    <border>
      <left/>
      <right/>
      <top style="thin">
        <color rgb="FFB8CFEC"/>
      </top>
      <bottom style="thin">
        <color rgb="FFB8CFEC"/>
      </bottom>
      <diagonal/>
    </border>
    <border>
      <left/>
      <right style="thin">
        <color rgb="FFE9EDF3"/>
      </right>
      <top style="thin">
        <color rgb="FFE9EDF3"/>
      </top>
      <bottom/>
      <diagonal/>
    </border>
    <border>
      <left style="thin">
        <color rgb="FFE9EDF3"/>
      </left>
      <right/>
      <top/>
      <bottom/>
      <diagonal/>
    </border>
    <border>
      <left/>
      <right style="thin">
        <color rgb="FFE9EDF3"/>
      </right>
      <top/>
      <bottom/>
      <diagonal/>
    </border>
    <border>
      <left style="thin">
        <color rgb="FFE9EDF3"/>
      </left>
      <right/>
      <top/>
      <bottom style="thin">
        <color rgb="FFE9EDF3"/>
      </bottom>
      <diagonal/>
    </border>
    <border>
      <left/>
      <right style="thin">
        <color rgb="FFE9EDF3"/>
      </right>
      <top/>
      <bottom style="thin">
        <color rgb="FFE9EDF3"/>
      </bottom>
      <diagonal/>
    </border>
    <border>
      <left/>
      <right/>
      <top style="thin">
        <color rgb="FFE9EDF3"/>
      </top>
      <bottom/>
      <diagonal/>
    </border>
    <border>
      <left/>
      <right/>
      <top/>
      <bottom style="thin">
        <color rgb="FFE9EDF3"/>
      </bottom>
      <diagonal/>
    </border>
    <border>
      <left style="thin">
        <color rgb="FF526071"/>
      </left>
      <right style="thin">
        <color rgb="FF526071"/>
      </right>
      <top style="thin">
        <color rgb="FF526071"/>
      </top>
      <bottom style="thin">
        <color rgb="FF526071"/>
      </bottom>
      <diagonal/>
    </border>
    <border>
      <left/>
      <right/>
      <top style="medium">
        <color rgb="FF526071"/>
      </top>
      <bottom style="medium">
        <color rgb="FF526071"/>
      </bottom>
      <diagonal/>
    </border>
    <border>
      <left/>
      <right/>
      <top style="medium">
        <color rgb="FF526071"/>
      </top>
      <bottom style="thin">
        <color rgb="FF526071"/>
      </bottom>
      <diagonal/>
    </border>
    <border>
      <left/>
      <right/>
      <top/>
      <bottom style="medium">
        <color rgb="FF526071"/>
      </bottom>
      <diagonal/>
    </border>
    <border>
      <left/>
      <right/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medium">
        <color theme="4" tint="0.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3" tint="0.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theme="3" tint="0.8"/>
      </bottom>
      <diagonal/>
    </border>
    <border>
      <bottom style="thin">
        <color rgb="00D5D7DA"/>
      </bottom>
    </border>
    <border/>
    <border>
      <top style="thin">
        <color rgb="00D5D7DA"/>
      </top>
      <bottom style="medium">
        <color rgb="00007AC3"/>
      </bottom>
    </border>
    <border>
      <bottom style="medium">
        <color rgb="00262626"/>
      </bottom>
    </border>
    <border>
      <top style="medium">
        <color rgb="00007AC3"/>
      </top>
      <bottom style="medium">
        <color rgb="00007AC3"/>
      </bottom>
    </border>
    <border>
      <top style="medium">
        <color rgb="00262626"/>
      </top>
      <bottom style="medium">
        <color rgb="00262626"/>
      </bottom>
    </border>
  </borders>
  <cellStyleXfs count="112">
    <xf numFmtId="0" fontId="0" fillId="0" borderId="1"/>
    <xf numFmtId="9" fontId="0" fillId="0" borderId="1"/>
    <xf numFmtId="165" fontId="0" fillId="0" borderId="1" applyAlignment="1">
      <alignment horizontal="center" vertical="bottom"/>
    </xf>
    <xf numFmtId="10" fontId="0" fillId="0" borderId="1"/>
    <xf numFmtId="0" fontId="1" fillId="2" borderId="1"/>
    <xf numFmtId="0" fontId="1" fillId="3" borderId="1"/>
    <xf numFmtId="0" fontId="1" fillId="4" borderId="1"/>
    <xf numFmtId="0" fontId="1" fillId="5" borderId="1"/>
    <xf numFmtId="0" fontId="1" fillId="6" borderId="1"/>
    <xf numFmtId="0" fontId="1" fillId="7" borderId="1"/>
    <xf numFmtId="182" fontId="48" fillId="8" borderId="2" applyAlignment="1">
      <alignment horizontal="center" vertical="center" wrapText="1"/>
    </xf>
    <xf numFmtId="9" fontId="0" fillId="0" borderId="1" applyAlignment="1">
      <alignment horizontal="center" vertical="center"/>
    </xf>
    <xf numFmtId="9" fontId="0" fillId="0" borderId="1" applyAlignment="1">
      <alignment horizontal="left" vertical="center"/>
    </xf>
    <xf numFmtId="9" fontId="0" fillId="0" borderId="1" applyAlignment="1">
      <alignment horizontal="left" vertical="center" wrapText="1"/>
    </xf>
    <xf numFmtId="2" fontId="3" fillId="0" borderId="1" applyAlignment="1">
      <alignment horizontal="left" vertical="bottom"/>
    </xf>
    <xf numFmtId="9" fontId="0" fillId="0" borderId="3"/>
    <xf numFmtId="183" fontId="0" fillId="0" borderId="1"/>
    <xf numFmtId="182" fontId="48" fillId="0" borderId="4" applyAlignment="1">
      <alignment horizontal="center" vertical="center" wrapText="1"/>
    </xf>
    <xf numFmtId="9" fontId="4" fillId="0" borderId="1"/>
    <xf numFmtId="9" fontId="5" fillId="0" borderId="1"/>
    <xf numFmtId="9" fontId="6" fillId="0" borderId="1"/>
    <xf numFmtId="182" fontId="0" fillId="9" borderId="5"/>
    <xf numFmtId="0" fontId="48" fillId="8" borderId="6" applyAlignment="1">
      <alignment horizontal="center" vertical="center" wrapText="1"/>
    </xf>
    <xf numFmtId="184" fontId="0" fillId="0" borderId="1"/>
    <xf numFmtId="9" fontId="0" fillId="10" borderId="1"/>
    <xf numFmtId="182" fontId="5" fillId="0" borderId="1" applyAlignment="1">
      <alignment horizontal="right" vertical="bottom"/>
    </xf>
    <xf numFmtId="0" fontId="48" fillId="0" borderId="3" applyAlignment="1">
      <alignment horizontal="left" vertical="center"/>
    </xf>
    <xf numFmtId="9" fontId="7" fillId="0" borderId="1"/>
    <xf numFmtId="0" fontId="0" fillId="0" borderId="1" applyAlignment="1">
      <alignment horizontal="center" vertical="center" wrapText="1"/>
    </xf>
    <xf numFmtId="42" fontId="48" fillId="0" borderId="1"/>
    <xf numFmtId="185" fontId="8" fillId="0" borderId="1" applyAlignment="1">
      <alignment horizontal="center" vertical="bottom"/>
    </xf>
    <xf numFmtId="0" fontId="9" fillId="11" borderId="1"/>
    <xf numFmtId="0" fontId="10" fillId="0" borderId="1"/>
    <xf numFmtId="0" fontId="48" fillId="0" borderId="5"/>
    <xf numFmtId="9" fontId="5" fillId="0" borderId="7"/>
    <xf numFmtId="9" fontId="11" fillId="8" borderId="8"/>
    <xf numFmtId="3" fontId="48" fillId="0" borderId="1" applyAlignment="1">
      <alignment horizontal="right" vertical="center"/>
    </xf>
    <xf numFmtId="37" fontId="12" fillId="0" borderId="1" applyAlignment="1">
      <alignment horizontal="right" vertical="center"/>
    </xf>
    <xf numFmtId="182" fontId="48" fillId="0" borderId="1" applyAlignment="1">
      <alignment horizontal="left" vertical="bottom"/>
    </xf>
    <xf numFmtId="0" fontId="48" fillId="0" borderId="1" applyAlignment="1">
      <alignment horizontal="right" vertical="center" wrapText="1"/>
    </xf>
    <xf numFmtId="9" fontId="0" fillId="12" borderId="1"/>
    <xf numFmtId="9" fontId="13" fillId="0" borderId="1"/>
    <xf numFmtId="9" fontId="0" fillId="0" borderId="1"/>
    <xf numFmtId="9" fontId="5" fillId="13" borderId="1" applyAlignment="1">
      <alignment horizontal="right" vertical="center"/>
    </xf>
    <xf numFmtId="9" fontId="5" fillId="13" borderId="1" applyAlignment="1">
      <alignment horizontal="left" vertical="center" wrapText="1"/>
    </xf>
    <xf numFmtId="182" fontId="5" fillId="13" borderId="9"/>
    <xf numFmtId="0" fontId="3" fillId="0" borderId="1" applyAlignment="1">
      <alignment horizontal="right" vertical="bottom"/>
    </xf>
    <xf numFmtId="0" fontId="14" fillId="0" borderId="1"/>
    <xf numFmtId="9" fontId="15" fillId="0" borderId="1" applyAlignment="1">
      <alignment horizontal="center" vertical="center"/>
    </xf>
    <xf numFmtId="0" fontId="16" fillId="0" borderId="1" applyAlignment="1">
      <alignment horizontal="center" vertical="center"/>
    </xf>
    <xf numFmtId="1" fontId="17" fillId="0" borderId="1" applyAlignment="1">
      <alignment horizontal="center" vertical="center"/>
    </xf>
    <xf numFmtId="0" fontId="16" fillId="0" borderId="10" applyAlignment="1">
      <alignment horizontal="center" vertical="center"/>
    </xf>
    <xf numFmtId="0" fontId="18" fillId="0" borderId="10" applyAlignment="1">
      <alignment horizontal="center" vertical="bottom"/>
    </xf>
    <xf numFmtId="9" fontId="5" fillId="0" borderId="11" applyAlignment="1">
      <alignment horizontal="left" vertical="bottom"/>
    </xf>
    <xf numFmtId="0" fontId="48" fillId="0" borderId="3" applyAlignment="1" applyProtection="1">
      <alignment horizontal="left" vertical="top" wrapText="1"/>
      <protection locked="0" hidden="0"/>
    </xf>
    <xf numFmtId="0" fontId="0" fillId="21" borderId="1"/>
    <xf numFmtId="0" fontId="0" fillId="22" borderId="1"/>
    <xf numFmtId="0" fontId="0" fillId="23" borderId="1"/>
    <xf numFmtId="0" fontId="0" fillId="24" borderId="1"/>
    <xf numFmtId="0" fontId="0" fillId="25" borderId="1"/>
    <xf numFmtId="0" fontId="0" fillId="26" borderId="1"/>
    <xf numFmtId="0" fontId="0" fillId="27" borderId="1"/>
    <xf numFmtId="0" fontId="0" fillId="28" borderId="1"/>
    <xf numFmtId="0" fontId="0" fillId="29" borderId="1"/>
    <xf numFmtId="0" fontId="0" fillId="30" borderId="1"/>
    <xf numFmtId="0" fontId="0" fillId="31" borderId="1"/>
    <xf numFmtId="0" fontId="0" fillId="32" borderId="1"/>
    <xf numFmtId="0" fontId="11" fillId="2" borderId="1"/>
    <xf numFmtId="0" fontId="11" fillId="3" borderId="1"/>
    <xf numFmtId="0" fontId="11" fillId="4" borderId="1"/>
    <xf numFmtId="0" fontId="11" fillId="5" borderId="1"/>
    <xf numFmtId="0" fontId="11" fillId="6" borderId="1"/>
    <xf numFmtId="0" fontId="11" fillId="7" borderId="1"/>
    <xf numFmtId="0" fontId="11" fillId="33" borderId="1"/>
    <xf numFmtId="0" fontId="11" fillId="34" borderId="1"/>
    <xf numFmtId="0" fontId="11" fillId="35" borderId="1"/>
    <xf numFmtId="0" fontId="11" fillId="36" borderId="1"/>
    <xf numFmtId="0" fontId="11" fillId="37" borderId="1"/>
    <xf numFmtId="0" fontId="11" fillId="38" borderId="1"/>
    <xf numFmtId="9" fontId="48" fillId="0" borderId="3" applyAlignment="1" applyProtection="1">
      <alignment horizontal="right" vertical="center"/>
      <protection locked="0" hidden="0"/>
    </xf>
    <xf numFmtId="0" fontId="51" fillId="39" borderId="1"/>
    <xf numFmtId="0" fontId="52" fillId="40" borderId="26"/>
    <xf numFmtId="0" fontId="53" fillId="41" borderId="27"/>
    <xf numFmtId="43" fontId="0" fillId="0" borderId="1"/>
    <xf numFmtId="41" fontId="0" fillId="0" borderId="1"/>
    <xf numFmtId="186" fontId="0" fillId="0" borderId="1"/>
    <xf numFmtId="187" fontId="0" fillId="0" borderId="1"/>
    <xf numFmtId="0" fontId="54" fillId="0" borderId="1"/>
    <xf numFmtId="0" fontId="55" fillId="42" borderId="1"/>
    <xf numFmtId="0" fontId="56" fillId="0" borderId="28"/>
    <xf numFmtId="0" fontId="57" fillId="0" borderId="29"/>
    <xf numFmtId="0" fontId="58" fillId="0" borderId="30"/>
    <xf numFmtId="0" fontId="58" fillId="0" borderId="1"/>
    <xf numFmtId="0" fontId="59" fillId="43" borderId="26"/>
    <xf numFmtId="0" fontId="60" fillId="0" borderId="31"/>
    <xf numFmtId="0" fontId="61" fillId="11" borderId="1"/>
    <xf numFmtId="0" fontId="0" fillId="44" borderId="32"/>
    <xf numFmtId="0" fontId="62" fillId="40" borderId="33"/>
    <xf numFmtId="9" fontId="5" fillId="0" borderId="1"/>
    <xf numFmtId="188" fontId="5" fillId="13" borderId="34" applyAlignment="1">
      <alignment horizontal="left" vertical="center"/>
    </xf>
    <xf numFmtId="9" fontId="5" fillId="13" borderId="7" applyAlignment="1">
      <alignment horizontal="center" vertical="center" wrapText="1"/>
    </xf>
    <xf numFmtId="0" fontId="63" fillId="0" borderId="1" applyAlignment="1">
      <alignment horizontal="left" vertical="bottom" indent="2"/>
    </xf>
    <xf numFmtId="0" fontId="63" fillId="0" borderId="1" applyAlignment="1">
      <alignment horizontal="left" vertical="bottom" indent="1"/>
    </xf>
    <xf numFmtId="0" fontId="64" fillId="0" borderId="1"/>
    <xf numFmtId="0" fontId="65" fillId="0" borderId="35"/>
    <xf numFmtId="182" fontId="5" fillId="13" borderId="36" applyAlignment="1">
      <alignment horizontal="right" vertical="bottom"/>
    </xf>
    <xf numFmtId="9" fontId="48" fillId="13" borderId="3" applyAlignment="1">
      <alignment horizontal="right" vertical="center"/>
    </xf>
    <xf numFmtId="9" fontId="5" fillId="13" borderId="3" applyAlignment="1">
      <alignment horizontal="right" vertical="center"/>
    </xf>
    <xf numFmtId="49" fontId="5" fillId="13" borderId="36" applyAlignment="1">
      <alignment horizontal="left" vertical="bottom"/>
    </xf>
    <xf numFmtId="9" fontId="48" fillId="13" borderId="7" applyAlignment="1">
      <alignment horizontal="center" vertical="center" wrapText="1"/>
    </xf>
    <xf numFmtId="9" fontId="5" fillId="13" borderId="3" applyAlignment="1">
      <alignment horizontal="left" vertical="center" wrapText="1"/>
    </xf>
    <xf numFmtId="0" fontId="66" fillId="0" borderId="1"/>
  </cellStyleXfs>
  <cellXfs count="260">
    <xf numFmtId="0" fontId="0" fillId="0" borderId="1" pivotButton="0" quotePrefix="0" xfId="0"/>
    <xf numFmtId="0" fontId="21" fillId="14" borderId="1" applyAlignment="1" pivotButton="0" quotePrefix="0" xfId="0">
      <alignment horizontal="left" vertical="center" indent="2"/>
    </xf>
    <xf numFmtId="0" fontId="20" fillId="14" borderId="1" applyAlignment="1" pivotButton="0" quotePrefix="0" xfId="0">
      <alignment horizontal="left" vertical="center" indent="2"/>
    </xf>
    <xf numFmtId="0" fontId="22" fillId="14" borderId="13" applyAlignment="1" pivotButton="0" quotePrefix="0" xfId="0">
      <alignment horizontal="center" vertical="center"/>
    </xf>
    <xf numFmtId="0" fontId="23" fillId="14" borderId="13" applyAlignment="1" pivotButton="0" quotePrefix="1" xfId="0">
      <alignment horizontal="left" vertical="center"/>
    </xf>
    <xf numFmtId="0" fontId="24" fillId="14" borderId="13" applyAlignment="1" pivotButton="0" quotePrefix="0" xfId="0">
      <alignment horizontal="left" vertical="center"/>
    </xf>
    <xf numFmtId="0" fontId="22" fillId="14" borderId="13" applyAlignment="1" pivotButton="0" quotePrefix="0" xfId="0">
      <alignment horizontal="left" vertical="center"/>
    </xf>
    <xf numFmtId="0" fontId="23" fillId="14" borderId="13" applyAlignment="1" pivotButton="0" quotePrefix="0" xfId="0">
      <alignment horizontal="left" vertical="center" indent="1"/>
    </xf>
    <xf numFmtId="0" fontId="10" fillId="14" borderId="13" pivotButton="0" quotePrefix="0" xfId="0"/>
    <xf numFmtId="0" fontId="23" fillId="14" borderId="13" applyAlignment="1" pivotButton="0" quotePrefix="0" xfId="0">
      <alignment horizontal="left" vertical="center"/>
    </xf>
    <xf numFmtId="0" fontId="10" fillId="14" borderId="1" pivotButton="0" quotePrefix="0" xfId="0"/>
    <xf numFmtId="0" fontId="25" fillId="14" borderId="1" pivotButton="0" quotePrefix="1" xfId="0"/>
    <xf numFmtId="0" fontId="26" fillId="14" borderId="1" pivotButton="0" quotePrefix="1" xfId="0"/>
    <xf numFmtId="0" fontId="22" fillId="14" borderId="12" applyAlignment="1" pivotButton="0" quotePrefix="0" xfId="32">
      <alignment horizontal="left" vertical="center" indent="1"/>
    </xf>
    <xf numFmtId="0" fontId="22" fillId="14" borderId="19" applyAlignment="1" pivotButton="0" quotePrefix="0" xfId="32">
      <alignment horizontal="left" vertical="center" indent="1"/>
    </xf>
    <xf numFmtId="0" fontId="22" fillId="14" borderId="14" applyAlignment="1" pivotButton="0" quotePrefix="0" xfId="32">
      <alignment horizontal="left" vertical="center" indent="1"/>
    </xf>
    <xf numFmtId="0" fontId="22" fillId="14" borderId="12" applyAlignment="1" pivotButton="0" quotePrefix="0" xfId="0">
      <alignment horizontal="left" vertical="center" indent="1"/>
    </xf>
    <xf numFmtId="0" fontId="22" fillId="14" borderId="14" applyAlignment="1" pivotButton="0" quotePrefix="0" xfId="0">
      <alignment horizontal="left" vertical="center" indent="1"/>
    </xf>
    <xf numFmtId="0" fontId="10" fillId="14" borderId="14" pivotButton="0" quotePrefix="0" xfId="0"/>
    <xf numFmtId="164" fontId="27" fillId="14" borderId="15" applyAlignment="1" pivotButton="0" quotePrefix="0" xfId="32">
      <alignment horizontal="left" vertical="center" indent="1"/>
    </xf>
    <xf numFmtId="164" fontId="27" fillId="14" borderId="1" applyAlignment="1" pivotButton="0" quotePrefix="0" xfId="32">
      <alignment horizontal="left" vertical="center" indent="1"/>
    </xf>
    <xf numFmtId="164" fontId="27" fillId="14" borderId="16" applyAlignment="1" pivotButton="0" quotePrefix="0" xfId="32">
      <alignment horizontal="left" vertical="center" indent="1"/>
    </xf>
    <xf numFmtId="165" fontId="27" fillId="14" borderId="15" applyAlignment="1" pivotButton="0" quotePrefix="0" xfId="32">
      <alignment horizontal="left" vertical="center" indent="1"/>
    </xf>
    <xf numFmtId="165" fontId="27" fillId="14" borderId="16" applyAlignment="1" pivotButton="0" quotePrefix="0" xfId="32">
      <alignment horizontal="left" vertical="center" indent="1"/>
    </xf>
    <xf numFmtId="3" fontId="27" fillId="14" borderId="15" applyAlignment="1" pivotButton="0" quotePrefix="0" xfId="32">
      <alignment horizontal="left" vertical="center" indent="1"/>
    </xf>
    <xf numFmtId="3" fontId="27" fillId="14" borderId="16" applyAlignment="1" pivotButton="0" quotePrefix="0" xfId="32">
      <alignment horizontal="left" vertical="center" indent="1"/>
    </xf>
    <xf numFmtId="166" fontId="27" fillId="14" borderId="15" applyAlignment="1" pivotButton="0" quotePrefix="0" xfId="32">
      <alignment horizontal="left" vertical="center" indent="1"/>
    </xf>
    <xf numFmtId="166" fontId="27" fillId="14" borderId="16" applyAlignment="1" pivotButton="0" quotePrefix="0" xfId="32">
      <alignment horizontal="left" vertical="center" indent="1"/>
    </xf>
    <xf numFmtId="165" fontId="27" fillId="14" borderId="15" applyAlignment="1" pivotButton="0" quotePrefix="0" xfId="0">
      <alignment horizontal="left" vertical="center" indent="1"/>
    </xf>
    <xf numFmtId="165" fontId="27" fillId="14" borderId="16" applyAlignment="1" pivotButton="0" quotePrefix="0" xfId="0">
      <alignment horizontal="left" vertical="center" indent="1"/>
    </xf>
    <xf numFmtId="0" fontId="10" fillId="14" borderId="16" pivotButton="0" quotePrefix="0" xfId="0"/>
    <xf numFmtId="167" fontId="28" fillId="14" borderId="17" applyAlignment="1" pivotButton="0" quotePrefix="0" xfId="32">
      <alignment horizontal="left" vertical="center" indent="1"/>
    </xf>
    <xf numFmtId="167" fontId="28" fillId="14" borderId="20" applyAlignment="1" pivotButton="0" quotePrefix="0" xfId="32">
      <alignment horizontal="left" vertical="center" indent="1"/>
    </xf>
    <xf numFmtId="168" fontId="29" fillId="14" borderId="18" applyAlignment="1" pivotButton="0" quotePrefix="0" xfId="32">
      <alignment horizontal="left" vertical="center" indent="1"/>
    </xf>
    <xf numFmtId="169" fontId="28" fillId="14" borderId="17" applyAlignment="1" pivotButton="0" quotePrefix="0" xfId="32">
      <alignment horizontal="left" vertical="center" indent="1"/>
    </xf>
    <xf numFmtId="170" fontId="29" fillId="14" borderId="18" applyAlignment="1" pivotButton="0" quotePrefix="0" xfId="32">
      <alignment horizontal="left" vertical="center" indent="1"/>
    </xf>
    <xf numFmtId="171" fontId="28" fillId="14" borderId="17" applyAlignment="1" pivotButton="0" quotePrefix="0" xfId="0">
      <alignment horizontal="left" vertical="center" indent="1"/>
    </xf>
    <xf numFmtId="172" fontId="29" fillId="14" borderId="18" applyAlignment="1" pivotButton="0" quotePrefix="0" xfId="0">
      <alignment horizontal="left" vertical="center" indent="1"/>
    </xf>
    <xf numFmtId="172" fontId="29" fillId="14" borderId="17" applyAlignment="1" pivotButton="0" quotePrefix="0" xfId="0">
      <alignment horizontal="left" vertical="center" indent="1"/>
    </xf>
    <xf numFmtId="0" fontId="10" fillId="14" borderId="18" pivotButton="0" quotePrefix="0" xfId="0"/>
    <xf numFmtId="0" fontId="20" fillId="14" borderId="12" applyAlignment="1" pivotButton="0" quotePrefix="0" xfId="0">
      <alignment horizontal="left" vertical="center" indent="2"/>
    </xf>
    <xf numFmtId="0" fontId="20" fillId="14" borderId="19" applyAlignment="1" pivotButton="0" quotePrefix="0" xfId="0">
      <alignment horizontal="left" vertical="center" indent="2"/>
    </xf>
    <xf numFmtId="0" fontId="10" fillId="14" borderId="19" pivotButton="0" quotePrefix="0" xfId="0"/>
    <xf numFmtId="0" fontId="30" fillId="14" borderId="19" applyAlignment="1" pivotButton="0" quotePrefix="0" xfId="0">
      <alignment horizontal="right" vertical="center"/>
    </xf>
    <xf numFmtId="0" fontId="10" fillId="14" borderId="15" pivotButton="0" quotePrefix="0" xfId="0"/>
    <xf numFmtId="0" fontId="10" fillId="14" borderId="17" pivotButton="0" quotePrefix="0" xfId="0"/>
    <xf numFmtId="0" fontId="10" fillId="14" borderId="20" pivotButton="0" quotePrefix="0" xfId="0"/>
    <xf numFmtId="0" fontId="31" fillId="14" borderId="1" pivotButton="0" quotePrefix="0" xfId="0"/>
    <xf numFmtId="0" fontId="32" fillId="15" borderId="21" applyAlignment="1" pivotButton="0" quotePrefix="0" xfId="0">
      <alignment horizontal="center" vertical="center"/>
    </xf>
    <xf numFmtId="0" fontId="32" fillId="15" borderId="21" applyAlignment="1" pivotButton="0" quotePrefix="1" xfId="22">
      <alignment horizontal="left" vertical="center" indent="1"/>
    </xf>
    <xf numFmtId="0" fontId="32" fillId="15" borderId="21" applyAlignment="1" pivotButton="0" quotePrefix="1" xfId="0">
      <alignment horizontal="center" vertical="center"/>
    </xf>
    <xf numFmtId="0" fontId="48" fillId="8" borderId="6" applyAlignment="1" pivotButton="0" quotePrefix="1" xfId="0">
      <alignment horizontal="center" vertical="center" wrapText="1"/>
    </xf>
    <xf numFmtId="0" fontId="49" fillId="14" borderId="1" applyAlignment="1" pivotButton="0" quotePrefix="1" xfId="0">
      <alignment horizontal="center" vertical="center"/>
    </xf>
    <xf numFmtId="3" fontId="19" fillId="14" borderId="1" applyAlignment="1" pivotButton="0" quotePrefix="1" xfId="0">
      <alignment horizontal="left" vertical="center"/>
    </xf>
    <xf numFmtId="3" fontId="50" fillId="14" borderId="1" applyAlignment="1" pivotButton="0" quotePrefix="1" xfId="0">
      <alignment horizontal="left" vertical="center"/>
    </xf>
    <xf numFmtId="173" fontId="50" fillId="14" borderId="1" applyAlignment="1" pivotButton="0" quotePrefix="1" xfId="0">
      <alignment horizontal="left" vertical="center"/>
    </xf>
    <xf numFmtId="3" fontId="19" fillId="14" borderId="1" applyAlignment="1" pivotButton="0" quotePrefix="0" xfId="0">
      <alignment horizontal="right" vertical="center"/>
    </xf>
    <xf numFmtId="174" fontId="19" fillId="14" borderId="1" applyAlignment="1" pivotButton="0" quotePrefix="0" xfId="0">
      <alignment horizontal="right" vertical="center"/>
    </xf>
    <xf numFmtId="165" fontId="19" fillId="14" borderId="1" applyAlignment="1" pivotButton="0" quotePrefix="0" xfId="0">
      <alignment horizontal="right" vertical="center"/>
    </xf>
    <xf numFmtId="175" fontId="19" fillId="14" borderId="1" applyAlignment="1" pivotButton="0" quotePrefix="0" xfId="0">
      <alignment horizontal="right" vertical="center"/>
    </xf>
    <xf numFmtId="165" fontId="19" fillId="14" borderId="1" applyAlignment="1" pivotButton="0" quotePrefix="0" xfId="36">
      <alignment horizontal="right" vertical="center"/>
    </xf>
    <xf numFmtId="3" fontId="48" fillId="0" borderId="3" applyAlignment="1" pivotButton="0" quotePrefix="0" xfId="36">
      <alignment horizontal="right" vertical="center"/>
    </xf>
    <xf numFmtId="165" fontId="48" fillId="0" borderId="3" applyAlignment="1" pivotButton="0" quotePrefix="0" xfId="2">
      <alignment horizontal="center" vertical="bottom"/>
    </xf>
    <xf numFmtId="0" fontId="49" fillId="1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left" vertical="center"/>
    </xf>
    <xf numFmtId="0" fontId="50" fillId="14" borderId="1" applyAlignment="1" pivotButton="0" quotePrefix="0" xfId="0">
      <alignment horizontal="left" vertical="center"/>
    </xf>
    <xf numFmtId="0" fontId="10" fillId="17" borderId="1" pivotButton="0" quotePrefix="0" xfId="0"/>
    <xf numFmtId="0" fontId="35" fillId="17" borderId="1" applyAlignment="1" pivotButton="0" quotePrefix="0" xfId="0">
      <alignment horizontal="left" vertical="center" indent="1"/>
    </xf>
    <xf numFmtId="0" fontId="35" fillId="17" borderId="1" applyAlignment="1" pivotButton="0" quotePrefix="0" xfId="0">
      <alignment horizontal="left" vertical="center"/>
    </xf>
    <xf numFmtId="0" fontId="10" fillId="0" borderId="25" pivotButton="0" quotePrefix="0" xfId="0"/>
    <xf numFmtId="0" fontId="36" fillId="17" borderId="25" applyAlignment="1" pivotButton="0" quotePrefix="0" xfId="0">
      <alignment horizontal="left" vertical="center" indent="1"/>
    </xf>
    <xf numFmtId="0" fontId="36" fillId="17" borderId="25" applyAlignment="1" pivotButton="0" quotePrefix="0" xfId="0">
      <alignment horizontal="left" vertical="center"/>
    </xf>
    <xf numFmtId="0" fontId="10" fillId="17" borderId="25" pivotButton="0" quotePrefix="0" xfId="0"/>
    <xf numFmtId="0" fontId="37" fillId="14" borderId="1" applyAlignment="1" pivotButton="0" quotePrefix="0" xfId="0">
      <alignment horizontal="left" vertical="center"/>
    </xf>
    <xf numFmtId="0" fontId="38" fillId="14" borderId="1" applyAlignment="1" pivotButton="0" quotePrefix="0" xfId="0">
      <alignment horizontal="left" vertical="center"/>
    </xf>
    <xf numFmtId="0" fontId="33" fillId="14" borderId="1" applyAlignment="1" pivotButton="0" quotePrefix="0" xfId="0">
      <alignment horizontal="left" vertical="center"/>
    </xf>
    <xf numFmtId="0" fontId="30" fillId="14" borderId="1" applyAlignment="1" pivotButton="0" quotePrefix="0" xfId="0">
      <alignment horizontal="right" vertical="center"/>
    </xf>
    <xf numFmtId="0" fontId="32" fillId="15" borderId="21" applyAlignment="1" pivotButton="0" quotePrefix="0" xfId="0">
      <alignment horizontal="left" vertical="center" indent="1"/>
    </xf>
    <xf numFmtId="0" fontId="32" fillId="15" borderId="21" applyAlignment="1" pivotButton="0" quotePrefix="0" xfId="0">
      <alignment horizontal="center" vertical="center" wrapText="1"/>
    </xf>
    <xf numFmtId="0" fontId="23" fillId="18" borderId="20" applyAlignment="1" pivotButton="0" quotePrefix="0" xfId="0">
      <alignment horizontal="left" vertical="center" indent="1"/>
    </xf>
    <xf numFmtId="166" fontId="23" fillId="18" borderId="20" applyAlignment="1" pivotButton="0" quotePrefix="0" xfId="0">
      <alignment horizontal="right" vertical="center"/>
    </xf>
    <xf numFmtId="0" fontId="10" fillId="18" borderId="20" pivotButton="0" quotePrefix="0" xfId="0"/>
    <xf numFmtId="0" fontId="39" fillId="16" borderId="20" applyAlignment="1" pivotButton="0" quotePrefix="0" xfId="0">
      <alignment horizontal="left" vertical="center" indent="1"/>
    </xf>
    <xf numFmtId="166" fontId="39" fillId="16" borderId="20" applyAlignment="1" pivotButton="0" quotePrefix="0" xfId="0">
      <alignment horizontal="right" vertical="center"/>
    </xf>
    <xf numFmtId="165" fontId="34" fillId="16" borderId="20" applyAlignment="1" pivotButton="0" quotePrefix="0" xfId="0">
      <alignment horizontal="right" vertical="center"/>
    </xf>
    <xf numFmtId="0" fontId="29" fillId="20" borderId="20" applyAlignment="1" pivotButton="0" quotePrefix="0" xfId="0">
      <alignment horizontal="left" vertical="center" indent="1"/>
    </xf>
    <xf numFmtId="176" fontId="46" fillId="20" borderId="20" applyAlignment="1" pivotButton="0" quotePrefix="0" xfId="0">
      <alignment horizontal="right" vertical="center"/>
    </xf>
    <xf numFmtId="177" fontId="47" fillId="20" borderId="20" applyAlignment="1" pivotButton="0" quotePrefix="0" xfId="0">
      <alignment horizontal="right" vertical="center"/>
    </xf>
    <xf numFmtId="0" fontId="29" fillId="19" borderId="22" applyAlignment="1" pivotButton="0" quotePrefix="0" xfId="0">
      <alignment horizontal="left" vertical="center" indent="1"/>
    </xf>
    <xf numFmtId="178" fontId="40" fillId="19" borderId="22" applyAlignment="1" pivotButton="0" quotePrefix="0" xfId="0">
      <alignment horizontal="right" vertical="center"/>
    </xf>
    <xf numFmtId="0" fontId="30" fillId="19" borderId="22" applyAlignment="1" pivotButton="0" quotePrefix="0" xfId="0">
      <alignment horizontal="center" vertical="center"/>
    </xf>
    <xf numFmtId="0" fontId="41" fillId="18" borderId="23" applyAlignment="1" pivotButton="0" quotePrefix="0" xfId="0">
      <alignment horizontal="left" vertical="center" indent="1"/>
    </xf>
    <xf numFmtId="3" fontId="41" fillId="18" borderId="23" applyAlignment="1" pivotButton="0" quotePrefix="0" xfId="0">
      <alignment horizontal="right" vertical="center"/>
    </xf>
    <xf numFmtId="4" fontId="34" fillId="18" borderId="23" applyAlignment="1" pivotButton="0" quotePrefix="0" xfId="0">
      <alignment horizontal="center" vertical="center"/>
    </xf>
    <xf numFmtId="4" fontId="41" fillId="18" borderId="23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vertical="center" indent="1"/>
    </xf>
    <xf numFmtId="4" fontId="19" fillId="14" borderId="1" applyAlignment="1" pivotButton="0" quotePrefix="0" xfId="0">
      <alignment horizontal="right" vertical="center"/>
    </xf>
    <xf numFmtId="0" fontId="36" fillId="17" borderId="1" applyAlignment="1" pivotButton="0" quotePrefix="0" xfId="0">
      <alignment horizontal="left" vertical="center"/>
    </xf>
    <xf numFmtId="0" fontId="42" fillId="14" borderId="1" applyAlignment="1" pivotButton="0" quotePrefix="0" xfId="0">
      <alignment horizontal="left" vertical="center"/>
    </xf>
    <xf numFmtId="0" fontId="43" fillId="0" borderId="1" pivotButton="0" quotePrefix="0" xfId="0"/>
    <xf numFmtId="0" fontId="25" fillId="0" borderId="1" pivotButton="0" quotePrefix="1" xfId="0"/>
    <xf numFmtId="0" fontId="26" fillId="0" borderId="1" pivotButton="0" quotePrefix="1" xfId="0"/>
    <xf numFmtId="0" fontId="34" fillId="14" borderId="1" applyAlignment="1" pivotButton="0" quotePrefix="0" xfId="0">
      <alignment horizontal="center" vertical="center"/>
    </xf>
    <xf numFmtId="0" fontId="34" fillId="14" borderId="1" applyAlignment="1" pivotButton="0" quotePrefix="0" xfId="0">
      <alignment horizontal="left" vertical="center" indent="1"/>
    </xf>
    <xf numFmtId="166" fontId="19" fillId="14" borderId="1" applyAlignment="1" pivotButton="0" quotePrefix="0" xfId="0">
      <alignment horizontal="right" vertical="center"/>
    </xf>
    <xf numFmtId="179" fontId="19" fillId="14" borderId="1" applyAlignment="1" pivotButton="0" quotePrefix="0" xfId="0">
      <alignment horizontal="right" vertical="center"/>
    </xf>
    <xf numFmtId="0" fontId="10" fillId="19" borderId="22" pivotButton="0" quotePrefix="0" xfId="0"/>
    <xf numFmtId="166" fontId="44" fillId="19" borderId="22" applyAlignment="1" pivotButton="0" quotePrefix="0" xfId="0">
      <alignment horizontal="right" vertical="center"/>
    </xf>
    <xf numFmtId="0" fontId="19" fillId="16" borderId="20" applyAlignment="1" pivotButton="0" quotePrefix="0" xfId="0">
      <alignment horizontal="left" vertical="center" indent="1"/>
    </xf>
    <xf numFmtId="0" fontId="10" fillId="16" borderId="20" pivotButton="0" quotePrefix="0" xfId="0"/>
    <xf numFmtId="166" fontId="19" fillId="16" borderId="20" applyAlignment="1" pivotButton="0" quotePrefix="0" xfId="0">
      <alignment horizontal="right" vertical="center"/>
    </xf>
    <xf numFmtId="0" fontId="41" fillId="19" borderId="24" applyAlignment="1" pivotButton="0" quotePrefix="0" xfId="0">
      <alignment horizontal="left" vertical="center" indent="1"/>
    </xf>
    <xf numFmtId="0" fontId="10" fillId="19" borderId="24" pivotButton="0" quotePrefix="0" xfId="0"/>
    <xf numFmtId="180" fontId="45" fillId="19" borderId="24" applyAlignment="1" pivotButton="0" quotePrefix="0" xfId="0">
      <alignment horizontal="right" vertical="center"/>
    </xf>
    <xf numFmtId="181" fontId="34" fillId="19" borderId="24" applyAlignment="1" pivotButton="0" quotePrefix="0" xfId="0">
      <alignment horizontal="right" vertical="center"/>
    </xf>
    <xf numFmtId="0" fontId="0" fillId="0" borderId="0" pivotButton="0" quotePrefix="0" xfId="0"/>
    <xf numFmtId="0" fontId="0" fillId="46" borderId="0" pivotButton="0" quotePrefix="0" xfId="0"/>
    <xf numFmtId="0" fontId="67" fillId="46" borderId="0" applyAlignment="1" pivotButton="0" quotePrefix="0" xfId="0">
      <alignment horizontal="left" vertical="center"/>
    </xf>
    <xf numFmtId="0" fontId="21" fillId="46" borderId="1" applyAlignment="1" pivotButton="0" quotePrefix="0" xfId="0">
      <alignment horizontal="left" vertical="center" indent="2"/>
    </xf>
    <xf numFmtId="0" fontId="68" fillId="46" borderId="0" applyAlignment="1" pivotButton="0" quotePrefix="0" xfId="0">
      <alignment horizontal="left" vertical="center"/>
    </xf>
    <xf numFmtId="0" fontId="20" fillId="46" borderId="1" applyAlignment="1" pivotButton="0" quotePrefix="0" xfId="0">
      <alignment horizontal="left" vertical="center" indent="2"/>
    </xf>
    <xf numFmtId="0" fontId="0" fillId="47" borderId="0" pivotButton="0" quotePrefix="0" xfId="0"/>
    <xf numFmtId="0" fontId="0" fillId="45" borderId="0" pivotButton="0" quotePrefix="0" xfId="0"/>
    <xf numFmtId="0" fontId="69" fillId="45" borderId="37" applyAlignment="1" pivotButton="0" quotePrefix="0" xfId="0">
      <alignment horizontal="left" vertical="center"/>
    </xf>
    <xf numFmtId="0" fontId="70" fillId="45" borderId="37" applyAlignment="1" pivotButton="0" quotePrefix="0" xfId="0">
      <alignment horizontal="left" vertical="center"/>
    </xf>
    <xf numFmtId="0" fontId="22" fillId="45" borderId="37" applyAlignment="1" pivotButton="0" quotePrefix="0" xfId="0">
      <alignment horizontal="center" vertical="center"/>
    </xf>
    <xf numFmtId="0" fontId="23" fillId="45" borderId="37" applyAlignment="1" pivotButton="0" quotePrefix="1" xfId="0">
      <alignment horizontal="left" vertical="center"/>
    </xf>
    <xf numFmtId="0" fontId="23" fillId="45" borderId="37" applyAlignment="1" pivotButton="0" quotePrefix="0" xfId="0">
      <alignment horizontal="left" vertical="center" indent="1"/>
    </xf>
    <xf numFmtId="0" fontId="22" fillId="45" borderId="37" applyAlignment="1" pivotButton="0" quotePrefix="0" xfId="0">
      <alignment horizontal="left" vertical="center"/>
    </xf>
    <xf numFmtId="0" fontId="23" fillId="45" borderId="37" applyAlignment="1" pivotButton="0" quotePrefix="0" xfId="0">
      <alignment horizontal="left" vertical="center"/>
    </xf>
    <xf numFmtId="0" fontId="10" fillId="45" borderId="37" pivotButton="0" quotePrefix="0" xfId="0"/>
    <xf numFmtId="0" fontId="22" fillId="45" borderId="12" applyAlignment="1" pivotButton="0" quotePrefix="0" xfId="32">
      <alignment horizontal="left" vertical="center" indent="1"/>
    </xf>
    <xf numFmtId="0" fontId="22" fillId="45" borderId="19" applyAlignment="1" pivotButton="0" quotePrefix="0" xfId="32">
      <alignment horizontal="left" vertical="center" indent="1"/>
    </xf>
    <xf numFmtId="0" fontId="71" fillId="48" borderId="38" applyAlignment="1" pivotButton="0" quotePrefix="0" xfId="32">
      <alignment horizontal="left" vertical="center" indent="1"/>
    </xf>
    <xf numFmtId="0" fontId="22" fillId="48" borderId="38" applyAlignment="1" pivotButton="0" quotePrefix="0" xfId="32">
      <alignment horizontal="left" vertical="center" indent="1"/>
    </xf>
    <xf numFmtId="0" fontId="22" fillId="48" borderId="38" applyAlignment="1" pivotButton="0" quotePrefix="0" xfId="0">
      <alignment horizontal="left" vertical="center" indent="1"/>
    </xf>
    <xf numFmtId="0" fontId="71" fillId="48" borderId="38" applyAlignment="1" pivotButton="0" quotePrefix="0" xfId="0">
      <alignment horizontal="left" vertical="center" indent="1"/>
    </xf>
    <xf numFmtId="164" fontId="27" fillId="45" borderId="15" applyAlignment="1" pivotButton="0" quotePrefix="0" xfId="32">
      <alignment horizontal="left" vertical="center" indent="1"/>
    </xf>
    <xf numFmtId="164" fontId="27" fillId="45" borderId="1" applyAlignment="1" pivotButton="0" quotePrefix="0" xfId="32">
      <alignment horizontal="left" vertical="center" indent="1"/>
    </xf>
    <xf numFmtId="164" fontId="72" fillId="48" borderId="38" applyAlignment="1" pivotButton="0" quotePrefix="0" xfId="32">
      <alignment horizontal="left" vertical="center" indent="1"/>
    </xf>
    <xf numFmtId="164" fontId="27" fillId="48" borderId="38" applyAlignment="1" pivotButton="0" quotePrefix="0" xfId="32">
      <alignment horizontal="left" vertical="center" indent="1"/>
    </xf>
    <xf numFmtId="165" fontId="27" fillId="48" borderId="38" applyAlignment="1" pivotButton="0" quotePrefix="0" xfId="32">
      <alignment horizontal="left" vertical="center" indent="1"/>
    </xf>
    <xf numFmtId="165" fontId="72" fillId="48" borderId="38" applyAlignment="1" pivotButton="0" quotePrefix="0" xfId="32">
      <alignment horizontal="left" vertical="center" indent="1"/>
    </xf>
    <xf numFmtId="3" fontId="27" fillId="48" borderId="38" applyAlignment="1" pivotButton="0" quotePrefix="0" xfId="32">
      <alignment horizontal="left" vertical="center" indent="1"/>
    </xf>
    <xf numFmtId="3" fontId="72" fillId="48" borderId="38" applyAlignment="1" pivotButton="0" quotePrefix="0" xfId="32">
      <alignment horizontal="left" vertical="center" indent="1"/>
    </xf>
    <xf numFmtId="166" fontId="27" fillId="48" borderId="38" applyAlignment="1" pivotButton="0" quotePrefix="0" xfId="32">
      <alignment horizontal="left" vertical="center" indent="1"/>
    </xf>
    <xf numFmtId="166" fontId="72" fillId="48" borderId="38" applyAlignment="1" pivotButton="0" quotePrefix="0" xfId="32">
      <alignment horizontal="left" vertical="center" indent="1"/>
    </xf>
    <xf numFmtId="165" fontId="27" fillId="48" borderId="38" applyAlignment="1" pivotButton="0" quotePrefix="0" xfId="0">
      <alignment horizontal="left" vertical="center" indent="1"/>
    </xf>
    <xf numFmtId="165" fontId="72" fillId="48" borderId="38" applyAlignment="1" pivotButton="0" quotePrefix="0" xfId="0">
      <alignment horizontal="left" vertical="center" indent="1"/>
    </xf>
    <xf numFmtId="167" fontId="28" fillId="45" borderId="17" applyAlignment="1" pivotButton="0" quotePrefix="0" xfId="32">
      <alignment horizontal="left" vertical="center" indent="1"/>
    </xf>
    <xf numFmtId="167" fontId="28" fillId="45" borderId="20" applyAlignment="1" pivotButton="0" quotePrefix="0" xfId="32">
      <alignment horizontal="left" vertical="center" indent="1"/>
    </xf>
    <xf numFmtId="167" fontId="73" fillId="48" borderId="37" applyAlignment="1" pivotButton="0" quotePrefix="0" xfId="32">
      <alignment horizontal="left" vertical="center" indent="1"/>
    </xf>
    <xf numFmtId="167" fontId="28" fillId="48" borderId="37" applyAlignment="1" pivotButton="0" quotePrefix="0" xfId="32">
      <alignment horizontal="left" vertical="center" indent="1"/>
    </xf>
    <xf numFmtId="169" fontId="28" fillId="48" borderId="37" applyAlignment="1" pivotButton="0" quotePrefix="0" xfId="32">
      <alignment horizontal="left" vertical="center" indent="1"/>
    </xf>
    <xf numFmtId="169" fontId="73" fillId="48" borderId="37" applyAlignment="1" pivotButton="0" quotePrefix="0" xfId="32">
      <alignment horizontal="left" vertical="center" indent="1"/>
    </xf>
    <xf numFmtId="171" fontId="28" fillId="48" borderId="37" applyAlignment="1" pivotButton="0" quotePrefix="0" xfId="0">
      <alignment horizontal="left" vertical="center" indent="1"/>
    </xf>
    <xf numFmtId="189" fontId="73" fillId="48" borderId="37" applyAlignment="1" pivotButton="0" quotePrefix="0" xfId="0">
      <alignment horizontal="left" vertical="center" indent="1"/>
    </xf>
    <xf numFmtId="172" fontId="29" fillId="48" borderId="37" applyAlignment="1" pivotButton="0" quotePrefix="0" xfId="0">
      <alignment horizontal="left" vertical="center" indent="1"/>
    </xf>
    <xf numFmtId="0" fontId="74" fillId="45" borderId="12" applyAlignment="1" pivotButton="0" quotePrefix="0" xfId="0">
      <alignment horizontal="left" vertical="center"/>
    </xf>
    <xf numFmtId="0" fontId="20" fillId="45" borderId="19" applyAlignment="1" pivotButton="0" quotePrefix="0" xfId="0">
      <alignment horizontal="left" vertical="center" indent="2"/>
    </xf>
    <xf numFmtId="0" fontId="10" fillId="45" borderId="19" pivotButton="0" quotePrefix="0" xfId="0"/>
    <xf numFmtId="0" fontId="75" fillId="45" borderId="19" applyAlignment="1" pivotButton="0" quotePrefix="0" xfId="0">
      <alignment horizontal="right" vertical="center"/>
    </xf>
    <xf numFmtId="0" fontId="30" fillId="45" borderId="19" applyAlignment="1" pivotButton="0" quotePrefix="0" xfId="0">
      <alignment horizontal="right" vertical="center"/>
    </xf>
    <xf numFmtId="0" fontId="74" fillId="45" borderId="19" applyAlignment="1" pivotButton="0" quotePrefix="0" xfId="0">
      <alignment horizontal="left" vertical="center"/>
    </xf>
    <xf numFmtId="0" fontId="20" fillId="45" borderId="12" applyAlignment="1" pivotButton="0" quotePrefix="0" xfId="0">
      <alignment horizontal="left" vertical="center" indent="2"/>
    </xf>
    <xf numFmtId="0" fontId="10" fillId="45" borderId="15" pivotButton="0" quotePrefix="0" xfId="0"/>
    <xf numFmtId="0" fontId="10" fillId="45" borderId="17" pivotButton="0" quotePrefix="0" xfId="0"/>
    <xf numFmtId="0" fontId="10" fillId="45" borderId="20" pivotButton="0" quotePrefix="0" xfId="0"/>
    <xf numFmtId="0" fontId="31" fillId="45" borderId="1" pivotButton="0" quotePrefix="0" xfId="0"/>
    <xf numFmtId="0" fontId="74" fillId="45" borderId="0" applyAlignment="1" pivotButton="0" quotePrefix="0" xfId="0">
      <alignment horizontal="left" vertical="center"/>
    </xf>
    <xf numFmtId="0" fontId="75" fillId="45" borderId="0" applyAlignment="1" pivotButton="0" quotePrefix="0" xfId="0">
      <alignment horizontal="right" vertical="center"/>
    </xf>
    <xf numFmtId="0" fontId="76" fillId="45" borderId="39" applyAlignment="1" pivotButton="0" quotePrefix="0" xfId="0">
      <alignment horizontal="center" vertical="center" wrapText="1"/>
    </xf>
    <xf numFmtId="0" fontId="76" fillId="45" borderId="39" applyAlignment="1" pivotButton="0" quotePrefix="1" xfId="22">
      <alignment horizontal="left" vertical="center"/>
    </xf>
    <xf numFmtId="0" fontId="76" fillId="45" borderId="39" applyAlignment="1" pivotButton="0" quotePrefix="1" xfId="0">
      <alignment horizontal="center" vertical="center" wrapText="1"/>
    </xf>
    <xf numFmtId="0" fontId="49" fillId="45" borderId="38" applyAlignment="1" pivotButton="0" quotePrefix="1" xfId="0">
      <alignment horizontal="center" vertical="center"/>
    </xf>
    <xf numFmtId="3" fontId="77" fillId="45" borderId="38" applyAlignment="1" pivotButton="0" quotePrefix="1" xfId="0">
      <alignment horizontal="left" vertical="center"/>
    </xf>
    <xf numFmtId="3" fontId="78" fillId="45" borderId="38" applyAlignment="1" pivotButton="0" quotePrefix="1" xfId="0">
      <alignment horizontal="left" vertical="center"/>
    </xf>
    <xf numFmtId="173" fontId="78" fillId="45" borderId="38" applyAlignment="1" pivotButton="0" quotePrefix="1" xfId="0">
      <alignment horizontal="left" vertical="center"/>
    </xf>
    <xf numFmtId="3" fontId="77" fillId="45" borderId="38" applyAlignment="1" pivotButton="0" quotePrefix="0" xfId="0">
      <alignment horizontal="right" vertical="center"/>
    </xf>
    <xf numFmtId="174" fontId="77" fillId="45" borderId="38" applyAlignment="1" pivotButton="0" quotePrefix="0" xfId="0">
      <alignment horizontal="right" vertical="center"/>
    </xf>
    <xf numFmtId="165" fontId="77" fillId="45" borderId="38" applyAlignment="1" pivotButton="0" quotePrefix="0" xfId="0">
      <alignment horizontal="right" vertical="center"/>
    </xf>
    <xf numFmtId="175" fontId="77" fillId="45" borderId="38" applyAlignment="1" pivotButton="0" quotePrefix="0" xfId="0">
      <alignment horizontal="right" vertical="center"/>
    </xf>
    <xf numFmtId="165" fontId="77" fillId="45" borderId="38" applyAlignment="1" pivotButton="0" quotePrefix="0" xfId="36">
      <alignment horizontal="right" vertical="center"/>
    </xf>
    <xf numFmtId="165" fontId="48" fillId="0" borderId="3" applyAlignment="1" pivotButton="0" quotePrefix="0" xfId="2">
      <alignment horizontal="center" vertical="bottom"/>
    </xf>
    <xf numFmtId="0" fontId="49" fillId="45" borderId="38" applyAlignment="1" pivotButton="0" quotePrefix="0" xfId="0">
      <alignment horizontal="center" vertical="center"/>
    </xf>
    <xf numFmtId="0" fontId="77" fillId="45" borderId="38" applyAlignment="1" pivotButton="0" quotePrefix="0" xfId="0">
      <alignment horizontal="left" vertical="center"/>
    </xf>
    <xf numFmtId="0" fontId="78" fillId="45" borderId="38" applyAlignment="1" pivotButton="0" quotePrefix="0" xfId="0">
      <alignment horizontal="left" vertical="center"/>
    </xf>
    <xf numFmtId="0" fontId="75" fillId="45" borderId="38" applyAlignment="1" pivotButton="0" quotePrefix="0" xfId="0">
      <alignment horizontal="left" vertical="center"/>
    </xf>
    <xf numFmtId="0" fontId="0" fillId="45" borderId="38" pivotButton="0" quotePrefix="0" xfId="0"/>
    <xf numFmtId="0" fontId="10" fillId="46" borderId="1" pivotButton="0" quotePrefix="0" xfId="0"/>
    <xf numFmtId="0" fontId="67" fillId="46" borderId="1" applyAlignment="1" pivotButton="0" quotePrefix="0" xfId="0">
      <alignment horizontal="left" vertical="center"/>
    </xf>
    <xf numFmtId="0" fontId="35" fillId="46" borderId="1" applyAlignment="1" pivotButton="0" quotePrefix="0" xfId="0">
      <alignment horizontal="left" vertical="center" indent="1"/>
    </xf>
    <xf numFmtId="0" fontId="68" fillId="46" borderId="1" applyAlignment="1" pivotButton="0" quotePrefix="0" xfId="0">
      <alignment horizontal="left" vertical="center"/>
    </xf>
    <xf numFmtId="0" fontId="35" fillId="46" borderId="1" applyAlignment="1" pivotButton="0" quotePrefix="0" xfId="0">
      <alignment horizontal="left" vertical="center"/>
    </xf>
    <xf numFmtId="0" fontId="36" fillId="47" borderId="25" applyAlignment="1" pivotButton="0" quotePrefix="0" xfId="0">
      <alignment horizontal="left" vertical="center" indent="1"/>
    </xf>
    <xf numFmtId="0" fontId="36" fillId="47" borderId="25" applyAlignment="1" pivotButton="0" quotePrefix="0" xfId="0">
      <alignment horizontal="left" vertical="center"/>
    </xf>
    <xf numFmtId="0" fontId="10" fillId="47" borderId="25" pivotButton="0" quotePrefix="0" xfId="0"/>
    <xf numFmtId="0" fontId="10" fillId="45" borderId="1" pivotButton="0" quotePrefix="0" xfId="0"/>
    <xf numFmtId="0" fontId="79" fillId="45" borderId="1" applyAlignment="1" pivotButton="0" quotePrefix="0" xfId="0">
      <alignment horizontal="left" vertical="center"/>
    </xf>
    <xf numFmtId="0" fontId="80" fillId="45" borderId="1" applyAlignment="1" pivotButton="0" quotePrefix="0" xfId="0">
      <alignment horizontal="left" vertical="center"/>
    </xf>
    <xf numFmtId="0" fontId="74" fillId="45" borderId="1" applyAlignment="1" pivotButton="0" quotePrefix="0" xfId="0">
      <alignment horizontal="left" vertical="center"/>
    </xf>
    <xf numFmtId="0" fontId="75" fillId="45" borderId="1" applyAlignment="1" pivotButton="0" quotePrefix="0" xfId="0">
      <alignment horizontal="right" vertical="center"/>
    </xf>
    <xf numFmtId="0" fontId="76" fillId="45" borderId="39" applyAlignment="1" pivotButton="0" quotePrefix="0" xfId="0">
      <alignment horizontal="left" vertical="center"/>
    </xf>
    <xf numFmtId="0" fontId="70" fillId="49" borderId="40" applyAlignment="1" pivotButton="0" quotePrefix="0" xfId="0">
      <alignment horizontal="left" vertical="center"/>
    </xf>
    <xf numFmtId="166" fontId="70" fillId="49" borderId="40" applyAlignment="1" pivotButton="0" quotePrefix="0" xfId="0">
      <alignment horizontal="right" vertical="center"/>
    </xf>
    <xf numFmtId="165" fontId="81" fillId="49" borderId="40" applyAlignment="1" pivotButton="0" quotePrefix="0" xfId="0">
      <alignment horizontal="right" vertical="center"/>
    </xf>
    <xf numFmtId="0" fontId="82" fillId="48" borderId="37" applyAlignment="1" pivotButton="0" quotePrefix="0" xfId="0">
      <alignment horizontal="left" vertical="center"/>
    </xf>
    <xf numFmtId="166" fontId="82" fillId="48" borderId="37" applyAlignment="1" pivotButton="0" quotePrefix="0" xfId="0">
      <alignment horizontal="right" vertical="center"/>
    </xf>
    <xf numFmtId="165" fontId="81" fillId="48" borderId="37" applyAlignment="1" pivotButton="0" quotePrefix="0" xfId="0">
      <alignment horizontal="right" vertical="center"/>
    </xf>
    <xf numFmtId="0" fontId="73" fillId="48" borderId="37" applyAlignment="1" pivotButton="0" quotePrefix="0" xfId="0">
      <alignment horizontal="left" vertical="center"/>
    </xf>
    <xf numFmtId="190" fontId="83" fillId="48" borderId="37" applyAlignment="1" pivotButton="0" quotePrefix="0" xfId="0">
      <alignment horizontal="right" vertical="center"/>
    </xf>
    <xf numFmtId="191" fontId="84" fillId="48" borderId="37" applyAlignment="1" pivotButton="0" quotePrefix="0" xfId="0">
      <alignment horizontal="right" vertical="center"/>
    </xf>
    <xf numFmtId="0" fontId="75" fillId="45" borderId="1" applyAlignment="1" pivotButton="0" quotePrefix="0" xfId="0">
      <alignment horizontal="left" vertical="center"/>
    </xf>
    <xf numFmtId="0" fontId="73" fillId="48" borderId="41" applyAlignment="1" pivotButton="0" quotePrefix="0" xfId="0">
      <alignment horizontal="left" vertical="center"/>
    </xf>
    <xf numFmtId="178" fontId="85" fillId="48" borderId="41" applyAlignment="1" pivotButton="0" quotePrefix="0" xfId="0">
      <alignment horizontal="right" vertical="center"/>
    </xf>
    <xf numFmtId="0" fontId="75" fillId="48" borderId="41" applyAlignment="1" pivotButton="0" quotePrefix="0" xfId="0">
      <alignment horizontal="center" vertical="center"/>
    </xf>
    <xf numFmtId="0" fontId="76" fillId="45" borderId="39" applyAlignment="1" pivotButton="0" quotePrefix="0" xfId="0">
      <alignment horizontal="left" vertical="center" indent="1"/>
    </xf>
    <xf numFmtId="0" fontId="76" fillId="49" borderId="42" applyAlignment="1" pivotButton="0" quotePrefix="0" xfId="0">
      <alignment horizontal="left" vertical="center"/>
    </xf>
    <xf numFmtId="3" fontId="76" fillId="49" borderId="42" applyAlignment="1" pivotButton="0" quotePrefix="0" xfId="0">
      <alignment horizontal="right" vertical="center"/>
    </xf>
    <xf numFmtId="192" fontId="76" fillId="49" borderId="42" applyAlignment="1" pivotButton="0" quotePrefix="0" xfId="0">
      <alignment horizontal="center" vertical="center"/>
    </xf>
    <xf numFmtId="166" fontId="76" fillId="49" borderId="42" applyAlignment="1" pivotButton="0" quotePrefix="0" xfId="0">
      <alignment horizontal="right" vertical="center"/>
    </xf>
    <xf numFmtId="193" fontId="76" fillId="49" borderId="42" applyAlignment="1" pivotButton="0" quotePrefix="0" xfId="0">
      <alignment horizontal="right" vertical="center"/>
    </xf>
    <xf numFmtId="192" fontId="77" fillId="45" borderId="38" applyAlignment="1" pivotButton="0" quotePrefix="0" xfId="0">
      <alignment horizontal="right" vertical="center"/>
    </xf>
    <xf numFmtId="166" fontId="77" fillId="45" borderId="38" applyAlignment="1" pivotButton="0" quotePrefix="0" xfId="0">
      <alignment horizontal="right" vertical="center"/>
    </xf>
    <xf numFmtId="193" fontId="77" fillId="45" borderId="38" applyAlignment="1" pivotButton="0" quotePrefix="0" xfId="0">
      <alignment horizontal="right" vertical="center"/>
    </xf>
    <xf numFmtId="0" fontId="19" fillId="45" borderId="1" applyAlignment="1" pivotButton="0" quotePrefix="0" xfId="0">
      <alignment horizontal="left" vertical="center" indent="1"/>
    </xf>
    <xf numFmtId="3" fontId="19" fillId="45" borderId="1" applyAlignment="1" pivotButton="0" quotePrefix="0" xfId="0">
      <alignment horizontal="right" vertical="center"/>
    </xf>
    <xf numFmtId="4" fontId="19" fillId="45" borderId="1" applyAlignment="1" pivotButton="0" quotePrefix="0" xfId="0">
      <alignment horizontal="right" vertical="center"/>
    </xf>
    <xf numFmtId="0" fontId="36" fillId="46" borderId="1" applyAlignment="1" pivotButton="0" quotePrefix="0" xfId="0">
      <alignment horizontal="left" vertical="center"/>
    </xf>
    <xf numFmtId="0" fontId="10" fillId="47" borderId="1" pivotButton="0" quotePrefix="0" xfId="0"/>
    <xf numFmtId="0" fontId="30" fillId="45" borderId="1" applyAlignment="1" pivotButton="0" quotePrefix="0" xfId="0">
      <alignment horizontal="right" vertical="center"/>
    </xf>
    <xf numFmtId="0" fontId="73" fillId="49" borderId="37" applyAlignment="1" pivotButton="0" quotePrefix="0" xfId="0">
      <alignment horizontal="center" vertical="center"/>
    </xf>
    <xf numFmtId="0" fontId="73" fillId="49" borderId="37" applyAlignment="1" pivotButton="0" quotePrefix="0" xfId="0">
      <alignment horizontal="left" vertical="center"/>
    </xf>
    <xf numFmtId="0" fontId="76" fillId="49" borderId="37" applyAlignment="1" pivotButton="0" quotePrefix="0" xfId="0">
      <alignment horizontal="left" vertical="center"/>
    </xf>
    <xf numFmtId="166" fontId="76" fillId="49" borderId="37" applyAlignment="1" pivotButton="0" quotePrefix="0" xfId="0">
      <alignment horizontal="right" vertical="center"/>
    </xf>
    <xf numFmtId="179" fontId="76" fillId="49" borderId="37" applyAlignment="1" pivotButton="0" quotePrefix="0" xfId="0">
      <alignment horizontal="right" vertical="center"/>
    </xf>
    <xf numFmtId="165" fontId="77" fillId="49" borderId="37" applyAlignment="1" pivotButton="0" quotePrefix="0" xfId="0">
      <alignment horizontal="right" vertical="center"/>
    </xf>
    <xf numFmtId="0" fontId="78" fillId="49" borderId="37" applyAlignment="1" pivotButton="0" quotePrefix="0" xfId="0">
      <alignment horizontal="center" vertical="center"/>
    </xf>
    <xf numFmtId="0" fontId="73" fillId="49" borderId="40" applyAlignment="1" pivotButton="0" quotePrefix="0" xfId="0">
      <alignment horizontal="center" vertical="center"/>
    </xf>
    <xf numFmtId="0" fontId="73" fillId="49" borderId="40" applyAlignment="1" pivotButton="0" quotePrefix="0" xfId="0">
      <alignment horizontal="left" vertical="center"/>
    </xf>
    <xf numFmtId="0" fontId="76" fillId="49" borderId="40" applyAlignment="1" pivotButton="0" quotePrefix="0" xfId="0">
      <alignment horizontal="left" vertical="center"/>
    </xf>
    <xf numFmtId="166" fontId="76" fillId="49" borderId="40" applyAlignment="1" pivotButton="0" quotePrefix="0" xfId="0">
      <alignment horizontal="right" vertical="center"/>
    </xf>
    <xf numFmtId="179" fontId="76" fillId="49" borderId="40" applyAlignment="1" pivotButton="0" quotePrefix="0" xfId="0">
      <alignment horizontal="right" vertical="center"/>
    </xf>
    <xf numFmtId="165" fontId="77" fillId="49" borderId="40" applyAlignment="1" pivotButton="0" quotePrefix="0" xfId="0">
      <alignment horizontal="right" vertical="center"/>
    </xf>
    <xf numFmtId="0" fontId="78" fillId="49" borderId="40" applyAlignment="1" pivotButton="0" quotePrefix="0" xfId="0">
      <alignment horizontal="center" vertical="center"/>
    </xf>
    <xf numFmtId="0" fontId="81" fillId="48" borderId="37" applyAlignment="1" pivotButton="0" quotePrefix="0" xfId="0">
      <alignment horizontal="center" vertical="center"/>
    </xf>
    <xf numFmtId="0" fontId="81" fillId="48" borderId="37" applyAlignment="1" pivotButton="0" quotePrefix="0" xfId="0">
      <alignment horizontal="left" vertical="center"/>
    </xf>
    <xf numFmtId="0" fontId="77" fillId="48" borderId="37" applyAlignment="1" pivotButton="0" quotePrefix="0" xfId="0">
      <alignment horizontal="left" vertical="center"/>
    </xf>
    <xf numFmtId="166" fontId="77" fillId="48" borderId="37" applyAlignment="1" pivotButton="0" quotePrefix="0" xfId="0">
      <alignment horizontal="right" vertical="center"/>
    </xf>
    <xf numFmtId="179" fontId="76" fillId="48" borderId="37" applyAlignment="1" pivotButton="0" quotePrefix="0" xfId="0">
      <alignment horizontal="right" vertical="center"/>
    </xf>
    <xf numFmtId="165" fontId="77" fillId="48" borderId="37" applyAlignment="1" pivotButton="0" quotePrefix="0" xfId="0">
      <alignment horizontal="right" vertical="center"/>
    </xf>
    <xf numFmtId="0" fontId="78" fillId="48" borderId="37" applyAlignment="1" pivotButton="0" quotePrefix="0" xfId="0">
      <alignment horizontal="center" vertical="center"/>
    </xf>
    <xf numFmtId="0" fontId="10" fillId="48" borderId="41" pivotButton="0" quotePrefix="0" xfId="0"/>
    <xf numFmtId="166" fontId="86" fillId="48" borderId="41" applyAlignment="1" pivotButton="0" quotePrefix="0" xfId="0">
      <alignment horizontal="right" vertical="center"/>
    </xf>
    <xf numFmtId="0" fontId="10" fillId="48" borderId="37" pivotButton="0" quotePrefix="0" xfId="0"/>
    <xf numFmtId="0" fontId="0" fillId="48" borderId="37" pivotButton="0" quotePrefix="0" xfId="0"/>
    <xf numFmtId="0" fontId="10" fillId="49" borderId="40" pivotButton="0" quotePrefix="0" xfId="0"/>
    <xf numFmtId="194" fontId="87" fillId="49" borderId="40" applyAlignment="1" pivotButton="0" quotePrefix="0" xfId="0">
      <alignment horizontal="right" vertical="center"/>
    </xf>
    <xf numFmtId="195" fontId="78" fillId="49" borderId="40" applyAlignment="1" pivotButton="0" quotePrefix="0" xfId="0">
      <alignment horizontal="right" vertical="center"/>
    </xf>
    <xf numFmtId="0" fontId="0" fillId="49" borderId="40" pivotButton="0" quotePrefix="0" xfId="0"/>
  </cellXfs>
  <cellStyles count="112">
    <cellStyle name="Normal" xfId="0" builtinId="0"/>
    <cellStyle name="%0." xfId="1"/>
    <cellStyle name="%0.0" xfId="2"/>
    <cellStyle name="%0.00" xfId="3"/>
    <cellStyle name="60 % - Accent1" xfId="4"/>
    <cellStyle name="60 % - Accent2" xfId="5"/>
    <cellStyle name="60 % - Accent3" xfId="6"/>
    <cellStyle name="60 % - Accent4" xfId="7"/>
    <cellStyle name="60 % - Accent5" xfId="8"/>
    <cellStyle name="60 % - Accent6" xfId="9"/>
    <cellStyle name="ACT" xfId="10"/>
    <cellStyle name="Alighment Center" xfId="11"/>
    <cellStyle name="Alighment Left" xfId="12"/>
    <cellStyle name="Amounts left nolocked" xfId="13"/>
    <cellStyle name="Amounts w/ 2 Decimals" xfId="14"/>
    <cellStyle name="Amounts_Board" xfId="15"/>
    <cellStyle name="Amounts-1000" xfId="16"/>
    <cellStyle name="BDG" xfId="17"/>
    <cellStyle name="Blank_Row" xfId="18"/>
    <cellStyle name="Bold" xfId="19"/>
    <cellStyle name="Bold+Italic" xfId="20"/>
    <cellStyle name="C_Amount_ACT" xfId="21"/>
    <cellStyle name="C_Head" xfId="22"/>
    <cellStyle name="Date" xfId="23"/>
    <cellStyle name="Fill light blue" xfId="24"/>
    <cellStyle name="Formula" xfId="25"/>
    <cellStyle name="Head_left" xfId="26"/>
    <cellStyle name="Hyperlink for amounts" xfId="27"/>
    <cellStyle name="Middle Headers Centered" xfId="28"/>
    <cellStyle name="NA Currency" xfId="29"/>
    <cellStyle name="NA Currency 2 dec" xfId="30"/>
    <cellStyle name="Neutre" xfId="31"/>
    <cellStyle name="Normal 2" xfId="32"/>
    <cellStyle name="Placeholder" xfId="33"/>
    <cellStyle name="Placeholder Header Underlined bold" xfId="34"/>
    <cellStyle name="Placeholder_column_blank" xfId="35"/>
    <cellStyle name="R_Area_font" xfId="36"/>
    <cellStyle name="R_AREA_FONT_UC" xfId="37"/>
    <cellStyle name="R_formula" xfId="38"/>
    <cellStyle name="R_head_font" xfId="39"/>
    <cellStyle name="Row_Grey" xfId="40"/>
    <cellStyle name="Status Check" xfId="41"/>
    <cellStyle name="Style0" xfId="42"/>
    <cellStyle name="Subtotal Amounts row fill" xfId="43"/>
    <cellStyle name="Subtotal head row fill" xfId="44"/>
    <cellStyle name="Subtotal_amounts" xfId="45"/>
    <cellStyle name="TGK_TOC_PAGE_COLUMN" xfId="46"/>
    <cellStyle name="Titre" xfId="47"/>
    <cellStyle name="Visual Check" xfId="48"/>
    <cellStyle name="Webdings" xfId="49"/>
    <cellStyle name="Webdings1" xfId="50"/>
    <cellStyle name="Webdings14" xfId="51"/>
    <cellStyle name="Webdings14Green" xfId="52"/>
    <cellStyle name="Work new book placeholder header underlined" xfId="53"/>
    <cellStyle name="WrappedText" xfId="54"/>
    <cellStyle name="20% - Accent1" xfId="55" builtinId="30"/>
    <cellStyle name="20% - Accent2" xfId="56" builtinId="34"/>
    <cellStyle name="20% - Accent3" xfId="57" builtinId="38"/>
    <cellStyle name="20% - Accent4" xfId="58" builtinId="42"/>
    <cellStyle name="20% - Accent5" xfId="59" builtinId="46"/>
    <cellStyle name="20% - Accent6" xfId="60" builtinId="50"/>
    <cellStyle name="40% - Accent1" xfId="61" builtinId="31"/>
    <cellStyle name="40% - Accent2" xfId="62" builtinId="35"/>
    <cellStyle name="40% - Accent3" xfId="63" builtinId="39"/>
    <cellStyle name="40% - Accent4" xfId="64" builtinId="43"/>
    <cellStyle name="40% - Accent5" xfId="65" builtinId="47"/>
    <cellStyle name="40% - Accent6" xfId="66" builtinId="51"/>
    <cellStyle name="60% - Accent1" xfId="67" builtinId="32"/>
    <cellStyle name="60% - Accent2" xfId="68" builtinId="36"/>
    <cellStyle name="60% - Accent3" xfId="69" builtinId="40"/>
    <cellStyle name="60% - Accent4" xfId="70" builtinId="44"/>
    <cellStyle name="60% - Accent5" xfId="71" builtinId="48"/>
    <cellStyle name="60% - Accent6" xfId="72" builtinId="52"/>
    <cellStyle name="Accent1" xfId="73" builtinId="29"/>
    <cellStyle name="Accent2" xfId="74" builtinId="33"/>
    <cellStyle name="Accent3" xfId="75" builtinId="37"/>
    <cellStyle name="Accent4" xfId="76" builtinId="41"/>
    <cellStyle name="Accent5" xfId="77" builtinId="45"/>
    <cellStyle name="Accent6" xfId="78" builtinId="49"/>
    <cellStyle name="Amounts_right_nolocked" xfId="79"/>
    <cellStyle name="Bad" xfId="80" builtinId="27"/>
    <cellStyle name="Calculation" xfId="81" builtinId="22"/>
    <cellStyle name="Check Cell" xfId="82" builtinId="23"/>
    <cellStyle name="Comma" xfId="83" builtinId="3"/>
    <cellStyle name="Comma [0]" xfId="84" builtinId="6"/>
    <cellStyle name="Currency" xfId="85" builtinId="4"/>
    <cellStyle name="Currency [0]" xfId="86" builtinId="7"/>
    <cellStyle name="Explanatory Text" xfId="87" builtinId="53"/>
    <cellStyle name="Good" xfId="88" builtinId="26"/>
    <cellStyle name="Heading 1" xfId="89" builtinId="16"/>
    <cellStyle name="Heading 2" xfId="90" builtinId="17"/>
    <cellStyle name="Heading 3" xfId="91" builtinId="18"/>
    <cellStyle name="Heading 4" xfId="92" builtinId="19"/>
    <cellStyle name="Input" xfId="93" builtinId="20"/>
    <cellStyle name="Linked Cell" xfId="94" builtinId="24"/>
    <cellStyle name="Neutral" xfId="95" builtinId="28"/>
    <cellStyle name="Note" xfId="96" builtinId="10"/>
    <cellStyle name="Output" xfId="97" builtinId="21"/>
    <cellStyle name="Placeholder_Header" xfId="98"/>
    <cellStyle name="Subtotal_head" xfId="99"/>
    <cellStyle name="Subtotal_Head_C" xfId="100"/>
    <cellStyle name="TGK_TOC_SHEET_ROW" xfId="101"/>
    <cellStyle name="TGK_TOC_TEMPLATE_ROW" xfId="102"/>
    <cellStyle name="Title" xfId="103" builtinId="15"/>
    <cellStyle name="Total" xfId="104" builtinId="25"/>
    <cellStyle name="Total_amounts" xfId="105"/>
    <cellStyle name="Total_Amounts_C" xfId="106"/>
    <cellStyle name="Total_Amounts_Margin" xfId="107"/>
    <cellStyle name="Total_head" xfId="108"/>
    <cellStyle name="Total_Head_C" xfId="109"/>
    <cellStyle name="Total_Headers_Margin" xfId="110"/>
    <cellStyle name="Warning Text" xfId="111" builtinId="11"/>
  </cellStyles>
  <dxfs count="29">
    <dxf>
      <font>
        <name val="Arial"/>
        <b val="1"/>
        <color rgb="FF1E9E89"/>
        <sz val="9"/>
      </font>
    </dxf>
    <dxf>
      <font>
        <name val="Arial"/>
        <b val="1"/>
        <color rgb="FFD64545"/>
        <sz val="9"/>
      </font>
    </dxf>
    <dxf>
      <font>
        <b val="1"/>
        <color rgb="FF202733"/>
      </font>
      <fill>
        <patternFill patternType="solid">
          <fgColor rgb="FFD9E2EF"/>
          <bgColor rgb="FFD9E2EF"/>
        </patternFill>
      </fill>
      <border>
        <top style="medium">
          <color rgb="FF526071"/>
        </top>
        <bottom style="thin">
          <color rgb="FFE9EDF3"/>
        </bottom>
      </border>
    </dxf>
    <dxf>
      <font>
        <b val="1"/>
        <color rgb="FF202733"/>
      </font>
      <fill>
        <patternFill patternType="solid">
          <fgColor rgb="FFEAF2FC"/>
          <bgColor rgb="FFEAF2FC"/>
        </patternFill>
      </fill>
      <border>
        <bottom style="thin">
          <color rgb="FFE9EDF3"/>
        </bottom>
      </border>
    </dxf>
    <dxf>
      <font>
        <color rgb="FF202733"/>
      </font>
      <fill>
        <patternFill patternType="solid">
          <fgColor rgb="FFFFFFFF"/>
          <bgColor rgb="FFFFFFFF"/>
        </patternFill>
      </fill>
      <border>
        <bottom style="thin">
          <color rgb="FFE9EDF3"/>
        </bottom>
      </border>
    </dxf>
    <dxf>
      <font>
        <name val="Arial"/>
        <color rgb="FF1E9E89"/>
        <sz val="8.5"/>
      </font>
    </dxf>
    <dxf>
      <font>
        <name val="Arial"/>
        <color rgb="FFD64545"/>
        <sz val="8.5"/>
      </font>
    </dxf>
    <dxf>
      <fill>
        <patternFill patternType="solid">
          <fgColor rgb="FFFFFFFF"/>
          <bgColor rgb="FFFFFFFF"/>
        </patternFill>
      </fill>
      <border>
        <bottom style="thin">
          <color rgb="FFE9EDF3"/>
        </bottom>
      </border>
    </dxf>
    <dxf>
      <fill>
        <patternFill patternType="solid">
          <fgColor rgb="FFFFF1E8"/>
          <bgColor rgb="FFFFF1E8"/>
        </patternFill>
      </fill>
      <border>
        <bottom style="thin">
          <color rgb="FFE9EDF3"/>
        </bottom>
      </border>
    </dxf>
    <dxf>
      <font>
        <name val="Arial"/>
        <color rgb="FF1E9E89"/>
        <sz val="9"/>
      </font>
    </dxf>
    <dxf>
      <font>
        <name val="Arial"/>
        <color rgb="FFD64545"/>
        <sz val="9"/>
      </font>
    </dxf>
    <dxf>
      <font>
        <b val="1"/>
      </font>
      <fill>
        <patternFill patternType="solid">
          <fgColor rgb="FFD9E2EF"/>
          <bgColor rgb="FFD9E2EF"/>
        </patternFill>
      </fill>
      <border>
        <bottom style="thin">
          <color rgb="FFE9EDF3"/>
        </bottom>
      </border>
    </dxf>
    <dxf>
      <font>
        <b val="1"/>
      </font>
      <fill>
        <patternFill patternType="solid">
          <fgColor rgb="FFEAF2FC"/>
          <bgColor rgb="FFEAF2FC"/>
        </patternFill>
      </fill>
      <border>
        <bottom style="thin">
          <color rgb="FFE9EDF3"/>
        </bottom>
      </border>
    </dxf>
    <dxf>
      <font>
        <name val="Arial"/>
        <color rgb="FF00B050"/>
        <sz val="8.5"/>
      </font>
    </dxf>
    <dxf>
      <font>
        <name val="Arial"/>
        <color rgb="005F8A17"/>
        <sz val="8"/>
      </font>
    </dxf>
    <dxf>
      <font>
        <name val="Arial"/>
        <color rgb="00C41822"/>
        <sz val="8"/>
      </font>
    </dxf>
    <dxf>
      <font>
        <b val="1"/>
        <color rgb="00262626"/>
      </font>
      <fill>
        <patternFill>
          <bgColor rgb="00E7E6E6"/>
        </patternFill>
      </fill>
      <border>
        <top style="medium">
          <color rgb="00262626"/>
        </top>
        <bottom style="medium">
          <color rgb="00262626"/>
        </bottom>
      </border>
    </dxf>
    <dxf>
      <font>
        <b val="1"/>
        <color rgb="00262626"/>
      </font>
      <fill>
        <patternFill>
          <bgColor rgb="00FFFFFF"/>
        </patternFill>
      </fill>
      <border>
        <bottom style="thin">
          <color rgb="00262626"/>
        </bottom>
      </border>
    </dxf>
    <dxf>
      <font>
        <color rgb="00262626"/>
      </font>
      <fill>
        <patternFill>
          <bgColor rgb="00FFFFFF"/>
        </patternFill>
      </fill>
      <border>
        <bottom style="thin">
          <color rgb="00D5D7DA"/>
        </bottom>
      </border>
    </dxf>
    <dxf>
      <font>
        <color rgb="006B7075"/>
      </font>
      <fill>
        <patternFill>
          <bgColor rgb="00FFFFFF"/>
        </patternFill>
      </fill>
      <border>
        <bottom style="hair">
          <color rgb="00D5D7DA"/>
        </bottom>
      </border>
    </dxf>
    <dxf>
      <numFmt numFmtId="186" formatCode="#,##0&quot; €&quot;"/>
    </dxf>
    <dxf>
      <numFmt numFmtId="188" formatCode="#,##0&quot; €&quot;"/>
    </dxf>
    <dxf>
      <font>
        <name val="Arial"/>
        <b val="1"/>
        <color rgb="005F8A17"/>
        <sz val="8"/>
      </font>
    </dxf>
    <dxf>
      <font>
        <name val="Arial"/>
        <b val="1"/>
        <color rgb="00C41822"/>
        <sz val="8"/>
      </font>
    </dxf>
    <dxf>
      <font>
        <name val="Arial"/>
        <color rgb="005F8A17"/>
        <sz val="9"/>
      </font>
    </dxf>
    <dxf>
      <font>
        <name val="Arial"/>
        <color rgb="00C41822"/>
        <sz val="9"/>
      </font>
    </dxf>
    <dxf>
      <fill>
        <patternFill>
          <bgColor rgb="00FFFFFF"/>
        </patternFill>
      </fill>
      <border>
        <bottom style="thin">
          <color rgb="00D5D7DA"/>
        </bottom>
      </border>
    </dxf>
    <dxf>
      <font>
        <color rgb="005F8A17"/>
      </font>
    </dxf>
    <dxf>
      <font>
        <color rgb="00007AC3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stacked"/>
        <ser>
          <idx val="0"/>
          <order val="0"/>
          <spPr>
            <a:noFill/>
            <a:ln>
              <a:prstDash val="solid"/>
            </a:ln>
          </spPr>
          <cat>
            <strRef>
              <f>'Cockpit'!$AD$7:$AD$11</f>
            </strRef>
          </cat>
          <val>
            <numRef>
              <f>'Cockpit'!$AE$7:$AE$11</f>
            </numRef>
          </val>
        </ser>
        <ser>
          <idx val="1"/>
          <order val="1"/>
          <spPr>
            <a:solidFill>
              <a:srgbClr val="262626"/>
            </a:solidFill>
            <a:ln>
              <a:noFill/>
              <a:prstDash val="solid"/>
            </a:ln>
          </spPr>
          <cat>
            <strRef>
              <f>'Cockpit'!$AD$7:$AD$11</f>
            </strRef>
          </cat>
          <val>
            <numRef>
              <f>'Cockpit'!$AF$7:$AF$11</f>
            </numRef>
          </val>
        </ser>
        <ser>
          <idx val="2"/>
          <order val="2"/>
          <spPr>
            <a:solidFill>
              <a:srgbClr val="85BC20"/>
            </a:solidFill>
            <a:ln>
              <a:noFill/>
              <a:prstDash val="solid"/>
            </a:ln>
          </spPr>
          <cat>
            <strRef>
              <f>'Cockpit'!$AD$7:$AD$11</f>
            </strRef>
          </cat>
          <val>
            <numRef>
              <f>'Cockpit'!$AG$7:$AG$11</f>
            </numRef>
          </val>
        </ser>
        <ser>
          <idx val="3"/>
          <order val="3"/>
          <spPr>
            <a:solidFill>
              <a:srgbClr val="E5202E"/>
            </a:solidFill>
            <a:ln>
              <a:noFill/>
              <a:prstDash val="solid"/>
            </a:ln>
          </spPr>
          <cat>
            <strRef>
              <f>'Cockpit'!$AD$7:$AD$11</f>
            </strRef>
          </cat>
          <val>
            <numRef>
              <f>'Cockpit'!$AH$7:$AH$11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,,&quot; M€&quot;" sourceLinked="0"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v>2024</v>
          </tx>
          <spPr>
            <a:solidFill>
              <a:srgbClr val="A6D0EA"/>
            </a:solidFill>
            <a:ln>
              <a:noFill/>
              <a:prstDash val="solid"/>
            </a:ln>
          </spPr>
          <cat>
            <strRef>
              <f>'Cockpit'!$AK$7:$AK$11</f>
            </strRef>
          </cat>
          <val>
            <numRef>
              <f>'Cockpit'!$AL$7:$AL$11</f>
            </numRef>
          </val>
        </ser>
        <ser>
          <idx val="1"/>
          <order val="1"/>
          <tx>
            <v>2025</v>
          </tx>
          <spPr>
            <a:solidFill>
              <a:srgbClr val="4FA3D9"/>
            </a:solidFill>
            <a:ln>
              <a:noFill/>
              <a:prstDash val="solid"/>
            </a:ln>
          </spPr>
          <cat>
            <strRef>
              <f>'Cockpit'!$AK$7:$AK$11</f>
            </strRef>
          </cat>
          <val>
            <numRef>
              <f>'Cockpit'!$AM$7:$AM$11</f>
            </numRef>
          </val>
        </ser>
        <ser>
          <idx val="2"/>
          <order val="2"/>
          <tx>
            <v>2026</v>
          </tx>
          <spPr>
            <a:solidFill>
              <a:srgbClr val="007AC3"/>
            </a:solidFill>
            <a:ln>
              <a:noFill/>
              <a:prstDash val="solid"/>
            </a:ln>
          </spPr>
          <cat>
            <strRef>
              <f>'Cockpit'!$AK$7:$AK$11</f>
            </strRef>
          </cat>
          <val>
            <numRef>
              <f>'Cockpit'!$AN$7:$AN$11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Dépenses</v>
          </tx>
          <spPr>
            <a:ln w="22000">
              <a:solidFill>
                <a:srgbClr val="E5202E"/>
              </a:solidFill>
              <a:prstDash val="solid"/>
            </a:ln>
          </spPr>
          <marker>
            <symbol val="circle"/>
            <size val="6"/>
            <spPr>
              <a:solidFill>
                <a:srgbClr val="E5202E"/>
              </a:solidFill>
              <a:ln>
                <a:solidFill>
                  <a:srgbClr val="E5202E"/>
                </a:solidFill>
                <a:prstDash val="solid"/>
              </a:ln>
            </spPr>
          </marker>
          <cat>
            <strRef>
              <f>'Cockpit'!$BB$7:$BB$9</f>
            </strRef>
          </cat>
          <val>
            <numRef>
              <f>'Cockpit'!$BC$7:$BC$9</f>
            </numRef>
          </val>
          <smooth val="0"/>
        </ser>
        <ser>
          <idx val="1"/>
          <order val="1"/>
          <tx>
            <v>Inscrits</v>
          </tx>
          <spPr>
            <a:ln w="22000">
              <a:solidFill>
                <a:srgbClr val="007AC3"/>
              </a:solidFill>
              <a:prstDash val="solid"/>
            </a:ln>
          </spPr>
          <marker>
            <symbol val="circle"/>
            <size val="6"/>
            <spPr>
              <a:solidFill>
                <a:srgbClr val="007AC3"/>
              </a:solidFill>
              <a:ln>
                <a:solidFill>
                  <a:srgbClr val="007AC3"/>
                </a:solidFill>
                <a:prstDash val="solid"/>
              </a:ln>
            </spPr>
          </marker>
          <cat>
            <strRef>
              <f>'Cockpit'!$BB$7:$BB$9</f>
            </strRef>
          </cat>
          <val>
            <numRef>
              <f>'Cockpit'!$BD$7:$BD$9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25"/>
          <min val="95"/>
        </scaling>
        <delete val="0"/>
        <axPos val="l"/>
        <majorGridlines/>
        <numFmt formatCode="0" sourceLinked="0"/>
        <majorTickMark val="none"/>
        <minorTickMark val="none"/>
        <crossAx val="10"/>
        <majorUnit val="10"/>
      </valAx>
    </plotArea>
    <legend>
      <legendPos val="b"/>
    </legend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barChart>
        <barDir val="col"/>
        <grouping val="stacked"/>
        <ser>
          <idx val="0"/>
          <order val="0"/>
          <spPr>
            <a:noFill/>
            <a:ln>
              <a:prstDash val="solid"/>
            </a:ln>
          </spPr>
          <cat>
            <strRef>
              <f>'Drill EBITDA 1'!$Y$30:$Y$36</f>
            </strRef>
          </cat>
          <val>
            <numRef>
              <f>'Drill EBITDA 1'!$Z$30:$Z$36</f>
            </numRef>
          </val>
        </ser>
        <ser>
          <idx val="1"/>
          <order val="1"/>
          <spPr>
            <a:solidFill>
              <a:srgbClr val="262626"/>
            </a:solidFill>
            <a:ln>
              <a:noFill/>
              <a:prstDash val="solid"/>
            </a:ln>
          </spPr>
          <cat>
            <strRef>
              <f>'Drill EBITDA 1'!$Y$30:$Y$36</f>
            </strRef>
          </cat>
          <val>
            <numRef>
              <f>'Drill EBITDA 1'!$AA$30:$AA$36</f>
            </numRef>
          </val>
        </ser>
        <ser>
          <idx val="2"/>
          <order val="2"/>
          <spPr>
            <a:solidFill>
              <a:srgbClr val="85BC20"/>
            </a:solidFill>
            <a:ln>
              <a:noFill/>
              <a:prstDash val="solid"/>
            </a:ln>
          </spPr>
          <cat>
            <strRef>
              <f>'Drill EBITDA 1'!$Y$30:$Y$36</f>
            </strRef>
          </cat>
          <val>
            <numRef>
              <f>'Drill EBITDA 1'!$AB$30:$AB$36</f>
            </numRef>
          </val>
        </ser>
        <ser>
          <idx val="3"/>
          <order val="3"/>
          <spPr>
            <a:solidFill>
              <a:srgbClr val="E5202E"/>
            </a:solidFill>
            <a:ln>
              <a:noFill/>
              <a:prstDash val="solid"/>
            </a:ln>
          </spPr>
          <cat>
            <strRef>
              <f>'Drill EBITDA 1'!$Y$30:$Y$36</f>
            </strRef>
          </cat>
          <val>
            <numRef>
              <f>'Drill EBITDA 1'!$AC$30:$AC$36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.0,,&quot; M€&quot;" sourceLinked="0"/>
        <majorTickMark val="none"/>
        <minorTickMark val="none"/>
        <crossAx val="10"/>
      </valAx>
    </plotArea>
    <plotVisOnly val="0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v>2025</v>
          </tx>
          <spPr>
            <a:solidFill>
              <a:srgbClr val="A6D0EA"/>
            </a:solidFill>
            <a:ln>
              <a:noFill/>
              <a:prstDash val="solid"/>
            </a:ln>
          </spPr>
          <cat>
            <strRef>
              <f>'Drill EBITDA 2'!$J$37:$J$49</f>
            </strRef>
          </cat>
          <val>
            <numRef>
              <f>'Drill EBITDA 2'!$K$37:$K$49</f>
            </numRef>
          </val>
        </ser>
        <ser>
          <idx val="1"/>
          <order val="1"/>
          <tx>
            <v>2026</v>
          </tx>
          <spPr>
            <a:solidFill>
              <a:srgbClr val="007AC3"/>
            </a:solidFill>
            <a:ln>
              <a:noFill/>
              <a:prstDash val="solid"/>
            </a:ln>
          </spPr>
          <cat>
            <strRef>
              <f>'Drill EBITDA 2'!$J$37:$J$49</f>
            </strRef>
          </cat>
          <val>
            <numRef>
              <f>'Drill EBITDA 2'!$L$37:$L$49</f>
            </numRef>
          </val>
        </ser>
        <gapWidth val="45"/>
        <overlap val="-15"/>
        <axId val="10"/>
        <axId val="100"/>
      </barChart>
      <catAx>
        <axId val="10"/>
        <scaling>
          <orientation val="minMax"/>
        </scaling>
        <delete val="0"/>
        <axPos val="l"/>
        <numFmt formatCode="#,##0,&quot; k€&quot;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image" Target="/xl/media/image1.png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image" Target="/xl/media/image2.png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2</col>
      <colOff>400050</colOff>
      <row>1</row>
      <rowOff>28575</rowOff>
    </from>
    <to>
      <col>3</col>
      <colOff>858825</colOff>
      <row>2</row>
      <rowOff>240070</rowOff>
    </to>
    <pic>
      <nvPicPr>
        <cNvPr id="5" name="Image 4"/>
        <cNvPicPr>
          <a:picLocks noChangeAspect="1"/>
        </cNvPicPr>
      </nvPicPr>
      <blipFill>
        <a:blip r:embed="rId4"/>
        <a:srcRect l="0" t="20579" r="0" b="34332"/>
        <a:stretch>
          <a:fillRect/>
        </a:stretch>
      </blipFill>
      <spPr>
        <a:xfrm>
          <a:off x="723900" y="133350"/>
          <a:ext cx="1497000" cy="544870"/>
        </a:xfrm>
        <a:prstGeom prst="rect">
          <avLst/>
        </a:prstGeom>
        <a:noFill/>
        <a:ln cmpd="sng">
          <a:noFill/>
          <a:prstDash val="solid"/>
        </a:ln>
      </spPr>
    </pic>
    <clientData/>
  </twoCellAnchor>
  <oneCellAnchor>
    <from>
      <col>2</col>
      <colOff>0</colOff>
      <row>12</row>
      <rowOff>0</rowOff>
    </from>
    <ext cx="2988000" cy="30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12</row>
      <rowOff>0</rowOff>
    </from>
    <ext cx="3096000" cy="309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12</row>
      <rowOff>0</rowOff>
    </from>
    <ext cx="3096000" cy="309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76200</colOff>
      <row>0</row>
      <rowOff>95250</rowOff>
    </from>
    <to>
      <col>1</col>
      <colOff>1649400</colOff>
      <row>3</row>
      <rowOff>97195</rowOff>
    </to>
    <pic>
      <nvPicPr>
        <cNvPr id="5" name="Image 4"/>
        <cNvPicPr>
          <a:picLocks noChangeAspect="1"/>
        </cNvPicPr>
      </nvPicPr>
      <blipFill>
        <a:blip r:embed="rId2">
          <duotone/>
        </a:blip>
        <a:srcRect l="0" t="20579" r="0" b="34332"/>
        <a:stretch>
          <a:fillRect/>
        </a:stretch>
      </blipFill>
      <spPr>
        <a:xfrm>
          <a:off x="238125" y="95250"/>
          <a:ext cx="1573200" cy="544870"/>
        </a:xfrm>
        <a:prstGeom prst="rect">
          <avLst/>
        </a:prstGeom>
        <a:noFill/>
        <a:ln cmpd="sng">
          <a:noFill/>
          <a:prstDash val="solid"/>
        </a:ln>
      </spPr>
    </pic>
    <clientData/>
  </twoCellAnchor>
  <oneCellAnchor>
    <from>
      <col>1</col>
      <colOff>0</colOff>
      <row>23</row>
      <rowOff>0</rowOff>
    </from>
    <ext cx="792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114300</colOff>
      <row>0</row>
      <rowOff>123825</rowOff>
    </from>
    <to>
      <col>2</col>
      <colOff>858825</colOff>
      <row>2</row>
      <rowOff>154345</rowOff>
    </to>
    <pic>
      <nvPicPr>
        <cNvPr id="3" name="Image 2"/>
        <cNvPicPr>
          <a:picLocks noChangeAspect="1"/>
        </cNvPicPr>
      </nvPicPr>
      <blipFill>
        <a:blip r:embed="rId2">
          <duotone/>
        </a:blip>
        <a:srcRect l="0" t="20579" r="0" b="34332"/>
        <a:stretch>
          <a:fillRect/>
        </a:stretch>
      </blipFill>
      <spPr>
        <a:xfrm>
          <a:off x="114300" y="123825"/>
          <a:ext cx="1506525" cy="544870"/>
        </a:xfrm>
        <a:prstGeom prst="rect">
          <avLst/>
        </a:prstGeom>
        <a:noFill/>
        <a:ln cmpd="sng">
          <a:noFill/>
          <a:prstDash val="solid"/>
        </a:ln>
      </spPr>
    </pic>
    <clientData/>
  </twoCellAnchor>
  <oneCellAnchor>
    <from>
      <col>1</col>
      <colOff>0</colOff>
      <row>8</row>
      <rowOff>0</rowOff>
    </from>
    <ext cx="720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opLeftCell="A1" workbookViewId="0">
      <selection activeCell="A1" sqref="A1"/>
    </sheetView>
  </sheetViews>
  <sheetFormatPr baseColWidth="8" defaultColWidth="9.140625" defaultRowHeight="14.25" customHeight="1"/>
  <sheetData>
    <row r="1" ht="14.25" customHeight="1" s="115">
      <c r="A1" s="0" t="inlineStr">
        <is>
          <t>Template00</t>
        </is>
      </c>
      <c r="B1" s="0">
        <f>'Drill EBITDA 2'!A65524</f>
        <v/>
      </c>
    </row>
    <row r="2" ht="14.25" customHeight="1" s="115">
      <c r="A2" s="0" t="inlineStr">
        <is>
          <t>Template01</t>
        </is>
      </c>
      <c r="B2" s="0">
        <f>Cockpit!A65557</f>
        <v/>
      </c>
    </row>
    <row r="3" ht="14.25" customHeight="1" s="115">
      <c r="A3" s="0" t="inlineStr">
        <is>
          <t>Template02</t>
        </is>
      </c>
      <c r="B3" s="0">
        <f>'Drill EBITDA 1'!A65536</f>
        <v/>
      </c>
    </row>
  </sheetData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24"/>
  <sheetViews>
    <sheetView showGridLines="0" tabSelected="1" topLeftCell="A22" workbookViewId="0">
      <selection activeCell="A33" sqref="A13:BK33"/>
    </sheetView>
  </sheetViews>
  <sheetFormatPr baseColWidth="8" defaultColWidth="9.140625" defaultRowHeight="14.25" customHeight="1"/>
  <cols>
    <col width="2.4" customWidth="1" style="10" min="1" max="2"/>
    <col hidden="1" width="4.5" customWidth="1" style="115" min="2" max="2"/>
    <col width="30" customWidth="1" style="10" min="3" max="10"/>
    <col width="13" customWidth="1" style="115" min="4" max="4"/>
    <col width="11" customWidth="1" style="115" min="5" max="5"/>
    <col width="10.7" customWidth="1" style="115" min="6" max="6"/>
    <col width="10.7" customWidth="1" style="115" min="7" max="7"/>
    <col width="10.7" customWidth="1" style="115" min="8" max="8"/>
    <col width="10.7" customWidth="1" style="115" min="9" max="9"/>
    <col width="10.7" customWidth="1" style="115" min="10" max="10"/>
    <col width="10.7" customWidth="1" style="10" min="11" max="11"/>
    <col width="10.7" customWidth="1" style="10" min="12" max="17"/>
    <col width="10.7" customWidth="1" style="115" min="13" max="13"/>
    <col width="10.7" customWidth="1" style="115" min="14" max="14"/>
    <col width="10.7" customWidth="1" style="115" min="15" max="15"/>
    <col width="10.7" customWidth="1" style="115" min="16" max="16"/>
    <col width="10.7" customWidth="1" style="115" min="17" max="17"/>
    <col hidden="1" width="15.57421875" customWidth="1" style="10" min="18" max="18"/>
    <col hidden="1" width="11.140625" customWidth="1" style="10" min="19" max="19"/>
    <col hidden="1" width="11.421875" customWidth="1" style="10" min="20" max="20"/>
    <col hidden="1" width="11.57421875" customWidth="1" style="10" min="21" max="21"/>
    <col hidden="1" width="9.28125" customWidth="1" style="10" min="22" max="22"/>
    <col hidden="1" width="12.57421875" customWidth="1" style="10" min="23" max="23"/>
    <col hidden="1" width="15.57421875" customWidth="1" style="10" min="24" max="24"/>
    <col hidden="1" width="10.00390625" customWidth="1" style="10" min="25" max="25"/>
    <col hidden="1" width="11.28125" customWidth="1" style="10" min="26" max="26"/>
    <col hidden="1" width="14.00390625" customWidth="1" style="10" min="27" max="27"/>
    <col hidden="1" width="17.28125" customWidth="1" style="10" min="28" max="28"/>
    <col hidden="1" width="4.57421875" customWidth="1" style="10" min="29" max="29"/>
    <col hidden="1" width="9.28125" customWidth="1" style="10" min="30" max="30"/>
    <col hidden="1" width="10.7109375" customWidth="1" style="10" min="31" max="53"/>
    <col hidden="1" width="13" customWidth="1" style="115" min="32" max="32"/>
    <col hidden="1" width="13" customWidth="1" style="115" min="33" max="33"/>
    <col hidden="1" width="13" customWidth="1" style="115" min="34" max="34"/>
    <col hidden="1" width="13" customWidth="1" style="115" min="35" max="35"/>
    <col hidden="1" width="13" customWidth="1" style="115" min="36" max="36"/>
    <col hidden="1" width="13" customWidth="1" style="115" min="37" max="37"/>
    <col hidden="1" width="13" customWidth="1" style="115" min="38" max="38"/>
    <col hidden="1" width="13" customWidth="1" style="115" min="39" max="39"/>
    <col hidden="1" width="13" customWidth="1" style="115" min="40" max="40"/>
    <col hidden="1" width="13" customWidth="1" style="115" min="41" max="41"/>
    <col hidden="1" width="13" customWidth="1" style="115" min="42" max="42"/>
    <col hidden="1" width="13" customWidth="1" style="115" min="43" max="43"/>
    <col hidden="1" width="13" customWidth="1" style="115" min="44" max="44"/>
    <col hidden="1" width="13" customWidth="1" style="115" min="45" max="45"/>
    <col hidden="1" width="13" customWidth="1" style="115" min="46" max="46"/>
    <col hidden="1" width="13" customWidth="1" style="115" min="47" max="47"/>
    <col hidden="1" width="13" customWidth="1" style="115" min="48" max="48"/>
    <col hidden="1" width="13" customWidth="1" style="115" min="49" max="49"/>
    <col hidden="1" width="13" customWidth="1" style="115" min="50" max="50"/>
    <col hidden="1" width="13" customWidth="1" style="115" min="51" max="51"/>
    <col hidden="1" width="13" customWidth="1" style="115" min="52" max="52"/>
    <col hidden="1" width="13" customWidth="1" style="115" min="53" max="53"/>
    <col hidden="1" width="9.57421875" customWidth="1" style="10" min="54" max="54"/>
    <col hidden="1" width="14.00390625" customWidth="1" style="10" min="55" max="55"/>
    <col hidden="1" width="12.8515625" customWidth="1" style="10" min="56" max="56"/>
    <col hidden="1" width="4.57421875" customWidth="1" style="10" min="57" max="57"/>
    <col hidden="1" width="9.28125" customWidth="1" style="10" min="58" max="58"/>
    <col hidden="1" width="10.00390625" customWidth="1" style="10" min="59" max="59"/>
    <col hidden="1" width="8.8515625" customWidth="1" style="10" min="60" max="60"/>
    <col hidden="1" width="10.7109375" customWidth="1" style="10" min="61" max="63"/>
    <col hidden="1" width="13" customWidth="1" style="115" min="62" max="62"/>
    <col hidden="1" width="13" customWidth="1" style="115" min="63" max="63"/>
    <col hidden="1" width="9.140625" customWidth="1" style="115" min="64" max="64"/>
    <col hidden="1" width="13" customWidth="1" style="115" min="65" max="65"/>
    <col hidden="1" width="13" customWidth="1" style="115" min="66" max="66"/>
    <col hidden="1" width="13" customWidth="1" style="115" min="67" max="67"/>
    <col hidden="1" width="13" customWidth="1" style="115" min="68" max="68"/>
    <col hidden="1" width="13" customWidth="1" style="115" min="69" max="69"/>
  </cols>
  <sheetData>
    <row r="1" ht="6" customHeight="1" s="115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</row>
    <row r="2" ht="22" customHeight="1" s="115">
      <c r="A2" s="116" t="n"/>
      <c r="B2" s="116" t="n"/>
      <c r="C2" s="117" t="inlineStr">
        <is>
          <t>COCKPIT EDUSERVICES — PILOTAGE DE LA MARGE</t>
        </is>
      </c>
      <c r="D2" s="116" t="n"/>
      <c r="E2" s="116" t="n"/>
      <c r="F2" s="116" t="n"/>
      <c r="G2" s="118" t="inlineStr">
        <is>
          <t>COCKPIT EDUSERVICES — PILOTAGE DE LA MARGE</t>
        </is>
      </c>
      <c r="H2" s="118" t="n"/>
      <c r="I2" s="118" t="n"/>
      <c r="J2" s="118" t="n"/>
      <c r="K2" s="118" t="n"/>
      <c r="L2" s="116" t="n"/>
      <c r="M2" s="116" t="n"/>
      <c r="N2" s="116" t="n"/>
      <c r="O2" s="116" t="n"/>
      <c r="P2" s="116" t="n"/>
      <c r="Q2" s="116" t="n"/>
    </row>
    <row r="3" ht="13" customHeight="1" s="115">
      <c r="A3" s="116" t="n"/>
      <c r="B3" s="116" t="n"/>
      <c r="C3" s="119" t="inlineStr">
        <is>
          <t>Exercice 2026 · variation contre 2025 · V_ALLOCATION et socle CRM</t>
        </is>
      </c>
      <c r="D3" s="116" t="n"/>
      <c r="E3" s="116" t="n"/>
      <c r="F3" s="116" t="n"/>
      <c r="G3" s="120" t="inlineStr">
        <is>
          <t xml:space="preserve">Exercice 2026 · variation contre 2025 </t>
        </is>
      </c>
      <c r="H3" s="120" t="n"/>
      <c r="I3" s="120" t="n"/>
      <c r="J3" s="120" t="n"/>
      <c r="K3" s="120" t="n"/>
      <c r="L3" s="116" t="n"/>
      <c r="M3" s="116" t="n"/>
      <c r="N3" s="116" t="n"/>
      <c r="O3" s="116" t="n"/>
      <c r="P3" s="116" t="n"/>
      <c r="Q3" s="116" t="n"/>
    </row>
    <row r="4" ht="3" customHeight="1" s="115">
      <c r="A4" s="121" t="n"/>
      <c r="B4" s="121" t="n"/>
      <c r="C4" s="121" t="n"/>
      <c r="D4" s="121" t="n"/>
      <c r="E4" s="121" t="n"/>
      <c r="F4" s="121" t="n"/>
      <c r="G4" s="121" t="n"/>
      <c r="H4" s="121" t="n"/>
      <c r="I4" s="121" t="n"/>
      <c r="J4" s="121" t="n"/>
      <c r="K4" s="121" t="n"/>
      <c r="L4" s="121" t="n"/>
      <c r="M4" s="121" t="n"/>
      <c r="N4" s="121" t="n"/>
      <c r="O4" s="121" t="n"/>
      <c r="P4" s="121" t="n"/>
      <c r="Q4" s="121" t="n"/>
    </row>
    <row r="5" ht="18" customHeight="1" s="115">
      <c r="A5" s="122" t="n"/>
      <c r="B5" s="122" t="n"/>
      <c r="C5" s="123" t="inlineStr">
        <is>
          <t>SCÉNARIO</t>
        </is>
      </c>
      <c r="D5" s="124" t="inlineStr">
        <is>
          <t>Forecast 2026</t>
        </is>
      </c>
      <c r="E5" s="125" t="n"/>
      <c r="F5" s="126" t="n"/>
      <c r="G5" s="123" t="inlineStr">
        <is>
          <t>VERSION</t>
        </is>
      </c>
      <c r="H5" s="124" t="inlineStr">
        <is>
          <t>V_FINAL</t>
        </is>
      </c>
      <c r="I5" s="127" t="n"/>
      <c r="J5" s="127" t="n"/>
      <c r="K5" s="123" t="inlineStr">
        <is>
          <t>ENTITÉ</t>
        </is>
      </c>
      <c r="L5" s="124" t="inlineStr">
        <is>
          <t>EDUSERVICES</t>
        </is>
      </c>
      <c r="M5" s="128" t="n"/>
      <c r="N5" s="126" t="n"/>
      <c r="O5" s="129" t="n"/>
      <c r="P5" s="130" t="n"/>
      <c r="Q5" s="130" t="n"/>
      <c r="R5" s="8" t="n"/>
      <c r="AD5" s="10" t="inlineStr">
        <is>
          <t>Pont</t>
        </is>
      </c>
    </row>
    <row r="6" ht="6" customHeight="1" s="115">
      <c r="A6" s="122" t="n"/>
      <c r="B6" s="122" t="n"/>
      <c r="C6" s="122" t="n"/>
      <c r="D6" s="122" t="n"/>
      <c r="E6" s="122" t="n"/>
      <c r="F6" s="122" t="n"/>
      <c r="G6" s="122" t="n"/>
      <c r="H6" s="122" t="n"/>
      <c r="I6" s="122" t="n"/>
      <c r="J6" s="122" t="n"/>
      <c r="K6" s="122" t="n"/>
      <c r="L6" s="122" t="n"/>
      <c r="M6" s="122" t="n"/>
      <c r="N6" s="122" t="n"/>
      <c r="O6" s="122" t="n"/>
      <c r="P6" s="122" t="n"/>
      <c r="Q6" s="122" t="n"/>
      <c r="AD6" s="11" t="inlineStr">
        <is>
          <t>ETAPE</t>
        </is>
      </c>
      <c r="AE6" s="12" t="inlineStr">
        <is>
          <t>SOCLE</t>
        </is>
      </c>
      <c r="AF6" s="12" t="inlineStr">
        <is>
          <t>ANCRE</t>
        </is>
      </c>
      <c r="AG6" s="12" t="inlineStr">
        <is>
          <t>HAUSSE</t>
        </is>
      </c>
      <c r="AH6" s="12" t="inlineStr">
        <is>
          <t>BAISSE</t>
        </is>
      </c>
      <c r="AI6" s="12" t="n"/>
      <c r="AK6" s="11" t="inlineStr">
        <is>
          <t>LIBELLE</t>
        </is>
      </c>
      <c r="AL6" s="12" t="inlineStr">
        <is>
          <t>MARGE_2024</t>
        </is>
      </c>
      <c r="AM6" s="12" t="inlineStr">
        <is>
          <t>MARGE_2025</t>
        </is>
      </c>
      <c r="AN6" s="12" t="inlineStr">
        <is>
          <t>MARGE_2026</t>
        </is>
      </c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BB6" s="12" t="inlineStr">
        <is>
          <t>EXERCICE</t>
        </is>
      </c>
      <c r="BC6" s="12" t="inlineStr">
        <is>
          <t>IND_DEPENSES</t>
        </is>
      </c>
      <c r="BD6" s="12" t="inlineStr">
        <is>
          <t>IND_INSCRITS</t>
        </is>
      </c>
      <c r="BE6" s="12" t="n"/>
      <c r="BF6" s="12" t="n"/>
      <c r="BG6" s="12" t="n"/>
      <c r="BH6" s="12" t="n"/>
    </row>
    <row r="7" ht="3" customHeight="1" s="115">
      <c r="A7" s="122" t="n"/>
      <c r="B7" s="122" t="n"/>
      <c r="C7" s="122" t="n"/>
      <c r="D7" s="122" t="n"/>
      <c r="E7" s="122" t="n"/>
      <c r="F7" s="121" t="n"/>
      <c r="G7" s="121" t="n"/>
      <c r="H7" s="121" t="n"/>
      <c r="I7" s="121" t="n"/>
      <c r="J7" s="121" t="n"/>
      <c r="K7" s="121" t="n"/>
      <c r="L7" s="121" t="n"/>
      <c r="M7" s="121" t="n"/>
      <c r="N7" s="121" t="n"/>
      <c r="O7" s="121" t="n"/>
      <c r="P7" s="121" t="n"/>
      <c r="Q7" s="121" t="n"/>
      <c r="AD7" s="12" t="inlineStr">
        <is>
          <t>EBITDA 2025</t>
        </is>
      </c>
      <c r="AE7" s="12" t="n">
        <v>0</v>
      </c>
      <c r="AF7" s="12" t="n">
        <v>3467793</v>
      </c>
      <c r="AG7" s="12" t="n">
        <v>0</v>
      </c>
      <c r="AH7" s="12" t="n">
        <v>0</v>
      </c>
      <c r="AI7" s="12" t="n"/>
      <c r="AK7" s="12" t="inlineStr">
        <is>
          <t>Ipac Bachelor Factory</t>
        </is>
      </c>
      <c r="AL7" s="12" t="n">
        <v>0.1189</v>
      </c>
      <c r="AM7" s="12" t="n">
        <v>0.1298</v>
      </c>
      <c r="AN7" s="12" t="n">
        <v>0.1416</v>
      </c>
      <c r="AO7" s="12" t="n"/>
      <c r="AP7" s="12" t="n"/>
      <c r="AQ7" s="12" t="n"/>
      <c r="AR7" s="12" t="n"/>
      <c r="AS7" s="12" t="n"/>
      <c r="AT7" s="12" t="n"/>
      <c r="AU7" s="12" t="n"/>
      <c r="AW7" s="11" t="n"/>
      <c r="BB7" s="12" t="inlineStr">
        <is>
          <t>2024</t>
        </is>
      </c>
      <c r="BC7" s="12" t="n">
        <v>100</v>
      </c>
      <c r="BD7" s="12" t="n">
        <v>100</v>
      </c>
      <c r="BE7" s="12" t="n"/>
      <c r="BF7" s="12" t="n"/>
      <c r="BG7" s="12" t="n"/>
      <c r="BH7" s="12" t="n"/>
      <c r="BJ7" s="10">
        <f>IF($AE7="","",$AE7)</f>
        <v/>
      </c>
    </row>
    <row r="8" ht="12" customHeight="1" s="115">
      <c r="A8" s="122" t="n"/>
      <c r="B8" s="122" t="n"/>
      <c r="C8" s="131" t="n"/>
      <c r="D8" s="132" t="n"/>
      <c r="E8" s="132" t="n"/>
      <c r="F8" s="133" t="inlineStr">
        <is>
          <t>CHIFFRE D'AFFAIRES</t>
        </is>
      </c>
      <c r="G8" s="134" t="n"/>
      <c r="H8" s="133" t="inlineStr">
        <is>
          <t>EBITDA</t>
        </is>
      </c>
      <c r="I8" s="134" t="n"/>
      <c r="J8" s="133" t="inlineStr">
        <is>
          <t>MARGE EBITDA</t>
        </is>
      </c>
      <c r="K8" s="134" t="n"/>
      <c r="L8" s="133" t="inlineStr">
        <is>
          <t>INSCRITS (NOUVEAUX)</t>
        </is>
      </c>
      <c r="M8" s="134" t="n"/>
      <c r="N8" s="133" t="inlineStr">
        <is>
          <t>COÛT D'ACQUISITION</t>
        </is>
      </c>
      <c r="O8" s="135" t="n"/>
      <c r="P8" s="136" t="inlineStr">
        <is>
          <t>REMPLISSAGE MOYEN</t>
        </is>
      </c>
      <c r="Q8" s="135" t="n"/>
      <c r="R8" s="18" t="n"/>
      <c r="AD8" s="10" t="inlineStr">
        <is>
          <t>Volume</t>
        </is>
      </c>
      <c r="AE8" s="10" t="n">
        <v>3467793</v>
      </c>
      <c r="AF8" s="10" t="n">
        <v>0</v>
      </c>
      <c r="AG8" s="10" t="n">
        <v>1157203</v>
      </c>
      <c r="AH8" s="10" t="n">
        <v>0</v>
      </c>
      <c r="AK8" s="10" t="inlineStr">
        <is>
          <t>ISCOM</t>
        </is>
      </c>
      <c r="AL8" s="10" t="n">
        <v>0.1581</v>
      </c>
      <c r="AM8" s="10" t="n">
        <v>0.1643</v>
      </c>
      <c r="AN8" s="10" t="n">
        <v>0.1717</v>
      </c>
      <c r="BB8" s="10" t="inlineStr">
        <is>
          <t>2025</t>
        </is>
      </c>
      <c r="BC8" s="10" t="n">
        <v>110</v>
      </c>
      <c r="BD8" s="10" t="n">
        <v>106.1</v>
      </c>
      <c r="BJ8" s="10">
        <f>IF($AE8="","",$AE8)</f>
        <v/>
      </c>
    </row>
    <row r="9" ht="24" customHeight="1" s="115">
      <c r="A9" s="122" t="n"/>
      <c r="B9" s="122" t="n"/>
      <c r="C9" s="137" t="n"/>
      <c r="D9" s="138" t="n"/>
      <c r="E9" s="138" t="n"/>
      <c r="F9" s="139">
        <f>F38</f>
        <v/>
      </c>
      <c r="G9" s="140" t="n"/>
      <c r="H9" s="139">
        <f>H38</f>
        <v/>
      </c>
      <c r="I9" s="141" t="n"/>
      <c r="J9" s="142">
        <f>K38</f>
        <v/>
      </c>
      <c r="K9" s="143" t="n"/>
      <c r="L9" s="144">
        <f>M38</f>
        <v/>
      </c>
      <c r="M9" s="145" t="n"/>
      <c r="N9" s="146">
        <f>U38/M38</f>
        <v/>
      </c>
      <c r="O9" s="147" t="n"/>
      <c r="P9" s="148">
        <f>N38</f>
        <v/>
      </c>
      <c r="Q9" s="147" t="n"/>
      <c r="R9" s="30" t="n"/>
      <c r="AD9" s="10" t="inlineStr">
        <is>
          <t>Prix / mix</t>
        </is>
      </c>
      <c r="AE9" s="10" t="n">
        <v>4624390</v>
      </c>
      <c r="AF9" s="10" t="n">
        <v>0</v>
      </c>
      <c r="AG9" s="10" t="n">
        <v>0</v>
      </c>
      <c r="AH9" s="10" t="n">
        <v>607</v>
      </c>
      <c r="AK9" s="10" t="inlineStr">
        <is>
          <t>MBway</t>
        </is>
      </c>
      <c r="AL9" s="10" t="n">
        <v>0.1651</v>
      </c>
      <c r="AM9" s="10" t="n">
        <v>0.1732</v>
      </c>
      <c r="AN9" s="10" t="n">
        <v>0.1825</v>
      </c>
      <c r="BB9" s="10" t="inlineStr">
        <is>
          <t>2026</t>
        </is>
      </c>
      <c r="BC9" s="10" t="n">
        <v>121</v>
      </c>
      <c r="BD9" s="10" t="n">
        <v>112.5</v>
      </c>
      <c r="BJ9" s="10">
        <f>IF($AE9="","",$AE9)</f>
        <v/>
      </c>
    </row>
    <row r="10" ht="13" customHeight="1" s="115">
      <c r="A10" s="122" t="n"/>
      <c r="B10" s="122" t="n"/>
      <c r="C10" s="149" t="n"/>
      <c r="D10" s="150" t="n"/>
      <c r="E10" s="150" t="n"/>
      <c r="F10" s="151">
        <f>G38</f>
        <v/>
      </c>
      <c r="G10" s="152" t="n"/>
      <c r="H10" s="151">
        <f>I38</f>
        <v/>
      </c>
      <c r="I10" s="153" t="n"/>
      <c r="J10" s="154">
        <f>L38</f>
        <v/>
      </c>
      <c r="K10" s="152" t="n"/>
      <c r="L10" s="151">
        <f>AA38</f>
        <v/>
      </c>
      <c r="M10" s="152" t="n"/>
      <c r="N10" s="151">
        <f>IFERROR(N9/(V38/Y38)-1,"")</f>
        <v/>
      </c>
      <c r="O10" s="155" t="n"/>
      <c r="P10" s="156">
        <f>Q38-P38</f>
        <v/>
      </c>
      <c r="Q10" s="157" t="n"/>
      <c r="R10" s="39" t="n"/>
      <c r="AD10" s="10" t="inlineStr">
        <is>
          <t>Charges</t>
        </is>
      </c>
      <c r="AE10" s="10" t="n">
        <v>3845817</v>
      </c>
      <c r="AF10" s="10" t="n">
        <v>0</v>
      </c>
      <c r="AG10" s="10" t="n">
        <v>0</v>
      </c>
      <c r="AH10" s="10" t="n">
        <v>778573</v>
      </c>
      <c r="AK10" s="10" t="inlineStr">
        <is>
          <t>Pigier</t>
        </is>
      </c>
      <c r="AL10" s="10" t="n">
        <v>0.198</v>
      </c>
      <c r="AM10" s="10" t="n">
        <v>0.2039</v>
      </c>
      <c r="AN10" s="10" t="n">
        <v>0.2114</v>
      </c>
      <c r="BJ10" s="10">
        <f>IF($AE10="","",$AE10)</f>
        <v/>
      </c>
    </row>
    <row r="11" ht="8" customHeight="1" s="115">
      <c r="A11" s="122" t="n"/>
      <c r="B11" s="122" t="n"/>
      <c r="C11" s="122" t="n"/>
      <c r="D11" s="122" t="n"/>
      <c r="E11" s="122" t="n"/>
      <c r="F11" s="122" t="n"/>
      <c r="G11" s="122" t="n"/>
      <c r="H11" s="122" t="n"/>
      <c r="I11" s="122" t="n"/>
      <c r="J11" s="122" t="n"/>
      <c r="K11" s="122" t="n"/>
      <c r="L11" s="122" t="n"/>
      <c r="M11" s="122" t="n"/>
      <c r="N11" s="122" t="n"/>
      <c r="O11" s="122" t="n"/>
      <c r="P11" s="122" t="n"/>
      <c r="Q11" s="122" t="n"/>
      <c r="AD11" s="10" t="inlineStr">
        <is>
          <t>EBITDA 2026</t>
        </is>
      </c>
      <c r="AE11" s="10" t="n">
        <v>0</v>
      </c>
      <c r="AF11" s="10" t="n">
        <v>3845817</v>
      </c>
      <c r="AG11" s="10" t="n">
        <v>0</v>
      </c>
      <c r="AH11" s="10" t="n">
        <v>0</v>
      </c>
      <c r="AK11" s="10" t="inlineStr">
        <is>
          <t>Tunon</t>
        </is>
      </c>
      <c r="AL11" s="10" t="n">
        <v>0.063</v>
      </c>
      <c r="AM11" s="10" t="n">
        <v>0.0532</v>
      </c>
      <c r="AN11" s="10" t="n">
        <v>0.0419</v>
      </c>
      <c r="BJ11" s="10">
        <f>IF($AE11="","",$AE11)</f>
        <v/>
      </c>
    </row>
    <row r="12" ht="18" customHeight="1" s="115">
      <c r="A12" s="122" t="n"/>
      <c r="B12" s="122" t="n"/>
      <c r="C12" s="158" t="inlineStr">
        <is>
          <t>01 · LES MOTEURS DE LA VARIATION</t>
        </is>
      </c>
      <c r="D12" s="159" t="n"/>
      <c r="E12" s="159" t="n"/>
      <c r="F12" s="160" t="n"/>
      <c r="G12" s="161" t="inlineStr">
        <is>
          <t xml:space="preserve">pont d'EBITDA 2025 → 2026    </t>
        </is>
      </c>
      <c r="H12" s="162" t="n"/>
      <c r="I12" s="163" t="inlineStr">
        <is>
          <t>02 · PERFORMANCE PAR ENTITÉ</t>
        </is>
      </c>
      <c r="J12" s="162" t="n"/>
      <c r="K12" s="164" t="inlineStr">
        <is>
          <t xml:space="preserve">  Marge EBITDA par marque</t>
        </is>
      </c>
      <c r="L12" s="161" t="inlineStr">
        <is>
          <t xml:space="preserve">marge EBITDA, trois exercices    </t>
        </is>
      </c>
      <c r="M12" s="162" t="n"/>
      <c r="N12" s="163" t="inlineStr">
        <is>
          <t>03 · ACQUISITION &amp; INSCRIPTIONS</t>
        </is>
      </c>
      <c r="O12" s="162" t="n"/>
      <c r="P12" s="162" t="n"/>
      <c r="Q12" s="161" t="inlineStr">
        <is>
          <t xml:space="preserve">base 2024 = 100    </t>
        </is>
      </c>
      <c r="R12" s="43" t="n"/>
    </row>
    <row r="13" ht="14" customHeight="1" s="115">
      <c r="A13" s="122" t="n"/>
      <c r="B13" s="122" t="n"/>
      <c r="C13" s="165" t="n"/>
      <c r="D13" s="122" t="n"/>
      <c r="E13" s="122" t="n"/>
      <c r="F13" s="122" t="n"/>
      <c r="G13" s="122" t="n"/>
      <c r="H13" s="122" t="n"/>
      <c r="I13" s="122" t="n"/>
      <c r="J13" s="122" t="n"/>
      <c r="K13" s="122" t="n"/>
      <c r="L13" s="122" t="n"/>
      <c r="M13" s="122" t="n"/>
      <c r="N13" s="122" t="n"/>
      <c r="O13" s="122" t="n"/>
      <c r="P13" s="122" t="n"/>
      <c r="Q13" s="122" t="n"/>
    </row>
    <row r="14" ht="14" customHeight="1" s="115">
      <c r="A14" s="122" t="n"/>
      <c r="B14" s="122" t="n"/>
      <c r="C14" s="165" t="n"/>
      <c r="D14" s="122" t="n"/>
      <c r="E14" s="122" t="n"/>
      <c r="F14" s="122" t="n"/>
      <c r="G14" s="122" t="n"/>
      <c r="H14" s="122" t="n"/>
      <c r="I14" s="122" t="n"/>
      <c r="J14" s="122" t="n"/>
      <c r="K14" s="122" t="n"/>
      <c r="L14" s="122" t="n"/>
      <c r="M14" s="122" t="n"/>
      <c r="N14" s="122" t="n"/>
      <c r="O14" s="122" t="n"/>
      <c r="P14" s="122" t="n"/>
      <c r="Q14" s="122" t="n"/>
    </row>
    <row r="15" ht="14" customHeight="1" s="115">
      <c r="A15" s="122" t="n"/>
      <c r="B15" s="122" t="n"/>
      <c r="C15" s="165" t="n"/>
      <c r="D15" s="122" t="n"/>
      <c r="E15" s="122" t="n"/>
      <c r="F15" s="122" t="n"/>
      <c r="G15" s="122" t="n"/>
      <c r="H15" s="122" t="n"/>
      <c r="I15" s="122" t="n"/>
      <c r="J15" s="122" t="n"/>
      <c r="K15" s="122" t="n"/>
      <c r="L15" s="122" t="n"/>
      <c r="M15" s="122" t="n"/>
      <c r="N15" s="122" t="n"/>
      <c r="O15" s="122" t="n"/>
      <c r="P15" s="122" t="n"/>
      <c r="Q15" s="122" t="n"/>
    </row>
    <row r="16" ht="14" customHeight="1" s="115">
      <c r="A16" s="122" t="n"/>
      <c r="B16" s="122" t="n"/>
      <c r="C16" s="165" t="n"/>
      <c r="D16" s="122" t="n"/>
      <c r="E16" s="122" t="n"/>
      <c r="F16" s="122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2" t="n"/>
      <c r="P16" s="122" t="n"/>
      <c r="Q16" s="122" t="n"/>
    </row>
    <row r="17" ht="14" customHeight="1" s="115">
      <c r="A17" s="122" t="n"/>
      <c r="B17" s="122" t="n"/>
      <c r="C17" s="165" t="n"/>
      <c r="D17" s="122" t="n"/>
      <c r="E17" s="122" t="n"/>
      <c r="F17" s="122" t="n"/>
      <c r="G17" s="122" t="n"/>
      <c r="H17" s="122" t="n"/>
      <c r="I17" s="122" t="n"/>
      <c r="J17" s="122" t="n"/>
      <c r="K17" s="122" t="n"/>
      <c r="L17" s="122" t="n"/>
      <c r="M17" s="122" t="n"/>
      <c r="N17" s="122" t="n"/>
      <c r="O17" s="122" t="n"/>
      <c r="P17" s="122" t="n"/>
      <c r="Q17" s="122" t="n"/>
    </row>
    <row r="18" ht="14" customHeight="1" s="115">
      <c r="A18" s="122" t="n"/>
      <c r="B18" s="122" t="n"/>
      <c r="C18" s="165" t="n"/>
      <c r="D18" s="122" t="n"/>
      <c r="E18" s="122" t="n"/>
      <c r="F18" s="122" t="n"/>
      <c r="G18" s="122" t="n"/>
      <c r="H18" s="122" t="n"/>
      <c r="I18" s="122" t="n"/>
      <c r="J18" s="122" t="n"/>
      <c r="K18" s="122" t="n"/>
      <c r="L18" s="122" t="n"/>
      <c r="M18" s="122" t="n"/>
      <c r="N18" s="122" t="n"/>
      <c r="O18" s="122" t="n"/>
      <c r="P18" s="122" t="n"/>
      <c r="Q18" s="122" t="n"/>
    </row>
    <row r="19" ht="14" customHeight="1" s="115">
      <c r="A19" s="122" t="n"/>
      <c r="B19" s="122" t="n"/>
      <c r="C19" s="165" t="n"/>
      <c r="D19" s="122" t="n"/>
      <c r="E19" s="122" t="n"/>
      <c r="F19" s="122" t="n"/>
      <c r="G19" s="122" t="n"/>
      <c r="H19" s="122" t="n"/>
      <c r="I19" s="122" t="n"/>
      <c r="J19" s="122" t="n"/>
      <c r="K19" s="122" t="n"/>
      <c r="L19" s="122" t="n"/>
      <c r="M19" s="122" t="n"/>
      <c r="N19" s="122" t="n"/>
      <c r="O19" s="122" t="n"/>
      <c r="P19" s="122" t="n"/>
      <c r="Q19" s="122" t="n"/>
    </row>
    <row r="20" ht="14" customHeight="1" s="115">
      <c r="A20" s="122" t="n"/>
      <c r="B20" s="122" t="n"/>
      <c r="C20" s="165" t="n"/>
      <c r="D20" s="122" t="n"/>
      <c r="E20" s="122" t="n"/>
      <c r="F20" s="122" t="n"/>
      <c r="G20" s="122" t="n"/>
      <c r="H20" s="122" t="n"/>
      <c r="I20" s="122" t="n"/>
      <c r="J20" s="122" t="n"/>
      <c r="K20" s="122" t="n"/>
      <c r="L20" s="122" t="n"/>
      <c r="M20" s="122" t="n"/>
      <c r="N20" s="122" t="n"/>
      <c r="O20" s="122" t="n"/>
      <c r="P20" s="122" t="n"/>
      <c r="Q20" s="122" t="n"/>
    </row>
    <row r="21" ht="14" customHeight="1" s="115">
      <c r="A21" s="122" t="n"/>
      <c r="B21" s="122" t="n"/>
      <c r="C21" s="165" t="n"/>
      <c r="D21" s="122" t="n"/>
      <c r="E21" s="122" t="n"/>
      <c r="F21" s="122" t="n"/>
      <c r="G21" s="122" t="n"/>
      <c r="H21" s="122" t="n"/>
      <c r="I21" s="122" t="n"/>
      <c r="J21" s="122" t="n"/>
      <c r="K21" s="122" t="n"/>
      <c r="L21" s="122" t="n"/>
      <c r="M21" s="122" t="n"/>
      <c r="N21" s="122" t="n"/>
      <c r="O21" s="122" t="n"/>
      <c r="P21" s="122" t="n"/>
      <c r="Q21" s="122" t="n"/>
    </row>
    <row r="22" ht="14" customHeight="1" s="115">
      <c r="A22" s="122" t="n"/>
      <c r="B22" s="122" t="n"/>
      <c r="C22" s="165" t="n"/>
      <c r="D22" s="122" t="n"/>
      <c r="E22" s="122" t="n"/>
      <c r="F22" s="122" t="n"/>
      <c r="G22" s="122" t="n"/>
      <c r="H22" s="122" t="n"/>
      <c r="I22" s="122" t="n"/>
      <c r="J22" s="122" t="n"/>
      <c r="K22" s="122" t="n"/>
      <c r="L22" s="122" t="n"/>
      <c r="M22" s="122" t="n"/>
      <c r="N22" s="122" t="n"/>
      <c r="O22" s="122" t="n"/>
      <c r="P22" s="122" t="n"/>
      <c r="Q22" s="122" t="n"/>
    </row>
    <row r="23" ht="14" customHeight="1" s="115">
      <c r="A23" s="122" t="n"/>
      <c r="B23" s="122" t="n"/>
      <c r="C23" s="165" t="n"/>
      <c r="D23" s="122" t="n"/>
      <c r="E23" s="122" t="n"/>
      <c r="F23" s="122" t="n"/>
      <c r="G23" s="122" t="n"/>
      <c r="H23" s="122" t="n"/>
      <c r="I23" s="122" t="n"/>
      <c r="J23" s="122" t="n"/>
      <c r="K23" s="122" t="n"/>
      <c r="L23" s="122" t="n"/>
      <c r="M23" s="122" t="n"/>
      <c r="N23" s="122" t="n"/>
      <c r="O23" s="122" t="n"/>
      <c r="P23" s="122" t="n"/>
      <c r="Q23" s="122" t="n"/>
    </row>
    <row r="24" ht="14" customHeight="1" s="115">
      <c r="A24" s="122" t="n"/>
      <c r="B24" s="122" t="n"/>
      <c r="C24" s="165" t="n"/>
      <c r="D24" s="122" t="n"/>
      <c r="E24" s="122" t="n"/>
      <c r="F24" s="122" t="n"/>
      <c r="G24" s="122" t="n"/>
      <c r="H24" s="122" t="n"/>
      <c r="I24" s="122" t="n"/>
      <c r="J24" s="122" t="n"/>
      <c r="K24" s="122" t="n"/>
      <c r="L24" s="122" t="n"/>
      <c r="M24" s="122" t="n"/>
      <c r="N24" s="122" t="n"/>
      <c r="O24" s="122" t="n"/>
      <c r="P24" s="122" t="n"/>
      <c r="Q24" s="122" t="n"/>
    </row>
    <row r="25" ht="14" customHeight="1" s="115">
      <c r="A25" s="122" t="n"/>
      <c r="B25" s="122" t="n"/>
      <c r="C25" s="165" t="n"/>
      <c r="D25" s="122" t="n"/>
      <c r="E25" s="122" t="n"/>
      <c r="F25" s="122" t="n"/>
      <c r="G25" s="122" t="n"/>
      <c r="H25" s="122" t="n"/>
      <c r="I25" s="122" t="n"/>
      <c r="J25" s="122" t="n"/>
      <c r="K25" s="122" t="n"/>
      <c r="L25" s="122" t="n"/>
      <c r="M25" s="122" t="n"/>
      <c r="N25" s="122" t="n"/>
      <c r="O25" s="122" t="n"/>
      <c r="P25" s="122" t="n"/>
      <c r="Q25" s="122" t="n"/>
    </row>
    <row r="26" ht="14" customHeight="1" s="115">
      <c r="A26" s="122" t="n"/>
      <c r="B26" s="122" t="n"/>
      <c r="C26" s="165" t="n"/>
      <c r="D26" s="122" t="n"/>
      <c r="E26" s="122" t="n"/>
      <c r="F26" s="122" t="n"/>
      <c r="G26" s="122" t="n"/>
      <c r="H26" s="122" t="n"/>
      <c r="I26" s="122" t="n"/>
      <c r="J26" s="122" t="n"/>
      <c r="K26" s="122" t="n"/>
      <c r="L26" s="122" t="n"/>
      <c r="M26" s="122" t="n"/>
      <c r="N26" s="122" t="n"/>
      <c r="O26" s="122" t="n"/>
      <c r="P26" s="122" t="n"/>
      <c r="Q26" s="122" t="n"/>
    </row>
    <row r="27" ht="14" customHeight="1" s="115">
      <c r="A27" s="122" t="n"/>
      <c r="B27" s="122" t="n"/>
      <c r="C27" s="165" t="n"/>
      <c r="D27" s="122" t="n"/>
      <c r="E27" s="122" t="n"/>
      <c r="F27" s="122" t="n"/>
      <c r="G27" s="122" t="n"/>
      <c r="H27" s="122" t="n"/>
      <c r="I27" s="122" t="n"/>
      <c r="J27" s="122" t="n"/>
      <c r="K27" s="122" t="n"/>
      <c r="L27" s="122" t="n"/>
      <c r="M27" s="122" t="n"/>
      <c r="N27" s="122" t="n"/>
      <c r="O27" s="122" t="n"/>
      <c r="P27" s="122" t="n"/>
      <c r="Q27" s="122" t="n"/>
    </row>
    <row r="28" ht="14" customHeight="1" s="115">
      <c r="A28" s="122" t="n"/>
      <c r="B28" s="122" t="n"/>
      <c r="C28" s="165" t="n"/>
      <c r="D28" s="122" t="n"/>
      <c r="E28" s="122" t="n"/>
      <c r="F28" s="122" t="n"/>
      <c r="G28" s="122" t="n"/>
      <c r="H28" s="122" t="n"/>
      <c r="I28" s="122" t="n"/>
      <c r="J28" s="122" t="n"/>
      <c r="K28" s="122" t="n"/>
      <c r="L28" s="122" t="n"/>
      <c r="M28" s="122" t="n"/>
      <c r="N28" s="122" t="n"/>
      <c r="O28" s="122" t="n"/>
      <c r="P28" s="122" t="n"/>
      <c r="Q28" s="122" t="n"/>
    </row>
    <row r="29" ht="14" customHeight="1" s="115">
      <c r="A29" s="122" t="n"/>
      <c r="B29" s="122" t="n"/>
      <c r="C29" s="165" t="n"/>
      <c r="D29" s="122" t="n"/>
      <c r="E29" s="122" t="n"/>
      <c r="F29" s="122" t="n"/>
      <c r="G29" s="122" t="n"/>
      <c r="H29" s="122" t="n"/>
      <c r="I29" s="122" t="n"/>
      <c r="J29" s="122" t="n"/>
      <c r="K29" s="122" t="n"/>
      <c r="L29" s="122" t="n"/>
      <c r="M29" s="122" t="n"/>
      <c r="N29" s="122" t="n"/>
      <c r="O29" s="122" t="n"/>
      <c r="P29" s="122" t="n"/>
      <c r="Q29" s="122" t="n"/>
    </row>
    <row r="30" ht="14" customHeight="1" s="115">
      <c r="A30" s="122" t="n"/>
      <c r="B30" s="122" t="n"/>
      <c r="C30" s="165" t="n"/>
      <c r="D30" s="122" t="n"/>
      <c r="E30" s="122" t="n"/>
      <c r="F30" s="122" t="n"/>
      <c r="G30" s="122" t="n"/>
      <c r="H30" s="122" t="n"/>
      <c r="I30" s="122" t="n"/>
      <c r="J30" s="122" t="n"/>
      <c r="K30" s="122" t="n"/>
      <c r="L30" s="122" t="n"/>
      <c r="M30" s="122" t="n"/>
      <c r="N30" s="122" t="n"/>
      <c r="O30" s="122" t="n"/>
      <c r="P30" s="122" t="n"/>
      <c r="Q30" s="122" t="n"/>
    </row>
    <row r="31" ht="14" customHeight="1" s="115">
      <c r="A31" s="122" t="n"/>
      <c r="B31" s="122" t="n"/>
      <c r="C31" s="165" t="n"/>
      <c r="D31" s="122" t="n"/>
      <c r="E31" s="122" t="n"/>
      <c r="F31" s="122" t="n"/>
      <c r="G31" s="122" t="n"/>
      <c r="H31" s="122" t="n"/>
      <c r="I31" s="122" t="n"/>
      <c r="J31" s="122" t="n"/>
      <c r="K31" s="122" t="n"/>
      <c r="L31" s="122" t="n"/>
      <c r="M31" s="122" t="n"/>
      <c r="N31" s="122" t="n"/>
      <c r="O31" s="122" t="n"/>
      <c r="P31" s="122" t="n"/>
      <c r="Q31" s="122" t="n"/>
    </row>
    <row r="32" ht="14" customHeight="1" s="115">
      <c r="A32" s="122" t="n"/>
      <c r="B32" s="122" t="n"/>
      <c r="C32" s="166" t="n"/>
      <c r="D32" s="167" t="n"/>
      <c r="E32" s="167" t="n"/>
      <c r="F32" s="167" t="n"/>
      <c r="G32" s="167" t="n"/>
      <c r="H32" s="167" t="n"/>
      <c r="I32" s="167" t="n"/>
      <c r="J32" s="167" t="n"/>
      <c r="K32" s="167" t="n"/>
      <c r="L32" s="167" t="n"/>
      <c r="M32" s="167" t="n"/>
      <c r="N32" s="167" t="n"/>
      <c r="O32" s="167" t="n"/>
      <c r="P32" s="167" t="n"/>
      <c r="Q32" s="167" t="n"/>
      <c r="R32" s="46" t="n"/>
    </row>
    <row r="33" ht="14" customHeight="1" s="115">
      <c r="A33" s="122" t="n"/>
      <c r="B33" s="122" t="n"/>
      <c r="C33" s="122" t="n"/>
      <c r="D33" s="122" t="n"/>
      <c r="E33" s="122" t="n"/>
      <c r="F33" s="122" t="n"/>
      <c r="G33" s="122" t="n"/>
      <c r="H33" s="122" t="n"/>
      <c r="I33" s="122" t="n"/>
      <c r="J33" s="122" t="n"/>
      <c r="K33" s="122" t="n"/>
      <c r="L33" s="122" t="n"/>
      <c r="M33" s="122" t="n"/>
      <c r="N33" s="122" t="n"/>
      <c r="O33" s="122" t="n"/>
      <c r="P33" s="122" t="n"/>
      <c r="Q33" s="122" t="n"/>
    </row>
    <row r="34">
      <c r="A34" s="122" t="n"/>
      <c r="B34" s="122" t="n"/>
      <c r="C34" s="122" t="n"/>
      <c r="D34" s="122" t="n"/>
      <c r="E34" s="122" t="n"/>
      <c r="F34" s="122" t="n"/>
      <c r="G34" s="122" t="n"/>
      <c r="H34" s="122" t="n"/>
      <c r="I34" s="122" t="n"/>
      <c r="J34" s="122" t="n"/>
      <c r="K34" s="122" t="n"/>
      <c r="L34" s="122" t="n"/>
      <c r="M34" s="122" t="n"/>
      <c r="N34" s="122" t="n"/>
      <c r="O34" s="122" t="n"/>
      <c r="P34" s="122" t="n"/>
      <c r="Q34" s="122" t="n"/>
    </row>
    <row r="35">
      <c r="A35" s="122" t="n"/>
      <c r="B35" s="122" t="n"/>
      <c r="C35" s="122" t="n"/>
      <c r="D35" s="122" t="n"/>
      <c r="E35" s="122" t="n"/>
      <c r="F35" s="122" t="n"/>
      <c r="G35" s="122" t="n"/>
      <c r="H35" s="122" t="n"/>
      <c r="I35" s="122" t="n"/>
      <c r="J35" s="122" t="n"/>
      <c r="K35" s="122" t="n"/>
      <c r="L35" s="122" t="n"/>
      <c r="M35" s="122" t="n"/>
      <c r="N35" s="122" t="n"/>
      <c r="O35" s="122" t="n"/>
      <c r="P35" s="122" t="n"/>
      <c r="Q35" s="122" t="n"/>
    </row>
    <row r="36" ht="18" customHeight="1" s="115">
      <c r="A36" s="122" t="n"/>
      <c r="B36" s="168" t="n"/>
      <c r="C36" s="169" t="inlineStr">
        <is>
          <t>PORTEFEUILLE — MARQUE ET CAMPUS</t>
        </is>
      </c>
      <c r="D36" s="122" t="n"/>
      <c r="E36" s="122" t="n"/>
      <c r="F36" s="122" t="n"/>
      <c r="G36" s="122" t="n"/>
      <c r="H36" s="122" t="n"/>
      <c r="I36" s="122" t="n"/>
      <c r="J36" s="122" t="n"/>
      <c r="K36" s="122" t="n"/>
      <c r="L36" s="122" t="n"/>
      <c r="M36" s="122" t="n"/>
      <c r="N36" s="122" t="n"/>
      <c r="O36" s="122" t="n"/>
      <c r="P36" s="122" t="n"/>
      <c r="Q36" s="170" t="inlineStr">
        <is>
          <t xml:space="preserve">graisse et filet donnent le niveau · échelle de couleur = performance  </t>
        </is>
      </c>
      <c r="R36" s="47" t="n"/>
    </row>
    <row r="37" ht="26" customHeight="1" s="115">
      <c r="A37" s="122" t="n"/>
      <c r="B37" s="171" t="n"/>
      <c r="C37" s="172" t="inlineStr">
        <is>
          <t>Entité</t>
        </is>
      </c>
      <c r="D37" s="172" t="inlineStr">
        <is>
          <t>Programme</t>
        </is>
      </c>
      <c r="E37" s="172" t="inlineStr">
        <is>
          <t>Modalité</t>
        </is>
      </c>
      <c r="F37" s="173" t="inlineStr">
        <is>
          <t>CA</t>
        </is>
      </c>
      <c r="G37" s="173" t="inlineStr">
        <is>
          <t>Δ CA</t>
        </is>
      </c>
      <c r="H37" s="173" t="inlineStr">
        <is>
          <t>EBITDA</t>
        </is>
      </c>
      <c r="I37" s="173" t="inlineStr">
        <is>
          <t>Δ EBITDA</t>
        </is>
      </c>
      <c r="J37" s="173" t="inlineStr">
        <is>
          <t>Part EBITDA</t>
        </is>
      </c>
      <c r="K37" s="173" t="inlineStr">
        <is>
          <t>Marge EBITDA</t>
        </is>
      </c>
      <c r="L37" s="173" t="inlineStr">
        <is>
          <t>Δ Marge (pt)</t>
        </is>
      </c>
      <c r="M37" s="173" t="inlineStr">
        <is>
          <t>Inscrits</t>
        </is>
      </c>
      <c r="N37" s="173" t="inlineStr">
        <is>
          <t>Remplissage</t>
        </is>
      </c>
      <c r="O37" s="173" t="inlineStr">
        <is>
          <t>Mix alternance</t>
        </is>
      </c>
      <c r="P37" s="173" t="inlineStr">
        <is>
          <t>Effectifs</t>
        </is>
      </c>
      <c r="Q37" s="173" t="inlineStr">
        <is>
          <t>Places</t>
        </is>
      </c>
      <c r="R37" s="50" t="inlineStr">
        <is>
          <t>EFFECTIFS_ALT</t>
        </is>
      </c>
      <c r="S37" s="51" t="inlineStr">
        <is>
          <t>EBITDA_N1</t>
        </is>
      </c>
      <c r="T37" s="51" t="inlineStr">
        <is>
          <t>CA_N1</t>
        </is>
      </c>
      <c r="U37" s="51" t="inlineStr">
        <is>
          <t>SPEND_ACQ</t>
        </is>
      </c>
      <c r="V37" s="51" t="inlineStr">
        <is>
          <t>SPEND_ACQ_N1</t>
        </is>
      </c>
      <c r="W37" s="51" t="inlineStr">
        <is>
          <t>Marge EBTIDA N-1</t>
        </is>
      </c>
      <c r="X37" s="51" t="inlineStr">
        <is>
          <t>PLACES_N1</t>
        </is>
      </c>
      <c r="Y37" s="51" t="inlineStr">
        <is>
          <t>INSCRITS_N1</t>
        </is>
      </c>
      <c r="Z37" s="51" t="inlineStr">
        <is>
          <t>EFFECTIFS_N1</t>
        </is>
      </c>
      <c r="AA37" s="51" t="inlineStr">
        <is>
          <t>% nouveaux inscrits</t>
        </is>
      </c>
      <c r="AB37" s="51" t="n"/>
      <c r="AC37" s="47" t="n"/>
      <c r="AD37" s="47" t="n"/>
      <c r="AE37" s="47" t="n"/>
    </row>
    <row r="38" ht="14.25" customHeight="1" s="115">
      <c r="A38" s="122" t="n"/>
      <c r="B38" s="174" t="n">
        <v>2</v>
      </c>
      <c r="C38" s="175" t="inlineStr">
        <is>
          <t>EDUSERVICES</t>
        </is>
      </c>
      <c r="D38" s="176" t="n"/>
      <c r="E38" s="177" t="n"/>
      <c r="F38" s="178" t="n">
        <v>23098985</v>
      </c>
      <c r="G38" s="179">
        <f>IFERROR((F38-T38)/T38,"")</f>
        <v/>
      </c>
      <c r="H38" s="178" t="n">
        <v>3845816.907756</v>
      </c>
      <c r="I38" s="179">
        <f>IFERROR((H38-S38)/S38,"")</f>
        <v/>
      </c>
      <c r="J38" s="180" t="n">
        <v>0.999984</v>
      </c>
      <c r="K38" s="180">
        <f>IFERROR(H38/F38,"")</f>
        <v/>
      </c>
      <c r="L38" s="181">
        <f>IFERROR((K38-W38)*100,"")</f>
        <v/>
      </c>
      <c r="M38" s="178" t="n">
        <v>1229</v>
      </c>
      <c r="N38" s="182">
        <f>IFERROR(P38/Q38,"")</f>
        <v/>
      </c>
      <c r="O38" s="182">
        <f>IFERROR(R38/P38,"")</f>
        <v/>
      </c>
      <c r="P38" s="178" t="n">
        <v>3114</v>
      </c>
      <c r="Q38" s="178" t="n">
        <v>4088</v>
      </c>
      <c r="R38" s="56" t="n">
        <v>2690</v>
      </c>
      <c r="S38" s="61" t="n">
        <v>3467793.288627</v>
      </c>
      <c r="T38" s="61" t="n">
        <v>21758770</v>
      </c>
      <c r="U38" s="61" t="n">
        <v>434174</v>
      </c>
      <c r="V38" s="61" t="n">
        <v>394702</v>
      </c>
      <c r="W38" s="183">
        <f>IFERROR(S38/T38,"")</f>
        <v/>
      </c>
      <c r="X38" s="61" t="n">
        <v>4088</v>
      </c>
      <c r="Y38" s="61" t="n">
        <v>1159</v>
      </c>
      <c r="Z38" s="61" t="n">
        <v>2933</v>
      </c>
      <c r="AA38" s="61">
        <f>IFERROR((M38-Y38)/Y38,"")</f>
        <v/>
      </c>
      <c r="AB38" s="61">
        <f>IFERROR((U38-T38)/T38,"")</f>
        <v/>
      </c>
      <c r="AC38" s="47" t="n"/>
      <c r="AD38" s="47" t="n"/>
      <c r="AE38" s="47" t="n"/>
    </row>
    <row r="39" ht="14.25" customHeight="1" s="115">
      <c r="A39" s="122" t="n"/>
      <c r="B39" s="174" t="n">
        <v>3</v>
      </c>
      <c r="C39" s="175" t="inlineStr">
        <is>
          <t>Ipac Bachelor Factory</t>
        </is>
      </c>
      <c r="D39" s="176" t="n"/>
      <c r="E39" s="177" t="n"/>
      <c r="F39" s="178" t="n">
        <v>2582800</v>
      </c>
      <c r="G39" s="179">
        <f>IFERROR((F39-T39)/T39,"")</f>
        <v/>
      </c>
      <c r="H39" s="178" t="n">
        <v>365679.751826</v>
      </c>
      <c r="I39" s="179">
        <f>IFERROR((H39-S39)/S39,"")</f>
        <v/>
      </c>
      <c r="J39" s="180" t="n">
        <v>0.095085</v>
      </c>
      <c r="K39" s="180">
        <f>IFERROR(H39/F39,"")</f>
        <v/>
      </c>
      <c r="L39" s="181">
        <f>IFERROR((K39-W39)*100,"")</f>
        <v/>
      </c>
      <c r="M39" s="178" t="n">
        <v>130</v>
      </c>
      <c r="N39" s="180">
        <f>IFERROR(P39/Q39,"")</f>
        <v/>
      </c>
      <c r="O39" s="180">
        <f>IFERROR(R39/P39,"")</f>
        <v/>
      </c>
      <c r="P39" s="178" t="n">
        <v>379</v>
      </c>
      <c r="Q39" s="178" t="n">
        <v>576</v>
      </c>
      <c r="R39" s="56" t="n">
        <v>379</v>
      </c>
      <c r="S39" s="47" t="n">
        <v>316641.059586</v>
      </c>
      <c r="T39" s="47" t="n">
        <v>2439370</v>
      </c>
      <c r="U39" s="47" t="n">
        <v>51871</v>
      </c>
      <c r="V39" s="47" t="n">
        <v>47155</v>
      </c>
      <c r="W39" s="47">
        <f>IFERROR(S39/T39,"")</f>
        <v/>
      </c>
      <c r="X39" s="47" t="n">
        <v>576</v>
      </c>
      <c r="Y39" s="47" t="n">
        <v>123</v>
      </c>
      <c r="Z39" s="47" t="n">
        <v>358</v>
      </c>
      <c r="AA39" s="47">
        <f>IFERROR((M39-Y39)/Y39,"")</f>
        <v/>
      </c>
      <c r="AB39" s="47">
        <f>IFERROR((U39-T39)/T39,"")</f>
        <v/>
      </c>
      <c r="AC39" s="47" t="n"/>
      <c r="AD39" s="47" t="n"/>
      <c r="AE39" s="47" t="n"/>
    </row>
    <row r="40" ht="14.25" customHeight="1" s="115">
      <c r="A40" s="122" t="n"/>
      <c r="B40" s="174" t="n">
        <v>4</v>
      </c>
      <c r="C40" s="175" t="inlineStr">
        <is>
          <t>Ipac Bachelor Factory Montpellier</t>
        </is>
      </c>
      <c r="D40" s="176" t="n"/>
      <c r="E40" s="177" t="n"/>
      <c r="F40" s="178" t="n">
        <v>781650</v>
      </c>
      <c r="G40" s="179">
        <f>IFERROR((F40-T40)/T40,"")</f>
        <v/>
      </c>
      <c r="H40" s="178" t="n">
        <v>107890.617776</v>
      </c>
      <c r="I40" s="179">
        <f>IFERROR((H40-S40)/S40,"")</f>
        <v/>
      </c>
      <c r="J40" s="180" t="n">
        <v>0.028054</v>
      </c>
      <c r="K40" s="180">
        <f>IFERROR(H40/F40,"")</f>
        <v/>
      </c>
      <c r="L40" s="181">
        <f>IFERROR((K40-W40)*100,"")</f>
        <v/>
      </c>
      <c r="M40" s="178" t="n">
        <v>40</v>
      </c>
      <c r="N40" s="180">
        <f>IFERROR(P40/Q40,"")</f>
        <v/>
      </c>
      <c r="O40" s="180">
        <f>IFERROR(R40/P40,"")</f>
        <v/>
      </c>
      <c r="P40" s="178" t="n">
        <v>117</v>
      </c>
      <c r="Q40" s="178" t="n">
        <v>192</v>
      </c>
      <c r="R40" s="56" t="n">
        <v>117</v>
      </c>
      <c r="S40" s="47" t="n">
        <v>93630.055754</v>
      </c>
      <c r="T40" s="47" t="n">
        <v>741570</v>
      </c>
      <c r="U40" s="47" t="n">
        <v>15178</v>
      </c>
      <c r="V40" s="47" t="n">
        <v>13798</v>
      </c>
      <c r="W40" s="47">
        <f>IFERROR(S40/T40,"")</f>
        <v/>
      </c>
      <c r="X40" s="47" t="n">
        <v>192</v>
      </c>
      <c r="Y40" s="47" t="n">
        <v>38</v>
      </c>
      <c r="Z40" s="47" t="n">
        <v>111</v>
      </c>
      <c r="AA40" s="47">
        <f>IFERROR((M40-Y40)/Y40,"")</f>
        <v/>
      </c>
      <c r="AB40" s="47">
        <f>IFERROR((U40-T40)/T40,"")</f>
        <v/>
      </c>
      <c r="AC40" s="47" t="n"/>
      <c r="AD40" s="47" t="n"/>
      <c r="AE40" s="47" t="n"/>
    </row>
    <row r="41" ht="14.25" customHeight="1" s="115">
      <c r="A41" s="122" t="n"/>
      <c r="B41" s="174" t="n">
        <v>4</v>
      </c>
      <c r="C41" s="175" t="inlineStr">
        <is>
          <t>Ipac Bachelor Factory Nantes</t>
        </is>
      </c>
      <c r="D41" s="176" t="n"/>
      <c r="E41" s="177" t="n"/>
      <c r="F41" s="178" t="n">
        <v>1019500</v>
      </c>
      <c r="G41" s="179">
        <f>IFERROR((F41-T41)/T41,"")</f>
        <v/>
      </c>
      <c r="H41" s="178" t="n">
        <v>149898.516029</v>
      </c>
      <c r="I41" s="179">
        <f>IFERROR((H41-S41)/S41,"")</f>
        <v/>
      </c>
      <c r="J41" s="180" t="n">
        <v>0.038977</v>
      </c>
      <c r="K41" s="180">
        <f>IFERROR(H41/F41,"")</f>
        <v/>
      </c>
      <c r="L41" s="181">
        <f>IFERROR((K41-W41)*100,"")</f>
        <v/>
      </c>
      <c r="M41" s="178" t="n">
        <v>50</v>
      </c>
      <c r="N41" s="180">
        <f>IFERROR(P41/Q41,"")</f>
        <v/>
      </c>
      <c r="O41" s="180">
        <f>IFERROR(R41/P41,"")</f>
        <v/>
      </c>
      <c r="P41" s="178" t="n">
        <v>145</v>
      </c>
      <c r="Q41" s="178" t="n">
        <v>192</v>
      </c>
      <c r="R41" s="56" t="n">
        <v>145</v>
      </c>
      <c r="S41" s="47" t="n">
        <v>129380.967853</v>
      </c>
      <c r="T41" s="47" t="n">
        <v>956230</v>
      </c>
      <c r="U41" s="47" t="n">
        <v>21760</v>
      </c>
      <c r="V41" s="47" t="n">
        <v>19782</v>
      </c>
      <c r="W41" s="47">
        <f>IFERROR(S41/T41,"")</f>
        <v/>
      </c>
      <c r="X41" s="47" t="n">
        <v>192</v>
      </c>
      <c r="Y41" s="47" t="n">
        <v>47</v>
      </c>
      <c r="Z41" s="47" t="n">
        <v>136</v>
      </c>
      <c r="AA41" s="47">
        <f>IFERROR((M41-Y41)/Y41,"")</f>
        <v/>
      </c>
      <c r="AB41" s="47">
        <f>IFERROR((U41-T41)/T41,"")</f>
        <v/>
      </c>
      <c r="AC41" s="47" t="n"/>
      <c r="AD41" s="47" t="n"/>
      <c r="AE41" s="47" t="n"/>
    </row>
    <row r="42" ht="14.25" customHeight="1" s="115">
      <c r="A42" s="122" t="n"/>
      <c r="B42" s="174" t="n">
        <v>4</v>
      </c>
      <c r="C42" s="175" t="inlineStr">
        <is>
          <t>Ipac Bachelor Factory Rennes</t>
        </is>
      </c>
      <c r="D42" s="176" t="n"/>
      <c r="E42" s="177" t="n"/>
      <c r="F42" s="178" t="n">
        <v>781650</v>
      </c>
      <c r="G42" s="179">
        <f>IFERROR((F42-T42)/T42,"")</f>
        <v/>
      </c>
      <c r="H42" s="178" t="n">
        <v>107890.618021</v>
      </c>
      <c r="I42" s="179">
        <f>IFERROR((H42-S42)/S42,"")</f>
        <v/>
      </c>
      <c r="J42" s="180" t="n">
        <v>0.028054</v>
      </c>
      <c r="K42" s="180">
        <f>IFERROR(H42/F42,"")</f>
        <v/>
      </c>
      <c r="L42" s="181">
        <f>IFERROR((K42-W42)*100,"")</f>
        <v/>
      </c>
      <c r="M42" s="178" t="n">
        <v>40</v>
      </c>
      <c r="N42" s="180">
        <f>IFERROR(P42/Q42,"")</f>
        <v/>
      </c>
      <c r="O42" s="180">
        <f>IFERROR(R42/P42,"")</f>
        <v/>
      </c>
      <c r="P42" s="178" t="n">
        <v>117</v>
      </c>
      <c r="Q42" s="178" t="n">
        <v>192</v>
      </c>
      <c r="R42" s="56" t="n">
        <v>117</v>
      </c>
      <c r="S42" s="47" t="n">
        <v>93630.03597899999</v>
      </c>
      <c r="T42" s="47" t="n">
        <v>741570</v>
      </c>
      <c r="U42" s="47" t="n">
        <v>14933</v>
      </c>
      <c r="V42" s="47" t="n">
        <v>13575</v>
      </c>
      <c r="W42" s="47">
        <f>IFERROR(S42/T42,"")</f>
        <v/>
      </c>
      <c r="X42" s="47" t="n">
        <v>192</v>
      </c>
      <c r="Y42" s="47" t="n">
        <v>38</v>
      </c>
      <c r="Z42" s="47" t="n">
        <v>111</v>
      </c>
      <c r="AA42" s="47">
        <f>IFERROR((M42-Y42)/Y42,"")</f>
        <v/>
      </c>
      <c r="AB42" s="47">
        <f>IFERROR((U42-T42)/T42,"")</f>
        <v/>
      </c>
      <c r="AC42" s="47" t="n"/>
      <c r="AD42" s="47" t="n"/>
      <c r="AE42" s="47" t="n"/>
    </row>
    <row r="43" ht="14.25" customHeight="1" s="115">
      <c r="A43" s="122" t="n"/>
      <c r="B43" s="174" t="n">
        <v>3</v>
      </c>
      <c r="C43" s="175" t="inlineStr">
        <is>
          <t>ISCOM</t>
        </is>
      </c>
      <c r="D43" s="176" t="n"/>
      <c r="E43" s="177" t="n"/>
      <c r="F43" s="178" t="n">
        <v>6292550</v>
      </c>
      <c r="G43" s="179">
        <f>IFERROR((F43-T43)/T43,"")</f>
        <v/>
      </c>
      <c r="H43" s="178" t="n">
        <v>1080136.255572</v>
      </c>
      <c r="I43" s="179">
        <f>IFERROR((H43-S43)/S43,"")</f>
        <v/>
      </c>
      <c r="J43" s="180" t="n">
        <v>0.280855</v>
      </c>
      <c r="K43" s="180">
        <f>IFERROR(H43/F43,"")</f>
        <v/>
      </c>
      <c r="L43" s="181">
        <f>IFERROR((K43-W43)*100,"")</f>
        <v/>
      </c>
      <c r="M43" s="178" t="n">
        <v>338</v>
      </c>
      <c r="N43" s="180">
        <f>IFERROR(P43/Q43,"")</f>
        <v/>
      </c>
      <c r="O43" s="180">
        <f>IFERROR(R43/P43,"")</f>
        <v/>
      </c>
      <c r="P43" s="178" t="n">
        <v>829</v>
      </c>
      <c r="Q43" s="178" t="n">
        <v>1036</v>
      </c>
      <c r="R43" s="56" t="n">
        <v>660</v>
      </c>
      <c r="S43" s="47" t="n">
        <v>971876.946731</v>
      </c>
      <c r="T43" s="47" t="n">
        <v>5914800</v>
      </c>
      <c r="U43" s="47" t="n">
        <v>108103</v>
      </c>
      <c r="V43" s="47" t="n">
        <v>98275</v>
      </c>
      <c r="W43" s="47">
        <f>IFERROR(S43/T43,"")</f>
        <v/>
      </c>
      <c r="X43" s="47" t="n">
        <v>1036</v>
      </c>
      <c r="Y43" s="47" t="n">
        <v>318</v>
      </c>
      <c r="Z43" s="47" t="n">
        <v>779</v>
      </c>
      <c r="AA43" s="47">
        <f>IFERROR((M43-Y43)/Y43,"")</f>
        <v/>
      </c>
      <c r="AB43" s="47">
        <f>IFERROR((U43-T43)/T43,"")</f>
        <v/>
      </c>
      <c r="AC43" s="47" t="n"/>
      <c r="AD43" s="47" t="n"/>
      <c r="AE43" s="47" t="n"/>
    </row>
    <row r="44" ht="14.25" customHeight="1" s="115">
      <c r="A44" s="122" t="n"/>
      <c r="B44" s="174" t="n">
        <v>4</v>
      </c>
      <c r="C44" s="175" t="inlineStr">
        <is>
          <t>ISCOM Lille</t>
        </is>
      </c>
      <c r="D44" s="176" t="n"/>
      <c r="E44" s="177" t="n"/>
      <c r="F44" s="178" t="n">
        <v>1755850</v>
      </c>
      <c r="G44" s="179">
        <f>IFERROR((F44-T44)/T44,"")</f>
        <v/>
      </c>
      <c r="H44" s="178" t="n">
        <v>289771.286902</v>
      </c>
      <c r="I44" s="179">
        <f>IFERROR((H44-S44)/S44,"")</f>
        <v/>
      </c>
      <c r="J44" s="180" t="n">
        <v>0.075345</v>
      </c>
      <c r="K44" s="180">
        <f>IFERROR(H44/F44,"")</f>
        <v/>
      </c>
      <c r="L44" s="181">
        <f>IFERROR((K44-W44)*100,"")</f>
        <v/>
      </c>
      <c r="M44" s="178" t="n">
        <v>100</v>
      </c>
      <c r="N44" s="180">
        <f>IFERROR(P44/Q44,"")</f>
        <v/>
      </c>
      <c r="O44" s="180">
        <f>IFERROR(R44/P44,"")</f>
        <v/>
      </c>
      <c r="P44" s="178" t="n">
        <v>244</v>
      </c>
      <c r="Q44" s="178" t="n">
        <v>296</v>
      </c>
      <c r="R44" s="56" t="n">
        <v>194</v>
      </c>
      <c r="S44" s="47" t="n">
        <v>259788.32347</v>
      </c>
      <c r="T44" s="47" t="n">
        <v>1648000</v>
      </c>
      <c r="U44" s="47" t="n">
        <v>25220</v>
      </c>
      <c r="V44" s="47" t="n">
        <v>22927</v>
      </c>
      <c r="W44" s="47">
        <f>IFERROR(S44/T44,"")</f>
        <v/>
      </c>
      <c r="X44" s="47" t="n">
        <v>296</v>
      </c>
      <c r="Y44" s="47" t="n">
        <v>94</v>
      </c>
      <c r="Z44" s="47" t="n">
        <v>229</v>
      </c>
      <c r="AA44" s="47">
        <f>IFERROR((M44-Y44)/Y44,"")</f>
        <v/>
      </c>
      <c r="AB44" s="47">
        <f>IFERROR((U44-T44)/T44,"")</f>
        <v/>
      </c>
      <c r="AC44" s="47" t="n"/>
      <c r="AD44" s="47" t="n"/>
      <c r="AE44" s="47" t="n"/>
    </row>
    <row r="45" ht="14.25" customHeight="1" s="115">
      <c r="A45" s="122" t="n"/>
      <c r="B45" s="174" t="n">
        <v>4</v>
      </c>
      <c r="C45" s="175" t="inlineStr">
        <is>
          <t>ISCOM Paris</t>
        </is>
      </c>
      <c r="D45" s="176" t="n"/>
      <c r="E45" s="177" t="n"/>
      <c r="F45" s="178" t="n">
        <v>2908720</v>
      </c>
      <c r="G45" s="179">
        <f>IFERROR((F45-T45)/T45,"")</f>
        <v/>
      </c>
      <c r="H45" s="178" t="n">
        <v>526580.913096</v>
      </c>
      <c r="I45" s="179">
        <f>IFERROR((H45-S45)/S45,"")</f>
        <v/>
      </c>
      <c r="J45" s="180" t="n">
        <v>0.136922</v>
      </c>
      <c r="K45" s="180">
        <f>IFERROR(H45/F45,"")</f>
        <v/>
      </c>
      <c r="L45" s="181">
        <f>IFERROR((K45-W45)*100,"")</f>
        <v/>
      </c>
      <c r="M45" s="178" t="n">
        <v>144</v>
      </c>
      <c r="N45" s="180">
        <f>IFERROR(P45/Q45,"")</f>
        <v/>
      </c>
      <c r="O45" s="180">
        <f>IFERROR(R45/P45,"")</f>
        <v/>
      </c>
      <c r="P45" s="178" t="n">
        <v>354</v>
      </c>
      <c r="Q45" s="178" t="n">
        <v>444</v>
      </c>
      <c r="R45" s="56" t="n">
        <v>282</v>
      </c>
      <c r="S45" s="47" t="n">
        <v>476694.76491</v>
      </c>
      <c r="T45" s="47" t="n">
        <v>2744480</v>
      </c>
      <c r="U45" s="47" t="n">
        <v>60800</v>
      </c>
      <c r="V45" s="47" t="n">
        <v>55272</v>
      </c>
      <c r="W45" s="47">
        <f>IFERROR(S45/T45,"")</f>
        <v/>
      </c>
      <c r="X45" s="47" t="n">
        <v>444</v>
      </c>
      <c r="Y45" s="47" t="n">
        <v>136</v>
      </c>
      <c r="Z45" s="47" t="n">
        <v>334</v>
      </c>
      <c r="AA45" s="47">
        <f>IFERROR((M45-Y45)/Y45,"")</f>
        <v/>
      </c>
      <c r="AB45" s="47">
        <f>IFERROR((U45-T45)/T45,"")</f>
        <v/>
      </c>
      <c r="AC45" s="47" t="n"/>
      <c r="AD45" s="47" t="n"/>
      <c r="AE45" s="47" t="n"/>
    </row>
    <row r="46" ht="14.25" customHeight="1" s="115">
      <c r="A46" s="122" t="n"/>
      <c r="B46" s="174" t="n">
        <v>4</v>
      </c>
      <c r="C46" s="175" t="inlineStr">
        <is>
          <t>ISCOM Toulouse</t>
        </is>
      </c>
      <c r="D46" s="176" t="n"/>
      <c r="E46" s="177" t="n"/>
      <c r="F46" s="178" t="n">
        <v>1627980</v>
      </c>
      <c r="G46" s="179">
        <f>IFERROR((F46-T46)/T46,"")</f>
        <v/>
      </c>
      <c r="H46" s="178" t="n">
        <v>263784.055574</v>
      </c>
      <c r="I46" s="179">
        <f>IFERROR((H46-S46)/S46,"")</f>
        <v/>
      </c>
      <c r="J46" s="180" t="n">
        <v>0.068588</v>
      </c>
      <c r="K46" s="180">
        <f>IFERROR(H46/F46,"")</f>
        <v/>
      </c>
      <c r="L46" s="181">
        <f>IFERROR((K46-W46)*100,"")</f>
        <v/>
      </c>
      <c r="M46" s="178" t="n">
        <v>94</v>
      </c>
      <c r="N46" s="180">
        <f>IFERROR(P46/Q46,"")</f>
        <v/>
      </c>
      <c r="O46" s="180">
        <f>IFERROR(R46/P46,"")</f>
        <v/>
      </c>
      <c r="P46" s="178" t="n">
        <v>231</v>
      </c>
      <c r="Q46" s="178" t="n">
        <v>296</v>
      </c>
      <c r="R46" s="56" t="n">
        <v>184</v>
      </c>
      <c r="S46" s="47" t="n">
        <v>235393.858351</v>
      </c>
      <c r="T46" s="47" t="n">
        <v>1522320</v>
      </c>
      <c r="U46" s="47" t="n">
        <v>22083</v>
      </c>
      <c r="V46" s="47" t="n">
        <v>20076</v>
      </c>
      <c r="W46" s="47">
        <f>IFERROR(S46/T46,"")</f>
        <v/>
      </c>
      <c r="X46" s="47" t="n">
        <v>296</v>
      </c>
      <c r="Y46" s="47" t="n">
        <v>88</v>
      </c>
      <c r="Z46" s="47" t="n">
        <v>216</v>
      </c>
      <c r="AA46" s="47">
        <f>IFERROR((M46-Y46)/Y46,"")</f>
        <v/>
      </c>
      <c r="AB46" s="47">
        <f>IFERROR((U46-T46)/T46,"")</f>
        <v/>
      </c>
      <c r="AC46" s="47" t="n"/>
      <c r="AD46" s="47" t="n"/>
      <c r="AE46" s="47" t="n"/>
    </row>
    <row r="47" ht="14.25" customHeight="1" s="115">
      <c r="A47" s="122" t="n"/>
      <c r="B47" s="174" t="n">
        <v>3</v>
      </c>
      <c r="C47" s="175" t="inlineStr">
        <is>
          <t>MBway</t>
        </is>
      </c>
      <c r="D47" s="176" t="n"/>
      <c r="E47" s="177" t="n"/>
      <c r="F47" s="178" t="n">
        <v>9567455</v>
      </c>
      <c r="G47" s="179">
        <f>IFERROR((F47-T47)/T47,"")</f>
        <v/>
      </c>
      <c r="H47" s="178" t="n">
        <v>1746010.127975</v>
      </c>
      <c r="I47" s="179">
        <f>IFERROR((H47-S47)/S47,"")</f>
        <v/>
      </c>
      <c r="J47" s="180" t="n">
        <v>0.453995</v>
      </c>
      <c r="K47" s="180">
        <f>IFERROR(H47/F47,"")</f>
        <v/>
      </c>
      <c r="L47" s="181">
        <f>IFERROR((K47-W47)*100,"")</f>
        <v/>
      </c>
      <c r="M47" s="178" t="n">
        <v>510</v>
      </c>
      <c r="N47" s="180">
        <f>IFERROR(P47/Q47,"")</f>
        <v/>
      </c>
      <c r="O47" s="180">
        <f>IFERROR(R47/P47,"")</f>
        <v/>
      </c>
      <c r="P47" s="178" t="n">
        <v>1249</v>
      </c>
      <c r="Q47" s="178" t="n">
        <v>1468</v>
      </c>
      <c r="R47" s="56" t="n">
        <v>994</v>
      </c>
      <c r="S47" s="47" t="n">
        <v>1564342.323315</v>
      </c>
      <c r="T47" s="47" t="n">
        <v>9032400</v>
      </c>
      <c r="U47" s="47" t="n">
        <v>166530</v>
      </c>
      <c r="V47" s="47" t="n">
        <v>151390</v>
      </c>
      <c r="W47" s="47">
        <f>IFERROR(S47/T47,"")</f>
        <v/>
      </c>
      <c r="X47" s="47" t="n">
        <v>1468</v>
      </c>
      <c r="Y47" s="47" t="n">
        <v>482</v>
      </c>
      <c r="Z47" s="47" t="n">
        <v>1179</v>
      </c>
      <c r="AA47" s="47">
        <f>IFERROR((M47-Y47)/Y47,"")</f>
        <v/>
      </c>
      <c r="AB47" s="47">
        <f>IFERROR((U47-T47)/T47,"")</f>
        <v/>
      </c>
      <c r="AC47" s="47" t="n"/>
      <c r="AD47" s="47" t="n"/>
      <c r="AE47" s="47" t="n"/>
    </row>
    <row r="48" ht="14.25" customHeight="1" s="115">
      <c r="A48" s="122" t="n"/>
      <c r="B48" s="174" t="n">
        <v>4</v>
      </c>
      <c r="C48" s="175" t="inlineStr">
        <is>
          <t>MBway Bordeaux</t>
        </is>
      </c>
      <c r="D48" s="176" t="n"/>
      <c r="E48" s="177" t="n"/>
      <c r="F48" s="178" t="n">
        <v>1773610</v>
      </c>
      <c r="G48" s="179">
        <f>IFERROR((F48-T48)/T48,"")</f>
        <v/>
      </c>
      <c r="H48" s="178" t="n">
        <v>305136.216562</v>
      </c>
      <c r="I48" s="179">
        <f>IFERROR((H48-S48)/S48,"")</f>
        <v/>
      </c>
      <c r="J48" s="180" t="n">
        <v>0.07933999999999999</v>
      </c>
      <c r="K48" s="180">
        <f>IFERROR(H48/F48,"")</f>
        <v/>
      </c>
      <c r="L48" s="181">
        <f>IFERROR((K48-W48)*100,"")</f>
        <v/>
      </c>
      <c r="M48" s="178" t="n">
        <v>102</v>
      </c>
      <c r="N48" s="180">
        <f>IFERROR(P48/Q48,"")</f>
        <v/>
      </c>
      <c r="O48" s="180">
        <f>IFERROR(R48/P48,"")</f>
        <v/>
      </c>
      <c r="P48" s="178" t="n">
        <v>249</v>
      </c>
      <c r="Q48" s="178" t="n">
        <v>296</v>
      </c>
      <c r="R48" s="56" t="n">
        <v>198</v>
      </c>
      <c r="S48" s="47" t="n">
        <v>271189.27541</v>
      </c>
      <c r="T48" s="47" t="n">
        <v>1666855</v>
      </c>
      <c r="U48" s="47" t="n">
        <v>24923</v>
      </c>
      <c r="V48" s="47" t="n">
        <v>22657</v>
      </c>
      <c r="W48" s="47">
        <f>IFERROR(S48/T48,"")</f>
        <v/>
      </c>
      <c r="X48" s="47" t="n">
        <v>296</v>
      </c>
      <c r="Y48" s="47" t="n">
        <v>96</v>
      </c>
      <c r="Z48" s="47" t="n">
        <v>234</v>
      </c>
      <c r="AA48" s="47">
        <f>IFERROR((M48-Y48)/Y48,"")</f>
        <v/>
      </c>
      <c r="AB48" s="47">
        <f>IFERROR((U48-T48)/T48,"")</f>
        <v/>
      </c>
      <c r="AC48" s="47" t="n"/>
      <c r="AD48" s="47" t="n"/>
      <c r="AE48" s="47" t="n"/>
    </row>
    <row r="49" ht="14.25" customHeight="1" s="115">
      <c r="A49" s="122" t="n"/>
      <c r="B49" s="174" t="n">
        <v>4</v>
      </c>
      <c r="C49" s="175" t="inlineStr">
        <is>
          <t>MBway Lyon</t>
        </is>
      </c>
      <c r="D49" s="176" t="n"/>
      <c r="E49" s="177" t="n"/>
      <c r="F49" s="178" t="n">
        <v>2496705</v>
      </c>
      <c r="G49" s="179">
        <f>IFERROR((F49-T49)/T49,"")</f>
        <v/>
      </c>
      <c r="H49" s="178" t="n">
        <v>456976.670653</v>
      </c>
      <c r="I49" s="179">
        <f>IFERROR((H49-S49)/S49,"")</f>
        <v/>
      </c>
      <c r="J49" s="180" t="n">
        <v>0.118823</v>
      </c>
      <c r="K49" s="180">
        <f>IFERROR(H49/F49,"")</f>
        <v/>
      </c>
      <c r="L49" s="181">
        <f>IFERROR((K49-W49)*100,"")</f>
        <v/>
      </c>
      <c r="M49" s="178" t="n">
        <v>132</v>
      </c>
      <c r="N49" s="180">
        <f>IFERROR(P49/Q49,"")</f>
        <v/>
      </c>
      <c r="O49" s="180">
        <f>IFERROR(R49/P49,"")</f>
        <v/>
      </c>
      <c r="P49" s="178" t="n">
        <v>324</v>
      </c>
      <c r="Q49" s="178" t="n">
        <v>380</v>
      </c>
      <c r="R49" s="56" t="n">
        <v>258</v>
      </c>
      <c r="S49" s="47" t="n">
        <v>406965.870529</v>
      </c>
      <c r="T49" s="47" t="n">
        <v>2342685</v>
      </c>
      <c r="U49" s="47" t="n">
        <v>41783</v>
      </c>
      <c r="V49" s="47" t="n">
        <v>37985</v>
      </c>
      <c r="W49" s="47">
        <f>IFERROR(S49/T49,"")</f>
        <v/>
      </c>
      <c r="X49" s="47" t="n">
        <v>380</v>
      </c>
      <c r="Y49" s="47" t="n">
        <v>124</v>
      </c>
      <c r="Z49" s="47" t="n">
        <v>304</v>
      </c>
      <c r="AA49" s="47">
        <f>IFERROR((M49-Y49)/Y49,"")</f>
        <v/>
      </c>
      <c r="AB49" s="47">
        <f>IFERROR((U49-T49)/T49,"")</f>
        <v/>
      </c>
      <c r="AC49" s="47" t="n"/>
      <c r="AD49" s="47" t="n"/>
      <c r="AE49" s="47" t="n"/>
    </row>
    <row r="50" ht="14.25" customHeight="1" s="115">
      <c r="A50" s="122" t="n"/>
      <c r="B50" s="174" t="n">
        <v>4</v>
      </c>
      <c r="C50" s="175" t="inlineStr">
        <is>
          <t>MBway Nantes</t>
        </is>
      </c>
      <c r="D50" s="176" t="n"/>
      <c r="E50" s="177" t="n"/>
      <c r="F50" s="178" t="n">
        <v>2158300</v>
      </c>
      <c r="G50" s="179">
        <f>IFERROR((F50-T50)/T50,"")</f>
        <v/>
      </c>
      <c r="H50" s="178" t="n">
        <v>384274.75401</v>
      </c>
      <c r="I50" s="179">
        <f>IFERROR((H50-S50)/S50,"")</f>
        <v/>
      </c>
      <c r="J50" s="180" t="n">
        <v>0.09991800000000001</v>
      </c>
      <c r="K50" s="180">
        <f>IFERROR(H50/F50,"")</f>
        <v/>
      </c>
      <c r="L50" s="181">
        <f>IFERROR((K50-W50)*100,"")</f>
        <v/>
      </c>
      <c r="M50" s="178" t="n">
        <v>120</v>
      </c>
      <c r="N50" s="180">
        <f>IFERROR(P50/Q50,"")</f>
        <v/>
      </c>
      <c r="O50" s="180">
        <f>IFERROR(R50/P50,"")</f>
        <v/>
      </c>
      <c r="P50" s="178" t="n">
        <v>294</v>
      </c>
      <c r="Q50" s="178" t="n">
        <v>348</v>
      </c>
      <c r="R50" s="56" t="n">
        <v>234</v>
      </c>
      <c r="S50" s="47" t="n">
        <v>345575.652571</v>
      </c>
      <c r="T50" s="47" t="n">
        <v>2048260</v>
      </c>
      <c r="U50" s="47" t="n">
        <v>31533</v>
      </c>
      <c r="V50" s="47" t="n">
        <v>28666</v>
      </c>
      <c r="W50" s="47">
        <f>IFERROR(S50/T50,"")</f>
        <v/>
      </c>
      <c r="X50" s="47" t="n">
        <v>348</v>
      </c>
      <c r="Y50" s="47" t="n">
        <v>114</v>
      </c>
      <c r="Z50" s="47" t="n">
        <v>279</v>
      </c>
      <c r="AA50" s="47">
        <f>IFERROR((M50-Y50)/Y50,"")</f>
        <v/>
      </c>
      <c r="AB50" s="47">
        <f>IFERROR((U50-T50)/T50,"")</f>
        <v/>
      </c>
      <c r="AC50" s="47" t="n"/>
      <c r="AD50" s="47" t="n"/>
      <c r="AE50" s="47" t="n"/>
    </row>
    <row r="51" ht="14.25" customHeight="1" s="115">
      <c r="A51" s="122" t="n"/>
      <c r="B51" s="174" t="n">
        <v>4</v>
      </c>
      <c r="C51" s="175" t="inlineStr">
        <is>
          <t>MBway Paris</t>
        </is>
      </c>
      <c r="D51" s="176" t="n"/>
      <c r="E51" s="177" t="n"/>
      <c r="F51" s="178" t="n">
        <v>3138840</v>
      </c>
      <c r="G51" s="179">
        <f>IFERROR((F51-T51)/T51,"")</f>
        <v/>
      </c>
      <c r="H51" s="178" t="n">
        <v>599622.48675</v>
      </c>
      <c r="I51" s="179">
        <f>IFERROR((H51-S51)/S51,"")</f>
        <v/>
      </c>
      <c r="J51" s="180" t="n">
        <v>0.155914</v>
      </c>
      <c r="K51" s="180">
        <f>IFERROR(H51/F51,"")</f>
        <v/>
      </c>
      <c r="L51" s="181">
        <f>IFERROR((K51-W51)*100,"")</f>
        <v/>
      </c>
      <c r="M51" s="178" t="n">
        <v>156</v>
      </c>
      <c r="N51" s="180">
        <f>IFERROR(P51/Q51,"")</f>
        <v/>
      </c>
      <c r="O51" s="180">
        <f>IFERROR(R51/P51,"")</f>
        <v/>
      </c>
      <c r="P51" s="178" t="n">
        <v>382</v>
      </c>
      <c r="Q51" s="178" t="n">
        <v>444</v>
      </c>
      <c r="R51" s="56" t="n">
        <v>304</v>
      </c>
      <c r="S51" s="47" t="n">
        <v>540611.5248050001</v>
      </c>
      <c r="T51" s="47" t="n">
        <v>2974600</v>
      </c>
      <c r="U51" s="47" t="n">
        <v>68291</v>
      </c>
      <c r="V51" s="47" t="n">
        <v>62082</v>
      </c>
      <c r="W51" s="47">
        <f>IFERROR(S51/T51,"")</f>
        <v/>
      </c>
      <c r="X51" s="47" t="n">
        <v>444</v>
      </c>
      <c r="Y51" s="47" t="n">
        <v>148</v>
      </c>
      <c r="Z51" s="47" t="n">
        <v>362</v>
      </c>
      <c r="AA51" s="47">
        <f>IFERROR((M51-Y51)/Y51,"")</f>
        <v/>
      </c>
      <c r="AB51" s="47">
        <f>IFERROR((U51-T51)/T51,"")</f>
        <v/>
      </c>
      <c r="AC51" s="47" t="n"/>
      <c r="AD51" s="47" t="n"/>
      <c r="AE51" s="47" t="n"/>
    </row>
    <row r="52" ht="14.25" customHeight="1" s="115">
      <c r="A52" s="122" t="n"/>
      <c r="B52" s="174" t="n">
        <v>3</v>
      </c>
      <c r="C52" s="175" t="inlineStr">
        <is>
          <t>Pigier</t>
        </is>
      </c>
      <c r="D52" s="176" t="n"/>
      <c r="E52" s="177" t="n"/>
      <c r="F52" s="178" t="n">
        <v>2706480</v>
      </c>
      <c r="G52" s="179">
        <f>IFERROR((F52-T52)/T52,"")</f>
        <v/>
      </c>
      <c r="H52" s="178" t="n">
        <v>572262.783809</v>
      </c>
      <c r="I52" s="179">
        <f>IFERROR((H52-S52)/S52,"")</f>
        <v/>
      </c>
      <c r="J52" s="180" t="n">
        <v>0.148799</v>
      </c>
      <c r="K52" s="180">
        <f>IFERROR(H52/F52,"")</f>
        <v/>
      </c>
      <c r="L52" s="181">
        <f>IFERROR((K52-W52)*100,"")</f>
        <v/>
      </c>
      <c r="M52" s="178" t="n">
        <v>164</v>
      </c>
      <c r="N52" s="180">
        <f>IFERROR(P52/Q52,"")</f>
        <v/>
      </c>
      <c r="O52" s="180">
        <f>IFERROR(R52/P52,"")</f>
        <v/>
      </c>
      <c r="P52" s="178" t="n">
        <v>402</v>
      </c>
      <c r="Q52" s="178" t="n">
        <v>624</v>
      </c>
      <c r="R52" s="56" t="n">
        <v>402</v>
      </c>
      <c r="S52" s="47" t="n">
        <v>517400.310864</v>
      </c>
      <c r="T52" s="47" t="n">
        <v>2537610</v>
      </c>
      <c r="U52" s="47" t="n">
        <v>58580</v>
      </c>
      <c r="V52" s="47" t="n">
        <v>53255</v>
      </c>
      <c r="W52" s="47">
        <f>IFERROR(S52/T52,"")</f>
        <v/>
      </c>
      <c r="X52" s="47" t="n">
        <v>624</v>
      </c>
      <c r="Y52" s="47" t="n">
        <v>154</v>
      </c>
      <c r="Z52" s="47" t="n">
        <v>377</v>
      </c>
      <c r="AA52" s="47">
        <f>IFERROR((M52-Y52)/Y52,"")</f>
        <v/>
      </c>
      <c r="AB52" s="47">
        <f>IFERROR((U52-T52)/T52,"")</f>
        <v/>
      </c>
      <c r="AC52" s="47" t="n"/>
      <c r="AD52" s="47" t="n"/>
      <c r="AE52" s="47" t="n"/>
    </row>
    <row r="53" ht="14.25" customHeight="1" s="115">
      <c r="A53" s="122" t="n"/>
      <c r="B53" s="174" t="n">
        <v>4</v>
      </c>
      <c r="C53" s="175" t="inlineStr">
        <is>
          <t>Pigier Bordeaux</t>
        </is>
      </c>
      <c r="D53" s="176" t="n"/>
      <c r="E53" s="177" t="n"/>
      <c r="F53" s="178" t="n">
        <v>1132650</v>
      </c>
      <c r="G53" s="179">
        <f>IFERROR((F53-T53)/T53,"")</f>
        <v/>
      </c>
      <c r="H53" s="178" t="n">
        <v>232243.363153</v>
      </c>
      <c r="I53" s="179">
        <f>IFERROR((H53-S53)/S53,"")</f>
        <v/>
      </c>
      <c r="J53" s="180" t="n">
        <v>0.060387</v>
      </c>
      <c r="K53" s="180">
        <f>IFERROR(H53/F53,"")</f>
        <v/>
      </c>
      <c r="L53" s="181">
        <f>IFERROR((K53-W53)*100,"")</f>
        <v/>
      </c>
      <c r="M53" s="178" t="n">
        <v>72</v>
      </c>
      <c r="N53" s="180">
        <f>IFERROR(P53/Q53,"")</f>
        <v/>
      </c>
      <c r="O53" s="180">
        <f>IFERROR(R53/P53,"")</f>
        <v/>
      </c>
      <c r="P53" s="178" t="n">
        <v>176</v>
      </c>
      <c r="Q53" s="178" t="n">
        <v>312</v>
      </c>
      <c r="R53" s="56" t="n">
        <v>176</v>
      </c>
      <c r="S53" s="47" t="n">
        <v>210971.206692</v>
      </c>
      <c r="T53" s="47" t="n">
        <v>1068270</v>
      </c>
      <c r="U53" s="47" t="n">
        <v>21968</v>
      </c>
      <c r="V53" s="47" t="n">
        <v>19971</v>
      </c>
      <c r="W53" s="47">
        <f>IFERROR(S53/T53,"")</f>
        <v/>
      </c>
      <c r="X53" s="47" t="n">
        <v>312</v>
      </c>
      <c r="Y53" s="47" t="n">
        <v>68</v>
      </c>
      <c r="Z53" s="47" t="n">
        <v>166</v>
      </c>
      <c r="AA53" s="47">
        <f>IFERROR((M53-Y53)/Y53,"")</f>
        <v/>
      </c>
      <c r="AB53" s="47">
        <f>IFERROR((U53-T53)/T53,"")</f>
        <v/>
      </c>
      <c r="AC53" s="47" t="n"/>
      <c r="AD53" s="47" t="n"/>
      <c r="AE53" s="47" t="n"/>
    </row>
    <row r="54" ht="14.25" customHeight="1" s="115">
      <c r="A54" s="122" t="n"/>
      <c r="B54" s="174" t="n">
        <v>4</v>
      </c>
      <c r="C54" s="175" t="inlineStr">
        <is>
          <t>Pigier Lyon</t>
        </is>
      </c>
      <c r="D54" s="176" t="n"/>
      <c r="E54" s="177" t="n"/>
      <c r="F54" s="178" t="n">
        <v>1573830</v>
      </c>
      <c r="G54" s="179">
        <f>IFERROR((F54-T54)/T54,"")</f>
        <v/>
      </c>
      <c r="H54" s="178" t="n">
        <v>340019.420656</v>
      </c>
      <c r="I54" s="179">
        <f>IFERROR((H54-S54)/S54,"")</f>
        <v/>
      </c>
      <c r="J54" s="180" t="n">
        <v>0.088412</v>
      </c>
      <c r="K54" s="180">
        <f>IFERROR(H54/F54,"")</f>
        <v/>
      </c>
      <c r="L54" s="181">
        <f>IFERROR((K54-W54)*100,"")</f>
        <v/>
      </c>
      <c r="M54" s="178" t="n">
        <v>92</v>
      </c>
      <c r="N54" s="180">
        <f>IFERROR(P54/Q54,"")</f>
        <v/>
      </c>
      <c r="O54" s="180">
        <f>IFERROR(R54/P54,"")</f>
        <v/>
      </c>
      <c r="P54" s="178" t="n">
        <v>226</v>
      </c>
      <c r="Q54" s="178" t="n">
        <v>312</v>
      </c>
      <c r="R54" s="56" t="n">
        <v>226</v>
      </c>
      <c r="S54" s="47" t="n">
        <v>306429.104172</v>
      </c>
      <c r="T54" s="47" t="n">
        <v>1469340</v>
      </c>
      <c r="U54" s="47" t="n">
        <v>36612</v>
      </c>
      <c r="V54" s="47" t="n">
        <v>33284</v>
      </c>
      <c r="W54" s="47">
        <f>IFERROR(S54/T54,"")</f>
        <v/>
      </c>
      <c r="X54" s="47" t="n">
        <v>312</v>
      </c>
      <c r="Y54" s="47" t="n">
        <v>86</v>
      </c>
      <c r="Z54" s="47" t="n">
        <v>211</v>
      </c>
      <c r="AA54" s="47">
        <f>IFERROR((M54-Y54)/Y54,"")</f>
        <v/>
      </c>
      <c r="AB54" s="47">
        <f>IFERROR((U54-T54)/T54,"")</f>
        <v/>
      </c>
      <c r="AC54" s="47" t="n"/>
      <c r="AD54" s="47" t="n"/>
      <c r="AE54" s="47" t="n"/>
    </row>
    <row r="55" ht="14.25" customHeight="1" s="115">
      <c r="A55" s="122" t="n"/>
      <c r="B55" s="174" t="n">
        <v>3</v>
      </c>
      <c r="C55" s="175" t="inlineStr">
        <is>
          <t>Tunon</t>
        </is>
      </c>
      <c r="D55" s="176" t="n"/>
      <c r="E55" s="177" t="n"/>
      <c r="F55" s="178" t="n">
        <v>1949700</v>
      </c>
      <c r="G55" s="179">
        <f>IFERROR((F55-T55)/T55,"")</f>
        <v/>
      </c>
      <c r="H55" s="178" t="n">
        <v>81727.988574</v>
      </c>
      <c r="I55" s="179">
        <f>IFERROR((H55-S55)/S55,"")</f>
        <v/>
      </c>
      <c r="J55" s="180" t="n">
        <v>0.02125</v>
      </c>
      <c r="K55" s="180">
        <f>IFERROR(H55/F55,"")</f>
        <v/>
      </c>
      <c r="L55" s="181">
        <f>IFERROR((K55-W55)*100,"")</f>
        <v/>
      </c>
      <c r="M55" s="178" t="n">
        <v>87</v>
      </c>
      <c r="N55" s="180">
        <f>IFERROR(P55/Q55,"")</f>
        <v/>
      </c>
      <c r="O55" s="180">
        <f>IFERROR(R55/P55,"")</f>
        <v/>
      </c>
      <c r="P55" s="178" t="n">
        <v>255</v>
      </c>
      <c r="Q55" s="178" t="n">
        <v>384</v>
      </c>
      <c r="R55" s="56" t="n">
        <v>255</v>
      </c>
      <c r="S55" s="47" t="n">
        <v>97532.64813099999</v>
      </c>
      <c r="T55" s="47" t="n">
        <v>1834590</v>
      </c>
      <c r="U55" s="47" t="n">
        <v>49090</v>
      </c>
      <c r="V55" s="47" t="n">
        <v>44627</v>
      </c>
      <c r="W55" s="47">
        <f>IFERROR(S55/T55,"")</f>
        <v/>
      </c>
      <c r="X55" s="47" t="n">
        <v>384</v>
      </c>
      <c r="Y55" s="47" t="n">
        <v>82</v>
      </c>
      <c r="Z55" s="47" t="n">
        <v>240</v>
      </c>
      <c r="AA55" s="47">
        <f>IFERROR((M55-Y55)/Y55,"")</f>
        <v/>
      </c>
      <c r="AB55" s="47">
        <f>IFERROR((U55-T55)/T55,"")</f>
        <v/>
      </c>
      <c r="AC55" s="47" t="n"/>
      <c r="AD55" s="47" t="n"/>
      <c r="AE55" s="47" t="n"/>
    </row>
    <row r="56" ht="14.25" customHeight="1" s="115">
      <c r="A56" s="122" t="n"/>
      <c r="B56" s="174" t="n">
        <v>4</v>
      </c>
      <c r="C56" s="175" t="inlineStr">
        <is>
          <t>Tunon Lyon</t>
        </is>
      </c>
      <c r="D56" s="176" t="n"/>
      <c r="E56" s="177" t="n"/>
      <c r="F56" s="178" t="n">
        <v>863550</v>
      </c>
      <c r="G56" s="179">
        <f>IFERROR((F56-T56)/T56,"")</f>
        <v/>
      </c>
      <c r="H56" s="178" t="n">
        <v>32830.609502</v>
      </c>
      <c r="I56" s="179">
        <f>IFERROR((H56-S56)/S56,"")</f>
        <v/>
      </c>
      <c r="J56" s="180" t="n">
        <v>0.008536</v>
      </c>
      <c r="K56" s="180">
        <f>IFERROR(H56/F56,"")</f>
        <v/>
      </c>
      <c r="L56" s="181">
        <f>IFERROR((K56-W56)*100,"")</f>
        <v/>
      </c>
      <c r="M56" s="178" t="n">
        <v>40</v>
      </c>
      <c r="N56" s="180">
        <f>IFERROR(P56/Q56,"")</f>
        <v/>
      </c>
      <c r="O56" s="180">
        <f>IFERROR(R56/P56,"")</f>
        <v/>
      </c>
      <c r="P56" s="178" t="n">
        <v>117</v>
      </c>
      <c r="Q56" s="178" t="n">
        <v>192</v>
      </c>
      <c r="R56" s="56" t="n">
        <v>117</v>
      </c>
      <c r="S56" s="47" t="n">
        <v>40371.893523</v>
      </c>
      <c r="T56" s="47" t="n">
        <v>819270</v>
      </c>
      <c r="U56" s="47" t="n">
        <v>18850</v>
      </c>
      <c r="V56" s="47" t="n">
        <v>17136</v>
      </c>
      <c r="W56" s="47">
        <f>IFERROR(S56/T56,"")</f>
        <v/>
      </c>
      <c r="X56" s="47" t="n">
        <v>192</v>
      </c>
      <c r="Y56" s="47" t="n">
        <v>38</v>
      </c>
      <c r="Z56" s="47" t="n">
        <v>111</v>
      </c>
      <c r="AA56" s="47">
        <f>IFERROR((M56-Y56)/Y56,"")</f>
        <v/>
      </c>
      <c r="AB56" s="47">
        <f>IFERROR((U56-T56)/T56,"")</f>
        <v/>
      </c>
      <c r="AC56" s="47" t="n"/>
      <c r="AD56" s="47" t="n"/>
      <c r="AE56" s="47" t="n"/>
    </row>
    <row r="57" ht="14.25" customHeight="1" s="115">
      <c r="A57" s="122" t="n"/>
      <c r="B57" s="174" t="n">
        <v>4</v>
      </c>
      <c r="C57" s="175" t="inlineStr">
        <is>
          <t>Tunon Paris</t>
        </is>
      </c>
      <c r="D57" s="176" t="n"/>
      <c r="E57" s="177" t="n"/>
      <c r="F57" s="178" t="n">
        <v>1086150</v>
      </c>
      <c r="G57" s="179">
        <f>IFERROR((F57-T57)/T57,"")</f>
        <v/>
      </c>
      <c r="H57" s="178" t="n">
        <v>48897.379072</v>
      </c>
      <c r="I57" s="179">
        <f>IFERROR((H57-S57)/S57,"")</f>
        <v/>
      </c>
      <c r="J57" s="180" t="n">
        <v>0.012714</v>
      </c>
      <c r="K57" s="180">
        <f>IFERROR(H57/F57,"")</f>
        <v/>
      </c>
      <c r="L57" s="181">
        <f>IFERROR((K57-W57)*100,"")</f>
        <v/>
      </c>
      <c r="M57" s="178" t="n">
        <v>47</v>
      </c>
      <c r="N57" s="180">
        <f>IFERROR(P57/Q57,"")</f>
        <v/>
      </c>
      <c r="O57" s="180">
        <f>IFERROR(R57/P57,"")</f>
        <v/>
      </c>
      <c r="P57" s="178" t="n">
        <v>138</v>
      </c>
      <c r="Q57" s="178" t="n">
        <v>192</v>
      </c>
      <c r="R57" s="56" t="n">
        <v>138</v>
      </c>
      <c r="S57" s="47" t="n">
        <v>57160.754608</v>
      </c>
      <c r="T57" s="47" t="n">
        <v>1015320</v>
      </c>
      <c r="U57" s="47" t="n">
        <v>30240</v>
      </c>
      <c r="V57" s="47" t="n">
        <v>27491</v>
      </c>
      <c r="W57" s="47">
        <f>IFERROR(S57/T57,"")</f>
        <v/>
      </c>
      <c r="X57" s="47" t="n">
        <v>192</v>
      </c>
      <c r="Y57" s="47" t="n">
        <v>44</v>
      </c>
      <c r="Z57" s="47" t="n">
        <v>129</v>
      </c>
      <c r="AA57" s="47">
        <f>IFERROR((M57-Y57)/Y57,"")</f>
        <v/>
      </c>
      <c r="AB57" s="47">
        <f>IFERROR((U57-T57)/T57,"")</f>
        <v/>
      </c>
      <c r="AC57" s="47" t="n"/>
      <c r="AD57" s="47" t="n"/>
      <c r="AE57" s="47" t="n"/>
    </row>
    <row r="58" ht="14.25" customHeight="1" s="115">
      <c r="A58" s="122" t="n"/>
      <c r="B58" s="184" t="n"/>
      <c r="C58" s="185" t="n"/>
      <c r="D58" s="186" t="n"/>
      <c r="E58" s="186" t="n"/>
      <c r="F58" s="178" t="n"/>
      <c r="G58" s="179" t="n"/>
      <c r="H58" s="178" t="n"/>
      <c r="I58" s="179" t="n"/>
      <c r="J58" s="180" t="n"/>
      <c r="K58" s="180" t="n"/>
      <c r="L58" s="181" t="n"/>
      <c r="M58" s="178" t="n"/>
      <c r="N58" s="180" t="n"/>
      <c r="O58" s="180" t="n"/>
      <c r="P58" s="178" t="n"/>
      <c r="Q58" s="178" t="n"/>
      <c r="R58" s="56" t="n"/>
      <c r="S58" s="47" t="n"/>
      <c r="T58" s="47" t="n"/>
      <c r="U58" s="47" t="n"/>
      <c r="V58" s="47" t="n"/>
      <c r="W58" s="47" t="n"/>
      <c r="X58" s="47" t="n"/>
      <c r="Y58" s="47" t="n"/>
      <c r="Z58" s="47" t="n"/>
      <c r="AA58" s="47" t="n"/>
      <c r="AB58" s="47" t="n"/>
      <c r="AC58" s="47" t="n"/>
      <c r="AD58" s="47" t="n"/>
      <c r="AE58" s="47" t="n"/>
    </row>
    <row r="59" ht="14.25" customHeight="1" s="115">
      <c r="A59" s="122" t="n"/>
      <c r="B59" s="184" t="n"/>
      <c r="C59" s="185" t="n"/>
      <c r="D59" s="186" t="n"/>
      <c r="E59" s="186" t="n"/>
      <c r="F59" s="178" t="n"/>
      <c r="G59" s="179" t="n"/>
      <c r="H59" s="178" t="n"/>
      <c r="I59" s="179" t="n"/>
      <c r="J59" s="180" t="n"/>
      <c r="K59" s="180" t="n"/>
      <c r="L59" s="181" t="n"/>
      <c r="M59" s="178" t="n"/>
      <c r="N59" s="180" t="n"/>
      <c r="O59" s="180" t="n"/>
      <c r="P59" s="178" t="n"/>
      <c r="Q59" s="178" t="n"/>
      <c r="R59" s="56" t="n"/>
      <c r="S59" s="47" t="n"/>
      <c r="T59" s="47" t="n"/>
      <c r="U59" s="47" t="n"/>
      <c r="V59" s="47" t="n"/>
      <c r="W59" s="47" t="n"/>
      <c r="X59" s="47" t="n"/>
      <c r="Y59" s="47" t="n"/>
      <c r="Z59" s="47" t="n"/>
      <c r="AA59" s="47" t="n"/>
      <c r="AB59" s="47" t="n"/>
      <c r="AC59" s="47" t="n"/>
      <c r="AD59" s="47" t="n"/>
      <c r="AE59" s="47" t="n"/>
    </row>
    <row r="60" ht="14.25" customHeight="1" s="115">
      <c r="A60" s="122" t="n"/>
      <c r="B60" s="184" t="n"/>
      <c r="C60" s="187" t="inlineStr">
        <is>
          <t>Source : V_ALLOCATION et AW_002_000002_000001. Marges, remplissage et coût d'acquisition sont divisés après somme, jamais moyennés.</t>
        </is>
      </c>
      <c r="D60" s="186" t="n"/>
      <c r="E60" s="186" t="n"/>
      <c r="F60" s="178" t="n"/>
      <c r="G60" s="179" t="n"/>
      <c r="H60" s="178" t="n"/>
      <c r="I60" s="179" t="n"/>
      <c r="J60" s="180" t="n"/>
      <c r="K60" s="180" t="n"/>
      <c r="L60" s="181" t="n"/>
      <c r="M60" s="178" t="n"/>
      <c r="N60" s="180" t="n"/>
      <c r="O60" s="180" t="n"/>
      <c r="P60" s="178" t="n"/>
      <c r="Q60" s="178" t="n"/>
      <c r="R60" s="56" t="n"/>
      <c r="S60" s="47" t="n"/>
      <c r="T60" s="47" t="n"/>
      <c r="U60" s="47" t="n"/>
      <c r="V60" s="47" t="n"/>
      <c r="W60" s="47" t="n"/>
      <c r="X60" s="47" t="n"/>
      <c r="Y60" s="47" t="n"/>
      <c r="Z60" s="47" t="n"/>
      <c r="AA60" s="47" t="n"/>
      <c r="AB60" s="47" t="n"/>
      <c r="AC60" s="47" t="n"/>
      <c r="AD60" s="47" t="n"/>
      <c r="AE60" s="47" t="n"/>
    </row>
    <row r="61" ht="14.25" customHeight="1" s="115">
      <c r="A61" s="122" t="n"/>
      <c r="B61" s="184" t="n"/>
      <c r="C61" s="185" t="n"/>
      <c r="D61" s="186" t="n"/>
      <c r="E61" s="186" t="n"/>
      <c r="F61" s="178" t="n"/>
      <c r="G61" s="179" t="n"/>
      <c r="H61" s="178" t="n"/>
      <c r="I61" s="179" t="n"/>
      <c r="J61" s="180" t="n"/>
      <c r="K61" s="180" t="n"/>
      <c r="L61" s="181" t="n"/>
      <c r="M61" s="178" t="n"/>
      <c r="N61" s="180" t="n"/>
      <c r="O61" s="180" t="n"/>
      <c r="P61" s="178" t="n"/>
      <c r="Q61" s="178" t="n"/>
      <c r="R61" s="56" t="n"/>
    </row>
    <row r="62" ht="14.25" customHeight="1" s="115">
      <c r="A62" s="122" t="n"/>
      <c r="B62" s="184" t="n"/>
      <c r="C62" s="185" t="n"/>
      <c r="D62" s="186" t="n"/>
      <c r="E62" s="186" t="n"/>
      <c r="F62" s="178" t="n"/>
      <c r="G62" s="179" t="n"/>
      <c r="H62" s="178" t="n"/>
      <c r="I62" s="179" t="n"/>
      <c r="J62" s="180" t="n"/>
      <c r="K62" s="180" t="n"/>
      <c r="L62" s="181" t="n"/>
      <c r="M62" s="178" t="n"/>
      <c r="N62" s="180" t="n"/>
      <c r="O62" s="180" t="n"/>
      <c r="P62" s="178" t="n"/>
      <c r="Q62" s="178" t="n"/>
      <c r="R62" s="56" t="n"/>
    </row>
    <row r="63" ht="14.25" customHeight="1" s="115">
      <c r="A63" s="122" t="n"/>
      <c r="B63" s="184" t="n"/>
      <c r="C63" s="185" t="n"/>
      <c r="D63" s="186" t="n"/>
      <c r="E63" s="186" t="n"/>
      <c r="F63" s="178" t="n"/>
      <c r="G63" s="179" t="n"/>
      <c r="H63" s="178" t="n"/>
      <c r="I63" s="179" t="n"/>
      <c r="J63" s="180" t="n"/>
      <c r="K63" s="180" t="n"/>
      <c r="L63" s="181" t="n"/>
      <c r="M63" s="178" t="n"/>
      <c r="N63" s="180" t="n"/>
      <c r="O63" s="180" t="n"/>
      <c r="P63" s="178" t="n"/>
      <c r="Q63" s="178" t="n"/>
      <c r="R63" s="56" t="n"/>
    </row>
    <row r="64" ht="14.25" customHeight="1" s="115">
      <c r="A64" s="122" t="n"/>
      <c r="B64" s="184" t="n"/>
      <c r="C64" s="185" t="n"/>
      <c r="D64" s="186" t="n"/>
      <c r="E64" s="186" t="n"/>
      <c r="F64" s="178" t="n"/>
      <c r="G64" s="179" t="n"/>
      <c r="H64" s="178" t="n"/>
      <c r="I64" s="179" t="n"/>
      <c r="J64" s="180" t="n"/>
      <c r="K64" s="180" t="n"/>
      <c r="L64" s="181" t="n"/>
      <c r="M64" s="178" t="n"/>
      <c r="N64" s="180" t="n"/>
      <c r="O64" s="180" t="n"/>
      <c r="P64" s="178" t="n"/>
      <c r="Q64" s="178" t="n"/>
      <c r="R64" s="56" t="n"/>
    </row>
    <row r="65" ht="14.25" customHeight="1" s="115">
      <c r="A65" s="122" t="n"/>
      <c r="B65" s="184" t="n"/>
      <c r="C65" s="185" t="n"/>
      <c r="D65" s="186" t="n"/>
      <c r="E65" s="186" t="n"/>
      <c r="F65" s="178" t="n"/>
      <c r="G65" s="179" t="n"/>
      <c r="H65" s="178" t="n"/>
      <c r="I65" s="179" t="n"/>
      <c r="J65" s="180" t="n"/>
      <c r="K65" s="180" t="n"/>
      <c r="L65" s="181" t="n"/>
      <c r="M65" s="178" t="n"/>
      <c r="N65" s="180" t="n"/>
      <c r="O65" s="180" t="n"/>
      <c r="P65" s="178" t="n"/>
      <c r="Q65" s="178" t="n"/>
      <c r="R65" s="56" t="n"/>
    </row>
    <row r="66" ht="14.25" customHeight="1" s="115">
      <c r="A66" s="122" t="n"/>
      <c r="B66" s="184" t="n"/>
      <c r="C66" s="185" t="n"/>
      <c r="D66" s="186" t="n"/>
      <c r="E66" s="186" t="n"/>
      <c r="F66" s="178" t="n"/>
      <c r="G66" s="179" t="n"/>
      <c r="H66" s="178" t="n"/>
      <c r="I66" s="179" t="n"/>
      <c r="J66" s="180" t="n"/>
      <c r="K66" s="180" t="n"/>
      <c r="L66" s="181" t="n"/>
      <c r="M66" s="178" t="n"/>
      <c r="N66" s="180" t="n"/>
      <c r="O66" s="180" t="n"/>
      <c r="P66" s="178" t="n"/>
      <c r="Q66" s="178" t="n"/>
      <c r="R66" s="56" t="n"/>
    </row>
    <row r="67" ht="14.25" customHeight="1" s="115">
      <c r="A67" s="122" t="n"/>
      <c r="B67" s="184" t="n"/>
      <c r="C67" s="185" t="n"/>
      <c r="D67" s="186" t="n"/>
      <c r="E67" s="186" t="n"/>
      <c r="F67" s="178" t="n"/>
      <c r="G67" s="179" t="n"/>
      <c r="H67" s="178" t="n"/>
      <c r="I67" s="179" t="n"/>
      <c r="J67" s="180" t="n"/>
      <c r="K67" s="180" t="n"/>
      <c r="L67" s="181" t="n"/>
      <c r="M67" s="178" t="n"/>
      <c r="N67" s="180" t="n"/>
      <c r="O67" s="180" t="n"/>
      <c r="P67" s="178" t="n"/>
      <c r="Q67" s="178" t="n"/>
      <c r="R67" s="56" t="n"/>
    </row>
    <row r="68" ht="14.25" customHeight="1" s="115">
      <c r="A68" s="122" t="n"/>
      <c r="B68" s="184" t="n"/>
      <c r="C68" s="185" t="n"/>
      <c r="D68" s="186" t="n"/>
      <c r="E68" s="186" t="n"/>
      <c r="F68" s="178" t="n"/>
      <c r="G68" s="179" t="n"/>
      <c r="H68" s="178" t="n"/>
      <c r="I68" s="179" t="n"/>
      <c r="J68" s="180" t="n"/>
      <c r="K68" s="180" t="n"/>
      <c r="L68" s="181" t="n"/>
      <c r="M68" s="178" t="n"/>
      <c r="N68" s="180" t="n"/>
      <c r="O68" s="180" t="n"/>
      <c r="P68" s="178" t="n"/>
      <c r="Q68" s="178" t="n"/>
      <c r="R68" s="56" t="n"/>
    </row>
    <row r="69" ht="14.25" customHeight="1" s="115">
      <c r="A69" s="122" t="n"/>
      <c r="B69" s="184" t="n"/>
      <c r="C69" s="185" t="n"/>
      <c r="D69" s="186" t="n"/>
      <c r="E69" s="186" t="n"/>
      <c r="F69" s="178" t="n"/>
      <c r="G69" s="179" t="n"/>
      <c r="H69" s="178" t="n"/>
      <c r="I69" s="179" t="n"/>
      <c r="J69" s="180" t="n"/>
      <c r="K69" s="180" t="n"/>
      <c r="L69" s="181" t="n"/>
      <c r="M69" s="178" t="n"/>
      <c r="N69" s="180" t="n"/>
      <c r="O69" s="180" t="n"/>
      <c r="P69" s="178" t="n"/>
      <c r="Q69" s="178" t="n"/>
      <c r="R69" s="56" t="n"/>
    </row>
    <row r="70" ht="14.25" customHeight="1" s="115">
      <c r="A70" s="122" t="n"/>
      <c r="B70" s="184" t="n"/>
      <c r="C70" s="185" t="n"/>
      <c r="D70" s="186" t="n"/>
      <c r="E70" s="186" t="n"/>
      <c r="F70" s="178" t="n"/>
      <c r="G70" s="179" t="n"/>
      <c r="H70" s="178" t="n"/>
      <c r="I70" s="179" t="n"/>
      <c r="J70" s="180" t="n"/>
      <c r="K70" s="180" t="n"/>
      <c r="L70" s="181" t="n"/>
      <c r="M70" s="178" t="n"/>
      <c r="N70" s="180" t="n"/>
      <c r="O70" s="180" t="n"/>
      <c r="P70" s="178" t="n"/>
      <c r="Q70" s="178" t="n"/>
      <c r="R70" s="56" t="n"/>
    </row>
    <row r="71" ht="14.25" customHeight="1" s="115">
      <c r="A71" s="122" t="n"/>
      <c r="B71" s="184" t="n"/>
      <c r="C71" s="185" t="n"/>
      <c r="D71" s="186" t="n"/>
      <c r="E71" s="186" t="n"/>
      <c r="F71" s="178" t="n"/>
      <c r="G71" s="179" t="n"/>
      <c r="H71" s="178" t="n"/>
      <c r="I71" s="179" t="n"/>
      <c r="J71" s="180" t="n"/>
      <c r="K71" s="180" t="n"/>
      <c r="L71" s="181" t="n"/>
      <c r="M71" s="178" t="n"/>
      <c r="N71" s="180" t="n"/>
      <c r="O71" s="180" t="n"/>
      <c r="P71" s="178" t="n"/>
      <c r="Q71" s="178" t="n"/>
      <c r="R71" s="56" t="n"/>
    </row>
    <row r="72" ht="14.25" customHeight="1" s="115">
      <c r="A72" s="122" t="n"/>
      <c r="B72" s="184" t="n"/>
      <c r="C72" s="185" t="n"/>
      <c r="D72" s="186" t="n"/>
      <c r="E72" s="186" t="n"/>
      <c r="F72" s="178" t="n"/>
      <c r="G72" s="179" t="n"/>
      <c r="H72" s="178" t="n"/>
      <c r="I72" s="179" t="n"/>
      <c r="J72" s="180" t="n"/>
      <c r="K72" s="180" t="n"/>
      <c r="L72" s="181" t="n"/>
      <c r="M72" s="178" t="n"/>
      <c r="N72" s="180" t="n"/>
      <c r="O72" s="180" t="n"/>
      <c r="P72" s="178" t="n"/>
      <c r="Q72" s="178" t="n"/>
      <c r="R72" s="56" t="n"/>
    </row>
    <row r="73" ht="14.25" customHeight="1" s="115">
      <c r="A73" s="122" t="n"/>
      <c r="B73" s="184" t="n"/>
      <c r="C73" s="185" t="n"/>
      <c r="D73" s="186" t="n"/>
      <c r="E73" s="186" t="n"/>
      <c r="F73" s="178" t="n"/>
      <c r="G73" s="179" t="n"/>
      <c r="H73" s="178" t="n"/>
      <c r="I73" s="179" t="n"/>
      <c r="J73" s="180" t="n"/>
      <c r="K73" s="180" t="n"/>
      <c r="L73" s="181" t="n"/>
      <c r="M73" s="178" t="n"/>
      <c r="N73" s="180" t="n"/>
      <c r="O73" s="180" t="n"/>
      <c r="P73" s="178" t="n"/>
      <c r="Q73" s="178" t="n"/>
      <c r="R73" s="56" t="n"/>
    </row>
    <row r="74" ht="14.25" customHeight="1" s="115">
      <c r="A74" s="122" t="n"/>
      <c r="B74" s="184" t="n"/>
      <c r="C74" s="185" t="n"/>
      <c r="D74" s="186" t="n"/>
      <c r="E74" s="186" t="n"/>
      <c r="F74" s="178" t="n"/>
      <c r="G74" s="179" t="n"/>
      <c r="H74" s="178" t="n"/>
      <c r="I74" s="179" t="n"/>
      <c r="J74" s="180" t="n"/>
      <c r="K74" s="180" t="n"/>
      <c r="L74" s="181" t="n"/>
      <c r="M74" s="178" t="n"/>
      <c r="N74" s="180" t="n"/>
      <c r="O74" s="180" t="n"/>
      <c r="P74" s="178" t="n"/>
      <c r="Q74" s="178" t="n"/>
      <c r="R74" s="56" t="n"/>
    </row>
    <row r="75" ht="14.25" customHeight="1" s="115">
      <c r="A75" s="122" t="n"/>
      <c r="B75" s="184" t="n"/>
      <c r="C75" s="185" t="n"/>
      <c r="D75" s="186" t="n"/>
      <c r="E75" s="186" t="n"/>
      <c r="F75" s="178" t="n"/>
      <c r="G75" s="179" t="n"/>
      <c r="H75" s="178" t="n"/>
      <c r="I75" s="179" t="n"/>
      <c r="J75" s="180" t="n"/>
      <c r="K75" s="180" t="n"/>
      <c r="L75" s="181" t="n"/>
      <c r="M75" s="178" t="n"/>
      <c r="N75" s="180" t="n"/>
      <c r="O75" s="180" t="n"/>
      <c r="P75" s="178" t="n"/>
      <c r="Q75" s="178" t="n"/>
      <c r="R75" s="56" t="n"/>
    </row>
    <row r="76" ht="14.25" customHeight="1" s="115">
      <c r="A76" s="122" t="n"/>
      <c r="B76" s="184" t="n"/>
      <c r="C76" s="185" t="n"/>
      <c r="D76" s="186" t="n"/>
      <c r="E76" s="186" t="n"/>
      <c r="F76" s="178" t="n"/>
      <c r="G76" s="179" t="n"/>
      <c r="H76" s="178" t="n"/>
      <c r="I76" s="179" t="n"/>
      <c r="J76" s="180" t="n"/>
      <c r="K76" s="180" t="n"/>
      <c r="L76" s="181" t="n"/>
      <c r="M76" s="178" t="n"/>
      <c r="N76" s="180" t="n"/>
      <c r="O76" s="180" t="n"/>
      <c r="P76" s="178" t="n"/>
      <c r="Q76" s="178" t="n"/>
      <c r="R76" s="56" t="n"/>
    </row>
    <row r="77" ht="14.25" customHeight="1" s="115">
      <c r="A77" s="122" t="n"/>
      <c r="B77" s="184" t="n"/>
      <c r="C77" s="185" t="n"/>
      <c r="D77" s="186" t="n"/>
      <c r="E77" s="186" t="n"/>
      <c r="F77" s="178" t="n"/>
      <c r="G77" s="179" t="n"/>
      <c r="H77" s="178" t="n"/>
      <c r="I77" s="179" t="n"/>
      <c r="J77" s="180" t="n"/>
      <c r="K77" s="180" t="n"/>
      <c r="L77" s="181" t="n"/>
      <c r="M77" s="178" t="n"/>
      <c r="N77" s="180" t="n"/>
      <c r="O77" s="180" t="n"/>
      <c r="P77" s="178" t="n"/>
      <c r="Q77" s="178" t="n"/>
      <c r="R77" s="56" t="n"/>
    </row>
    <row r="78" ht="14.25" customHeight="1" s="115">
      <c r="A78" s="122" t="n"/>
      <c r="B78" s="184" t="n"/>
      <c r="C78" s="185" t="n"/>
      <c r="D78" s="186" t="n"/>
      <c r="E78" s="186" t="n"/>
      <c r="F78" s="178" t="n"/>
      <c r="G78" s="179" t="n"/>
      <c r="H78" s="178" t="n"/>
      <c r="I78" s="179" t="n"/>
      <c r="J78" s="180" t="n"/>
      <c r="K78" s="180" t="n"/>
      <c r="L78" s="181" t="n"/>
      <c r="M78" s="178" t="n"/>
      <c r="N78" s="180" t="n"/>
      <c r="O78" s="180" t="n"/>
      <c r="P78" s="178" t="n"/>
      <c r="Q78" s="178" t="n"/>
      <c r="R78" s="56" t="n"/>
    </row>
    <row r="79" ht="14.25" customHeight="1" s="115">
      <c r="A79" s="122" t="n"/>
      <c r="B79" s="184" t="n"/>
      <c r="C79" s="185" t="n"/>
      <c r="D79" s="186" t="n"/>
      <c r="E79" s="186" t="n"/>
      <c r="F79" s="178" t="n"/>
      <c r="G79" s="179" t="n"/>
      <c r="H79" s="178" t="n"/>
      <c r="I79" s="179" t="n"/>
      <c r="J79" s="180" t="n"/>
      <c r="K79" s="180" t="n"/>
      <c r="L79" s="181" t="n"/>
      <c r="M79" s="178" t="n"/>
      <c r="N79" s="180" t="n"/>
      <c r="O79" s="180" t="n"/>
      <c r="P79" s="178" t="n"/>
      <c r="Q79" s="178" t="n"/>
      <c r="R79" s="56" t="n"/>
    </row>
    <row r="80" ht="14.25" customHeight="1" s="115">
      <c r="A80" s="122" t="n"/>
      <c r="B80" s="184" t="n"/>
      <c r="C80" s="185" t="n"/>
      <c r="D80" s="186" t="n"/>
      <c r="E80" s="186" t="n"/>
      <c r="F80" s="178" t="n"/>
      <c r="G80" s="179" t="n"/>
      <c r="H80" s="178" t="n"/>
      <c r="I80" s="179" t="n"/>
      <c r="J80" s="180" t="n"/>
      <c r="K80" s="180" t="n"/>
      <c r="L80" s="181" t="n"/>
      <c r="M80" s="178" t="n"/>
      <c r="N80" s="180" t="n"/>
      <c r="O80" s="180" t="n"/>
      <c r="P80" s="178" t="n"/>
      <c r="Q80" s="178" t="n"/>
      <c r="R80" s="56" t="n"/>
    </row>
    <row r="81" ht="14.25" customHeight="1" s="115">
      <c r="A81" s="122" t="n"/>
      <c r="B81" s="184" t="n"/>
      <c r="C81" s="185" t="n"/>
      <c r="D81" s="186" t="n"/>
      <c r="E81" s="186" t="n"/>
      <c r="F81" s="178" t="n"/>
      <c r="G81" s="179" t="n"/>
      <c r="H81" s="178" t="n"/>
      <c r="I81" s="179" t="n"/>
      <c r="J81" s="180" t="n"/>
      <c r="K81" s="180" t="n"/>
      <c r="L81" s="181" t="n"/>
      <c r="M81" s="178" t="n"/>
      <c r="N81" s="180" t="n"/>
      <c r="O81" s="180" t="n"/>
      <c r="P81" s="178" t="n"/>
      <c r="Q81" s="178" t="n"/>
      <c r="R81" s="56" t="n"/>
    </row>
    <row r="82" ht="14.25" customHeight="1" s="115">
      <c r="A82" s="122" t="n"/>
      <c r="B82" s="184" t="n"/>
      <c r="C82" s="185" t="n"/>
      <c r="D82" s="186" t="n"/>
      <c r="E82" s="186" t="n"/>
      <c r="F82" s="178" t="n"/>
      <c r="G82" s="179" t="n"/>
      <c r="H82" s="178" t="n"/>
      <c r="I82" s="179" t="n"/>
      <c r="J82" s="180" t="n"/>
      <c r="K82" s="180" t="n"/>
      <c r="L82" s="181" t="n"/>
      <c r="M82" s="178" t="n"/>
      <c r="N82" s="180" t="n"/>
      <c r="O82" s="180" t="n"/>
      <c r="P82" s="178" t="n"/>
      <c r="Q82" s="178" t="n"/>
      <c r="R82" s="56" t="n"/>
    </row>
    <row r="83" ht="14.25" customHeight="1" s="115">
      <c r="A83" s="122" t="n"/>
      <c r="B83" s="184" t="n"/>
      <c r="C83" s="185" t="n"/>
      <c r="D83" s="186" t="n"/>
      <c r="E83" s="186" t="n"/>
      <c r="F83" s="178" t="n"/>
      <c r="G83" s="179" t="n"/>
      <c r="H83" s="178" t="n"/>
      <c r="I83" s="179" t="n"/>
      <c r="J83" s="180" t="n"/>
      <c r="K83" s="180" t="n"/>
      <c r="L83" s="181" t="n"/>
      <c r="M83" s="178" t="n"/>
      <c r="N83" s="180" t="n"/>
      <c r="O83" s="180" t="n"/>
      <c r="P83" s="178" t="n"/>
      <c r="Q83" s="178" t="n"/>
      <c r="R83" s="56" t="n"/>
    </row>
    <row r="84" ht="14.25" customHeight="1" s="115">
      <c r="A84" s="122" t="n"/>
      <c r="B84" s="184" t="n"/>
      <c r="C84" s="185" t="n"/>
      <c r="D84" s="186" t="n"/>
      <c r="E84" s="186" t="n"/>
      <c r="F84" s="178" t="n"/>
      <c r="G84" s="179" t="n"/>
      <c r="H84" s="178" t="n"/>
      <c r="I84" s="179" t="n"/>
      <c r="J84" s="180" t="n"/>
      <c r="K84" s="180" t="n"/>
      <c r="L84" s="181" t="n"/>
      <c r="M84" s="178" t="n"/>
      <c r="N84" s="180" t="n"/>
      <c r="O84" s="180" t="n"/>
      <c r="P84" s="178" t="n"/>
      <c r="Q84" s="178" t="n"/>
      <c r="R84" s="56" t="n"/>
    </row>
    <row r="85" ht="14.25" customHeight="1" s="115">
      <c r="A85" s="122" t="n"/>
      <c r="B85" s="184" t="n"/>
      <c r="C85" s="185" t="n"/>
      <c r="D85" s="186" t="n"/>
      <c r="E85" s="186" t="n"/>
      <c r="F85" s="178" t="n"/>
      <c r="G85" s="179" t="n"/>
      <c r="H85" s="178" t="n"/>
      <c r="I85" s="179" t="n"/>
      <c r="J85" s="180" t="n"/>
      <c r="K85" s="180" t="n"/>
      <c r="L85" s="181" t="n"/>
      <c r="M85" s="178" t="n"/>
      <c r="N85" s="180" t="n"/>
      <c r="O85" s="180" t="n"/>
      <c r="P85" s="178" t="n"/>
      <c r="Q85" s="178" t="n"/>
      <c r="R85" s="56" t="n"/>
    </row>
    <row r="86" ht="14.25" customHeight="1" s="115">
      <c r="A86" s="122" t="n"/>
      <c r="B86" s="184" t="n"/>
      <c r="C86" s="185" t="n"/>
      <c r="D86" s="186" t="n"/>
      <c r="E86" s="186" t="n"/>
      <c r="F86" s="178" t="n"/>
      <c r="G86" s="179" t="n"/>
      <c r="H86" s="178" t="n"/>
      <c r="I86" s="179" t="n"/>
      <c r="J86" s="180" t="n"/>
      <c r="K86" s="180" t="n"/>
      <c r="L86" s="181" t="n"/>
      <c r="M86" s="178" t="n"/>
      <c r="N86" s="180" t="n"/>
      <c r="O86" s="180" t="n"/>
      <c r="P86" s="178" t="n"/>
      <c r="Q86" s="178" t="n"/>
      <c r="R86" s="56" t="n"/>
    </row>
    <row r="87" ht="14.25" customHeight="1" s="115">
      <c r="A87" s="122" t="n"/>
      <c r="B87" s="184" t="n"/>
      <c r="C87" s="185" t="n"/>
      <c r="D87" s="186" t="n"/>
      <c r="E87" s="186" t="n"/>
      <c r="F87" s="178" t="n"/>
      <c r="G87" s="179" t="n"/>
      <c r="H87" s="178" t="n"/>
      <c r="I87" s="179" t="n"/>
      <c r="J87" s="180" t="n"/>
      <c r="K87" s="180" t="n"/>
      <c r="L87" s="181" t="n"/>
      <c r="M87" s="178" t="n"/>
      <c r="N87" s="180" t="n"/>
      <c r="O87" s="180" t="n"/>
      <c r="P87" s="178" t="n"/>
      <c r="Q87" s="178" t="n"/>
      <c r="R87" s="56" t="n"/>
    </row>
    <row r="88" ht="14.25" customHeight="1" s="115">
      <c r="A88" s="122" t="n"/>
      <c r="B88" s="188" t="n"/>
      <c r="C88" s="185" t="n"/>
      <c r="D88" s="186" t="n"/>
      <c r="E88" s="186" t="n"/>
      <c r="F88" s="178" t="n"/>
      <c r="G88" s="179" t="n"/>
      <c r="H88" s="178" t="n"/>
      <c r="I88" s="179" t="n"/>
      <c r="J88" s="180" t="n"/>
      <c r="K88" s="180" t="n"/>
      <c r="L88" s="181" t="n"/>
      <c r="M88" s="178" t="n"/>
      <c r="N88" s="180" t="n"/>
      <c r="O88" s="180" t="n"/>
      <c r="P88" s="178" t="n"/>
      <c r="Q88" s="178" t="n"/>
    </row>
    <row r="89" ht="14.25" customHeight="1" s="115">
      <c r="A89" s="122" t="n"/>
      <c r="B89" s="188" t="n"/>
      <c r="C89" s="185" t="n"/>
      <c r="D89" s="186" t="n"/>
      <c r="E89" s="186" t="n"/>
      <c r="F89" s="178" t="n"/>
      <c r="G89" s="179" t="n"/>
      <c r="H89" s="178" t="n"/>
      <c r="I89" s="179" t="n"/>
      <c r="J89" s="180" t="n"/>
      <c r="K89" s="180" t="n"/>
      <c r="L89" s="181" t="n"/>
      <c r="M89" s="178" t="n"/>
      <c r="N89" s="180" t="n"/>
      <c r="O89" s="180" t="n"/>
      <c r="P89" s="178" t="n"/>
      <c r="Q89" s="178" t="n"/>
    </row>
    <row r="90" ht="14.25" customHeight="1" s="115">
      <c r="A90" s="122" t="n"/>
      <c r="B90" s="188" t="n"/>
      <c r="C90" s="185" t="n"/>
      <c r="D90" s="186" t="n"/>
      <c r="E90" s="186" t="n"/>
      <c r="F90" s="178" t="n"/>
      <c r="G90" s="179" t="n"/>
      <c r="H90" s="178" t="n"/>
      <c r="I90" s="179" t="n"/>
      <c r="J90" s="180" t="n"/>
      <c r="K90" s="180" t="n"/>
      <c r="L90" s="181" t="n"/>
      <c r="M90" s="178" t="n"/>
      <c r="N90" s="180" t="n"/>
      <c r="O90" s="180" t="n"/>
      <c r="P90" s="178" t="n"/>
      <c r="Q90" s="178" t="n"/>
    </row>
    <row r="91" ht="14.25" customHeight="1" s="115">
      <c r="A91" s="122" t="n"/>
      <c r="B91" s="188" t="n"/>
      <c r="C91" s="185" t="n"/>
      <c r="D91" s="186" t="n"/>
      <c r="E91" s="186" t="n"/>
      <c r="F91" s="178" t="n"/>
      <c r="G91" s="179" t="n"/>
      <c r="H91" s="178" t="n"/>
      <c r="I91" s="179" t="n"/>
      <c r="J91" s="180" t="n"/>
      <c r="K91" s="180" t="n"/>
      <c r="L91" s="181" t="n"/>
      <c r="M91" s="178" t="n"/>
      <c r="N91" s="180" t="n"/>
      <c r="O91" s="180" t="n"/>
      <c r="P91" s="178" t="n"/>
      <c r="Q91" s="178" t="n"/>
    </row>
    <row r="92" ht="14.25" customHeight="1" s="115">
      <c r="A92" s="122" t="n"/>
      <c r="B92" s="188" t="n"/>
      <c r="C92" s="185" t="n"/>
      <c r="D92" s="186" t="n"/>
      <c r="E92" s="186" t="n"/>
      <c r="F92" s="178" t="n"/>
      <c r="G92" s="179" t="n"/>
      <c r="H92" s="178" t="n"/>
      <c r="I92" s="179" t="n"/>
      <c r="J92" s="180" t="n"/>
      <c r="K92" s="180" t="n"/>
      <c r="L92" s="181" t="n"/>
      <c r="M92" s="178" t="n"/>
      <c r="N92" s="180" t="n"/>
      <c r="O92" s="180" t="n"/>
      <c r="P92" s="178" t="n"/>
      <c r="Q92" s="178" t="n"/>
    </row>
    <row r="93" ht="14.25" customHeight="1" s="115">
      <c r="A93" s="122" t="n"/>
      <c r="B93" s="188" t="n"/>
      <c r="C93" s="185" t="n"/>
      <c r="D93" s="186" t="n"/>
      <c r="E93" s="186" t="n"/>
      <c r="F93" s="178" t="n"/>
      <c r="G93" s="179" t="n"/>
      <c r="H93" s="178" t="n"/>
      <c r="I93" s="179" t="n"/>
      <c r="J93" s="180" t="n"/>
      <c r="K93" s="180" t="n"/>
      <c r="L93" s="181" t="n"/>
      <c r="M93" s="178" t="n"/>
      <c r="N93" s="180" t="n"/>
      <c r="O93" s="180" t="n"/>
      <c r="P93" s="178" t="n"/>
      <c r="Q93" s="178" t="n"/>
    </row>
    <row r="94" ht="14.25" customHeight="1" s="115">
      <c r="A94" s="122" t="n"/>
      <c r="B94" s="188" t="n"/>
      <c r="C94" s="185" t="n"/>
      <c r="D94" s="186" t="n"/>
      <c r="E94" s="186" t="n"/>
      <c r="F94" s="178" t="n"/>
      <c r="G94" s="179" t="n"/>
      <c r="H94" s="178" t="n"/>
      <c r="I94" s="179" t="n"/>
      <c r="J94" s="180" t="n"/>
      <c r="K94" s="180" t="n"/>
      <c r="L94" s="181" t="n"/>
      <c r="M94" s="178" t="n"/>
      <c r="N94" s="180" t="n"/>
      <c r="O94" s="180" t="n"/>
      <c r="P94" s="178" t="n"/>
      <c r="Q94" s="178" t="n"/>
    </row>
    <row r="95" ht="14.25" customHeight="1" s="115">
      <c r="A95" s="122" t="n"/>
      <c r="B95" s="188" t="n"/>
      <c r="C95" s="185" t="n"/>
      <c r="D95" s="186" t="n"/>
      <c r="E95" s="186" t="n"/>
      <c r="F95" s="178" t="n"/>
      <c r="G95" s="179" t="n"/>
      <c r="H95" s="178" t="n"/>
      <c r="I95" s="179" t="n"/>
      <c r="J95" s="180" t="n"/>
      <c r="K95" s="180" t="n"/>
      <c r="L95" s="181" t="n"/>
      <c r="M95" s="178" t="n"/>
      <c r="N95" s="180" t="n"/>
      <c r="O95" s="180" t="n"/>
      <c r="P95" s="178" t="n"/>
      <c r="Q95" s="178" t="n"/>
    </row>
    <row r="96" ht="14.25" customHeight="1" s="115">
      <c r="A96" s="122" t="n"/>
      <c r="B96" s="188" t="n"/>
      <c r="C96" s="185" t="n"/>
      <c r="D96" s="186" t="n"/>
      <c r="E96" s="186" t="n"/>
      <c r="F96" s="178" t="n"/>
      <c r="G96" s="179" t="n"/>
      <c r="H96" s="178" t="n"/>
      <c r="I96" s="179" t="n"/>
      <c r="J96" s="180" t="n"/>
      <c r="K96" s="180" t="n"/>
      <c r="L96" s="181" t="n"/>
      <c r="M96" s="178" t="n"/>
      <c r="N96" s="180" t="n"/>
      <c r="O96" s="180" t="n"/>
      <c r="P96" s="178" t="n"/>
      <c r="Q96" s="178" t="n"/>
    </row>
    <row r="97" ht="14.25" customHeight="1" s="115">
      <c r="A97" s="122" t="n"/>
      <c r="B97" s="188" t="n"/>
      <c r="C97" s="185" t="n"/>
      <c r="D97" s="186" t="n"/>
      <c r="E97" s="186" t="n"/>
      <c r="F97" s="178" t="n"/>
      <c r="G97" s="179" t="n"/>
      <c r="H97" s="178" t="n"/>
      <c r="I97" s="179" t="n"/>
      <c r="J97" s="180" t="n"/>
      <c r="K97" s="180" t="n"/>
      <c r="L97" s="181" t="n"/>
      <c r="M97" s="178" t="n"/>
      <c r="N97" s="180" t="n"/>
      <c r="O97" s="180" t="n"/>
      <c r="P97" s="178" t="n"/>
      <c r="Q97" s="178" t="n"/>
    </row>
    <row r="98" ht="14.25" customHeight="1" s="115">
      <c r="A98" s="122" t="n"/>
      <c r="B98" s="188" t="n"/>
      <c r="C98" s="185" t="n"/>
      <c r="D98" s="186" t="n"/>
      <c r="E98" s="186" t="n"/>
      <c r="F98" s="178" t="n"/>
      <c r="G98" s="179" t="n"/>
      <c r="H98" s="178" t="n"/>
      <c r="I98" s="179" t="n"/>
      <c r="J98" s="180" t="n"/>
      <c r="K98" s="180" t="n"/>
      <c r="L98" s="181" t="n"/>
      <c r="M98" s="178" t="n"/>
      <c r="N98" s="180" t="n"/>
      <c r="O98" s="180" t="n"/>
      <c r="P98" s="178" t="n"/>
      <c r="Q98" s="178" t="n"/>
    </row>
    <row r="99" ht="14.25" customHeight="1" s="115">
      <c r="A99" s="122" t="n"/>
      <c r="B99" s="188" t="n"/>
      <c r="C99" s="185" t="n"/>
      <c r="D99" s="186" t="n"/>
      <c r="E99" s="186" t="n"/>
      <c r="F99" s="178" t="n"/>
      <c r="G99" s="179" t="n"/>
      <c r="H99" s="178" t="n"/>
      <c r="I99" s="179" t="n"/>
      <c r="J99" s="180" t="n"/>
      <c r="K99" s="180" t="n"/>
      <c r="L99" s="181" t="n"/>
      <c r="M99" s="178" t="n"/>
      <c r="N99" s="180" t="n"/>
      <c r="O99" s="180" t="n"/>
      <c r="P99" s="178" t="n"/>
      <c r="Q99" s="178" t="n"/>
    </row>
    <row r="100" ht="14.25" customHeight="1" s="115">
      <c r="A100" s="122" t="n"/>
      <c r="B100" s="188" t="n"/>
      <c r="C100" s="185" t="n"/>
      <c r="D100" s="186" t="n"/>
      <c r="E100" s="186" t="n"/>
      <c r="F100" s="178" t="n"/>
      <c r="G100" s="179" t="n"/>
      <c r="H100" s="178" t="n"/>
      <c r="I100" s="179" t="n"/>
      <c r="J100" s="180" t="n"/>
      <c r="K100" s="180" t="n"/>
      <c r="L100" s="181" t="n"/>
      <c r="M100" s="178" t="n"/>
      <c r="N100" s="180" t="n"/>
      <c r="O100" s="180" t="n"/>
      <c r="P100" s="178" t="n"/>
      <c r="Q100" s="178" t="n"/>
    </row>
    <row r="101" ht="14.25" customHeight="1" s="115">
      <c r="A101" s="122" t="n"/>
      <c r="B101" s="188" t="n"/>
      <c r="C101" s="185" t="n"/>
      <c r="D101" s="186" t="n"/>
      <c r="E101" s="186" t="n"/>
      <c r="F101" s="178" t="n"/>
      <c r="G101" s="179" t="n"/>
      <c r="H101" s="178" t="n"/>
      <c r="I101" s="179" t="n"/>
      <c r="J101" s="180" t="n"/>
      <c r="K101" s="180" t="n"/>
      <c r="L101" s="181" t="n"/>
      <c r="M101" s="178" t="n"/>
      <c r="N101" s="180" t="n"/>
      <c r="O101" s="180" t="n"/>
      <c r="P101" s="178" t="n"/>
      <c r="Q101" s="178" t="n"/>
    </row>
    <row r="102" ht="14.25" customHeight="1" s="115">
      <c r="A102" s="122" t="n"/>
      <c r="B102" s="188" t="n"/>
      <c r="C102" s="185" t="n"/>
      <c r="D102" s="186" t="n"/>
      <c r="E102" s="186" t="n"/>
      <c r="F102" s="178" t="n"/>
      <c r="G102" s="179" t="n"/>
      <c r="H102" s="178" t="n"/>
      <c r="I102" s="179" t="n"/>
      <c r="J102" s="180" t="n"/>
      <c r="K102" s="180" t="n"/>
      <c r="L102" s="181" t="n"/>
      <c r="M102" s="178" t="n"/>
      <c r="N102" s="180" t="n"/>
      <c r="O102" s="180" t="n"/>
      <c r="P102" s="178" t="n"/>
      <c r="Q102" s="178" t="n"/>
    </row>
    <row r="103" ht="14.25" customHeight="1" s="115">
      <c r="A103" s="122" t="n"/>
      <c r="B103" s="188" t="n"/>
      <c r="C103" s="185" t="n"/>
      <c r="D103" s="186" t="n"/>
      <c r="E103" s="186" t="n"/>
      <c r="F103" s="178" t="n"/>
      <c r="G103" s="179" t="n"/>
      <c r="H103" s="178" t="n"/>
      <c r="I103" s="179" t="n"/>
      <c r="J103" s="180" t="n"/>
      <c r="K103" s="180" t="n"/>
      <c r="L103" s="181" t="n"/>
      <c r="M103" s="178" t="n"/>
      <c r="N103" s="180" t="n"/>
      <c r="O103" s="180" t="n"/>
      <c r="P103" s="178" t="n"/>
      <c r="Q103" s="178" t="n"/>
    </row>
    <row r="104" ht="14.25" customHeight="1" s="115">
      <c r="A104" s="122" t="n"/>
      <c r="B104" s="188" t="n"/>
      <c r="C104" s="185" t="n"/>
      <c r="D104" s="186" t="n"/>
      <c r="E104" s="186" t="n"/>
      <c r="F104" s="178" t="n"/>
      <c r="G104" s="179" t="n"/>
      <c r="H104" s="178" t="n"/>
      <c r="I104" s="179" t="n"/>
      <c r="J104" s="180" t="n"/>
      <c r="K104" s="180" t="n"/>
      <c r="L104" s="181" t="n"/>
      <c r="M104" s="178" t="n"/>
      <c r="N104" s="180" t="n"/>
      <c r="O104" s="180" t="n"/>
      <c r="P104" s="178" t="n"/>
      <c r="Q104" s="178" t="n"/>
    </row>
    <row r="105" ht="14.25" customHeight="1" s="115">
      <c r="A105" s="122" t="n"/>
      <c r="B105" s="188" t="n"/>
      <c r="C105" s="185" t="n"/>
      <c r="D105" s="186" t="n"/>
      <c r="E105" s="186" t="n"/>
      <c r="F105" s="178" t="n"/>
      <c r="G105" s="179" t="n"/>
      <c r="H105" s="178" t="n"/>
      <c r="I105" s="179" t="n"/>
      <c r="J105" s="180" t="n"/>
      <c r="K105" s="180" t="n"/>
      <c r="L105" s="181" t="n"/>
      <c r="M105" s="178" t="n"/>
      <c r="N105" s="180" t="n"/>
      <c r="O105" s="180" t="n"/>
      <c r="P105" s="178" t="n"/>
      <c r="Q105" s="178" t="n"/>
    </row>
    <row r="106" ht="14.25" customHeight="1" s="115">
      <c r="A106" s="122" t="n"/>
      <c r="B106" s="188" t="n"/>
      <c r="C106" s="185" t="n"/>
      <c r="D106" s="186" t="n"/>
      <c r="E106" s="186" t="n"/>
      <c r="F106" s="178" t="n"/>
      <c r="G106" s="179" t="n"/>
      <c r="H106" s="178" t="n"/>
      <c r="I106" s="179" t="n"/>
      <c r="J106" s="180" t="n"/>
      <c r="K106" s="180" t="n"/>
      <c r="L106" s="181" t="n"/>
      <c r="M106" s="178" t="n"/>
      <c r="N106" s="180" t="n"/>
      <c r="O106" s="180" t="n"/>
      <c r="P106" s="178" t="n"/>
      <c r="Q106" s="178" t="n"/>
    </row>
    <row r="107" ht="14.25" customHeight="1" s="115">
      <c r="A107" s="122" t="n"/>
      <c r="B107" s="188" t="n"/>
      <c r="C107" s="185" t="n"/>
      <c r="D107" s="186" t="n"/>
      <c r="E107" s="186" t="n"/>
      <c r="F107" s="178" t="n"/>
      <c r="G107" s="179" t="n"/>
      <c r="H107" s="178" t="n"/>
      <c r="I107" s="179" t="n"/>
      <c r="J107" s="180" t="n"/>
      <c r="K107" s="180" t="n"/>
      <c r="L107" s="181" t="n"/>
      <c r="M107" s="178" t="n"/>
      <c r="N107" s="180" t="n"/>
      <c r="O107" s="180" t="n"/>
      <c r="P107" s="178" t="n"/>
      <c r="Q107" s="178" t="n"/>
    </row>
    <row r="108" ht="14.25" customHeight="1" s="115">
      <c r="A108" s="122" t="n"/>
      <c r="B108" s="188" t="n"/>
      <c r="C108" s="185" t="n"/>
      <c r="D108" s="186" t="n"/>
      <c r="E108" s="186" t="n"/>
      <c r="F108" s="178" t="n"/>
      <c r="G108" s="179" t="n"/>
      <c r="H108" s="178" t="n"/>
      <c r="I108" s="179" t="n"/>
      <c r="J108" s="180" t="n"/>
      <c r="K108" s="180" t="n"/>
      <c r="L108" s="181" t="n"/>
      <c r="M108" s="178" t="n"/>
      <c r="N108" s="180" t="n"/>
      <c r="O108" s="180" t="n"/>
      <c r="P108" s="178" t="n"/>
      <c r="Q108" s="178" t="n"/>
    </row>
    <row r="109" ht="14.25" customHeight="1" s="115">
      <c r="A109" s="122" t="n"/>
      <c r="B109" s="188" t="n"/>
      <c r="C109" s="185" t="n"/>
      <c r="D109" s="186" t="n"/>
      <c r="E109" s="186" t="n"/>
      <c r="F109" s="178" t="n"/>
      <c r="G109" s="179" t="n"/>
      <c r="H109" s="178" t="n"/>
      <c r="I109" s="179" t="n"/>
      <c r="J109" s="180" t="n"/>
      <c r="K109" s="180" t="n"/>
      <c r="L109" s="181" t="n"/>
      <c r="M109" s="178" t="n"/>
      <c r="N109" s="180" t="n"/>
      <c r="O109" s="180" t="n"/>
      <c r="P109" s="178" t="n"/>
      <c r="Q109" s="178" t="n"/>
    </row>
    <row r="110" ht="14.25" customHeight="1" s="115">
      <c r="A110" s="122" t="n"/>
      <c r="B110" s="188" t="n"/>
      <c r="C110" s="185" t="n"/>
      <c r="D110" s="186" t="n"/>
      <c r="E110" s="186" t="n"/>
      <c r="F110" s="178" t="n"/>
      <c r="G110" s="179" t="n"/>
      <c r="H110" s="178" t="n"/>
      <c r="I110" s="179" t="n"/>
      <c r="J110" s="180" t="n"/>
      <c r="K110" s="180" t="n"/>
      <c r="L110" s="181" t="n"/>
      <c r="M110" s="178" t="n"/>
      <c r="N110" s="180" t="n"/>
      <c r="O110" s="180" t="n"/>
      <c r="P110" s="178" t="n"/>
      <c r="Q110" s="178" t="n"/>
    </row>
    <row r="111" ht="14.25" customHeight="1" s="115">
      <c r="A111" s="122" t="n"/>
      <c r="B111" s="188" t="n"/>
      <c r="C111" s="185" t="n"/>
      <c r="D111" s="186" t="n"/>
      <c r="E111" s="186" t="n"/>
      <c r="F111" s="178" t="n"/>
      <c r="G111" s="179" t="n"/>
      <c r="H111" s="178" t="n"/>
      <c r="I111" s="179" t="n"/>
      <c r="J111" s="180" t="n"/>
      <c r="K111" s="180" t="n"/>
      <c r="L111" s="181" t="n"/>
      <c r="M111" s="178" t="n"/>
      <c r="N111" s="180" t="n"/>
      <c r="O111" s="180" t="n"/>
      <c r="P111" s="178" t="n"/>
      <c r="Q111" s="178" t="n"/>
    </row>
    <row r="112" ht="14.25" customHeight="1" s="115">
      <c r="A112" s="122" t="n"/>
      <c r="B112" s="188" t="n"/>
      <c r="C112" s="185" t="n"/>
      <c r="D112" s="186" t="n"/>
      <c r="E112" s="186" t="n"/>
      <c r="F112" s="178" t="n"/>
      <c r="G112" s="179" t="n"/>
      <c r="H112" s="178" t="n"/>
      <c r="I112" s="179" t="n"/>
      <c r="J112" s="180" t="n"/>
      <c r="K112" s="180" t="n"/>
      <c r="L112" s="181" t="n"/>
      <c r="M112" s="178" t="n"/>
      <c r="N112" s="180" t="n"/>
      <c r="O112" s="180" t="n"/>
      <c r="P112" s="178" t="n"/>
      <c r="Q112" s="178" t="n"/>
    </row>
    <row r="113" ht="14.25" customHeight="1" s="115">
      <c r="A113" s="122" t="n"/>
      <c r="B113" s="188" t="n"/>
      <c r="C113" s="185" t="n"/>
      <c r="D113" s="186" t="n"/>
      <c r="E113" s="186" t="n"/>
      <c r="F113" s="178" t="n"/>
      <c r="G113" s="179" t="n"/>
      <c r="H113" s="178" t="n"/>
      <c r="I113" s="179" t="n"/>
      <c r="J113" s="180" t="n"/>
      <c r="K113" s="180" t="n"/>
      <c r="L113" s="181" t="n"/>
      <c r="M113" s="178" t="n"/>
      <c r="N113" s="180" t="n"/>
      <c r="O113" s="180" t="n"/>
      <c r="P113" s="178" t="n"/>
      <c r="Q113" s="178" t="n"/>
    </row>
    <row r="114" ht="14.25" customHeight="1" s="115">
      <c r="A114" s="122" t="n"/>
      <c r="B114" s="188" t="n"/>
      <c r="C114" s="185" t="n"/>
      <c r="D114" s="186" t="n"/>
      <c r="E114" s="186" t="n"/>
      <c r="F114" s="178" t="n"/>
      <c r="G114" s="179" t="n"/>
      <c r="H114" s="178" t="n"/>
      <c r="I114" s="179" t="n"/>
      <c r="J114" s="180" t="n"/>
      <c r="K114" s="180" t="n"/>
      <c r="L114" s="181" t="n"/>
      <c r="M114" s="178" t="n"/>
      <c r="N114" s="180" t="n"/>
      <c r="O114" s="180" t="n"/>
      <c r="P114" s="178" t="n"/>
      <c r="Q114" s="178" t="n"/>
    </row>
    <row r="115" ht="14.25" customHeight="1" s="115">
      <c r="A115" s="122" t="n"/>
      <c r="B115" s="188" t="n"/>
      <c r="C115" s="185" t="n"/>
      <c r="D115" s="186" t="n"/>
      <c r="E115" s="186" t="n"/>
      <c r="F115" s="178" t="n"/>
      <c r="G115" s="179" t="n"/>
      <c r="H115" s="178" t="n"/>
      <c r="I115" s="179" t="n"/>
      <c r="J115" s="180" t="n"/>
      <c r="K115" s="180" t="n"/>
      <c r="L115" s="181" t="n"/>
      <c r="M115" s="178" t="n"/>
      <c r="N115" s="180" t="n"/>
      <c r="O115" s="180" t="n"/>
      <c r="P115" s="178" t="n"/>
      <c r="Q115" s="178" t="n"/>
    </row>
    <row r="116" ht="14.25" customHeight="1" s="115">
      <c r="A116" s="122" t="n"/>
      <c r="B116" s="188" t="n"/>
      <c r="C116" s="185" t="n"/>
      <c r="D116" s="186" t="n"/>
      <c r="E116" s="186" t="n"/>
      <c r="F116" s="178" t="n"/>
      <c r="G116" s="179" t="n"/>
      <c r="H116" s="178" t="n"/>
      <c r="I116" s="179" t="n"/>
      <c r="J116" s="180" t="n"/>
      <c r="K116" s="180" t="n"/>
      <c r="L116" s="181" t="n"/>
      <c r="M116" s="178" t="n"/>
      <c r="N116" s="180" t="n"/>
      <c r="O116" s="180" t="n"/>
      <c r="P116" s="178" t="n"/>
      <c r="Q116" s="178" t="n"/>
    </row>
    <row r="117" ht="14.25" customHeight="1" s="115">
      <c r="A117" s="122" t="n"/>
      <c r="B117" s="188" t="n"/>
      <c r="C117" s="185" t="n"/>
      <c r="D117" s="186" t="n"/>
      <c r="E117" s="186" t="n"/>
      <c r="F117" s="178" t="n"/>
      <c r="G117" s="179" t="n"/>
      <c r="H117" s="178" t="n"/>
      <c r="I117" s="179" t="n"/>
      <c r="J117" s="180" t="n"/>
      <c r="K117" s="180" t="n"/>
      <c r="L117" s="181" t="n"/>
      <c r="M117" s="178" t="n"/>
      <c r="N117" s="180" t="n"/>
      <c r="O117" s="180" t="n"/>
      <c r="P117" s="178" t="n"/>
      <c r="Q117" s="178" t="n"/>
    </row>
    <row r="118" ht="14.25" customHeight="1" s="115">
      <c r="A118" s="122" t="n"/>
      <c r="B118" s="188" t="n"/>
      <c r="C118" s="185" t="n"/>
      <c r="D118" s="186" t="n"/>
      <c r="E118" s="186" t="n"/>
      <c r="F118" s="178" t="n"/>
      <c r="G118" s="179" t="n"/>
      <c r="H118" s="178" t="n"/>
      <c r="I118" s="179" t="n"/>
      <c r="J118" s="180" t="n"/>
      <c r="K118" s="180" t="n"/>
      <c r="L118" s="181" t="n"/>
      <c r="M118" s="178" t="n"/>
      <c r="N118" s="180" t="n"/>
      <c r="O118" s="180" t="n"/>
      <c r="P118" s="178" t="n"/>
      <c r="Q118" s="178" t="n"/>
    </row>
    <row r="119" ht="14.25" customHeight="1" s="115">
      <c r="A119" s="122" t="n"/>
      <c r="B119" s="188" t="n"/>
      <c r="C119" s="185" t="n"/>
      <c r="D119" s="186" t="n"/>
      <c r="E119" s="186" t="n"/>
      <c r="F119" s="178" t="n"/>
      <c r="G119" s="179" t="n"/>
      <c r="H119" s="178" t="n"/>
      <c r="I119" s="179" t="n"/>
      <c r="J119" s="180" t="n"/>
      <c r="K119" s="180" t="n"/>
      <c r="L119" s="181" t="n"/>
      <c r="M119" s="178" t="n"/>
      <c r="N119" s="180" t="n"/>
      <c r="O119" s="180" t="n"/>
      <c r="P119" s="178" t="n"/>
      <c r="Q119" s="178" t="n"/>
    </row>
    <row r="120" ht="14.25" customHeight="1" s="115">
      <c r="A120" s="122" t="n"/>
      <c r="B120" s="188" t="n"/>
      <c r="C120" s="185" t="n"/>
      <c r="D120" s="186" t="n"/>
      <c r="E120" s="186" t="n"/>
      <c r="F120" s="178" t="n"/>
      <c r="G120" s="179" t="n"/>
      <c r="H120" s="178" t="n"/>
      <c r="I120" s="179" t="n"/>
      <c r="J120" s="180" t="n"/>
      <c r="K120" s="180" t="n"/>
      <c r="L120" s="181" t="n"/>
      <c r="M120" s="178" t="n"/>
      <c r="N120" s="180" t="n"/>
      <c r="O120" s="180" t="n"/>
      <c r="P120" s="178" t="n"/>
      <c r="Q120" s="178" t="n"/>
    </row>
    <row r="121">
      <c r="A121" s="122" t="n"/>
      <c r="B121" s="122" t="n"/>
      <c r="C121" s="122" t="n"/>
      <c r="D121" s="122" t="n"/>
      <c r="E121" s="122" t="n"/>
      <c r="F121" s="122" t="n"/>
      <c r="G121" s="122" t="n"/>
      <c r="H121" s="122" t="n"/>
      <c r="I121" s="122" t="n"/>
      <c r="J121" s="122" t="n"/>
      <c r="K121" s="122" t="n"/>
      <c r="L121" s="122" t="n"/>
      <c r="M121" s="122" t="n"/>
      <c r="N121" s="122" t="n"/>
      <c r="O121" s="122" t="n"/>
      <c r="P121" s="122" t="n"/>
      <c r="Q121" s="122" t="n"/>
    </row>
    <row r="122">
      <c r="A122" s="122" t="n"/>
      <c r="B122" s="122" t="n"/>
      <c r="C122" s="122" t="n"/>
      <c r="D122" s="122" t="n"/>
      <c r="E122" s="122" t="n"/>
      <c r="F122" s="122" t="n"/>
      <c r="G122" s="122" t="n"/>
      <c r="H122" s="122" t="n"/>
      <c r="I122" s="122" t="n"/>
      <c r="J122" s="122" t="n"/>
      <c r="K122" s="122" t="n"/>
      <c r="L122" s="122" t="n"/>
      <c r="M122" s="122" t="n"/>
      <c r="N122" s="122" t="n"/>
      <c r="O122" s="122" t="n"/>
      <c r="P122" s="122" t="n"/>
      <c r="Q122" s="122" t="n"/>
    </row>
    <row r="123">
      <c r="A123" s="122" t="n"/>
      <c r="B123" s="122" t="n"/>
      <c r="C123" s="122" t="n"/>
      <c r="D123" s="122" t="n"/>
      <c r="E123" s="122" t="n"/>
      <c r="F123" s="122" t="n"/>
      <c r="G123" s="122" t="n"/>
      <c r="H123" s="122" t="n"/>
      <c r="I123" s="122" t="n"/>
      <c r="J123" s="122" t="n"/>
      <c r="K123" s="122" t="n"/>
      <c r="L123" s="122" t="n"/>
      <c r="M123" s="122" t="n"/>
      <c r="N123" s="122" t="n"/>
      <c r="O123" s="122" t="n"/>
      <c r="P123" s="122" t="n"/>
      <c r="Q123" s="122" t="n"/>
    </row>
    <row r="124">
      <c r="A124" s="122" t="n"/>
      <c r="B124" s="122" t="n"/>
      <c r="C124" s="122" t="n"/>
      <c r="D124" s="122" t="n"/>
      <c r="E124" s="122" t="n"/>
      <c r="F124" s="122" t="n"/>
      <c r="G124" s="122" t="n"/>
      <c r="H124" s="122" t="n"/>
      <c r="I124" s="122" t="n"/>
      <c r="J124" s="122" t="n"/>
      <c r="K124" s="122" t="n"/>
      <c r="L124" s="122" t="n"/>
      <c r="M124" s="122" t="n"/>
      <c r="N124" s="122" t="n"/>
      <c r="O124" s="122" t="n"/>
      <c r="P124" s="122" t="n"/>
      <c r="Q124" s="122" t="n"/>
    </row>
  </sheetData>
  <conditionalFormatting sqref="K38:K120">
    <cfRule type="colorScale" priority="1">
      <colorScale>
        <cfvo type="num" val="0.02"/>
        <cfvo type="num" val="0.12"/>
        <cfvo type="num" val="0.22"/>
        <color rgb="FFF6C9CC"/>
        <color rgb="FFF4F4F2"/>
        <color rgb="FFDCEBC0"/>
      </colorScale>
    </cfRule>
  </conditionalFormatting>
  <conditionalFormatting sqref="N38:N120">
    <cfRule type="colorScale" priority="2">
      <colorScale>
        <cfvo type="num" val="0.55"/>
        <cfvo type="num" val="0.75"/>
        <cfvo type="num" val="0.95"/>
        <color rgb="FFF6C9CC"/>
        <color rgb="FFF4F4F2"/>
        <color rgb="FFDCEBC0"/>
      </colorScale>
    </cfRule>
  </conditionalFormatting>
  <conditionalFormatting sqref="J38:J120">
    <cfRule type="dataBar" priority="3">
      <dataBar showValue="1">
        <cfvo type="num" val="0"/>
        <cfvo type="num" val="1"/>
        <color rgb="FFA6D0EA"/>
      </dataBar>
    </cfRule>
  </conditionalFormatting>
  <conditionalFormatting sqref="G38:G120">
    <cfRule type="cellIs" priority="4" operator="greaterThan" dxfId="14">
      <formula>0</formula>
    </cfRule>
    <cfRule type="cellIs" priority="5" operator="lessThan" dxfId="15">
      <formula>0</formula>
    </cfRule>
  </conditionalFormatting>
  <conditionalFormatting sqref="I38:I120">
    <cfRule type="cellIs" priority="6" operator="greaterThan" dxfId="14">
      <formula>0</formula>
    </cfRule>
    <cfRule type="cellIs" priority="7" operator="lessThan" dxfId="15">
      <formula>0</formula>
    </cfRule>
  </conditionalFormatting>
  <conditionalFormatting sqref="L38:L120">
    <cfRule type="cellIs" priority="8" operator="greaterThan" dxfId="14">
      <formula>0</formula>
    </cfRule>
    <cfRule type="cellIs" priority="9" operator="lessThan" dxfId="15">
      <formula>0</formula>
    </cfRule>
  </conditionalFormatting>
  <conditionalFormatting sqref="B38:Q120">
    <cfRule type="expression" priority="10" dxfId="16">
      <formula>$B38=2</formula>
    </cfRule>
    <cfRule type="expression" priority="11" dxfId="17">
      <formula>$B38=3</formula>
    </cfRule>
    <cfRule type="expression" priority="12" dxfId="18">
      <formula>$B38=4</formula>
    </cfRule>
    <cfRule type="expression" priority="13" dxfId="19">
      <formula>$B38=5</formula>
    </cfRule>
  </conditionalFormatting>
  <conditionalFormatting sqref="F9">
    <cfRule type="cellIs" priority="14" operator="lessThan" dxfId="20">
      <formula>1000000</formula>
    </cfRule>
  </conditionalFormatting>
  <conditionalFormatting sqref="H9">
    <cfRule type="cellIs" priority="15" operator="lessThan" dxfId="21">
      <formula>1000000</formula>
    </cfRule>
  </conditionalFormatting>
  <conditionalFormatting sqref="F10">
    <cfRule type="cellIs" priority="16" operator="greaterThan" dxfId="22">
      <formula>0</formula>
    </cfRule>
    <cfRule type="cellIs" priority="17" operator="lessThan" dxfId="23">
      <formula>0</formula>
    </cfRule>
  </conditionalFormatting>
  <conditionalFormatting sqref="H10">
    <cfRule type="cellIs" priority="18" operator="greaterThan" dxfId="22">
      <formula>0</formula>
    </cfRule>
    <cfRule type="cellIs" priority="19" operator="lessThan" dxfId="23">
      <formula>0</formula>
    </cfRule>
  </conditionalFormatting>
  <conditionalFormatting sqref="J10">
    <cfRule type="cellIs" priority="20" operator="greaterThan" dxfId="22">
      <formula>0</formula>
    </cfRule>
    <cfRule type="cellIs" priority="21" operator="lessThan" dxfId="23">
      <formula>0</formula>
    </cfRule>
  </conditionalFormatting>
  <conditionalFormatting sqref="L10">
    <cfRule type="cellIs" priority="22" operator="greaterThan" dxfId="22">
      <formula>0</formula>
    </cfRule>
    <cfRule type="cellIs" priority="23" operator="lessThan" dxfId="23">
      <formula>0</formula>
    </cfRule>
  </conditionalFormatting>
  <conditionalFormatting sqref="N10">
    <cfRule type="cellIs" priority="24" operator="greaterThan" dxfId="23">
      <formula>0</formula>
    </cfRule>
    <cfRule type="cellIs" priority="25" operator="lessThan" dxfId="22">
      <formula>0</formula>
    </cfRule>
  </conditionalFormatting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82"/>
  <sheetViews>
    <sheetView showGridLines="0" topLeftCell="A7" workbookViewId="0">
      <selection activeCell="B11" sqref="B11"/>
    </sheetView>
  </sheetViews>
  <sheetFormatPr baseColWidth="8" defaultColWidth="9.00390625" defaultRowHeight="14.25" customHeight="1"/>
  <cols>
    <col width="2.4" customWidth="1" style="115" min="1" max="1"/>
    <col width="26" customWidth="1" style="115" min="2" max="2"/>
    <col width="13" customWidth="1" style="115" min="3" max="4"/>
    <col width="15" customWidth="1" style="115" min="4" max="4"/>
    <col width="12" customWidth="1" style="115" min="5" max="5"/>
    <col width="13" customWidth="1" style="115" min="6" max="7"/>
    <col width="13" customWidth="1" style="115" min="7" max="7"/>
    <col width="15" customWidth="1" style="115" min="8" max="9"/>
    <col width="15" customWidth="1" style="115" min="9" max="9"/>
    <col width="19" customWidth="1" style="115" min="10" max="10"/>
    <col width="14" customWidth="1" style="115" min="11" max="12"/>
    <col width="14" customWidth="1" style="115" min="12" max="12"/>
    <col width="12" customWidth="1" style="115" min="13" max="14"/>
    <col width="12" customWidth="1" style="115" min="14" max="14"/>
    <col width="13" customWidth="1" style="115" min="15" max="16"/>
    <col width="13" customWidth="1" style="115" min="16" max="16"/>
    <col width="2.4" customWidth="1" style="115" min="18" max="18"/>
    <col width="14" customWidth="1" style="115" min="19" max="23"/>
    <col width="14" customWidth="1" style="115" min="20" max="20"/>
    <col width="15" customWidth="1" style="115" min="21" max="21"/>
    <col width="14" customWidth="1" style="115" min="22" max="22"/>
    <col width="13" customWidth="1" style="115" min="23" max="23"/>
    <col hidden="1" width="13" customWidth="1" style="115" min="25" max="25"/>
    <col hidden="1" width="13" customWidth="1" style="115" min="26" max="26"/>
    <col hidden="1" width="13" customWidth="1" style="115" min="27" max="27"/>
    <col hidden="1" width="13" customWidth="1" style="115" min="28" max="28"/>
    <col hidden="1" width="13" customWidth="1" style="115" min="29" max="29"/>
    <col hidden="1" width="13" customWidth="1" style="115" min="30" max="30"/>
    <col hidden="1" width="13" customWidth="1" style="115" min="31" max="31"/>
  </cols>
  <sheetData>
    <row r="1" ht="6" customHeight="1" s="115">
      <c r="A1" s="189" t="n"/>
      <c r="B1" s="189" t="n"/>
      <c r="C1" s="189" t="n"/>
      <c r="D1" s="189" t="n"/>
      <c r="E1" s="189" t="n"/>
      <c r="F1" s="189" t="n"/>
      <c r="G1" s="189" t="n"/>
      <c r="H1" s="189" t="n"/>
      <c r="I1" s="189" t="n"/>
      <c r="J1" s="189" t="n"/>
      <c r="K1" s="189" t="n"/>
      <c r="L1" s="189" t="n"/>
      <c r="M1" s="189" t="n"/>
      <c r="N1" s="189" t="n"/>
      <c r="O1" s="189" t="n"/>
      <c r="P1" s="189" t="n"/>
      <c r="Q1" s="189" t="n"/>
      <c r="R1" s="189" t="n"/>
      <c r="S1" s="189" t="n"/>
      <c r="T1" s="189" t="n"/>
      <c r="U1" s="189" t="n"/>
      <c r="V1" s="189" t="n"/>
      <c r="W1" s="189" t="n"/>
      <c r="X1" s="189" t="n"/>
      <c r="Y1" s="66" t="n"/>
      <c r="Z1" s="66" t="n"/>
      <c r="AA1" s="66" t="n"/>
      <c r="AB1" s="66" t="n"/>
      <c r="AC1" s="66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6" t="n"/>
      <c r="BE1" s="66" t="n"/>
      <c r="BF1" s="66" t="n"/>
      <c r="BG1" s="66" t="n"/>
      <c r="BH1" s="66" t="n"/>
      <c r="BI1" s="66" t="n"/>
      <c r="BJ1" s="66" t="n"/>
      <c r="BK1" s="66" t="n"/>
      <c r="BL1" s="66" t="n"/>
      <c r="BM1" s="66" t="n"/>
      <c r="BN1" s="66" t="n"/>
      <c r="BO1" s="66" t="n"/>
      <c r="BP1" s="66" t="n"/>
      <c r="BQ1" s="66" t="n"/>
      <c r="BR1" s="66" t="n"/>
      <c r="BS1" s="66" t="n"/>
      <c r="BT1" s="66" t="n"/>
      <c r="BU1" s="66" t="n"/>
      <c r="BV1" s="66" t="n"/>
      <c r="BW1" s="66" t="n"/>
      <c r="BX1" s="66" t="n"/>
      <c r="BY1" s="66" t="n"/>
      <c r="BZ1" s="66" t="n"/>
      <c r="CA1" s="66" t="n"/>
      <c r="CB1" s="66" t="n"/>
      <c r="CC1" s="66" t="n"/>
      <c r="CD1" s="66" t="n"/>
    </row>
    <row r="2" ht="22" customHeight="1" s="115">
      <c r="A2" s="189" t="n"/>
      <c r="B2" s="189" t="n"/>
      <c r="C2" s="190" t="inlineStr">
        <is>
          <t>POURQUOI L'EBITDA A BOUGÉ</t>
        </is>
      </c>
      <c r="D2" s="189" t="n"/>
      <c r="E2" s="189" t="n"/>
      <c r="F2" s="189" t="n"/>
      <c r="G2" s="189" t="n"/>
      <c r="H2" s="189" t="n"/>
      <c r="I2" s="189" t="n"/>
      <c r="J2" s="189" t="n"/>
      <c r="K2" s="189" t="n"/>
      <c r="L2" s="189" t="n"/>
      <c r="M2" s="189" t="n"/>
      <c r="N2" s="189" t="n"/>
      <c r="O2" s="189" t="n"/>
      <c r="P2" s="189" t="n"/>
      <c r="Q2" s="189" t="n"/>
      <c r="R2" s="189" t="n"/>
      <c r="S2" s="189" t="n"/>
      <c r="T2" s="189" t="n"/>
      <c r="U2" s="189" t="n"/>
      <c r="V2" s="189" t="n"/>
      <c r="W2" s="189" t="n"/>
      <c r="X2" s="189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  <c r="AQ2" s="66" t="n"/>
      <c r="AR2" s="66" t="n"/>
      <c r="AS2" s="66" t="n"/>
      <c r="AT2" s="66" t="n"/>
      <c r="AU2" s="66" t="n"/>
      <c r="AV2" s="66" t="n"/>
      <c r="AW2" s="66" t="n"/>
      <c r="AX2" s="66" t="n"/>
      <c r="AY2" s="66" t="n"/>
      <c r="AZ2" s="66" t="n"/>
      <c r="BA2" s="66" t="n"/>
      <c r="BB2" s="66" t="n"/>
      <c r="BC2" s="66" t="n"/>
      <c r="BD2" s="66" t="n"/>
      <c r="BE2" s="66" t="n"/>
      <c r="BF2" s="66" t="n"/>
      <c r="BG2" s="66" t="n"/>
      <c r="BH2" s="66" t="n"/>
      <c r="BI2" s="66" t="n"/>
      <c r="BJ2" s="66" t="n"/>
      <c r="BK2" s="66" t="n"/>
      <c r="BL2" s="66" t="n"/>
      <c r="BM2" s="66" t="n"/>
      <c r="BN2" s="66" t="n"/>
      <c r="BO2" s="66" t="n"/>
      <c r="BP2" s="66" t="n"/>
      <c r="BQ2" s="66" t="n"/>
      <c r="BR2" s="66" t="n"/>
      <c r="BS2" s="66" t="n"/>
      <c r="BT2" s="66" t="n"/>
      <c r="BU2" s="66" t="n"/>
      <c r="BV2" s="66" t="n"/>
      <c r="BW2" s="66" t="n"/>
      <c r="BX2" s="66" t="n"/>
      <c r="BY2" s="66" t="n"/>
      <c r="BZ2" s="66" t="n"/>
      <c r="CA2" s="66" t="n"/>
      <c r="CB2" s="66" t="n"/>
      <c r="CC2" s="66" t="n"/>
      <c r="CD2" s="66" t="n"/>
    </row>
    <row r="3" ht="13" customHeight="1" s="115">
      <c r="A3" s="191" t="n"/>
      <c r="B3" s="191" t="n"/>
      <c r="C3" s="192" t="inlineStr">
        <is>
          <t>drill sur la cellule cliquée · 2026 contre 2025 · cinq effets, sans reste</t>
        </is>
      </c>
      <c r="D3" s="193" t="n"/>
      <c r="E3" s="189" t="n"/>
      <c r="F3" s="189" t="n"/>
      <c r="G3" s="189" t="n"/>
      <c r="H3" s="189" t="n"/>
      <c r="I3" s="189" t="n"/>
      <c r="J3" s="189" t="n"/>
      <c r="K3" s="189" t="n"/>
      <c r="L3" s="189" t="n"/>
      <c r="M3" s="189" t="n"/>
      <c r="N3" s="189" t="n"/>
      <c r="O3" s="189" t="n"/>
      <c r="P3" s="189" t="n"/>
      <c r="Q3" s="189" t="n"/>
      <c r="R3" s="189" t="n"/>
      <c r="S3" s="189" t="n"/>
      <c r="T3" s="189" t="n"/>
      <c r="U3" s="189" t="n"/>
      <c r="V3" s="189" t="n"/>
      <c r="W3" s="189" t="n"/>
      <c r="X3" s="189" t="n"/>
      <c r="Y3" s="66" t="n"/>
      <c r="Z3" s="66" t="n"/>
      <c r="AA3" s="66" t="n"/>
      <c r="AB3" s="66" t="n"/>
      <c r="AC3" s="66" t="n"/>
      <c r="AD3" s="66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  <c r="AQ3" s="66" t="n"/>
      <c r="AR3" s="66" t="n"/>
      <c r="AS3" s="66" t="n"/>
      <c r="AT3" s="66" t="n"/>
      <c r="AU3" s="66" t="n"/>
      <c r="AV3" s="66" t="n"/>
      <c r="AW3" s="66" t="n"/>
      <c r="AX3" s="66" t="n"/>
      <c r="AY3" s="66" t="n"/>
      <c r="AZ3" s="66" t="n"/>
      <c r="BA3" s="66" t="n"/>
      <c r="BB3" s="66" t="n"/>
      <c r="BC3" s="66" t="n"/>
      <c r="BD3" s="66" t="n"/>
      <c r="BE3" s="66" t="n"/>
      <c r="BF3" s="66" t="n"/>
      <c r="BG3" s="66" t="n"/>
      <c r="BH3" s="66" t="n"/>
      <c r="BI3" s="66" t="n"/>
      <c r="BJ3" s="66" t="n"/>
      <c r="BK3" s="66" t="n"/>
      <c r="BL3" s="66" t="n"/>
      <c r="BM3" s="66" t="n"/>
      <c r="BN3" s="66" t="n"/>
      <c r="BO3" s="66" t="n"/>
      <c r="BP3" s="66" t="n"/>
      <c r="BQ3" s="66" t="n"/>
      <c r="BR3" s="66" t="n"/>
      <c r="BS3" s="66" t="n"/>
      <c r="BT3" s="66" t="n"/>
      <c r="BU3" s="66" t="n"/>
      <c r="BV3" s="66" t="n"/>
      <c r="BW3" s="66" t="n"/>
      <c r="BX3" s="66" t="n"/>
      <c r="BY3" s="66" t="n"/>
      <c r="BZ3" s="66" t="n"/>
      <c r="CA3" s="66" t="n"/>
      <c r="CB3" s="66" t="n"/>
      <c r="CC3" s="66" t="n"/>
      <c r="CD3" s="66" t="n"/>
    </row>
    <row r="4" ht="3" customFormat="1" customHeight="1" s="69">
      <c r="A4" s="194" t="n"/>
      <c r="B4" s="194" t="n"/>
      <c r="C4" s="194" t="inlineStr">
        <is>
          <t>drill sur la cellule cliquée · 2026 contre 2025</t>
        </is>
      </c>
      <c r="D4" s="195" t="n"/>
      <c r="E4" s="196" t="n"/>
      <c r="F4" s="196" t="n"/>
      <c r="G4" s="196" t="n"/>
      <c r="H4" s="196" t="n"/>
      <c r="I4" s="196" t="n"/>
      <c r="J4" s="196" t="n"/>
      <c r="K4" s="196" t="n"/>
      <c r="L4" s="196" t="n"/>
      <c r="M4" s="196" t="n"/>
      <c r="N4" s="196" t="n"/>
      <c r="O4" s="196" t="n"/>
      <c r="P4" s="196" t="n"/>
      <c r="Q4" s="196" t="n"/>
      <c r="R4" s="196" t="n"/>
      <c r="S4" s="196" t="n"/>
      <c r="T4" s="196" t="n"/>
      <c r="U4" s="196" t="n"/>
      <c r="V4" s="196" t="n"/>
      <c r="W4" s="196" t="n"/>
      <c r="X4" s="196" t="n"/>
      <c r="Y4" s="72" t="n"/>
      <c r="Z4" s="72" t="n"/>
      <c r="AA4" s="72" t="n"/>
      <c r="AB4" s="72" t="n"/>
      <c r="AC4" s="72" t="n"/>
      <c r="AD4" s="72" t="n"/>
      <c r="AE4" s="72" t="n"/>
      <c r="AF4" s="72" t="n"/>
      <c r="AG4" s="72" t="n"/>
      <c r="AH4" s="72" t="n"/>
      <c r="AI4" s="72" t="n"/>
      <c r="AJ4" s="72" t="n"/>
      <c r="AK4" s="72" t="n"/>
      <c r="AL4" s="72" t="n"/>
      <c r="AM4" s="72" t="n"/>
      <c r="AN4" s="72" t="n"/>
      <c r="AO4" s="72" t="n"/>
      <c r="AP4" s="72" t="n"/>
      <c r="AQ4" s="72" t="n"/>
      <c r="AR4" s="72" t="n"/>
      <c r="AS4" s="72" t="n"/>
      <c r="AT4" s="72" t="n"/>
      <c r="AU4" s="72" t="n"/>
      <c r="AV4" s="72" t="n"/>
      <c r="AW4" s="72" t="n"/>
      <c r="AX4" s="72" t="n"/>
      <c r="AY4" s="72" t="n"/>
      <c r="AZ4" s="72" t="n"/>
      <c r="BA4" s="72" t="n"/>
      <c r="BB4" s="72" t="n"/>
      <c r="BC4" s="72" t="n"/>
      <c r="BD4" s="72" t="n"/>
      <c r="BE4" s="72" t="n"/>
      <c r="BF4" s="72" t="n"/>
      <c r="BG4" s="72" t="n"/>
      <c r="BH4" s="72" t="n"/>
      <c r="BI4" s="72" t="n"/>
      <c r="BJ4" s="72" t="n"/>
      <c r="BK4" s="72" t="n"/>
      <c r="BL4" s="72" t="n"/>
      <c r="BM4" s="72" t="n"/>
      <c r="BN4" s="72" t="n"/>
      <c r="BO4" s="72" t="n"/>
      <c r="BP4" s="72" t="n"/>
      <c r="BQ4" s="72" t="n"/>
      <c r="BR4" s="72" t="n"/>
      <c r="BS4" s="72" t="n"/>
      <c r="BT4" s="72" t="n"/>
      <c r="BU4" s="72" t="n"/>
      <c r="BV4" s="72" t="n"/>
      <c r="BW4" s="72" t="n"/>
      <c r="BX4" s="72" t="n"/>
      <c r="BY4" s="72" t="n"/>
      <c r="BZ4" s="72" t="n"/>
      <c r="CA4" s="72" t="n"/>
      <c r="CB4" s="72" t="n"/>
      <c r="CC4" s="72" t="n"/>
      <c r="CD4" s="72" t="n"/>
    </row>
    <row r="5" ht="9.75" customHeight="1" s="115">
      <c r="A5" s="197" t="n"/>
      <c r="B5" s="197" t="n"/>
      <c r="C5" s="197" t="n"/>
      <c r="D5" s="197" t="n"/>
      <c r="E5" s="197" t="n"/>
      <c r="F5" s="197" t="n"/>
      <c r="G5" s="197" t="n"/>
      <c r="H5" s="197" t="n"/>
      <c r="I5" s="197" t="n"/>
      <c r="J5" s="197" t="n"/>
      <c r="K5" s="197" t="n"/>
      <c r="L5" s="197" t="n"/>
      <c r="M5" s="197" t="n"/>
      <c r="N5" s="197" t="n"/>
      <c r="O5" s="197" t="n"/>
      <c r="P5" s="197" t="n"/>
      <c r="Q5" s="197" t="n"/>
      <c r="R5" s="197" t="n"/>
      <c r="S5" s="197" t="n"/>
      <c r="T5" s="197" t="n"/>
      <c r="U5" s="197" t="n"/>
      <c r="V5" s="197" t="n"/>
      <c r="W5" s="197" t="n"/>
      <c r="X5" s="197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</row>
    <row r="6" ht="20" customHeight="1" s="115">
      <c r="A6" s="197" t="n"/>
      <c r="B6" s="198">
        <f>"L'EBITDA passe de "&amp;TEXT(C12,"#,##0 €")&amp;" à "&amp;TEXT(C18,"#,##0 €")&amp;", soit "&amp;TEXT(C18-C12,"+#,##0 €;-#,##0 €")&amp;"  ("&amp;TEXT(C18/C12-1,"+0.0%;-0.0%")&amp;")"</f>
        <v/>
      </c>
      <c r="C6" s="197" t="n"/>
      <c r="D6" s="197" t="n"/>
      <c r="E6" s="197" t="n"/>
      <c r="F6" s="197" t="n"/>
      <c r="G6" s="197" t="n"/>
      <c r="H6" s="197" t="n"/>
      <c r="I6" s="197" t="n"/>
      <c r="J6" s="197" t="n"/>
      <c r="K6" s="197" t="n"/>
      <c r="L6" s="197" t="n"/>
      <c r="M6" s="197" t="n"/>
      <c r="N6" s="197" t="n"/>
      <c r="O6" s="197" t="n"/>
      <c r="P6" s="197" t="n"/>
      <c r="Q6" s="197" t="n"/>
      <c r="R6" s="197" t="n"/>
      <c r="S6" s="197" t="n"/>
      <c r="T6" s="197" t="n"/>
      <c r="U6" s="197" t="n"/>
      <c r="V6" s="197" t="n"/>
      <c r="W6" s="197" t="n"/>
      <c r="X6" s="197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</row>
    <row r="7" ht="14.25" customHeight="1" s="115">
      <c r="A7" s="197" t="n"/>
      <c r="B7" s="199" t="inlineStr">
        <is>
          <t>le pont ci-dessous décompose cette variation en cinq causes, sans reste</t>
        </is>
      </c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7" t="n"/>
      <c r="M7" s="197" t="n"/>
      <c r="N7" s="197" t="n"/>
      <c r="O7" s="197" t="n"/>
      <c r="P7" s="197" t="n"/>
      <c r="Q7" s="197" t="n"/>
      <c r="R7" s="197" t="n"/>
      <c r="S7" s="197" t="n"/>
      <c r="T7" s="197" t="n"/>
      <c r="U7" s="197" t="n"/>
      <c r="V7" s="197" t="n"/>
      <c r="W7" s="197" t="n"/>
      <c r="X7" s="197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</row>
    <row r="8" ht="8.25" customHeight="1" s="115">
      <c r="A8" s="197" t="n"/>
      <c r="B8" s="197" t="n"/>
      <c r="C8" s="197" t="n"/>
      <c r="D8" s="197" t="n"/>
      <c r="E8" s="197" t="n"/>
      <c r="F8" s="197" t="n"/>
      <c r="G8" s="197" t="n"/>
      <c r="H8" s="197" t="n"/>
      <c r="I8" s="197" t="n"/>
      <c r="J8" s="197" t="n"/>
      <c r="K8" s="197" t="n"/>
      <c r="L8" s="197" t="n"/>
      <c r="M8" s="197" t="n"/>
      <c r="N8" s="197" t="n"/>
      <c r="O8" s="197" t="n"/>
      <c r="P8" s="197" t="n"/>
      <c r="Q8" s="197" t="n"/>
      <c r="R8" s="197" t="n"/>
      <c r="S8" s="197" t="n"/>
      <c r="T8" s="197" t="n"/>
      <c r="U8" s="197" t="n"/>
      <c r="V8" s="197" t="n"/>
      <c r="W8" s="197" t="n"/>
      <c r="X8" s="197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</row>
    <row r="9" ht="15" customHeight="1" s="115">
      <c r="A9" s="197" t="n"/>
      <c r="B9" s="197" t="n"/>
      <c r="C9" s="197" t="n"/>
      <c r="D9" s="197" t="n"/>
      <c r="E9" s="197" t="n"/>
      <c r="F9" s="197" t="n"/>
      <c r="G9" s="197" t="n"/>
      <c r="H9" s="197" t="n"/>
      <c r="I9" s="197" t="n"/>
      <c r="J9" s="197" t="n"/>
      <c r="K9" s="197" t="n"/>
      <c r="L9" s="197" t="n"/>
      <c r="M9" s="197" t="n"/>
      <c r="N9" s="197" t="n"/>
      <c r="O9" s="197" t="n"/>
      <c r="P9" s="197" t="n"/>
      <c r="Q9" s="197" t="n"/>
      <c r="R9" s="197" t="n"/>
      <c r="S9" s="197" t="n"/>
      <c r="T9" s="197" t="n"/>
      <c r="U9" s="197" t="n"/>
      <c r="V9" s="197" t="n"/>
      <c r="W9" s="197" t="n"/>
      <c r="X9" s="197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</row>
    <row r="10" ht="18" customHeight="1" s="115">
      <c r="A10" s="197" t="n"/>
      <c r="B10" s="200" t="inlineStr">
        <is>
          <t>LE PONT, CHIFFRE PAR CHIFFRE</t>
        </is>
      </c>
      <c r="C10" s="197" t="n"/>
      <c r="D10" s="201" t="inlineStr">
        <is>
          <t xml:space="preserve">chaque effet rapporté à sa masse : ce qui pousse, ou ce qui freine  </t>
        </is>
      </c>
      <c r="E10" s="197" t="n"/>
      <c r="F10" s="197" t="n"/>
      <c r="G10" s="197" t="n"/>
      <c r="H10" s="197" t="n"/>
      <c r="I10" s="197" t="n"/>
      <c r="J10" s="197" t="n"/>
      <c r="K10" s="197" t="n"/>
      <c r="L10" s="197" t="n"/>
      <c r="M10" s="197" t="n"/>
      <c r="N10" s="197" t="n"/>
      <c r="O10" s="197" t="n"/>
      <c r="P10" s="197" t="n"/>
      <c r="Q10" s="197" t="n"/>
      <c r="R10" s="197" t="n"/>
      <c r="S10" s="197" t="n"/>
      <c r="T10" s="197" t="n"/>
      <c r="U10" s="197" t="n"/>
      <c r="V10" s="197" t="n"/>
      <c r="W10" s="197" t="n"/>
      <c r="X10" s="197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</row>
    <row r="11" ht="26" customHeight="1" s="115">
      <c r="A11" s="197" t="n"/>
      <c r="B11" s="202" t="inlineStr">
        <is>
          <t>Effet</t>
        </is>
      </c>
      <c r="C11" s="171" t="inlineStr">
        <is>
          <t>Montant</t>
        </is>
      </c>
      <c r="D11" s="171" t="inlineStr">
        <is>
          <t>Part de sa masse</t>
        </is>
      </c>
      <c r="E11" s="197" t="n"/>
      <c r="F11" s="197" t="n"/>
      <c r="G11" s="197" t="n"/>
      <c r="H11" s="197" t="n"/>
      <c r="I11" s="197" t="n"/>
      <c r="J11" s="197" t="n"/>
      <c r="K11" s="197" t="n"/>
      <c r="L11" s="197" t="n"/>
      <c r="M11" s="197" t="n"/>
      <c r="N11" s="197" t="n"/>
      <c r="O11" s="197" t="n"/>
      <c r="P11" s="197" t="n"/>
      <c r="Q11" s="197" t="n"/>
      <c r="R11" s="197" t="n"/>
      <c r="S11" s="197" t="n"/>
      <c r="T11" s="197" t="n"/>
      <c r="U11" s="197" t="n"/>
      <c r="V11" s="197" t="n"/>
      <c r="W11" s="197" t="n"/>
      <c r="X11" s="197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</row>
    <row r="12" ht="15" customHeight="1" s="115">
      <c r="A12" s="197" t="n"/>
      <c r="B12" s="203" t="inlineStr">
        <is>
          <t>EBITDA 2025</t>
        </is>
      </c>
      <c r="C12" s="204">
        <f>O43</f>
        <v/>
      </c>
      <c r="D12" s="205" t="n"/>
      <c r="E12" s="197" t="n"/>
      <c r="F12" s="197" t="n"/>
      <c r="G12" s="197" t="n"/>
      <c r="H12" s="197" t="n"/>
      <c r="I12" s="197" t="n"/>
      <c r="J12" s="197" t="n"/>
      <c r="K12" s="197" t="n"/>
      <c r="L12" s="197" t="n"/>
      <c r="M12" s="197" t="n"/>
      <c r="N12" s="197" t="n"/>
      <c r="O12" s="197" t="n"/>
      <c r="P12" s="197" t="n"/>
      <c r="Q12" s="197" t="n"/>
      <c r="R12" s="197" t="n"/>
      <c r="S12" s="197" t="n"/>
      <c r="T12" s="197" t="n"/>
      <c r="U12" s="197" t="n"/>
      <c r="V12" s="197" t="n"/>
      <c r="W12" s="197" t="n"/>
      <c r="X12" s="197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</row>
    <row r="13" ht="15" customHeight="1" s="115">
      <c r="A13" s="197" t="n"/>
      <c r="B13" s="206" t="inlineStr">
        <is>
          <t>Effet effectifs</t>
        </is>
      </c>
      <c r="C13" s="207">
        <f>S43</f>
        <v/>
      </c>
      <c r="D13" s="208">
        <f>IFERROR(IF(C13&gt;0,C13/SUMIF(C13:C17,"&gt;0"),C13/SUMIF(C13:C17,"&lt;0")),"")</f>
        <v/>
      </c>
      <c r="E13" s="197" t="n"/>
      <c r="F13" s="197" t="n"/>
      <c r="G13" s="197" t="n"/>
      <c r="H13" s="197" t="n"/>
      <c r="I13" s="197" t="n"/>
      <c r="J13" s="197" t="n"/>
      <c r="K13" s="197" t="n"/>
      <c r="L13" s="197" t="n"/>
      <c r="M13" s="197" t="n"/>
      <c r="N13" s="197" t="n"/>
      <c r="O13" s="197" t="n"/>
      <c r="P13" s="197" t="n"/>
      <c r="Q13" s="197" t="n"/>
      <c r="R13" s="197" t="n"/>
      <c r="S13" s="197" t="n"/>
      <c r="T13" s="197" t="n"/>
      <c r="U13" s="197" t="n"/>
      <c r="V13" s="197" t="n"/>
      <c r="W13" s="197" t="n"/>
      <c r="X13" s="197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</row>
    <row r="14" ht="15" customHeight="1" s="115">
      <c r="A14" s="197" t="n"/>
      <c r="B14" s="206" t="inlineStr">
        <is>
          <t>Effet prix et mix</t>
        </is>
      </c>
      <c r="C14" s="207">
        <f>T43</f>
        <v/>
      </c>
      <c r="D14" s="208">
        <f>IFERROR(IF(C14&gt;0,C14/SUMIF(C13:C17,"&gt;0"),C14/SUMIF(C13:C17,"&lt;0")),"")</f>
        <v/>
      </c>
      <c r="E14" s="197" t="n"/>
      <c r="F14" s="197" t="n"/>
      <c r="G14" s="197" t="n"/>
      <c r="H14" s="197" t="n"/>
      <c r="I14" s="197" t="n"/>
      <c r="J14" s="197" t="n"/>
      <c r="K14" s="197" t="n"/>
      <c r="L14" s="197" t="n"/>
      <c r="M14" s="197" t="n"/>
      <c r="N14" s="197" t="n"/>
      <c r="O14" s="197" t="n"/>
      <c r="P14" s="197" t="n"/>
      <c r="Q14" s="197" t="n"/>
      <c r="R14" s="197" t="n"/>
      <c r="S14" s="197" t="n"/>
      <c r="T14" s="197" t="n"/>
      <c r="U14" s="197" t="n"/>
      <c r="V14" s="197" t="n"/>
      <c r="W14" s="197" t="n"/>
      <c r="X14" s="197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</row>
    <row r="15" ht="15" customHeight="1" s="115">
      <c r="A15" s="197" t="n"/>
      <c r="B15" s="206" t="inlineStr">
        <is>
          <t>Effet coût var. unitaire</t>
        </is>
      </c>
      <c r="C15" s="207">
        <f>U43</f>
        <v/>
      </c>
      <c r="D15" s="208">
        <f>IFERROR(IF(C15&gt;0,C15/SUMIF(C13:C17,"&gt;0"),C15/SUMIF(C13:C17,"&lt;0")),"")</f>
        <v/>
      </c>
      <c r="E15" s="197" t="n"/>
      <c r="F15" s="197" t="n"/>
      <c r="G15" s="197" t="n"/>
      <c r="H15" s="197" t="n"/>
      <c r="I15" s="197" t="n"/>
      <c r="J15" s="197" t="n"/>
      <c r="K15" s="197" t="n"/>
      <c r="L15" s="197" t="n"/>
      <c r="M15" s="197" t="n"/>
      <c r="N15" s="197" t="n"/>
      <c r="O15" s="197" t="n"/>
      <c r="P15" s="197" t="n"/>
      <c r="Q15" s="197" t="n"/>
      <c r="R15" s="197" t="n"/>
      <c r="S15" s="197" t="n"/>
      <c r="T15" s="197" t="n"/>
      <c r="U15" s="197" t="n"/>
      <c r="V15" s="197" t="n"/>
      <c r="W15" s="197" t="n"/>
      <c r="X15" s="197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</row>
    <row r="16" ht="15" customHeight="1" s="115">
      <c r="A16" s="197" t="n"/>
      <c r="B16" s="206" t="inlineStr">
        <is>
          <t>Effet coûts directs</t>
        </is>
      </c>
      <c r="C16" s="207">
        <f>V43</f>
        <v/>
      </c>
      <c r="D16" s="208">
        <f>IFERROR(IF(C16&gt;0,C16/SUMIF(C13:C17,"&gt;0"),C16/SUMIF(C13:C17,"&lt;0")),"")</f>
        <v/>
      </c>
      <c r="E16" s="197" t="n"/>
      <c r="F16" s="197" t="n"/>
      <c r="G16" s="197" t="n"/>
      <c r="H16" s="197" t="n"/>
      <c r="I16" s="197" t="n"/>
      <c r="J16" s="197" t="n"/>
      <c r="K16" s="197" t="n"/>
      <c r="L16" s="197" t="n"/>
      <c r="M16" s="197" t="n"/>
      <c r="N16" s="197" t="n"/>
      <c r="O16" s="197" t="n"/>
      <c r="P16" s="197" t="n"/>
      <c r="Q16" s="197" t="n"/>
      <c r="R16" s="197" t="n"/>
      <c r="S16" s="197" t="n"/>
      <c r="T16" s="197" t="n"/>
      <c r="U16" s="197" t="n"/>
      <c r="V16" s="197" t="n"/>
      <c r="W16" s="197" t="n"/>
      <c r="X16" s="197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</row>
    <row r="17" ht="15" customHeight="1" s="115">
      <c r="A17" s="197" t="n"/>
      <c r="B17" s="206" t="inlineStr">
        <is>
          <t>Effet siège</t>
        </is>
      </c>
      <c r="C17" s="207">
        <f>W43</f>
        <v/>
      </c>
      <c r="D17" s="208">
        <f>IFERROR(IF(C17&gt;0,C17/SUMIF(C13:C17,"&gt;0"),C17/SUMIF(C13:C17,"&lt;0")),"")</f>
        <v/>
      </c>
      <c r="E17" s="197" t="n"/>
      <c r="F17" s="197" t="n"/>
      <c r="G17" s="197" t="n"/>
      <c r="H17" s="197" t="n"/>
      <c r="I17" s="197" t="n"/>
      <c r="J17" s="197" t="n"/>
      <c r="K17" s="197" t="n"/>
      <c r="L17" s="197" t="n"/>
      <c r="M17" s="197" t="n"/>
      <c r="N17" s="197" t="n"/>
      <c r="O17" s="197" t="n"/>
      <c r="P17" s="197" t="n"/>
      <c r="Q17" s="197" t="n"/>
      <c r="R17" s="197" t="n"/>
      <c r="S17" s="197" t="n"/>
      <c r="T17" s="197" t="n"/>
      <c r="U17" s="197" t="n"/>
      <c r="V17" s="197" t="n"/>
      <c r="W17" s="197" t="n"/>
      <c r="X17" s="197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</row>
    <row r="18" ht="15" customHeight="1" s="115">
      <c r="A18" s="197" t="n"/>
      <c r="B18" s="203" t="inlineStr">
        <is>
          <t>EBITDA 2026</t>
        </is>
      </c>
      <c r="C18" s="204">
        <f>P43</f>
        <v/>
      </c>
      <c r="D18" s="205" t="n"/>
      <c r="E18" s="197" t="n"/>
      <c r="F18" s="197" t="n"/>
      <c r="G18" s="197" t="n"/>
      <c r="H18" s="197" t="n"/>
      <c r="I18" s="197" t="n"/>
      <c r="J18" s="197" t="n"/>
      <c r="K18" s="197" t="n"/>
      <c r="L18" s="197" t="n"/>
      <c r="M18" s="197" t="n"/>
      <c r="N18" s="197" t="n"/>
      <c r="O18" s="197" t="n"/>
      <c r="P18" s="197" t="n"/>
      <c r="Q18" s="197" t="n"/>
      <c r="R18" s="197" t="n"/>
      <c r="S18" s="197" t="n"/>
      <c r="T18" s="197" t="n"/>
      <c r="U18" s="197" t="n"/>
      <c r="V18" s="197" t="n"/>
      <c r="W18" s="197" t="n"/>
      <c r="X18" s="197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</row>
    <row r="19" ht="15" customHeight="1" s="115">
      <c r="A19" s="197" t="n"/>
      <c r="B19" s="209" t="inlineStr">
        <is>
          <t>Ce qui pousse  ·  ce qui freine</t>
        </is>
      </c>
      <c r="C19" s="210">
        <f>SUMIF($C$13:$C$17,"&gt;0")</f>
        <v/>
      </c>
      <c r="D19" s="211">
        <f>SUMIF(C13:C17,"&lt;0")</f>
        <v/>
      </c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</row>
    <row r="20" ht="15" customHeight="1" s="115">
      <c r="A20" s="197" t="n"/>
      <c r="B20" s="212" t="inlineStr">
        <is>
          <t>la variation nette est le SOLDE de ces deux masses, pas un mouvement : c'est pourquoi chaque effet est rapporté à la sienne</t>
        </is>
      </c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</row>
    <row r="21" ht="15" customHeight="1" s="115">
      <c r="A21" s="197" t="n"/>
      <c r="B21" s="213" t="inlineStr">
        <is>
          <t>Contrôle · les cinq effets moins la variation</t>
        </is>
      </c>
      <c r="C21" s="214">
        <f>SUM(C13:C17)-(C18-C12)</f>
        <v/>
      </c>
      <c r="D21" s="215" t="inlineStr">
        <is>
          <t>doit valoir 0,00 €</t>
        </is>
      </c>
      <c r="E21" s="197" t="n"/>
      <c r="F21" s="197" t="n"/>
      <c r="G21" s="197" t="n"/>
      <c r="H21" s="197" t="n"/>
      <c r="I21" s="197" t="n"/>
      <c r="J21" s="197" t="n"/>
      <c r="K21" s="197" t="n"/>
      <c r="L21" s="197" t="n"/>
      <c r="M21" s="197" t="n"/>
      <c r="N21" s="197" t="n"/>
      <c r="O21" s="197" t="n"/>
      <c r="P21" s="197" t="n"/>
      <c r="Q21" s="197" t="n"/>
      <c r="R21" s="197" t="n"/>
      <c r="S21" s="197" t="n"/>
      <c r="T21" s="197" t="n"/>
      <c r="U21" s="197" t="n"/>
      <c r="V21" s="197" t="n"/>
      <c r="W21" s="197" t="n"/>
      <c r="X21" s="197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</row>
    <row r="22" ht="15" customHeight="1" s="115">
      <c r="A22" s="197" t="n"/>
      <c r="B22" s="197" t="n"/>
      <c r="C22" s="197" t="n"/>
      <c r="D22" s="197" t="n"/>
      <c r="E22" s="197" t="n"/>
      <c r="F22" s="197" t="n"/>
      <c r="G22" s="197" t="n"/>
      <c r="H22" s="197" t="n"/>
      <c r="I22" s="197" t="n"/>
      <c r="J22" s="197" t="n"/>
      <c r="K22" s="197" t="n"/>
      <c r="L22" s="197" t="n"/>
      <c r="M22" s="197" t="n"/>
      <c r="N22" s="197" t="n"/>
      <c r="O22" s="197" t="n"/>
      <c r="P22" s="197" t="n"/>
      <c r="Q22" s="197" t="n"/>
      <c r="R22" s="197" t="n"/>
      <c r="S22" s="197" t="n"/>
      <c r="T22" s="197" t="n"/>
      <c r="U22" s="197" t="n"/>
      <c r="V22" s="197" t="n"/>
      <c r="W22" s="197" t="n"/>
      <c r="X22" s="197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</row>
    <row r="23" ht="18" customHeight="1" s="115">
      <c r="A23" s="197" t="n"/>
      <c r="B23" s="200" t="inlineStr">
        <is>
          <t>LA CASCADE</t>
        </is>
      </c>
      <c r="C23" s="197" t="n"/>
      <c r="D23" s="197" t="n"/>
      <c r="E23" s="197" t="n"/>
      <c r="F23" s="197" t="n"/>
      <c r="G23" s="197" t="n"/>
      <c r="H23" s="201" t="inlineStr">
        <is>
          <t xml:space="preserve">socle invisible, ancres, hausses et baisses    </t>
        </is>
      </c>
      <c r="I23" s="197" t="n"/>
      <c r="J23" s="197" t="n"/>
      <c r="K23" s="197" t="n"/>
      <c r="L23" s="197" t="n"/>
      <c r="M23" s="197" t="n"/>
      <c r="N23" s="197" t="n"/>
      <c r="O23" s="197" t="n"/>
      <c r="P23" s="197" t="n"/>
      <c r="Q23" s="197" t="n"/>
      <c r="R23" s="197" t="n"/>
      <c r="S23" s="197" t="n"/>
      <c r="T23" s="197" t="n"/>
      <c r="U23" s="197" t="n"/>
      <c r="V23" s="197" t="n"/>
      <c r="W23" s="197" t="n"/>
      <c r="X23" s="197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</row>
    <row r="24" ht="15" customHeight="1" s="115">
      <c r="A24" s="197" t="n"/>
      <c r="B24" s="197" t="n"/>
      <c r="C24" s="197" t="n"/>
      <c r="D24" s="197" t="n"/>
      <c r="E24" s="197" t="n"/>
      <c r="F24" s="197" t="n"/>
      <c r="G24" s="197" t="n"/>
      <c r="H24" s="197" t="n"/>
      <c r="I24" s="197" t="n"/>
      <c r="J24" s="197" t="n"/>
      <c r="K24" s="197" t="n"/>
      <c r="L24" s="197" t="n"/>
      <c r="M24" s="197" t="n"/>
      <c r="N24" s="197" t="n"/>
      <c r="O24" s="197" t="n"/>
      <c r="P24" s="197" t="n"/>
      <c r="Q24" s="197" t="n"/>
      <c r="R24" s="197" t="n"/>
      <c r="S24" s="197" t="n"/>
      <c r="T24" s="197" t="n"/>
      <c r="U24" s="197" t="n"/>
      <c r="V24" s="197" t="n"/>
      <c r="W24" s="197" t="n"/>
      <c r="X24" s="197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</row>
    <row r="25" ht="15" customHeight="1" s="115">
      <c r="A25" s="197" t="n"/>
      <c r="B25" s="197" t="n"/>
      <c r="C25" s="197" t="n"/>
      <c r="D25" s="197" t="n"/>
      <c r="E25" s="197" t="n"/>
      <c r="F25" s="197" t="n"/>
      <c r="G25" s="197" t="n"/>
      <c r="H25" s="197" t="n"/>
      <c r="I25" s="197" t="n"/>
      <c r="J25" s="197" t="n"/>
      <c r="K25" s="197" t="n"/>
      <c r="L25" s="197" t="n"/>
      <c r="M25" s="197" t="n"/>
      <c r="N25" s="197" t="n"/>
      <c r="O25" s="197" t="n"/>
      <c r="P25" s="197" t="n"/>
      <c r="Q25" s="197" t="n"/>
      <c r="R25" s="197" t="n"/>
      <c r="S25" s="197" t="n"/>
      <c r="T25" s="197" t="n"/>
      <c r="U25" s="197" t="n"/>
      <c r="V25" s="197" t="n"/>
      <c r="W25" s="197" t="n"/>
      <c r="X25" s="197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</row>
    <row r="26" ht="15" customHeight="1" s="115">
      <c r="A26" s="197" t="n"/>
      <c r="B26" s="197" t="n"/>
      <c r="C26" s="197" t="n"/>
      <c r="D26" s="197" t="n"/>
      <c r="E26" s="197" t="n"/>
      <c r="F26" s="197" t="n"/>
      <c r="G26" s="197" t="n"/>
      <c r="H26" s="197" t="n"/>
      <c r="I26" s="197" t="n"/>
      <c r="J26" s="197" t="n"/>
      <c r="K26" s="197" t="n"/>
      <c r="L26" s="197" t="n"/>
      <c r="M26" s="197" t="n"/>
      <c r="N26" s="197" t="n"/>
      <c r="O26" s="197" t="n"/>
      <c r="P26" s="197" t="n"/>
      <c r="Q26" s="197" t="n"/>
      <c r="R26" s="197" t="n"/>
      <c r="S26" s="197" t="n"/>
      <c r="T26" s="197" t="n"/>
      <c r="U26" s="197" t="n"/>
      <c r="V26" s="197" t="n"/>
      <c r="W26" s="197" t="n"/>
      <c r="X26" s="197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</row>
    <row r="27" ht="15" customHeight="1" s="115">
      <c r="A27" s="197" t="n"/>
      <c r="B27" s="197" t="n"/>
      <c r="C27" s="197" t="n"/>
      <c r="D27" s="197" t="n"/>
      <c r="E27" s="197" t="n"/>
      <c r="F27" s="197" t="n"/>
      <c r="G27" s="197" t="n"/>
      <c r="H27" s="197" t="n"/>
      <c r="I27" s="197" t="n"/>
      <c r="J27" s="197" t="n"/>
      <c r="K27" s="197" t="n"/>
      <c r="L27" s="197" t="n"/>
      <c r="M27" s="197" t="n"/>
      <c r="N27" s="197" t="n"/>
      <c r="O27" s="197" t="n"/>
      <c r="P27" s="197" t="n"/>
      <c r="Q27" s="197" t="n"/>
      <c r="R27" s="197" t="n"/>
      <c r="S27" s="197" t="n"/>
      <c r="T27" s="197" t="n"/>
      <c r="U27" s="197" t="n"/>
      <c r="V27" s="197" t="n"/>
      <c r="W27" s="197" t="n"/>
      <c r="X27" s="197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</row>
    <row r="28" ht="14.25" customHeight="1" s="115">
      <c r="A28" s="197" t="n"/>
      <c r="B28" s="197" t="n"/>
      <c r="C28" s="197" t="n"/>
      <c r="D28" s="197" t="n"/>
      <c r="E28" s="197" t="n"/>
      <c r="F28" s="197" t="n"/>
      <c r="G28" s="197" t="n"/>
      <c r="H28" s="197" t="n"/>
      <c r="I28" s="197" t="n"/>
      <c r="J28" s="197" t="n"/>
      <c r="K28" s="197" t="n"/>
      <c r="L28" s="197" t="n"/>
      <c r="M28" s="197" t="n"/>
      <c r="N28" s="197" t="n"/>
      <c r="O28" s="197" t="n"/>
      <c r="P28" s="197" t="n"/>
      <c r="Q28" s="197" t="n"/>
      <c r="R28" s="197" t="n"/>
      <c r="S28" s="197" t="n"/>
      <c r="T28" s="197" t="n"/>
      <c r="U28" s="197" t="n"/>
      <c r="V28" s="197" t="n"/>
      <c r="W28" s="197" t="n"/>
      <c r="X28" s="197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</row>
    <row r="29" hidden="1" ht="20.25" customHeight="1" s="115">
      <c r="A29" s="197" t="n"/>
      <c r="B29" s="197" t="n"/>
      <c r="C29" s="197" t="n"/>
      <c r="D29" s="197" t="n"/>
      <c r="E29" s="197" t="n"/>
      <c r="F29" s="197" t="n"/>
      <c r="G29" s="197" t="n"/>
      <c r="H29" s="197" t="n"/>
      <c r="I29" s="197" t="n"/>
      <c r="J29" s="197" t="n"/>
      <c r="K29" s="197" t="n"/>
      <c r="L29" s="197" t="n"/>
      <c r="M29" s="197" t="n"/>
      <c r="N29" s="197" t="n"/>
      <c r="O29" s="197" t="n"/>
      <c r="P29" s="197" t="n"/>
      <c r="Q29" s="197" t="n"/>
      <c r="R29" s="197" t="n"/>
      <c r="S29" s="197" t="n"/>
      <c r="T29" s="197" t="n"/>
      <c r="U29" s="197" t="n"/>
      <c r="V29" s="197" t="n"/>
      <c r="W29" s="197" t="n"/>
      <c r="X29" s="197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/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</row>
    <row r="30" hidden="1" ht="14.25" customHeight="1" s="115">
      <c r="A30" s="197" t="n"/>
      <c r="B30" s="197" t="n"/>
      <c r="C30" s="197" t="n"/>
      <c r="D30" s="197" t="n"/>
      <c r="E30" s="197" t="n"/>
      <c r="F30" s="197" t="n"/>
      <c r="G30" s="197" t="n"/>
      <c r="H30" s="197" t="n"/>
      <c r="I30" s="197" t="n"/>
      <c r="J30" s="197" t="n"/>
      <c r="K30" s="197" t="n"/>
      <c r="L30" s="197" t="n"/>
      <c r="M30" s="197" t="n"/>
      <c r="N30" s="197" t="n"/>
      <c r="O30" s="197" t="n"/>
      <c r="P30" s="197" t="n"/>
      <c r="Q30" s="197" t="n"/>
      <c r="R30" s="197" t="n"/>
      <c r="S30" s="197" t="n"/>
      <c r="T30" s="197" t="n"/>
      <c r="U30" s="197" t="n"/>
      <c r="V30" s="197" t="n"/>
      <c r="W30" s="197" t="n"/>
      <c r="X30" s="197" t="n"/>
      <c r="Y30" s="10" t="inlineStr">
        <is>
          <t>EBITDA 2025</t>
        </is>
      </c>
      <c r="Z30" s="10" t="n">
        <v>0</v>
      </c>
      <c r="AA30" s="10">
        <f>C12</f>
        <v/>
      </c>
      <c r="AB30" s="10" t="n">
        <v>0</v>
      </c>
      <c r="AC30" s="10" t="n">
        <v>0</v>
      </c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/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</row>
    <row r="31" hidden="1" ht="14.25" customHeight="1" s="115">
      <c r="A31" s="197" t="n"/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0" t="inlineStr">
        <is>
          <t>Effet effectifs</t>
        </is>
      </c>
      <c r="Z31" s="10">
        <f>MIN(C12,C12+SUM(C13:C13))</f>
        <v/>
      </c>
      <c r="AA31" s="10" t="n">
        <v>0</v>
      </c>
      <c r="AB31" s="10">
        <f>MAX(C13,0)</f>
        <v/>
      </c>
      <c r="AC31" s="10">
        <f>MAX(-C13,0)</f>
        <v/>
      </c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</row>
    <row r="32" hidden="1" ht="14.25" customHeight="1" s="115">
      <c r="A32" s="197" t="n"/>
      <c r="B32" s="197" t="n"/>
      <c r="C32" s="197" t="n"/>
      <c r="D32" s="197" t="n"/>
      <c r="E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  <c r="T32" s="197" t="n"/>
      <c r="U32" s="197" t="n"/>
      <c r="V32" s="197" t="n"/>
      <c r="W32" s="197" t="n"/>
      <c r="X32" s="197" t="n"/>
      <c r="Y32" s="10" t="inlineStr">
        <is>
          <t>Effet prix et mix</t>
        </is>
      </c>
      <c r="Z32" s="10">
        <f>MIN(C12+SUM(C13:C13),C12+SUM(C13:C14))</f>
        <v/>
      </c>
      <c r="AA32" s="10" t="n">
        <v>0</v>
      </c>
      <c r="AB32" s="10">
        <f>MAX(C14,0)</f>
        <v/>
      </c>
      <c r="AC32" s="10">
        <f>MAX(-C14,0)</f>
        <v/>
      </c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</row>
    <row r="33" hidden="1" ht="14.25" customHeight="1" s="115">
      <c r="A33" s="197" t="n"/>
      <c r="B33" s="197" t="n"/>
      <c r="C33" s="197" t="n"/>
      <c r="D33" s="197" t="n"/>
      <c r="E33" s="197" t="n"/>
      <c r="F33" s="197" t="n"/>
      <c r="G33" s="197" t="n"/>
      <c r="H33" s="197" t="n"/>
      <c r="I33" s="197" t="n"/>
      <c r="J33" s="197" t="n"/>
      <c r="K33" s="197" t="n"/>
      <c r="L33" s="197" t="n"/>
      <c r="M33" s="197" t="n"/>
      <c r="N33" s="197" t="n"/>
      <c r="O33" s="197" t="n"/>
      <c r="P33" s="197" t="n"/>
      <c r="Q33" s="197" t="n"/>
      <c r="R33" s="197" t="n"/>
      <c r="S33" s="197" t="n"/>
      <c r="T33" s="197" t="n"/>
      <c r="U33" s="197" t="n"/>
      <c r="V33" s="197" t="n"/>
      <c r="W33" s="197" t="n"/>
      <c r="X33" s="197" t="n"/>
      <c r="Y33" s="10" t="inlineStr">
        <is>
          <t>Effet coût var. unitaire</t>
        </is>
      </c>
      <c r="Z33" s="10">
        <f>MIN(C12+SUM(C13:C14),C12+SUM(C13:C15))</f>
        <v/>
      </c>
      <c r="AA33" s="10" t="n">
        <v>0</v>
      </c>
      <c r="AB33" s="10">
        <f>MAX(C15,0)</f>
        <v/>
      </c>
      <c r="AC33" s="10">
        <f>MAX(-C15,0)</f>
        <v/>
      </c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</row>
    <row r="34" hidden="1" ht="14.25" customHeight="1" s="115">
      <c r="A34" s="197" t="n"/>
      <c r="B34" s="197" t="n"/>
      <c r="C34" s="197" t="n"/>
      <c r="D34" s="197" t="n"/>
      <c r="E34" s="197" t="n"/>
      <c r="F34" s="197" t="n"/>
      <c r="G34" s="197" t="n"/>
      <c r="H34" s="197" t="n"/>
      <c r="I34" s="197" t="n"/>
      <c r="J34" s="197" t="n"/>
      <c r="K34" s="197" t="n"/>
      <c r="L34" s="197" t="n"/>
      <c r="M34" s="197" t="n"/>
      <c r="N34" s="197" t="n"/>
      <c r="O34" s="197" t="n"/>
      <c r="P34" s="197" t="n"/>
      <c r="Q34" s="197" t="n"/>
      <c r="R34" s="197" t="n"/>
      <c r="S34" s="197" t="n"/>
      <c r="T34" s="197" t="n"/>
      <c r="U34" s="197" t="n"/>
      <c r="V34" s="197" t="n"/>
      <c r="W34" s="197" t="n"/>
      <c r="X34" s="197" t="n"/>
      <c r="Y34" s="10" t="inlineStr">
        <is>
          <t>Effet coûts directs</t>
        </is>
      </c>
      <c r="Z34" s="10">
        <f>MIN(C12+SUM(C13:C15),C12+SUM(C13:C16))</f>
        <v/>
      </c>
      <c r="AA34" s="10" t="n">
        <v>0</v>
      </c>
      <c r="AB34" s="10">
        <f>MAX(C16,0)</f>
        <v/>
      </c>
      <c r="AC34" s="10">
        <f>MAX(-C16,0)</f>
        <v/>
      </c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</row>
    <row r="35" hidden="1" ht="14.25" customHeight="1" s="115">
      <c r="A35" s="197" t="n"/>
      <c r="B35" s="197" t="n"/>
      <c r="C35" s="197" t="n"/>
      <c r="D35" s="197" t="n"/>
      <c r="E35" s="197" t="n"/>
      <c r="F35" s="197" t="n"/>
      <c r="G35" s="197" t="n"/>
      <c r="H35" s="197" t="n"/>
      <c r="I35" s="197" t="n"/>
      <c r="J35" s="197" t="n"/>
      <c r="K35" s="197" t="n"/>
      <c r="L35" s="197" t="n"/>
      <c r="M35" s="197" t="n"/>
      <c r="N35" s="197" t="n"/>
      <c r="O35" s="197" t="n"/>
      <c r="P35" s="197" t="n"/>
      <c r="Q35" s="197" t="n"/>
      <c r="R35" s="197" t="n"/>
      <c r="S35" s="197" t="n"/>
      <c r="T35" s="197" t="n"/>
      <c r="U35" s="197" t="n"/>
      <c r="V35" s="197" t="n"/>
      <c r="W35" s="197" t="n"/>
      <c r="X35" s="197" t="n"/>
      <c r="Y35" s="10" t="inlineStr">
        <is>
          <t>Effet siège</t>
        </is>
      </c>
      <c r="Z35" s="10">
        <f>MIN(C12+SUM(C13:C16),C12+SUM(C13:C17))</f>
        <v/>
      </c>
      <c r="AA35" s="10" t="n">
        <v>0</v>
      </c>
      <c r="AB35" s="10">
        <f>MAX(C17,0)</f>
        <v/>
      </c>
      <c r="AC35" s="10">
        <f>MAX(-C17,0)</f>
        <v/>
      </c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</row>
    <row r="36" hidden="1" ht="14.25" customHeight="1" s="115">
      <c r="A36" s="197" t="n"/>
      <c r="B36" s="197" t="n"/>
      <c r="C36" s="197" t="n"/>
      <c r="D36" s="197" t="n"/>
      <c r="E36" s="197" t="n"/>
      <c r="F36" s="197" t="n"/>
      <c r="G36" s="197" t="n"/>
      <c r="H36" s="197" t="n"/>
      <c r="I36" s="197" t="n"/>
      <c r="J36" s="197" t="n"/>
      <c r="K36" s="197" t="n"/>
      <c r="L36" s="197" t="n"/>
      <c r="M36" s="197" t="n"/>
      <c r="N36" s="197" t="n"/>
      <c r="O36" s="197" t="n"/>
      <c r="P36" s="197" t="n"/>
      <c r="Q36" s="197" t="n"/>
      <c r="R36" s="197" t="n"/>
      <c r="S36" s="197" t="n"/>
      <c r="T36" s="197" t="n"/>
      <c r="U36" s="197" t="n"/>
      <c r="V36" s="197" t="n"/>
      <c r="W36" s="197" t="n"/>
      <c r="X36" s="197" t="n"/>
      <c r="Y36" s="10" t="inlineStr">
        <is>
          <t>EBITDA 2026</t>
        </is>
      </c>
      <c r="Z36" s="10" t="n">
        <v>0</v>
      </c>
      <c r="AA36" s="10">
        <f>C18</f>
        <v/>
      </c>
      <c r="AB36" s="10" t="n">
        <v>0</v>
      </c>
      <c r="AC36" s="10" t="n">
        <v>0</v>
      </c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</row>
    <row r="37" hidden="1" ht="14.25" customHeight="1" s="115">
      <c r="A37" s="197" t="n"/>
      <c r="B37" s="197" t="n"/>
      <c r="C37" s="197" t="n"/>
      <c r="D37" s="197" t="n"/>
      <c r="E37" s="197" t="n"/>
      <c r="F37" s="197" t="n"/>
      <c r="G37" s="197" t="n"/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197" t="n"/>
      <c r="R37" s="197" t="n"/>
      <c r="S37" s="197" t="n"/>
      <c r="T37" s="197" t="n"/>
      <c r="U37" s="197" t="n"/>
      <c r="V37" s="197" t="n"/>
      <c r="W37" s="197" t="n"/>
      <c r="X37" s="197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</row>
    <row r="38" hidden="1" ht="14.25" customHeight="1" s="115">
      <c r="A38" s="197" t="n"/>
      <c r="B38" s="197" t="n"/>
      <c r="C38" s="197" t="n"/>
      <c r="D38" s="197" t="n"/>
      <c r="E38" s="197" t="n"/>
      <c r="F38" s="197" t="n"/>
      <c r="G38" s="197" t="n"/>
      <c r="H38" s="197" t="n"/>
      <c r="I38" s="197" t="n"/>
      <c r="J38" s="197" t="n"/>
      <c r="K38" s="197" t="n"/>
      <c r="L38" s="197" t="n"/>
      <c r="M38" s="197" t="n"/>
      <c r="N38" s="197" t="n"/>
      <c r="O38" s="197" t="n"/>
      <c r="P38" s="197" t="n"/>
      <c r="Q38" s="197" t="n"/>
      <c r="R38" s="197" t="n"/>
      <c r="S38" s="197" t="n"/>
      <c r="T38" s="197" t="n"/>
      <c r="U38" s="197" t="n"/>
      <c r="V38" s="197" t="n"/>
      <c r="W38" s="197" t="n"/>
      <c r="X38" s="197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</row>
    <row r="39" ht="14.25" customHeight="1" s="115">
      <c r="A39" s="197" t="n"/>
      <c r="B39" s="197" t="n"/>
      <c r="C39" s="197" t="n"/>
      <c r="D39" s="197" t="n"/>
      <c r="E39" s="197" t="n"/>
      <c r="F39" s="197" t="n"/>
      <c r="G39" s="197" t="n"/>
      <c r="H39" s="197" t="n"/>
      <c r="I39" s="197" t="n"/>
      <c r="J39" s="197" t="n"/>
      <c r="K39" s="197" t="n"/>
      <c r="L39" s="197" t="n"/>
      <c r="M39" s="197" t="n"/>
      <c r="N39" s="197" t="n"/>
      <c r="O39" s="197" t="n"/>
      <c r="P39" s="197" t="n"/>
      <c r="Q39" s="197" t="n"/>
      <c r="R39" s="197" t="n"/>
      <c r="S39" s="197" t="n"/>
      <c r="T39" s="197" t="n"/>
      <c r="U39" s="197" t="n"/>
      <c r="V39" s="197" t="n"/>
      <c r="W39" s="197" t="n"/>
      <c r="X39" s="197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</row>
    <row r="40" ht="14.25" customHeight="1" s="115">
      <c r="A40" s="197" t="n"/>
      <c r="B40" s="197" t="n"/>
      <c r="C40" s="197" t="n"/>
      <c r="D40" s="197" t="n"/>
      <c r="E40" s="197" t="n"/>
      <c r="F40" s="197" t="n"/>
      <c r="G40" s="197" t="n"/>
      <c r="H40" s="197" t="n"/>
      <c r="I40" s="197" t="n"/>
      <c r="J40" s="197" t="n"/>
      <c r="K40" s="197" t="n"/>
      <c r="L40" s="197" t="n"/>
      <c r="M40" s="197" t="n"/>
      <c r="N40" s="197" t="n"/>
      <c r="O40" s="197" t="n"/>
      <c r="P40" s="197" t="n"/>
      <c r="Q40" s="197" t="n"/>
      <c r="R40" s="197" t="n"/>
      <c r="S40" s="197" t="n"/>
      <c r="T40" s="197" t="n"/>
      <c r="U40" s="197" t="n"/>
      <c r="V40" s="197" t="n"/>
      <c r="W40" s="197" t="n"/>
      <c r="X40" s="197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</row>
    <row r="41" ht="18" customHeight="1" s="115">
      <c r="A41" s="197" t="n"/>
      <c r="B41" s="200" t="inlineStr">
        <is>
          <t>LE DÉTAIL PAR CAMPUS  ·  ce que la requête renvoie</t>
        </is>
      </c>
      <c r="C41" s="197" t="n"/>
      <c r="D41" s="197" t="n"/>
      <c r="E41" s="197" t="n"/>
      <c r="F41" s="197" t="n"/>
      <c r="G41" s="197" t="n"/>
      <c r="H41" s="197" t="n"/>
      <c r="I41" s="197" t="n"/>
      <c r="J41" s="197" t="n"/>
      <c r="K41" s="197" t="n"/>
      <c r="L41" s="197" t="n"/>
      <c r="M41" s="197" t="n"/>
      <c r="N41" s="197" t="n"/>
      <c r="O41" s="197" t="n"/>
      <c r="P41" s="201" t="inlineStr">
        <is>
          <t xml:space="preserve">une ligne par campus    </t>
        </is>
      </c>
      <c r="Q41" s="197" t="n"/>
      <c r="R41" s="197" t="n"/>
      <c r="S41" s="200" t="inlineStr">
        <is>
          <t>CE QUE LE CLASSEUR CALCULE</t>
        </is>
      </c>
      <c r="T41" s="197" t="n"/>
      <c r="U41" s="197" t="n"/>
      <c r="V41" s="197" t="n"/>
      <c r="W41" s="201" t="inlineStr">
        <is>
          <t xml:space="preserve">une multiplication par effet    </t>
        </is>
      </c>
      <c r="X41" s="197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</row>
    <row r="42" ht="26" customHeight="1" s="115">
      <c r="A42" s="197" t="n"/>
      <c r="B42" s="202" t="inlineStr">
        <is>
          <t>Campus</t>
        </is>
      </c>
      <c r="C42" s="171" t="inlineStr">
        <is>
          <t>Effectifs 2025</t>
        </is>
      </c>
      <c r="D42" s="171" t="inlineStr">
        <is>
          <t>Effectifs 2026</t>
        </is>
      </c>
      <c r="E42" s="171" t="inlineStr">
        <is>
          <t>Élèves gagnés</t>
        </is>
      </c>
      <c r="F42" s="171" t="inlineStr">
        <is>
          <t>CA par élève 2025</t>
        </is>
      </c>
      <c r="G42" s="171" t="inlineStr">
        <is>
          <t>CA par élève 2026</t>
        </is>
      </c>
      <c r="H42" s="171" t="inlineStr">
        <is>
          <t>Coût var. par élève 2025</t>
        </is>
      </c>
      <c r="I42" s="171" t="inlineStr">
        <is>
          <t>Coût var. par élève 2026</t>
        </is>
      </c>
      <c r="J42" s="171" t="inlineStr">
        <is>
          <t>Marge sur coût var. par élève 2025</t>
        </is>
      </c>
      <c r="K42" s="171" t="inlineStr">
        <is>
          <t>Coûts directs 2025</t>
        </is>
      </c>
      <c r="L42" s="171" t="inlineStr">
        <is>
          <t>Coûts directs 2026</t>
        </is>
      </c>
      <c r="M42" s="171" t="inlineStr">
        <is>
          <t>Siège 2025</t>
        </is>
      </c>
      <c r="N42" s="171" t="inlineStr">
        <is>
          <t>Siège 2026</t>
        </is>
      </c>
      <c r="O42" s="171" t="inlineStr">
        <is>
          <t>EBITDA 2025</t>
        </is>
      </c>
      <c r="P42" s="171" t="inlineStr">
        <is>
          <t>EBITDA 2026</t>
        </is>
      </c>
      <c r="Q42" s="197" t="n"/>
      <c r="R42" s="197" t="n"/>
      <c r="S42" s="216" t="inlineStr">
        <is>
          <t>Effet effectifs</t>
        </is>
      </c>
      <c r="T42" s="171" t="inlineStr">
        <is>
          <t>Effet prix et mix</t>
        </is>
      </c>
      <c r="U42" s="171" t="inlineStr">
        <is>
          <t>Effet coût var. unitaire</t>
        </is>
      </c>
      <c r="V42" s="171" t="inlineStr">
        <is>
          <t>Effet coûts directs</t>
        </is>
      </c>
      <c r="W42" s="171" t="inlineStr">
        <is>
          <t>Effet siège</t>
        </is>
      </c>
      <c r="X42" s="197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</row>
    <row r="43" ht="14.25" customHeight="1" s="115">
      <c r="A43" s="197" t="n"/>
      <c r="B43" s="217" t="inlineStr">
        <is>
          <t>TOTAL du périmètre</t>
        </is>
      </c>
      <c r="C43" s="218">
        <f>SUM(C44:C73)</f>
        <v/>
      </c>
      <c r="D43" s="218">
        <f>SUM(D44:D73)</f>
        <v/>
      </c>
      <c r="E43" s="218">
        <f>SUM(E44:E73)</f>
        <v/>
      </c>
      <c r="F43" s="219" t="inlineStr">
        <is>
          <t>—</t>
        </is>
      </c>
      <c r="G43" s="219" t="inlineStr">
        <is>
          <t>—</t>
        </is>
      </c>
      <c r="H43" s="219" t="inlineStr">
        <is>
          <t>—</t>
        </is>
      </c>
      <c r="I43" s="219" t="inlineStr">
        <is>
          <t>—</t>
        </is>
      </c>
      <c r="J43" s="219" t="inlineStr">
        <is>
          <t>—</t>
        </is>
      </c>
      <c r="K43" s="220">
        <f>SUM(K44:K73)</f>
        <v/>
      </c>
      <c r="L43" s="220">
        <f>SUM(L44:L73)</f>
        <v/>
      </c>
      <c r="M43" s="220">
        <f>SUM(M44:M73)</f>
        <v/>
      </c>
      <c r="N43" s="220">
        <f>SUM(N44:N73)</f>
        <v/>
      </c>
      <c r="O43" s="220">
        <f>SUM(O44:O73)</f>
        <v/>
      </c>
      <c r="P43" s="220">
        <f>SUM(P44:P73)</f>
        <v/>
      </c>
      <c r="Q43" s="197" t="n"/>
      <c r="R43" s="197" t="n"/>
      <c r="S43" s="221">
        <f>SUM(S44:S73)</f>
        <v/>
      </c>
      <c r="T43" s="221">
        <f>SUM(T44:T73)</f>
        <v/>
      </c>
      <c r="U43" s="221">
        <f>SUM(U44:U73)</f>
        <v/>
      </c>
      <c r="V43" s="221">
        <f>SUM(V44:V73)</f>
        <v/>
      </c>
      <c r="W43" s="221">
        <f>SUM(W44:W73)</f>
        <v/>
      </c>
      <c r="X43" s="197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</row>
    <row r="44" ht="14.25" customHeight="1" s="115">
      <c r="A44" s="197" t="n"/>
      <c r="B44" s="185" t="n"/>
      <c r="C44" s="178" t="n"/>
      <c r="D44" s="178" t="n"/>
      <c r="E44" s="178" t="n"/>
      <c r="F44" s="222" t="n"/>
      <c r="G44" s="222" t="n"/>
      <c r="H44" s="222" t="n"/>
      <c r="I44" s="222" t="n"/>
      <c r="J44" s="222" t="n"/>
      <c r="K44" s="223" t="n"/>
      <c r="L44" s="223" t="n"/>
      <c r="M44" s="223" t="n"/>
      <c r="N44" s="223" t="n"/>
      <c r="O44" s="223" t="n"/>
      <c r="P44" s="223" t="n"/>
      <c r="Q44" s="197" t="n"/>
      <c r="R44" s="197" t="n"/>
      <c r="S44" s="224">
        <f>IF(OR(E44="",J44=""),"",E44*J44)</f>
        <v/>
      </c>
      <c r="T44" s="224">
        <f>IF(OR(G44="",F44="",D44=""),"",(G44-F44)*D44)</f>
        <v/>
      </c>
      <c r="U44" s="224">
        <f>IF(OR(I44="",H44="",D44=""),"",-(I44-H44)*D44)</f>
        <v/>
      </c>
      <c r="V44" s="224">
        <f>IF(OR(L44="",K44=""),"",-(L44-K44))</f>
        <v/>
      </c>
      <c r="W44" s="224">
        <f>IF(OR(N44="",M44=""),"",-(N44-M44))</f>
        <v/>
      </c>
      <c r="X44" s="197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</row>
    <row r="45" ht="14.25" customHeight="1" s="115">
      <c r="A45" s="197" t="n"/>
      <c r="B45" s="185" t="n"/>
      <c r="C45" s="178" t="n"/>
      <c r="D45" s="178" t="n"/>
      <c r="E45" s="178" t="n"/>
      <c r="F45" s="222" t="n"/>
      <c r="G45" s="222" t="n"/>
      <c r="H45" s="222" t="n"/>
      <c r="I45" s="222" t="n"/>
      <c r="J45" s="222" t="n"/>
      <c r="K45" s="223" t="n"/>
      <c r="L45" s="223" t="n"/>
      <c r="M45" s="223" t="n"/>
      <c r="N45" s="223" t="n"/>
      <c r="O45" s="223" t="n"/>
      <c r="P45" s="223" t="n"/>
      <c r="Q45" s="197" t="n"/>
      <c r="R45" s="197" t="n"/>
      <c r="S45" s="224">
        <f>IF(OR(E45="",J45=""),"",E45*J45)</f>
        <v/>
      </c>
      <c r="T45" s="224">
        <f>IF(OR(G45="",F45="",D45=""),"",(G45-F45)*D45)</f>
        <v/>
      </c>
      <c r="U45" s="224">
        <f>IF(OR(I45="",H45="",D45=""),"",-(I45-H45)*D45)</f>
        <v/>
      </c>
      <c r="V45" s="224">
        <f>IF(OR(L45="",K45=""),"",-(L45-K45))</f>
        <v/>
      </c>
      <c r="W45" s="224">
        <f>IF(OR(N45="",M45=""),"",-(N45-M45))</f>
        <v/>
      </c>
      <c r="X45" s="197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</row>
    <row r="46" ht="14.25" customHeight="1" s="115">
      <c r="A46" s="197" t="n"/>
      <c r="B46" s="185" t="n"/>
      <c r="C46" s="178" t="n"/>
      <c r="D46" s="178" t="n"/>
      <c r="E46" s="178" t="n"/>
      <c r="F46" s="222" t="n"/>
      <c r="G46" s="222" t="n"/>
      <c r="H46" s="222" t="n"/>
      <c r="I46" s="222" t="n"/>
      <c r="J46" s="222" t="n"/>
      <c r="K46" s="223" t="n"/>
      <c r="L46" s="223" t="n"/>
      <c r="M46" s="223" t="n"/>
      <c r="N46" s="223" t="n"/>
      <c r="O46" s="223" t="n"/>
      <c r="P46" s="223" t="n"/>
      <c r="Q46" s="197" t="n"/>
      <c r="R46" s="197" t="n"/>
      <c r="S46" s="224">
        <f>IF(OR(E46="",J46=""),"",E46*J46)</f>
        <v/>
      </c>
      <c r="T46" s="224">
        <f>IF(OR(G46="",F46="",D46=""),"",(G46-F46)*D46)</f>
        <v/>
      </c>
      <c r="U46" s="224">
        <f>IF(OR(I46="",H46="",D46=""),"",-(I46-H46)*D46)</f>
        <v/>
      </c>
      <c r="V46" s="224">
        <f>IF(OR(L46="",K46=""),"",-(L46-K46))</f>
        <v/>
      </c>
      <c r="W46" s="224">
        <f>IF(OR(N46="",M46=""),"",-(N46-M46))</f>
        <v/>
      </c>
      <c r="X46" s="197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</row>
    <row r="47" ht="14.25" customHeight="1" s="115">
      <c r="A47" s="197" t="n"/>
      <c r="B47" s="185" t="n"/>
      <c r="C47" s="178" t="n"/>
      <c r="D47" s="178" t="n"/>
      <c r="E47" s="178" t="n"/>
      <c r="F47" s="222" t="n"/>
      <c r="G47" s="222" t="n"/>
      <c r="H47" s="222" t="n"/>
      <c r="I47" s="222" t="n"/>
      <c r="J47" s="222" t="n"/>
      <c r="K47" s="223" t="n"/>
      <c r="L47" s="223" t="n"/>
      <c r="M47" s="223" t="n"/>
      <c r="N47" s="223" t="n"/>
      <c r="O47" s="223" t="n"/>
      <c r="P47" s="223" t="n"/>
      <c r="Q47" s="197" t="n"/>
      <c r="R47" s="197" t="n"/>
      <c r="S47" s="224">
        <f>IF(OR(E47="",J47=""),"",E47*J47)</f>
        <v/>
      </c>
      <c r="T47" s="224">
        <f>IF(OR(G47="",F47="",D47=""),"",(G47-F47)*D47)</f>
        <v/>
      </c>
      <c r="U47" s="224">
        <f>IF(OR(I47="",H47="",D47=""),"",-(I47-H47)*D47)</f>
        <v/>
      </c>
      <c r="V47" s="224">
        <f>IF(OR(L47="",K47=""),"",-(L47-K47))</f>
        <v/>
      </c>
      <c r="W47" s="224">
        <f>IF(OR(N47="",M47=""),"",-(N47-M47))</f>
        <v/>
      </c>
      <c r="X47" s="197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</row>
    <row r="48" ht="14.25" customHeight="1" s="115">
      <c r="A48" s="197" t="n"/>
      <c r="B48" s="185" t="n"/>
      <c r="C48" s="178" t="n"/>
      <c r="D48" s="178" t="n"/>
      <c r="E48" s="178" t="n"/>
      <c r="F48" s="222" t="n"/>
      <c r="G48" s="222" t="n"/>
      <c r="H48" s="222" t="n"/>
      <c r="I48" s="222" t="n"/>
      <c r="J48" s="222" t="n"/>
      <c r="K48" s="223" t="n"/>
      <c r="L48" s="223" t="n"/>
      <c r="M48" s="223" t="n"/>
      <c r="N48" s="223" t="n"/>
      <c r="O48" s="223" t="n"/>
      <c r="P48" s="223" t="n"/>
      <c r="Q48" s="197" t="n"/>
      <c r="R48" s="197" t="n"/>
      <c r="S48" s="224">
        <f>IF(OR(E48="",J48=""),"",E48*J48)</f>
        <v/>
      </c>
      <c r="T48" s="224">
        <f>IF(OR(G48="",F48="",D48=""),"",(G48-F48)*D48)</f>
        <v/>
      </c>
      <c r="U48" s="224">
        <f>IF(OR(I48="",H48="",D48=""),"",-(I48-H48)*D48)</f>
        <v/>
      </c>
      <c r="V48" s="224">
        <f>IF(OR(L48="",K48=""),"",-(L48-K48))</f>
        <v/>
      </c>
      <c r="W48" s="224">
        <f>IF(OR(N48="",M48=""),"",-(N48-M48))</f>
        <v/>
      </c>
      <c r="X48" s="197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</row>
    <row r="49" ht="14.25" customHeight="1" s="115">
      <c r="A49" s="197" t="n"/>
      <c r="B49" s="185" t="n"/>
      <c r="C49" s="178" t="n"/>
      <c r="D49" s="178" t="n"/>
      <c r="E49" s="178" t="n"/>
      <c r="F49" s="222" t="n"/>
      <c r="G49" s="222" t="n"/>
      <c r="H49" s="222" t="n"/>
      <c r="I49" s="222" t="n"/>
      <c r="J49" s="222" t="n"/>
      <c r="K49" s="223" t="n"/>
      <c r="L49" s="223" t="n"/>
      <c r="M49" s="223" t="n"/>
      <c r="N49" s="223" t="n"/>
      <c r="O49" s="223" t="n"/>
      <c r="P49" s="223" t="n"/>
      <c r="Q49" s="197" t="n"/>
      <c r="R49" s="197" t="n"/>
      <c r="S49" s="224">
        <f>IF(OR(E49="",J49=""),"",E49*J49)</f>
        <v/>
      </c>
      <c r="T49" s="224">
        <f>IF(OR(G49="",F49="",D49=""),"",(G49-F49)*D49)</f>
        <v/>
      </c>
      <c r="U49" s="224">
        <f>IF(OR(I49="",H49="",D49=""),"",-(I49-H49)*D49)</f>
        <v/>
      </c>
      <c r="V49" s="224">
        <f>IF(OR(L49="",K49=""),"",-(L49-K49))</f>
        <v/>
      </c>
      <c r="W49" s="224">
        <f>IF(OR(N49="",M49=""),"",-(N49-M49))</f>
        <v/>
      </c>
      <c r="X49" s="197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</row>
    <row r="50" ht="14.25" customHeight="1" s="115">
      <c r="A50" s="197" t="n"/>
      <c r="B50" s="185" t="n"/>
      <c r="C50" s="178" t="n"/>
      <c r="D50" s="178" t="n"/>
      <c r="E50" s="178" t="n"/>
      <c r="F50" s="222" t="n"/>
      <c r="G50" s="222" t="n"/>
      <c r="H50" s="222" t="n"/>
      <c r="I50" s="222" t="n"/>
      <c r="J50" s="222" t="n"/>
      <c r="K50" s="223" t="n"/>
      <c r="L50" s="223" t="n"/>
      <c r="M50" s="223" t="n"/>
      <c r="N50" s="223" t="n"/>
      <c r="O50" s="223" t="n"/>
      <c r="P50" s="223" t="n"/>
      <c r="Q50" s="197" t="n"/>
      <c r="R50" s="197" t="n"/>
      <c r="S50" s="224">
        <f>IF(OR(E50="",J50=""),"",E50*J50)</f>
        <v/>
      </c>
      <c r="T50" s="224">
        <f>IF(OR(G50="",F50="",D50=""),"",(G50-F50)*D50)</f>
        <v/>
      </c>
      <c r="U50" s="224">
        <f>IF(OR(I50="",H50="",D50=""),"",-(I50-H50)*D50)</f>
        <v/>
      </c>
      <c r="V50" s="224">
        <f>IF(OR(L50="",K50=""),"",-(L50-K50))</f>
        <v/>
      </c>
      <c r="W50" s="224">
        <f>IF(OR(N50="",M50=""),"",-(N50-M50))</f>
        <v/>
      </c>
      <c r="X50" s="197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</row>
    <row r="51" ht="14.25" customHeight="1" s="115">
      <c r="A51" s="197" t="n"/>
      <c r="B51" s="185" t="n"/>
      <c r="C51" s="178" t="n"/>
      <c r="D51" s="178" t="n"/>
      <c r="E51" s="178" t="n"/>
      <c r="F51" s="222" t="n"/>
      <c r="G51" s="222" t="n"/>
      <c r="H51" s="222" t="n"/>
      <c r="I51" s="222" t="n"/>
      <c r="J51" s="222" t="n"/>
      <c r="K51" s="223" t="n"/>
      <c r="L51" s="223" t="n"/>
      <c r="M51" s="223" t="n"/>
      <c r="N51" s="223" t="n"/>
      <c r="O51" s="223" t="n"/>
      <c r="P51" s="223" t="n"/>
      <c r="Q51" s="197" t="n"/>
      <c r="R51" s="197" t="n"/>
      <c r="S51" s="224">
        <f>IF(OR(E51="",J51=""),"",E51*J51)</f>
        <v/>
      </c>
      <c r="T51" s="224">
        <f>IF(OR(G51="",F51="",D51=""),"",(G51-F51)*D51)</f>
        <v/>
      </c>
      <c r="U51" s="224">
        <f>IF(OR(I51="",H51="",D51=""),"",-(I51-H51)*D51)</f>
        <v/>
      </c>
      <c r="V51" s="224">
        <f>IF(OR(L51="",K51=""),"",-(L51-K51))</f>
        <v/>
      </c>
      <c r="W51" s="224">
        <f>IF(OR(N51="",M51=""),"",-(N51-M51))</f>
        <v/>
      </c>
      <c r="X51" s="197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</row>
    <row r="52" ht="14.25" customHeight="1" s="115">
      <c r="A52" s="197" t="n"/>
      <c r="B52" s="185" t="n"/>
      <c r="C52" s="178" t="n"/>
      <c r="D52" s="178" t="n"/>
      <c r="E52" s="178" t="n"/>
      <c r="F52" s="222" t="n"/>
      <c r="G52" s="222" t="n"/>
      <c r="H52" s="222" t="n"/>
      <c r="I52" s="222" t="n"/>
      <c r="J52" s="222" t="n"/>
      <c r="K52" s="223" t="n"/>
      <c r="L52" s="223" t="n"/>
      <c r="M52" s="223" t="n"/>
      <c r="N52" s="223" t="n"/>
      <c r="O52" s="223" t="n"/>
      <c r="P52" s="223" t="n"/>
      <c r="Q52" s="197" t="n"/>
      <c r="R52" s="197" t="n"/>
      <c r="S52" s="224">
        <f>IF(OR(E52="",J52=""),"",E52*J52)</f>
        <v/>
      </c>
      <c r="T52" s="224">
        <f>IF(OR(G52="",F52="",D52=""),"",(G52-F52)*D52)</f>
        <v/>
      </c>
      <c r="U52" s="224">
        <f>IF(OR(I52="",H52="",D52=""),"",-(I52-H52)*D52)</f>
        <v/>
      </c>
      <c r="V52" s="224">
        <f>IF(OR(L52="",K52=""),"",-(L52-K52))</f>
        <v/>
      </c>
      <c r="W52" s="224">
        <f>IF(OR(N52="",M52=""),"",-(N52-M52))</f>
        <v/>
      </c>
      <c r="X52" s="197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</row>
    <row r="53" ht="14.25" customHeight="1" s="115">
      <c r="A53" s="197" t="n"/>
      <c r="B53" s="185" t="n"/>
      <c r="C53" s="178" t="n"/>
      <c r="D53" s="178" t="n"/>
      <c r="E53" s="178" t="n"/>
      <c r="F53" s="222" t="n"/>
      <c r="G53" s="222" t="n"/>
      <c r="H53" s="222" t="n"/>
      <c r="I53" s="222" t="n"/>
      <c r="J53" s="222" t="n"/>
      <c r="K53" s="223" t="n"/>
      <c r="L53" s="223" t="n"/>
      <c r="M53" s="223" t="n"/>
      <c r="N53" s="223" t="n"/>
      <c r="O53" s="223" t="n"/>
      <c r="P53" s="223" t="n"/>
      <c r="Q53" s="197" t="n"/>
      <c r="R53" s="197" t="n"/>
      <c r="S53" s="224">
        <f>IF(OR(E53="",J53=""),"",E53*J53)</f>
        <v/>
      </c>
      <c r="T53" s="224">
        <f>IF(OR(G53="",F53="",D53=""),"",(G53-F53)*D53)</f>
        <v/>
      </c>
      <c r="U53" s="224">
        <f>IF(OR(I53="",H53="",D53=""),"",-(I53-H53)*D53)</f>
        <v/>
      </c>
      <c r="V53" s="224">
        <f>IF(OR(L53="",K53=""),"",-(L53-K53))</f>
        <v/>
      </c>
      <c r="W53" s="224">
        <f>IF(OR(N53="",M53=""),"",-(N53-M53))</f>
        <v/>
      </c>
      <c r="X53" s="197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</row>
    <row r="54" ht="14.25" customHeight="1" s="115">
      <c r="A54" s="197" t="n"/>
      <c r="B54" s="185" t="n"/>
      <c r="C54" s="178" t="n"/>
      <c r="D54" s="178" t="n"/>
      <c r="E54" s="178" t="n"/>
      <c r="F54" s="222" t="n"/>
      <c r="G54" s="222" t="n"/>
      <c r="H54" s="222" t="n"/>
      <c r="I54" s="222" t="n"/>
      <c r="J54" s="222" t="n"/>
      <c r="K54" s="223" t="n"/>
      <c r="L54" s="223" t="n"/>
      <c r="M54" s="223" t="n"/>
      <c r="N54" s="223" t="n"/>
      <c r="O54" s="223" t="n"/>
      <c r="P54" s="223" t="n"/>
      <c r="Q54" s="197" t="n"/>
      <c r="R54" s="197" t="n"/>
      <c r="S54" s="224">
        <f>IF(OR(E54="",J54=""),"",E54*J54)</f>
        <v/>
      </c>
      <c r="T54" s="224">
        <f>IF(OR(G54="",F54="",D54=""),"",(G54-F54)*D54)</f>
        <v/>
      </c>
      <c r="U54" s="224">
        <f>IF(OR(I54="",H54="",D54=""),"",-(I54-H54)*D54)</f>
        <v/>
      </c>
      <c r="V54" s="224">
        <f>IF(OR(L54="",K54=""),"",-(L54-K54))</f>
        <v/>
      </c>
      <c r="W54" s="224">
        <f>IF(OR(N54="",M54=""),"",-(N54-M54))</f>
        <v/>
      </c>
      <c r="X54" s="197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</row>
    <row r="55" ht="14.25" customHeight="1" s="115">
      <c r="A55" s="197" t="n"/>
      <c r="B55" s="185" t="n"/>
      <c r="C55" s="178" t="n"/>
      <c r="D55" s="178" t="n"/>
      <c r="E55" s="178" t="n"/>
      <c r="F55" s="222" t="n"/>
      <c r="G55" s="222" t="n"/>
      <c r="H55" s="222" t="n"/>
      <c r="I55" s="222" t="n"/>
      <c r="J55" s="222" t="n"/>
      <c r="K55" s="223" t="n"/>
      <c r="L55" s="223" t="n"/>
      <c r="M55" s="223" t="n"/>
      <c r="N55" s="223" t="n"/>
      <c r="O55" s="223" t="n"/>
      <c r="P55" s="223" t="n"/>
      <c r="Q55" s="197" t="n"/>
      <c r="R55" s="197" t="n"/>
      <c r="S55" s="224">
        <f>IF(OR(E55="",J55=""),"",E55*J55)</f>
        <v/>
      </c>
      <c r="T55" s="224">
        <f>IF(OR(G55="",F55="",D55=""),"",(G55-F55)*D55)</f>
        <v/>
      </c>
      <c r="U55" s="224">
        <f>IF(OR(I55="",H55="",D55=""),"",-(I55-H55)*D55)</f>
        <v/>
      </c>
      <c r="V55" s="224">
        <f>IF(OR(L55="",K55=""),"",-(L55-K55))</f>
        <v/>
      </c>
      <c r="W55" s="224">
        <f>IF(OR(N55="",M55=""),"",-(N55-M55))</f>
        <v/>
      </c>
      <c r="X55" s="197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</row>
    <row r="56" ht="14.25" customHeight="1" s="115">
      <c r="A56" s="197" t="n"/>
      <c r="B56" s="185" t="n"/>
      <c r="C56" s="178" t="n"/>
      <c r="D56" s="178" t="n"/>
      <c r="E56" s="178" t="n"/>
      <c r="F56" s="222" t="n"/>
      <c r="G56" s="222" t="n"/>
      <c r="H56" s="222" t="n"/>
      <c r="I56" s="222" t="n"/>
      <c r="J56" s="222" t="n"/>
      <c r="K56" s="223" t="n"/>
      <c r="L56" s="223" t="n"/>
      <c r="M56" s="223" t="n"/>
      <c r="N56" s="223" t="n"/>
      <c r="O56" s="223" t="n"/>
      <c r="P56" s="223" t="n"/>
      <c r="Q56" s="197" t="n"/>
      <c r="R56" s="197" t="n"/>
      <c r="S56" s="224">
        <f>IF(OR(E56="",J56=""),"",E56*J56)</f>
        <v/>
      </c>
      <c r="T56" s="224">
        <f>IF(OR(G56="",F56="",D56=""),"",(G56-F56)*D56)</f>
        <v/>
      </c>
      <c r="U56" s="224">
        <f>IF(OR(I56="",H56="",D56=""),"",-(I56-H56)*D56)</f>
        <v/>
      </c>
      <c r="V56" s="224">
        <f>IF(OR(L56="",K56=""),"",-(L56-K56))</f>
        <v/>
      </c>
      <c r="W56" s="224">
        <f>IF(OR(N56="",M56=""),"",-(N56-M56))</f>
        <v/>
      </c>
      <c r="X56" s="197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</row>
    <row r="57" ht="14.25" customHeight="1" s="115">
      <c r="A57" s="197" t="n"/>
      <c r="B57" s="185" t="n"/>
      <c r="C57" s="178" t="n"/>
      <c r="D57" s="178" t="n"/>
      <c r="E57" s="178" t="n"/>
      <c r="F57" s="222" t="n"/>
      <c r="G57" s="222" t="n"/>
      <c r="H57" s="222" t="n"/>
      <c r="I57" s="222" t="n"/>
      <c r="J57" s="222" t="n"/>
      <c r="K57" s="223" t="n"/>
      <c r="L57" s="223" t="n"/>
      <c r="M57" s="223" t="n"/>
      <c r="N57" s="223" t="n"/>
      <c r="O57" s="223" t="n"/>
      <c r="P57" s="223" t="n"/>
      <c r="Q57" s="197" t="n"/>
      <c r="R57" s="197" t="n"/>
      <c r="S57" s="224">
        <f>IF(OR(E57="",J57=""),"",E57*J57)</f>
        <v/>
      </c>
      <c r="T57" s="224">
        <f>IF(OR(G57="",F57="",D57=""),"",(G57-F57)*D57)</f>
        <v/>
      </c>
      <c r="U57" s="224">
        <f>IF(OR(I57="",H57="",D57=""),"",-(I57-H57)*D57)</f>
        <v/>
      </c>
      <c r="V57" s="224">
        <f>IF(OR(L57="",K57=""),"",-(L57-K57))</f>
        <v/>
      </c>
      <c r="W57" s="224">
        <f>IF(OR(N57="",M57=""),"",-(N57-M57))</f>
        <v/>
      </c>
      <c r="X57" s="197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</row>
    <row r="58" ht="14.25" customHeight="1" s="115">
      <c r="A58" s="197" t="n"/>
      <c r="B58" s="185" t="n"/>
      <c r="C58" s="178" t="n"/>
      <c r="D58" s="178" t="n"/>
      <c r="E58" s="178" t="n"/>
      <c r="F58" s="222" t="n"/>
      <c r="G58" s="222" t="n"/>
      <c r="H58" s="222" t="n"/>
      <c r="I58" s="222" t="n"/>
      <c r="J58" s="222" t="n"/>
      <c r="K58" s="223" t="n"/>
      <c r="L58" s="223" t="n"/>
      <c r="M58" s="223" t="n"/>
      <c r="N58" s="223" t="n"/>
      <c r="O58" s="223" t="n"/>
      <c r="P58" s="223" t="n"/>
      <c r="Q58" s="197" t="n"/>
      <c r="R58" s="197" t="n"/>
      <c r="S58" s="224" t="n"/>
      <c r="T58" s="224" t="n"/>
      <c r="U58" s="224" t="n"/>
      <c r="V58" s="224" t="n"/>
      <c r="W58" s="224" t="n"/>
      <c r="X58" s="197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</row>
    <row r="59" ht="14.25" customHeight="1" s="115">
      <c r="A59" s="197" t="n"/>
      <c r="B59" s="185" t="n"/>
      <c r="C59" s="178" t="n"/>
      <c r="D59" s="178" t="n"/>
      <c r="E59" s="178" t="n"/>
      <c r="F59" s="222" t="n"/>
      <c r="G59" s="222" t="n"/>
      <c r="H59" s="222" t="n"/>
      <c r="I59" s="222" t="n"/>
      <c r="J59" s="222" t="n"/>
      <c r="K59" s="223" t="n"/>
      <c r="L59" s="223" t="n"/>
      <c r="M59" s="223" t="n"/>
      <c r="N59" s="223" t="n"/>
      <c r="O59" s="223" t="n"/>
      <c r="P59" s="223" t="n"/>
      <c r="Q59" s="197" t="n"/>
      <c r="R59" s="197" t="n"/>
      <c r="S59" s="224" t="n"/>
      <c r="T59" s="224" t="n"/>
      <c r="U59" s="224" t="n"/>
      <c r="V59" s="224" t="n"/>
      <c r="W59" s="224" t="n"/>
      <c r="X59" s="197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</row>
    <row r="60" ht="14.25" customHeight="1" s="115">
      <c r="A60" s="197" t="n"/>
      <c r="B60" s="185" t="n"/>
      <c r="C60" s="178" t="n"/>
      <c r="D60" s="178" t="n"/>
      <c r="E60" s="178" t="n"/>
      <c r="F60" s="222" t="n"/>
      <c r="G60" s="222" t="n"/>
      <c r="H60" s="222" t="n"/>
      <c r="I60" s="222" t="n"/>
      <c r="J60" s="222" t="n"/>
      <c r="K60" s="223" t="n"/>
      <c r="L60" s="223" t="n"/>
      <c r="M60" s="223" t="n"/>
      <c r="N60" s="223" t="n"/>
      <c r="O60" s="223" t="n"/>
      <c r="P60" s="223" t="n"/>
      <c r="Q60" s="197" t="n"/>
      <c r="R60" s="197" t="n"/>
      <c r="S60" s="224" t="n"/>
      <c r="T60" s="224" t="n"/>
      <c r="U60" s="224" t="n"/>
      <c r="V60" s="224" t="n"/>
      <c r="W60" s="224" t="n"/>
      <c r="X60" s="197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</row>
    <row r="61" ht="14.25" customHeight="1" s="115">
      <c r="A61" s="197" t="n"/>
      <c r="B61" s="185" t="n"/>
      <c r="C61" s="178" t="n"/>
      <c r="D61" s="178" t="n"/>
      <c r="E61" s="178" t="n"/>
      <c r="F61" s="222" t="n"/>
      <c r="G61" s="222" t="n"/>
      <c r="H61" s="222" t="n"/>
      <c r="I61" s="222" t="n"/>
      <c r="J61" s="222" t="n"/>
      <c r="K61" s="223" t="n"/>
      <c r="L61" s="223" t="n"/>
      <c r="M61" s="223" t="n"/>
      <c r="N61" s="223" t="n"/>
      <c r="O61" s="223" t="n"/>
      <c r="P61" s="223" t="n"/>
      <c r="Q61" s="197" t="n"/>
      <c r="R61" s="197" t="n"/>
      <c r="S61" s="224" t="n"/>
      <c r="T61" s="224" t="n"/>
      <c r="U61" s="224" t="n"/>
      <c r="V61" s="224" t="n"/>
      <c r="W61" s="224" t="n"/>
      <c r="X61" s="197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n"/>
      <c r="AN61" s="10" t="n"/>
      <c r="AO61" s="10" t="n"/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</row>
    <row r="62" ht="14.25" customHeight="1" s="115">
      <c r="A62" s="197" t="n"/>
      <c r="B62" s="185" t="n"/>
      <c r="C62" s="178" t="n"/>
      <c r="D62" s="178" t="n"/>
      <c r="E62" s="178" t="n"/>
      <c r="F62" s="222" t="n"/>
      <c r="G62" s="222" t="n"/>
      <c r="H62" s="222" t="n"/>
      <c r="I62" s="222" t="n"/>
      <c r="J62" s="222" t="n"/>
      <c r="K62" s="223" t="n"/>
      <c r="L62" s="223" t="n"/>
      <c r="M62" s="223" t="n"/>
      <c r="N62" s="223" t="n"/>
      <c r="O62" s="223" t="n"/>
      <c r="P62" s="223" t="n"/>
      <c r="Q62" s="197" t="n"/>
      <c r="R62" s="197" t="n"/>
      <c r="S62" s="224" t="n"/>
      <c r="T62" s="224" t="n"/>
      <c r="U62" s="224" t="n"/>
      <c r="V62" s="224" t="n"/>
      <c r="W62" s="224" t="n"/>
      <c r="X62" s="197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</row>
    <row r="63" ht="14.25" customHeight="1" s="115">
      <c r="A63" s="197" t="n"/>
      <c r="B63" s="185" t="n"/>
      <c r="C63" s="178" t="n"/>
      <c r="D63" s="178" t="n"/>
      <c r="E63" s="178" t="n"/>
      <c r="F63" s="222" t="n"/>
      <c r="G63" s="222" t="n"/>
      <c r="H63" s="222" t="n"/>
      <c r="I63" s="222" t="n"/>
      <c r="J63" s="222" t="n"/>
      <c r="K63" s="223" t="n"/>
      <c r="L63" s="223" t="n"/>
      <c r="M63" s="223" t="n"/>
      <c r="N63" s="223" t="n"/>
      <c r="O63" s="223" t="n"/>
      <c r="P63" s="223" t="n"/>
      <c r="Q63" s="197" t="n"/>
      <c r="R63" s="197" t="n"/>
      <c r="S63" s="224" t="n"/>
      <c r="T63" s="224" t="n"/>
      <c r="U63" s="224" t="n"/>
      <c r="V63" s="224" t="n"/>
      <c r="W63" s="224" t="n"/>
      <c r="X63" s="197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n"/>
      <c r="AN63" s="10" t="n"/>
      <c r="AO63" s="10" t="n"/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</row>
    <row r="64" ht="14.25" customHeight="1" s="115">
      <c r="A64" s="197" t="n"/>
      <c r="B64" s="185" t="n"/>
      <c r="C64" s="178" t="n"/>
      <c r="D64" s="178" t="n"/>
      <c r="E64" s="178" t="n"/>
      <c r="F64" s="222" t="n"/>
      <c r="G64" s="222" t="n"/>
      <c r="H64" s="222" t="n"/>
      <c r="I64" s="222" t="n"/>
      <c r="J64" s="222" t="n"/>
      <c r="K64" s="223" t="n"/>
      <c r="L64" s="223" t="n"/>
      <c r="M64" s="223" t="n"/>
      <c r="N64" s="223" t="n"/>
      <c r="O64" s="223" t="n"/>
      <c r="P64" s="223" t="n"/>
      <c r="Q64" s="197" t="n"/>
      <c r="R64" s="197" t="n"/>
      <c r="S64" s="224" t="n"/>
      <c r="T64" s="224" t="n"/>
      <c r="U64" s="224" t="n"/>
      <c r="V64" s="224" t="n"/>
      <c r="W64" s="224" t="n"/>
      <c r="X64" s="197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n"/>
      <c r="AN64" s="10" t="n"/>
      <c r="AO64" s="10" t="n"/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</row>
    <row r="65" ht="14.25" customHeight="1" s="115">
      <c r="A65" s="197" t="n"/>
      <c r="B65" s="185" t="n"/>
      <c r="C65" s="178" t="n"/>
      <c r="D65" s="178" t="n"/>
      <c r="E65" s="178" t="n"/>
      <c r="F65" s="222" t="n"/>
      <c r="G65" s="222" t="n"/>
      <c r="H65" s="222" t="n"/>
      <c r="I65" s="222" t="n"/>
      <c r="J65" s="222" t="n"/>
      <c r="K65" s="223" t="n"/>
      <c r="L65" s="223" t="n"/>
      <c r="M65" s="223" t="n"/>
      <c r="N65" s="223" t="n"/>
      <c r="O65" s="223" t="n"/>
      <c r="P65" s="223" t="n"/>
      <c r="Q65" s="197" t="n"/>
      <c r="R65" s="197" t="n"/>
      <c r="S65" s="224" t="n"/>
      <c r="T65" s="224" t="n"/>
      <c r="U65" s="224" t="n"/>
      <c r="V65" s="224" t="n"/>
      <c r="W65" s="224" t="n"/>
      <c r="X65" s="197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n"/>
      <c r="AN65" s="10" t="n"/>
      <c r="AO65" s="10" t="n"/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</row>
    <row r="66" ht="14.25" customHeight="1" s="115">
      <c r="A66" s="197" t="n"/>
      <c r="B66" s="185" t="n"/>
      <c r="C66" s="178" t="n"/>
      <c r="D66" s="178" t="n"/>
      <c r="E66" s="178" t="n"/>
      <c r="F66" s="222" t="n"/>
      <c r="G66" s="222" t="n"/>
      <c r="H66" s="222" t="n"/>
      <c r="I66" s="222" t="n"/>
      <c r="J66" s="222" t="n"/>
      <c r="K66" s="223" t="n"/>
      <c r="L66" s="223" t="n"/>
      <c r="M66" s="223" t="n"/>
      <c r="N66" s="223" t="n"/>
      <c r="O66" s="223" t="n"/>
      <c r="P66" s="223" t="n"/>
      <c r="Q66" s="197" t="n"/>
      <c r="R66" s="197" t="n"/>
      <c r="S66" s="224" t="n"/>
      <c r="T66" s="224" t="n"/>
      <c r="U66" s="224" t="n"/>
      <c r="V66" s="224" t="n"/>
      <c r="W66" s="224" t="n"/>
      <c r="X66" s="197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n"/>
      <c r="AN66" s="10" t="n"/>
      <c r="AO66" s="10" t="n"/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</row>
    <row r="67" ht="14.25" customHeight="1" s="115">
      <c r="A67" s="197" t="n"/>
      <c r="B67" s="185" t="n"/>
      <c r="C67" s="178" t="n"/>
      <c r="D67" s="178" t="n"/>
      <c r="E67" s="178" t="n"/>
      <c r="F67" s="222" t="n"/>
      <c r="G67" s="222" t="n"/>
      <c r="H67" s="222" t="n"/>
      <c r="I67" s="222" t="n"/>
      <c r="J67" s="222" t="n"/>
      <c r="K67" s="223" t="n"/>
      <c r="L67" s="223" t="n"/>
      <c r="M67" s="223" t="n"/>
      <c r="N67" s="223" t="n"/>
      <c r="O67" s="223" t="n"/>
      <c r="P67" s="223" t="n"/>
      <c r="Q67" s="197" t="n"/>
      <c r="R67" s="197" t="n"/>
      <c r="S67" s="224" t="n"/>
      <c r="T67" s="224" t="n"/>
      <c r="U67" s="224" t="n"/>
      <c r="V67" s="224" t="n"/>
      <c r="W67" s="224" t="n"/>
      <c r="X67" s="197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n"/>
      <c r="AN67" s="10" t="n"/>
      <c r="AO67" s="10" t="n"/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</row>
    <row r="68" ht="14.25" customHeight="1" s="115">
      <c r="A68" s="197" t="n"/>
      <c r="B68" s="185" t="n"/>
      <c r="C68" s="178" t="n"/>
      <c r="D68" s="178" t="n"/>
      <c r="E68" s="178" t="n"/>
      <c r="F68" s="222" t="n"/>
      <c r="G68" s="222" t="n"/>
      <c r="H68" s="222" t="n"/>
      <c r="I68" s="222" t="n"/>
      <c r="J68" s="222" t="n"/>
      <c r="K68" s="223" t="n"/>
      <c r="L68" s="223" t="n"/>
      <c r="M68" s="223" t="n"/>
      <c r="N68" s="223" t="n"/>
      <c r="O68" s="223" t="n"/>
      <c r="P68" s="223" t="n"/>
      <c r="Q68" s="197" t="n"/>
      <c r="R68" s="197" t="n"/>
      <c r="S68" s="224" t="n"/>
      <c r="T68" s="224" t="n"/>
      <c r="U68" s="224" t="n"/>
      <c r="V68" s="224" t="n"/>
      <c r="W68" s="224" t="n"/>
      <c r="X68" s="197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n"/>
      <c r="AN68" s="10" t="n"/>
      <c r="AO68" s="10" t="n"/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</row>
    <row r="69" ht="14.25" customHeight="1" s="115">
      <c r="A69" s="197" t="n"/>
      <c r="B69" s="185" t="n"/>
      <c r="C69" s="178" t="n"/>
      <c r="D69" s="178" t="n"/>
      <c r="E69" s="178" t="n"/>
      <c r="F69" s="222" t="n"/>
      <c r="G69" s="222" t="n"/>
      <c r="H69" s="222" t="n"/>
      <c r="I69" s="222" t="n"/>
      <c r="J69" s="222" t="n"/>
      <c r="K69" s="223" t="n"/>
      <c r="L69" s="223" t="n"/>
      <c r="M69" s="223" t="n"/>
      <c r="N69" s="223" t="n"/>
      <c r="O69" s="223" t="n"/>
      <c r="P69" s="223" t="n"/>
      <c r="Q69" s="197" t="n"/>
      <c r="R69" s="197" t="n"/>
      <c r="S69" s="224" t="n"/>
      <c r="T69" s="224" t="n"/>
      <c r="U69" s="224" t="n"/>
      <c r="V69" s="224" t="n"/>
      <c r="W69" s="224" t="n"/>
      <c r="X69" s="197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n"/>
      <c r="AN69" s="10" t="n"/>
      <c r="AO69" s="10" t="n"/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</row>
    <row r="70" ht="14.25" customHeight="1" s="115">
      <c r="A70" s="197" t="n"/>
      <c r="B70" s="185" t="n"/>
      <c r="C70" s="178" t="n"/>
      <c r="D70" s="178" t="n"/>
      <c r="E70" s="178" t="n"/>
      <c r="F70" s="222" t="n"/>
      <c r="G70" s="222" t="n"/>
      <c r="H70" s="222" t="n"/>
      <c r="I70" s="222" t="n"/>
      <c r="J70" s="222" t="n"/>
      <c r="K70" s="223" t="n"/>
      <c r="L70" s="223" t="n"/>
      <c r="M70" s="223" t="n"/>
      <c r="N70" s="223" t="n"/>
      <c r="O70" s="223" t="n"/>
      <c r="P70" s="223" t="n"/>
      <c r="Q70" s="197" t="n"/>
      <c r="R70" s="197" t="n"/>
      <c r="S70" s="224" t="n"/>
      <c r="T70" s="224" t="n"/>
      <c r="U70" s="224" t="n"/>
      <c r="V70" s="224" t="n"/>
      <c r="W70" s="224" t="n"/>
      <c r="X70" s="197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n"/>
      <c r="AN70" s="10" t="n"/>
      <c r="AO70" s="10" t="n"/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</row>
    <row r="71" ht="14.25" customHeight="1" s="115">
      <c r="A71" s="197" t="n"/>
      <c r="B71" s="185" t="n"/>
      <c r="C71" s="178" t="n"/>
      <c r="D71" s="178" t="n"/>
      <c r="E71" s="178" t="n"/>
      <c r="F71" s="222" t="n"/>
      <c r="G71" s="222" t="n"/>
      <c r="H71" s="222" t="n"/>
      <c r="I71" s="222" t="n"/>
      <c r="J71" s="222" t="n"/>
      <c r="K71" s="223" t="n"/>
      <c r="L71" s="223" t="n"/>
      <c r="M71" s="223" t="n"/>
      <c r="N71" s="223" t="n"/>
      <c r="O71" s="223" t="n"/>
      <c r="P71" s="223" t="n"/>
      <c r="Q71" s="197" t="n"/>
      <c r="R71" s="197" t="n"/>
      <c r="S71" s="224" t="n"/>
      <c r="T71" s="224" t="n"/>
      <c r="U71" s="224" t="n"/>
      <c r="V71" s="224" t="n"/>
      <c r="W71" s="224" t="n"/>
      <c r="X71" s="197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n"/>
      <c r="AN71" s="10" t="n"/>
      <c r="AO71" s="10" t="n"/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</row>
    <row r="72" ht="14.25" customHeight="1" s="115">
      <c r="A72" s="197" t="n"/>
      <c r="B72" s="185" t="n"/>
      <c r="C72" s="178" t="n"/>
      <c r="D72" s="178" t="n"/>
      <c r="E72" s="178" t="n"/>
      <c r="F72" s="222" t="n"/>
      <c r="G72" s="222" t="n"/>
      <c r="H72" s="222" t="n"/>
      <c r="I72" s="222" t="n"/>
      <c r="J72" s="222" t="n"/>
      <c r="K72" s="223" t="n"/>
      <c r="L72" s="223" t="n"/>
      <c r="M72" s="223" t="n"/>
      <c r="N72" s="223" t="n"/>
      <c r="O72" s="223" t="n"/>
      <c r="P72" s="223" t="n"/>
      <c r="Q72" s="197" t="n"/>
      <c r="R72" s="197" t="n"/>
      <c r="S72" s="224" t="n"/>
      <c r="T72" s="224" t="n"/>
      <c r="U72" s="224" t="n"/>
      <c r="V72" s="224" t="n"/>
      <c r="W72" s="224" t="n"/>
      <c r="X72" s="197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n"/>
      <c r="AN72" s="10" t="n"/>
      <c r="AO72" s="10" t="n"/>
      <c r="AP72" s="10" t="n"/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</row>
    <row r="73" ht="14.25" customHeight="1" s="115">
      <c r="A73" s="197" t="n"/>
      <c r="B73" s="185" t="n"/>
      <c r="C73" s="178" t="n"/>
      <c r="D73" s="178" t="n"/>
      <c r="E73" s="178" t="n"/>
      <c r="F73" s="222" t="n"/>
      <c r="G73" s="222" t="n"/>
      <c r="H73" s="222" t="n"/>
      <c r="I73" s="222" t="n"/>
      <c r="J73" s="222" t="n"/>
      <c r="K73" s="223" t="n"/>
      <c r="L73" s="223" t="n"/>
      <c r="M73" s="223" t="n"/>
      <c r="N73" s="223" t="n"/>
      <c r="O73" s="223" t="n"/>
      <c r="P73" s="223" t="n"/>
      <c r="Q73" s="197" t="n"/>
      <c r="R73" s="197" t="n"/>
      <c r="S73" s="224" t="n"/>
      <c r="T73" s="224" t="n"/>
      <c r="U73" s="224" t="n"/>
      <c r="V73" s="224" t="n"/>
      <c r="W73" s="224" t="n"/>
      <c r="X73" s="197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n"/>
      <c r="AN73" s="10" t="n"/>
      <c r="AO73" s="10" t="n"/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</row>
    <row r="74" ht="14.25" customHeight="1" s="115">
      <c r="A74" s="197" t="n"/>
      <c r="B74" s="225" t="n"/>
      <c r="C74" s="226" t="n"/>
      <c r="D74" s="226" t="n"/>
      <c r="E74" s="226" t="n"/>
      <c r="F74" s="227" t="n"/>
      <c r="G74" s="227" t="n"/>
      <c r="H74" s="227" t="n"/>
      <c r="I74" s="227" t="n"/>
      <c r="J74" s="227" t="n"/>
      <c r="K74" s="226" t="n"/>
      <c r="L74" s="226" t="n"/>
      <c r="M74" s="226" t="n"/>
      <c r="N74" s="226" t="n"/>
      <c r="O74" s="226" t="n"/>
      <c r="P74" s="226" t="n"/>
      <c r="Q74" s="197" t="n"/>
      <c r="R74" s="197" t="n"/>
      <c r="S74" s="226" t="n"/>
      <c r="T74" s="226" t="n"/>
      <c r="U74" s="226" t="n"/>
      <c r="V74" s="226" t="n"/>
      <c r="W74" s="226" t="n"/>
      <c r="X74" s="197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n"/>
      <c r="AN74" s="10" t="n"/>
      <c r="AO74" s="10" t="n"/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</row>
    <row r="75" ht="14.25" customHeight="1" s="115">
      <c r="A75" s="197" t="n"/>
      <c r="B75" s="225" t="n"/>
      <c r="C75" s="226" t="n"/>
      <c r="D75" s="226" t="n"/>
      <c r="E75" s="226" t="n"/>
      <c r="F75" s="227" t="n"/>
      <c r="G75" s="227" t="n"/>
      <c r="H75" s="227" t="n"/>
      <c r="I75" s="227" t="n"/>
      <c r="J75" s="227" t="n"/>
      <c r="K75" s="226" t="n"/>
      <c r="L75" s="226" t="n"/>
      <c r="M75" s="226" t="n"/>
      <c r="N75" s="226" t="n"/>
      <c r="O75" s="226" t="n"/>
      <c r="P75" s="226" t="n"/>
      <c r="Q75" s="197" t="n"/>
      <c r="R75" s="197" t="n"/>
      <c r="S75" s="226" t="n"/>
      <c r="T75" s="226" t="n"/>
      <c r="U75" s="226" t="n"/>
      <c r="V75" s="226" t="n"/>
      <c r="W75" s="226" t="n"/>
      <c r="X75" s="197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n"/>
      <c r="AN75" s="10" t="n"/>
      <c r="AO75" s="10" t="n"/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</row>
    <row r="76" ht="14.25" customHeight="1" s="115">
      <c r="A76" s="197" t="n"/>
      <c r="B76" s="225" t="n"/>
      <c r="C76" s="226" t="n"/>
      <c r="D76" s="226" t="n"/>
      <c r="E76" s="226" t="n"/>
      <c r="F76" s="227" t="n"/>
      <c r="G76" s="227" t="n"/>
      <c r="H76" s="227" t="n"/>
      <c r="I76" s="227" t="n"/>
      <c r="J76" s="227" t="n"/>
      <c r="K76" s="226" t="n"/>
      <c r="L76" s="226" t="n"/>
      <c r="M76" s="226" t="n"/>
      <c r="N76" s="226" t="n"/>
      <c r="O76" s="226" t="n"/>
      <c r="P76" s="226" t="n"/>
      <c r="Q76" s="197" t="n"/>
      <c r="R76" s="197" t="n"/>
      <c r="S76" s="226" t="n"/>
      <c r="T76" s="226" t="n"/>
      <c r="U76" s="226" t="n"/>
      <c r="V76" s="226" t="n"/>
      <c r="W76" s="226" t="n"/>
      <c r="X76" s="197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n"/>
      <c r="AN76" s="10" t="n"/>
      <c r="AO76" s="10" t="n"/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</row>
    <row r="77" ht="14.25" customHeight="1" s="115">
      <c r="A77" s="122" t="n"/>
      <c r="B77" s="122" t="n"/>
      <c r="C77" s="122" t="n"/>
      <c r="D77" s="122" t="n"/>
      <c r="E77" s="122" t="n"/>
      <c r="F77" s="122" t="n"/>
      <c r="G77" s="122" t="n"/>
      <c r="H77" s="122" t="n"/>
      <c r="I77" s="122" t="n"/>
      <c r="J77" s="122" t="n"/>
      <c r="K77" s="122" t="n"/>
      <c r="L77" s="122" t="n"/>
      <c r="M77" s="122" t="n"/>
      <c r="N77" s="122" t="n"/>
      <c r="O77" s="122" t="n"/>
      <c r="P77" s="122" t="n"/>
      <c r="Q77" s="122" t="n"/>
      <c r="R77" s="122" t="n"/>
      <c r="S77" s="226" t="n"/>
      <c r="T77" s="226" t="n"/>
      <c r="U77" s="226" t="n"/>
      <c r="V77" s="226" t="n"/>
      <c r="W77" s="226" t="n"/>
      <c r="X77" s="122" t="n"/>
    </row>
    <row r="78" ht="14.25" customHeight="1" s="115">
      <c r="A78" s="122" t="n"/>
      <c r="B78" s="122" t="n"/>
      <c r="C78" s="122" t="n"/>
      <c r="D78" s="122" t="n"/>
      <c r="E78" s="122" t="n"/>
      <c r="F78" s="122" t="n"/>
      <c r="G78" s="122" t="n"/>
      <c r="H78" s="122" t="n"/>
      <c r="I78" s="122" t="n"/>
      <c r="J78" s="122" t="n"/>
      <c r="K78" s="122" t="n"/>
      <c r="L78" s="122" t="n"/>
      <c r="M78" s="122" t="n"/>
      <c r="N78" s="122" t="n"/>
      <c r="O78" s="122" t="n"/>
      <c r="P78" s="122" t="n"/>
      <c r="Q78" s="122" t="n"/>
      <c r="R78" s="122" t="n"/>
      <c r="S78" s="226" t="n"/>
      <c r="T78" s="226" t="n"/>
      <c r="U78" s="226" t="n"/>
      <c r="V78" s="226" t="n"/>
      <c r="W78" s="226" t="n"/>
      <c r="X78" s="122" t="n"/>
    </row>
    <row r="79" ht="14.25" customHeight="1" s="115">
      <c r="A79" s="122" t="n"/>
      <c r="B79" s="122" t="n"/>
      <c r="C79" s="122" t="n"/>
      <c r="D79" s="122" t="n"/>
      <c r="E79" s="122" t="n"/>
      <c r="F79" s="122" t="n"/>
      <c r="G79" s="122" t="n"/>
      <c r="H79" s="122" t="n"/>
      <c r="I79" s="122" t="n"/>
      <c r="J79" s="122" t="n"/>
      <c r="K79" s="122" t="n"/>
      <c r="L79" s="122" t="n"/>
      <c r="M79" s="122" t="n"/>
      <c r="N79" s="122" t="n"/>
      <c r="O79" s="122" t="n"/>
      <c r="P79" s="122" t="n"/>
      <c r="Q79" s="122" t="n"/>
      <c r="R79" s="122" t="n"/>
      <c r="S79" s="226" t="n"/>
      <c r="T79" s="226" t="n"/>
      <c r="U79" s="226" t="n"/>
      <c r="V79" s="226" t="n"/>
      <c r="W79" s="226" t="n"/>
      <c r="X79" s="122" t="n"/>
    </row>
    <row r="80" ht="14.25" customHeight="1" s="115">
      <c r="A80" s="122" t="n"/>
      <c r="B80" s="122" t="n"/>
      <c r="C80" s="122" t="n"/>
      <c r="D80" s="122" t="n"/>
      <c r="E80" s="122" t="n"/>
      <c r="F80" s="122" t="n"/>
      <c r="G80" s="122" t="n"/>
      <c r="H80" s="122" t="n"/>
      <c r="I80" s="122" t="n"/>
      <c r="J80" s="122" t="n"/>
      <c r="K80" s="122" t="n"/>
      <c r="L80" s="122" t="n"/>
      <c r="M80" s="122" t="n"/>
      <c r="N80" s="122" t="n"/>
      <c r="O80" s="122" t="n"/>
      <c r="P80" s="122" t="n"/>
      <c r="Q80" s="122" t="n"/>
      <c r="R80" s="122" t="n"/>
      <c r="S80" s="226" t="n"/>
      <c r="T80" s="226" t="n"/>
      <c r="U80" s="226" t="n"/>
      <c r="V80" s="226" t="n"/>
      <c r="W80" s="226" t="n"/>
      <c r="X80" s="122" t="n"/>
    </row>
    <row r="81" ht="14.25" customHeight="1" s="115">
      <c r="S81" s="56" t="n"/>
      <c r="T81" s="56" t="n"/>
      <c r="U81" s="56" t="n"/>
      <c r="V81" s="56" t="n"/>
      <c r="W81" s="56" t="n"/>
    </row>
    <row r="82" ht="14.25" customHeight="1" s="115">
      <c r="S82" s="56" t="n"/>
      <c r="T82" s="56" t="n"/>
      <c r="U82" s="56" t="n"/>
      <c r="V82" s="56" t="n"/>
      <c r="W82" s="56" t="n"/>
    </row>
  </sheetData>
  <conditionalFormatting sqref="C13:C17">
    <cfRule type="cellIs" priority="1" operator="greaterThan" dxfId="24">
      <formula>0</formula>
    </cfRule>
    <cfRule type="cellIs" priority="2" operator="lessThan" dxfId="25">
      <formula>0</formula>
    </cfRule>
  </conditionalFormatting>
  <conditionalFormatting sqref="B44:P73">
    <cfRule type="expression" priority="3" dxfId="26">
      <formula>$B44&lt;&gt;""</formula>
    </cfRule>
  </conditionalFormatting>
  <conditionalFormatting sqref="S44:W73">
    <cfRule type="expression" priority="4" dxfId="26">
      <formula>$B44&lt;&gt;""</formula>
    </cfRule>
  </conditionalFormatting>
  <conditionalFormatting sqref="S44:S73">
    <cfRule type="cellIs" priority="5" operator="greaterThan" dxfId="14">
      <formula>0</formula>
    </cfRule>
    <cfRule type="cellIs" priority="6" operator="lessThan" dxfId="15">
      <formula>0</formula>
    </cfRule>
  </conditionalFormatting>
  <conditionalFormatting sqref="T44:T73">
    <cfRule type="cellIs" priority="7" operator="greaterThan" dxfId="14">
      <formula>0</formula>
    </cfRule>
    <cfRule type="cellIs" priority="8" operator="lessThan" dxfId="15">
      <formula>0</formula>
    </cfRule>
  </conditionalFormatting>
  <conditionalFormatting sqref="U44:U73">
    <cfRule type="cellIs" priority="9" operator="greaterThan" dxfId="14">
      <formula>0</formula>
    </cfRule>
    <cfRule type="cellIs" priority="10" operator="lessThan" dxfId="15">
      <formula>0</formula>
    </cfRule>
  </conditionalFormatting>
  <conditionalFormatting sqref="V44:V73">
    <cfRule type="cellIs" priority="11" operator="greaterThan" dxfId="14">
      <formula>0</formula>
    </cfRule>
    <cfRule type="cellIs" priority="12" operator="lessThan" dxfId="15">
      <formula>0</formula>
    </cfRule>
  </conditionalFormatting>
  <conditionalFormatting sqref="W44:W73">
    <cfRule type="cellIs" priority="13" operator="greaterThan" dxfId="14">
      <formula>0</formula>
    </cfRule>
    <cfRule type="cellIs" priority="14" operator="lessThan" dxfId="15">
      <formula>0</formula>
    </cfRule>
  </conditionalFormatting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topLeftCell="A1" workbookViewId="0">
      <selection activeCell="B33" sqref="B33"/>
    </sheetView>
  </sheetViews>
  <sheetFormatPr baseColWidth="8" defaultColWidth="9.00390625" defaultRowHeight="14.25" customHeight="1"/>
  <cols>
    <col width="2.4" customWidth="1" style="115" min="1" max="1"/>
    <col width="9" customWidth="1" style="115" min="2" max="2"/>
    <col width="15" customWidth="1" style="115" min="3" max="3"/>
    <col width="34" customWidth="1" style="115" min="4" max="4"/>
    <col width="14" customWidth="1" style="115" min="5" max="6"/>
    <col width="14" customWidth="1" style="115" min="6" max="6"/>
    <col width="15" customWidth="1" style="115" min="7" max="7"/>
    <col width="15" customWidth="1" style="115" min="8" max="8"/>
    <col width="11" customWidth="1" style="115" min="9" max="9"/>
    <col hidden="1" width="13" customWidth="1" style="115" min="10" max="10"/>
    <col hidden="1" width="13" customWidth="1" style="115" min="11" max="11"/>
    <col hidden="1" width="13" customWidth="1" style="115" min="12" max="12"/>
    <col hidden="1" width="13" customWidth="1" style="115" min="13" max="13"/>
    <col hidden="1" width="13.00390625" customWidth="1" style="115" min="14" max="19"/>
    <col hidden="1" width="13" customWidth="1" style="115" min="15" max="15"/>
    <col hidden="1" width="13" customWidth="1" style="115" min="16" max="16"/>
    <col hidden="1" width="13" customWidth="1" style="115" min="17" max="17"/>
    <col hidden="1" width="13" customWidth="1" style="115" min="18" max="18"/>
    <col hidden="1" width="13" customWidth="1" style="115" min="19" max="19"/>
    <col hidden="1" width="13" customWidth="1" style="115" min="20" max="20"/>
    <col hidden="1" width="13" customWidth="1" style="115" min="21" max="21"/>
    <col hidden="1" width="9.28125" customWidth="1" style="115" min="22" max="22"/>
    <col hidden="1" width="29.00390625" customWidth="1" style="115" min="23" max="23"/>
    <col hidden="1" width="16.00390625" customWidth="1" style="115" min="24" max="25"/>
    <col hidden="1" width="13" customWidth="1" style="115" min="25" max="25"/>
  </cols>
  <sheetData>
    <row r="1" ht="6" customHeight="1" s="115">
      <c r="A1" s="189" t="n"/>
      <c r="B1" s="189" t="n"/>
      <c r="C1" s="189" t="n"/>
      <c r="D1" s="189" t="n"/>
      <c r="E1" s="189" t="n"/>
      <c r="F1" s="189" t="n"/>
      <c r="G1" s="189" t="n"/>
      <c r="H1" s="189" t="n"/>
      <c r="I1" s="189" t="n"/>
      <c r="J1" s="66" t="n"/>
      <c r="K1" s="66" t="n"/>
      <c r="L1" s="66" t="n"/>
      <c r="M1" s="66" t="n"/>
    </row>
    <row r="2" ht="22" customHeight="1" s="115">
      <c r="A2" s="189" t="n"/>
      <c r="B2" s="193" t="n"/>
      <c r="C2" s="190" t="inlineStr">
        <is>
          <t>DE QUOI CET EBITDA EST-IL FAIT</t>
        </is>
      </c>
      <c r="D2" s="193" t="inlineStr">
        <is>
          <t>DE QUOI CET EBITDA EST-IL FAIT</t>
        </is>
      </c>
      <c r="E2" s="189" t="n"/>
      <c r="F2" s="189" t="n"/>
      <c r="G2" s="189" t="n"/>
      <c r="H2" s="189" t="n"/>
      <c r="I2" s="189" t="n"/>
      <c r="J2" s="66" t="n"/>
      <c r="K2" s="66" t="n"/>
      <c r="L2" s="66" t="n"/>
      <c r="M2" s="66" t="n"/>
    </row>
    <row r="3" ht="13" customHeight="1" s="115">
      <c r="A3" s="189" t="n"/>
      <c r="B3" s="228" t="n"/>
      <c r="C3" s="192" t="inlineStr">
        <is>
          <t>drill sur la cellule cliquée · quinze comptes lus en compta, plus le siège redescendu</t>
        </is>
      </c>
      <c r="D3" s="228" t="inlineStr">
        <is>
          <t>drill sur la cellule cliquée · 2026 contre 2025 · le tableau lit la restitution de Q_D2_SOCLE par RECHERCHEV sur le compte</t>
        </is>
      </c>
      <c r="E3" s="189" t="n"/>
      <c r="F3" s="189" t="n"/>
      <c r="G3" s="189" t="n"/>
      <c r="H3" s="189" t="n"/>
      <c r="I3" s="189" t="n"/>
      <c r="J3" s="66" t="n"/>
      <c r="K3" s="66" t="n"/>
      <c r="L3" s="66" t="n"/>
      <c r="M3" s="66" t="n"/>
    </row>
    <row r="4" ht="3" customHeight="1" s="115">
      <c r="A4" s="229" t="n"/>
      <c r="B4" s="229" t="n"/>
      <c r="C4" s="229" t="n"/>
      <c r="D4" s="229" t="n"/>
      <c r="E4" s="229" t="n"/>
      <c r="F4" s="229" t="n"/>
      <c r="G4" s="229" t="n"/>
      <c r="H4" s="229" t="n"/>
      <c r="I4" s="229" t="n"/>
      <c r="J4" s="10" t="n"/>
      <c r="K4" s="10" t="n"/>
      <c r="L4" s="10" t="n"/>
      <c r="M4" s="10" t="n"/>
    </row>
    <row r="5" ht="20" customHeight="1" s="115">
      <c r="A5" s="197" t="n"/>
      <c r="B5" s="198">
        <f>"Sur "&amp;TEXT(SUM(F34:F36),"#,##0 €")&amp;" de chiffre d'affaires, "&amp;TEXT(-SUM(F37:F49),"#,##0 €")&amp;" partent en charges. Il reste "&amp;TEXT(SUM(F34:F49),"#,##0 €")&amp;" d'EBITDA, soit "&amp;TEXT(SUM(F34:F49)/SUM(F34:F36),"0.0%")&amp;" du chiffre d'affaires."</f>
        <v/>
      </c>
      <c r="C5" s="197" t="n"/>
      <c r="D5" s="197" t="n"/>
      <c r="E5" s="197" t="n"/>
      <c r="F5" s="197" t="n"/>
      <c r="G5" s="197" t="n"/>
      <c r="H5" s="197" t="n"/>
      <c r="I5" s="197" t="n"/>
      <c r="J5" s="10" t="n"/>
      <c r="K5" s="10" t="n"/>
      <c r="L5" s="10" t="n"/>
      <c r="M5" s="10" t="n"/>
    </row>
    <row r="6" ht="14.25" customHeight="1" s="115">
      <c r="A6" s="197" t="n"/>
      <c r="B6" s="199" t="inlineStr">
        <is>
          <t>les montants sont signés : une variation positive veut toujours dire « cette ligne apporte plus à l'EBITDA »</t>
        </is>
      </c>
      <c r="C6" s="197" t="n"/>
      <c r="D6" s="197" t="n"/>
      <c r="E6" s="197" t="n"/>
      <c r="F6" s="197" t="n"/>
      <c r="G6" s="197" t="n"/>
      <c r="H6" s="197" t="n"/>
      <c r="I6" s="197" t="n"/>
      <c r="J6" s="10" t="n"/>
      <c r="K6" s="10" t="n"/>
      <c r="L6" s="10" t="n"/>
      <c r="M6" s="10" t="n"/>
      <c r="N6" s="99" t="inlineStr">
        <is>
          <t>Compte</t>
        </is>
      </c>
      <c r="O6" s="99" t="inlineStr">
        <is>
          <t>Famille</t>
        </is>
      </c>
      <c r="P6" s="99" t="inlineStr">
        <is>
          <t>Poste</t>
        </is>
      </c>
      <c r="Q6" s="99" t="inlineStr">
        <is>
          <t>Poste court</t>
        </is>
      </c>
      <c r="R6" s="99" t="inlineStr">
        <is>
          <t>Montant 2025</t>
        </is>
      </c>
      <c r="S6" s="99" t="inlineStr">
        <is>
          <t>Montant 2026</t>
        </is>
      </c>
    </row>
    <row r="7" ht="8.25" customHeight="1" s="115">
      <c r="A7" s="197" t="n"/>
      <c r="B7" s="197" t="n"/>
      <c r="C7" s="197" t="n"/>
      <c r="D7" s="197" t="n"/>
      <c r="E7" s="197" t="n"/>
      <c r="F7" s="197" t="n"/>
      <c r="G7" s="197" t="n"/>
      <c r="H7" s="197" t="n"/>
      <c r="I7" s="197" t="n"/>
      <c r="J7" s="10" t="n"/>
      <c r="K7" s="10" t="n"/>
      <c r="L7" s="10" t="n"/>
      <c r="M7" s="10" t="n"/>
    </row>
    <row r="8" ht="18" customHeight="1" s="115">
      <c r="A8" s="197" t="n"/>
      <c r="B8" s="200" t="inlineStr">
        <is>
          <t>OÙ PART L'ARGENT</t>
        </is>
      </c>
      <c r="C8" s="197" t="n"/>
      <c r="D8" s="197" t="n"/>
      <c r="E8" s="197" t="n"/>
      <c r="F8" s="197" t="n"/>
      <c r="G8" s="197" t="n"/>
      <c r="H8" s="197" t="n"/>
      <c r="I8" s="201" t="inlineStr">
        <is>
          <t xml:space="preserve">treize postes de charge · 2025 contre 2026    </t>
        </is>
      </c>
      <c r="J8" s="10" t="n"/>
      <c r="K8" s="10" t="n"/>
      <c r="L8" s="10" t="n"/>
      <c r="M8" s="10" t="n"/>
    </row>
    <row r="9" ht="14" customHeight="1" s="115">
      <c r="A9" s="197" t="n"/>
      <c r="B9" s="197" t="n"/>
      <c r="C9" s="197" t="n"/>
      <c r="D9" s="197" t="n"/>
      <c r="E9" s="197" t="n"/>
      <c r="F9" s="197" t="n"/>
      <c r="G9" s="197" t="n"/>
      <c r="H9" s="197" t="n"/>
      <c r="I9" s="197" t="n"/>
      <c r="J9" s="10" t="n"/>
      <c r="K9" s="10" t="n"/>
      <c r="L9" s="10" t="n"/>
      <c r="M9" s="10" t="n"/>
    </row>
    <row r="10" ht="14" customHeight="1" s="115">
      <c r="A10" s="197" t="n"/>
      <c r="B10" s="197" t="n"/>
      <c r="C10" s="197" t="n"/>
      <c r="D10" s="197" t="n"/>
      <c r="E10" s="197" t="n"/>
      <c r="F10" s="197" t="n"/>
      <c r="G10" s="197" t="n"/>
      <c r="H10" s="197" t="n"/>
      <c r="I10" s="197" t="n"/>
      <c r="J10" s="10" t="n"/>
      <c r="K10" s="10" t="n"/>
      <c r="L10" s="10" t="n"/>
      <c r="M10" s="10" t="n"/>
    </row>
    <row r="11" ht="14" customHeight="1" s="115">
      <c r="A11" s="197" t="n"/>
      <c r="B11" s="197" t="n"/>
      <c r="C11" s="197" t="n"/>
      <c r="D11" s="197" t="n"/>
      <c r="E11" s="197" t="n"/>
      <c r="F11" s="197" t="n"/>
      <c r="G11" s="197" t="n"/>
      <c r="H11" s="197" t="n"/>
      <c r="I11" s="197" t="n"/>
      <c r="J11" s="10" t="n"/>
      <c r="K11" s="10" t="n"/>
      <c r="L11" s="10" t="n"/>
      <c r="M11" s="10" t="n"/>
    </row>
    <row r="12" ht="14" customHeight="1" s="115">
      <c r="A12" s="197" t="n"/>
      <c r="B12" s="197" t="n"/>
      <c r="C12" s="197" t="n"/>
      <c r="D12" s="197" t="n"/>
      <c r="E12" s="197" t="n"/>
      <c r="F12" s="197" t="n"/>
      <c r="G12" s="197" t="n"/>
      <c r="H12" s="197" t="n"/>
      <c r="I12" s="197" t="n"/>
      <c r="J12" s="10" t="n"/>
      <c r="K12" s="10" t="n"/>
      <c r="L12" s="10" t="n"/>
      <c r="M12" s="10" t="n"/>
    </row>
    <row r="13" ht="14" customHeight="1" s="115">
      <c r="A13" s="197" t="n"/>
      <c r="B13" s="197" t="n"/>
      <c r="C13" s="197" t="n"/>
      <c r="D13" s="197" t="n"/>
      <c r="E13" s="197" t="n"/>
      <c r="F13" s="197" t="n"/>
      <c r="G13" s="197" t="n"/>
      <c r="H13" s="197" t="n"/>
      <c r="I13" s="197" t="n"/>
      <c r="J13" s="10" t="n"/>
      <c r="K13" s="10" t="n"/>
      <c r="L13" s="10" t="n"/>
      <c r="M13" s="10" t="n"/>
      <c r="V13" s="100" t="inlineStr">
        <is>
          <t>COMPTE</t>
        </is>
      </c>
      <c r="W13" s="101" t="inlineStr">
        <is>
          <t>POSTE</t>
        </is>
      </c>
      <c r="X13" s="101" t="inlineStr">
        <is>
          <t>MONTANT 2025</t>
        </is>
      </c>
      <c r="Y13" s="101" t="inlineStr">
        <is>
          <t>MONTANT 2026</t>
        </is>
      </c>
    </row>
    <row r="14" ht="14" customHeight="1" s="115">
      <c r="A14" s="197" t="n"/>
      <c r="B14" s="197" t="n"/>
      <c r="C14" s="197" t="n"/>
      <c r="D14" s="197" t="n"/>
      <c r="E14" s="197" t="n"/>
      <c r="F14" s="197" t="n"/>
      <c r="G14" s="197" t="n"/>
      <c r="H14" s="197" t="n"/>
      <c r="I14" s="197" t="n"/>
      <c r="J14" s="10" t="n"/>
      <c r="K14" s="10" t="n"/>
      <c r="L14" s="10" t="n"/>
      <c r="M14" s="10" t="n"/>
      <c r="V14" s="101" t="inlineStr">
        <is>
          <t>706</t>
        </is>
      </c>
      <c r="W14" s="101" t="inlineStr">
        <is>
          <t>Scolarite des etudiants en initial</t>
        </is>
      </c>
      <c r="X14" s="101" t="n">
        <v>3120000</v>
      </c>
      <c r="Y14" s="101" t="n">
        <v>3306675</v>
      </c>
    </row>
    <row r="15" ht="14" customHeight="1" s="115">
      <c r="A15" s="197" t="n"/>
      <c r="B15" s="197" t="n"/>
      <c r="C15" s="197" t="n"/>
      <c r="D15" s="197" t="n"/>
      <c r="E15" s="197" t="n"/>
      <c r="F15" s="197" t="n"/>
      <c r="G15" s="197" t="n"/>
      <c r="H15" s="197" t="n"/>
      <c r="I15" s="197" t="n"/>
      <c r="J15" s="10" t="n"/>
      <c r="K15" s="10" t="n"/>
      <c r="L15" s="10" t="n"/>
      <c r="M15" s="10" t="n"/>
      <c r="V15" s="0" t="inlineStr">
        <is>
          <t>7062</t>
        </is>
      </c>
      <c r="W15" s="0" t="inlineStr">
        <is>
          <t>Scolarite des alternants</t>
        </is>
      </c>
      <c r="X15" s="0" t="n">
        <v>18534460</v>
      </c>
      <c r="Y15" s="0" t="n">
        <v>19681700</v>
      </c>
    </row>
    <row r="16" ht="14" customHeight="1" s="115">
      <c r="A16" s="197" t="n"/>
      <c r="B16" s="197" t="n"/>
      <c r="C16" s="197" t="n"/>
      <c r="D16" s="197" t="n"/>
      <c r="E16" s="197" t="n"/>
      <c r="F16" s="197" t="n"/>
      <c r="G16" s="197" t="n"/>
      <c r="H16" s="197" t="n"/>
      <c r="I16" s="197" t="n"/>
      <c r="J16" s="10" t="n"/>
      <c r="K16" s="10" t="n"/>
      <c r="L16" s="10" t="n"/>
      <c r="M16" s="10" t="n"/>
      <c r="V16" s="0" t="inlineStr">
        <is>
          <t>708</t>
        </is>
      </c>
      <c r="W16" s="0" t="inlineStr">
        <is>
          <t>Frais d'inscription</t>
        </is>
      </c>
      <c r="X16" s="0" t="n">
        <v>104310</v>
      </c>
      <c r="Y16" s="0" t="n">
        <v>110610</v>
      </c>
    </row>
    <row r="17" ht="14" customHeight="1" s="115">
      <c r="A17" s="197" t="n"/>
      <c r="B17" s="197" t="n"/>
      <c r="C17" s="197" t="n"/>
      <c r="D17" s="197" t="n"/>
      <c r="E17" s="197" t="n"/>
      <c r="F17" s="197" t="n"/>
      <c r="G17" s="197" t="n"/>
      <c r="H17" s="197" t="n"/>
      <c r="I17" s="197" t="n"/>
      <c r="J17" s="10" t="n"/>
      <c r="K17" s="10" t="n"/>
      <c r="L17" s="10" t="n"/>
      <c r="M17" s="10" t="n"/>
    </row>
    <row r="18" ht="14" customHeight="1" s="115">
      <c r="A18" s="197" t="n"/>
      <c r="B18" s="197" t="n"/>
      <c r="C18" s="197" t="n"/>
      <c r="D18" s="197" t="n"/>
      <c r="E18" s="197" t="n"/>
      <c r="F18" s="197" t="n"/>
      <c r="G18" s="197" t="n"/>
      <c r="H18" s="197" t="n"/>
      <c r="I18" s="197" t="n"/>
      <c r="J18" s="10" t="n"/>
      <c r="K18" s="10" t="n"/>
      <c r="L18" s="10" t="n"/>
      <c r="M18" s="10" t="n"/>
    </row>
    <row r="19" ht="14" customHeight="1" s="115">
      <c r="A19" s="197" t="n"/>
      <c r="B19" s="197" t="n"/>
      <c r="C19" s="197" t="n"/>
      <c r="D19" s="197" t="n"/>
      <c r="E19" s="197" t="n"/>
      <c r="F19" s="197" t="n"/>
      <c r="G19" s="197" t="n"/>
      <c r="H19" s="197" t="n"/>
      <c r="I19" s="197" t="n"/>
      <c r="J19" s="10" t="n"/>
      <c r="K19" s="10" t="n"/>
      <c r="L19" s="10" t="n"/>
      <c r="M19" s="10" t="n"/>
    </row>
    <row r="20" ht="14" customHeight="1" s="115">
      <c r="A20" s="197" t="n"/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0" t="n"/>
      <c r="K20" s="10" t="n"/>
      <c r="L20" s="10" t="n"/>
      <c r="M20" s="10" t="n"/>
    </row>
    <row r="21" ht="14" customHeight="1" s="115">
      <c r="A21" s="197" t="n"/>
      <c r="B21" s="197" t="n"/>
      <c r="C21" s="197" t="n"/>
      <c r="D21" s="197" t="n"/>
      <c r="E21" s="197" t="n"/>
      <c r="F21" s="197" t="n"/>
      <c r="G21" s="197" t="n"/>
      <c r="H21" s="197" t="n"/>
      <c r="I21" s="197" t="n"/>
      <c r="J21" s="10" t="n"/>
      <c r="K21" s="10" t="n"/>
      <c r="L21" s="10" t="n"/>
      <c r="M21" s="10" t="n"/>
    </row>
    <row r="22" ht="14" customHeight="1" s="115">
      <c r="A22" s="197" t="n"/>
      <c r="B22" s="197" t="n"/>
      <c r="C22" s="197" t="n"/>
      <c r="D22" s="197" t="n"/>
      <c r="E22" s="197" t="n"/>
      <c r="F22" s="197" t="n"/>
      <c r="G22" s="197" t="n"/>
      <c r="H22" s="197" t="n"/>
      <c r="I22" s="197" t="n"/>
      <c r="J22" s="10" t="n"/>
      <c r="K22" s="10" t="n"/>
      <c r="L22" s="10" t="n"/>
      <c r="M22" s="10" t="n"/>
    </row>
    <row r="23" ht="14" customHeight="1" s="115">
      <c r="A23" s="197" t="n"/>
      <c r="B23" s="197" t="n"/>
      <c r="C23" s="197" t="n"/>
      <c r="D23" s="197" t="n"/>
      <c r="E23" s="197" t="n"/>
      <c r="F23" s="197" t="n"/>
      <c r="G23" s="197" t="n"/>
      <c r="H23" s="197" t="n"/>
      <c r="I23" s="197" t="n"/>
      <c r="J23" s="10" t="n"/>
      <c r="K23" s="10" t="n"/>
      <c r="L23" s="10" t="n"/>
      <c r="M23" s="10" t="n"/>
    </row>
    <row r="24" ht="14" customHeight="1" s="115">
      <c r="A24" s="197" t="n"/>
      <c r="B24" s="197" t="n"/>
      <c r="C24" s="197" t="n"/>
      <c r="D24" s="197" t="n"/>
      <c r="E24" s="197" t="n"/>
      <c r="F24" s="197" t="n"/>
      <c r="G24" s="197" t="n"/>
      <c r="H24" s="197" t="n"/>
      <c r="I24" s="197" t="n"/>
      <c r="J24" s="10" t="n"/>
      <c r="K24" s="10" t="n"/>
      <c r="L24" s="10" t="n"/>
      <c r="M24" s="10" t="n"/>
    </row>
    <row r="25" ht="14" customHeight="1" s="115">
      <c r="A25" s="197" t="n"/>
      <c r="B25" s="197" t="n"/>
      <c r="C25" s="197" t="n"/>
      <c r="D25" s="197" t="n"/>
      <c r="E25" s="197" t="n"/>
      <c r="F25" s="197" t="n"/>
      <c r="G25" s="197" t="n"/>
      <c r="H25" s="197" t="n"/>
      <c r="I25" s="197" t="n"/>
      <c r="J25" s="10" t="n"/>
      <c r="K25" s="10" t="n"/>
      <c r="L25" s="10" t="n"/>
      <c r="M25" s="10" t="n"/>
    </row>
    <row r="26" ht="14" customHeight="1" s="115">
      <c r="A26" s="197" t="n"/>
      <c r="B26" s="197" t="n"/>
      <c r="C26" s="197" t="n"/>
      <c r="D26" s="197" t="n"/>
      <c r="E26" s="197" t="n"/>
      <c r="F26" s="197" t="n"/>
      <c r="G26" s="197" t="n"/>
      <c r="H26" s="197" t="n"/>
      <c r="I26" s="197" t="n"/>
      <c r="J26" s="10" t="n"/>
      <c r="K26" s="10" t="n"/>
      <c r="L26" s="10" t="n"/>
      <c r="M26" s="10" t="n"/>
    </row>
    <row r="27" ht="14" customHeight="1" s="115">
      <c r="A27" s="197" t="n"/>
      <c r="B27" s="197" t="n"/>
      <c r="C27" s="197" t="n"/>
      <c r="D27" s="197" t="n"/>
      <c r="E27" s="197" t="n"/>
      <c r="F27" s="197" t="n"/>
      <c r="G27" s="197" t="n"/>
      <c r="H27" s="197" t="n"/>
      <c r="I27" s="197" t="n"/>
      <c r="J27" s="10" t="n"/>
      <c r="K27" s="10" t="n"/>
      <c r="L27" s="10" t="n"/>
      <c r="M27" s="10" t="n"/>
    </row>
    <row r="28" ht="14" customHeight="1" s="115">
      <c r="A28" s="197" t="n"/>
      <c r="B28" s="197" t="n"/>
      <c r="C28" s="197" t="n"/>
      <c r="D28" s="197" t="n"/>
      <c r="E28" s="197" t="n"/>
      <c r="F28" s="197" t="n"/>
      <c r="G28" s="197" t="n"/>
      <c r="H28" s="197" t="n"/>
      <c r="I28" s="197" t="n"/>
      <c r="J28" s="10" t="n"/>
      <c r="K28" s="10" t="n"/>
      <c r="L28" s="10" t="n"/>
      <c r="M28" s="10" t="n"/>
    </row>
    <row r="29" ht="14" customHeight="1" s="115">
      <c r="A29" s="197" t="n"/>
      <c r="B29" s="197" t="n"/>
      <c r="C29" s="197" t="n"/>
      <c r="D29" s="197" t="n"/>
      <c r="E29" s="197" t="n"/>
      <c r="F29" s="197" t="n"/>
      <c r="G29" s="197" t="n"/>
      <c r="H29" s="197" t="n"/>
      <c r="I29" s="197" t="n"/>
      <c r="J29" s="10" t="n"/>
      <c r="K29" s="10" t="n"/>
      <c r="L29" s="10" t="n"/>
      <c r="M29" s="10" t="n"/>
    </row>
    <row r="30" ht="14" customHeight="1" s="115">
      <c r="A30" s="197" t="n"/>
      <c r="B30" s="197" t="n"/>
      <c r="C30" s="197" t="n"/>
      <c r="D30" s="197" t="n"/>
      <c r="E30" s="197" t="n"/>
      <c r="F30" s="197" t="n"/>
      <c r="G30" s="197" t="n"/>
      <c r="H30" s="197" t="n"/>
      <c r="I30" s="197" t="n"/>
      <c r="J30" s="10" t="n"/>
      <c r="K30" s="10" t="n"/>
      <c r="L30" s="10" t="n"/>
      <c r="M30" s="10" t="n"/>
    </row>
    <row r="31" ht="15" customHeight="1" s="115">
      <c r="A31" s="197" t="n"/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0" t="n"/>
      <c r="K31" s="10" t="n"/>
      <c r="L31" s="10" t="n"/>
      <c r="M31" s="10" t="n"/>
    </row>
    <row r="32" ht="18" customHeight="1" s="115">
      <c r="A32" s="197" t="n"/>
      <c r="B32" s="200" t="inlineStr">
        <is>
          <t>LE COMPTE D'EXPLOITATION, POSTE PAR POSTE</t>
        </is>
      </c>
      <c r="C32" s="197" t="n"/>
      <c r="D32" s="197" t="n"/>
      <c r="E32" s="197" t="n"/>
      <c r="F32" s="197" t="n"/>
      <c r="G32" s="197" t="n"/>
      <c r="H32" s="230" t="n"/>
      <c r="I32" s="201" t="inlineStr">
        <is>
          <t xml:space="preserve">colonnes C à F lues dans la restitution par RECHERCHEV  </t>
        </is>
      </c>
      <c r="J32" s="10" t="n"/>
      <c r="K32" s="10" t="n"/>
      <c r="L32" s="10" t="n"/>
      <c r="M32" s="10" t="n"/>
    </row>
    <row r="33" ht="26" customHeight="1" s="115">
      <c r="A33" s="197" t="n"/>
      <c r="B33" s="202" t="inlineStr">
        <is>
          <t>Compte</t>
        </is>
      </c>
      <c r="C33" s="202" t="inlineStr">
        <is>
          <t>Famille</t>
        </is>
      </c>
      <c r="D33" s="202" t="inlineStr">
        <is>
          <t>Poste</t>
        </is>
      </c>
      <c r="E33" s="171" t="inlineStr">
        <is>
          <t>Montant 2025</t>
        </is>
      </c>
      <c r="F33" s="171" t="inlineStr">
        <is>
          <t>Montant 2026</t>
        </is>
      </c>
      <c r="G33" s="171" t="inlineStr">
        <is>
          <t>Variation</t>
        </is>
      </c>
      <c r="H33" s="171" t="inlineStr">
        <is>
          <t>Part des charges</t>
        </is>
      </c>
      <c r="I33" s="171" t="inlineStr">
        <is>
          <t>Nature</t>
        </is>
      </c>
      <c r="K33" s="0" t="inlineStr">
        <is>
          <t>2025</t>
        </is>
      </c>
      <c r="L33" s="0" t="inlineStr">
        <is>
          <t>2026</t>
        </is>
      </c>
      <c r="M33" s="10" t="n"/>
    </row>
    <row r="34" ht="14.25" customHeight="1" s="115">
      <c r="A34" s="197" t="n"/>
      <c r="B34" s="231" t="inlineStr">
        <is>
          <t>706</t>
        </is>
      </c>
      <c r="C34" s="232">
        <f>IFERROR(VLOOKUP($B34,$N$7:$S$28,2,FALSE),"")</f>
        <v/>
      </c>
      <c r="D34" s="233">
        <f>IFERROR(VLOOKUP($B34,$N$7:$S$28,3,FALSE),"")</f>
        <v/>
      </c>
      <c r="E34" s="234">
        <f>IFERROR(VLOOKUP($B34,$N$7:$S$28,5,FALSE),0)</f>
        <v/>
      </c>
      <c r="F34" s="234">
        <f>IFERROR(VLOOKUP($B34,$N$7:$S$28,6,FALSE),0)</f>
        <v/>
      </c>
      <c r="G34" s="235">
        <f>F34-E34</f>
        <v/>
      </c>
      <c r="H34" s="236">
        <f>IF($C34="Produits","",-F34/SUM(F37:F49))</f>
        <v/>
      </c>
      <c r="I34" s="237">
        <f>IF($C34="","",IF($C34="Produits","produit",IF($C34="Siège","allocation","charge")))</f>
        <v/>
      </c>
      <c r="J34" s="0">
        <f>IFERROR(VLOOKUP($B34,$N$7:$S$28,4,FALSE),"")</f>
        <v/>
      </c>
      <c r="M34" s="10" t="n"/>
    </row>
    <row r="35" ht="14.25" customHeight="1" s="115">
      <c r="A35" s="197" t="n"/>
      <c r="B35" s="231" t="inlineStr">
        <is>
          <t>7062</t>
        </is>
      </c>
      <c r="C35" s="232">
        <f>IFERROR(VLOOKUP($B35,$N$7:$S$28,2,FALSE),"")</f>
        <v/>
      </c>
      <c r="D35" s="233">
        <f>IFERROR(VLOOKUP($B35,$N$7:$S$28,3,FALSE),"")</f>
        <v/>
      </c>
      <c r="E35" s="234">
        <f>IFERROR(VLOOKUP($B35,$N$7:$S$28,5,FALSE),0)</f>
        <v/>
      </c>
      <c r="F35" s="234">
        <f>IFERROR(VLOOKUP($B35,$N$7:$S$28,6,FALSE),0)</f>
        <v/>
      </c>
      <c r="G35" s="235">
        <f>F35-E35</f>
        <v/>
      </c>
      <c r="H35" s="236">
        <f>IF($C35="Produits","",-F35/SUM(F37:F49))</f>
        <v/>
      </c>
      <c r="I35" s="237">
        <f>IF($C35="","",IF($C35="Produits","produit",IF($C35="Siège","allocation","charge")))</f>
        <v/>
      </c>
      <c r="J35" s="0">
        <f>IFERROR(VLOOKUP($B35,$N$7:$S$28,4,FALSE),"")</f>
        <v/>
      </c>
      <c r="M35" s="10" t="n"/>
    </row>
    <row r="36" ht="14.25" customHeight="1" s="115">
      <c r="A36" s="197" t="n"/>
      <c r="B36" s="238" t="inlineStr">
        <is>
          <t>708</t>
        </is>
      </c>
      <c r="C36" s="239">
        <f>IFERROR(VLOOKUP($B36,$N$7:$S$28,2,FALSE),"")</f>
        <v/>
      </c>
      <c r="D36" s="240">
        <f>IFERROR(VLOOKUP($B36,$N$7:$S$28,3,FALSE),"")</f>
        <v/>
      </c>
      <c r="E36" s="241">
        <f>IFERROR(VLOOKUP($B36,$N$7:$S$28,5,FALSE),0)</f>
        <v/>
      </c>
      <c r="F36" s="241">
        <f>IFERROR(VLOOKUP($B36,$N$7:$S$28,6,FALSE),0)</f>
        <v/>
      </c>
      <c r="G36" s="242">
        <f>F36-E36</f>
        <v/>
      </c>
      <c r="H36" s="243">
        <f>IF($C36="Produits","",-F36/SUM(F37:F49))</f>
        <v/>
      </c>
      <c r="I36" s="244">
        <f>IF($C36="","",IF($C36="Produits","produit",IF($C36="Siège","allocation","charge")))</f>
        <v/>
      </c>
      <c r="J36" s="0">
        <f>IFERROR(VLOOKUP($B36,$N$7:$S$28,4,FALSE),"")</f>
        <v/>
      </c>
      <c r="M36" s="10" t="n"/>
    </row>
    <row r="37" ht="14.25" customHeight="1" s="115">
      <c r="A37" s="197" t="n"/>
      <c r="B37" s="245" t="inlineStr">
        <is>
          <t>621</t>
        </is>
      </c>
      <c r="C37" s="246">
        <f>IFERROR(VLOOKUP($B37,$N$7:$S$28,2,FALSE),"")</f>
        <v/>
      </c>
      <c r="D37" s="247">
        <f>IFERROR(VLOOKUP($B37,$N$7:$S$28,3,FALSE),"")</f>
        <v/>
      </c>
      <c r="E37" s="248">
        <f>IFERROR(VLOOKUP($B37,$N$7:$S$28,5,FALSE),0)</f>
        <v/>
      </c>
      <c r="F37" s="248">
        <f>IFERROR(VLOOKUP($B37,$N$7:$S$28,6,FALSE),0)</f>
        <v/>
      </c>
      <c r="G37" s="249">
        <f>F37-E37</f>
        <v/>
      </c>
      <c r="H37" s="250">
        <f>IF($C37="Produits","",-F37/SUM(F37:F49))</f>
        <v/>
      </c>
      <c r="I37" s="251">
        <f>IF($C37="","",IF($C37="Produits","produit",IF($C37="Siège","allocation","charge")))</f>
        <v/>
      </c>
      <c r="J37" s="0">
        <f>IFERROR(VLOOKUP($B37,$N$7:$S$28,4,FALSE),"")</f>
        <v/>
      </c>
      <c r="K37" s="0">
        <f>-E37</f>
        <v/>
      </c>
      <c r="L37" s="0">
        <f>-F37</f>
        <v/>
      </c>
      <c r="M37" s="10" t="n"/>
    </row>
    <row r="38" ht="14.25" customHeight="1" s="115">
      <c r="A38" s="197" t="n"/>
      <c r="B38" s="245" t="inlineStr">
        <is>
          <t>604</t>
        </is>
      </c>
      <c r="C38" s="246">
        <f>IFERROR(VLOOKUP($B38,$N$7:$S$28,2,FALSE),"")</f>
        <v/>
      </c>
      <c r="D38" s="247">
        <f>IFERROR(VLOOKUP($B38,$N$7:$S$28,3,FALSE),"")</f>
        <v/>
      </c>
      <c r="E38" s="248">
        <f>IFERROR(VLOOKUP($B38,$N$7:$S$28,5,FALSE),0)</f>
        <v/>
      </c>
      <c r="F38" s="248">
        <f>IFERROR(VLOOKUP($B38,$N$7:$S$28,6,FALSE),0)</f>
        <v/>
      </c>
      <c r="G38" s="249">
        <f>F38-E38</f>
        <v/>
      </c>
      <c r="H38" s="250">
        <f>IF($C38="Produits","",-F38/SUM(F37:F49))</f>
        <v/>
      </c>
      <c r="I38" s="251">
        <f>IF($C38="","",IF($C38="Produits","produit",IF($C38="Siège","allocation","charge")))</f>
        <v/>
      </c>
      <c r="J38" s="0">
        <f>IFERROR(VLOOKUP($B38,$N$7:$S$28,4,FALSE),"")</f>
        <v/>
      </c>
      <c r="K38" s="0">
        <f>-E38</f>
        <v/>
      </c>
      <c r="L38" s="0">
        <f>-F38</f>
        <v/>
      </c>
      <c r="M38" s="10" t="n"/>
    </row>
    <row r="39" ht="14.25" customHeight="1" s="115">
      <c r="A39" s="197" t="n"/>
      <c r="B39" s="245" t="inlineStr">
        <is>
          <t>6063</t>
        </is>
      </c>
      <c r="C39" s="246">
        <f>IFERROR(VLOOKUP($B39,$N$7:$S$28,2,FALSE),"")</f>
        <v/>
      </c>
      <c r="D39" s="247">
        <f>IFERROR(VLOOKUP($B39,$N$7:$S$28,3,FALSE),"")</f>
        <v/>
      </c>
      <c r="E39" s="248">
        <f>IFERROR(VLOOKUP($B39,$N$7:$S$28,5,FALSE),0)</f>
        <v/>
      </c>
      <c r="F39" s="248">
        <f>IFERROR(VLOOKUP($B39,$N$7:$S$28,6,FALSE),0)</f>
        <v/>
      </c>
      <c r="G39" s="249">
        <f>F39-E39</f>
        <v/>
      </c>
      <c r="H39" s="250">
        <f>IF($C39="Produits","",-F39/SUM(F37:F49))</f>
        <v/>
      </c>
      <c r="I39" s="251">
        <f>IF($C39="","",IF($C39="Produits","produit",IF($C39="Siège","allocation","charge")))</f>
        <v/>
      </c>
      <c r="J39" s="0">
        <f>IFERROR(VLOOKUP($B39,$N$7:$S$28,4,FALSE),"")</f>
        <v/>
      </c>
      <c r="K39" s="0">
        <f>-E39</f>
        <v/>
      </c>
      <c r="L39" s="0">
        <f>-F39</f>
        <v/>
      </c>
      <c r="M39" s="10" t="n"/>
    </row>
    <row r="40" ht="14.25" customHeight="1" s="115">
      <c r="A40" s="197" t="n"/>
      <c r="B40" s="245" t="inlineStr">
        <is>
          <t>6231</t>
        </is>
      </c>
      <c r="C40" s="246">
        <f>IFERROR(VLOOKUP($B40,$N$7:$S$28,2,FALSE),"")</f>
        <v/>
      </c>
      <c r="D40" s="247">
        <f>IFERROR(VLOOKUP($B40,$N$7:$S$28,3,FALSE),"")</f>
        <v/>
      </c>
      <c r="E40" s="248">
        <f>IFERROR(VLOOKUP($B40,$N$7:$S$28,5,FALSE),0)</f>
        <v/>
      </c>
      <c r="F40" s="248">
        <f>IFERROR(VLOOKUP($B40,$N$7:$S$28,6,FALSE),0)</f>
        <v/>
      </c>
      <c r="G40" s="249">
        <f>F40-E40</f>
        <v/>
      </c>
      <c r="H40" s="250">
        <f>IF($C40="Produits","",-F40/SUM(F37:F49))</f>
        <v/>
      </c>
      <c r="I40" s="251">
        <f>IF($C40="","",IF($C40="Produits","produit",IF($C40="Siège","allocation","charge")))</f>
        <v/>
      </c>
      <c r="J40" s="0">
        <f>IFERROR(VLOOKUP($B40,$N$7:$S$28,4,FALSE),"")</f>
        <v/>
      </c>
      <c r="K40" s="0">
        <f>-E40</f>
        <v/>
      </c>
      <c r="L40" s="0">
        <f>-F40</f>
        <v/>
      </c>
      <c r="M40" s="10" t="n"/>
    </row>
    <row r="41" ht="14.25" customHeight="1" s="115">
      <c r="A41" s="197" t="n"/>
      <c r="B41" s="245" t="inlineStr">
        <is>
          <t>6411</t>
        </is>
      </c>
      <c r="C41" s="246">
        <f>IFERROR(VLOOKUP($B41,$N$7:$S$28,2,FALSE),"")</f>
        <v/>
      </c>
      <c r="D41" s="247">
        <f>IFERROR(VLOOKUP($B41,$N$7:$S$28,3,FALSE),"")</f>
        <v/>
      </c>
      <c r="E41" s="248">
        <f>IFERROR(VLOOKUP($B41,$N$7:$S$28,5,FALSE),0)</f>
        <v/>
      </c>
      <c r="F41" s="248">
        <f>IFERROR(VLOOKUP($B41,$N$7:$S$28,6,FALSE),0)</f>
        <v/>
      </c>
      <c r="G41" s="249">
        <f>F41-E41</f>
        <v/>
      </c>
      <c r="H41" s="250">
        <f>IF($C41="Produits","",-F41/SUM(F37:F49))</f>
        <v/>
      </c>
      <c r="I41" s="251">
        <f>IF($C41="","",IF($C41="Produits","produit",IF($C41="Siège","allocation","charge")))</f>
        <v/>
      </c>
      <c r="J41" s="0">
        <f>IFERROR(VLOOKUP($B41,$N$7:$S$28,4,FALSE),"")</f>
        <v/>
      </c>
      <c r="K41" s="0">
        <f>-E41</f>
        <v/>
      </c>
      <c r="L41" s="0">
        <f>-F41</f>
        <v/>
      </c>
      <c r="M41" s="10" t="n"/>
    </row>
    <row r="42" ht="14.25" customHeight="1" s="115">
      <c r="A42" s="197" t="n"/>
      <c r="B42" s="245" t="inlineStr">
        <is>
          <t>6413</t>
        </is>
      </c>
      <c r="C42" s="246">
        <f>IFERROR(VLOOKUP($B42,$N$7:$S$28,2,FALSE),"")</f>
        <v/>
      </c>
      <c r="D42" s="247">
        <f>IFERROR(VLOOKUP($B42,$N$7:$S$28,3,FALSE),"")</f>
        <v/>
      </c>
      <c r="E42" s="248">
        <f>IFERROR(VLOOKUP($B42,$N$7:$S$28,5,FALSE),0)</f>
        <v/>
      </c>
      <c r="F42" s="248">
        <f>IFERROR(VLOOKUP($B42,$N$7:$S$28,6,FALSE),0)</f>
        <v/>
      </c>
      <c r="G42" s="249">
        <f>F42-E42</f>
        <v/>
      </c>
      <c r="H42" s="250">
        <f>IF($C42="Produits","",-F42/SUM(F37:F49))</f>
        <v/>
      </c>
      <c r="I42" s="251">
        <f>IF($C42="","",IF($C42="Produits","produit",IF($C42="Siège","allocation","charge")))</f>
        <v/>
      </c>
      <c r="J42" s="0">
        <f>IFERROR(VLOOKUP($B42,$N$7:$S$28,4,FALSE),"")</f>
        <v/>
      </c>
      <c r="K42" s="0">
        <f>-E42</f>
        <v/>
      </c>
      <c r="L42" s="0">
        <f>-F42</f>
        <v/>
      </c>
      <c r="M42" s="10" t="n"/>
    </row>
    <row r="43" ht="14.25" customHeight="1" s="115">
      <c r="A43" s="197" t="n"/>
      <c r="B43" s="245" t="inlineStr">
        <is>
          <t>645</t>
        </is>
      </c>
      <c r="C43" s="246">
        <f>IFERROR(VLOOKUP($B43,$N$7:$S$28,2,FALSE),"")</f>
        <v/>
      </c>
      <c r="D43" s="247">
        <f>IFERROR(VLOOKUP($B43,$N$7:$S$28,3,FALSE),"")</f>
        <v/>
      </c>
      <c r="E43" s="248">
        <f>IFERROR(VLOOKUP($B43,$N$7:$S$28,5,FALSE),0)</f>
        <v/>
      </c>
      <c r="F43" s="248">
        <f>IFERROR(VLOOKUP($B43,$N$7:$S$28,6,FALSE),0)</f>
        <v/>
      </c>
      <c r="G43" s="249">
        <f>F43-E43</f>
        <v/>
      </c>
      <c r="H43" s="250">
        <f>IF($C43="Produits","",-F43/SUM(F37:F49))</f>
        <v/>
      </c>
      <c r="I43" s="251">
        <f>IF($C43="","",IF($C43="Produits","produit",IF($C43="Siège","allocation","charge")))</f>
        <v/>
      </c>
      <c r="J43" s="0">
        <f>IFERROR(VLOOKUP($B43,$N$7:$S$28,4,FALSE),"")</f>
        <v/>
      </c>
      <c r="K43" s="0">
        <f>-E43</f>
        <v/>
      </c>
      <c r="L43" s="0">
        <f>-F43</f>
        <v/>
      </c>
      <c r="M43" s="10" t="n"/>
    </row>
    <row r="44" ht="14.25" customHeight="1" s="115">
      <c r="A44" s="197" t="n"/>
      <c r="B44" s="245" t="inlineStr">
        <is>
          <t>613</t>
        </is>
      </c>
      <c r="C44" s="246">
        <f>IFERROR(VLOOKUP($B44,$N$7:$S$28,2,FALSE),"")</f>
        <v/>
      </c>
      <c r="D44" s="247">
        <f>IFERROR(VLOOKUP($B44,$N$7:$S$28,3,FALSE),"")</f>
        <v/>
      </c>
      <c r="E44" s="248">
        <f>IFERROR(VLOOKUP($B44,$N$7:$S$28,5,FALSE),0)</f>
        <v/>
      </c>
      <c r="F44" s="248">
        <f>IFERROR(VLOOKUP($B44,$N$7:$S$28,6,FALSE),0)</f>
        <v/>
      </c>
      <c r="G44" s="249">
        <f>F44-E44</f>
        <v/>
      </c>
      <c r="H44" s="250">
        <f>IF($C44="Produits","",-F44/SUM(F37:F49))</f>
        <v/>
      </c>
      <c r="I44" s="251">
        <f>IF($C44="","",IF($C44="Produits","produit",IF($C44="Siège","allocation","charge")))</f>
        <v/>
      </c>
      <c r="J44" s="0">
        <f>IFERROR(VLOOKUP($B44,$N$7:$S$28,4,FALSE),"")</f>
        <v/>
      </c>
      <c r="K44" s="0">
        <f>-E44</f>
        <v/>
      </c>
      <c r="L44" s="0">
        <f>-F44</f>
        <v/>
      </c>
      <c r="M44" s="10" t="n"/>
    </row>
    <row r="45" ht="14.25" customHeight="1" s="115">
      <c r="A45" s="197" t="n"/>
      <c r="B45" s="245" t="inlineStr">
        <is>
          <t>615</t>
        </is>
      </c>
      <c r="C45" s="246">
        <f>IFERROR(VLOOKUP($B45,$N$7:$S$28,2,FALSE),"")</f>
        <v/>
      </c>
      <c r="D45" s="247">
        <f>IFERROR(VLOOKUP($B45,$N$7:$S$28,3,FALSE),"")</f>
        <v/>
      </c>
      <c r="E45" s="248">
        <f>IFERROR(VLOOKUP($B45,$N$7:$S$28,5,FALSE),0)</f>
        <v/>
      </c>
      <c r="F45" s="248">
        <f>IFERROR(VLOOKUP($B45,$N$7:$S$28,6,FALSE),0)</f>
        <v/>
      </c>
      <c r="G45" s="249">
        <f>F45-E45</f>
        <v/>
      </c>
      <c r="H45" s="250">
        <f>IF($C45="Produits","",-F45/SUM(F37:F49))</f>
        <v/>
      </c>
      <c r="I45" s="251">
        <f>IF($C45="","",IF($C45="Produits","produit",IF($C45="Siège","allocation","charge")))</f>
        <v/>
      </c>
      <c r="J45" s="0">
        <f>IFERROR(VLOOKUP($B45,$N$7:$S$28,4,FALSE),"")</f>
        <v/>
      </c>
      <c r="K45" s="0">
        <f>-E45</f>
        <v/>
      </c>
      <c r="L45" s="0">
        <f>-F45</f>
        <v/>
      </c>
      <c r="M45" s="10" t="n"/>
    </row>
    <row r="46" ht="14.25" customHeight="1" s="115">
      <c r="A46" s="197" t="n"/>
      <c r="B46" s="245" t="inlineStr">
        <is>
          <t>616</t>
        </is>
      </c>
      <c r="C46" s="246">
        <f>IFERROR(VLOOKUP($B46,$N$7:$S$28,2,FALSE),"")</f>
        <v/>
      </c>
      <c r="D46" s="247">
        <f>IFERROR(VLOOKUP($B46,$N$7:$S$28,3,FALSE),"")</f>
        <v/>
      </c>
      <c r="E46" s="248">
        <f>IFERROR(VLOOKUP($B46,$N$7:$S$28,5,FALSE),0)</f>
        <v/>
      </c>
      <c r="F46" s="248">
        <f>IFERROR(VLOOKUP($B46,$N$7:$S$28,6,FALSE),0)</f>
        <v/>
      </c>
      <c r="G46" s="249">
        <f>F46-E46</f>
        <v/>
      </c>
      <c r="H46" s="250">
        <f>IF($C46="Produits","",-F46/SUM(F37:F49))</f>
        <v/>
      </c>
      <c r="I46" s="251">
        <f>IF($C46="","",IF($C46="Produits","produit",IF($C46="Siège","allocation","charge")))</f>
        <v/>
      </c>
      <c r="J46" s="0">
        <f>IFERROR(VLOOKUP($B46,$N$7:$S$28,4,FALSE),"")</f>
        <v/>
      </c>
      <c r="K46" s="0">
        <f>-E46</f>
        <v/>
      </c>
      <c r="L46" s="0">
        <f>-F46</f>
        <v/>
      </c>
      <c r="M46" s="10" t="n"/>
    </row>
    <row r="47" ht="14.25" customHeight="1" s="115">
      <c r="A47" s="197" t="n"/>
      <c r="B47" s="245" t="inlineStr">
        <is>
          <t>625</t>
        </is>
      </c>
      <c r="C47" s="246">
        <f>IFERROR(VLOOKUP($B47,$N$7:$S$28,2,FALSE),"")</f>
        <v/>
      </c>
      <c r="D47" s="247">
        <f>IFERROR(VLOOKUP($B47,$N$7:$S$28,3,FALSE),"")</f>
        <v/>
      </c>
      <c r="E47" s="248">
        <f>IFERROR(VLOOKUP($B47,$N$7:$S$28,5,FALSE),0)</f>
        <v/>
      </c>
      <c r="F47" s="248">
        <f>IFERROR(VLOOKUP($B47,$N$7:$S$28,6,FALSE),0)</f>
        <v/>
      </c>
      <c r="G47" s="249">
        <f>F47-E47</f>
        <v/>
      </c>
      <c r="H47" s="250">
        <f>IF($C47="Produits","",-F47/SUM(F37:F49))</f>
        <v/>
      </c>
      <c r="I47" s="251">
        <f>IF($C47="","",IF($C47="Produits","produit",IF($C47="Siège","allocation","charge")))</f>
        <v/>
      </c>
      <c r="J47" s="0">
        <f>IFERROR(VLOOKUP($B47,$N$7:$S$28,4,FALSE),"")</f>
        <v/>
      </c>
      <c r="K47" s="0">
        <f>-E47</f>
        <v/>
      </c>
      <c r="L47" s="0">
        <f>-F47</f>
        <v/>
      </c>
      <c r="M47" s="10" t="n"/>
    </row>
    <row r="48" ht="14.25" customHeight="1" s="115">
      <c r="A48" s="197" t="n"/>
      <c r="B48" s="245" t="inlineStr">
        <is>
          <t>63511</t>
        </is>
      </c>
      <c r="C48" s="246">
        <f>IFERROR(VLOOKUP($B48,$N$7:$S$28,2,FALSE),"")</f>
        <v/>
      </c>
      <c r="D48" s="247">
        <f>IFERROR(VLOOKUP($B48,$N$7:$S$28,3,FALSE),"")</f>
        <v/>
      </c>
      <c r="E48" s="248">
        <f>IFERROR(VLOOKUP($B48,$N$7:$S$28,5,FALSE),0)</f>
        <v/>
      </c>
      <c r="F48" s="248">
        <f>IFERROR(VLOOKUP($B48,$N$7:$S$28,6,FALSE),0)</f>
        <v/>
      </c>
      <c r="G48" s="249">
        <f>F48-E48</f>
        <v/>
      </c>
      <c r="H48" s="250">
        <f>IF($C48="Produits","",-F48/SUM(F37:F49))</f>
        <v/>
      </c>
      <c r="I48" s="251">
        <f>IF($C48="","",IF($C48="Produits","produit",IF($C48="Siège","allocation","charge")))</f>
        <v/>
      </c>
      <c r="J48" s="0">
        <f>IFERROR(VLOOKUP($B48,$N$7:$S$28,4,FALSE),"")</f>
        <v/>
      </c>
      <c r="K48" s="0">
        <f>-E48</f>
        <v/>
      </c>
      <c r="L48" s="0">
        <f>-F48</f>
        <v/>
      </c>
      <c r="M48" s="10" t="n"/>
    </row>
    <row r="49" ht="14.25" customHeight="1" s="115">
      <c r="A49" s="197" t="n"/>
      <c r="B49" s="245" t="inlineStr">
        <is>
          <t>SIEGE</t>
        </is>
      </c>
      <c r="C49" s="246">
        <f>IFERROR(VLOOKUP($B49,$N$7:$S$28,2,FALSE),"")</f>
        <v/>
      </c>
      <c r="D49" s="247">
        <f>IFERROR(VLOOKUP($B49,$N$7:$S$28,3,FALSE),"")</f>
        <v/>
      </c>
      <c r="E49" s="248">
        <f>IFERROR(VLOOKUP($B49,$N$7:$S$28,5,FALSE),0)</f>
        <v/>
      </c>
      <c r="F49" s="248">
        <f>IFERROR(VLOOKUP($B49,$N$7:$S$28,6,FALSE),0)</f>
        <v/>
      </c>
      <c r="G49" s="249">
        <f>F49-E49</f>
        <v/>
      </c>
      <c r="H49" s="250">
        <f>IF($C49="Produits","",-F49/SUM(F37:F49))</f>
        <v/>
      </c>
      <c r="I49" s="251">
        <f>IF($C49="","",IF($C49="Produits","produit",IF($C49="Siège","allocation","charge")))</f>
        <v/>
      </c>
      <c r="J49" s="0">
        <f>IFERROR(VLOOKUP($B49,$N$7:$S$28,4,FALSE),"")</f>
        <v/>
      </c>
      <c r="K49" s="0">
        <f>-E49</f>
        <v/>
      </c>
      <c r="L49" s="0">
        <f>-F49</f>
        <v/>
      </c>
      <c r="M49" s="10" t="n"/>
    </row>
    <row r="50" ht="15" customHeight="1" s="115">
      <c r="A50" s="197" t="n"/>
      <c r="B50" s="197" t="n"/>
      <c r="C50" s="197" t="n"/>
      <c r="D50" s="197" t="n"/>
      <c r="E50" s="197" t="n"/>
      <c r="F50" s="197" t="n"/>
      <c r="G50" s="197" t="n"/>
      <c r="H50" s="197" t="n"/>
      <c r="I50" s="197" t="n"/>
      <c r="J50" s="10" t="n"/>
      <c r="K50" s="10" t="n"/>
      <c r="L50" s="10" t="n"/>
      <c r="M50" s="10" t="n"/>
    </row>
    <row r="51" ht="15" customHeight="1" s="115">
      <c r="A51" s="197" t="n"/>
      <c r="B51" s="213" t="inlineStr">
        <is>
          <t>Contrôle</t>
        </is>
      </c>
      <c r="C51" s="252" t="n"/>
      <c r="D51" s="213" t="inlineStr">
        <is>
          <t>la somme des seize lignes doit valoir l'EBITDA</t>
        </is>
      </c>
      <c r="E51" s="253">
        <f>SUM(E34:E49)</f>
        <v/>
      </c>
      <c r="F51" s="253">
        <f>SUM(F34:F49)</f>
        <v/>
      </c>
      <c r="G51" s="252" t="n"/>
      <c r="H51" s="252" t="n"/>
      <c r="I51" s="252" t="n"/>
      <c r="J51" s="10" t="n"/>
      <c r="K51" s="10" t="n"/>
      <c r="L51" s="10" t="n"/>
      <c r="M51" s="10" t="n"/>
    </row>
    <row r="52" ht="14.25" customHeight="1" s="115">
      <c r="A52" s="197" t="n"/>
      <c r="B52" s="197" t="n"/>
      <c r="C52" s="197" t="n"/>
      <c r="D52" s="197" t="n"/>
      <c r="E52" s="197" t="n"/>
      <c r="F52" s="197" t="n"/>
      <c r="G52" s="197" t="n"/>
      <c r="H52" s="197" t="n"/>
      <c r="I52" s="197" t="n"/>
      <c r="J52" s="10" t="n"/>
      <c r="K52" s="10" t="n"/>
      <c r="L52" s="10" t="n"/>
      <c r="M52" s="10" t="n"/>
    </row>
    <row r="53" ht="18" customHeight="1" s="115">
      <c r="A53" s="122" t="n"/>
      <c r="B53" s="200" t="inlineStr">
        <is>
          <t>RAPPROCHEMENT DU CHIFFRE D'AFFAIRES  ·  comptes de produit contre socle CRM</t>
        </is>
      </c>
      <c r="C53" s="197" t="n"/>
      <c r="D53" s="197" t="n"/>
      <c r="E53" s="197" t="n"/>
      <c r="F53" s="197" t="n"/>
      <c r="G53" s="197" t="n"/>
      <c r="H53" s="197" t="n"/>
      <c r="I53" s="122" t="n"/>
    </row>
    <row r="54" ht="14.25" customHeight="1" s="115">
      <c r="A54" s="122" t="n"/>
      <c r="B54" s="247" t="inlineStr">
        <is>
          <t>Comptes de produit  ·  706 + 7062 + 708, somme des trois lignes ci-dessus</t>
        </is>
      </c>
      <c r="C54" s="254" t="n"/>
      <c r="D54" s="254" t="n"/>
      <c r="E54" s="248">
        <f>SUM(E34:E36)</f>
        <v/>
      </c>
      <c r="F54" s="248">
        <f>SUM(F34:F36)</f>
        <v/>
      </c>
      <c r="G54" s="254" t="n"/>
      <c r="H54" s="254" t="n"/>
      <c r="I54" s="255" t="n"/>
    </row>
    <row r="55" ht="14.25" customHeight="1" s="115">
      <c r="A55" s="122" t="n"/>
      <c r="B55" s="247" t="inlineStr">
        <is>
          <t>Socle CRM  ·  effectifs × droits de scolarité, restitution de Q_D3_CA_CRM</t>
        </is>
      </c>
      <c r="C55" s="254" t="n"/>
      <c r="D55" s="254" t="n"/>
      <c r="E55" s="248">
        <f>SUM($X$14:$X$16)</f>
        <v/>
      </c>
      <c r="F55" s="248">
        <f>SUM($Y$14:$Y$16)</f>
        <v/>
      </c>
      <c r="G55" s="254" t="n"/>
      <c r="H55" s="254" t="n"/>
      <c r="I55" s="255" t="n"/>
    </row>
    <row r="56" ht="14.25" customHeight="1" s="115">
      <c r="A56" s="122" t="n"/>
      <c r="B56" s="240" t="inlineStr">
        <is>
          <t>Écart</t>
        </is>
      </c>
      <c r="C56" s="256" t="n"/>
      <c r="D56" s="256" t="n"/>
      <c r="E56" s="257">
        <f>E54-E55</f>
        <v/>
      </c>
      <c r="F56" s="257">
        <f>F54-F55</f>
        <v/>
      </c>
      <c r="G56" s="258">
        <f>E56/E55</f>
        <v/>
      </c>
      <c r="H56" s="258">
        <f>F56/F55</f>
        <v/>
      </c>
      <c r="I56" s="259" t="n"/>
    </row>
    <row r="57">
      <c r="A57" s="122" t="n"/>
      <c r="B57" s="122" t="n"/>
      <c r="C57" s="122" t="n"/>
      <c r="D57" s="122" t="n"/>
      <c r="E57" s="122" t="n"/>
      <c r="F57" s="122" t="n"/>
      <c r="G57" s="122" t="n"/>
      <c r="H57" s="122" t="n"/>
      <c r="I57" s="122" t="n"/>
    </row>
    <row r="58">
      <c r="A58" s="122" t="n"/>
      <c r="B58" s="122" t="n"/>
      <c r="C58" s="122" t="n"/>
      <c r="D58" s="122" t="n"/>
      <c r="E58" s="122" t="n"/>
      <c r="F58" s="122" t="n"/>
      <c r="G58" s="122" t="n"/>
      <c r="H58" s="122" t="n"/>
      <c r="I58" s="122" t="n"/>
    </row>
    <row r="59">
      <c r="A59" s="122" t="n"/>
      <c r="B59" s="122" t="n"/>
      <c r="C59" s="122" t="n"/>
      <c r="D59" s="122" t="n"/>
      <c r="E59" s="122" t="n"/>
      <c r="F59" s="122" t="n"/>
      <c r="G59" s="122" t="n"/>
      <c r="H59" s="122" t="n"/>
      <c r="I59" s="122" t="n"/>
    </row>
    <row r="60">
      <c r="A60" s="122" t="n"/>
      <c r="B60" s="122" t="n"/>
      <c r="C60" s="122" t="n"/>
      <c r="D60" s="122" t="n"/>
      <c r="E60" s="122" t="n"/>
      <c r="F60" s="122" t="n"/>
      <c r="G60" s="122" t="n"/>
      <c r="H60" s="122" t="n"/>
      <c r="I60" s="122" t="n"/>
    </row>
    <row r="61">
      <c r="A61" s="122" t="n"/>
      <c r="B61" s="122" t="n"/>
      <c r="C61" s="122" t="n"/>
      <c r="D61" s="122" t="n"/>
      <c r="E61" s="122" t="n"/>
      <c r="F61" s="122" t="n"/>
      <c r="G61" s="122" t="n"/>
      <c r="H61" s="122" t="n"/>
      <c r="I61" s="122" t="n"/>
    </row>
    <row r="62">
      <c r="A62" s="122" t="n"/>
      <c r="B62" s="122" t="n"/>
      <c r="C62" s="122" t="n"/>
      <c r="D62" s="122" t="n"/>
      <c r="E62" s="122" t="n"/>
      <c r="F62" s="122" t="n"/>
      <c r="G62" s="122" t="n"/>
      <c r="H62" s="122" t="n"/>
      <c r="I62" s="122" t="n"/>
    </row>
  </sheetData>
  <conditionalFormatting sqref="G37:G49">
    <cfRule type="colorScale" priority="1">
      <colorScale>
        <cfvo type="min"/>
        <cfvo type="num" val="0"/>
        <cfvo type="max"/>
        <color rgb="FFF6C9CC"/>
        <color rgb="FFF4F4F2"/>
        <color rgb="FFDCEBC0"/>
      </colorScale>
    </cfRule>
  </conditionalFormatting>
  <conditionalFormatting sqref="G34:G49">
    <cfRule type="cellIs" priority="2" operator="greaterThan" dxfId="22">
      <formula>0</formula>
    </cfRule>
    <cfRule type="cellIs" priority="3" operator="lessThan" dxfId="23">
      <formula>0</formula>
    </cfRule>
  </conditionalFormatting>
  <conditionalFormatting sqref="H34:H49">
    <cfRule type="dataBar" priority="4">
      <dataBar showValue="1">
        <cfvo type="num" val="0"/>
        <cfvo type="max"/>
        <color rgb="FFA6D0EA"/>
      </dataBar>
    </cfRule>
  </conditionalFormatting>
  <conditionalFormatting sqref="I34:I49">
    <cfRule type="expression" priority="5" dxfId="27">
      <formula>$I34="produit"</formula>
    </cfRule>
    <cfRule type="expression" priority="6" dxfId="28">
      <formula>$I34="allocation"</formula>
    </cfRule>
  </conditionalFormatting>
  <pageMargins left="0.7" right="0.7" top="0.75" bottom="0.75" header="0.3" footer="0.3"/>
  <pageSetup orientation="portrait" paperSize="1"/>
  <headerFooter>
    <oddHeader>&amp;L&amp;C&amp;R</oddHeader>
    <oddFooter>&amp;L&amp;C&amp;R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Saad El meziati</dc:creator>
  <dcterms:created xsi:type="dcterms:W3CDTF">2026-09-04T14:45:38Z</dcterms:created>
  <dcterms:modified xsi:type="dcterms:W3CDTF">2026-09-07T08:20:01Z</dcterms:modified>
  <cp:lastModifiedBy>Saad El meziati</cp:lastModifiedBy>
</cp:coreProperties>
</file>