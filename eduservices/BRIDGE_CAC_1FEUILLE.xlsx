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idge C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€&quot;"/>
    <numFmt numFmtId="165" formatCode="#,##0.0&quot; €&quot;"/>
    <numFmt numFmtId="166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A5A48"/>
      <sz val="9.5"/>
    </font>
    <font>
      <name val="Arial"/>
      <b val="1"/>
      <color rgb="00FFFFFF"/>
      <sz val="9"/>
    </font>
    <font>
      <name val="Arial"/>
      <color rgb="00152230"/>
      <sz val="9.5"/>
    </font>
    <font>
      <name val="Arial"/>
      <b val="1"/>
      <color rgb="00FFFFFF"/>
      <sz val="8"/>
    </font>
    <font>
      <name val="Arial"/>
      <b val="1"/>
      <color rgb="00152230"/>
      <sz val="9.5"/>
    </font>
    <font>
      <name val="Arial"/>
      <color rgb="007D8B98"/>
      <sz val="8"/>
    </font>
    <font>
      <name val="Arial"/>
      <b val="1"/>
      <color rgb="001E7A55"/>
      <sz val="9.5"/>
    </font>
    <font>
      <name val="Arial"/>
      <b val="1"/>
      <color rgb="00C0392B"/>
      <sz val="9.5"/>
    </font>
    <font>
      <name val="Arial"/>
      <b val="1"/>
      <color rgb="007D8B98"/>
      <sz val="8.5"/>
    </font>
    <font>
      <name val="Arial"/>
      <b val="1"/>
      <color rgb="007D8B98"/>
      <sz val="8"/>
    </font>
    <font>
      <name val="Arial"/>
      <color rgb="0051606D"/>
      <sz val="8.5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0D7A62"/>
      </patternFill>
    </fill>
  </fills>
  <borders count="2">
    <border>
      <left/>
      <right/>
      <top/>
      <bottom/>
      <diagonal/>
    </border>
    <border>
      <left style="thin">
        <color rgb="00C8D2DA"/>
      </left>
      <right style="thin">
        <color rgb="00C8D2DA"/>
      </right>
      <top style="thin">
        <color rgb="00C8D2DA"/>
      </top>
      <bottom style="thin">
        <color rgb="00C8D2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3" fontId="0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165" fontId="6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165" fontId="9" fillId="0" borderId="1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Évolution du CAC 2025 → 2026 (€/inscrit)</a:t>
            </a:r>
          </a:p>
        </rich>
      </tx>
    </title>
    <plotArea>
      <barChart>
        <barDir val="col"/>
        <grouping val="stacked"/>
        <ser>
          <idx val="0"/>
          <order val="0"/>
          <spPr>
            <a:noFill/>
            <a:ln>
              <a:noFill/>
              <a:prstDash val="solid"/>
            </a:ln>
          </spPr>
          <cat>
            <numRef>
              <f>'Bridge CAC'!$A$17:$A$20</f>
            </numRef>
          </cat>
          <val>
            <numRef>
              <f>'Bridge CAC'!$B$17:$B$20</f>
            </numRef>
          </val>
        </ser>
        <ser>
          <idx val="1"/>
          <order val="1"/>
          <spPr>
            <a:solidFill>
              <a:srgbClr val="0A5A48"/>
            </a:solidFill>
            <a:ln>
              <a:solidFill>
                <a:srgbClr val="0A5A48"/>
              </a:solidFill>
              <a:prstDash val="solid"/>
            </a:ln>
          </spPr>
          <dLbls>
            <numFmt formatCode="#,##0&quot; €&quot;"/>
            <dLblPos val="ctr"/>
            <showLegendKey val="0"/>
            <showVal val="1"/>
            <showCatName val="0"/>
            <showSerName val="0"/>
          </dLbls>
          <cat>
            <numRef>
              <f>'Bridge CAC'!$A$17:$A$20</f>
            </numRef>
          </cat>
          <val>
            <numRef>
              <f>'Bridge CAC'!$C$17:$C$20</f>
            </numRef>
          </val>
        </ser>
        <ser>
          <idx val="2"/>
          <order val="2"/>
          <spPr>
            <a:solidFill>
              <a:srgbClr val="1E7A55"/>
            </a:solidFill>
            <a:ln>
              <a:solidFill>
                <a:srgbClr val="1E7A55"/>
              </a:solidFill>
              <a:prstDash val="solid"/>
            </a:ln>
          </spPr>
          <dLbls>
            <numFmt formatCode="&quot;+ &quot;#,##0&quot; €&quot;"/>
            <dLblPos val="ctr"/>
            <showLegendKey val="0"/>
            <showVal val="1"/>
            <showCatName val="0"/>
            <showSerName val="0"/>
          </dLbls>
          <cat>
            <numRef>
              <f>'Bridge CAC'!$A$17:$A$20</f>
            </numRef>
          </cat>
          <val>
            <numRef>
              <f>'Bridge CAC'!$D$17:$D$20</f>
            </numRef>
          </val>
        </ser>
        <ser>
          <idx val="3"/>
          <order val="3"/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dLbls>
            <numFmt formatCode="&quot;− &quot;#,##0&quot; €&quot;"/>
            <dLblPos val="ctr"/>
            <showLegendKey val="0"/>
            <showVal val="1"/>
            <showCatName val="0"/>
            <showSerName val="0"/>
          </dLbls>
          <cat>
            <numRef>
              <f>'Bridge CAC'!$A$17:$A$20</f>
            </numRef>
          </cat>
          <val>
            <numRef>
              <f>'Bridge CAC'!$E$17:$E$20</f>
            </numRef>
          </val>
        </ser>
        <gapWidth val="40"/>
        <overlap val="10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 &quot;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486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3" customWidth="1" min="10" max="10"/>
  </cols>
  <sheetData>
    <row r="1" ht="26" customHeight="1">
      <c r="A1" s="1" t="inlineStr">
        <is>
          <t xml:space="preserve">  DIAGNOSTIC CAC — Bridge : d'où vient la hausse 2025 → 2026</t>
        </is>
      </c>
    </row>
    <row r="3">
      <c r="A3" s="2" t="inlineStr">
        <is>
          <t>① Matrice (vue)</t>
        </is>
      </c>
    </row>
    <row r="4">
      <c r="A4" s="3" t="inlineStr">
        <is>
          <t>Mesure</t>
        </is>
      </c>
      <c r="B4" s="3" t="inlineStr">
        <is>
          <t>2025</t>
        </is>
      </c>
      <c r="C4" s="3" t="inlineStr">
        <is>
          <t>2026</t>
        </is>
      </c>
    </row>
    <row r="5">
      <c r="A5" s="4" t="inlineStr">
        <is>
          <t>Dépenses acquisition (€)</t>
        </is>
      </c>
      <c r="B5" s="5" t="n">
        <v>394702</v>
      </c>
      <c r="C5" s="5" t="n">
        <v>434174</v>
      </c>
    </row>
    <row r="6">
      <c r="A6" s="4" t="inlineStr">
        <is>
          <t>Inscrits (nouveaux)</t>
        </is>
      </c>
      <c r="B6" s="6" t="n">
        <v>1159</v>
      </c>
      <c r="C6" s="6" t="n">
        <v>1229</v>
      </c>
    </row>
    <row r="8">
      <c r="A8" s="2" t="inlineStr">
        <is>
          <t>② Bridge calculé (formules → la matrice ci-dessus)</t>
        </is>
      </c>
    </row>
    <row r="9">
      <c r="A9" s="3" t="inlineStr">
        <is>
          <t>Étape</t>
        </is>
      </c>
      <c r="B9" s="3" t="inlineStr">
        <is>
          <t>CAC (€)</t>
        </is>
      </c>
      <c r="C9" s="7" t="inlineStr">
        <is>
          <t>Formule</t>
        </is>
      </c>
    </row>
    <row r="10">
      <c r="A10" s="8" t="inlineStr">
        <is>
          <t>CAC 2025</t>
        </is>
      </c>
      <c r="B10" s="9">
        <f>$B$5/$B$6</f>
        <v/>
      </c>
      <c r="C10" s="10" t="inlineStr">
        <is>
          <t>Dép.25 / Ins.25</t>
        </is>
      </c>
    </row>
    <row r="11">
      <c r="A11" s="4" t="inlineStr">
        <is>
          <t>+ Effet dépenses</t>
        </is>
      </c>
      <c r="B11" s="11">
        <f>($C$5-$B$5)/$B$6</f>
        <v/>
      </c>
      <c r="C11" s="10" t="inlineStr">
        <is>
          <t>(Dép.26−Dép.25)/Ins.25</t>
        </is>
      </c>
    </row>
    <row r="12">
      <c r="A12" s="4" t="inlineStr">
        <is>
          <t>− Effet volume</t>
        </is>
      </c>
      <c r="B12" s="12">
        <f>$C$5/$C$6-$C$5/$B$6</f>
        <v/>
      </c>
      <c r="C12" s="10" t="inlineStr">
        <is>
          <t>Dép.26/Ins.26 − Dép.26/Ins.25</t>
        </is>
      </c>
    </row>
    <row r="13">
      <c r="A13" s="8" t="inlineStr">
        <is>
          <t>CAC 2026</t>
        </is>
      </c>
      <c r="B13" s="9">
        <f>$C$5/$C$6</f>
        <v/>
      </c>
      <c r="C13" s="10" t="inlineStr">
        <is>
          <t>Dép.26 / Ins.26</t>
        </is>
      </c>
    </row>
    <row r="15">
      <c r="A15" s="13" t="inlineStr">
        <is>
          <t>③ Colonnes techniques du graphe  (masquables)</t>
        </is>
      </c>
    </row>
    <row r="16">
      <c r="A16" s="14" t="inlineStr">
        <is>
          <t>Étape</t>
        </is>
      </c>
      <c r="B16" s="14" t="inlineStr">
        <is>
          <t>Socle</t>
        </is>
      </c>
      <c r="C16" s="14" t="inlineStr">
        <is>
          <t>Ancre</t>
        </is>
      </c>
      <c r="D16" s="14" t="inlineStr">
        <is>
          <t>Hausse</t>
        </is>
      </c>
      <c r="E16" s="14" t="inlineStr">
        <is>
          <t>Baisse</t>
        </is>
      </c>
    </row>
    <row r="17">
      <c r="A17" s="10" t="inlineStr">
        <is>
          <t>CAC 2025</t>
        </is>
      </c>
      <c r="B17" s="15" t="inlineStr">
        <is>
          <t>0</t>
        </is>
      </c>
      <c r="C17" s="15">
        <f>$B$10</f>
        <v/>
      </c>
      <c r="D17" s="15" t="inlineStr">
        <is>
          <t>0</t>
        </is>
      </c>
      <c r="E17" s="15" t="inlineStr">
        <is>
          <t>0</t>
        </is>
      </c>
    </row>
    <row r="18">
      <c r="A18" s="10" t="inlineStr">
        <is>
          <t>+ Effet dépenses</t>
        </is>
      </c>
      <c r="B18" s="15">
        <f>$B$10</f>
        <v/>
      </c>
      <c r="C18" s="15" t="inlineStr">
        <is>
          <t>0</t>
        </is>
      </c>
      <c r="D18" s="15">
        <f>$B$11</f>
        <v/>
      </c>
      <c r="E18" s="15" t="inlineStr">
        <is>
          <t>0</t>
        </is>
      </c>
    </row>
    <row r="19">
      <c r="A19" s="10" t="inlineStr">
        <is>
          <t>− Effet volume</t>
        </is>
      </c>
      <c r="B19" s="15">
        <f>$B$13</f>
        <v/>
      </c>
      <c r="C19" s="15" t="inlineStr">
        <is>
          <t>0</t>
        </is>
      </c>
      <c r="D19" s="15" t="inlineStr">
        <is>
          <t>0</t>
        </is>
      </c>
      <c r="E19" s="15">
        <f>$B$10+$B$11-$B$13</f>
        <v/>
      </c>
    </row>
    <row r="20">
      <c r="A20" s="10" t="inlineStr">
        <is>
          <t>CAC 2026</t>
        </is>
      </c>
      <c r="B20" s="15" t="inlineStr">
        <is>
          <t>0</t>
        </is>
      </c>
      <c r="C20" s="15">
        <f>$B$13</f>
        <v/>
      </c>
      <c r="D20" s="15" t="inlineStr">
        <is>
          <t>0</t>
        </is>
      </c>
      <c r="E20" s="15" t="inlineStr">
        <is>
          <t>0</t>
        </is>
      </c>
    </row>
    <row r="22">
      <c r="A22" s="16" t="inlineStr">
        <is>
          <t>Une seule feuille : ① la matrice (2 mesures × 2 exercices, tirée de la vue) · ② le bridge en formules juste en dessous · ③ les colonnes techniques du waterfall (masquables) qui alimentent le graphe. Change une dépense ou un nb d'inscrits dans ① → CAC, effets et graphe se recalent.</t>
        </is>
      </c>
    </row>
    <row r="23"/>
    <row r="24"/>
  </sheetData>
  <mergeCells count="7">
    <mergeCell ref="C12"/>
    <mergeCell ref="C11"/>
    <mergeCell ref="C10"/>
    <mergeCell ref="A22:H24"/>
    <mergeCell ref="A1:H1"/>
    <mergeCell ref="C13"/>
    <mergeCell ref="C9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2026-09-02T11:48:27Z</dcterms:created>
  <dcterms:modified xsi:type="dcterms:W3CDTF">2026-09-02T11:48:27Z</dcterms:modified>
</cp:coreProperties>
</file>